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S:\Projekte\Standort WB\N-31-535-0-ETIP-B_2026-2028\Daten\WP3 Sector Monitoring and Analysis\Task 3.2 Assessment of building capacity\"/>
    </mc:Choice>
  </mc:AlternateContent>
  <xr:revisionPtr revIDLastSave="0" documentId="13_ncr:1_{D72CA518-9A5B-40C2-9736-EEE5E80D7452}" xr6:coauthVersionLast="47" xr6:coauthVersionMax="47" xr10:uidLastSave="{00000000-0000-0000-0000-000000000000}"/>
  <bookViews>
    <workbookView xWindow="-11985" yWindow="-18120" windowWidth="29040" windowHeight="17520" firstSheet="4" activeTab="11" xr2:uid="{EB10599E-20DB-41E1-9C42-A3EF77438160}"/>
  </bookViews>
  <sheets>
    <sheet name="Prices per feedstock &amp; per IVC" sheetId="1" r:id="rId1"/>
    <sheet name="LCoP CONVENTIONAL" sheetId="11" r:id="rId2"/>
    <sheet name="2023 costs" sheetId="8" r:id="rId3"/>
    <sheet name="2030 costs Sc 1" sheetId="4" r:id="rId4"/>
    <sheet name="Tabelle1" sheetId="26" r:id="rId5"/>
    <sheet name="2030 costs Sc 2" sheetId="13" r:id="rId6"/>
    <sheet name="2030 costs Sc 3" sheetId="20" r:id="rId7"/>
    <sheet name="Feedstock MIX per IVC" sheetId="3" r:id="rId8"/>
    <sheet name="2035 costs Sc 1" sheetId="15" r:id="rId9"/>
    <sheet name="2035 costs Sc 2" sheetId="14" r:id="rId10"/>
    <sheet name="2035 costs Sc 3" sheetId="25" r:id="rId11"/>
    <sheet name="2040 Sc 1" sheetId="16" r:id="rId12"/>
    <sheet name="2040 Sc 2" sheetId="22" r:id="rId13"/>
    <sheet name="2040 costs Sc 3" sheetId="23" r:id="rId14"/>
    <sheet name="LCoP 2030 MEDIUM" sheetId="6" r:id="rId15"/>
    <sheet name="LCoP 2040 high" sheetId="18" r:id="rId16"/>
    <sheet name="LCoP 2030 HIGH" sheetId="9" r:id="rId17"/>
    <sheet name="LCoP 2040 medium-high" sheetId="17" r:id="rId18"/>
    <sheet name="LCoP 2050 high" sheetId="19" r:id="rId19"/>
    <sheet name="Feedtstocks only CONVENTIONAL" sheetId="12" r:id="rId20"/>
    <sheet name="CAPEX only" sheetId="5" r:id="rId21"/>
    <sheet name="OPEX only" sheetId="7" r:id="rId22"/>
  </sheets>
  <externalReferences>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6" i="16" l="1"/>
  <c r="M16" i="16"/>
  <c r="I16" i="16"/>
  <c r="G16" i="16"/>
  <c r="L17" i="16"/>
  <c r="K17" i="16"/>
  <c r="G16" i="15"/>
  <c r="G16" i="4"/>
  <c r="L17" i="4"/>
  <c r="H23" i="6"/>
  <c r="P16" i="4"/>
  <c r="M16" i="4"/>
  <c r="I16" i="4"/>
  <c r="K17" i="15"/>
  <c r="D24" i="6"/>
  <c r="F7" i="3"/>
  <c r="F25" i="3"/>
  <c r="G10" i="26" a="1"/>
  <c r="D10" i="26" a="1"/>
  <c r="G2" i="6"/>
  <c r="E24" i="6"/>
  <c r="C24" i="6"/>
  <c r="B24" i="6"/>
  <c r="C4" i="6"/>
  <c r="B4" i="6"/>
  <c r="E23" i="6"/>
  <c r="D62" i="22"/>
  <c r="D138" i="13"/>
  <c r="E138" i="13"/>
  <c r="F138" i="13"/>
  <c r="C138" i="13" s="1"/>
  <c r="D16" i="4"/>
  <c r="D271" i="20"/>
  <c r="B245" i="23"/>
  <c r="B260" i="22"/>
  <c r="B218" i="16"/>
  <c r="G245" i="23"/>
  <c r="Q251" i="23"/>
  <c r="P251" i="23"/>
  <c r="Q250" i="23"/>
  <c r="P250" i="23"/>
  <c r="N250" i="23"/>
  <c r="M250" i="23"/>
  <c r="Q249" i="23"/>
  <c r="P249" i="23"/>
  <c r="N249" i="23"/>
  <c r="M249" i="23"/>
  <c r="Q248" i="23"/>
  <c r="P248" i="23"/>
  <c r="N248" i="23"/>
  <c r="M248" i="23"/>
  <c r="Q247" i="23"/>
  <c r="P247" i="23"/>
  <c r="N247" i="23"/>
  <c r="M247" i="23"/>
  <c r="Q246" i="23"/>
  <c r="P246" i="23"/>
  <c r="N246" i="23"/>
  <c r="M246" i="23"/>
  <c r="P245" i="23"/>
  <c r="M245" i="23"/>
  <c r="I245" i="23"/>
  <c r="E245" i="23"/>
  <c r="E244" i="23"/>
  <c r="Q277" i="20"/>
  <c r="P277" i="20"/>
  <c r="Q276" i="20"/>
  <c r="P276" i="20"/>
  <c r="N276" i="20"/>
  <c r="M276" i="20"/>
  <c r="Q275" i="20"/>
  <c r="P275" i="20"/>
  <c r="N275" i="20"/>
  <c r="M275" i="20"/>
  <c r="Q274" i="20"/>
  <c r="P274" i="20"/>
  <c r="N274" i="20"/>
  <c r="M274" i="20"/>
  <c r="Q273" i="20"/>
  <c r="P273" i="20"/>
  <c r="N273" i="20"/>
  <c r="M273" i="20"/>
  <c r="Q272" i="20"/>
  <c r="P272" i="20"/>
  <c r="N272" i="20"/>
  <c r="M272" i="20"/>
  <c r="P271" i="20"/>
  <c r="M271" i="20"/>
  <c r="I271" i="20"/>
  <c r="G271" i="20"/>
  <c r="E271" i="20"/>
  <c r="B271" i="20"/>
  <c r="D262" i="20"/>
  <c r="Q266" i="25"/>
  <c r="P266" i="25"/>
  <c r="Q265" i="25"/>
  <c r="P265" i="25"/>
  <c r="N265" i="25"/>
  <c r="M265" i="25"/>
  <c r="Q264" i="25"/>
  <c r="P264" i="25"/>
  <c r="N264" i="25"/>
  <c r="M264" i="25"/>
  <c r="Q263" i="25"/>
  <c r="P263" i="25"/>
  <c r="N263" i="25"/>
  <c r="M263" i="25"/>
  <c r="Q262" i="25"/>
  <c r="P262" i="25"/>
  <c r="N262" i="25"/>
  <c r="M262" i="25"/>
  <c r="Q261" i="25"/>
  <c r="P261" i="25"/>
  <c r="N261" i="25"/>
  <c r="M261" i="25"/>
  <c r="P260" i="25"/>
  <c r="M260" i="25"/>
  <c r="I260" i="25"/>
  <c r="G260" i="25"/>
  <c r="E260" i="25"/>
  <c r="B260" i="25"/>
  <c r="D251" i="25"/>
  <c r="Q257" i="25"/>
  <c r="P257" i="25"/>
  <c r="Q256" i="25"/>
  <c r="P256" i="25"/>
  <c r="N256" i="25"/>
  <c r="M256" i="25"/>
  <c r="Q255" i="25"/>
  <c r="P255" i="25"/>
  <c r="N255" i="25"/>
  <c r="M255" i="25"/>
  <c r="Q254" i="25"/>
  <c r="P254" i="25"/>
  <c r="N254" i="25"/>
  <c r="M254" i="25"/>
  <c r="Q253" i="25"/>
  <c r="P253" i="25"/>
  <c r="N253" i="25"/>
  <c r="M253" i="25"/>
  <c r="Q252" i="25"/>
  <c r="P252" i="25"/>
  <c r="N252" i="25"/>
  <c r="M252" i="25"/>
  <c r="P251" i="25"/>
  <c r="M251" i="25"/>
  <c r="I251" i="25"/>
  <c r="G251" i="25"/>
  <c r="E251" i="25"/>
  <c r="D250" i="25"/>
  <c r="D133" i="16"/>
  <c r="B261" i="14"/>
  <c r="E9" i="25"/>
  <c r="E16" i="25"/>
  <c r="E27" i="25"/>
  <c r="Q33" i="25"/>
  <c r="E46" i="25"/>
  <c r="E53" i="25"/>
  <c r="E60" i="25"/>
  <c r="E69" i="25"/>
  <c r="E88" i="25"/>
  <c r="N95" i="25"/>
  <c r="E98" i="25"/>
  <c r="E123" i="25"/>
  <c r="E130" i="25"/>
  <c r="O131" i="25"/>
  <c r="R131" i="25"/>
  <c r="E137" i="25"/>
  <c r="O150" i="25"/>
  <c r="R150" i="25"/>
  <c r="E161" i="25"/>
  <c r="E172" i="25"/>
  <c r="G172" i="25"/>
  <c r="I172" i="25"/>
  <c r="M172" i="25"/>
  <c r="P172" i="25"/>
  <c r="S172" i="25"/>
  <c r="E180" i="25"/>
  <c r="E201" i="25"/>
  <c r="Q207" i="25"/>
  <c r="E208" i="25"/>
  <c r="Q214" i="25"/>
  <c r="E219" i="25"/>
  <c r="G219" i="25"/>
  <c r="I219" i="25"/>
  <c r="K219" i="25"/>
  <c r="M219" i="25"/>
  <c r="P219" i="25"/>
  <c r="K220" i="25"/>
  <c r="M220" i="25"/>
  <c r="N220" i="25"/>
  <c r="P220" i="25"/>
  <c r="Q220" i="25"/>
  <c r="K221" i="25"/>
  <c r="M221" i="25"/>
  <c r="N221" i="25"/>
  <c r="P221" i="25"/>
  <c r="Q221" i="25"/>
  <c r="K222" i="25"/>
  <c r="M222" i="25"/>
  <c r="N222" i="25"/>
  <c r="P222" i="25"/>
  <c r="Q222" i="25"/>
  <c r="K223" i="25"/>
  <c r="M223" i="25"/>
  <c r="N223" i="25"/>
  <c r="P223" i="25"/>
  <c r="Q223" i="25"/>
  <c r="M224" i="25"/>
  <c r="N224" i="25"/>
  <c r="P224" i="25"/>
  <c r="Q224" i="25"/>
  <c r="P225" i="25"/>
  <c r="Q225" i="25"/>
  <c r="E226" i="25"/>
  <c r="G226" i="25"/>
  <c r="I226" i="25"/>
  <c r="K226" i="25"/>
  <c r="M226" i="25"/>
  <c r="P226" i="25"/>
  <c r="K227" i="25"/>
  <c r="M227" i="25"/>
  <c r="N227" i="25"/>
  <c r="P227" i="25"/>
  <c r="Q227" i="25"/>
  <c r="K228" i="25"/>
  <c r="M228" i="25"/>
  <c r="N228" i="25"/>
  <c r="P228" i="25"/>
  <c r="Q228" i="25"/>
  <c r="K229" i="25"/>
  <c r="M229" i="25"/>
  <c r="N229" i="25"/>
  <c r="P229" i="25"/>
  <c r="Q229" i="25"/>
  <c r="K230" i="25"/>
  <c r="M230" i="25"/>
  <c r="N230" i="25"/>
  <c r="P230" i="25"/>
  <c r="Q230" i="25"/>
  <c r="M231" i="25"/>
  <c r="N231" i="25"/>
  <c r="P231" i="25"/>
  <c r="Q231" i="25"/>
  <c r="P232" i="25"/>
  <c r="Q232" i="25"/>
  <c r="E234" i="25"/>
  <c r="G234" i="25"/>
  <c r="I234" i="25"/>
  <c r="K234" i="25"/>
  <c r="M234" i="25"/>
  <c r="P234" i="25"/>
  <c r="M235" i="25"/>
  <c r="N235" i="25"/>
  <c r="P235" i="25"/>
  <c r="Q235" i="25"/>
  <c r="M236" i="25"/>
  <c r="N236" i="25"/>
  <c r="P236" i="25"/>
  <c r="Q236" i="25"/>
  <c r="M237" i="25"/>
  <c r="N237" i="25"/>
  <c r="P237" i="25"/>
  <c r="Q237" i="25"/>
  <c r="M238" i="25"/>
  <c r="N238" i="25"/>
  <c r="P238" i="25"/>
  <c r="Q238" i="25"/>
  <c r="M239" i="25"/>
  <c r="N239" i="25"/>
  <c r="P239" i="25"/>
  <c r="Q239" i="25"/>
  <c r="P240" i="25"/>
  <c r="Q240" i="25"/>
  <c r="E242" i="25"/>
  <c r="G242" i="25"/>
  <c r="I242" i="25"/>
  <c r="K242" i="25"/>
  <c r="M242" i="25"/>
  <c r="P242" i="25"/>
  <c r="M243" i="25"/>
  <c r="N243" i="25"/>
  <c r="P243" i="25"/>
  <c r="Q243" i="25"/>
  <c r="M244" i="25"/>
  <c r="N244" i="25"/>
  <c r="P244" i="25"/>
  <c r="Q244" i="25"/>
  <c r="M245" i="25"/>
  <c r="N245" i="25"/>
  <c r="P245" i="25"/>
  <c r="Q245" i="25"/>
  <c r="M246" i="25"/>
  <c r="N246" i="25"/>
  <c r="P246" i="25"/>
  <c r="Q246" i="25"/>
  <c r="M247" i="25"/>
  <c r="N247" i="25"/>
  <c r="P247" i="25"/>
  <c r="Q247" i="25"/>
  <c r="P248" i="25"/>
  <c r="Q248" i="25"/>
  <c r="C9" i="9"/>
  <c r="D3" i="8"/>
  <c r="K23" i="11"/>
  <c r="H50" i="11"/>
  <c r="H49" i="11"/>
  <c r="H48" i="11"/>
  <c r="H47" i="11"/>
  <c r="H46" i="11"/>
  <c r="H43" i="11"/>
  <c r="H42" i="11"/>
  <c r="H41" i="11"/>
  <c r="H40" i="11"/>
  <c r="H39" i="11"/>
  <c r="K37" i="11"/>
  <c r="K36" i="11"/>
  <c r="K35" i="11"/>
  <c r="K34" i="11"/>
  <c r="K33" i="11"/>
  <c r="K32" i="11"/>
  <c r="H36" i="11"/>
  <c r="H35" i="11"/>
  <c r="H34" i="11"/>
  <c r="H33" i="11"/>
  <c r="H32" i="11"/>
  <c r="K30" i="11"/>
  <c r="K29" i="11"/>
  <c r="K28" i="11"/>
  <c r="K27" i="11"/>
  <c r="K26" i="11"/>
  <c r="K25" i="11"/>
  <c r="H29" i="11"/>
  <c r="H28" i="11"/>
  <c r="H27" i="11"/>
  <c r="H26" i="11"/>
  <c r="H25" i="11"/>
  <c r="H22" i="11"/>
  <c r="H21" i="11"/>
  <c r="H20" i="11"/>
  <c r="H19" i="11"/>
  <c r="H18" i="11"/>
  <c r="E20" i="11"/>
  <c r="K16" i="11"/>
  <c r="K15" i="11"/>
  <c r="K14" i="11"/>
  <c r="K13" i="11"/>
  <c r="K12" i="11"/>
  <c r="K11" i="11"/>
  <c r="H15" i="11"/>
  <c r="H14" i="11"/>
  <c r="H13" i="11"/>
  <c r="H12" i="11"/>
  <c r="H11" i="11"/>
  <c r="B24" i="11"/>
  <c r="B10" i="11"/>
  <c r="B31" i="11"/>
  <c r="C10" i="11"/>
  <c r="Q242" i="23"/>
  <c r="P242" i="23"/>
  <c r="G236" i="23"/>
  <c r="G229" i="23"/>
  <c r="P214" i="23"/>
  <c r="M214" i="23"/>
  <c r="I214" i="23"/>
  <c r="G214" i="23"/>
  <c r="P251" i="22"/>
  <c r="M251" i="22"/>
  <c r="I251" i="22"/>
  <c r="G251" i="22"/>
  <c r="G241" i="22"/>
  <c r="G234" i="22"/>
  <c r="P219" i="22"/>
  <c r="M219" i="22"/>
  <c r="I219" i="22"/>
  <c r="G219" i="22"/>
  <c r="P209" i="16"/>
  <c r="M209" i="16"/>
  <c r="I209" i="16"/>
  <c r="G209" i="16"/>
  <c r="G199" i="16"/>
  <c r="P184" i="16"/>
  <c r="M184" i="16"/>
  <c r="I184" i="16"/>
  <c r="G184" i="16"/>
  <c r="G251" i="14"/>
  <c r="G243" i="14"/>
  <c r="P228" i="14"/>
  <c r="M228" i="14"/>
  <c r="I228" i="14"/>
  <c r="G228" i="14"/>
  <c r="P245" i="15"/>
  <c r="M245" i="15"/>
  <c r="I245" i="15"/>
  <c r="G245" i="15"/>
  <c r="G226" i="15"/>
  <c r="G218" i="15"/>
  <c r="P203" i="15"/>
  <c r="M203" i="15"/>
  <c r="I203" i="15"/>
  <c r="G203" i="15"/>
  <c r="P262" i="20"/>
  <c r="M262" i="20"/>
  <c r="I262" i="20"/>
  <c r="G262" i="20"/>
  <c r="G253" i="20"/>
  <c r="G245" i="20"/>
  <c r="P230" i="20"/>
  <c r="M230" i="20"/>
  <c r="I230" i="20"/>
  <c r="G230" i="20"/>
  <c r="P262" i="13"/>
  <c r="M262" i="13"/>
  <c r="I262" i="13"/>
  <c r="G262" i="13"/>
  <c r="G253" i="13"/>
  <c r="G245" i="13"/>
  <c r="P230" i="13"/>
  <c r="M230" i="13"/>
  <c r="I230" i="13"/>
  <c r="G230" i="13"/>
  <c r="P275" i="4"/>
  <c r="M275" i="4"/>
  <c r="I275" i="4"/>
  <c r="G275" i="4"/>
  <c r="G257" i="4"/>
  <c r="G249" i="4"/>
  <c r="G241" i="4"/>
  <c r="P226" i="4"/>
  <c r="M226" i="4"/>
  <c r="I226" i="4"/>
  <c r="G226" i="4"/>
  <c r="P115" i="8"/>
  <c r="M115" i="8"/>
  <c r="I115" i="8"/>
  <c r="G115" i="8"/>
  <c r="G91" i="8"/>
  <c r="P84" i="8"/>
  <c r="M84" i="8"/>
  <c r="I84" i="8"/>
  <c r="G84" i="8"/>
  <c r="K53" i="11"/>
  <c r="H3" i="11"/>
  <c r="H53" i="11"/>
  <c r="E53" i="11"/>
  <c r="F31" i="11"/>
  <c r="I31" i="11"/>
  <c r="I10" i="11"/>
  <c r="F10" i="11"/>
  <c r="K3" i="11"/>
  <c r="E3" i="11"/>
  <c r="I3" i="12"/>
  <c r="F17" i="11"/>
  <c r="B45" i="11"/>
  <c r="B38" i="11"/>
  <c r="I17" i="11"/>
  <c r="C17" i="11"/>
  <c r="E131" i="20"/>
  <c r="Q241" i="23"/>
  <c r="R241" i="23" s="1"/>
  <c r="P241" i="23"/>
  <c r="N241" i="23"/>
  <c r="O241" i="23" s="1"/>
  <c r="M241" i="23"/>
  <c r="Q240" i="23"/>
  <c r="R240" i="23" s="1"/>
  <c r="P240" i="23"/>
  <c r="N240" i="23"/>
  <c r="O240" i="23" s="1"/>
  <c r="M240" i="23"/>
  <c r="Q239" i="23"/>
  <c r="R239" i="23" s="1"/>
  <c r="P239" i="23"/>
  <c r="N239" i="23"/>
  <c r="O239" i="23" s="1"/>
  <c r="M239" i="23"/>
  <c r="Q238" i="23"/>
  <c r="R238" i="23" s="1"/>
  <c r="P238" i="23"/>
  <c r="N238" i="23"/>
  <c r="O238" i="23" s="1"/>
  <c r="M238" i="23"/>
  <c r="Q237" i="23"/>
  <c r="R237" i="23" s="1"/>
  <c r="P237" i="23"/>
  <c r="N237" i="23"/>
  <c r="O237" i="23" s="1"/>
  <c r="M237" i="23"/>
  <c r="Q235" i="23"/>
  <c r="P235" i="23"/>
  <c r="Q234" i="23"/>
  <c r="P234" i="23"/>
  <c r="N234" i="23"/>
  <c r="O234" i="23" s="1"/>
  <c r="M234" i="23"/>
  <c r="Q233" i="23"/>
  <c r="P233" i="23"/>
  <c r="N233" i="23"/>
  <c r="O233" i="23" s="1"/>
  <c r="M233" i="23"/>
  <c r="Q232" i="23"/>
  <c r="P232" i="23"/>
  <c r="N232" i="23"/>
  <c r="O232" i="23" s="1"/>
  <c r="M232" i="23"/>
  <c r="Q231" i="23"/>
  <c r="P231" i="23"/>
  <c r="N231" i="23"/>
  <c r="O231" i="23" s="1"/>
  <c r="M231" i="23"/>
  <c r="Q230" i="23"/>
  <c r="P230" i="23"/>
  <c r="N230" i="23"/>
  <c r="O230" i="23" s="1"/>
  <c r="M230" i="23"/>
  <c r="P259" i="20"/>
  <c r="Q259" i="20"/>
  <c r="O93" i="16"/>
  <c r="R92" i="16"/>
  <c r="O92" i="16"/>
  <c r="R91" i="16"/>
  <c r="O91" i="16"/>
  <c r="R90" i="16"/>
  <c r="O90" i="16"/>
  <c r="R89" i="16"/>
  <c r="O89" i="16"/>
  <c r="E4" i="7"/>
  <c r="D18" i="11"/>
  <c r="E18" i="11" s="1"/>
  <c r="D19" i="11"/>
  <c r="E19" i="11" s="1"/>
  <c r="P255" i="15"/>
  <c r="Q255" i="15"/>
  <c r="P256" i="15"/>
  <c r="Q256" i="15"/>
  <c r="P257" i="15"/>
  <c r="Q257" i="15"/>
  <c r="P258" i="15"/>
  <c r="Q258" i="15"/>
  <c r="P259" i="15"/>
  <c r="Q259" i="15"/>
  <c r="P260" i="15"/>
  <c r="Q260" i="15"/>
  <c r="M255" i="15"/>
  <c r="N255" i="15"/>
  <c r="M256" i="15"/>
  <c r="N256" i="15"/>
  <c r="M257" i="15"/>
  <c r="N257" i="15"/>
  <c r="M258" i="15"/>
  <c r="N258" i="15"/>
  <c r="M259" i="15"/>
  <c r="N259" i="15"/>
  <c r="P232" i="15"/>
  <c r="Q232" i="15"/>
  <c r="O168" i="23"/>
  <c r="O169" i="23"/>
  <c r="O170" i="23"/>
  <c r="O171" i="23"/>
  <c r="O172" i="23"/>
  <c r="O173" i="23"/>
  <c r="O174" i="23"/>
  <c r="N176" i="23"/>
  <c r="Q193" i="23"/>
  <c r="Q200" i="23"/>
  <c r="K214" i="23"/>
  <c r="M215" i="23"/>
  <c r="N215" i="23"/>
  <c r="P215" i="23"/>
  <c r="Q215" i="23"/>
  <c r="M216" i="23"/>
  <c r="N216" i="23"/>
  <c r="P216" i="23"/>
  <c r="Q216" i="23"/>
  <c r="M217" i="23"/>
  <c r="N217" i="23"/>
  <c r="P217" i="23"/>
  <c r="Q217" i="23"/>
  <c r="M218" i="23"/>
  <c r="N218" i="23"/>
  <c r="P218" i="23"/>
  <c r="Q218" i="23"/>
  <c r="M219" i="23"/>
  <c r="N219" i="23"/>
  <c r="P219" i="23"/>
  <c r="Q219" i="23"/>
  <c r="P220" i="23"/>
  <c r="Q220" i="23"/>
  <c r="M223" i="23"/>
  <c r="N223" i="23"/>
  <c r="P223" i="23"/>
  <c r="Q223" i="23"/>
  <c r="M224" i="23"/>
  <c r="N224" i="23"/>
  <c r="P224" i="23"/>
  <c r="Q224" i="23"/>
  <c r="M225" i="23"/>
  <c r="N225" i="23"/>
  <c r="P225" i="23"/>
  <c r="Q225" i="23"/>
  <c r="M226" i="23"/>
  <c r="N226" i="23"/>
  <c r="P226" i="23"/>
  <c r="Q226" i="23"/>
  <c r="M227" i="23"/>
  <c r="N227" i="23"/>
  <c r="P227" i="23"/>
  <c r="Q227" i="23"/>
  <c r="P228" i="23"/>
  <c r="Q228" i="23"/>
  <c r="N9" i="23"/>
  <c r="R10" i="23"/>
  <c r="R11" i="23"/>
  <c r="R12" i="23"/>
  <c r="N16" i="23"/>
  <c r="N28" i="23"/>
  <c r="Q34" i="23"/>
  <c r="L46" i="23"/>
  <c r="N98" i="23"/>
  <c r="O166" i="22"/>
  <c r="O167" i="22"/>
  <c r="O168" i="22"/>
  <c r="O169" i="22"/>
  <c r="O170" i="22"/>
  <c r="O171" i="22"/>
  <c r="O172" i="22"/>
  <c r="N174" i="22"/>
  <c r="Q180" i="22"/>
  <c r="Q205" i="22"/>
  <c r="Q212" i="22"/>
  <c r="K219" i="22"/>
  <c r="M220" i="22"/>
  <c r="N220" i="22"/>
  <c r="P220" i="22"/>
  <c r="Q220" i="22"/>
  <c r="M221" i="22"/>
  <c r="N221" i="22"/>
  <c r="P221" i="22"/>
  <c r="Q221" i="22"/>
  <c r="M222" i="22"/>
  <c r="N222" i="22"/>
  <c r="P222" i="22"/>
  <c r="Q222" i="22"/>
  <c r="M223" i="22"/>
  <c r="N223" i="22"/>
  <c r="P223" i="22"/>
  <c r="Q223" i="22"/>
  <c r="M224" i="22"/>
  <c r="N224" i="22"/>
  <c r="P224" i="22"/>
  <c r="Q224" i="22"/>
  <c r="P225" i="22"/>
  <c r="Q225" i="22"/>
  <c r="M228" i="22"/>
  <c r="N228" i="22"/>
  <c r="P228" i="22"/>
  <c r="Q228" i="22"/>
  <c r="M229" i="22"/>
  <c r="N229" i="22"/>
  <c r="P229" i="22"/>
  <c r="Q229" i="22"/>
  <c r="M230" i="22"/>
  <c r="N230" i="22"/>
  <c r="P230" i="22"/>
  <c r="Q230" i="22"/>
  <c r="M231" i="22"/>
  <c r="N231" i="22"/>
  <c r="P231" i="22"/>
  <c r="Q231" i="22"/>
  <c r="M232" i="22"/>
  <c r="N232" i="22"/>
  <c r="P232" i="22"/>
  <c r="Q232" i="22"/>
  <c r="P233" i="22"/>
  <c r="Q233" i="22"/>
  <c r="M235" i="22"/>
  <c r="N235" i="22"/>
  <c r="P235" i="22"/>
  <c r="Q235" i="22"/>
  <c r="M236" i="22"/>
  <c r="N236" i="22"/>
  <c r="P236" i="22"/>
  <c r="Q236" i="22"/>
  <c r="M237" i="22"/>
  <c r="N237" i="22"/>
  <c r="P237" i="22"/>
  <c r="Q237" i="22"/>
  <c r="M238" i="22"/>
  <c r="N238" i="22"/>
  <c r="P238" i="22"/>
  <c r="Q238" i="22"/>
  <c r="M239" i="22"/>
  <c r="N239" i="22"/>
  <c r="P239" i="22"/>
  <c r="Q239" i="22"/>
  <c r="P240" i="22"/>
  <c r="Q240" i="22"/>
  <c r="M242" i="22"/>
  <c r="N242" i="22"/>
  <c r="P242" i="22"/>
  <c r="Q242" i="22"/>
  <c r="M243" i="22"/>
  <c r="N243" i="22"/>
  <c r="P243" i="22"/>
  <c r="Q243" i="22"/>
  <c r="M244" i="22"/>
  <c r="N244" i="22"/>
  <c r="P244" i="22"/>
  <c r="Q244" i="22"/>
  <c r="M245" i="22"/>
  <c r="N245" i="22"/>
  <c r="P245" i="22"/>
  <c r="Q245" i="22"/>
  <c r="M246" i="22"/>
  <c r="N246" i="22"/>
  <c r="P246" i="22"/>
  <c r="Q246" i="22"/>
  <c r="P247" i="22"/>
  <c r="Q247" i="22"/>
  <c r="M252" i="22"/>
  <c r="N252" i="22"/>
  <c r="P252" i="22"/>
  <c r="Q252" i="22"/>
  <c r="M253" i="22"/>
  <c r="N253" i="22"/>
  <c r="P253" i="22"/>
  <c r="Q253" i="22"/>
  <c r="M254" i="22"/>
  <c r="N254" i="22"/>
  <c r="P254" i="22"/>
  <c r="Q254" i="22"/>
  <c r="M255" i="22"/>
  <c r="N255" i="22"/>
  <c r="P255" i="22"/>
  <c r="Q255" i="22"/>
  <c r="M256" i="22"/>
  <c r="N256" i="22"/>
  <c r="P256" i="22"/>
  <c r="Q256" i="22"/>
  <c r="P257" i="22"/>
  <c r="Q257" i="22"/>
  <c r="M261" i="22"/>
  <c r="N261" i="22"/>
  <c r="P261" i="22"/>
  <c r="Q261" i="22"/>
  <c r="M262" i="22"/>
  <c r="N262" i="22"/>
  <c r="P262" i="22"/>
  <c r="Q262" i="22"/>
  <c r="M263" i="22"/>
  <c r="N263" i="22"/>
  <c r="P263" i="22"/>
  <c r="Q263" i="22"/>
  <c r="M264" i="22"/>
  <c r="N264" i="22"/>
  <c r="P264" i="22"/>
  <c r="Q264" i="22"/>
  <c r="M265" i="22"/>
  <c r="N265" i="22"/>
  <c r="P265" i="22"/>
  <c r="Q265" i="22"/>
  <c r="P266" i="22"/>
  <c r="Q266" i="22"/>
  <c r="Q34" i="22"/>
  <c r="N97" i="22"/>
  <c r="Q158" i="16"/>
  <c r="Q170" i="16"/>
  <c r="Q177" i="16"/>
  <c r="K184" i="16"/>
  <c r="M185" i="16"/>
  <c r="N185" i="16"/>
  <c r="P185" i="16"/>
  <c r="Q185" i="16"/>
  <c r="M186" i="16"/>
  <c r="N186" i="16"/>
  <c r="P186" i="16"/>
  <c r="Q186" i="16"/>
  <c r="M187" i="16"/>
  <c r="N187" i="16"/>
  <c r="P187" i="16"/>
  <c r="Q187" i="16"/>
  <c r="M188" i="16"/>
  <c r="N188" i="16"/>
  <c r="P188" i="16"/>
  <c r="Q188" i="16"/>
  <c r="M189" i="16"/>
  <c r="N189" i="16"/>
  <c r="P189" i="16"/>
  <c r="Q189" i="16"/>
  <c r="P190" i="16"/>
  <c r="Q190" i="16"/>
  <c r="M193" i="16"/>
  <c r="N193" i="16"/>
  <c r="P193" i="16"/>
  <c r="Q193" i="16"/>
  <c r="M194" i="16"/>
  <c r="N194" i="16"/>
  <c r="P194" i="16"/>
  <c r="Q194" i="16"/>
  <c r="M195" i="16"/>
  <c r="N195" i="16"/>
  <c r="P195" i="16"/>
  <c r="Q195" i="16"/>
  <c r="M196" i="16"/>
  <c r="N196" i="16"/>
  <c r="P196" i="16"/>
  <c r="Q196" i="16"/>
  <c r="M197" i="16"/>
  <c r="N197" i="16"/>
  <c r="P197" i="16"/>
  <c r="Q197" i="16"/>
  <c r="P198" i="16"/>
  <c r="Q198" i="16"/>
  <c r="M200" i="16"/>
  <c r="N200" i="16"/>
  <c r="P200" i="16"/>
  <c r="Q200" i="16"/>
  <c r="M201" i="16"/>
  <c r="N201" i="16"/>
  <c r="P201" i="16"/>
  <c r="Q201" i="16"/>
  <c r="M202" i="16"/>
  <c r="N202" i="16"/>
  <c r="P202" i="16"/>
  <c r="Q202" i="16"/>
  <c r="M203" i="16"/>
  <c r="N203" i="16"/>
  <c r="P203" i="16"/>
  <c r="Q203" i="16"/>
  <c r="M204" i="16"/>
  <c r="N204" i="16"/>
  <c r="P204" i="16"/>
  <c r="Q204" i="16"/>
  <c r="P205" i="16"/>
  <c r="Q205" i="16"/>
  <c r="M210" i="16"/>
  <c r="N210" i="16"/>
  <c r="P210" i="16"/>
  <c r="Q210" i="16"/>
  <c r="M211" i="16"/>
  <c r="N211" i="16"/>
  <c r="P211" i="16"/>
  <c r="Q211" i="16"/>
  <c r="M212" i="16"/>
  <c r="N212" i="16"/>
  <c r="P212" i="16"/>
  <c r="Q212" i="16"/>
  <c r="M213" i="16"/>
  <c r="N213" i="16"/>
  <c r="P213" i="16"/>
  <c r="Q213" i="16"/>
  <c r="M214" i="16"/>
  <c r="N214" i="16"/>
  <c r="P214" i="16"/>
  <c r="Q214" i="16"/>
  <c r="P215" i="16"/>
  <c r="Q215" i="16"/>
  <c r="M219" i="16"/>
  <c r="N219" i="16"/>
  <c r="P219" i="16"/>
  <c r="Q219" i="16"/>
  <c r="M220" i="16"/>
  <c r="N220" i="16"/>
  <c r="P220" i="16"/>
  <c r="Q220" i="16"/>
  <c r="M221" i="16"/>
  <c r="N221" i="16"/>
  <c r="P221" i="16"/>
  <c r="Q221" i="16"/>
  <c r="M222" i="16"/>
  <c r="N222" i="16"/>
  <c r="P222" i="16"/>
  <c r="Q222" i="16"/>
  <c r="M223" i="16"/>
  <c r="N223" i="16"/>
  <c r="P223" i="16"/>
  <c r="Q223" i="16"/>
  <c r="P224" i="16"/>
  <c r="Q224" i="16"/>
  <c r="Q29" i="16"/>
  <c r="N84" i="16"/>
  <c r="Q216" i="14"/>
  <c r="Q223" i="14"/>
  <c r="K228" i="14"/>
  <c r="M229" i="14"/>
  <c r="N229" i="14"/>
  <c r="P229" i="14"/>
  <c r="Q229" i="14"/>
  <c r="M230" i="14"/>
  <c r="N230" i="14"/>
  <c r="P230" i="14"/>
  <c r="Q230" i="14"/>
  <c r="M231" i="14"/>
  <c r="N231" i="14"/>
  <c r="P231" i="14"/>
  <c r="Q231" i="14"/>
  <c r="M232" i="14"/>
  <c r="N232" i="14"/>
  <c r="P232" i="14"/>
  <c r="Q232" i="14"/>
  <c r="M233" i="14"/>
  <c r="N233" i="14"/>
  <c r="P233" i="14"/>
  <c r="Q233" i="14"/>
  <c r="P234" i="14"/>
  <c r="Q234" i="14"/>
  <c r="M236" i="14"/>
  <c r="N236" i="14"/>
  <c r="P236" i="14"/>
  <c r="Q236" i="14"/>
  <c r="M237" i="14"/>
  <c r="N237" i="14"/>
  <c r="P237" i="14"/>
  <c r="Q237" i="14"/>
  <c r="M238" i="14"/>
  <c r="N238" i="14"/>
  <c r="P238" i="14"/>
  <c r="Q238" i="14"/>
  <c r="M239" i="14"/>
  <c r="N239" i="14"/>
  <c r="P239" i="14"/>
  <c r="Q239" i="14"/>
  <c r="M240" i="14"/>
  <c r="N240" i="14"/>
  <c r="P240" i="14"/>
  <c r="Q240" i="14"/>
  <c r="P241" i="14"/>
  <c r="Q241" i="14"/>
  <c r="M244" i="14"/>
  <c r="N244" i="14"/>
  <c r="P244" i="14"/>
  <c r="Q244" i="14"/>
  <c r="M245" i="14"/>
  <c r="N245" i="14"/>
  <c r="P245" i="14"/>
  <c r="Q245" i="14"/>
  <c r="M246" i="14"/>
  <c r="N246" i="14"/>
  <c r="P246" i="14"/>
  <c r="Q246" i="14"/>
  <c r="M247" i="14"/>
  <c r="N247" i="14"/>
  <c r="P247" i="14"/>
  <c r="Q247" i="14"/>
  <c r="M248" i="14"/>
  <c r="N248" i="14"/>
  <c r="P248" i="14"/>
  <c r="Q248" i="14"/>
  <c r="P249" i="14"/>
  <c r="Q249" i="14"/>
  <c r="M252" i="14"/>
  <c r="N252" i="14"/>
  <c r="P252" i="14"/>
  <c r="Q252" i="14"/>
  <c r="M253" i="14"/>
  <c r="N253" i="14"/>
  <c r="P253" i="14"/>
  <c r="Q253" i="14"/>
  <c r="M254" i="14"/>
  <c r="N254" i="14"/>
  <c r="P254" i="14"/>
  <c r="Q254" i="14"/>
  <c r="M255" i="14"/>
  <c r="N255" i="14"/>
  <c r="P255" i="14"/>
  <c r="Q255" i="14"/>
  <c r="M256" i="14"/>
  <c r="N256" i="14"/>
  <c r="P256" i="14"/>
  <c r="Q256" i="14"/>
  <c r="P257" i="14"/>
  <c r="Q257" i="14"/>
  <c r="M262" i="14"/>
  <c r="N262" i="14"/>
  <c r="P262" i="14"/>
  <c r="Q262" i="14"/>
  <c r="M263" i="14"/>
  <c r="N263" i="14"/>
  <c r="P263" i="14"/>
  <c r="Q263" i="14"/>
  <c r="M264" i="14"/>
  <c r="N264" i="14"/>
  <c r="P264" i="14"/>
  <c r="Q264" i="14"/>
  <c r="M265" i="14"/>
  <c r="N265" i="14"/>
  <c r="P265" i="14"/>
  <c r="Q265" i="14"/>
  <c r="M266" i="14"/>
  <c r="N266" i="14"/>
  <c r="P266" i="14"/>
  <c r="Q266" i="14"/>
  <c r="P267" i="14"/>
  <c r="Q267" i="14"/>
  <c r="Q33" i="14"/>
  <c r="N95" i="14"/>
  <c r="Q189" i="15"/>
  <c r="Q197" i="15"/>
  <c r="K203" i="15"/>
  <c r="M204" i="15"/>
  <c r="N204" i="15"/>
  <c r="P204" i="15"/>
  <c r="Q204" i="15"/>
  <c r="M205" i="15"/>
  <c r="N205" i="15"/>
  <c r="P205" i="15"/>
  <c r="Q205" i="15"/>
  <c r="M206" i="15"/>
  <c r="N206" i="15"/>
  <c r="P206" i="15"/>
  <c r="Q206" i="15"/>
  <c r="M207" i="15"/>
  <c r="N207" i="15"/>
  <c r="P207" i="15"/>
  <c r="Q207" i="15"/>
  <c r="M208" i="15"/>
  <c r="N208" i="15"/>
  <c r="P208" i="15"/>
  <c r="Q208" i="15"/>
  <c r="P209" i="15"/>
  <c r="Q209" i="15"/>
  <c r="M212" i="15"/>
  <c r="N212" i="15"/>
  <c r="P212" i="15"/>
  <c r="Q212" i="15"/>
  <c r="M213" i="15"/>
  <c r="N213" i="15"/>
  <c r="P213" i="15"/>
  <c r="Q213" i="15"/>
  <c r="M214" i="15"/>
  <c r="N214" i="15"/>
  <c r="P214" i="15"/>
  <c r="Q214" i="15"/>
  <c r="M215" i="15"/>
  <c r="N215" i="15"/>
  <c r="P215" i="15"/>
  <c r="Q215" i="15"/>
  <c r="M216" i="15"/>
  <c r="N216" i="15"/>
  <c r="P216" i="15"/>
  <c r="Q216" i="15"/>
  <c r="P217" i="15"/>
  <c r="Q217" i="15"/>
  <c r="M219" i="15"/>
  <c r="N219" i="15"/>
  <c r="P219" i="15"/>
  <c r="Q219" i="15"/>
  <c r="M220" i="15"/>
  <c r="N220" i="15"/>
  <c r="P220" i="15"/>
  <c r="Q220" i="15"/>
  <c r="M221" i="15"/>
  <c r="N221" i="15"/>
  <c r="P221" i="15"/>
  <c r="Q221" i="15"/>
  <c r="M222" i="15"/>
  <c r="N222" i="15"/>
  <c r="P222" i="15"/>
  <c r="Q222" i="15"/>
  <c r="M223" i="15"/>
  <c r="N223" i="15"/>
  <c r="P223" i="15"/>
  <c r="Q223" i="15"/>
  <c r="P224" i="15"/>
  <c r="Q224" i="15"/>
  <c r="M227" i="15"/>
  <c r="N227" i="15"/>
  <c r="P227" i="15"/>
  <c r="Q227" i="15"/>
  <c r="M228" i="15"/>
  <c r="N228" i="15"/>
  <c r="P228" i="15"/>
  <c r="Q228" i="15"/>
  <c r="M229" i="15"/>
  <c r="N229" i="15"/>
  <c r="P229" i="15"/>
  <c r="Q229" i="15"/>
  <c r="M230" i="15"/>
  <c r="N230" i="15"/>
  <c r="P230" i="15"/>
  <c r="Q230" i="15"/>
  <c r="M231" i="15"/>
  <c r="N231" i="15"/>
  <c r="P231" i="15"/>
  <c r="Q231" i="15"/>
  <c r="M234" i="15"/>
  <c r="N234" i="15"/>
  <c r="P234" i="15"/>
  <c r="Q234" i="15"/>
  <c r="M235" i="15"/>
  <c r="N235" i="15"/>
  <c r="P235" i="15"/>
  <c r="Q235" i="15"/>
  <c r="M236" i="15"/>
  <c r="N236" i="15"/>
  <c r="P236" i="15"/>
  <c r="Q236" i="15"/>
  <c r="M237" i="15"/>
  <c r="N237" i="15"/>
  <c r="P237" i="15"/>
  <c r="Q237" i="15"/>
  <c r="M238" i="15"/>
  <c r="N238" i="15"/>
  <c r="P238" i="15"/>
  <c r="Q238" i="15"/>
  <c r="P239" i="15"/>
  <c r="Q239" i="15"/>
  <c r="M246" i="15"/>
  <c r="N246" i="15"/>
  <c r="P246" i="15"/>
  <c r="Q246" i="15"/>
  <c r="M247" i="15"/>
  <c r="N247" i="15"/>
  <c r="P247" i="15"/>
  <c r="Q247" i="15"/>
  <c r="M248" i="15"/>
  <c r="N248" i="15"/>
  <c r="P248" i="15"/>
  <c r="Q248" i="15"/>
  <c r="M249" i="15"/>
  <c r="N249" i="15"/>
  <c r="P249" i="15"/>
  <c r="Q249" i="15"/>
  <c r="M250" i="15"/>
  <c r="N250" i="15"/>
  <c r="P250" i="15"/>
  <c r="Q250" i="15"/>
  <c r="P251" i="15"/>
  <c r="Q251" i="15"/>
  <c r="Q29" i="15"/>
  <c r="N92" i="15"/>
  <c r="L160" i="20"/>
  <c r="Q208" i="20"/>
  <c r="Q215" i="20"/>
  <c r="K230" i="20"/>
  <c r="M231" i="20"/>
  <c r="N231" i="20"/>
  <c r="P231" i="20"/>
  <c r="Q231" i="20"/>
  <c r="M232" i="20"/>
  <c r="N232" i="20"/>
  <c r="P232" i="20"/>
  <c r="Q232" i="20"/>
  <c r="M233" i="20"/>
  <c r="N233" i="20"/>
  <c r="P233" i="20"/>
  <c r="Q233" i="20"/>
  <c r="M234" i="20"/>
  <c r="N234" i="20"/>
  <c r="P234" i="20"/>
  <c r="Q234" i="20"/>
  <c r="M235" i="20"/>
  <c r="N235" i="20"/>
  <c r="P235" i="20"/>
  <c r="Q235" i="20"/>
  <c r="P236" i="20"/>
  <c r="Q236" i="20"/>
  <c r="M239" i="20"/>
  <c r="N239" i="20"/>
  <c r="P239" i="20"/>
  <c r="Q239" i="20"/>
  <c r="M240" i="20"/>
  <c r="N240" i="20"/>
  <c r="P240" i="20"/>
  <c r="Q240" i="20"/>
  <c r="M241" i="20"/>
  <c r="N241" i="20"/>
  <c r="P241" i="20"/>
  <c r="Q241" i="20"/>
  <c r="M242" i="20"/>
  <c r="N242" i="20"/>
  <c r="P242" i="20"/>
  <c r="Q242" i="20"/>
  <c r="M243" i="20"/>
  <c r="N243" i="20"/>
  <c r="P243" i="20"/>
  <c r="Q243" i="20"/>
  <c r="P244" i="20"/>
  <c r="Q244" i="20"/>
  <c r="M246" i="20"/>
  <c r="N246" i="20"/>
  <c r="P246" i="20"/>
  <c r="Q246" i="20"/>
  <c r="M247" i="20"/>
  <c r="N247" i="20"/>
  <c r="P247" i="20"/>
  <c r="Q247" i="20"/>
  <c r="M248" i="20"/>
  <c r="N248" i="20"/>
  <c r="P248" i="20"/>
  <c r="Q248" i="20"/>
  <c r="M249" i="20"/>
  <c r="N249" i="20"/>
  <c r="P249" i="20"/>
  <c r="Q249" i="20"/>
  <c r="M250" i="20"/>
  <c r="N250" i="20"/>
  <c r="P250" i="20"/>
  <c r="Q250" i="20"/>
  <c r="P251" i="20"/>
  <c r="Q251" i="20"/>
  <c r="M254" i="20"/>
  <c r="N254" i="20"/>
  <c r="P254" i="20"/>
  <c r="Q254" i="20"/>
  <c r="M255" i="20"/>
  <c r="N255" i="20"/>
  <c r="P255" i="20"/>
  <c r="Q255" i="20"/>
  <c r="M256" i="20"/>
  <c r="N256" i="20"/>
  <c r="P256" i="20"/>
  <c r="Q256" i="20"/>
  <c r="M257" i="20"/>
  <c r="N257" i="20"/>
  <c r="P257" i="20"/>
  <c r="Q257" i="20"/>
  <c r="M258" i="20"/>
  <c r="N258" i="20"/>
  <c r="P258" i="20"/>
  <c r="Q258" i="20"/>
  <c r="M263" i="20"/>
  <c r="N263" i="20"/>
  <c r="P263" i="20"/>
  <c r="Q263" i="20"/>
  <c r="M264" i="20"/>
  <c r="N264" i="20"/>
  <c r="P264" i="20"/>
  <c r="Q264" i="20"/>
  <c r="M265" i="20"/>
  <c r="N265" i="20"/>
  <c r="P265" i="20"/>
  <c r="Q265" i="20"/>
  <c r="M266" i="20"/>
  <c r="N266" i="20"/>
  <c r="P266" i="20"/>
  <c r="Q266" i="20"/>
  <c r="M267" i="20"/>
  <c r="N267" i="20"/>
  <c r="P267" i="20"/>
  <c r="Q267" i="20"/>
  <c r="P268" i="20"/>
  <c r="Q268" i="20"/>
  <c r="Q34" i="20"/>
  <c r="N98" i="20"/>
  <c r="R102" i="20"/>
  <c r="R103" i="20"/>
  <c r="R104" i="20"/>
  <c r="R105" i="20"/>
  <c r="R106" i="20"/>
  <c r="K273" i="13"/>
  <c r="M273" i="13"/>
  <c r="N273" i="13"/>
  <c r="P273" i="13"/>
  <c r="Q273" i="13"/>
  <c r="K274" i="13"/>
  <c r="M274" i="13"/>
  <c r="N274" i="13"/>
  <c r="P274" i="13"/>
  <c r="Q274" i="13"/>
  <c r="K275" i="13"/>
  <c r="M275" i="13"/>
  <c r="N275" i="13"/>
  <c r="P275" i="13"/>
  <c r="Q275" i="13"/>
  <c r="K276" i="13"/>
  <c r="M276" i="13"/>
  <c r="N276" i="13"/>
  <c r="P276" i="13"/>
  <c r="Q276" i="13"/>
  <c r="M277" i="13"/>
  <c r="N277" i="13"/>
  <c r="P277" i="13"/>
  <c r="Q277" i="13"/>
  <c r="P278" i="13"/>
  <c r="Q278" i="13"/>
  <c r="Q208" i="13"/>
  <c r="Q215" i="13"/>
  <c r="K230" i="13"/>
  <c r="M231" i="13"/>
  <c r="N231" i="13"/>
  <c r="P231" i="13"/>
  <c r="Q231" i="13"/>
  <c r="M232" i="13"/>
  <c r="N232" i="13"/>
  <c r="P232" i="13"/>
  <c r="Q232" i="13"/>
  <c r="M233" i="13"/>
  <c r="N233" i="13"/>
  <c r="P233" i="13"/>
  <c r="Q233" i="13"/>
  <c r="M234" i="13"/>
  <c r="N234" i="13"/>
  <c r="P234" i="13"/>
  <c r="Q234" i="13"/>
  <c r="M235" i="13"/>
  <c r="N235" i="13"/>
  <c r="P235" i="13"/>
  <c r="Q235" i="13"/>
  <c r="P236" i="13"/>
  <c r="Q236" i="13"/>
  <c r="M239" i="13"/>
  <c r="N239" i="13"/>
  <c r="P239" i="13"/>
  <c r="Q239" i="13"/>
  <c r="M240" i="13"/>
  <c r="N240" i="13"/>
  <c r="P240" i="13"/>
  <c r="Q240" i="13"/>
  <c r="M241" i="13"/>
  <c r="N241" i="13"/>
  <c r="P241" i="13"/>
  <c r="Q241" i="13"/>
  <c r="M242" i="13"/>
  <c r="N242" i="13"/>
  <c r="P242" i="13"/>
  <c r="Q242" i="13"/>
  <c r="M243" i="13"/>
  <c r="N243" i="13"/>
  <c r="P243" i="13"/>
  <c r="Q243" i="13"/>
  <c r="P244" i="13"/>
  <c r="Q244" i="13"/>
  <c r="M246" i="13"/>
  <c r="N246" i="13"/>
  <c r="P246" i="13"/>
  <c r="Q246" i="13"/>
  <c r="M247" i="13"/>
  <c r="N247" i="13"/>
  <c r="P247" i="13"/>
  <c r="Q247" i="13"/>
  <c r="M248" i="13"/>
  <c r="N248" i="13"/>
  <c r="P248" i="13"/>
  <c r="Q248" i="13"/>
  <c r="M249" i="13"/>
  <c r="N249" i="13"/>
  <c r="P249" i="13"/>
  <c r="Q249" i="13"/>
  <c r="M250" i="13"/>
  <c r="N250" i="13"/>
  <c r="P250" i="13"/>
  <c r="Q250" i="13"/>
  <c r="P251" i="13"/>
  <c r="Q251" i="13"/>
  <c r="M254" i="13"/>
  <c r="N254" i="13"/>
  <c r="P254" i="13"/>
  <c r="Q254" i="13"/>
  <c r="M255" i="13"/>
  <c r="N255" i="13"/>
  <c r="P255" i="13"/>
  <c r="Q255" i="13"/>
  <c r="M256" i="13"/>
  <c r="N256" i="13"/>
  <c r="P256" i="13"/>
  <c r="Q256" i="13"/>
  <c r="M257" i="13"/>
  <c r="N257" i="13"/>
  <c r="P257" i="13"/>
  <c r="Q257" i="13"/>
  <c r="M258" i="13"/>
  <c r="N258" i="13"/>
  <c r="P258" i="13"/>
  <c r="Q258" i="13"/>
  <c r="P259" i="13"/>
  <c r="Q259" i="13"/>
  <c r="M263" i="13"/>
  <c r="N263" i="13"/>
  <c r="P263" i="13"/>
  <c r="Q263" i="13"/>
  <c r="M264" i="13"/>
  <c r="N264" i="13"/>
  <c r="P264" i="13"/>
  <c r="Q264" i="13"/>
  <c r="M265" i="13"/>
  <c r="N265" i="13"/>
  <c r="P265" i="13"/>
  <c r="Q265" i="13"/>
  <c r="M266" i="13"/>
  <c r="N266" i="13"/>
  <c r="P266" i="13"/>
  <c r="Q266" i="13"/>
  <c r="M267" i="13"/>
  <c r="N267" i="13"/>
  <c r="P267" i="13"/>
  <c r="Q267" i="13"/>
  <c r="P268" i="13"/>
  <c r="Q268" i="13"/>
  <c r="Q34" i="13"/>
  <c r="N98" i="13"/>
  <c r="R102" i="13"/>
  <c r="R103" i="13"/>
  <c r="R104" i="13"/>
  <c r="R105" i="13"/>
  <c r="R106" i="13"/>
  <c r="M276" i="4"/>
  <c r="N276" i="4"/>
  <c r="P276" i="4"/>
  <c r="Q276" i="4"/>
  <c r="M277" i="4"/>
  <c r="N277" i="4"/>
  <c r="P277" i="4"/>
  <c r="Q277" i="4"/>
  <c r="M278" i="4"/>
  <c r="N278" i="4"/>
  <c r="P278" i="4"/>
  <c r="Q278" i="4"/>
  <c r="M279" i="4"/>
  <c r="N279" i="4"/>
  <c r="P279" i="4"/>
  <c r="Q279" i="4"/>
  <c r="M280" i="4"/>
  <c r="N280" i="4"/>
  <c r="P280" i="4"/>
  <c r="Q280" i="4"/>
  <c r="P281" i="4"/>
  <c r="Q281" i="4"/>
  <c r="M285" i="4"/>
  <c r="N285" i="4"/>
  <c r="P285" i="4"/>
  <c r="Q285" i="4"/>
  <c r="M286" i="4"/>
  <c r="N286" i="4"/>
  <c r="P286" i="4"/>
  <c r="Q286" i="4"/>
  <c r="M287" i="4"/>
  <c r="N287" i="4"/>
  <c r="P287" i="4"/>
  <c r="Q287" i="4"/>
  <c r="M288" i="4"/>
  <c r="N288" i="4"/>
  <c r="P288" i="4"/>
  <c r="Q288" i="4"/>
  <c r="M289" i="4"/>
  <c r="N289" i="4"/>
  <c r="P289" i="4"/>
  <c r="Q289" i="4"/>
  <c r="P290" i="4"/>
  <c r="Q290" i="4"/>
  <c r="Q203" i="4"/>
  <c r="Q211" i="4"/>
  <c r="K226" i="4"/>
  <c r="M227" i="4"/>
  <c r="N227" i="4"/>
  <c r="P227" i="4"/>
  <c r="Q227" i="4"/>
  <c r="M228" i="4"/>
  <c r="N228" i="4"/>
  <c r="P228" i="4"/>
  <c r="Q228" i="4"/>
  <c r="M229" i="4"/>
  <c r="N229" i="4"/>
  <c r="P229" i="4"/>
  <c r="Q229" i="4"/>
  <c r="M230" i="4"/>
  <c r="N230" i="4"/>
  <c r="P230" i="4"/>
  <c r="Q230" i="4"/>
  <c r="M231" i="4"/>
  <c r="N231" i="4"/>
  <c r="P231" i="4"/>
  <c r="Q231" i="4"/>
  <c r="P232" i="4"/>
  <c r="Q232" i="4"/>
  <c r="M235" i="4"/>
  <c r="N235" i="4"/>
  <c r="P235" i="4"/>
  <c r="Q235" i="4"/>
  <c r="M236" i="4"/>
  <c r="N236" i="4"/>
  <c r="P236" i="4"/>
  <c r="Q236" i="4"/>
  <c r="M237" i="4"/>
  <c r="N237" i="4"/>
  <c r="P237" i="4"/>
  <c r="Q237" i="4"/>
  <c r="M238" i="4"/>
  <c r="N238" i="4"/>
  <c r="P238" i="4"/>
  <c r="Q238" i="4"/>
  <c r="M239" i="4"/>
  <c r="N239" i="4"/>
  <c r="P239" i="4"/>
  <c r="Q239" i="4"/>
  <c r="P240" i="4"/>
  <c r="Q240" i="4"/>
  <c r="M242" i="4"/>
  <c r="N242" i="4"/>
  <c r="P242" i="4"/>
  <c r="Q242" i="4"/>
  <c r="M243" i="4"/>
  <c r="N243" i="4"/>
  <c r="P243" i="4"/>
  <c r="Q243" i="4"/>
  <c r="M244" i="4"/>
  <c r="N244" i="4"/>
  <c r="P244" i="4"/>
  <c r="Q244" i="4"/>
  <c r="M245" i="4"/>
  <c r="N245" i="4"/>
  <c r="P245" i="4"/>
  <c r="Q245" i="4"/>
  <c r="M246" i="4"/>
  <c r="N246" i="4"/>
  <c r="P246" i="4"/>
  <c r="Q246" i="4"/>
  <c r="P247" i="4"/>
  <c r="Q247" i="4"/>
  <c r="M250" i="4"/>
  <c r="N250" i="4"/>
  <c r="P250" i="4"/>
  <c r="Q250" i="4"/>
  <c r="M251" i="4"/>
  <c r="N251" i="4"/>
  <c r="P251" i="4"/>
  <c r="Q251" i="4"/>
  <c r="M252" i="4"/>
  <c r="N252" i="4"/>
  <c r="P252" i="4"/>
  <c r="Q252" i="4"/>
  <c r="M253" i="4"/>
  <c r="N253" i="4"/>
  <c r="P253" i="4"/>
  <c r="Q253" i="4"/>
  <c r="M254" i="4"/>
  <c r="N254" i="4"/>
  <c r="P254" i="4"/>
  <c r="Q254" i="4"/>
  <c r="P255" i="4"/>
  <c r="Q255" i="4"/>
  <c r="M258" i="4"/>
  <c r="N258" i="4"/>
  <c r="P258" i="4"/>
  <c r="Q258" i="4"/>
  <c r="M259" i="4"/>
  <c r="N259" i="4"/>
  <c r="P259" i="4"/>
  <c r="Q259" i="4"/>
  <c r="M260" i="4"/>
  <c r="N260" i="4"/>
  <c r="P260" i="4"/>
  <c r="Q260" i="4"/>
  <c r="M261" i="4"/>
  <c r="N261" i="4"/>
  <c r="P261" i="4"/>
  <c r="Q261" i="4"/>
  <c r="M262" i="4"/>
  <c r="N262" i="4"/>
  <c r="P262" i="4"/>
  <c r="Q262" i="4"/>
  <c r="P263" i="4"/>
  <c r="Q263" i="4"/>
  <c r="M265" i="4"/>
  <c r="N265" i="4"/>
  <c r="P265" i="4"/>
  <c r="Q265" i="4"/>
  <c r="M266" i="4"/>
  <c r="N266" i="4"/>
  <c r="P266" i="4"/>
  <c r="Q266" i="4"/>
  <c r="M267" i="4"/>
  <c r="N267" i="4"/>
  <c r="P267" i="4"/>
  <c r="Q267" i="4"/>
  <c r="M268" i="4"/>
  <c r="N268" i="4"/>
  <c r="P268" i="4"/>
  <c r="Q268" i="4"/>
  <c r="M269" i="4"/>
  <c r="N269" i="4"/>
  <c r="P269" i="4"/>
  <c r="Q269" i="4"/>
  <c r="P270" i="4"/>
  <c r="Q270" i="4"/>
  <c r="S9" i="4"/>
  <c r="Q29" i="4"/>
  <c r="N94" i="4"/>
  <c r="E3" i="7"/>
  <c r="E5" i="7"/>
  <c r="E6" i="7"/>
  <c r="E8" i="7"/>
  <c r="E9" i="7"/>
  <c r="E10" i="7"/>
  <c r="E12" i="7"/>
  <c r="E13" i="7"/>
  <c r="E14" i="7"/>
  <c r="E15" i="7"/>
  <c r="E16" i="7"/>
  <c r="E17" i="7"/>
  <c r="E18" i="7"/>
  <c r="E19" i="7"/>
  <c r="C2" i="18"/>
  <c r="I19" i="6"/>
  <c r="I18" i="6"/>
  <c r="B233" i="15"/>
  <c r="B254" i="15"/>
  <c r="D130" i="14"/>
  <c r="D202" i="13"/>
  <c r="D209" i="13"/>
  <c r="D16" i="14"/>
  <c r="D137" i="14"/>
  <c r="E87" i="16"/>
  <c r="D155" i="4"/>
  <c r="D243" i="14"/>
  <c r="D11" i="9"/>
  <c r="K251" i="22"/>
  <c r="D250" i="22"/>
  <c r="K209" i="16"/>
  <c r="K245" i="15"/>
  <c r="B43" i="3"/>
  <c r="B56" i="3"/>
  <c r="C252" i="20"/>
  <c r="K262" i="20"/>
  <c r="D234" i="4"/>
  <c r="K262" i="13"/>
  <c r="K275" i="4"/>
  <c r="D3" i="7"/>
  <c r="G168" i="23"/>
  <c r="G166" i="22"/>
  <c r="B272" i="13"/>
  <c r="C252" i="13"/>
  <c r="G175" i="20"/>
  <c r="I3" i="6"/>
  <c r="I22" i="6"/>
  <c r="I21" i="6"/>
  <c r="I20" i="6"/>
  <c r="I15" i="6"/>
  <c r="I2" i="6"/>
  <c r="C23" i="6"/>
  <c r="B23" i="6"/>
  <c r="C3" i="6"/>
  <c r="B3" i="6"/>
  <c r="C2" i="6"/>
  <c r="B284" i="4"/>
  <c r="G174" i="13"/>
  <c r="G144" i="16"/>
  <c r="D18" i="19"/>
  <c r="D17" i="19"/>
  <c r="D14" i="19"/>
  <c r="D12" i="19"/>
  <c r="D6" i="19"/>
  <c r="D2" i="19"/>
  <c r="B22" i="19"/>
  <c r="B21" i="19"/>
  <c r="C20" i="19"/>
  <c r="B20" i="19"/>
  <c r="I19" i="19"/>
  <c r="C19" i="19"/>
  <c r="B19" i="19"/>
  <c r="I18" i="19"/>
  <c r="B18" i="19"/>
  <c r="I17" i="19"/>
  <c r="C17" i="19"/>
  <c r="B17" i="19"/>
  <c r="I16" i="19"/>
  <c r="C16" i="19"/>
  <c r="B16" i="19"/>
  <c r="C15" i="19"/>
  <c r="B15" i="19"/>
  <c r="I14" i="19"/>
  <c r="C14" i="19"/>
  <c r="B14" i="19"/>
  <c r="I13" i="19"/>
  <c r="C13" i="19"/>
  <c r="B13" i="19"/>
  <c r="I12" i="19"/>
  <c r="C12" i="19"/>
  <c r="B12" i="19"/>
  <c r="G11" i="19"/>
  <c r="F11" i="19"/>
  <c r="D11" i="19"/>
  <c r="H11" i="19" s="1"/>
  <c r="I10" i="19"/>
  <c r="C10" i="19"/>
  <c r="B10" i="19"/>
  <c r="I8" i="19"/>
  <c r="C8" i="19"/>
  <c r="B8" i="19"/>
  <c r="I7" i="19"/>
  <c r="C7" i="19"/>
  <c r="B7" i="19"/>
  <c r="C6" i="19"/>
  <c r="B6" i="19"/>
  <c r="I5" i="19"/>
  <c r="C5" i="19"/>
  <c r="B5" i="19"/>
  <c r="I4" i="19"/>
  <c r="C4" i="19"/>
  <c r="B4" i="19"/>
  <c r="I3" i="19"/>
  <c r="C3" i="19"/>
  <c r="B3" i="19"/>
  <c r="I2" i="19"/>
  <c r="C2" i="19"/>
  <c r="B2" i="19"/>
  <c r="B22" i="18"/>
  <c r="B21" i="18"/>
  <c r="C20" i="18"/>
  <c r="B20" i="18"/>
  <c r="I19" i="18"/>
  <c r="C19" i="18"/>
  <c r="B19" i="18"/>
  <c r="I18" i="18"/>
  <c r="B18" i="18"/>
  <c r="I17" i="18"/>
  <c r="C17" i="18"/>
  <c r="B17" i="18"/>
  <c r="I16" i="18"/>
  <c r="C16" i="18"/>
  <c r="B16" i="18"/>
  <c r="C15" i="18"/>
  <c r="B15" i="18"/>
  <c r="I14" i="18"/>
  <c r="C14" i="18"/>
  <c r="B14" i="18"/>
  <c r="I13" i="18"/>
  <c r="C13" i="18"/>
  <c r="B13" i="18"/>
  <c r="I12" i="18"/>
  <c r="C12" i="18"/>
  <c r="B12" i="18"/>
  <c r="I10" i="18"/>
  <c r="C10" i="18"/>
  <c r="B10" i="18"/>
  <c r="I8" i="18"/>
  <c r="C8" i="18"/>
  <c r="B8" i="18"/>
  <c r="I7" i="18"/>
  <c r="C7" i="18"/>
  <c r="B7" i="18"/>
  <c r="I5" i="18"/>
  <c r="C5" i="18"/>
  <c r="B5" i="18"/>
  <c r="I4" i="18"/>
  <c r="C4" i="18"/>
  <c r="B4" i="18"/>
  <c r="I3" i="18"/>
  <c r="C3" i="18"/>
  <c r="B3" i="18"/>
  <c r="I2" i="18"/>
  <c r="B2" i="18"/>
  <c r="D11" i="17"/>
  <c r="B22" i="17"/>
  <c r="B21" i="17"/>
  <c r="C20" i="17"/>
  <c r="B20" i="17"/>
  <c r="I19" i="17"/>
  <c r="C19" i="17"/>
  <c r="B19" i="17"/>
  <c r="I18" i="17"/>
  <c r="B18" i="17"/>
  <c r="I17" i="17"/>
  <c r="C17" i="17"/>
  <c r="B17" i="17"/>
  <c r="I16" i="17"/>
  <c r="C16" i="17"/>
  <c r="B16" i="17"/>
  <c r="C15" i="17"/>
  <c r="B15" i="17"/>
  <c r="I14" i="17"/>
  <c r="C14" i="17"/>
  <c r="B14" i="17"/>
  <c r="I13" i="17"/>
  <c r="C13" i="17"/>
  <c r="B13" i="17"/>
  <c r="I12" i="17"/>
  <c r="C12" i="17"/>
  <c r="B12" i="17"/>
  <c r="G11" i="17"/>
  <c r="F11" i="17"/>
  <c r="M144" i="16" s="1"/>
  <c r="H11" i="17"/>
  <c r="I144" i="16" s="1"/>
  <c r="I10" i="17"/>
  <c r="C10" i="17"/>
  <c r="B10" i="17"/>
  <c r="I8" i="17"/>
  <c r="C8" i="17"/>
  <c r="B8" i="17"/>
  <c r="I7" i="17"/>
  <c r="C7" i="17"/>
  <c r="B7" i="17"/>
  <c r="I5" i="17"/>
  <c r="C5" i="17"/>
  <c r="B5" i="17"/>
  <c r="I4" i="17"/>
  <c r="C4" i="17"/>
  <c r="B4" i="17"/>
  <c r="I3" i="17"/>
  <c r="C3" i="17"/>
  <c r="B3" i="17"/>
  <c r="I2" i="17"/>
  <c r="C2" i="17"/>
  <c r="B2" i="17"/>
  <c r="M41" i="3"/>
  <c r="M43" i="3"/>
  <c r="M56" i="3"/>
  <c r="M80" i="3"/>
  <c r="M82" i="3"/>
  <c r="M4" i="3"/>
  <c r="K56" i="3"/>
  <c r="K43" i="3"/>
  <c r="K41" i="3"/>
  <c r="K18" i="3"/>
  <c r="K17" i="3" s="1"/>
  <c r="G163" i="15"/>
  <c r="D264" i="4"/>
  <c r="D257" i="4"/>
  <c r="D226" i="4"/>
  <c r="D275" i="4"/>
  <c r="D284" i="4"/>
  <c r="G181" i="14"/>
  <c r="G11" i="9"/>
  <c r="F11" i="9"/>
  <c r="G166" i="4"/>
  <c r="N72" i="8"/>
  <c r="K84" i="8"/>
  <c r="K117" i="8"/>
  <c r="K118" i="8"/>
  <c r="K119" i="8"/>
  <c r="K120" i="8"/>
  <c r="K121" i="8"/>
  <c r="K116" i="8"/>
  <c r="H17" i="12"/>
  <c r="G26" i="12"/>
  <c r="I26" i="12" s="1"/>
  <c r="F25" i="12"/>
  <c r="G25" i="12" s="1"/>
  <c r="I25" i="12" s="1"/>
  <c r="F24" i="12"/>
  <c r="G24" i="12" s="1"/>
  <c r="I24" i="12" s="1"/>
  <c r="F23" i="12"/>
  <c r="G23" i="12" s="1"/>
  <c r="I23" i="12" s="1"/>
  <c r="H16" i="12"/>
  <c r="H38" i="12"/>
  <c r="H37" i="12"/>
  <c r="F6" i="12"/>
  <c r="F5" i="12"/>
  <c r="F4" i="12"/>
  <c r="G4" i="12" s="1"/>
  <c r="I4" i="12" s="1"/>
  <c r="D4" i="11" s="1"/>
  <c r="K46" i="11"/>
  <c r="G5" i="12"/>
  <c r="I5" i="12" s="1"/>
  <c r="D5" i="11" s="1"/>
  <c r="G6" i="12"/>
  <c r="I6" i="12" s="1"/>
  <c r="D6" i="11" s="1"/>
  <c r="G7" i="12"/>
  <c r="I7" i="12" s="1"/>
  <c r="D7" i="11" s="1"/>
  <c r="B43" i="12"/>
  <c r="B36" i="12"/>
  <c r="C15" i="12"/>
  <c r="B15" i="12"/>
  <c r="K47" i="11"/>
  <c r="K48" i="11"/>
  <c r="K49" i="11"/>
  <c r="K50" i="11"/>
  <c r="K51" i="11"/>
  <c r="K40" i="11"/>
  <c r="K41" i="11"/>
  <c r="K42" i="11"/>
  <c r="K43" i="11"/>
  <c r="K44" i="11"/>
  <c r="K39" i="11"/>
  <c r="J45" i="11"/>
  <c r="G45" i="11"/>
  <c r="J53" i="11"/>
  <c r="J38" i="11"/>
  <c r="J31" i="11"/>
  <c r="J24" i="11"/>
  <c r="J17" i="11"/>
  <c r="J10" i="11"/>
  <c r="J3" i="11"/>
  <c r="G38" i="11"/>
  <c r="G31" i="11"/>
  <c r="G24" i="11"/>
  <c r="G17" i="11"/>
  <c r="G10" i="11"/>
  <c r="G3" i="11"/>
  <c r="Q71" i="8"/>
  <c r="Q53" i="8"/>
  <c r="Q46" i="8"/>
  <c r="Q24" i="8"/>
  <c r="Q17" i="8"/>
  <c r="Q10" i="8"/>
  <c r="N11" i="8"/>
  <c r="L77" i="8"/>
  <c r="B27" i="3"/>
  <c r="L59" i="8"/>
  <c r="B20" i="9"/>
  <c r="B19" i="9"/>
  <c r="B22" i="9"/>
  <c r="B21" i="9"/>
  <c r="C20" i="9"/>
  <c r="C19" i="9"/>
  <c r="C20" i="6"/>
  <c r="C19" i="6"/>
  <c r="B22" i="6"/>
  <c r="B21" i="6"/>
  <c r="B20" i="6"/>
  <c r="B19" i="6"/>
  <c r="H101" i="3"/>
  <c r="F82" i="3"/>
  <c r="K82" i="3" s="1"/>
  <c r="H17" i="3"/>
  <c r="H40" i="3"/>
  <c r="I40" i="3"/>
  <c r="H42" i="3"/>
  <c r="I42" i="3"/>
  <c r="H55" i="3"/>
  <c r="I55" i="3"/>
  <c r="H79" i="3"/>
  <c r="I79" i="3"/>
  <c r="J4" i="3"/>
  <c r="D2" i="9" s="1"/>
  <c r="I18" i="3"/>
  <c r="F80" i="3"/>
  <c r="K80" i="3" s="1"/>
  <c r="D47" i="8"/>
  <c r="I19" i="9"/>
  <c r="I18" i="9"/>
  <c r="B18" i="9"/>
  <c r="I17" i="9"/>
  <c r="C17" i="9"/>
  <c r="B17" i="9"/>
  <c r="I16" i="9"/>
  <c r="C16" i="9"/>
  <c r="C15" i="9" s="1"/>
  <c r="B16" i="9"/>
  <c r="B15" i="9" s="1"/>
  <c r="I14" i="9"/>
  <c r="C14" i="9"/>
  <c r="B14" i="9"/>
  <c r="I13" i="9"/>
  <c r="C13" i="9"/>
  <c r="B13" i="9"/>
  <c r="I12" i="9"/>
  <c r="C12" i="9"/>
  <c r="B12" i="9"/>
  <c r="I10" i="9"/>
  <c r="C10" i="9"/>
  <c r="B10" i="9"/>
  <c r="I8" i="9"/>
  <c r="C8" i="9"/>
  <c r="B8" i="9"/>
  <c r="I7" i="9"/>
  <c r="C7" i="9"/>
  <c r="B7" i="9"/>
  <c r="I5" i="9"/>
  <c r="C5" i="9"/>
  <c r="B5" i="9"/>
  <c r="I4" i="9"/>
  <c r="C4" i="9"/>
  <c r="B4" i="9"/>
  <c r="I3" i="9"/>
  <c r="C3" i="9"/>
  <c r="B3" i="9"/>
  <c r="I2" i="9"/>
  <c r="C2" i="9"/>
  <c r="B2" i="9"/>
  <c r="I14" i="6"/>
  <c r="I12" i="6"/>
  <c r="B8" i="6"/>
  <c r="G9" i="5"/>
  <c r="E9" i="5"/>
  <c r="H9" i="5" s="1"/>
  <c r="D9" i="5"/>
  <c r="C9" i="5"/>
  <c r="B9" i="5"/>
  <c r="I9" i="5" s="1"/>
  <c r="J9" i="5" s="1"/>
  <c r="B5" i="6"/>
  <c r="B7" i="6"/>
  <c r="B10" i="6"/>
  <c r="B12" i="6"/>
  <c r="B13" i="6"/>
  <c r="B14" i="6"/>
  <c r="B16" i="6"/>
  <c r="B15" i="6" s="1"/>
  <c r="B17" i="6"/>
  <c r="B18" i="6"/>
  <c r="B2" i="6"/>
  <c r="D6" i="5"/>
  <c r="G3" i="5"/>
  <c r="E4" i="5"/>
  <c r="H20" i="5"/>
  <c r="B3" i="5"/>
  <c r="B6" i="5"/>
  <c r="C7" i="5"/>
  <c r="I16" i="6"/>
  <c r="I17" i="6"/>
  <c r="G7" i="5"/>
  <c r="D16" i="5"/>
  <c r="B5" i="5"/>
  <c r="G5" i="5"/>
  <c r="E5" i="5"/>
  <c r="H5" i="5" s="1"/>
  <c r="G4" i="5"/>
  <c r="B4" i="5"/>
  <c r="G17" i="5"/>
  <c r="H17" i="5"/>
  <c r="G18" i="5"/>
  <c r="G10" i="5"/>
  <c r="B17" i="5"/>
  <c r="I17" i="5" s="1"/>
  <c r="J17" i="5" s="1"/>
  <c r="J17" i="9" s="1"/>
  <c r="I5" i="6"/>
  <c r="B10" i="5"/>
  <c r="D7" i="5"/>
  <c r="B7" i="5" s="1"/>
  <c r="C18" i="5"/>
  <c r="B18" i="5" s="1"/>
  <c r="D4" i="7"/>
  <c r="D8" i="5"/>
  <c r="D44" i="1"/>
  <c r="F4" i="7"/>
  <c r="C5" i="6"/>
  <c r="C7" i="6"/>
  <c r="C8" i="6"/>
  <c r="C10" i="6"/>
  <c r="C12" i="6"/>
  <c r="C13" i="6"/>
  <c r="C14" i="6"/>
  <c r="C16" i="6"/>
  <c r="C15" i="6" s="1"/>
  <c r="C17" i="6"/>
  <c r="B7" i="7"/>
  <c r="D11" i="7"/>
  <c r="D7" i="7"/>
  <c r="F7" i="7" s="1"/>
  <c r="D8" i="7"/>
  <c r="F8" i="7" s="1"/>
  <c r="D9" i="7"/>
  <c r="F9" i="7" s="1"/>
  <c r="D10" i="7"/>
  <c r="F10" i="7" s="1"/>
  <c r="D12" i="7"/>
  <c r="F12" i="7" s="1"/>
  <c r="D13" i="7"/>
  <c r="F13" i="7" s="1"/>
  <c r="D14" i="7"/>
  <c r="F14" i="7" s="1"/>
  <c r="D16" i="7"/>
  <c r="F16" i="7" s="1"/>
  <c r="D19" i="7"/>
  <c r="F19" i="7" s="1"/>
  <c r="F3" i="7"/>
  <c r="B15" i="7"/>
  <c r="D15" i="7" s="1"/>
  <c r="F15" i="7" s="1"/>
  <c r="D5" i="7"/>
  <c r="F5" i="7" s="1"/>
  <c r="D6" i="7"/>
  <c r="F6" i="7" s="1"/>
  <c r="E18" i="5"/>
  <c r="H18" i="5"/>
  <c r="E16" i="5"/>
  <c r="H16" i="5" s="1"/>
  <c r="E7" i="5"/>
  <c r="E6" i="5"/>
  <c r="H6" i="5" s="1"/>
  <c r="I6" i="5" s="1"/>
  <c r="E10" i="5"/>
  <c r="H11" i="5"/>
  <c r="G11" i="5"/>
  <c r="H10" i="5"/>
  <c r="H4" i="5"/>
  <c r="H7" i="5"/>
  <c r="H8" i="5"/>
  <c r="H12" i="5"/>
  <c r="H13" i="5"/>
  <c r="H14" i="5"/>
  <c r="H15" i="5"/>
  <c r="H19" i="5"/>
  <c r="E3" i="5"/>
  <c r="H3" i="5" s="1"/>
  <c r="G6" i="5"/>
  <c r="G20" i="5"/>
  <c r="G19" i="5"/>
  <c r="G16" i="5"/>
  <c r="G15" i="5"/>
  <c r="G14" i="5"/>
  <c r="G13" i="5"/>
  <c r="G12" i="5"/>
  <c r="G8" i="5"/>
  <c r="I13" i="6"/>
  <c r="I10" i="6"/>
  <c r="I8" i="6"/>
  <c r="I7" i="6"/>
  <c r="I4" i="6"/>
  <c r="I10" i="5"/>
  <c r="J10" i="5" s="1"/>
  <c r="B12" i="5"/>
  <c r="I12" i="5" s="1"/>
  <c r="J12" i="5" s="1"/>
  <c r="B13" i="5"/>
  <c r="I13" i="5" s="1"/>
  <c r="J13" i="5" s="1"/>
  <c r="B14" i="5"/>
  <c r="I14" i="5" s="1"/>
  <c r="J14" i="5" s="1"/>
  <c r="B15" i="5"/>
  <c r="I15" i="5" s="1"/>
  <c r="J15" i="5" s="1"/>
  <c r="B19" i="5"/>
  <c r="I19" i="5" s="1"/>
  <c r="J19" i="5" s="1"/>
  <c r="B20" i="5"/>
  <c r="I20" i="5" s="1"/>
  <c r="J20" i="5" s="1"/>
  <c r="C8" i="5"/>
  <c r="C16" i="5"/>
  <c r="C11" i="5"/>
  <c r="B11" i="5" s="1"/>
  <c r="I11" i="5" s="1"/>
  <c r="J11" i="5" s="1"/>
  <c r="E71" i="1"/>
  <c r="E58" i="1"/>
  <c r="E45" i="1"/>
  <c r="E43" i="1"/>
  <c r="E20" i="1"/>
  <c r="C28" i="3"/>
  <c r="D28" i="3"/>
  <c r="E30" i="1"/>
  <c r="G24" i="1"/>
  <c r="G25" i="1"/>
  <c r="D4" i="3"/>
  <c r="N5" i="1"/>
  <c r="C85" i="3"/>
  <c r="D85" i="3" s="1"/>
  <c r="C86" i="3"/>
  <c r="C87" i="3"/>
  <c r="C88" i="3"/>
  <c r="C89" i="3"/>
  <c r="C90" i="3"/>
  <c r="C91" i="3"/>
  <c r="C84" i="3"/>
  <c r="C103" i="3"/>
  <c r="D103" i="3" s="1"/>
  <c r="C104" i="3"/>
  <c r="D104" i="3" s="1"/>
  <c r="C105" i="3"/>
  <c r="D105" i="3" s="1"/>
  <c r="C106" i="3"/>
  <c r="D106" i="3" s="1"/>
  <c r="C107" i="3"/>
  <c r="D107" i="3" s="1"/>
  <c r="C108" i="3"/>
  <c r="D108" i="3" s="1"/>
  <c r="C109" i="3"/>
  <c r="D109" i="3" s="1"/>
  <c r="C102" i="3"/>
  <c r="D102" i="3" s="1"/>
  <c r="E206" i="22"/>
  <c r="E251" i="22"/>
  <c r="E115" i="8"/>
  <c r="D91" i="13"/>
  <c r="D60" i="25" l="1"/>
  <c r="G24" i="6"/>
  <c r="F24" i="6"/>
  <c r="H24" i="6"/>
  <c r="D28" i="22"/>
  <c r="F271" i="20"/>
  <c r="C271" i="20" s="1"/>
  <c r="F251" i="25"/>
  <c r="H251" i="25" s="1"/>
  <c r="K245" i="23"/>
  <c r="K271" i="20"/>
  <c r="H271" i="20"/>
  <c r="L271" i="20" s="1"/>
  <c r="K260" i="25"/>
  <c r="K251" i="25"/>
  <c r="F250" i="25"/>
  <c r="C251" i="25"/>
  <c r="L251" i="25"/>
  <c r="L252" i="25" s="1"/>
  <c r="E8" i="25"/>
  <c r="C24" i="11"/>
  <c r="I24" i="11"/>
  <c r="F24" i="11"/>
  <c r="C31" i="11"/>
  <c r="H5" i="11"/>
  <c r="H4" i="11"/>
  <c r="H8" i="11"/>
  <c r="H7" i="11"/>
  <c r="H6" i="11"/>
  <c r="H54" i="11"/>
  <c r="H58" i="11"/>
  <c r="H57" i="11"/>
  <c r="H56" i="11"/>
  <c r="H55" i="11"/>
  <c r="K9" i="11"/>
  <c r="K8" i="11"/>
  <c r="K7" i="11"/>
  <c r="K6" i="11"/>
  <c r="K5" i="11"/>
  <c r="K4" i="11"/>
  <c r="M251" i="14"/>
  <c r="M236" i="23"/>
  <c r="M245" i="20"/>
  <c r="M245" i="13"/>
  <c r="M241" i="22"/>
  <c r="M257" i="4"/>
  <c r="M91" i="8"/>
  <c r="G284" i="4"/>
  <c r="C45" i="11"/>
  <c r="I45" i="11"/>
  <c r="G254" i="15"/>
  <c r="F45" i="11"/>
  <c r="G260" i="22"/>
  <c r="G218" i="16"/>
  <c r="G233" i="15"/>
  <c r="G261" i="14"/>
  <c r="G272" i="13"/>
  <c r="G264" i="4"/>
  <c r="P236" i="23"/>
  <c r="P241" i="22"/>
  <c r="P245" i="20"/>
  <c r="P245" i="13"/>
  <c r="P257" i="4"/>
  <c r="P91" i="8"/>
  <c r="P251" i="14"/>
  <c r="I236" i="23"/>
  <c r="I241" i="22"/>
  <c r="I245" i="20"/>
  <c r="I251" i="14"/>
  <c r="I91" i="8"/>
  <c r="I245" i="13"/>
  <c r="I257" i="4"/>
  <c r="I249" i="4"/>
  <c r="K249" i="4" s="1"/>
  <c r="I253" i="13"/>
  <c r="K253" i="13" s="1"/>
  <c r="I253" i="20"/>
  <c r="K253" i="20" s="1"/>
  <c r="I226" i="15"/>
  <c r="K226" i="15" s="1"/>
  <c r="I243" i="14"/>
  <c r="K243" i="14" s="1"/>
  <c r="I229" i="23"/>
  <c r="M229" i="23"/>
  <c r="M243" i="14"/>
  <c r="M226" i="15"/>
  <c r="M253" i="20"/>
  <c r="M253" i="13"/>
  <c r="M249" i="4"/>
  <c r="P229" i="23"/>
  <c r="P243" i="14"/>
  <c r="P226" i="15"/>
  <c r="P253" i="20"/>
  <c r="P253" i="13"/>
  <c r="P249" i="4"/>
  <c r="P234" i="22"/>
  <c r="P199" i="16"/>
  <c r="P218" i="15"/>
  <c r="P241" i="4"/>
  <c r="M234" i="22"/>
  <c r="M199" i="16"/>
  <c r="M218" i="15"/>
  <c r="M241" i="4"/>
  <c r="I234" i="22"/>
  <c r="K234" i="22" s="1"/>
  <c r="I199" i="16"/>
  <c r="K199" i="16" s="1"/>
  <c r="I218" i="15"/>
  <c r="K218" i="15" s="1"/>
  <c r="I241" i="4"/>
  <c r="K241" i="4" s="1"/>
  <c r="I38" i="11"/>
  <c r="F38" i="11"/>
  <c r="M264" i="4" s="1"/>
  <c r="C38" i="11"/>
  <c r="I264" i="4" s="1"/>
  <c r="E241" i="22"/>
  <c r="E214" i="23"/>
  <c r="E236" i="23"/>
  <c r="D9" i="4"/>
  <c r="D123" i="14"/>
  <c r="D166" i="4"/>
  <c r="K229" i="23"/>
  <c r="R242" i="23"/>
  <c r="P144" i="16"/>
  <c r="P174" i="13"/>
  <c r="P175" i="20"/>
  <c r="P181" i="14"/>
  <c r="M181" i="14"/>
  <c r="M174" i="13"/>
  <c r="M175" i="20"/>
  <c r="E174" i="22"/>
  <c r="E152" i="16"/>
  <c r="E199" i="22"/>
  <c r="E95" i="15"/>
  <c r="D102" i="13"/>
  <c r="D92" i="13"/>
  <c r="D228" i="14"/>
  <c r="D126" i="15"/>
  <c r="D254" i="15"/>
  <c r="D253" i="15" s="1"/>
  <c r="D226" i="15"/>
  <c r="D203" i="15"/>
  <c r="E250" i="22"/>
  <c r="F251" i="22"/>
  <c r="E234" i="22"/>
  <c r="E219" i="22"/>
  <c r="H251" i="22"/>
  <c r="C251" i="22"/>
  <c r="F250" i="22"/>
  <c r="I22" i="12"/>
  <c r="J23" i="12" s="1"/>
  <c r="J4" i="12"/>
  <c r="K56" i="11"/>
  <c r="K57" i="11"/>
  <c r="K58" i="11"/>
  <c r="K59" i="11"/>
  <c r="K54" i="11"/>
  <c r="K55" i="11"/>
  <c r="J7" i="12"/>
  <c r="C22" i="9"/>
  <c r="C21" i="9"/>
  <c r="C21" i="17"/>
  <c r="C22" i="17"/>
  <c r="C21" i="18"/>
  <c r="C22" i="18"/>
  <c r="C21" i="6"/>
  <c r="C21" i="19"/>
  <c r="C22" i="19"/>
  <c r="C22" i="6"/>
  <c r="D115" i="8"/>
  <c r="F115" i="8" s="1"/>
  <c r="D91" i="8"/>
  <c r="D235" i="14"/>
  <c r="E52" i="4"/>
  <c r="E53" i="14"/>
  <c r="E50" i="15"/>
  <c r="E42" i="16"/>
  <c r="E56" i="13"/>
  <c r="E56" i="20"/>
  <c r="E55" i="22"/>
  <c r="E56" i="23"/>
  <c r="C56" i="3"/>
  <c r="D56" i="3" s="1"/>
  <c r="J56" i="3" s="1"/>
  <c r="J55" i="3" s="1"/>
  <c r="D14" i="9" s="1"/>
  <c r="E205" i="4"/>
  <c r="E209" i="13"/>
  <c r="E209" i="20"/>
  <c r="E194" i="23"/>
  <c r="E191" i="15"/>
  <c r="E217" i="14"/>
  <c r="E171" i="16"/>
  <c r="C43" i="3"/>
  <c r="D43" i="3" s="1"/>
  <c r="E197" i="4"/>
  <c r="E202" i="13"/>
  <c r="E202" i="20"/>
  <c r="E187" i="23"/>
  <c r="E183" i="15"/>
  <c r="E210" i="14"/>
  <c r="E164" i="16"/>
  <c r="C41" i="3"/>
  <c r="D41" i="3" s="1"/>
  <c r="J41" i="3" s="1"/>
  <c r="E155" i="4"/>
  <c r="E163" i="13"/>
  <c r="E166" i="4"/>
  <c r="E170" i="14"/>
  <c r="E181" i="14"/>
  <c r="E152" i="15"/>
  <c r="E163" i="15"/>
  <c r="E133" i="16"/>
  <c r="E144" i="16"/>
  <c r="E174" i="13"/>
  <c r="E164" i="20"/>
  <c r="E175" i="20"/>
  <c r="E155" i="22"/>
  <c r="E166" i="22"/>
  <c r="E168" i="23"/>
  <c r="E157" i="23"/>
  <c r="C67" i="3"/>
  <c r="D67" i="3" s="1"/>
  <c r="C66" i="3"/>
  <c r="D66" i="3" s="1"/>
  <c r="C65" i="3"/>
  <c r="D65" i="3" s="1"/>
  <c r="C64" i="3"/>
  <c r="D64" i="3" s="1"/>
  <c r="C63" i="3"/>
  <c r="D63" i="3" s="1"/>
  <c r="C62" i="3"/>
  <c r="D62" i="3" s="1"/>
  <c r="C61" i="3"/>
  <c r="D61" i="3" s="1"/>
  <c r="C60" i="3"/>
  <c r="D60" i="3" s="1"/>
  <c r="C59" i="3"/>
  <c r="D59" i="3" s="1"/>
  <c r="E16" i="20"/>
  <c r="E16" i="14"/>
  <c r="E16" i="22"/>
  <c r="E16" i="13"/>
  <c r="E16" i="23"/>
  <c r="C58" i="3"/>
  <c r="D58" i="3" s="1"/>
  <c r="C78" i="3"/>
  <c r="C6" i="3"/>
  <c r="D6" i="3" s="1"/>
  <c r="E245" i="15"/>
  <c r="E43" i="15"/>
  <c r="E275" i="4"/>
  <c r="E262" i="13"/>
  <c r="E46" i="14"/>
  <c r="E49" i="13"/>
  <c r="E45" i="4"/>
  <c r="E209" i="16"/>
  <c r="E208" i="16" s="1"/>
  <c r="E49" i="23"/>
  <c r="E48" i="22"/>
  <c r="E262" i="20"/>
  <c r="F262" i="20" s="1"/>
  <c r="E49" i="20"/>
  <c r="E35" i="16"/>
  <c r="E40" i="8"/>
  <c r="F40" i="8" s="1"/>
  <c r="E101" i="13"/>
  <c r="E98" i="14"/>
  <c r="E101" i="20"/>
  <c r="E97" i="4"/>
  <c r="E100" i="22"/>
  <c r="E101" i="23"/>
  <c r="E126" i="15"/>
  <c r="E132" i="22"/>
  <c r="E133" i="23"/>
  <c r="E128" i="4"/>
  <c r="E108" i="16"/>
  <c r="E138" i="20"/>
  <c r="E137" i="14"/>
  <c r="E101" i="16"/>
  <c r="E124" i="13"/>
  <c r="E121" i="4"/>
  <c r="E124" i="20"/>
  <c r="E119" i="15"/>
  <c r="E123" i="14"/>
  <c r="E115" i="23"/>
  <c r="E114" i="22"/>
  <c r="E59" i="4"/>
  <c r="E23" i="15"/>
  <c r="E49" i="16"/>
  <c r="E63" i="13"/>
  <c r="E23" i="16"/>
  <c r="E27" i="14"/>
  <c r="E28" i="13"/>
  <c r="E57" i="15"/>
  <c r="E28" i="22"/>
  <c r="E28" i="20"/>
  <c r="E62" i="22"/>
  <c r="F62" i="22" s="1"/>
  <c r="C62" i="22" s="1"/>
  <c r="E63" i="20"/>
  <c r="E23" i="4"/>
  <c r="E28" i="23"/>
  <c r="E63" i="23"/>
  <c r="E60" i="14"/>
  <c r="E47" i="8"/>
  <c r="E18" i="8"/>
  <c r="F18" i="8" s="1"/>
  <c r="C18" i="8" s="1"/>
  <c r="E150" i="14"/>
  <c r="E189" i="14"/>
  <c r="E72" i="20"/>
  <c r="E69" i="14"/>
  <c r="E66" i="15"/>
  <c r="E138" i="15"/>
  <c r="E68" i="4"/>
  <c r="E182" i="20"/>
  <c r="E72" i="13"/>
  <c r="E182" i="13"/>
  <c r="E120" i="16"/>
  <c r="E71" i="22"/>
  <c r="E173" i="4"/>
  <c r="E144" i="22"/>
  <c r="E171" i="15"/>
  <c r="E176" i="23"/>
  <c r="E58" i="16"/>
  <c r="E72" i="23"/>
  <c r="E145" i="23"/>
  <c r="E4" i="8"/>
  <c r="F4" i="8" s="1"/>
  <c r="E230" i="13"/>
  <c r="E245" i="13"/>
  <c r="E226" i="4"/>
  <c r="F226" i="4" s="1"/>
  <c r="E9" i="4"/>
  <c r="E91" i="8"/>
  <c r="E251" i="14"/>
  <c r="E228" i="14"/>
  <c r="E245" i="20"/>
  <c r="E84" i="8"/>
  <c r="E9" i="15"/>
  <c r="E184" i="16"/>
  <c r="E257" i="4"/>
  <c r="F257" i="4" s="1"/>
  <c r="C257" i="4" s="1"/>
  <c r="E241" i="4"/>
  <c r="E203" i="15"/>
  <c r="E218" i="15"/>
  <c r="E199" i="16"/>
  <c r="E230" i="20"/>
  <c r="E9" i="16"/>
  <c r="C16" i="3"/>
  <c r="C15" i="3"/>
  <c r="C14" i="3"/>
  <c r="C11" i="3"/>
  <c r="D11" i="3" s="1"/>
  <c r="C32" i="3"/>
  <c r="C118" i="3"/>
  <c r="D118" i="3" s="1"/>
  <c r="C117" i="3"/>
  <c r="D117" i="3" s="1"/>
  <c r="C116" i="3"/>
  <c r="D116" i="3" s="1"/>
  <c r="C115" i="3"/>
  <c r="C114" i="3"/>
  <c r="C113" i="3"/>
  <c r="C97" i="3"/>
  <c r="D97" i="3" s="1"/>
  <c r="C96" i="3"/>
  <c r="D96" i="3" s="1"/>
  <c r="C95" i="3"/>
  <c r="D95" i="3" s="1"/>
  <c r="C94" i="3"/>
  <c r="D94" i="3" s="1"/>
  <c r="C93" i="3"/>
  <c r="D93" i="3" s="1"/>
  <c r="C226" i="4"/>
  <c r="N4" i="3"/>
  <c r="D2" i="18" s="1"/>
  <c r="E2" i="18" s="1"/>
  <c r="F2" i="18" s="1"/>
  <c r="G11" i="8"/>
  <c r="I11" i="8"/>
  <c r="G23" i="6"/>
  <c r="P11" i="8" s="1"/>
  <c r="F23" i="6"/>
  <c r="M11" i="8" s="1"/>
  <c r="I17" i="3"/>
  <c r="M18" i="3"/>
  <c r="G4" i="3"/>
  <c r="L4" i="3"/>
  <c r="C40" i="8"/>
  <c r="L5" i="8"/>
  <c r="C4" i="8"/>
  <c r="H115" i="8"/>
  <c r="C115" i="8"/>
  <c r="D197" i="4"/>
  <c r="F197" i="4"/>
  <c r="F202" i="13"/>
  <c r="D201" i="13"/>
  <c r="D245" i="13"/>
  <c r="F245" i="13" s="1"/>
  <c r="D238" i="13"/>
  <c r="F209" i="13"/>
  <c r="C209" i="13" s="1"/>
  <c r="F137" i="14"/>
  <c r="C137" i="14" s="1"/>
  <c r="M17" i="3"/>
  <c r="M40" i="3"/>
  <c r="N41" i="3"/>
  <c r="N40" i="3" s="1"/>
  <c r="M42" i="3"/>
  <c r="M55" i="3"/>
  <c r="N56" i="3"/>
  <c r="N55" i="3" s="1"/>
  <c r="D14" i="18" s="1"/>
  <c r="M79" i="3"/>
  <c r="M81" i="3"/>
  <c r="K81" i="3"/>
  <c r="K79" i="3"/>
  <c r="K55" i="3"/>
  <c r="L56" i="3"/>
  <c r="L55" i="3" s="1"/>
  <c r="D14" i="17" s="1"/>
  <c r="K42" i="3"/>
  <c r="K40" i="3"/>
  <c r="L41" i="3"/>
  <c r="L40" i="3" s="1"/>
  <c r="J18" i="19"/>
  <c r="E18" i="19"/>
  <c r="F18" i="19" s="1"/>
  <c r="J17" i="19"/>
  <c r="E17" i="19"/>
  <c r="F17" i="19" s="1"/>
  <c r="J14" i="19"/>
  <c r="E14" i="19"/>
  <c r="F14" i="19" s="1"/>
  <c r="E12" i="19"/>
  <c r="F12" i="19" s="1"/>
  <c r="C9" i="19"/>
  <c r="J6" i="19"/>
  <c r="E6" i="19"/>
  <c r="F6" i="19" s="1"/>
  <c r="J2" i="19"/>
  <c r="E2" i="19"/>
  <c r="F2" i="19" s="1"/>
  <c r="J14" i="18"/>
  <c r="E14" i="18"/>
  <c r="C9" i="18"/>
  <c r="J2" i="18"/>
  <c r="J14" i="17"/>
  <c r="E14" i="17"/>
  <c r="C9" i="17"/>
  <c r="D128" i="4"/>
  <c r="F128" i="4" s="1"/>
  <c r="C128" i="4" s="1"/>
  <c r="D45" i="4"/>
  <c r="D241" i="4"/>
  <c r="D249" i="4"/>
  <c r="D274" i="4"/>
  <c r="F275" i="4"/>
  <c r="H275" i="4" s="1"/>
  <c r="D283" i="4"/>
  <c r="F123" i="14"/>
  <c r="H257" i="4"/>
  <c r="H226" i="4"/>
  <c r="F16" i="14"/>
  <c r="C16" i="14" s="1"/>
  <c r="F155" i="4"/>
  <c r="C155" i="4" s="1"/>
  <c r="C9" i="6"/>
  <c r="D84" i="8"/>
  <c r="F84" i="8"/>
  <c r="C84" i="8" s="1"/>
  <c r="D83" i="8"/>
  <c r="G56" i="3"/>
  <c r="G55" i="3" s="1"/>
  <c r="D14" i="6" s="1"/>
  <c r="G41" i="3"/>
  <c r="G40" i="3" s="1"/>
  <c r="D11" i="6" s="1"/>
  <c r="F47" i="8"/>
  <c r="D39" i="8"/>
  <c r="J2" i="9"/>
  <c r="I4" i="5"/>
  <c r="I5" i="5"/>
  <c r="J5" i="5" s="1"/>
  <c r="C18" i="3"/>
  <c r="C39" i="3"/>
  <c r="D39" i="3" s="1"/>
  <c r="C54" i="3"/>
  <c r="D54" i="3" s="1"/>
  <c r="C112" i="3"/>
  <c r="C111" i="3"/>
  <c r="I18" i="5"/>
  <c r="J18" i="5" s="1"/>
  <c r="I7" i="5"/>
  <c r="J7" i="5" s="1"/>
  <c r="J6" i="5"/>
  <c r="I3" i="5"/>
  <c r="J3" i="5" s="1"/>
  <c r="J4" i="5"/>
  <c r="D115" i="3"/>
  <c r="D114" i="3"/>
  <c r="D113" i="3"/>
  <c r="D112" i="3"/>
  <c r="D111" i="3"/>
  <c r="B8" i="5"/>
  <c r="I8" i="5" s="1"/>
  <c r="J8" i="5" s="1"/>
  <c r="B16" i="5"/>
  <c r="I16" i="5" s="1"/>
  <c r="J16" i="5" s="1"/>
  <c r="D78" i="3"/>
  <c r="I5" i="1"/>
  <c r="K5" i="1"/>
  <c r="D16" i="3"/>
  <c r="D15" i="3"/>
  <c r="D14" i="3"/>
  <c r="D32" i="3"/>
  <c r="M5" i="1"/>
  <c r="D91" i="3"/>
  <c r="D16" i="16"/>
  <c r="D152" i="15"/>
  <c r="D218" i="16"/>
  <c r="D245" i="15"/>
  <c r="D209" i="16"/>
  <c r="F209" i="16" s="1"/>
  <c r="D9" i="16"/>
  <c r="D108" i="16"/>
  <c r="F108" i="16" s="1"/>
  <c r="C108" i="16" s="1"/>
  <c r="D16" i="15"/>
  <c r="D97" i="4"/>
  <c r="F97" i="4" s="1"/>
  <c r="C97" i="4" s="1"/>
  <c r="D87" i="4"/>
  <c r="D86" i="4" s="1"/>
  <c r="D85" i="15"/>
  <c r="K10" i="15" l="1"/>
  <c r="K10" i="4"/>
  <c r="D2" i="17"/>
  <c r="K10" i="16"/>
  <c r="L273" i="20"/>
  <c r="L274" i="20"/>
  <c r="L272" i="20"/>
  <c r="O271" i="20"/>
  <c r="R271" i="20"/>
  <c r="O251" i="25"/>
  <c r="R251" i="25"/>
  <c r="D77" i="16"/>
  <c r="G43" i="3"/>
  <c r="G42" i="3" s="1"/>
  <c r="D12" i="6" s="1"/>
  <c r="L43" i="3"/>
  <c r="L42" i="3" s="1"/>
  <c r="D12" i="17" s="1"/>
  <c r="E12" i="17" s="1"/>
  <c r="J43" i="3"/>
  <c r="J42" i="3" s="1"/>
  <c r="D12" i="9" s="1"/>
  <c r="N43" i="3"/>
  <c r="N42" i="3" s="1"/>
  <c r="D12" i="18" s="1"/>
  <c r="E12" i="18" s="1"/>
  <c r="I98" i="8"/>
  <c r="I234" i="4"/>
  <c r="L234" i="4" s="1"/>
  <c r="I238" i="13"/>
  <c r="I238" i="20"/>
  <c r="I211" i="15"/>
  <c r="I235" i="14"/>
  <c r="I192" i="16"/>
  <c r="I227" i="22"/>
  <c r="I222" i="23"/>
  <c r="P98" i="8"/>
  <c r="P234" i="4"/>
  <c r="R234" i="4" s="1"/>
  <c r="P238" i="13"/>
  <c r="P238" i="20"/>
  <c r="P211" i="15"/>
  <c r="P235" i="14"/>
  <c r="P192" i="16"/>
  <c r="P227" i="22"/>
  <c r="P222" i="23"/>
  <c r="M98" i="8"/>
  <c r="M234" i="4"/>
  <c r="O234" i="4" s="1"/>
  <c r="M238" i="13"/>
  <c r="M238" i="20"/>
  <c r="M211" i="15"/>
  <c r="M235" i="14"/>
  <c r="M192" i="16"/>
  <c r="M227" i="22"/>
  <c r="M222" i="23"/>
  <c r="I284" i="4"/>
  <c r="I272" i="13"/>
  <c r="I233" i="15"/>
  <c r="I254" i="15"/>
  <c r="I261" i="14"/>
  <c r="I218" i="16"/>
  <c r="K218" i="16" s="1"/>
  <c r="I260" i="22"/>
  <c r="K260" i="22" s="1"/>
  <c r="P284" i="4"/>
  <c r="P272" i="13"/>
  <c r="P233" i="15"/>
  <c r="P254" i="15"/>
  <c r="P261" i="14"/>
  <c r="P218" i="16"/>
  <c r="P260" i="22"/>
  <c r="M284" i="4"/>
  <c r="M272" i="13"/>
  <c r="M233" i="15"/>
  <c r="M254" i="15"/>
  <c r="M261" i="14"/>
  <c r="M218" i="16"/>
  <c r="M260" i="22"/>
  <c r="P264" i="4"/>
  <c r="D225" i="4"/>
  <c r="D223" i="4" s="1"/>
  <c r="D56" i="13"/>
  <c r="D101" i="13"/>
  <c r="D103" i="13" s="1"/>
  <c r="R235" i="23"/>
  <c r="R234" i="23"/>
  <c r="R233" i="23"/>
  <c r="R232" i="23"/>
  <c r="R231" i="23"/>
  <c r="R230" i="23"/>
  <c r="O257" i="4"/>
  <c r="L251" i="22"/>
  <c r="O251" i="22"/>
  <c r="R251" i="22"/>
  <c r="K228" i="22"/>
  <c r="K193" i="16"/>
  <c r="K236" i="14"/>
  <c r="K212" i="15"/>
  <c r="K239" i="13"/>
  <c r="K231" i="13"/>
  <c r="K215" i="23"/>
  <c r="K204" i="15"/>
  <c r="K220" i="22"/>
  <c r="K231" i="20"/>
  <c r="K239" i="20"/>
  <c r="K229" i="14"/>
  <c r="K185" i="16"/>
  <c r="K227" i="4"/>
  <c r="K235" i="4"/>
  <c r="L235" i="4" s="1"/>
  <c r="K223" i="22"/>
  <c r="K232" i="14"/>
  <c r="K234" i="20"/>
  <c r="K188" i="16"/>
  <c r="K207" i="15"/>
  <c r="K234" i="13"/>
  <c r="K242" i="13"/>
  <c r="K218" i="23"/>
  <c r="K230" i="4"/>
  <c r="K242" i="20"/>
  <c r="K238" i="4"/>
  <c r="L238" i="4" s="1"/>
  <c r="L275" i="4"/>
  <c r="O275" i="4"/>
  <c r="R275" i="4"/>
  <c r="L226" i="4"/>
  <c r="O226" i="4"/>
  <c r="R226" i="4"/>
  <c r="F126" i="15"/>
  <c r="D95" i="15"/>
  <c r="D84" i="15" s="1"/>
  <c r="D233" i="15"/>
  <c r="D100" i="14"/>
  <c r="D90" i="14"/>
  <c r="D27" i="14"/>
  <c r="F27" i="14" s="1"/>
  <c r="C27" i="14" s="1"/>
  <c r="D60" i="14"/>
  <c r="F60" i="14" s="1"/>
  <c r="C60" i="14" s="1"/>
  <c r="D69" i="14"/>
  <c r="D16" i="13"/>
  <c r="D49" i="13"/>
  <c r="D163" i="15"/>
  <c r="D87" i="16"/>
  <c r="J40" i="3"/>
  <c r="D11" i="18"/>
  <c r="B11" i="6"/>
  <c r="F11" i="6" s="1"/>
  <c r="C11" i="6"/>
  <c r="G11" i="6" s="1"/>
  <c r="H11" i="6"/>
  <c r="F14" i="17"/>
  <c r="G171" i="16"/>
  <c r="F12" i="17"/>
  <c r="G164" i="16"/>
  <c r="J24" i="12"/>
  <c r="J25" i="12"/>
  <c r="J26" i="12"/>
  <c r="K98" i="8"/>
  <c r="K99" i="8"/>
  <c r="K85" i="8"/>
  <c r="J6" i="12"/>
  <c r="J5" i="12"/>
  <c r="K102" i="8"/>
  <c r="K88" i="8"/>
  <c r="D238" i="20"/>
  <c r="F228" i="14"/>
  <c r="F91" i="8"/>
  <c r="C91" i="8" s="1"/>
  <c r="D9" i="15"/>
  <c r="H209" i="16"/>
  <c r="C209" i="16"/>
  <c r="D253" i="20"/>
  <c r="C13" i="3"/>
  <c r="D13" i="3" s="1"/>
  <c r="E12" i="6"/>
  <c r="F12" i="18"/>
  <c r="G187" i="23"/>
  <c r="F14" i="18"/>
  <c r="G194" i="23"/>
  <c r="C245" i="13"/>
  <c r="H245" i="13"/>
  <c r="F9" i="4"/>
  <c r="L10" i="4" s="1"/>
  <c r="L42" i="4" s="1"/>
  <c r="C123" i="14"/>
  <c r="C9" i="4"/>
  <c r="C47" i="8"/>
  <c r="C39" i="8" s="1"/>
  <c r="F39" i="8"/>
  <c r="F9" i="15"/>
  <c r="L10" i="15" s="1"/>
  <c r="D119" i="15"/>
  <c r="D244" i="15"/>
  <c r="F245" i="15"/>
  <c r="C245" i="15" s="1"/>
  <c r="C244" i="15" s="1"/>
  <c r="D184" i="16"/>
  <c r="F133" i="16"/>
  <c r="D101" i="16"/>
  <c r="C202" i="13"/>
  <c r="C201" i="13" s="1"/>
  <c r="B201" i="13" s="1"/>
  <c r="F201" i="13"/>
  <c r="C197" i="4"/>
  <c r="F274" i="4"/>
  <c r="C275" i="4"/>
  <c r="C274" i="4" s="1"/>
  <c r="B274" i="4" s="1"/>
  <c r="F56" i="13"/>
  <c r="C56" i="13" s="1"/>
  <c r="H18" i="19"/>
  <c r="G18" i="19"/>
  <c r="G17" i="19"/>
  <c r="H17" i="19"/>
  <c r="G14" i="19"/>
  <c r="H14" i="19"/>
  <c r="G12" i="19"/>
  <c r="H12" i="19"/>
  <c r="G6" i="19"/>
  <c r="H6" i="19"/>
  <c r="G2" i="19"/>
  <c r="H2" i="19"/>
  <c r="G14" i="18"/>
  <c r="H14" i="18"/>
  <c r="G12" i="18"/>
  <c r="H12" i="18"/>
  <c r="G2" i="18"/>
  <c r="H2" i="18"/>
  <c r="G14" i="17"/>
  <c r="H14" i="17"/>
  <c r="G12" i="17"/>
  <c r="H12" i="17"/>
  <c r="F152" i="15"/>
  <c r="D23" i="4"/>
  <c r="D59" i="4"/>
  <c r="F59" i="4" s="1"/>
  <c r="C59" i="4" s="1"/>
  <c r="D121" i="4"/>
  <c r="D120" i="4" s="1"/>
  <c r="D8" i="4"/>
  <c r="F45" i="4"/>
  <c r="C45" i="4" s="1"/>
  <c r="D68" i="4"/>
  <c r="F68" i="4" s="1"/>
  <c r="C68" i="4" s="1"/>
  <c r="F241" i="4"/>
  <c r="H84" i="8"/>
  <c r="L84" i="8"/>
  <c r="L85" i="8" s="1"/>
  <c r="L115" i="8"/>
  <c r="R115" i="8"/>
  <c r="O115" i="8"/>
  <c r="L116" i="8"/>
  <c r="L121" i="8"/>
  <c r="L120" i="8"/>
  <c r="L119" i="8"/>
  <c r="L118" i="8"/>
  <c r="L117" i="8"/>
  <c r="O84" i="8"/>
  <c r="R84" i="8"/>
  <c r="R116" i="8"/>
  <c r="R121" i="8"/>
  <c r="R120" i="8"/>
  <c r="R119" i="8"/>
  <c r="R118" i="8"/>
  <c r="R117" i="8"/>
  <c r="O116" i="8"/>
  <c r="O120" i="8"/>
  <c r="O119" i="8"/>
  <c r="O118" i="8"/>
  <c r="O117" i="8"/>
  <c r="K18" i="11"/>
  <c r="K22" i="11"/>
  <c r="K21" i="11"/>
  <c r="K20" i="11"/>
  <c r="K19" i="11"/>
  <c r="G3" i="3"/>
  <c r="D2" i="6" s="1"/>
  <c r="E2" i="9"/>
  <c r="J2" i="6"/>
  <c r="E2" i="6"/>
  <c r="E12" i="9"/>
  <c r="H12" i="9"/>
  <c r="F2" i="6"/>
  <c r="M4" i="8" s="1"/>
  <c r="J14" i="9"/>
  <c r="E14" i="9"/>
  <c r="G197" i="4"/>
  <c r="H197" i="4" s="1"/>
  <c r="J14" i="6"/>
  <c r="E14" i="6"/>
  <c r="D49" i="16"/>
  <c r="F49" i="16" s="1"/>
  <c r="C49" i="16" s="1"/>
  <c r="D57" i="15"/>
  <c r="F57" i="15" s="1"/>
  <c r="D144" i="16"/>
  <c r="H228" i="14" l="1"/>
  <c r="C228" i="14"/>
  <c r="J2" i="17"/>
  <c r="E2" i="17"/>
  <c r="D261" i="14"/>
  <c r="O253" i="25"/>
  <c r="O254" i="25"/>
  <c r="O255" i="25"/>
  <c r="O256" i="25"/>
  <c r="O252" i="25"/>
  <c r="R253" i="25"/>
  <c r="R254" i="25"/>
  <c r="R255" i="25"/>
  <c r="R256" i="25"/>
  <c r="R257" i="25"/>
  <c r="R252" i="25"/>
  <c r="O273" i="20"/>
  <c r="O274" i="20"/>
  <c r="O275" i="20"/>
  <c r="O276" i="20"/>
  <c r="O272" i="20"/>
  <c r="R273" i="20"/>
  <c r="R274" i="20"/>
  <c r="R275" i="20"/>
  <c r="R276" i="20"/>
  <c r="R277" i="20"/>
  <c r="R272" i="20"/>
  <c r="S271" i="20"/>
  <c r="S251" i="25"/>
  <c r="M171" i="16"/>
  <c r="M164" i="16"/>
  <c r="M187" i="23"/>
  <c r="M194" i="23"/>
  <c r="P194" i="23"/>
  <c r="I194" i="23"/>
  <c r="P187" i="23"/>
  <c r="I187" i="23"/>
  <c r="P171" i="16"/>
  <c r="I171" i="16"/>
  <c r="P164" i="16"/>
  <c r="I164" i="16"/>
  <c r="I201" i="25"/>
  <c r="G208" i="25"/>
  <c r="F95" i="15"/>
  <c r="L122" i="8"/>
  <c r="S115" i="8"/>
  <c r="G199" i="22"/>
  <c r="G201" i="25"/>
  <c r="R240" i="4"/>
  <c r="R239" i="4"/>
  <c r="R238" i="4"/>
  <c r="R237" i="4"/>
  <c r="R236" i="4"/>
  <c r="R235" i="4"/>
  <c r="O239" i="4"/>
  <c r="O238" i="4"/>
  <c r="O237" i="4"/>
  <c r="O236" i="4"/>
  <c r="O235" i="4"/>
  <c r="S234" i="4"/>
  <c r="D210" i="14"/>
  <c r="F210" i="14" s="1"/>
  <c r="D189" i="14"/>
  <c r="D227" i="22"/>
  <c r="D222" i="23"/>
  <c r="D234" i="22"/>
  <c r="D229" i="23"/>
  <c r="D76" i="16"/>
  <c r="F87" i="16"/>
  <c r="C87" i="16" s="1"/>
  <c r="D183" i="16"/>
  <c r="P4" i="8"/>
  <c r="G4" i="8"/>
  <c r="O258" i="4"/>
  <c r="O259" i="4"/>
  <c r="O260" i="4"/>
  <c r="O261" i="4"/>
  <c r="O262" i="4"/>
  <c r="L252" i="22"/>
  <c r="S251" i="22"/>
  <c r="O256" i="22"/>
  <c r="O255" i="22"/>
  <c r="O254" i="22"/>
  <c r="O253" i="22"/>
  <c r="O252" i="22"/>
  <c r="R257" i="22"/>
  <c r="R256" i="22"/>
  <c r="R255" i="22"/>
  <c r="R254" i="22"/>
  <c r="R253" i="22"/>
  <c r="R252" i="22"/>
  <c r="L227" i="4"/>
  <c r="L276" i="4"/>
  <c r="S275" i="4"/>
  <c r="O280" i="4"/>
  <c r="O279" i="4"/>
  <c r="O278" i="4"/>
  <c r="O277" i="4"/>
  <c r="O276" i="4"/>
  <c r="R281" i="4"/>
  <c r="R280" i="4"/>
  <c r="R279" i="4"/>
  <c r="R278" i="4"/>
  <c r="R277" i="4"/>
  <c r="R276" i="4"/>
  <c r="O231" i="4"/>
  <c r="O230" i="4"/>
  <c r="O229" i="4"/>
  <c r="O228" i="4"/>
  <c r="O227" i="4"/>
  <c r="O232" i="4" s="1"/>
  <c r="R232" i="4"/>
  <c r="R231" i="4"/>
  <c r="R230" i="4"/>
  <c r="R229" i="4"/>
  <c r="R228" i="4"/>
  <c r="R227" i="4"/>
  <c r="L230" i="4"/>
  <c r="S226" i="4"/>
  <c r="M163" i="15"/>
  <c r="M166" i="4"/>
  <c r="P163" i="15"/>
  <c r="P166" i="4"/>
  <c r="I163" i="15"/>
  <c r="I166" i="4"/>
  <c r="K237" i="14"/>
  <c r="K229" i="22"/>
  <c r="K213" i="15"/>
  <c r="K194" i="16"/>
  <c r="K195" i="16"/>
  <c r="K214" i="15"/>
  <c r="K230" i="22"/>
  <c r="K238" i="14"/>
  <c r="K231" i="22"/>
  <c r="K196" i="16"/>
  <c r="K239" i="14"/>
  <c r="K215" i="15"/>
  <c r="K222" i="22"/>
  <c r="K241" i="13"/>
  <c r="K231" i="14"/>
  <c r="K206" i="15"/>
  <c r="K233" i="20"/>
  <c r="K241" i="20"/>
  <c r="K233" i="13"/>
  <c r="K229" i="4"/>
  <c r="L229" i="4" s="1"/>
  <c r="K217" i="23"/>
  <c r="K237" i="4"/>
  <c r="L237" i="4" s="1"/>
  <c r="K187" i="16"/>
  <c r="K221" i="22"/>
  <c r="K186" i="16"/>
  <c r="K216" i="23"/>
  <c r="K230" i="14"/>
  <c r="K205" i="15"/>
  <c r="K236" i="4"/>
  <c r="L236" i="4" s="1"/>
  <c r="L239" i="4" s="1"/>
  <c r="K228" i="4"/>
  <c r="K232" i="20"/>
  <c r="K240" i="20"/>
  <c r="K232" i="13"/>
  <c r="K240" i="13"/>
  <c r="L228" i="14"/>
  <c r="R228" i="14"/>
  <c r="O228" i="14"/>
  <c r="R209" i="16"/>
  <c r="L209" i="16"/>
  <c r="O209" i="16"/>
  <c r="O245" i="13"/>
  <c r="P9" i="15"/>
  <c r="P9" i="4"/>
  <c r="I202" i="20"/>
  <c r="I199" i="22"/>
  <c r="I210" i="14"/>
  <c r="I202" i="13"/>
  <c r="M9" i="15"/>
  <c r="M9" i="4"/>
  <c r="C126" i="15"/>
  <c r="C95" i="15"/>
  <c r="C152" i="15"/>
  <c r="C57" i="15"/>
  <c r="C133" i="16"/>
  <c r="D43" i="15"/>
  <c r="F43" i="15" s="1"/>
  <c r="D150" i="14"/>
  <c r="D90" i="13"/>
  <c r="D170" i="14"/>
  <c r="D171" i="16"/>
  <c r="F171" i="16" s="1"/>
  <c r="C171" i="16" s="1"/>
  <c r="D214" i="23"/>
  <c r="F214" i="23" s="1"/>
  <c r="D72" i="13"/>
  <c r="F72" i="13" s="1"/>
  <c r="C72" i="13" s="1"/>
  <c r="D28" i="13"/>
  <c r="F150" i="14"/>
  <c r="C150" i="14" s="1"/>
  <c r="D122" i="14"/>
  <c r="C11" i="18"/>
  <c r="G11" i="18" s="1"/>
  <c r="B11" i="18"/>
  <c r="F11" i="18" s="1"/>
  <c r="H11" i="18"/>
  <c r="H2" i="6"/>
  <c r="I4" i="8" s="1"/>
  <c r="H171" i="16"/>
  <c r="G206" i="22"/>
  <c r="C210" i="14"/>
  <c r="G227" i="4"/>
  <c r="K87" i="8"/>
  <c r="K101" i="8"/>
  <c r="K86" i="8"/>
  <c r="K100" i="8"/>
  <c r="D183" i="15"/>
  <c r="G9" i="4"/>
  <c r="H9" i="4" s="1"/>
  <c r="G9" i="15"/>
  <c r="D173" i="4"/>
  <c r="D191" i="15"/>
  <c r="F191" i="15" s="1"/>
  <c r="C191" i="15" s="1"/>
  <c r="D230" i="20"/>
  <c r="C77" i="3"/>
  <c r="C47" i="3"/>
  <c r="C69" i="3"/>
  <c r="C71" i="3"/>
  <c r="C72" i="3"/>
  <c r="C73" i="3"/>
  <c r="C70" i="3"/>
  <c r="C31" i="3"/>
  <c r="C33" i="3"/>
  <c r="C34" i="3"/>
  <c r="C35" i="3"/>
  <c r="C30" i="3"/>
  <c r="C100" i="3"/>
  <c r="D100" i="3" s="1"/>
  <c r="C99" i="3"/>
  <c r="D99" i="3" s="1"/>
  <c r="C98" i="3"/>
  <c r="D98" i="3" s="1"/>
  <c r="F244" i="15"/>
  <c r="H245" i="15"/>
  <c r="G210" i="14"/>
  <c r="H210" i="14" s="1"/>
  <c r="G217" i="14"/>
  <c r="G183" i="15"/>
  <c r="H12" i="6"/>
  <c r="G191" i="15"/>
  <c r="H191" i="15" s="1"/>
  <c r="G205" i="4"/>
  <c r="C9" i="15"/>
  <c r="F166" i="4"/>
  <c r="C166" i="4" s="1"/>
  <c r="H241" i="4"/>
  <c r="G236" i="4"/>
  <c r="D217" i="16"/>
  <c r="D208" i="16"/>
  <c r="F208" i="16"/>
  <c r="F203" i="15"/>
  <c r="C203" i="15" s="1"/>
  <c r="F184" i="16"/>
  <c r="F9" i="16"/>
  <c r="L10" i="16" s="1"/>
  <c r="F101" i="16"/>
  <c r="D205" i="4"/>
  <c r="D196" i="4" s="1"/>
  <c r="D23" i="16"/>
  <c r="D8" i="16" s="1"/>
  <c r="D23" i="15"/>
  <c r="D8" i="15" s="1"/>
  <c r="D192" i="16"/>
  <c r="D35" i="16"/>
  <c r="F144" i="16"/>
  <c r="C241" i="4"/>
  <c r="H166" i="4"/>
  <c r="F154" i="4"/>
  <c r="G202" i="20"/>
  <c r="G202" i="13"/>
  <c r="H202" i="13" s="1"/>
  <c r="G209" i="20"/>
  <c r="G209" i="13"/>
  <c r="H209" i="13" s="1"/>
  <c r="D253" i="13"/>
  <c r="D230" i="13"/>
  <c r="D229" i="13" s="1"/>
  <c r="H9" i="15"/>
  <c r="F23" i="15"/>
  <c r="F119" i="15"/>
  <c r="F121" i="4"/>
  <c r="F23" i="4"/>
  <c r="F163" i="15"/>
  <c r="F69" i="14"/>
  <c r="C69" i="14" s="1"/>
  <c r="F189" i="14"/>
  <c r="C189" i="14" s="1"/>
  <c r="H2" i="9"/>
  <c r="L88" i="8"/>
  <c r="L87" i="8"/>
  <c r="L86" i="8"/>
  <c r="O85" i="8"/>
  <c r="O89" i="8"/>
  <c r="O88" i="8"/>
  <c r="O87" i="8"/>
  <c r="O86" i="8"/>
  <c r="R85" i="8"/>
  <c r="R90" i="8"/>
  <c r="R89" i="8"/>
  <c r="R88" i="8"/>
  <c r="R87" i="8"/>
  <c r="R86" i="8"/>
  <c r="O121" i="8"/>
  <c r="F2" i="9"/>
  <c r="G2" i="9"/>
  <c r="F12" i="9"/>
  <c r="G12" i="9"/>
  <c r="G14" i="9"/>
  <c r="F14" i="9"/>
  <c r="H14" i="9"/>
  <c r="G12" i="6"/>
  <c r="F12" i="6"/>
  <c r="F14" i="6"/>
  <c r="G14" i="6"/>
  <c r="H14" i="6"/>
  <c r="C74" i="3"/>
  <c r="D77" i="3"/>
  <c r="D47" i="3"/>
  <c r="D69" i="3"/>
  <c r="D71" i="3"/>
  <c r="D72" i="3"/>
  <c r="D73" i="3"/>
  <c r="D74" i="3"/>
  <c r="D70" i="3"/>
  <c r="D31" i="3"/>
  <c r="D33" i="3"/>
  <c r="D34" i="3"/>
  <c r="D35" i="3"/>
  <c r="D30" i="3"/>
  <c r="F16" i="13"/>
  <c r="C16" i="13" s="1"/>
  <c r="H2" i="17" l="1"/>
  <c r="I9" i="16" s="1"/>
  <c r="G2" i="17"/>
  <c r="P9" i="16" s="1"/>
  <c r="F2" i="17"/>
  <c r="M9" i="16" s="1"/>
  <c r="G9" i="16"/>
  <c r="D262" i="13"/>
  <c r="D208" i="25"/>
  <c r="F208" i="25" s="1"/>
  <c r="M201" i="25"/>
  <c r="P201" i="25"/>
  <c r="P208" i="25"/>
  <c r="M208" i="25"/>
  <c r="I208" i="25"/>
  <c r="D199" i="16"/>
  <c r="F199" i="16" s="1"/>
  <c r="P166" i="22"/>
  <c r="P168" i="23"/>
  <c r="H199" i="16"/>
  <c r="C199" i="16"/>
  <c r="D53" i="14"/>
  <c r="F53" i="14" s="1"/>
  <c r="C53" i="14" s="1"/>
  <c r="D98" i="14"/>
  <c r="D181" i="14"/>
  <c r="F181" i="14" s="1"/>
  <c r="H214" i="23"/>
  <c r="L218" i="23"/>
  <c r="L217" i="23"/>
  <c r="L216" i="23"/>
  <c r="L215" i="23"/>
  <c r="C214" i="23"/>
  <c r="L232" i="14"/>
  <c r="L229" i="14"/>
  <c r="S228" i="14"/>
  <c r="R234" i="14"/>
  <c r="R233" i="14"/>
  <c r="R232" i="14"/>
  <c r="R231" i="14"/>
  <c r="R230" i="14"/>
  <c r="R229" i="14"/>
  <c r="O233" i="14"/>
  <c r="O232" i="14"/>
  <c r="O231" i="14"/>
  <c r="O230" i="14"/>
  <c r="O229" i="14"/>
  <c r="O234" i="14" s="1"/>
  <c r="R215" i="16"/>
  <c r="R214" i="16"/>
  <c r="R213" i="16"/>
  <c r="R212" i="16"/>
  <c r="R211" i="16"/>
  <c r="R210" i="16"/>
  <c r="L210" i="16"/>
  <c r="S209" i="16"/>
  <c r="O214" i="16"/>
  <c r="O213" i="16"/>
  <c r="O212" i="16"/>
  <c r="O211" i="16"/>
  <c r="O210" i="16"/>
  <c r="O246" i="13"/>
  <c r="O247" i="13"/>
  <c r="O248" i="13"/>
  <c r="O249" i="13"/>
  <c r="O250" i="13"/>
  <c r="O166" i="4"/>
  <c r="R166" i="4"/>
  <c r="L166" i="4"/>
  <c r="L167" i="4" s="1"/>
  <c r="L189" i="4" s="1"/>
  <c r="L231" i="14"/>
  <c r="L230" i="14"/>
  <c r="R9" i="4"/>
  <c r="L210" i="14"/>
  <c r="L202" i="13"/>
  <c r="O9" i="4"/>
  <c r="L228" i="4"/>
  <c r="L231" i="4" s="1"/>
  <c r="K231" i="4"/>
  <c r="M168" i="23"/>
  <c r="M166" i="22"/>
  <c r="I168" i="23"/>
  <c r="I166" i="22"/>
  <c r="I9" i="15"/>
  <c r="I9" i="4"/>
  <c r="L9" i="4" s="1"/>
  <c r="O171" i="16"/>
  <c r="R171" i="16"/>
  <c r="L171" i="16"/>
  <c r="I197" i="4"/>
  <c r="L197" i="4" s="1"/>
  <c r="I183" i="15"/>
  <c r="O241" i="4"/>
  <c r="L241" i="4"/>
  <c r="R241" i="4"/>
  <c r="M210" i="14"/>
  <c r="O210" i="14" s="1"/>
  <c r="M202" i="13"/>
  <c r="O202" i="13" s="1"/>
  <c r="M202" i="20"/>
  <c r="M199" i="22"/>
  <c r="P202" i="13"/>
  <c r="R202" i="13" s="1"/>
  <c r="P202" i="20"/>
  <c r="P210" i="14"/>
  <c r="R210" i="14" s="1"/>
  <c r="P199" i="22"/>
  <c r="P209" i="13"/>
  <c r="R209" i="13" s="1"/>
  <c r="P209" i="20"/>
  <c r="P217" i="14"/>
  <c r="P206" i="22"/>
  <c r="M209" i="20"/>
  <c r="M217" i="14"/>
  <c r="M206" i="22"/>
  <c r="M209" i="13"/>
  <c r="O209" i="13" s="1"/>
  <c r="I209" i="13"/>
  <c r="L209" i="13" s="1"/>
  <c r="L210" i="13" s="1"/>
  <c r="I209" i="20"/>
  <c r="I217" i="14"/>
  <c r="I206" i="22"/>
  <c r="P183" i="15"/>
  <c r="P197" i="4"/>
  <c r="R197" i="4" s="1"/>
  <c r="M183" i="15"/>
  <c r="M197" i="4"/>
  <c r="O197" i="4" s="1"/>
  <c r="M191" i="15"/>
  <c r="M205" i="4"/>
  <c r="P191" i="15"/>
  <c r="P205" i="4"/>
  <c r="I191" i="15"/>
  <c r="I205" i="4"/>
  <c r="L219" i="23"/>
  <c r="L214" i="23"/>
  <c r="O214" i="23"/>
  <c r="R214" i="23"/>
  <c r="C43" i="15"/>
  <c r="L245" i="15"/>
  <c r="O245" i="15"/>
  <c r="R245" i="15"/>
  <c r="L191" i="15"/>
  <c r="L192" i="15" s="1"/>
  <c r="O191" i="15"/>
  <c r="R191" i="15"/>
  <c r="L9" i="15"/>
  <c r="O9" i="15"/>
  <c r="R9" i="15"/>
  <c r="C119" i="15"/>
  <c r="D219" i="22"/>
  <c r="D155" i="22"/>
  <c r="D174" i="22"/>
  <c r="F174" i="22" s="1"/>
  <c r="C144" i="16"/>
  <c r="D46" i="14"/>
  <c r="D144" i="22"/>
  <c r="F144" i="22" s="1"/>
  <c r="C144" i="22" s="1"/>
  <c r="D182" i="13"/>
  <c r="D63" i="13"/>
  <c r="D164" i="16"/>
  <c r="D152" i="16"/>
  <c r="F101" i="13"/>
  <c r="C101" i="13" s="1"/>
  <c r="F183" i="15"/>
  <c r="D182" i="15"/>
  <c r="D154" i="4"/>
  <c r="F173" i="4"/>
  <c r="C173" i="4" s="1"/>
  <c r="F230" i="20"/>
  <c r="C230" i="20" s="1"/>
  <c r="H184" i="16"/>
  <c r="C184" i="16"/>
  <c r="C48" i="3"/>
  <c r="C49" i="3"/>
  <c r="C45" i="3"/>
  <c r="C46" i="3"/>
  <c r="C50" i="3"/>
  <c r="C53" i="3"/>
  <c r="C76" i="3"/>
  <c r="C75" i="3"/>
  <c r="H181" i="14"/>
  <c r="C181" i="14"/>
  <c r="C154" i="4"/>
  <c r="C167" i="4"/>
  <c r="C23" i="4"/>
  <c r="C23" i="15"/>
  <c r="G235" i="4"/>
  <c r="H9" i="16"/>
  <c r="C9" i="16"/>
  <c r="C101" i="16"/>
  <c r="C163" i="15"/>
  <c r="F23" i="16"/>
  <c r="H203" i="15"/>
  <c r="F205" i="4"/>
  <c r="F35" i="16"/>
  <c r="C35" i="16" s="1"/>
  <c r="H144" i="16"/>
  <c r="D138" i="15"/>
  <c r="F120" i="4"/>
  <c r="C121" i="4"/>
  <c r="F230" i="13"/>
  <c r="C230" i="13" s="1"/>
  <c r="D169" i="14"/>
  <c r="F49" i="13"/>
  <c r="C49" i="13" s="1"/>
  <c r="H163" i="15"/>
  <c r="H4" i="8"/>
  <c r="R4" i="8"/>
  <c r="R6" i="8"/>
  <c r="R9" i="8"/>
  <c r="R8" i="8"/>
  <c r="R7" i="8"/>
  <c r="R5" i="8"/>
  <c r="O4" i="8"/>
  <c r="L4" i="8"/>
  <c r="D48" i="3"/>
  <c r="D49" i="3"/>
  <c r="D45" i="3"/>
  <c r="D46" i="3"/>
  <c r="D50" i="3"/>
  <c r="D53" i="3"/>
  <c r="D76" i="3"/>
  <c r="D75" i="3"/>
  <c r="D171" i="15"/>
  <c r="D151" i="15" s="1"/>
  <c r="D66" i="15"/>
  <c r="F66" i="15" s="1"/>
  <c r="C120" i="4" l="1"/>
  <c r="C122" i="4"/>
  <c r="D201" i="25"/>
  <c r="D200" i="25"/>
  <c r="F201" i="25"/>
  <c r="H208" i="25"/>
  <c r="C208" i="25"/>
  <c r="R199" i="16"/>
  <c r="O199" i="16"/>
  <c r="L199" i="16"/>
  <c r="D163" i="13"/>
  <c r="F163" i="13" s="1"/>
  <c r="F262" i="13"/>
  <c r="H262" i="13" s="1"/>
  <c r="D261" i="13"/>
  <c r="D174" i="13"/>
  <c r="O167" i="4"/>
  <c r="O168" i="4"/>
  <c r="O169" i="4"/>
  <c r="O170" i="4"/>
  <c r="O171" i="4"/>
  <c r="O172" i="4"/>
  <c r="R167" i="4"/>
  <c r="R168" i="4"/>
  <c r="R169" i="4"/>
  <c r="R170" i="4"/>
  <c r="R171" i="4"/>
  <c r="R172" i="4"/>
  <c r="R10" i="4"/>
  <c r="R11" i="4"/>
  <c r="R12" i="4"/>
  <c r="R13" i="4"/>
  <c r="R14" i="4"/>
  <c r="L211" i="14"/>
  <c r="L201" i="13"/>
  <c r="L203" i="13"/>
  <c r="L219" i="13" s="1"/>
  <c r="L218" i="13" s="1"/>
  <c r="O10" i="4"/>
  <c r="O11" i="4"/>
  <c r="O12" i="4"/>
  <c r="O13" i="4"/>
  <c r="O14" i="4"/>
  <c r="O15" i="4"/>
  <c r="S166" i="22"/>
  <c r="O172" i="16"/>
  <c r="O173" i="16"/>
  <c r="O174" i="16"/>
  <c r="O175" i="16"/>
  <c r="O176" i="16"/>
  <c r="O177" i="16"/>
  <c r="R172" i="16"/>
  <c r="R173" i="16"/>
  <c r="R174" i="16"/>
  <c r="R175" i="16"/>
  <c r="R176" i="16"/>
  <c r="S171" i="16"/>
  <c r="L172" i="16"/>
  <c r="L198" i="4"/>
  <c r="O246" i="4"/>
  <c r="O245" i="4"/>
  <c r="O244" i="4"/>
  <c r="O243" i="4"/>
  <c r="O242" i="4"/>
  <c r="L242" i="4"/>
  <c r="S241" i="4"/>
  <c r="R247" i="4"/>
  <c r="R246" i="4"/>
  <c r="R245" i="4"/>
  <c r="R244" i="4"/>
  <c r="R243" i="4"/>
  <c r="R242" i="4"/>
  <c r="O216" i="14"/>
  <c r="O215" i="14"/>
  <c r="O214" i="14"/>
  <c r="O213" i="14"/>
  <c r="O212" i="14"/>
  <c r="O211" i="14"/>
  <c r="O208" i="13"/>
  <c r="O207" i="13"/>
  <c r="O206" i="13"/>
  <c r="O205" i="13"/>
  <c r="O204" i="13"/>
  <c r="O203" i="13"/>
  <c r="O201" i="13"/>
  <c r="R207" i="13"/>
  <c r="R206" i="13"/>
  <c r="R205" i="13"/>
  <c r="R204" i="13"/>
  <c r="R203" i="13"/>
  <c r="R201" i="13"/>
  <c r="R215" i="14"/>
  <c r="R214" i="14"/>
  <c r="R213" i="14"/>
  <c r="R212" i="14"/>
  <c r="R211" i="14"/>
  <c r="R214" i="13"/>
  <c r="R213" i="13"/>
  <c r="R212" i="13"/>
  <c r="R211" i="13"/>
  <c r="R210" i="13"/>
  <c r="R216" i="13" s="1"/>
  <c r="O215" i="13"/>
  <c r="O214" i="13"/>
  <c r="O213" i="13"/>
  <c r="O212" i="13"/>
  <c r="O211" i="13"/>
  <c r="O210" i="13"/>
  <c r="O216" i="13" s="1"/>
  <c r="R202" i="4"/>
  <c r="R201" i="4"/>
  <c r="R200" i="4"/>
  <c r="R199" i="4"/>
  <c r="R198" i="4"/>
  <c r="O203" i="4"/>
  <c r="O202" i="4"/>
  <c r="O201" i="4"/>
  <c r="O200" i="4"/>
  <c r="O199" i="4"/>
  <c r="O198" i="4"/>
  <c r="L233" i="14"/>
  <c r="O251" i="13"/>
  <c r="L184" i="16"/>
  <c r="O184" i="16"/>
  <c r="R184" i="16"/>
  <c r="R181" i="14"/>
  <c r="R182" i="14" s="1"/>
  <c r="R183" i="14" s="1"/>
  <c r="R184" i="14" s="1"/>
  <c r="R185" i="14" s="1"/>
  <c r="R186" i="14" s="1"/>
  <c r="O181" i="14"/>
  <c r="O9" i="16"/>
  <c r="R9" i="16"/>
  <c r="L9" i="16"/>
  <c r="O144" i="16"/>
  <c r="L144" i="16"/>
  <c r="L145" i="16" s="1"/>
  <c r="R144" i="16"/>
  <c r="L262" i="13"/>
  <c r="O262" i="13"/>
  <c r="R262" i="13"/>
  <c r="O219" i="23"/>
  <c r="O218" i="23"/>
  <c r="O217" i="23"/>
  <c r="O216" i="23"/>
  <c r="O215" i="23"/>
  <c r="O220" i="23" s="1"/>
  <c r="R220" i="23"/>
  <c r="R219" i="23"/>
  <c r="R218" i="23"/>
  <c r="R217" i="23"/>
  <c r="R216" i="23"/>
  <c r="R215" i="23"/>
  <c r="S214" i="23"/>
  <c r="L246" i="15"/>
  <c r="S245" i="15"/>
  <c r="O250" i="15"/>
  <c r="O249" i="15"/>
  <c r="O248" i="15"/>
  <c r="O247" i="15"/>
  <c r="O246" i="15"/>
  <c r="R251" i="15"/>
  <c r="R250" i="15"/>
  <c r="R249" i="15"/>
  <c r="R248" i="15"/>
  <c r="R247" i="15"/>
  <c r="R246" i="15"/>
  <c r="O197" i="15"/>
  <c r="O196" i="15"/>
  <c r="O195" i="15"/>
  <c r="O194" i="15"/>
  <c r="O193" i="15"/>
  <c r="O192" i="15"/>
  <c r="O198" i="15" s="1"/>
  <c r="R196" i="15"/>
  <c r="R195" i="15"/>
  <c r="R194" i="15"/>
  <c r="R193" i="15"/>
  <c r="R192" i="15"/>
  <c r="R198" i="15" s="1"/>
  <c r="S9" i="15"/>
  <c r="O15" i="15"/>
  <c r="O14" i="15"/>
  <c r="O13" i="15"/>
  <c r="O12" i="15"/>
  <c r="O11" i="15"/>
  <c r="O10" i="15"/>
  <c r="R14" i="15"/>
  <c r="R13" i="15"/>
  <c r="R12" i="15"/>
  <c r="R11" i="15"/>
  <c r="R10" i="15"/>
  <c r="L203" i="15"/>
  <c r="O203" i="15"/>
  <c r="R203" i="15"/>
  <c r="L163" i="15"/>
  <c r="L164" i="15" s="1"/>
  <c r="O163" i="15"/>
  <c r="R163" i="15"/>
  <c r="C66" i="15"/>
  <c r="D132" i="16"/>
  <c r="F152" i="16"/>
  <c r="C23" i="16"/>
  <c r="F155" i="22"/>
  <c r="C174" i="22"/>
  <c r="D114" i="22"/>
  <c r="F164" i="16"/>
  <c r="D163" i="16"/>
  <c r="E229" i="23"/>
  <c r="F229" i="23" s="1"/>
  <c r="G228" i="4"/>
  <c r="H183" i="15"/>
  <c r="C183" i="15"/>
  <c r="C182" i="15" s="1"/>
  <c r="B182" i="15" s="1"/>
  <c r="F182" i="15"/>
  <c r="F28" i="22"/>
  <c r="C28" i="22" s="1"/>
  <c r="H230" i="20"/>
  <c r="D93" i="13"/>
  <c r="F171" i="15"/>
  <c r="C156" i="4"/>
  <c r="C174" i="4"/>
  <c r="B154" i="4"/>
  <c r="C262" i="13"/>
  <c r="T9" i="4"/>
  <c r="H205" i="4"/>
  <c r="F196" i="4"/>
  <c r="C205" i="4"/>
  <c r="C196" i="4" s="1"/>
  <c r="D181" i="16"/>
  <c r="D120" i="16"/>
  <c r="D58" i="16"/>
  <c r="D118" i="15"/>
  <c r="F138" i="15"/>
  <c r="F28" i="13"/>
  <c r="F170" i="14"/>
  <c r="F169" i="14" s="1"/>
  <c r="D48" i="13"/>
  <c r="F63" i="13"/>
  <c r="H230" i="13"/>
  <c r="F124" i="13"/>
  <c r="F182" i="13"/>
  <c r="C182" i="13" s="1"/>
  <c r="F46" i="14"/>
  <c r="C46" i="14" s="1"/>
  <c r="D45" i="14"/>
  <c r="S4" i="8"/>
  <c r="R10" i="8"/>
  <c r="O5" i="8"/>
  <c r="O6" i="8"/>
  <c r="O7" i="8"/>
  <c r="O8" i="8"/>
  <c r="O9" i="8"/>
  <c r="O10" i="8"/>
  <c r="D18" i="3"/>
  <c r="D88" i="14"/>
  <c r="C129" i="4" l="1"/>
  <c r="B120" i="4"/>
  <c r="B261" i="13"/>
  <c r="C261" i="13"/>
  <c r="H201" i="25"/>
  <c r="C201" i="25"/>
  <c r="C200" i="25" s="1"/>
  <c r="B200" i="25" s="1"/>
  <c r="F200" i="25"/>
  <c r="L208" i="25"/>
  <c r="L209" i="25" s="1"/>
  <c r="O208" i="25"/>
  <c r="R208" i="25"/>
  <c r="R200" i="16"/>
  <c r="R201" i="16"/>
  <c r="R202" i="16"/>
  <c r="R203" i="16"/>
  <c r="R204" i="16"/>
  <c r="R205" i="16"/>
  <c r="O200" i="16"/>
  <c r="O201" i="16"/>
  <c r="O202" i="16"/>
  <c r="O203" i="16"/>
  <c r="O204" i="16"/>
  <c r="S199" i="16"/>
  <c r="L200" i="16"/>
  <c r="D199" i="22"/>
  <c r="F114" i="22"/>
  <c r="C114" i="22" s="1"/>
  <c r="H229" i="23"/>
  <c r="C229" i="23"/>
  <c r="R204" i="4"/>
  <c r="O204" i="4"/>
  <c r="L186" i="16"/>
  <c r="L187" i="16"/>
  <c r="L188" i="16"/>
  <c r="L185" i="16"/>
  <c r="L189" i="16" s="1"/>
  <c r="S184" i="16"/>
  <c r="O189" i="16"/>
  <c r="O188" i="16"/>
  <c r="O187" i="16"/>
  <c r="O186" i="16"/>
  <c r="O185" i="16"/>
  <c r="O190" i="16" s="1"/>
  <c r="R190" i="16"/>
  <c r="R189" i="16"/>
  <c r="R188" i="16"/>
  <c r="R187" i="16"/>
  <c r="R186" i="16"/>
  <c r="R185" i="16"/>
  <c r="O182" i="14"/>
  <c r="O183" i="14"/>
  <c r="O184" i="14"/>
  <c r="O185" i="14"/>
  <c r="O186" i="14"/>
  <c r="O187" i="14"/>
  <c r="O10" i="16"/>
  <c r="O11" i="16"/>
  <c r="O12" i="16"/>
  <c r="O13" i="16"/>
  <c r="O14" i="16"/>
  <c r="O15" i="16"/>
  <c r="R10" i="16"/>
  <c r="R11" i="16"/>
  <c r="R12" i="16"/>
  <c r="R13" i="16"/>
  <c r="R14" i="16"/>
  <c r="S9" i="16"/>
  <c r="O145" i="16"/>
  <c r="O146" i="16"/>
  <c r="O147" i="16"/>
  <c r="O148" i="16"/>
  <c r="O149" i="16"/>
  <c r="O150" i="16"/>
  <c r="R145" i="16"/>
  <c r="R146" i="16"/>
  <c r="R147" i="16"/>
  <c r="R148" i="16"/>
  <c r="R149" i="16"/>
  <c r="R150" i="16"/>
  <c r="O267" i="13"/>
  <c r="O266" i="13"/>
  <c r="O265" i="13"/>
  <c r="O264" i="13"/>
  <c r="O263" i="13"/>
  <c r="R268" i="13"/>
  <c r="R267" i="13"/>
  <c r="R266" i="13"/>
  <c r="R265" i="13"/>
  <c r="R264" i="13"/>
  <c r="R263" i="13"/>
  <c r="O178" i="16"/>
  <c r="R178" i="16"/>
  <c r="O224" i="13"/>
  <c r="O223" i="13"/>
  <c r="O222" i="13"/>
  <c r="O221" i="13"/>
  <c r="O220" i="13"/>
  <c r="O219" i="13"/>
  <c r="O218" i="13" s="1"/>
  <c r="R223" i="13"/>
  <c r="R222" i="13"/>
  <c r="R221" i="13"/>
  <c r="R220" i="13"/>
  <c r="R219" i="13"/>
  <c r="R218" i="13" s="1"/>
  <c r="S262" i="13"/>
  <c r="L230" i="20"/>
  <c r="O230" i="20"/>
  <c r="R230" i="20"/>
  <c r="O205" i="4"/>
  <c r="R205" i="4"/>
  <c r="L205" i="4"/>
  <c r="L230" i="13"/>
  <c r="O230" i="13"/>
  <c r="R230" i="13"/>
  <c r="L207" i="15"/>
  <c r="L206" i="15"/>
  <c r="L205" i="15"/>
  <c r="L204" i="15"/>
  <c r="L208" i="15" s="1"/>
  <c r="S203" i="15"/>
  <c r="O208" i="15"/>
  <c r="O207" i="15"/>
  <c r="O206" i="15"/>
  <c r="O205" i="15"/>
  <c r="O204" i="15"/>
  <c r="O209" i="15" s="1"/>
  <c r="R209" i="15"/>
  <c r="R208" i="15"/>
  <c r="R207" i="15"/>
  <c r="R206" i="15"/>
  <c r="R205" i="15"/>
  <c r="R204" i="15"/>
  <c r="O169" i="15"/>
  <c r="O168" i="15"/>
  <c r="O167" i="15"/>
  <c r="O166" i="15"/>
  <c r="O165" i="15"/>
  <c r="O164" i="15"/>
  <c r="R169" i="15"/>
  <c r="R168" i="15"/>
  <c r="R167" i="15"/>
  <c r="R166" i="15"/>
  <c r="R165" i="15"/>
  <c r="R164" i="15"/>
  <c r="L183" i="15"/>
  <c r="O183" i="15"/>
  <c r="R183" i="15"/>
  <c r="F132" i="16"/>
  <c r="C152" i="16"/>
  <c r="C132" i="16" s="1"/>
  <c r="E233" i="15"/>
  <c r="F233" i="15" s="1"/>
  <c r="E254" i="15"/>
  <c r="F254" i="15" s="1"/>
  <c r="C155" i="22"/>
  <c r="D71" i="22"/>
  <c r="F71" i="22" s="1"/>
  <c r="C71" i="22" s="1"/>
  <c r="H164" i="16"/>
  <c r="C164" i="16"/>
  <c r="C163" i="16" s="1"/>
  <c r="B163" i="16" s="1"/>
  <c r="F163" i="16"/>
  <c r="E260" i="22"/>
  <c r="E227" i="22"/>
  <c r="E218" i="22" s="1"/>
  <c r="H182" i="15"/>
  <c r="F151" i="15"/>
  <c r="C171" i="15"/>
  <c r="E284" i="4"/>
  <c r="F284" i="4" s="1"/>
  <c r="E272" i="13"/>
  <c r="E261" i="14"/>
  <c r="F261" i="14" s="1"/>
  <c r="C261" i="14" s="1"/>
  <c r="E218" i="16"/>
  <c r="E243" i="14"/>
  <c r="F243" i="14" s="1"/>
  <c r="E235" i="14"/>
  <c r="F235" i="14" s="1"/>
  <c r="C235" i="14" s="1"/>
  <c r="E253" i="20"/>
  <c r="F253" i="20" s="1"/>
  <c r="E238" i="20"/>
  <c r="E222" i="23"/>
  <c r="E9" i="23"/>
  <c r="E9" i="22"/>
  <c r="E253" i="13"/>
  <c r="F253" i="13" s="1"/>
  <c r="E9" i="20"/>
  <c r="E238" i="13"/>
  <c r="E192" i="16"/>
  <c r="E16" i="16"/>
  <c r="F16" i="16" s="1"/>
  <c r="F8" i="16" s="1"/>
  <c r="E226" i="15"/>
  <c r="F226" i="15" s="1"/>
  <c r="E211" i="15"/>
  <c r="E16" i="15"/>
  <c r="F16" i="15" s="1"/>
  <c r="E264" i="4"/>
  <c r="F264" i="4" s="1"/>
  <c r="E249" i="4"/>
  <c r="E9" i="14"/>
  <c r="E8" i="14" s="1"/>
  <c r="E9" i="13"/>
  <c r="E16" i="4"/>
  <c r="F16" i="4" s="1"/>
  <c r="E98" i="8"/>
  <c r="F98" i="8" s="1"/>
  <c r="E11" i="8"/>
  <c r="F11" i="8" s="1"/>
  <c r="E91" i="23"/>
  <c r="E87" i="4"/>
  <c r="F87" i="4" s="1"/>
  <c r="E77" i="16"/>
  <c r="F77" i="16" s="1"/>
  <c r="E88" i="14"/>
  <c r="E65" i="8"/>
  <c r="F65" i="8" s="1"/>
  <c r="E91" i="20"/>
  <c r="E90" i="22"/>
  <c r="E91" i="13"/>
  <c r="F91" i="13" s="1"/>
  <c r="E85" i="15"/>
  <c r="B196" i="4"/>
  <c r="C198" i="4"/>
  <c r="F174" i="13"/>
  <c r="D162" i="13"/>
  <c r="C28" i="13"/>
  <c r="F118" i="15"/>
  <c r="C138" i="15"/>
  <c r="C170" i="14"/>
  <c r="C45" i="14"/>
  <c r="C47" i="14"/>
  <c r="H196" i="4"/>
  <c r="D100" i="16"/>
  <c r="F120" i="16"/>
  <c r="F58" i="16"/>
  <c r="C58" i="16" s="1"/>
  <c r="F48" i="13"/>
  <c r="C63" i="13"/>
  <c r="C124" i="13"/>
  <c r="C163" i="13"/>
  <c r="J18" i="3"/>
  <c r="J17" i="3" s="1"/>
  <c r="D6" i="9" s="1"/>
  <c r="L18" i="3"/>
  <c r="L17" i="3" s="1"/>
  <c r="D6" i="17" s="1"/>
  <c r="N18" i="3"/>
  <c r="N17" i="3" s="1"/>
  <c r="D6" i="18" s="1"/>
  <c r="F45" i="14"/>
  <c r="G18" i="3"/>
  <c r="G17" i="3" s="1"/>
  <c r="D6" i="6" s="1"/>
  <c r="R201" i="25" l="1"/>
  <c r="O201" i="25"/>
  <c r="L201" i="25"/>
  <c r="O209" i="25"/>
  <c r="O210" i="25"/>
  <c r="O211" i="25"/>
  <c r="O212" i="25"/>
  <c r="O213" i="25"/>
  <c r="O214" i="25"/>
  <c r="R209" i="25"/>
  <c r="R210" i="25"/>
  <c r="R211" i="25"/>
  <c r="R212" i="25"/>
  <c r="R213" i="25"/>
  <c r="C153" i="16"/>
  <c r="C134" i="16"/>
  <c r="F199" i="22"/>
  <c r="R229" i="23"/>
  <c r="O229" i="23"/>
  <c r="L229" i="23"/>
  <c r="D55" i="22"/>
  <c r="F55" i="22" s="1"/>
  <c r="C55" i="22" s="1"/>
  <c r="D100" i="22"/>
  <c r="F100" i="22" s="1"/>
  <c r="C100" i="22" s="1"/>
  <c r="C169" i="14"/>
  <c r="C171" i="14" s="1"/>
  <c r="L232" i="20"/>
  <c r="L233" i="20"/>
  <c r="L234" i="20"/>
  <c r="L231" i="20"/>
  <c r="L235" i="20" s="1"/>
  <c r="S230" i="20"/>
  <c r="O235" i="20"/>
  <c r="O234" i="20"/>
  <c r="O233" i="20"/>
  <c r="O232" i="20"/>
  <c r="O231" i="20"/>
  <c r="O236" i="20" s="1"/>
  <c r="R236" i="20"/>
  <c r="R235" i="20"/>
  <c r="R234" i="20"/>
  <c r="R233" i="20"/>
  <c r="R232" i="20"/>
  <c r="R231" i="20"/>
  <c r="R237" i="20" s="1"/>
  <c r="O196" i="4"/>
  <c r="O206" i="4"/>
  <c r="O207" i="4"/>
  <c r="O216" i="4" s="1"/>
  <c r="O208" i="4"/>
  <c r="O217" i="4" s="1"/>
  <c r="O209" i="4"/>
  <c r="O218" i="4" s="1"/>
  <c r="O210" i="4"/>
  <c r="O219" i="4" s="1"/>
  <c r="O211" i="4"/>
  <c r="O220" i="4" s="1"/>
  <c r="R196" i="4"/>
  <c r="R206" i="4"/>
  <c r="R207" i="4"/>
  <c r="R216" i="4" s="1"/>
  <c r="R208" i="4"/>
  <c r="R217" i="4" s="1"/>
  <c r="R209" i="4"/>
  <c r="R218" i="4" s="1"/>
  <c r="R210" i="4"/>
  <c r="R219" i="4" s="1"/>
  <c r="L196" i="4"/>
  <c r="L206" i="4"/>
  <c r="L215" i="4" s="1"/>
  <c r="L214" i="4" s="1"/>
  <c r="L232" i="13"/>
  <c r="L233" i="13"/>
  <c r="L234" i="13"/>
  <c r="L231" i="13"/>
  <c r="L235" i="13" s="1"/>
  <c r="S230" i="13"/>
  <c r="O235" i="13"/>
  <c r="O234" i="13"/>
  <c r="O233" i="13"/>
  <c r="O232" i="13"/>
  <c r="O231" i="13"/>
  <c r="O236" i="13" s="1"/>
  <c r="R236" i="13"/>
  <c r="R235" i="13"/>
  <c r="R234" i="13"/>
  <c r="R233" i="13"/>
  <c r="R232" i="13"/>
  <c r="R231" i="13"/>
  <c r="R237" i="13" s="1"/>
  <c r="O164" i="16"/>
  <c r="R164" i="16"/>
  <c r="L164" i="16"/>
  <c r="L184" i="15"/>
  <c r="L182" i="15"/>
  <c r="O189" i="15"/>
  <c r="O188" i="15"/>
  <c r="O187" i="15"/>
  <c r="O186" i="15"/>
  <c r="O185" i="15"/>
  <c r="O184" i="15"/>
  <c r="O190" i="15" s="1"/>
  <c r="O182" i="15"/>
  <c r="R188" i="15"/>
  <c r="R187" i="15"/>
  <c r="R186" i="15"/>
  <c r="R185" i="15"/>
  <c r="R184" i="15"/>
  <c r="R190" i="15" s="1"/>
  <c r="R182" i="15"/>
  <c r="C233" i="15"/>
  <c r="H233" i="15"/>
  <c r="C254" i="15"/>
  <c r="C253" i="15" s="1"/>
  <c r="H254" i="15"/>
  <c r="C16" i="16"/>
  <c r="C8" i="16" s="1"/>
  <c r="H226" i="15"/>
  <c r="C226" i="15"/>
  <c r="E259" i="22"/>
  <c r="E216" i="22"/>
  <c r="C151" i="15"/>
  <c r="F283" i="4"/>
  <c r="C284" i="4"/>
  <c r="C283" i="4" s="1"/>
  <c r="B283" i="4" s="1"/>
  <c r="F218" i="16"/>
  <c r="E217" i="16"/>
  <c r="C243" i="14"/>
  <c r="H243" i="14"/>
  <c r="H253" i="20"/>
  <c r="C253" i="20"/>
  <c r="F238" i="20"/>
  <c r="E229" i="20"/>
  <c r="F222" i="23"/>
  <c r="H253" i="13"/>
  <c r="C253" i="13"/>
  <c r="F238" i="13"/>
  <c r="E229" i="13"/>
  <c r="F192" i="16"/>
  <c r="F183" i="16" s="1"/>
  <c r="E183" i="16"/>
  <c r="E181" i="16" s="1"/>
  <c r="F8" i="15"/>
  <c r="C16" i="15"/>
  <c r="C8" i="15" s="1"/>
  <c r="H264" i="4"/>
  <c r="C264" i="4"/>
  <c r="F249" i="4"/>
  <c r="E225" i="4"/>
  <c r="F83" i="8"/>
  <c r="C98" i="8"/>
  <c r="C83" i="8" s="1"/>
  <c r="F3" i="8"/>
  <c r="C11" i="8"/>
  <c r="C3" i="8" s="1"/>
  <c r="F86" i="4"/>
  <c r="C87" i="4"/>
  <c r="C86" i="4" s="1"/>
  <c r="C77" i="16"/>
  <c r="C76" i="16" s="1"/>
  <c r="F76" i="16"/>
  <c r="F64" i="8"/>
  <c r="C65" i="8"/>
  <c r="F90" i="13"/>
  <c r="C91" i="13"/>
  <c r="C90" i="13" s="1"/>
  <c r="B90" i="13" s="1"/>
  <c r="F85" i="15"/>
  <c r="E122" i="23"/>
  <c r="E121" i="22"/>
  <c r="E131" i="13"/>
  <c r="E130" i="14"/>
  <c r="F130" i="14" s="1"/>
  <c r="H174" i="13"/>
  <c r="C174" i="13"/>
  <c r="C162" i="13" s="1"/>
  <c r="B162" i="13" s="1"/>
  <c r="F162" i="13"/>
  <c r="C118" i="15"/>
  <c r="C139" i="15"/>
  <c r="C120" i="16"/>
  <c r="F100" i="16"/>
  <c r="G231" i="13"/>
  <c r="C70" i="14"/>
  <c r="C54" i="14"/>
  <c r="C61" i="14"/>
  <c r="C48" i="13"/>
  <c r="C64" i="13"/>
  <c r="E6" i="17"/>
  <c r="H6" i="17" s="1"/>
  <c r="J6" i="17"/>
  <c r="E6" i="18"/>
  <c r="J6" i="18"/>
  <c r="J6" i="9"/>
  <c r="E6" i="9"/>
  <c r="J6" i="6"/>
  <c r="E6" i="6"/>
  <c r="C222" i="23" l="1"/>
  <c r="R200" i="25"/>
  <c r="R202" i="25"/>
  <c r="R203" i="25"/>
  <c r="R204" i="25"/>
  <c r="R205" i="25"/>
  <c r="R206" i="25"/>
  <c r="O200" i="25"/>
  <c r="O202" i="25"/>
  <c r="O203" i="25"/>
  <c r="O204" i="25"/>
  <c r="O205" i="25"/>
  <c r="O206" i="25"/>
  <c r="O207" i="25"/>
  <c r="L200" i="25"/>
  <c r="L202" i="25"/>
  <c r="O215" i="25"/>
  <c r="R215" i="25"/>
  <c r="D180" i="25"/>
  <c r="F180" i="25" s="1"/>
  <c r="C180" i="25" s="1"/>
  <c r="C88" i="16"/>
  <c r="C78" i="16"/>
  <c r="G131" i="20"/>
  <c r="G130" i="25"/>
  <c r="H6" i="18"/>
  <c r="G122" i="23"/>
  <c r="G121" i="22"/>
  <c r="C199" i="22"/>
  <c r="H199" i="22"/>
  <c r="S229" i="23"/>
  <c r="L230" i="23"/>
  <c r="C182" i="14"/>
  <c r="C190" i="14"/>
  <c r="C153" i="15"/>
  <c r="C164" i="15"/>
  <c r="C172" i="15"/>
  <c r="O215" i="4"/>
  <c r="O214" i="4" s="1"/>
  <c r="O212" i="4"/>
  <c r="R215" i="4"/>
  <c r="R214" i="4" s="1"/>
  <c r="R212" i="4"/>
  <c r="O163" i="16"/>
  <c r="O165" i="16"/>
  <c r="O166" i="16"/>
  <c r="O167" i="16"/>
  <c r="O168" i="16"/>
  <c r="O169" i="16"/>
  <c r="O170" i="16"/>
  <c r="R163" i="16"/>
  <c r="R165" i="16"/>
  <c r="R166" i="16"/>
  <c r="R167" i="16"/>
  <c r="R168" i="16"/>
  <c r="R169" i="16"/>
  <c r="L163" i="16"/>
  <c r="S164" i="16"/>
  <c r="S163" i="16" s="1"/>
  <c r="L165" i="16"/>
  <c r="G232" i="13"/>
  <c r="O254" i="15"/>
  <c r="L243" i="14"/>
  <c r="O243" i="14"/>
  <c r="R243" i="14"/>
  <c r="L253" i="20"/>
  <c r="O253" i="20"/>
  <c r="R253" i="20"/>
  <c r="R259" i="20" s="1"/>
  <c r="L253" i="13"/>
  <c r="O253" i="13"/>
  <c r="R253" i="13"/>
  <c r="O264" i="4"/>
  <c r="R174" i="13"/>
  <c r="O174" i="13"/>
  <c r="O233" i="15"/>
  <c r="L226" i="15"/>
  <c r="O226" i="15"/>
  <c r="R226" i="15"/>
  <c r="R232" i="15" s="1"/>
  <c r="C100" i="16"/>
  <c r="C121" i="16" s="1"/>
  <c r="D48" i="22"/>
  <c r="D47" i="22" s="1"/>
  <c r="G130" i="14"/>
  <c r="H130" i="14" s="1"/>
  <c r="G231" i="20"/>
  <c r="F217" i="16"/>
  <c r="H218" i="16"/>
  <c r="C218" i="16"/>
  <c r="C238" i="20"/>
  <c r="F229" i="13"/>
  <c r="C238" i="13"/>
  <c r="C229" i="13" s="1"/>
  <c r="F181" i="16"/>
  <c r="C192" i="16"/>
  <c r="C183" i="16" s="1"/>
  <c r="C185" i="16" s="1"/>
  <c r="F225" i="4"/>
  <c r="H249" i="4"/>
  <c r="C249" i="4"/>
  <c r="F8" i="4"/>
  <c r="C16" i="4"/>
  <c r="C88" i="4"/>
  <c r="C64" i="8"/>
  <c r="F84" i="15"/>
  <c r="C85" i="15"/>
  <c r="C84" i="15" s="1"/>
  <c r="F122" i="14"/>
  <c r="C130" i="14"/>
  <c r="C122" i="14" s="1"/>
  <c r="C151" i="14" s="1"/>
  <c r="G232" i="20"/>
  <c r="G131" i="13"/>
  <c r="H6" i="9"/>
  <c r="C120" i="15"/>
  <c r="C127" i="15"/>
  <c r="C50" i="13"/>
  <c r="C73" i="13"/>
  <c r="C57" i="13"/>
  <c r="B48" i="13"/>
  <c r="G6" i="17"/>
  <c r="F6" i="17"/>
  <c r="G6" i="18"/>
  <c r="F6" i="18"/>
  <c r="G6" i="9"/>
  <c r="F6" i="9"/>
  <c r="F6" i="6"/>
  <c r="G6" i="6"/>
  <c r="H6" i="6"/>
  <c r="D28" i="20" l="1"/>
  <c r="B229" i="13"/>
  <c r="D46" i="25"/>
  <c r="C96" i="15"/>
  <c r="C86" i="15"/>
  <c r="I131" i="20"/>
  <c r="K131" i="20" s="1"/>
  <c r="I130" i="25"/>
  <c r="P131" i="20"/>
  <c r="P130" i="25"/>
  <c r="M131" i="20"/>
  <c r="M130" i="25"/>
  <c r="I121" i="22"/>
  <c r="I122" i="23"/>
  <c r="P122" i="23"/>
  <c r="P121" i="22"/>
  <c r="M122" i="23"/>
  <c r="M121" i="22"/>
  <c r="R199" i="22"/>
  <c r="O199" i="22"/>
  <c r="L199" i="22"/>
  <c r="O255" i="15"/>
  <c r="O256" i="15"/>
  <c r="O257" i="15"/>
  <c r="O258" i="15"/>
  <c r="O259" i="15"/>
  <c r="L244" i="14"/>
  <c r="S243" i="14"/>
  <c r="O248" i="14"/>
  <c r="O247" i="14"/>
  <c r="O246" i="14"/>
  <c r="O245" i="14"/>
  <c r="O244" i="14"/>
  <c r="R249" i="14"/>
  <c r="R248" i="14"/>
  <c r="R247" i="14"/>
  <c r="R246" i="14"/>
  <c r="R245" i="14"/>
  <c r="R244" i="14"/>
  <c r="L254" i="20"/>
  <c r="S253" i="20"/>
  <c r="O258" i="20"/>
  <c r="O257" i="20"/>
  <c r="O256" i="20"/>
  <c r="O255" i="20"/>
  <c r="O254" i="20"/>
  <c r="R258" i="20"/>
  <c r="R257" i="20"/>
  <c r="R256" i="20"/>
  <c r="R255" i="20"/>
  <c r="R254" i="20"/>
  <c r="O258" i="13"/>
  <c r="O257" i="13"/>
  <c r="O256" i="13"/>
  <c r="O255" i="13"/>
  <c r="O254" i="13"/>
  <c r="R259" i="13"/>
  <c r="R258" i="13"/>
  <c r="R257" i="13"/>
  <c r="R256" i="13"/>
  <c r="R255" i="13"/>
  <c r="R254" i="13"/>
  <c r="O265" i="4"/>
  <c r="O266" i="4"/>
  <c r="O267" i="4"/>
  <c r="O268" i="4"/>
  <c r="O269" i="4"/>
  <c r="R175" i="13"/>
  <c r="R176" i="13"/>
  <c r="R177" i="13"/>
  <c r="R178" i="13"/>
  <c r="R179" i="13"/>
  <c r="O175" i="13"/>
  <c r="O176" i="13"/>
  <c r="O177" i="13"/>
  <c r="O178" i="13"/>
  <c r="O179" i="13"/>
  <c r="O180" i="13"/>
  <c r="S214" i="4"/>
  <c r="S253" i="13"/>
  <c r="L218" i="16"/>
  <c r="O218" i="16"/>
  <c r="R218" i="16"/>
  <c r="L249" i="4"/>
  <c r="O249" i="4"/>
  <c r="R249" i="4"/>
  <c r="I130" i="14"/>
  <c r="L130" i="14" s="1"/>
  <c r="L131" i="14" s="1"/>
  <c r="I131" i="13"/>
  <c r="P130" i="14"/>
  <c r="R130" i="14" s="1"/>
  <c r="P131" i="13"/>
  <c r="M130" i="14"/>
  <c r="O130" i="14" s="1"/>
  <c r="M131" i="13"/>
  <c r="O238" i="15"/>
  <c r="O237" i="15"/>
  <c r="O236" i="15"/>
  <c r="O235" i="15"/>
  <c r="O234" i="15"/>
  <c r="L227" i="15"/>
  <c r="S226" i="15"/>
  <c r="O231" i="15"/>
  <c r="O230" i="15"/>
  <c r="O229" i="15"/>
  <c r="O228" i="15"/>
  <c r="O227" i="15"/>
  <c r="R231" i="15"/>
  <c r="R230" i="15"/>
  <c r="R229" i="15"/>
  <c r="R228" i="15"/>
  <c r="R227" i="15"/>
  <c r="C102" i="16"/>
  <c r="C109" i="16"/>
  <c r="F48" i="22"/>
  <c r="C225" i="4"/>
  <c r="C8" i="4"/>
  <c r="C17" i="4" s="1"/>
  <c r="C98" i="4"/>
  <c r="B86" i="4"/>
  <c r="C131" i="14"/>
  <c r="C36" i="3"/>
  <c r="D36" i="3" s="1"/>
  <c r="C37" i="3"/>
  <c r="D37" i="3" s="1"/>
  <c r="C17" i="16"/>
  <c r="C24" i="16"/>
  <c r="C10" i="16"/>
  <c r="C17" i="15"/>
  <c r="C10" i="15"/>
  <c r="C24" i="15"/>
  <c r="C38" i="3"/>
  <c r="D38" i="3" s="1"/>
  <c r="D28" i="23" l="1"/>
  <c r="D63" i="23"/>
  <c r="D27" i="25"/>
  <c r="F27" i="25" s="1"/>
  <c r="C27" i="25" s="1"/>
  <c r="D63" i="20"/>
  <c r="C250" i="4"/>
  <c r="C223" i="4"/>
  <c r="F46" i="25"/>
  <c r="F60" i="25"/>
  <c r="C60" i="25" s="1"/>
  <c r="K121" i="22"/>
  <c r="K122" i="23"/>
  <c r="R204" i="22"/>
  <c r="R203" i="22"/>
  <c r="R202" i="22"/>
  <c r="R201" i="22"/>
  <c r="R200" i="22"/>
  <c r="O205" i="22"/>
  <c r="O204" i="22"/>
  <c r="O203" i="22"/>
  <c r="O202" i="22"/>
  <c r="O201" i="22"/>
  <c r="O200" i="22"/>
  <c r="L200" i="22"/>
  <c r="S199" i="22"/>
  <c r="L219" i="16"/>
  <c r="S218" i="16"/>
  <c r="O223" i="16"/>
  <c r="O222" i="16"/>
  <c r="O221" i="16"/>
  <c r="O220" i="16"/>
  <c r="O219" i="16"/>
  <c r="R224" i="16"/>
  <c r="R223" i="16"/>
  <c r="R222" i="16"/>
  <c r="R221" i="16"/>
  <c r="R220" i="16"/>
  <c r="R219" i="16"/>
  <c r="L250" i="4"/>
  <c r="S249" i="4"/>
  <c r="O254" i="4"/>
  <c r="O253" i="4"/>
  <c r="O252" i="4"/>
  <c r="O251" i="4"/>
  <c r="O250" i="4"/>
  <c r="O256" i="4" s="1"/>
  <c r="R255" i="4"/>
  <c r="R254" i="4"/>
  <c r="R253" i="4"/>
  <c r="R252" i="4"/>
  <c r="R251" i="4"/>
  <c r="R250" i="4"/>
  <c r="R256" i="4" s="1"/>
  <c r="R135" i="14"/>
  <c r="R134" i="14"/>
  <c r="R133" i="14"/>
  <c r="R132" i="14"/>
  <c r="R131" i="14"/>
  <c r="O136" i="14"/>
  <c r="O135" i="14"/>
  <c r="O134" i="14"/>
  <c r="O133" i="14"/>
  <c r="O132" i="14"/>
  <c r="O131" i="14"/>
  <c r="S130" i="14"/>
  <c r="C48" i="22"/>
  <c r="C47" i="22" s="1"/>
  <c r="C63" i="22" s="1"/>
  <c r="F47" i="22"/>
  <c r="C265" i="4"/>
  <c r="C227" i="4"/>
  <c r="C258" i="4"/>
  <c r="C235" i="4"/>
  <c r="B225" i="4"/>
  <c r="C242" i="4"/>
  <c r="C10" i="4"/>
  <c r="B8" i="4"/>
  <c r="C24" i="4"/>
  <c r="C138" i="14"/>
  <c r="C124" i="14"/>
  <c r="D86" i="3"/>
  <c r="D87" i="3"/>
  <c r="D88" i="3"/>
  <c r="D89" i="3"/>
  <c r="D90" i="3"/>
  <c r="D84" i="3"/>
  <c r="C46" i="25" l="1"/>
  <c r="D137" i="25"/>
  <c r="F137" i="25" s="1"/>
  <c r="C137" i="25" s="1"/>
  <c r="D98" i="25"/>
  <c r="F98" i="25" s="1"/>
  <c r="C98" i="25" s="1"/>
  <c r="C56" i="22"/>
  <c r="C72" i="22"/>
  <c r="C49" i="22"/>
  <c r="C52" i="3"/>
  <c r="D52" i="3" s="1"/>
  <c r="C51" i="3"/>
  <c r="D51" i="3" s="1"/>
  <c r="L31" i="8" l="1"/>
  <c r="C7" i="3" l="1"/>
  <c r="D7" i="3" s="1"/>
  <c r="G7" i="3" s="1"/>
  <c r="D16" i="25" l="1"/>
  <c r="D69" i="25" l="1"/>
  <c r="F16" i="25"/>
  <c r="F39" i="12"/>
  <c r="G39" i="12" s="1"/>
  <c r="I39" i="12" s="1"/>
  <c r="F38" i="12"/>
  <c r="G38" i="12" s="1"/>
  <c r="I38" i="12" s="1"/>
  <c r="F37" i="12"/>
  <c r="G37" i="12" s="1"/>
  <c r="I37" i="12" s="1"/>
  <c r="F18" i="12"/>
  <c r="G18" i="12" s="1"/>
  <c r="I18" i="12" s="1"/>
  <c r="F17" i="12"/>
  <c r="G17" i="12" s="1"/>
  <c r="I17" i="12" s="1"/>
  <c r="F16" i="12"/>
  <c r="G16" i="12" s="1"/>
  <c r="I16" i="12" s="1"/>
  <c r="I15" i="12" s="1"/>
  <c r="K91" i="8" s="1"/>
  <c r="C10" i="3" l="1"/>
  <c r="D10" i="3" s="1"/>
  <c r="C9" i="3"/>
  <c r="D9" i="3" s="1"/>
  <c r="C16" i="25"/>
  <c r="I36" i="12"/>
  <c r="J37" i="12" s="1"/>
  <c r="K243" i="25" l="1"/>
  <c r="K242" i="22"/>
  <c r="K252" i="14"/>
  <c r="K262" i="14"/>
  <c r="K285" i="4"/>
  <c r="K258" i="4"/>
  <c r="K265" i="4"/>
  <c r="K92" i="8"/>
  <c r="J38" i="12"/>
  <c r="J39" i="12"/>
  <c r="F69" i="25" l="1"/>
  <c r="C69" i="25" s="1"/>
  <c r="K244" i="25"/>
  <c r="K245" i="25"/>
  <c r="K243" i="22"/>
  <c r="K253" i="14"/>
  <c r="K263" i="14"/>
  <c r="K286" i="4"/>
  <c r="K259" i="4"/>
  <c r="K266" i="4"/>
  <c r="K244" i="22"/>
  <c r="K254" i="14"/>
  <c r="K264" i="14"/>
  <c r="K287" i="4"/>
  <c r="K260" i="4"/>
  <c r="K267" i="4"/>
  <c r="K93" i="8"/>
  <c r="K94" i="8"/>
  <c r="D53" i="25" l="1"/>
  <c r="D194" i="23"/>
  <c r="K288" i="4"/>
  <c r="K261" i="4"/>
  <c r="K268" i="4"/>
  <c r="K95" i="8"/>
  <c r="D45" i="25" l="1"/>
  <c r="F53" i="25"/>
  <c r="D209" i="20"/>
  <c r="F209" i="20" s="1"/>
  <c r="F194" i="23"/>
  <c r="H209" i="20"/>
  <c r="C209" i="20"/>
  <c r="F45" i="25" l="1"/>
  <c r="C53" i="25"/>
  <c r="D187" i="23"/>
  <c r="D202" i="20"/>
  <c r="R209" i="20"/>
  <c r="O209" i="20"/>
  <c r="L209" i="20"/>
  <c r="L210" i="20" s="1"/>
  <c r="H194" i="23"/>
  <c r="C194" i="23"/>
  <c r="F202" i="20"/>
  <c r="D201" i="20"/>
  <c r="C45" i="25" l="1"/>
  <c r="C54" i="25"/>
  <c r="D217" i="14"/>
  <c r="R210" i="20"/>
  <c r="R211" i="20"/>
  <c r="R212" i="20"/>
  <c r="R213" i="20"/>
  <c r="R214" i="20"/>
  <c r="O210" i="20"/>
  <c r="O211" i="20"/>
  <c r="O212" i="20"/>
  <c r="O213" i="20"/>
  <c r="O214" i="20"/>
  <c r="O215" i="20"/>
  <c r="L194" i="23"/>
  <c r="L195" i="23" s="1"/>
  <c r="O194" i="23"/>
  <c r="R194" i="23"/>
  <c r="F187" i="23"/>
  <c r="D186" i="23"/>
  <c r="H202" i="20"/>
  <c r="C202" i="20"/>
  <c r="E27" i="3"/>
  <c r="C70" i="25" l="1"/>
  <c r="C47" i="25"/>
  <c r="C61" i="25"/>
  <c r="F217" i="14"/>
  <c r="D209" i="14"/>
  <c r="R216" i="20"/>
  <c r="O216" i="20"/>
  <c r="L202" i="20"/>
  <c r="O202" i="20"/>
  <c r="R202" i="20"/>
  <c r="O200" i="23"/>
  <c r="O199" i="23"/>
  <c r="O198" i="23"/>
  <c r="O197" i="23"/>
  <c r="O196" i="23"/>
  <c r="O195" i="23"/>
  <c r="O201" i="23" s="1"/>
  <c r="R199" i="23"/>
  <c r="R198" i="23"/>
  <c r="R197" i="23"/>
  <c r="R196" i="23"/>
  <c r="R195" i="23"/>
  <c r="R201" i="23" s="1"/>
  <c r="H187" i="23"/>
  <c r="F186" i="23"/>
  <c r="C187" i="23"/>
  <c r="C186" i="23" s="1"/>
  <c r="B186" i="23" s="1"/>
  <c r="C201" i="20"/>
  <c r="I13" i="3"/>
  <c r="I16" i="3"/>
  <c r="I15" i="3"/>
  <c r="I14" i="3"/>
  <c r="O21" i="3"/>
  <c r="O23" i="3"/>
  <c r="O28" i="3"/>
  <c r="P28" i="3" s="1"/>
  <c r="O24" i="3"/>
  <c r="O22" i="3"/>
  <c r="O27" i="3"/>
  <c r="O25" i="3"/>
  <c r="O20" i="3"/>
  <c r="O26" i="3"/>
  <c r="I91" i="3"/>
  <c r="I100" i="3"/>
  <c r="I87" i="3"/>
  <c r="I95" i="3"/>
  <c r="I88" i="3"/>
  <c r="I86" i="3"/>
  <c r="I90" i="3"/>
  <c r="I96" i="3"/>
  <c r="I93" i="3"/>
  <c r="I84" i="3"/>
  <c r="I99" i="3"/>
  <c r="I97" i="3"/>
  <c r="I94" i="3"/>
  <c r="I85" i="3"/>
  <c r="I98" i="3"/>
  <c r="I89" i="3"/>
  <c r="H13" i="3"/>
  <c r="D16" i="1"/>
  <c r="H16" i="3"/>
  <c r="D19" i="1"/>
  <c r="D18" i="1"/>
  <c r="H15" i="3"/>
  <c r="D17" i="1"/>
  <c r="H14" i="3"/>
  <c r="E15" i="3"/>
  <c r="C18" i="1"/>
  <c r="E14" i="3"/>
  <c r="C17" i="1"/>
  <c r="E13" i="3"/>
  <c r="C16" i="1"/>
  <c r="E16" i="3"/>
  <c r="C19" i="1"/>
  <c r="H114" i="3"/>
  <c r="D77" i="1"/>
  <c r="H87" i="3"/>
  <c r="H99" i="3"/>
  <c r="H89" i="3"/>
  <c r="H98" i="3"/>
  <c r="D79" i="1"/>
  <c r="H96" i="3"/>
  <c r="H116" i="3"/>
  <c r="D80" i="1"/>
  <c r="D75" i="1"/>
  <c r="H97" i="3"/>
  <c r="H90" i="3"/>
  <c r="H115" i="3"/>
  <c r="D78" i="1"/>
  <c r="H117" i="3"/>
  <c r="H86" i="3"/>
  <c r="H113" i="3"/>
  <c r="H91" i="3"/>
  <c r="D81" i="1"/>
  <c r="H118" i="3"/>
  <c r="H100" i="3"/>
  <c r="H95" i="3"/>
  <c r="H88" i="3"/>
  <c r="H112" i="3"/>
  <c r="H94" i="3"/>
  <c r="D76" i="1"/>
  <c r="H93" i="3"/>
  <c r="H92" i="3" s="1"/>
  <c r="H84" i="3"/>
  <c r="D74" i="1"/>
  <c r="H111" i="3"/>
  <c r="H110" i="3" s="1"/>
  <c r="H85" i="3"/>
  <c r="E22" i="3"/>
  <c r="C25" i="1"/>
  <c r="C26" i="1"/>
  <c r="E24" i="3"/>
  <c r="C27" i="1"/>
  <c r="E23" i="3"/>
  <c r="E25" i="3"/>
  <c r="C28" i="1"/>
  <c r="E26" i="3"/>
  <c r="C29" i="1"/>
  <c r="C31" i="1"/>
  <c r="E28" i="3"/>
  <c r="E20" i="3"/>
  <c r="C30" i="1"/>
  <c r="E21" i="3"/>
  <c r="C24" i="1"/>
  <c r="C23" i="1"/>
  <c r="C22" i="1" s="1"/>
  <c r="C74" i="1"/>
  <c r="E86" i="3"/>
  <c r="E84" i="3"/>
  <c r="E111" i="3"/>
  <c r="E91" i="3"/>
  <c r="E117" i="3"/>
  <c r="E90" i="3"/>
  <c r="E113" i="3"/>
  <c r="E85" i="3"/>
  <c r="E112" i="3"/>
  <c r="C75" i="1"/>
  <c r="C76" i="1"/>
  <c r="E115" i="3"/>
  <c r="C81" i="1"/>
  <c r="E118" i="3"/>
  <c r="C79" i="1"/>
  <c r="E88" i="3"/>
  <c r="C78" i="1"/>
  <c r="E116" i="3"/>
  <c r="E89" i="3"/>
  <c r="C80" i="1"/>
  <c r="E87" i="3"/>
  <c r="C77" i="1"/>
  <c r="E114" i="3"/>
  <c r="H20" i="3"/>
  <c r="H24" i="3"/>
  <c r="H28" i="3"/>
  <c r="D29" i="1"/>
  <c r="H26" i="3"/>
  <c r="D27" i="1"/>
  <c r="D31" i="1"/>
  <c r="D23" i="1"/>
  <c r="D26" i="1"/>
  <c r="H23" i="3"/>
  <c r="D28" i="1"/>
  <c r="D30" i="1"/>
  <c r="H27" i="3"/>
  <c r="D25" i="1"/>
  <c r="H21" i="3"/>
  <c r="D24" i="1"/>
  <c r="H22" i="3"/>
  <c r="H25" i="3"/>
  <c r="D206" i="22" l="1"/>
  <c r="H217" i="14"/>
  <c r="F209" i="14"/>
  <c r="C217" i="14"/>
  <c r="C209" i="14" s="1"/>
  <c r="B209" i="14" s="1"/>
  <c r="L201" i="20"/>
  <c r="L203" i="20"/>
  <c r="L219" i="20" s="1"/>
  <c r="L218" i="20" s="1"/>
  <c r="O201" i="20"/>
  <c r="O203" i="20"/>
  <c r="O219" i="20" s="1"/>
  <c r="O204" i="20"/>
  <c r="O220" i="20" s="1"/>
  <c r="O205" i="20"/>
  <c r="O221" i="20" s="1"/>
  <c r="O206" i="20"/>
  <c r="O222" i="20" s="1"/>
  <c r="O207" i="20"/>
  <c r="O223" i="20" s="1"/>
  <c r="O208" i="20"/>
  <c r="O224" i="20" s="1"/>
  <c r="R201" i="20"/>
  <c r="R203" i="20"/>
  <c r="R219" i="20" s="1"/>
  <c r="R204" i="20"/>
  <c r="R220" i="20" s="1"/>
  <c r="R205" i="20"/>
  <c r="R221" i="20" s="1"/>
  <c r="R206" i="20"/>
  <c r="R222" i="20" s="1"/>
  <c r="R207" i="20"/>
  <c r="R223" i="20" s="1"/>
  <c r="L187" i="23"/>
  <c r="O187" i="23"/>
  <c r="R187" i="23"/>
  <c r="J13" i="3"/>
  <c r="K47" i="25" s="1"/>
  <c r="L47" i="25" s="1"/>
  <c r="I12" i="3"/>
  <c r="J16" i="3"/>
  <c r="K50" i="25" s="1"/>
  <c r="L50" i="25" s="1"/>
  <c r="J15" i="3"/>
  <c r="K49" i="25" s="1"/>
  <c r="L49" i="25" s="1"/>
  <c r="J14" i="3"/>
  <c r="K48" i="25" s="1"/>
  <c r="L48" i="25" s="1"/>
  <c r="J91" i="3"/>
  <c r="J100" i="3"/>
  <c r="J87" i="3"/>
  <c r="J95" i="3"/>
  <c r="J88" i="3"/>
  <c r="J86" i="3"/>
  <c r="J90" i="3"/>
  <c r="J96" i="3"/>
  <c r="J93" i="3"/>
  <c r="I92" i="3"/>
  <c r="J84" i="3"/>
  <c r="I83" i="3"/>
  <c r="J99" i="3"/>
  <c r="J97" i="3"/>
  <c r="J94" i="3"/>
  <c r="J85" i="3"/>
  <c r="J98" i="3"/>
  <c r="J89" i="3"/>
  <c r="D15" i="1"/>
  <c r="E15" i="1"/>
  <c r="D73" i="1"/>
  <c r="E73" i="1"/>
  <c r="D22" i="1"/>
  <c r="E22" i="1"/>
  <c r="O19" i="3"/>
  <c r="H12" i="3"/>
  <c r="C15" i="1"/>
  <c r="E19" i="3"/>
  <c r="C73" i="1"/>
  <c r="E83" i="3"/>
  <c r="H19" i="3"/>
  <c r="C210" i="20"/>
  <c r="C203" i="20"/>
  <c r="O14" i="3"/>
  <c r="O16" i="3"/>
  <c r="O13" i="3"/>
  <c r="M13" i="3" s="1"/>
  <c r="O15" i="3"/>
  <c r="O111" i="3"/>
  <c r="O84" i="3"/>
  <c r="M84" i="3" s="1"/>
  <c r="O93" i="3"/>
  <c r="M93" i="3" s="1"/>
  <c r="O102" i="3"/>
  <c r="O86" i="3"/>
  <c r="O95" i="3"/>
  <c r="O104" i="3"/>
  <c r="P104" i="3" s="1"/>
  <c r="O113" i="3"/>
  <c r="P113" i="3" s="1"/>
  <c r="O91" i="3"/>
  <c r="O100" i="3"/>
  <c r="O109" i="3"/>
  <c r="P109" i="3" s="1"/>
  <c r="O118" i="3"/>
  <c r="P118" i="3" s="1"/>
  <c r="O94" i="3"/>
  <c r="O103" i="3"/>
  <c r="P103" i="3" s="1"/>
  <c r="O85" i="3"/>
  <c r="O112" i="3"/>
  <c r="P112" i="3" s="1"/>
  <c r="O105" i="3"/>
  <c r="P105" i="3" s="1"/>
  <c r="O117" i="3"/>
  <c r="P117" i="3" s="1"/>
  <c r="O90" i="3"/>
  <c r="O99" i="3"/>
  <c r="O108" i="3"/>
  <c r="P108" i="3" s="1"/>
  <c r="O88" i="3"/>
  <c r="O97" i="3"/>
  <c r="O106" i="3"/>
  <c r="P106" i="3" s="1"/>
  <c r="O115" i="3"/>
  <c r="P115" i="3" s="1"/>
  <c r="O89" i="3"/>
  <c r="O116" i="3"/>
  <c r="P116" i="3" s="1"/>
  <c r="O107" i="3"/>
  <c r="P107" i="3" s="1"/>
  <c r="O114" i="3"/>
  <c r="P114" i="3" s="1"/>
  <c r="O96" i="3"/>
  <c r="O87" i="3"/>
  <c r="O98" i="3"/>
  <c r="I112" i="3"/>
  <c r="I106" i="3"/>
  <c r="I115" i="3"/>
  <c r="I105" i="3"/>
  <c r="I114" i="3"/>
  <c r="I107" i="3"/>
  <c r="I116" i="3"/>
  <c r="I118" i="3"/>
  <c r="I109" i="3"/>
  <c r="I104" i="3"/>
  <c r="I102" i="3"/>
  <c r="I111" i="3"/>
  <c r="I113" i="3"/>
  <c r="I117" i="3"/>
  <c r="I108" i="3"/>
  <c r="I103" i="3"/>
  <c r="I28" i="3"/>
  <c r="I26" i="3"/>
  <c r="M26" i="3" s="1"/>
  <c r="I22" i="3"/>
  <c r="M22" i="3" s="1"/>
  <c r="I23" i="3"/>
  <c r="M23" i="3" s="1"/>
  <c r="I24" i="3"/>
  <c r="M24" i="3" s="1"/>
  <c r="I20" i="3"/>
  <c r="I25" i="3"/>
  <c r="M25" i="3" s="1"/>
  <c r="I21" i="3"/>
  <c r="M21" i="3" s="1"/>
  <c r="I27" i="3"/>
  <c r="M27" i="3" s="1"/>
  <c r="F14" i="3"/>
  <c r="F15" i="3"/>
  <c r="G15" i="3" s="1"/>
  <c r="F13" i="3"/>
  <c r="G13" i="3" s="1"/>
  <c r="F16" i="3"/>
  <c r="F93" i="3"/>
  <c r="F84" i="3"/>
  <c r="F88" i="3"/>
  <c r="F97" i="3"/>
  <c r="F90" i="3"/>
  <c r="F99" i="3"/>
  <c r="F87" i="3"/>
  <c r="F96" i="3"/>
  <c r="F98" i="3"/>
  <c r="F89" i="3"/>
  <c r="F85" i="3"/>
  <c r="F94" i="3"/>
  <c r="F91" i="3"/>
  <c r="F100" i="3"/>
  <c r="F86" i="3"/>
  <c r="F95" i="3"/>
  <c r="F21" i="3"/>
  <c r="K21" i="3" s="1"/>
  <c r="F20" i="3"/>
  <c r="F22" i="3"/>
  <c r="K22" i="3" s="1"/>
  <c r="F27" i="3"/>
  <c r="K27" i="3" s="1"/>
  <c r="F28" i="3"/>
  <c r="F26" i="3"/>
  <c r="K26" i="3" s="1"/>
  <c r="K25" i="3"/>
  <c r="F24" i="3"/>
  <c r="K24" i="3" s="1"/>
  <c r="F23" i="3"/>
  <c r="K23" i="3" s="1"/>
  <c r="F109" i="3"/>
  <c r="F118" i="3"/>
  <c r="F103" i="3"/>
  <c r="F104" i="3"/>
  <c r="F108" i="3"/>
  <c r="F106" i="3"/>
  <c r="F105" i="3"/>
  <c r="F107" i="3"/>
  <c r="F102" i="3"/>
  <c r="F111" i="3"/>
  <c r="F113" i="3"/>
  <c r="F117" i="3"/>
  <c r="F112" i="3"/>
  <c r="F115" i="3"/>
  <c r="F114" i="3"/>
  <c r="F116" i="3"/>
  <c r="L12" i="8"/>
  <c r="L36" i="8" s="1"/>
  <c r="L35" i="8" s="1"/>
  <c r="K35" i="25" l="1"/>
  <c r="L35" i="25" s="1"/>
  <c r="K68" i="25"/>
  <c r="L68" i="25" s="1"/>
  <c r="K31" i="25"/>
  <c r="L31" i="25" s="1"/>
  <c r="K64" i="25"/>
  <c r="L64" i="25" s="1"/>
  <c r="K32" i="25"/>
  <c r="L32" i="25" s="1"/>
  <c r="K65" i="25"/>
  <c r="L65" i="25" s="1"/>
  <c r="K30" i="25"/>
  <c r="L30" i="25" s="1"/>
  <c r="L40" i="25" s="1"/>
  <c r="K63" i="25"/>
  <c r="L63" i="25" s="1"/>
  <c r="K34" i="25"/>
  <c r="L34" i="25" s="1"/>
  <c r="K67" i="25"/>
  <c r="L67" i="25" s="1"/>
  <c r="K28" i="25"/>
  <c r="L28" i="25" s="1"/>
  <c r="K61" i="25"/>
  <c r="L61" i="25" s="1"/>
  <c r="K29" i="25"/>
  <c r="L29" i="25" s="1"/>
  <c r="K62" i="25"/>
  <c r="L62" i="25" s="1"/>
  <c r="K33" i="25"/>
  <c r="L33" i="25" s="1"/>
  <c r="K66" i="25"/>
  <c r="L66" i="25" s="1"/>
  <c r="D198" i="22"/>
  <c r="F206" i="22"/>
  <c r="D182" i="20"/>
  <c r="F182" i="20" s="1"/>
  <c r="C182" i="20" s="1"/>
  <c r="L217" i="14"/>
  <c r="O217" i="14"/>
  <c r="R217" i="14"/>
  <c r="O218" i="20"/>
  <c r="R218" i="20"/>
  <c r="K47" i="14"/>
  <c r="L47" i="14" s="1"/>
  <c r="K50" i="20"/>
  <c r="K50" i="13"/>
  <c r="L50" i="13" s="1"/>
  <c r="K50" i="14"/>
  <c r="L50" i="14" s="1"/>
  <c r="K53" i="13"/>
  <c r="L53" i="13" s="1"/>
  <c r="K53" i="20"/>
  <c r="K49" i="14"/>
  <c r="L49" i="14" s="1"/>
  <c r="K52" i="13"/>
  <c r="L52" i="13" s="1"/>
  <c r="K52" i="20"/>
  <c r="K51" i="13"/>
  <c r="L51" i="13" s="1"/>
  <c r="K51" i="20"/>
  <c r="K48" i="14"/>
  <c r="L48" i="14" s="1"/>
  <c r="K68" i="14"/>
  <c r="L68" i="14" s="1"/>
  <c r="K35" i="14"/>
  <c r="L35" i="14" s="1"/>
  <c r="L41" i="14" s="1"/>
  <c r="K36" i="13"/>
  <c r="L36" i="13" s="1"/>
  <c r="K71" i="13"/>
  <c r="L71" i="13" s="1"/>
  <c r="K71" i="20"/>
  <c r="K36" i="20"/>
  <c r="K32" i="13"/>
  <c r="L32" i="13" s="1"/>
  <c r="K31" i="14"/>
  <c r="L31" i="14" s="1"/>
  <c r="K64" i="14"/>
  <c r="L64" i="14" s="1"/>
  <c r="K67" i="13"/>
  <c r="L67" i="13" s="1"/>
  <c r="K67" i="20"/>
  <c r="K32" i="20"/>
  <c r="K68" i="20"/>
  <c r="K33" i="13"/>
  <c r="L33" i="13" s="1"/>
  <c r="K65" i="14"/>
  <c r="L65" i="14" s="1"/>
  <c r="K68" i="13"/>
  <c r="L68" i="13" s="1"/>
  <c r="K33" i="20"/>
  <c r="K32" i="14"/>
  <c r="L32" i="14" s="1"/>
  <c r="K30" i="14"/>
  <c r="L30" i="14" s="1"/>
  <c r="L40" i="14" s="1"/>
  <c r="K63" i="14"/>
  <c r="L63" i="14" s="1"/>
  <c r="K31" i="20"/>
  <c r="K66" i="20"/>
  <c r="K31" i="13"/>
  <c r="L31" i="13" s="1"/>
  <c r="K66" i="13"/>
  <c r="L66" i="13" s="1"/>
  <c r="K35" i="20"/>
  <c r="K34" i="14"/>
  <c r="L34" i="14" s="1"/>
  <c r="K67" i="14"/>
  <c r="L67" i="14" s="1"/>
  <c r="K35" i="13"/>
  <c r="L35" i="13" s="1"/>
  <c r="K70" i="20"/>
  <c r="K70" i="13"/>
  <c r="L70" i="13" s="1"/>
  <c r="K61" i="14"/>
  <c r="L61" i="14" s="1"/>
  <c r="K29" i="13"/>
  <c r="L29" i="13" s="1"/>
  <c r="K28" i="14"/>
  <c r="L28" i="14" s="1"/>
  <c r="K64" i="20"/>
  <c r="K29" i="20"/>
  <c r="K64" i="13"/>
  <c r="L64" i="13" s="1"/>
  <c r="K30" i="13"/>
  <c r="L30" i="13" s="1"/>
  <c r="K62" i="14"/>
  <c r="L62" i="14" s="1"/>
  <c r="K29" i="14"/>
  <c r="L29" i="14" s="1"/>
  <c r="K65" i="13"/>
  <c r="L65" i="13" s="1"/>
  <c r="K30" i="20"/>
  <c r="K65" i="20"/>
  <c r="K33" i="14"/>
  <c r="L33" i="14" s="1"/>
  <c r="L38" i="14" s="1"/>
  <c r="K34" i="20"/>
  <c r="K34" i="13"/>
  <c r="L34" i="13" s="1"/>
  <c r="K69" i="20"/>
  <c r="K69" i="13"/>
  <c r="L69" i="13" s="1"/>
  <c r="K66" i="14"/>
  <c r="L66" i="14" s="1"/>
  <c r="K44" i="15"/>
  <c r="L44" i="15" s="1"/>
  <c r="K46" i="4"/>
  <c r="L46" i="4" s="1"/>
  <c r="L188" i="23"/>
  <c r="L204" i="23" s="1"/>
  <c r="L203" i="23" s="1"/>
  <c r="L186" i="23"/>
  <c r="O193" i="23"/>
  <c r="O209" i="23" s="1"/>
  <c r="O192" i="23"/>
  <c r="O208" i="23" s="1"/>
  <c r="O191" i="23"/>
  <c r="O207" i="23" s="1"/>
  <c r="O190" i="23"/>
  <c r="O206" i="23" s="1"/>
  <c r="O189" i="23"/>
  <c r="O205" i="23" s="1"/>
  <c r="O188" i="23"/>
  <c r="O204" i="23" s="1"/>
  <c r="O203" i="23" s="1"/>
  <c r="O186" i="23"/>
  <c r="R192" i="23"/>
  <c r="R208" i="23" s="1"/>
  <c r="R191" i="23"/>
  <c r="R207" i="23" s="1"/>
  <c r="R190" i="23"/>
  <c r="R206" i="23" s="1"/>
  <c r="R189" i="23"/>
  <c r="R205" i="23" s="1"/>
  <c r="R188" i="23"/>
  <c r="R204" i="23" s="1"/>
  <c r="R203" i="23" s="1"/>
  <c r="R186" i="23"/>
  <c r="J12" i="3"/>
  <c r="D5" i="9" s="1"/>
  <c r="N13" i="3"/>
  <c r="N93" i="3"/>
  <c r="J83" i="3"/>
  <c r="D19" i="9" s="1"/>
  <c r="N84" i="3"/>
  <c r="P13" i="3"/>
  <c r="O12" i="3"/>
  <c r="P111" i="3"/>
  <c r="P110" i="3" s="1"/>
  <c r="D22" i="19" s="1"/>
  <c r="E22" i="19" s="1"/>
  <c r="O110" i="3"/>
  <c r="P84" i="3"/>
  <c r="O83" i="3"/>
  <c r="P93" i="3"/>
  <c r="O92" i="3"/>
  <c r="P102" i="3"/>
  <c r="P101" i="3" s="1"/>
  <c r="D21" i="19" s="1"/>
  <c r="O101" i="3"/>
  <c r="J112" i="3"/>
  <c r="K182" i="25" s="1"/>
  <c r="L182" i="25" s="1"/>
  <c r="M112" i="3"/>
  <c r="N112" i="3" s="1"/>
  <c r="J106" i="3"/>
  <c r="K74" i="25" s="1"/>
  <c r="L74" i="25" s="1"/>
  <c r="M106" i="3"/>
  <c r="N106" i="3" s="1"/>
  <c r="J115" i="3"/>
  <c r="K185" i="25" s="1"/>
  <c r="L185" i="25" s="1"/>
  <c r="M115" i="3"/>
  <c r="N115" i="3" s="1"/>
  <c r="J105" i="3"/>
  <c r="K73" i="25" s="1"/>
  <c r="L73" i="25" s="1"/>
  <c r="M105" i="3"/>
  <c r="N105" i="3" s="1"/>
  <c r="J114" i="3"/>
  <c r="K184" i="25" s="1"/>
  <c r="L184" i="25" s="1"/>
  <c r="M114" i="3"/>
  <c r="N114" i="3" s="1"/>
  <c r="J107" i="3"/>
  <c r="K75" i="25" s="1"/>
  <c r="L75" i="25" s="1"/>
  <c r="M107" i="3"/>
  <c r="N107" i="3" s="1"/>
  <c r="J116" i="3"/>
  <c r="K186" i="25" s="1"/>
  <c r="L186" i="25" s="1"/>
  <c r="M116" i="3"/>
  <c r="N116" i="3" s="1"/>
  <c r="J118" i="3"/>
  <c r="K188" i="25" s="1"/>
  <c r="L188" i="25" s="1"/>
  <c r="M118" i="3"/>
  <c r="N118" i="3" s="1"/>
  <c r="J109" i="3"/>
  <c r="K77" i="25" s="1"/>
  <c r="L77" i="25" s="1"/>
  <c r="M109" i="3"/>
  <c r="N109" i="3" s="1"/>
  <c r="J104" i="3"/>
  <c r="K72" i="25" s="1"/>
  <c r="L72" i="25" s="1"/>
  <c r="L83" i="25" s="1"/>
  <c r="M104" i="3"/>
  <c r="N104" i="3" s="1"/>
  <c r="M102" i="3"/>
  <c r="I101" i="3"/>
  <c r="J102" i="3"/>
  <c r="K70" i="25" s="1"/>
  <c r="L70" i="25" s="1"/>
  <c r="M111" i="3"/>
  <c r="I110" i="3"/>
  <c r="J111" i="3"/>
  <c r="K181" i="25" s="1"/>
  <c r="L181" i="25" s="1"/>
  <c r="J113" i="3"/>
  <c r="K183" i="25" s="1"/>
  <c r="L183" i="25" s="1"/>
  <c r="M113" i="3"/>
  <c r="N113" i="3" s="1"/>
  <c r="J117" i="3"/>
  <c r="K187" i="25" s="1"/>
  <c r="L187" i="25" s="1"/>
  <c r="M117" i="3"/>
  <c r="N117" i="3" s="1"/>
  <c r="J108" i="3"/>
  <c r="K76" i="25" s="1"/>
  <c r="L76" i="25" s="1"/>
  <c r="M108" i="3"/>
  <c r="N108" i="3" s="1"/>
  <c r="J103" i="3"/>
  <c r="K71" i="25" s="1"/>
  <c r="L71" i="25" s="1"/>
  <c r="M103" i="3"/>
  <c r="N103" i="3" s="1"/>
  <c r="M28" i="3"/>
  <c r="N28" i="3" s="1"/>
  <c r="J28" i="3"/>
  <c r="K97" i="25" s="1"/>
  <c r="M20" i="3"/>
  <c r="M19" i="3" s="1"/>
  <c r="I19" i="3"/>
  <c r="G14" i="3"/>
  <c r="K14" i="3"/>
  <c r="L14" i="3" s="1"/>
  <c r="K15" i="3"/>
  <c r="L15" i="3" s="1"/>
  <c r="K13" i="3"/>
  <c r="F12" i="3"/>
  <c r="G16" i="3"/>
  <c r="K16" i="3"/>
  <c r="L16" i="3" s="1"/>
  <c r="G93" i="3"/>
  <c r="K93" i="3"/>
  <c r="K84" i="3"/>
  <c r="F83" i="3"/>
  <c r="G84" i="3"/>
  <c r="G88" i="3"/>
  <c r="K88" i="3"/>
  <c r="L88" i="3" s="1"/>
  <c r="G97" i="3"/>
  <c r="K97" i="3"/>
  <c r="L97" i="3" s="1"/>
  <c r="G90" i="3"/>
  <c r="K90" i="3"/>
  <c r="L90" i="3" s="1"/>
  <c r="G99" i="3"/>
  <c r="K99" i="3"/>
  <c r="L99" i="3" s="1"/>
  <c r="G87" i="3"/>
  <c r="K87" i="3"/>
  <c r="L87" i="3" s="1"/>
  <c r="G96" i="3"/>
  <c r="K96" i="3"/>
  <c r="L96" i="3" s="1"/>
  <c r="G98" i="3"/>
  <c r="K98" i="3"/>
  <c r="L98" i="3" s="1"/>
  <c r="G89" i="3"/>
  <c r="K89" i="3"/>
  <c r="L89" i="3" s="1"/>
  <c r="G85" i="3"/>
  <c r="K85" i="3"/>
  <c r="L85" i="3" s="1"/>
  <c r="G94" i="3"/>
  <c r="K94" i="3"/>
  <c r="L94" i="3" s="1"/>
  <c r="G91" i="3"/>
  <c r="K91" i="3"/>
  <c r="L91" i="3" s="1"/>
  <c r="G100" i="3"/>
  <c r="K100" i="3"/>
  <c r="L100" i="3" s="1"/>
  <c r="G86" i="3"/>
  <c r="K86" i="3"/>
  <c r="L86" i="3" s="1"/>
  <c r="G95" i="3"/>
  <c r="K95" i="3"/>
  <c r="L95" i="3" s="1"/>
  <c r="K20" i="3"/>
  <c r="F19" i="3"/>
  <c r="G28" i="3"/>
  <c r="K28" i="3"/>
  <c r="L28" i="3" s="1"/>
  <c r="J92" i="3"/>
  <c r="D20" i="9" s="1"/>
  <c r="P14" i="3"/>
  <c r="M14" i="3"/>
  <c r="P16" i="3"/>
  <c r="M16" i="3"/>
  <c r="N16" i="3" s="1"/>
  <c r="P15" i="3"/>
  <c r="M15" i="3"/>
  <c r="N15" i="3" s="1"/>
  <c r="P86" i="3"/>
  <c r="M86" i="3"/>
  <c r="N86" i="3" s="1"/>
  <c r="P95" i="3"/>
  <c r="M95" i="3"/>
  <c r="N95" i="3" s="1"/>
  <c r="P91" i="3"/>
  <c r="M91" i="3"/>
  <c r="N91" i="3" s="1"/>
  <c r="P100" i="3"/>
  <c r="M100" i="3"/>
  <c r="N100" i="3" s="1"/>
  <c r="P94" i="3"/>
  <c r="M94" i="3"/>
  <c r="P85" i="3"/>
  <c r="M85" i="3"/>
  <c r="P90" i="3"/>
  <c r="M90" i="3"/>
  <c r="N90" i="3" s="1"/>
  <c r="P99" i="3"/>
  <c r="M99" i="3"/>
  <c r="N99" i="3" s="1"/>
  <c r="P88" i="3"/>
  <c r="M88" i="3"/>
  <c r="N88" i="3" s="1"/>
  <c r="P97" i="3"/>
  <c r="M97" i="3"/>
  <c r="N97" i="3" s="1"/>
  <c r="P89" i="3"/>
  <c r="M89" i="3"/>
  <c r="N89" i="3" s="1"/>
  <c r="P96" i="3"/>
  <c r="M96" i="3"/>
  <c r="N96" i="3" s="1"/>
  <c r="P87" i="3"/>
  <c r="M87" i="3"/>
  <c r="N87" i="3" s="1"/>
  <c r="P98" i="3"/>
  <c r="M98" i="3"/>
  <c r="N98" i="3" s="1"/>
  <c r="O67" i="3"/>
  <c r="P67" i="3" s="1"/>
  <c r="O71" i="3"/>
  <c r="P71" i="3" s="1"/>
  <c r="O73" i="3"/>
  <c r="P73" i="3" s="1"/>
  <c r="O78" i="3"/>
  <c r="P78" i="3" s="1"/>
  <c r="O77" i="3"/>
  <c r="P77" i="3" s="1"/>
  <c r="O66" i="3"/>
  <c r="P66" i="3" s="1"/>
  <c r="O64" i="3"/>
  <c r="P64" i="3" s="1"/>
  <c r="O75" i="3"/>
  <c r="P75" i="3" s="1"/>
  <c r="O63" i="3"/>
  <c r="P63" i="3" s="1"/>
  <c r="O74" i="3"/>
  <c r="P74" i="3" s="1"/>
  <c r="O58" i="3"/>
  <c r="O59" i="3"/>
  <c r="P59" i="3" s="1"/>
  <c r="O65" i="3"/>
  <c r="P65" i="3" s="1"/>
  <c r="O70" i="3"/>
  <c r="P70" i="3" s="1"/>
  <c r="O76" i="3"/>
  <c r="P76" i="3" s="1"/>
  <c r="O69" i="3"/>
  <c r="O62" i="3"/>
  <c r="P62" i="3" s="1"/>
  <c r="O72" i="3"/>
  <c r="P72" i="3" s="1"/>
  <c r="O61" i="3"/>
  <c r="P61" i="3" s="1"/>
  <c r="O60" i="3"/>
  <c r="P60" i="3" s="1"/>
  <c r="O7" i="3"/>
  <c r="P7" i="3" s="1"/>
  <c r="O6" i="3"/>
  <c r="H54" i="3"/>
  <c r="H39" i="3"/>
  <c r="D42" i="1"/>
  <c r="D34" i="1"/>
  <c r="H46" i="3"/>
  <c r="H31" i="3"/>
  <c r="D35" i="1"/>
  <c r="H53" i="3"/>
  <c r="D41" i="1"/>
  <c r="D33" i="1"/>
  <c r="H38" i="3"/>
  <c r="H48" i="3"/>
  <c r="H32" i="3"/>
  <c r="H36" i="3"/>
  <c r="H51" i="3"/>
  <c r="D39" i="1"/>
  <c r="H34" i="3"/>
  <c r="D37" i="1"/>
  <c r="H49" i="3"/>
  <c r="D40" i="1"/>
  <c r="H37" i="3"/>
  <c r="H52" i="3"/>
  <c r="H33" i="3"/>
  <c r="D36" i="1"/>
  <c r="H30" i="3"/>
  <c r="H45" i="3"/>
  <c r="D38" i="1"/>
  <c r="H47" i="3"/>
  <c r="H35" i="3"/>
  <c r="H50" i="3"/>
  <c r="G109" i="3"/>
  <c r="K74" i="15" s="1"/>
  <c r="L74" i="15" s="1"/>
  <c r="K109" i="3"/>
  <c r="L109" i="3" s="1"/>
  <c r="G118" i="3"/>
  <c r="K118" i="3"/>
  <c r="L118" i="3" s="1"/>
  <c r="K103" i="3"/>
  <c r="L103" i="3" s="1"/>
  <c r="G103" i="3"/>
  <c r="K68" i="15" s="1"/>
  <c r="L68" i="15" s="1"/>
  <c r="K104" i="3"/>
  <c r="L104" i="3" s="1"/>
  <c r="G104" i="3"/>
  <c r="K69" i="15" s="1"/>
  <c r="L69" i="15" s="1"/>
  <c r="K108" i="3"/>
  <c r="L108" i="3" s="1"/>
  <c r="G108" i="3"/>
  <c r="K73" i="15" s="1"/>
  <c r="L73" i="15" s="1"/>
  <c r="K106" i="3"/>
  <c r="L106" i="3" s="1"/>
  <c r="G106" i="3"/>
  <c r="K71" i="15" s="1"/>
  <c r="L71" i="15" s="1"/>
  <c r="K105" i="3"/>
  <c r="L105" i="3" s="1"/>
  <c r="G105" i="3"/>
  <c r="K70" i="15" s="1"/>
  <c r="L70" i="15" s="1"/>
  <c r="K107" i="3"/>
  <c r="L107" i="3" s="1"/>
  <c r="G107" i="3"/>
  <c r="K72" i="15" s="1"/>
  <c r="L72" i="15" s="1"/>
  <c r="K102" i="3"/>
  <c r="G102" i="3"/>
  <c r="K67" i="15" s="1"/>
  <c r="L67" i="15" s="1"/>
  <c r="G111" i="3"/>
  <c r="F110" i="3"/>
  <c r="K111" i="3"/>
  <c r="K113" i="3"/>
  <c r="L113" i="3" s="1"/>
  <c r="G113" i="3"/>
  <c r="K117" i="3"/>
  <c r="L117" i="3" s="1"/>
  <c r="G117" i="3"/>
  <c r="K112" i="3"/>
  <c r="L112" i="3" s="1"/>
  <c r="G112" i="3"/>
  <c r="K115" i="3"/>
  <c r="L115" i="3" s="1"/>
  <c r="G115" i="3"/>
  <c r="K114" i="3"/>
  <c r="L114" i="3" s="1"/>
  <c r="G114" i="3"/>
  <c r="K116" i="3"/>
  <c r="L116" i="3" s="1"/>
  <c r="G116" i="3"/>
  <c r="K37" i="16" l="1"/>
  <c r="L37" i="16" s="1"/>
  <c r="K38" i="16"/>
  <c r="L38" i="16" s="1"/>
  <c r="K39" i="16"/>
  <c r="L39" i="16" s="1"/>
  <c r="K86" i="16"/>
  <c r="L86" i="16" s="1"/>
  <c r="K66" i="16"/>
  <c r="L66" i="16" s="1"/>
  <c r="K60" i="16"/>
  <c r="L60" i="16" s="1"/>
  <c r="K61" i="16"/>
  <c r="L61" i="16" s="1"/>
  <c r="K65" i="16"/>
  <c r="L65" i="16" s="1"/>
  <c r="K63" i="16"/>
  <c r="L63" i="16" s="1"/>
  <c r="K62" i="16"/>
  <c r="L62" i="16" s="1"/>
  <c r="K64" i="16"/>
  <c r="L64" i="16" s="1"/>
  <c r="L41" i="25"/>
  <c r="L84" i="25"/>
  <c r="L82" i="25"/>
  <c r="L37" i="25"/>
  <c r="L38" i="25"/>
  <c r="L81" i="25"/>
  <c r="L78" i="25"/>
  <c r="L80" i="25"/>
  <c r="F198" i="22"/>
  <c r="H206" i="22"/>
  <c r="C206" i="22"/>
  <c r="C198" i="22" s="1"/>
  <c r="B198" i="22" s="1"/>
  <c r="D49" i="20"/>
  <c r="L209" i="14"/>
  <c r="L218" i="14"/>
  <c r="O218" i="14"/>
  <c r="O219" i="14"/>
  <c r="O220" i="14"/>
  <c r="O221" i="14"/>
  <c r="O222" i="14"/>
  <c r="O223" i="14"/>
  <c r="O209" i="14"/>
  <c r="R218" i="14"/>
  <c r="R219" i="14"/>
  <c r="R220" i="14"/>
  <c r="R221" i="14"/>
  <c r="R222" i="14"/>
  <c r="R209" i="14"/>
  <c r="L37" i="13"/>
  <c r="L37" i="14"/>
  <c r="K49" i="22"/>
  <c r="L49" i="22" s="1"/>
  <c r="K50" i="23"/>
  <c r="K63" i="22"/>
  <c r="L63" i="22" s="1"/>
  <c r="K29" i="23"/>
  <c r="K29" i="22"/>
  <c r="L29" i="22" s="1"/>
  <c r="K64" i="23"/>
  <c r="K152" i="14"/>
  <c r="L152" i="14" s="1"/>
  <c r="K191" i="14"/>
  <c r="L191" i="14" s="1"/>
  <c r="K184" i="13"/>
  <c r="L184" i="13" s="1"/>
  <c r="K184" i="20"/>
  <c r="L184" i="20" s="1"/>
  <c r="K147" i="23"/>
  <c r="K178" i="23"/>
  <c r="K146" i="22"/>
  <c r="L146" i="22" s="1"/>
  <c r="K176" i="22"/>
  <c r="L176" i="22" s="1"/>
  <c r="K77" i="13"/>
  <c r="L77" i="13" s="1"/>
  <c r="K77" i="20"/>
  <c r="K74" i="14"/>
  <c r="L74" i="14" s="1"/>
  <c r="K76" i="22"/>
  <c r="L76" i="22" s="1"/>
  <c r="K77" i="23"/>
  <c r="K155" i="14"/>
  <c r="L155" i="14" s="1"/>
  <c r="K187" i="13"/>
  <c r="L187" i="13" s="1"/>
  <c r="K187" i="20"/>
  <c r="L187" i="20" s="1"/>
  <c r="K194" i="14"/>
  <c r="L194" i="14" s="1"/>
  <c r="K179" i="22"/>
  <c r="L179" i="22" s="1"/>
  <c r="K149" i="22"/>
  <c r="L149" i="22" s="1"/>
  <c r="K150" i="23"/>
  <c r="K181" i="23"/>
  <c r="K76" i="20"/>
  <c r="K73" i="14"/>
  <c r="L73" i="14" s="1"/>
  <c r="K76" i="13"/>
  <c r="L76" i="13" s="1"/>
  <c r="K76" i="23"/>
  <c r="K75" i="22"/>
  <c r="L75" i="22" s="1"/>
  <c r="K154" i="14"/>
  <c r="L154" i="14" s="1"/>
  <c r="K193" i="14"/>
  <c r="L193" i="14" s="1"/>
  <c r="K186" i="20"/>
  <c r="L186" i="20" s="1"/>
  <c r="K186" i="13"/>
  <c r="L186" i="13" s="1"/>
  <c r="K149" i="23"/>
  <c r="K180" i="23"/>
  <c r="K148" i="22"/>
  <c r="L148" i="22" s="1"/>
  <c r="K178" i="22"/>
  <c r="L178" i="22" s="1"/>
  <c r="K78" i="13"/>
  <c r="L78" i="13" s="1"/>
  <c r="L84" i="13" s="1"/>
  <c r="K78" i="20"/>
  <c r="K75" i="14"/>
  <c r="L75" i="14" s="1"/>
  <c r="L81" i="14" s="1"/>
  <c r="K78" i="23"/>
  <c r="K77" i="22"/>
  <c r="L77" i="22" s="1"/>
  <c r="K156" i="14"/>
  <c r="L156" i="14" s="1"/>
  <c r="K188" i="13"/>
  <c r="L188" i="13" s="1"/>
  <c r="K188" i="20"/>
  <c r="L188" i="20" s="1"/>
  <c r="K195" i="14"/>
  <c r="L195" i="14" s="1"/>
  <c r="K151" i="23"/>
  <c r="K182" i="23"/>
  <c r="K150" i="22"/>
  <c r="L150" i="22" s="1"/>
  <c r="K180" i="22"/>
  <c r="L180" i="22" s="1"/>
  <c r="K190" i="20"/>
  <c r="L190" i="20" s="1"/>
  <c r="K197" i="14"/>
  <c r="L197" i="14" s="1"/>
  <c r="K158" i="14"/>
  <c r="L158" i="14" s="1"/>
  <c r="K190" i="13"/>
  <c r="L190" i="13" s="1"/>
  <c r="K153" i="23"/>
  <c r="K184" i="23"/>
  <c r="K182" i="22"/>
  <c r="L182" i="22" s="1"/>
  <c r="K152" i="22"/>
  <c r="L152" i="22" s="1"/>
  <c r="K80" i="20"/>
  <c r="K80" i="13"/>
  <c r="L80" i="13" s="1"/>
  <c r="L87" i="13" s="1"/>
  <c r="K77" i="14"/>
  <c r="L77" i="14" s="1"/>
  <c r="L84" i="14" s="1"/>
  <c r="K80" i="23"/>
  <c r="K79" i="22"/>
  <c r="L79" i="22" s="1"/>
  <c r="K75" i="13"/>
  <c r="L75" i="13" s="1"/>
  <c r="L86" i="13" s="1"/>
  <c r="K75" i="20"/>
  <c r="K72" i="14"/>
  <c r="L72" i="14" s="1"/>
  <c r="L83" i="14" s="1"/>
  <c r="K75" i="23"/>
  <c r="K74" i="22"/>
  <c r="L74" i="22" s="1"/>
  <c r="K73" i="20"/>
  <c r="K73" i="13"/>
  <c r="L73" i="13" s="1"/>
  <c r="K70" i="14"/>
  <c r="L70" i="14" s="1"/>
  <c r="K151" i="14"/>
  <c r="L151" i="14" s="1"/>
  <c r="K183" i="13"/>
  <c r="L183" i="13" s="1"/>
  <c r="K183" i="20"/>
  <c r="L183" i="20" s="1"/>
  <c r="K190" i="14"/>
  <c r="L190" i="14" s="1"/>
  <c r="K153" i="14"/>
  <c r="L153" i="14" s="1"/>
  <c r="K185" i="20"/>
  <c r="L185" i="20" s="1"/>
  <c r="K192" i="14"/>
  <c r="L192" i="14" s="1"/>
  <c r="K185" i="13"/>
  <c r="L185" i="13" s="1"/>
  <c r="K179" i="23"/>
  <c r="K148" i="23"/>
  <c r="K177" i="22"/>
  <c r="L177" i="22" s="1"/>
  <c r="K147" i="22"/>
  <c r="L147" i="22" s="1"/>
  <c r="K196" i="14"/>
  <c r="L196" i="14" s="1"/>
  <c r="K189" i="13"/>
  <c r="L189" i="13" s="1"/>
  <c r="K189" i="20"/>
  <c r="L189" i="20" s="1"/>
  <c r="K157" i="14"/>
  <c r="L157" i="14" s="1"/>
  <c r="K152" i="23"/>
  <c r="K183" i="23"/>
  <c r="K181" i="22"/>
  <c r="L181" i="22" s="1"/>
  <c r="K151" i="22"/>
  <c r="L151" i="22" s="1"/>
  <c r="K79" i="20"/>
  <c r="K79" i="13"/>
  <c r="L79" i="13" s="1"/>
  <c r="L85" i="13" s="1"/>
  <c r="K76" i="14"/>
  <c r="L76" i="14" s="1"/>
  <c r="L82" i="14" s="1"/>
  <c r="K79" i="23"/>
  <c r="K78" i="22"/>
  <c r="L78" i="22" s="1"/>
  <c r="K74" i="20"/>
  <c r="K74" i="13"/>
  <c r="L74" i="13" s="1"/>
  <c r="K71" i="14"/>
  <c r="L71" i="14" s="1"/>
  <c r="K74" i="23"/>
  <c r="K73" i="22"/>
  <c r="L73" i="22" s="1"/>
  <c r="K100" i="23"/>
  <c r="K99" i="22"/>
  <c r="K100" i="13"/>
  <c r="L100" i="13" s="1"/>
  <c r="L120" i="13" s="1"/>
  <c r="K100" i="20"/>
  <c r="K97" i="14"/>
  <c r="K47" i="4"/>
  <c r="L47" i="4" s="1"/>
  <c r="K45" i="15"/>
  <c r="L45" i="15" s="1"/>
  <c r="K46" i="15"/>
  <c r="L46" i="15" s="1"/>
  <c r="K48" i="4"/>
  <c r="L48" i="4" s="1"/>
  <c r="K49" i="4"/>
  <c r="L49" i="4" s="1"/>
  <c r="K47" i="15"/>
  <c r="L47" i="15" s="1"/>
  <c r="K60" i="4"/>
  <c r="L60" i="4" s="1"/>
  <c r="K24" i="4"/>
  <c r="L24" i="4" s="1"/>
  <c r="K58" i="15"/>
  <c r="L58" i="15" s="1"/>
  <c r="K24" i="15"/>
  <c r="L24" i="15" s="1"/>
  <c r="K69" i="4"/>
  <c r="L69" i="4" s="1"/>
  <c r="K62" i="15"/>
  <c r="L62" i="15" s="1"/>
  <c r="K28" i="4"/>
  <c r="L28" i="4" s="1"/>
  <c r="K64" i="4"/>
  <c r="L64" i="4" s="1"/>
  <c r="K28" i="15"/>
  <c r="L28" i="15" s="1"/>
  <c r="K73" i="4"/>
  <c r="L73" i="4" s="1"/>
  <c r="K28" i="16"/>
  <c r="L28" i="16" s="1"/>
  <c r="K54" i="16"/>
  <c r="L54" i="16" s="1"/>
  <c r="K30" i="4"/>
  <c r="L30" i="4" s="1"/>
  <c r="L36" i="4" s="1"/>
  <c r="K64" i="15"/>
  <c r="L64" i="15" s="1"/>
  <c r="L79" i="15" s="1"/>
  <c r="K75" i="4"/>
  <c r="L75" i="4" s="1"/>
  <c r="K66" i="4"/>
  <c r="L66" i="4" s="1"/>
  <c r="K30" i="15"/>
  <c r="L30" i="15" s="1"/>
  <c r="K56" i="16"/>
  <c r="L56" i="16" s="1"/>
  <c r="L71" i="16" s="1"/>
  <c r="K30" i="16"/>
  <c r="L30" i="16" s="1"/>
  <c r="K63" i="4"/>
  <c r="L63" i="4" s="1"/>
  <c r="K61" i="15"/>
  <c r="L61" i="15" s="1"/>
  <c r="K27" i="15"/>
  <c r="L27" i="15" s="1"/>
  <c r="K72" i="4"/>
  <c r="L72" i="4" s="1"/>
  <c r="K27" i="4"/>
  <c r="L27" i="4" s="1"/>
  <c r="K53" i="16"/>
  <c r="L53" i="16" s="1"/>
  <c r="K27" i="16"/>
  <c r="L27" i="16" s="1"/>
  <c r="K29" i="4"/>
  <c r="L29" i="4" s="1"/>
  <c r="L35" i="4" s="1"/>
  <c r="K65" i="4"/>
  <c r="L65" i="4" s="1"/>
  <c r="K63" i="15"/>
  <c r="L63" i="15" s="1"/>
  <c r="L78" i="15" s="1"/>
  <c r="K74" i="4"/>
  <c r="L74" i="4" s="1"/>
  <c r="K29" i="15"/>
  <c r="L29" i="15" s="1"/>
  <c r="L35" i="15" s="1"/>
  <c r="K29" i="16"/>
  <c r="L29" i="16" s="1"/>
  <c r="K55" i="16"/>
  <c r="L55" i="16" s="1"/>
  <c r="L70" i="16" s="1"/>
  <c r="K61" i="4"/>
  <c r="L61" i="4" s="1"/>
  <c r="K59" i="15"/>
  <c r="L59" i="15" s="1"/>
  <c r="K70" i="4"/>
  <c r="L70" i="4" s="1"/>
  <c r="K25" i="4"/>
  <c r="L25" i="4" s="1"/>
  <c r="K25" i="15"/>
  <c r="L25" i="15" s="1"/>
  <c r="K25" i="16"/>
  <c r="L25" i="16" s="1"/>
  <c r="K51" i="16"/>
  <c r="L51" i="16" s="1"/>
  <c r="K31" i="4"/>
  <c r="L31" i="4" s="1"/>
  <c r="L38" i="4" s="1"/>
  <c r="K76" i="4"/>
  <c r="L76" i="4" s="1"/>
  <c r="K31" i="15"/>
  <c r="L31" i="15" s="1"/>
  <c r="L38" i="15" s="1"/>
  <c r="K65" i="15"/>
  <c r="L65" i="15" s="1"/>
  <c r="L81" i="15" s="1"/>
  <c r="K67" i="4"/>
  <c r="L67" i="4" s="1"/>
  <c r="L83" i="4" s="1"/>
  <c r="K31" i="16"/>
  <c r="L31" i="16" s="1"/>
  <c r="K57" i="16"/>
  <c r="L57" i="16" s="1"/>
  <c r="L73" i="16" s="1"/>
  <c r="K60" i="15"/>
  <c r="L60" i="15" s="1"/>
  <c r="L80" i="15" s="1"/>
  <c r="K62" i="4"/>
  <c r="L62" i="4" s="1"/>
  <c r="K71" i="4"/>
  <c r="L71" i="4" s="1"/>
  <c r="K26" i="15"/>
  <c r="L26" i="15" s="1"/>
  <c r="L37" i="15" s="1"/>
  <c r="K26" i="4"/>
  <c r="L26" i="4" s="1"/>
  <c r="L37" i="4" s="1"/>
  <c r="K26" i="16"/>
  <c r="L26" i="16" s="1"/>
  <c r="K52" i="16"/>
  <c r="L52" i="16" s="1"/>
  <c r="L72" i="16" s="1"/>
  <c r="K94" i="15"/>
  <c r="L94" i="15" s="1"/>
  <c r="L113" i="15" s="1"/>
  <c r="K96" i="4"/>
  <c r="L96" i="4" s="1"/>
  <c r="L115" i="4" s="1"/>
  <c r="K53" i="23"/>
  <c r="K52" i="22"/>
  <c r="L52" i="22" s="1"/>
  <c r="K51" i="22"/>
  <c r="L51" i="22" s="1"/>
  <c r="K52" i="23"/>
  <c r="K66" i="23"/>
  <c r="K65" i="22"/>
  <c r="L65" i="22" s="1"/>
  <c r="L85" i="22" s="1"/>
  <c r="K31" i="22"/>
  <c r="L31" i="22" s="1"/>
  <c r="K31" i="23"/>
  <c r="K71" i="23"/>
  <c r="K70" i="22"/>
  <c r="L70" i="22" s="1"/>
  <c r="L86" i="22" s="1"/>
  <c r="K36" i="23"/>
  <c r="K36" i="22"/>
  <c r="L36" i="22" s="1"/>
  <c r="K70" i="23"/>
  <c r="K35" i="22"/>
  <c r="L35" i="22" s="1"/>
  <c r="K69" i="22"/>
  <c r="L69" i="22" s="1"/>
  <c r="L84" i="22" s="1"/>
  <c r="K35" i="23"/>
  <c r="K68" i="23"/>
  <c r="K33" i="22"/>
  <c r="L33" i="22" s="1"/>
  <c r="K33" i="23"/>
  <c r="K67" i="22"/>
  <c r="L67" i="22" s="1"/>
  <c r="K68" i="22"/>
  <c r="L68" i="22" s="1"/>
  <c r="K69" i="23"/>
  <c r="K34" i="23"/>
  <c r="K34" i="22"/>
  <c r="L34" i="22" s="1"/>
  <c r="K67" i="23"/>
  <c r="K32" i="23"/>
  <c r="K32" i="22"/>
  <c r="L32" i="22" s="1"/>
  <c r="K66" i="22"/>
  <c r="L66" i="22" s="1"/>
  <c r="K179" i="15"/>
  <c r="L179" i="15" s="1"/>
  <c r="K146" i="15"/>
  <c r="L146" i="15" s="1"/>
  <c r="K181" i="4"/>
  <c r="L181" i="4" s="1"/>
  <c r="K160" i="16"/>
  <c r="L160" i="16" s="1"/>
  <c r="K128" i="16"/>
  <c r="L128" i="16" s="1"/>
  <c r="K172" i="15"/>
  <c r="L172" i="15" s="1"/>
  <c r="K139" i="15"/>
  <c r="L139" i="15" s="1"/>
  <c r="K174" i="4"/>
  <c r="L174" i="4" s="1"/>
  <c r="K155" i="16"/>
  <c r="L155" i="16" s="1"/>
  <c r="K123" i="16"/>
  <c r="L123" i="16" s="1"/>
  <c r="K141" i="15"/>
  <c r="L141" i="15" s="1"/>
  <c r="K174" i="15"/>
  <c r="L174" i="15" s="1"/>
  <c r="K176" i="4"/>
  <c r="L176" i="4" s="1"/>
  <c r="K159" i="16"/>
  <c r="L159" i="16" s="1"/>
  <c r="K127" i="16"/>
  <c r="L127" i="16" s="1"/>
  <c r="K180" i="4"/>
  <c r="L180" i="4" s="1"/>
  <c r="K145" i="15"/>
  <c r="L145" i="15" s="1"/>
  <c r="K178" i="15"/>
  <c r="L178" i="15" s="1"/>
  <c r="K122" i="16"/>
  <c r="L122" i="16" s="1"/>
  <c r="K154" i="16"/>
  <c r="L154" i="16" s="1"/>
  <c r="K173" i="15"/>
  <c r="L173" i="15" s="1"/>
  <c r="K175" i="4"/>
  <c r="L175" i="4" s="1"/>
  <c r="K140" i="15"/>
  <c r="L140" i="15" s="1"/>
  <c r="K157" i="16"/>
  <c r="L157" i="16" s="1"/>
  <c r="K125" i="16"/>
  <c r="L125" i="16" s="1"/>
  <c r="K143" i="15"/>
  <c r="L143" i="15" s="1"/>
  <c r="K178" i="4"/>
  <c r="L178" i="4" s="1"/>
  <c r="K176" i="15"/>
  <c r="L176" i="15" s="1"/>
  <c r="K156" i="16"/>
  <c r="L156" i="16" s="1"/>
  <c r="K124" i="16"/>
  <c r="L124" i="16" s="1"/>
  <c r="K175" i="15"/>
  <c r="L175" i="15" s="1"/>
  <c r="K142" i="15"/>
  <c r="L142" i="15" s="1"/>
  <c r="K177" i="4"/>
  <c r="L177" i="4" s="1"/>
  <c r="K158" i="16"/>
  <c r="L158" i="16" s="1"/>
  <c r="K126" i="16"/>
  <c r="L126" i="16" s="1"/>
  <c r="K144" i="15"/>
  <c r="L144" i="15" s="1"/>
  <c r="K177" i="15"/>
  <c r="L177" i="15" s="1"/>
  <c r="K179" i="4"/>
  <c r="L179" i="4" s="1"/>
  <c r="F28" i="23"/>
  <c r="F63" i="23"/>
  <c r="F63" i="20"/>
  <c r="G101" i="3"/>
  <c r="D21" i="6" s="1"/>
  <c r="P12" i="3"/>
  <c r="D5" i="19" s="1"/>
  <c r="P83" i="3"/>
  <c r="D19" i="19" s="1"/>
  <c r="P92" i="3"/>
  <c r="D20" i="19" s="1"/>
  <c r="E20" i="19" s="1"/>
  <c r="E5" i="9"/>
  <c r="J5" i="9"/>
  <c r="E19" i="9"/>
  <c r="J19" i="9"/>
  <c r="E5" i="19"/>
  <c r="J5" i="19"/>
  <c r="H5" i="19"/>
  <c r="F22" i="19"/>
  <c r="G22" i="19"/>
  <c r="H22" i="19"/>
  <c r="E19" i="19"/>
  <c r="H19" i="19" s="1"/>
  <c r="J19" i="19"/>
  <c r="F20" i="19"/>
  <c r="G20" i="19"/>
  <c r="H20" i="19"/>
  <c r="E21" i="19"/>
  <c r="J21" i="19"/>
  <c r="M101" i="3"/>
  <c r="N102" i="3"/>
  <c r="J101" i="3"/>
  <c r="D21" i="9" s="1"/>
  <c r="M110" i="3"/>
  <c r="N111" i="3"/>
  <c r="J110" i="3"/>
  <c r="D22" i="9" s="1"/>
  <c r="K42" i="8"/>
  <c r="L42" i="8" s="1"/>
  <c r="K43" i="8"/>
  <c r="L43" i="8" s="1"/>
  <c r="K41" i="8"/>
  <c r="L41" i="8" s="1"/>
  <c r="G12" i="3"/>
  <c r="D5" i="6" s="1"/>
  <c r="K12" i="3"/>
  <c r="L13" i="3"/>
  <c r="K44" i="8"/>
  <c r="L44" i="8" s="1"/>
  <c r="K92" i="3"/>
  <c r="L93" i="3"/>
  <c r="L92" i="3" s="1"/>
  <c r="D20" i="17" s="1"/>
  <c r="K83" i="3"/>
  <c r="L84" i="3"/>
  <c r="K19" i="8"/>
  <c r="L19" i="8" s="1"/>
  <c r="G83" i="3"/>
  <c r="D19" i="6" s="1"/>
  <c r="K48" i="8"/>
  <c r="K52" i="8"/>
  <c r="L52" i="8" s="1"/>
  <c r="K23" i="8"/>
  <c r="L23" i="8" s="1"/>
  <c r="K54" i="8"/>
  <c r="L54" i="8" s="1"/>
  <c r="L58" i="8" s="1"/>
  <c r="K25" i="8"/>
  <c r="L25" i="8" s="1"/>
  <c r="L30" i="8" s="1"/>
  <c r="K51" i="8"/>
  <c r="L51" i="8" s="1"/>
  <c r="K22" i="8"/>
  <c r="L22" i="8" s="1"/>
  <c r="K53" i="8"/>
  <c r="L53" i="8" s="1"/>
  <c r="L62" i="8" s="1"/>
  <c r="K24" i="8"/>
  <c r="L24" i="8" s="1"/>
  <c r="L34" i="8" s="1"/>
  <c r="K49" i="8"/>
  <c r="L49" i="8" s="1"/>
  <c r="K20" i="8"/>
  <c r="L20" i="8" s="1"/>
  <c r="E20" i="17"/>
  <c r="H20" i="17" s="1"/>
  <c r="K55" i="8"/>
  <c r="L55" i="8" s="1"/>
  <c r="L61" i="8" s="1"/>
  <c r="K26" i="8"/>
  <c r="K50" i="8"/>
  <c r="L50" i="8" s="1"/>
  <c r="L60" i="8" s="1"/>
  <c r="K21" i="8"/>
  <c r="L21" i="8" s="1"/>
  <c r="L32" i="8" s="1"/>
  <c r="K74" i="8"/>
  <c r="L74" i="8" s="1"/>
  <c r="L78" i="8" s="1"/>
  <c r="D176" i="23"/>
  <c r="D145" i="23"/>
  <c r="E20" i="9"/>
  <c r="H20" i="9"/>
  <c r="P58" i="3"/>
  <c r="P57" i="3" s="1"/>
  <c r="D15" i="19" s="1"/>
  <c r="E15" i="19" s="1"/>
  <c r="O57" i="3"/>
  <c r="P69" i="3"/>
  <c r="P68" i="3" s="1"/>
  <c r="D16" i="19" s="1"/>
  <c r="O68" i="3"/>
  <c r="P6" i="3"/>
  <c r="P5" i="3" s="1"/>
  <c r="D3" i="19" s="1"/>
  <c r="O5" i="3"/>
  <c r="E32" i="1"/>
  <c r="D32" i="1"/>
  <c r="G92" i="3"/>
  <c r="D20" i="6" s="1"/>
  <c r="K19" i="3"/>
  <c r="I54" i="3"/>
  <c r="I39" i="3"/>
  <c r="H29" i="3"/>
  <c r="H44" i="3"/>
  <c r="N14" i="3"/>
  <c r="M12" i="3"/>
  <c r="N94" i="3"/>
  <c r="N92" i="3" s="1"/>
  <c r="D20" i="18" s="1"/>
  <c r="M92" i="3"/>
  <c r="N85" i="3"/>
  <c r="M83" i="3"/>
  <c r="O11" i="3"/>
  <c r="O9" i="3"/>
  <c r="O10" i="3"/>
  <c r="P10" i="3" s="1"/>
  <c r="O39" i="3"/>
  <c r="O54" i="3"/>
  <c r="P54" i="3" s="1"/>
  <c r="O47" i="3"/>
  <c r="P47" i="3" s="1"/>
  <c r="O32" i="3"/>
  <c r="P32" i="3" s="1"/>
  <c r="O30" i="3"/>
  <c r="O45" i="3"/>
  <c r="O50" i="3"/>
  <c r="P50" i="3" s="1"/>
  <c r="O35" i="3"/>
  <c r="P35" i="3" s="1"/>
  <c r="O52" i="3"/>
  <c r="P52" i="3" s="1"/>
  <c r="O37" i="3"/>
  <c r="P37" i="3" s="1"/>
  <c r="O49" i="3"/>
  <c r="P49" i="3" s="1"/>
  <c r="O34" i="3"/>
  <c r="P34" i="3" s="1"/>
  <c r="O51" i="3"/>
  <c r="P51" i="3" s="1"/>
  <c r="O36" i="3"/>
  <c r="P36" i="3" s="1"/>
  <c r="O46" i="3"/>
  <c r="P46" i="3" s="1"/>
  <c r="O31" i="3"/>
  <c r="P31" i="3" s="1"/>
  <c r="O53" i="3"/>
  <c r="P53" i="3" s="1"/>
  <c r="O38" i="3"/>
  <c r="P38" i="3" s="1"/>
  <c r="O48" i="3"/>
  <c r="P48" i="3" s="1"/>
  <c r="O33" i="3"/>
  <c r="P33" i="3" s="1"/>
  <c r="I45" i="3"/>
  <c r="I48" i="3"/>
  <c r="I53" i="3"/>
  <c r="I46" i="3"/>
  <c r="I51" i="3"/>
  <c r="I49" i="3"/>
  <c r="I52" i="3"/>
  <c r="I50" i="3"/>
  <c r="I47" i="3"/>
  <c r="I33" i="3"/>
  <c r="I34" i="3"/>
  <c r="I35" i="3"/>
  <c r="I36" i="3"/>
  <c r="I37" i="3"/>
  <c r="I38" i="3"/>
  <c r="I30" i="3"/>
  <c r="I31" i="3"/>
  <c r="I32" i="3"/>
  <c r="D70" i="1"/>
  <c r="D61" i="1"/>
  <c r="H69" i="3"/>
  <c r="D63" i="1"/>
  <c r="D67" i="1"/>
  <c r="H77" i="3"/>
  <c r="H78" i="3"/>
  <c r="H75" i="3"/>
  <c r="H73" i="3"/>
  <c r="H76" i="3"/>
  <c r="D68" i="1"/>
  <c r="D65" i="1"/>
  <c r="H71" i="3"/>
  <c r="D62" i="1"/>
  <c r="H70" i="3"/>
  <c r="D66" i="1"/>
  <c r="H74" i="3"/>
  <c r="D69" i="1"/>
  <c r="D64" i="1"/>
  <c r="H72" i="3"/>
  <c r="D57" i="1"/>
  <c r="D53" i="1"/>
  <c r="D54" i="1"/>
  <c r="D49" i="1"/>
  <c r="D51" i="1"/>
  <c r="D56" i="1"/>
  <c r="D55" i="1"/>
  <c r="D48" i="1"/>
  <c r="D50" i="1"/>
  <c r="D52" i="1"/>
  <c r="K101" i="3"/>
  <c r="L102" i="3"/>
  <c r="E21" i="6"/>
  <c r="J21" i="6"/>
  <c r="G110" i="3"/>
  <c r="D22" i="6" s="1"/>
  <c r="E22" i="6" s="1"/>
  <c r="K110" i="3"/>
  <c r="L111" i="3"/>
  <c r="L29" i="8" l="1"/>
  <c r="K36" i="16"/>
  <c r="L36" i="16" s="1"/>
  <c r="K59" i="16"/>
  <c r="L59" i="16" s="1"/>
  <c r="H5" i="9"/>
  <c r="I46" i="25" s="1"/>
  <c r="G46" i="25"/>
  <c r="H46" i="25" s="1"/>
  <c r="H19" i="9"/>
  <c r="G27" i="25"/>
  <c r="H27" i="25" s="1"/>
  <c r="G60" i="25"/>
  <c r="H60" i="25" s="1"/>
  <c r="H21" i="6"/>
  <c r="L206" i="22"/>
  <c r="O206" i="22"/>
  <c r="R206" i="22"/>
  <c r="F49" i="20"/>
  <c r="L69" i="20"/>
  <c r="L65" i="20"/>
  <c r="L64" i="20"/>
  <c r="L70" i="20"/>
  <c r="L66" i="20"/>
  <c r="L68" i="20"/>
  <c r="L67" i="20"/>
  <c r="L71" i="20"/>
  <c r="C63" i="20"/>
  <c r="O224" i="14"/>
  <c r="R224" i="14"/>
  <c r="L83" i="13"/>
  <c r="L80" i="14"/>
  <c r="L83" i="22"/>
  <c r="L159" i="14"/>
  <c r="L191" i="13"/>
  <c r="L191" i="20"/>
  <c r="L79" i="4"/>
  <c r="L77" i="15"/>
  <c r="L81" i="4"/>
  <c r="L34" i="15"/>
  <c r="L80" i="4"/>
  <c r="L82" i="4"/>
  <c r="L182" i="4"/>
  <c r="I49" i="13"/>
  <c r="I46" i="14"/>
  <c r="I49" i="20"/>
  <c r="I63" i="13"/>
  <c r="I27" i="14"/>
  <c r="I60" i="14"/>
  <c r="I28" i="20"/>
  <c r="I63" i="20"/>
  <c r="I28" i="13"/>
  <c r="K73" i="23"/>
  <c r="K72" i="22"/>
  <c r="L72" i="22" s="1"/>
  <c r="K146" i="23"/>
  <c r="K145" i="22"/>
  <c r="L145" i="22" s="1"/>
  <c r="K175" i="22"/>
  <c r="L175" i="22" s="1"/>
  <c r="K177" i="23"/>
  <c r="K24" i="16"/>
  <c r="L24" i="16" s="1"/>
  <c r="K50" i="16"/>
  <c r="L50" i="16" s="1"/>
  <c r="L69" i="16" s="1"/>
  <c r="N12" i="3"/>
  <c r="K50" i="22"/>
  <c r="L50" i="22" s="1"/>
  <c r="K51" i="23"/>
  <c r="N83" i="3"/>
  <c r="D19" i="18" s="1"/>
  <c r="K64" i="22"/>
  <c r="L64" i="22" s="1"/>
  <c r="K30" i="22"/>
  <c r="L30" i="22" s="1"/>
  <c r="K65" i="23"/>
  <c r="K30" i="23"/>
  <c r="I66" i="15"/>
  <c r="I68" i="4"/>
  <c r="K121" i="16"/>
  <c r="L121" i="16" s="1"/>
  <c r="K153" i="16"/>
  <c r="L153" i="16" s="1"/>
  <c r="C28" i="23"/>
  <c r="L29" i="23"/>
  <c r="L30" i="23"/>
  <c r="L31" i="23"/>
  <c r="L32" i="23"/>
  <c r="L33" i="23"/>
  <c r="L34" i="23"/>
  <c r="L35" i="23"/>
  <c r="L36" i="23"/>
  <c r="C63" i="23"/>
  <c r="L64" i="23"/>
  <c r="L65" i="23"/>
  <c r="L66" i="23"/>
  <c r="L67" i="23"/>
  <c r="L68" i="23"/>
  <c r="L69" i="23"/>
  <c r="L70" i="23"/>
  <c r="L71" i="23"/>
  <c r="D49" i="23"/>
  <c r="F138" i="20"/>
  <c r="G46" i="14"/>
  <c r="H46" i="14" s="1"/>
  <c r="G5" i="9"/>
  <c r="P46" i="25" s="1"/>
  <c r="R46" i="25" s="1"/>
  <c r="F5" i="9"/>
  <c r="M46" i="25" s="1"/>
  <c r="O46" i="25" s="1"/>
  <c r="G49" i="13"/>
  <c r="H49" i="13" s="1"/>
  <c r="G49" i="20"/>
  <c r="H49" i="20" s="1"/>
  <c r="D5" i="18"/>
  <c r="G60" i="14"/>
  <c r="H60" i="14" s="1"/>
  <c r="G27" i="14"/>
  <c r="H27" i="14" s="1"/>
  <c r="G28" i="13"/>
  <c r="H28" i="13" s="1"/>
  <c r="G19" i="9"/>
  <c r="F19" i="9"/>
  <c r="G63" i="13"/>
  <c r="H63" i="13" s="1"/>
  <c r="G28" i="20"/>
  <c r="G63" i="20"/>
  <c r="H63" i="20" s="1"/>
  <c r="E19" i="18"/>
  <c r="J19" i="18"/>
  <c r="G5" i="19"/>
  <c r="F5" i="19"/>
  <c r="G19" i="19"/>
  <c r="F19" i="19"/>
  <c r="F21" i="19"/>
  <c r="G21" i="19"/>
  <c r="H21" i="19"/>
  <c r="N101" i="3"/>
  <c r="D21" i="18" s="1"/>
  <c r="E21" i="9"/>
  <c r="J21" i="9"/>
  <c r="N110" i="3"/>
  <c r="D22" i="18" s="1"/>
  <c r="E22" i="9"/>
  <c r="J5" i="6"/>
  <c r="E5" i="6"/>
  <c r="L12" i="3"/>
  <c r="L83" i="3"/>
  <c r="D19" i="17" s="1"/>
  <c r="J19" i="6"/>
  <c r="E19" i="6"/>
  <c r="K47" i="8"/>
  <c r="L48" i="8"/>
  <c r="L57" i="8" s="1"/>
  <c r="F20" i="17"/>
  <c r="G20" i="17"/>
  <c r="L26" i="8"/>
  <c r="M26" i="8"/>
  <c r="F176" i="23"/>
  <c r="F145" i="23"/>
  <c r="F28" i="20"/>
  <c r="G20" i="9"/>
  <c r="F20" i="9"/>
  <c r="F15" i="19"/>
  <c r="G15" i="19"/>
  <c r="H15" i="19"/>
  <c r="E16" i="19"/>
  <c r="H16" i="19" s="1"/>
  <c r="J16" i="19"/>
  <c r="J3" i="19"/>
  <c r="E3" i="19"/>
  <c r="J20" i="6"/>
  <c r="E20" i="6"/>
  <c r="H20" i="6"/>
  <c r="E20" i="18"/>
  <c r="H20" i="18" s="1"/>
  <c r="J54" i="3"/>
  <c r="K108" i="25" s="1"/>
  <c r="L108" i="25" s="1"/>
  <c r="M54" i="3"/>
  <c r="N54" i="3" s="1"/>
  <c r="J39" i="3"/>
  <c r="K171" i="25" s="1"/>
  <c r="M39" i="3"/>
  <c r="N39" i="3" s="1"/>
  <c r="P9" i="3"/>
  <c r="O8" i="3"/>
  <c r="P30" i="3"/>
  <c r="O29" i="3"/>
  <c r="P45" i="3"/>
  <c r="P44" i="3" s="1"/>
  <c r="D13" i="19" s="1"/>
  <c r="O44" i="3"/>
  <c r="I44" i="3"/>
  <c r="J45" i="3"/>
  <c r="K99" i="25" s="1"/>
  <c r="L99" i="25" s="1"/>
  <c r="M45" i="3"/>
  <c r="M48" i="3"/>
  <c r="N48" i="3" s="1"/>
  <c r="J48" i="3"/>
  <c r="K102" i="25" s="1"/>
  <c r="L102" i="25" s="1"/>
  <c r="M53" i="3"/>
  <c r="N53" i="3" s="1"/>
  <c r="J53" i="3"/>
  <c r="K107" i="25" s="1"/>
  <c r="L107" i="25" s="1"/>
  <c r="M46" i="3"/>
  <c r="N46" i="3" s="1"/>
  <c r="J46" i="3"/>
  <c r="K100" i="25" s="1"/>
  <c r="L100" i="25" s="1"/>
  <c r="M51" i="3"/>
  <c r="N51" i="3" s="1"/>
  <c r="J51" i="3"/>
  <c r="K105" i="25" s="1"/>
  <c r="L105" i="25" s="1"/>
  <c r="M49" i="3"/>
  <c r="N49" i="3" s="1"/>
  <c r="J49" i="3"/>
  <c r="K103" i="25" s="1"/>
  <c r="L103" i="25" s="1"/>
  <c r="M52" i="3"/>
  <c r="N52" i="3" s="1"/>
  <c r="J52" i="3"/>
  <c r="K106" i="25" s="1"/>
  <c r="L106" i="25" s="1"/>
  <c r="M50" i="3"/>
  <c r="N50" i="3" s="1"/>
  <c r="J50" i="3"/>
  <c r="K104" i="25" s="1"/>
  <c r="L104" i="25" s="1"/>
  <c r="M47" i="3"/>
  <c r="N47" i="3" s="1"/>
  <c r="J47" i="3"/>
  <c r="K101" i="25" s="1"/>
  <c r="L101" i="25" s="1"/>
  <c r="M33" i="3"/>
  <c r="N33" i="3" s="1"/>
  <c r="J33" i="3"/>
  <c r="K165" i="25" s="1"/>
  <c r="M34" i="3"/>
  <c r="N34" i="3" s="1"/>
  <c r="J34" i="3"/>
  <c r="K166" i="25" s="1"/>
  <c r="M35" i="3"/>
  <c r="N35" i="3" s="1"/>
  <c r="J35" i="3"/>
  <c r="K167" i="25" s="1"/>
  <c r="M36" i="3"/>
  <c r="N36" i="3" s="1"/>
  <c r="J36" i="3"/>
  <c r="K168" i="25" s="1"/>
  <c r="M37" i="3"/>
  <c r="N37" i="3" s="1"/>
  <c r="J37" i="3"/>
  <c r="K169" i="25" s="1"/>
  <c r="M38" i="3"/>
  <c r="N38" i="3" s="1"/>
  <c r="J38" i="3"/>
  <c r="K170" i="25" s="1"/>
  <c r="J30" i="3"/>
  <c r="K162" i="25" s="1"/>
  <c r="I29" i="3"/>
  <c r="M30" i="3"/>
  <c r="M31" i="3"/>
  <c r="N31" i="3" s="1"/>
  <c r="J31" i="3"/>
  <c r="K163" i="25" s="1"/>
  <c r="M32" i="3"/>
  <c r="N32" i="3" s="1"/>
  <c r="J32" i="3"/>
  <c r="K164" i="25" s="1"/>
  <c r="E60" i="1"/>
  <c r="D60" i="1"/>
  <c r="D47" i="1"/>
  <c r="E47" i="1"/>
  <c r="H68" i="3"/>
  <c r="P11" i="3"/>
  <c r="P39" i="3"/>
  <c r="L101" i="3"/>
  <c r="D21" i="17" s="1"/>
  <c r="L110" i="3"/>
  <c r="D22" i="17" s="1"/>
  <c r="E22" i="17" s="1"/>
  <c r="J21" i="17"/>
  <c r="G66" i="15"/>
  <c r="H66" i="15" s="1"/>
  <c r="F21" i="6"/>
  <c r="G21" i="6"/>
  <c r="G68" i="4"/>
  <c r="H68" i="4" s="1"/>
  <c r="J22" i="6"/>
  <c r="H11" i="8"/>
  <c r="C57" i="1" l="1"/>
  <c r="E78" i="3"/>
  <c r="C70" i="1"/>
  <c r="C9" i="1"/>
  <c r="E6" i="3"/>
  <c r="E7" i="3"/>
  <c r="C10" i="1"/>
  <c r="C54" i="1"/>
  <c r="C50" i="1"/>
  <c r="C49" i="1"/>
  <c r="C53" i="1"/>
  <c r="C51" i="1"/>
  <c r="C56" i="1"/>
  <c r="C48" i="1"/>
  <c r="C55" i="1"/>
  <c r="C52" i="1"/>
  <c r="C62" i="1"/>
  <c r="E70" i="3"/>
  <c r="C61" i="1"/>
  <c r="E74" i="3"/>
  <c r="C63" i="1"/>
  <c r="E73" i="3"/>
  <c r="C65" i="1"/>
  <c r="E75" i="3"/>
  <c r="E77" i="3"/>
  <c r="E76" i="3"/>
  <c r="C68" i="1"/>
  <c r="E71" i="3"/>
  <c r="C67" i="1"/>
  <c r="C69" i="1"/>
  <c r="C64" i="1"/>
  <c r="C66" i="1"/>
  <c r="E69" i="3"/>
  <c r="E72" i="3"/>
  <c r="C36" i="1"/>
  <c r="E48" i="3"/>
  <c r="E36" i="3"/>
  <c r="E51" i="3"/>
  <c r="C39" i="1"/>
  <c r="C41" i="1"/>
  <c r="E38" i="3"/>
  <c r="E35" i="3"/>
  <c r="E53" i="3"/>
  <c r="C38" i="1"/>
  <c r="E50" i="3"/>
  <c r="C33" i="1"/>
  <c r="E30" i="3"/>
  <c r="E49" i="3"/>
  <c r="E46" i="3"/>
  <c r="C34" i="1"/>
  <c r="E31" i="3"/>
  <c r="E37" i="3"/>
  <c r="C40" i="1"/>
  <c r="E52" i="3"/>
  <c r="C42" i="1"/>
  <c r="E34" i="3"/>
  <c r="C35" i="1"/>
  <c r="E47" i="3"/>
  <c r="E33" i="3"/>
  <c r="E54" i="3"/>
  <c r="E39" i="3"/>
  <c r="C37" i="1"/>
  <c r="E32" i="3"/>
  <c r="E45" i="3"/>
  <c r="C14" i="1"/>
  <c r="E11" i="3"/>
  <c r="C13" i="1"/>
  <c r="E9" i="3"/>
  <c r="C12" i="1"/>
  <c r="C11" i="1" s="1"/>
  <c r="E10" i="3"/>
  <c r="H19" i="18"/>
  <c r="G152" i="16"/>
  <c r="H152" i="16" s="1"/>
  <c r="I60" i="25"/>
  <c r="L60" i="25" s="1"/>
  <c r="I27" i="25"/>
  <c r="L27" i="25" s="1"/>
  <c r="L46" i="25"/>
  <c r="R51" i="25"/>
  <c r="R50" i="25"/>
  <c r="R49" i="25"/>
  <c r="R48" i="25"/>
  <c r="R47" i="25"/>
  <c r="S46" i="25"/>
  <c r="O52" i="25"/>
  <c r="O51" i="25"/>
  <c r="O50" i="25"/>
  <c r="O49" i="25"/>
  <c r="O48" i="25"/>
  <c r="O47" i="25"/>
  <c r="P27" i="25"/>
  <c r="R27" i="25" s="1"/>
  <c r="P60" i="25"/>
  <c r="R60" i="25" s="1"/>
  <c r="M27" i="25"/>
  <c r="O27" i="25" s="1"/>
  <c r="M60" i="25"/>
  <c r="O60" i="25" s="1"/>
  <c r="H21" i="9"/>
  <c r="I69" i="25" s="1"/>
  <c r="G69" i="25"/>
  <c r="H69" i="25" s="1"/>
  <c r="H22" i="9"/>
  <c r="I180" i="25" s="1"/>
  <c r="G180" i="25"/>
  <c r="H180" i="25" s="1"/>
  <c r="L109" i="25"/>
  <c r="L115" i="25"/>
  <c r="L116" i="25"/>
  <c r="H19" i="6"/>
  <c r="L198" i="22"/>
  <c r="S206" i="22"/>
  <c r="S198" i="22" s="1"/>
  <c r="L207" i="22"/>
  <c r="O198" i="22"/>
  <c r="O207" i="22"/>
  <c r="O208" i="22"/>
  <c r="O209" i="22"/>
  <c r="O210" i="22"/>
  <c r="O211" i="22"/>
  <c r="O212" i="22"/>
  <c r="R198" i="22"/>
  <c r="R207" i="22"/>
  <c r="R208" i="22"/>
  <c r="R209" i="22"/>
  <c r="R210" i="22"/>
  <c r="R211" i="22"/>
  <c r="L51" i="20"/>
  <c r="L52" i="20"/>
  <c r="L53" i="20"/>
  <c r="L50" i="20"/>
  <c r="C49" i="20"/>
  <c r="D101" i="23"/>
  <c r="D101" i="20"/>
  <c r="D56" i="20"/>
  <c r="L49" i="13"/>
  <c r="L46" i="14"/>
  <c r="L49" i="20"/>
  <c r="L63" i="13"/>
  <c r="L27" i="14"/>
  <c r="L60" i="14"/>
  <c r="L63" i="20"/>
  <c r="L28" i="13"/>
  <c r="L82" i="22"/>
  <c r="L68" i="4"/>
  <c r="P49" i="20"/>
  <c r="R49" i="20" s="1"/>
  <c r="P49" i="13"/>
  <c r="R49" i="13" s="1"/>
  <c r="P46" i="14"/>
  <c r="R46" i="14" s="1"/>
  <c r="M49" i="13"/>
  <c r="O49" i="13" s="1"/>
  <c r="M46" i="14"/>
  <c r="O46" i="14" s="1"/>
  <c r="M49" i="20"/>
  <c r="O49" i="20" s="1"/>
  <c r="P28" i="20"/>
  <c r="P63" i="13"/>
  <c r="R63" i="13" s="1"/>
  <c r="P60" i="14"/>
  <c r="R60" i="14" s="1"/>
  <c r="P63" i="20"/>
  <c r="R63" i="20" s="1"/>
  <c r="P27" i="14"/>
  <c r="R27" i="14" s="1"/>
  <c r="P28" i="13"/>
  <c r="R28" i="13" s="1"/>
  <c r="M28" i="13"/>
  <c r="O28" i="13" s="1"/>
  <c r="M63" i="20"/>
  <c r="O63" i="20" s="1"/>
  <c r="M28" i="20"/>
  <c r="M60" i="14"/>
  <c r="O60" i="14" s="1"/>
  <c r="M27" i="14"/>
  <c r="O27" i="14" s="1"/>
  <c r="M63" i="13"/>
  <c r="O63" i="13" s="1"/>
  <c r="I28" i="22"/>
  <c r="I62" i="22"/>
  <c r="I63" i="23"/>
  <c r="I28" i="23"/>
  <c r="I72" i="13"/>
  <c r="I72" i="20"/>
  <c r="I69" i="14"/>
  <c r="I150" i="14"/>
  <c r="I189" i="14"/>
  <c r="I182" i="20"/>
  <c r="I182" i="13"/>
  <c r="I59" i="4"/>
  <c r="I57" i="15"/>
  <c r="I23" i="15"/>
  <c r="I23" i="4"/>
  <c r="L36" i="20"/>
  <c r="L29" i="20"/>
  <c r="L34" i="20"/>
  <c r="L35" i="20"/>
  <c r="L30" i="20"/>
  <c r="L31" i="20"/>
  <c r="L33" i="20"/>
  <c r="L32" i="20"/>
  <c r="K111" i="20"/>
  <c r="K108" i="14"/>
  <c r="K111" i="13"/>
  <c r="L111" i="13" s="1"/>
  <c r="L119" i="13" s="1"/>
  <c r="K110" i="22"/>
  <c r="L110" i="22" s="1"/>
  <c r="K111" i="23"/>
  <c r="K174" i="20"/>
  <c r="K180" i="14"/>
  <c r="L180" i="14" s="1"/>
  <c r="K173" i="13"/>
  <c r="L173" i="13" s="1"/>
  <c r="L199" i="13" s="1"/>
  <c r="K165" i="22"/>
  <c r="L165" i="22" s="1"/>
  <c r="K167" i="23"/>
  <c r="K102" i="20"/>
  <c r="K102" i="13"/>
  <c r="L102" i="13" s="1"/>
  <c r="K99" i="14"/>
  <c r="K104" i="22"/>
  <c r="L104" i="22" s="1"/>
  <c r="K105" i="23"/>
  <c r="K105" i="13"/>
  <c r="L105" i="13" s="1"/>
  <c r="K102" i="14"/>
  <c r="K105" i="20"/>
  <c r="K110" i="23"/>
  <c r="K109" i="22"/>
  <c r="L109" i="22" s="1"/>
  <c r="K107" i="14"/>
  <c r="K110" i="13"/>
  <c r="L110" i="13" s="1"/>
  <c r="K110" i="20"/>
  <c r="K103" i="23"/>
  <c r="K102" i="22"/>
  <c r="L102" i="22" s="1"/>
  <c r="K103" i="20"/>
  <c r="K103" i="13"/>
  <c r="L103" i="13" s="1"/>
  <c r="K100" i="14"/>
  <c r="K107" i="22"/>
  <c r="L107" i="22" s="1"/>
  <c r="K108" i="23"/>
  <c r="K105" i="14"/>
  <c r="K108" i="13"/>
  <c r="L108" i="13" s="1"/>
  <c r="L116" i="13" s="1"/>
  <c r="K108" i="20"/>
  <c r="K106" i="23"/>
  <c r="K105" i="22"/>
  <c r="L105" i="22" s="1"/>
  <c r="K103" i="14"/>
  <c r="K106" i="13"/>
  <c r="L106" i="13" s="1"/>
  <c r="K106" i="20"/>
  <c r="K108" i="22"/>
  <c r="L108" i="22" s="1"/>
  <c r="K109" i="23"/>
  <c r="K109" i="13"/>
  <c r="L109" i="13" s="1"/>
  <c r="L117" i="13" s="1"/>
  <c r="K106" i="14"/>
  <c r="K109" i="20"/>
  <c r="K107" i="23"/>
  <c r="K106" i="22"/>
  <c r="L106" i="22" s="1"/>
  <c r="K107" i="13"/>
  <c r="L107" i="13" s="1"/>
  <c r="K107" i="20"/>
  <c r="K104" i="14"/>
  <c r="K104" i="23"/>
  <c r="K103" i="22"/>
  <c r="L103" i="22" s="1"/>
  <c r="K101" i="14"/>
  <c r="K104" i="20"/>
  <c r="K104" i="13"/>
  <c r="L104" i="13" s="1"/>
  <c r="K159" i="22"/>
  <c r="L159" i="22" s="1"/>
  <c r="K161" i="23"/>
  <c r="K167" i="13"/>
  <c r="L167" i="13" s="1"/>
  <c r="L194" i="13" s="1"/>
  <c r="K168" i="20"/>
  <c r="K174" i="14"/>
  <c r="L174" i="14" s="1"/>
  <c r="L200" i="14" s="1"/>
  <c r="K160" i="22"/>
  <c r="L160" i="22" s="1"/>
  <c r="K162" i="23"/>
  <c r="K168" i="13"/>
  <c r="L168" i="13" s="1"/>
  <c r="K169" i="20"/>
  <c r="K175" i="14"/>
  <c r="L175" i="14" s="1"/>
  <c r="K161" i="22"/>
  <c r="L161" i="22" s="1"/>
  <c r="K163" i="23"/>
  <c r="K169" i="13"/>
  <c r="L169" i="13" s="1"/>
  <c r="K176" i="14"/>
  <c r="L176" i="14" s="1"/>
  <c r="K170" i="20"/>
  <c r="K164" i="23"/>
  <c r="K162" i="22"/>
  <c r="L162" i="22" s="1"/>
  <c r="K170" i="13"/>
  <c r="L170" i="13" s="1"/>
  <c r="L196" i="13" s="1"/>
  <c r="K171" i="20"/>
  <c r="K177" i="14"/>
  <c r="L177" i="14" s="1"/>
  <c r="L202" i="14" s="1"/>
  <c r="K165" i="23"/>
  <c r="K163" i="22"/>
  <c r="L163" i="22" s="1"/>
  <c r="K178" i="14"/>
  <c r="L178" i="14" s="1"/>
  <c r="L203" i="14" s="1"/>
  <c r="K171" i="13"/>
  <c r="L171" i="13" s="1"/>
  <c r="L197" i="13" s="1"/>
  <c r="K172" i="20"/>
  <c r="K166" i="23"/>
  <c r="K164" i="22"/>
  <c r="L164" i="22" s="1"/>
  <c r="K179" i="14"/>
  <c r="L179" i="14" s="1"/>
  <c r="K173" i="20"/>
  <c r="K172" i="13"/>
  <c r="L172" i="13" s="1"/>
  <c r="K164" i="13"/>
  <c r="L164" i="13" s="1"/>
  <c r="K165" i="20"/>
  <c r="K171" i="14"/>
  <c r="L171" i="14" s="1"/>
  <c r="K157" i="22"/>
  <c r="L157" i="22" s="1"/>
  <c r="K159" i="23"/>
  <c r="K166" i="20"/>
  <c r="K165" i="13"/>
  <c r="L165" i="13" s="1"/>
  <c r="K172" i="14"/>
  <c r="L172" i="14" s="1"/>
  <c r="K158" i="22"/>
  <c r="L158" i="22" s="1"/>
  <c r="K160" i="23"/>
  <c r="K167" i="20"/>
  <c r="K166" i="13"/>
  <c r="L166" i="13" s="1"/>
  <c r="K173" i="14"/>
  <c r="L173" i="14" s="1"/>
  <c r="M68" i="4"/>
  <c r="O68" i="4" s="1"/>
  <c r="M66" i="15"/>
  <c r="P68" i="4"/>
  <c r="R68" i="4" s="1"/>
  <c r="P66" i="15"/>
  <c r="L177" i="23"/>
  <c r="L178" i="23"/>
  <c r="L179" i="23"/>
  <c r="L180" i="23"/>
  <c r="L181" i="23"/>
  <c r="L182" i="23"/>
  <c r="L183" i="23"/>
  <c r="L184" i="23"/>
  <c r="L146" i="23"/>
  <c r="L147" i="23"/>
  <c r="L148" i="23"/>
  <c r="L149" i="23"/>
  <c r="L150" i="23"/>
  <c r="L151" i="23"/>
  <c r="L152" i="23"/>
  <c r="L153" i="23"/>
  <c r="L66" i="15"/>
  <c r="O66" i="15"/>
  <c r="R66" i="15"/>
  <c r="F49" i="23"/>
  <c r="P8" i="3"/>
  <c r="D4" i="19" s="1"/>
  <c r="P29" i="3"/>
  <c r="D10" i="19" s="1"/>
  <c r="J5" i="18"/>
  <c r="E5" i="18"/>
  <c r="F19" i="18"/>
  <c r="G19" i="18"/>
  <c r="G28" i="22"/>
  <c r="H28" i="22" s="1"/>
  <c r="G62" i="22"/>
  <c r="H62" i="22" s="1"/>
  <c r="G28" i="23"/>
  <c r="H28" i="23" s="1"/>
  <c r="G63" i="23"/>
  <c r="H63" i="23" s="1"/>
  <c r="J21" i="18"/>
  <c r="E21" i="18"/>
  <c r="G69" i="14"/>
  <c r="H69" i="14" s="1"/>
  <c r="G21" i="9"/>
  <c r="P69" i="25" s="1"/>
  <c r="R69" i="25" s="1"/>
  <c r="F21" i="9"/>
  <c r="M69" i="25" s="1"/>
  <c r="O69" i="25" s="1"/>
  <c r="G72" i="13"/>
  <c r="H72" i="13" s="1"/>
  <c r="G72" i="20"/>
  <c r="E22" i="18"/>
  <c r="G22" i="9"/>
  <c r="P180" i="25" s="1"/>
  <c r="R180" i="25" s="1"/>
  <c r="F22" i="9"/>
  <c r="M180" i="25" s="1"/>
  <c r="O180" i="25" s="1"/>
  <c r="G189" i="14"/>
  <c r="H189" i="14" s="1"/>
  <c r="G182" i="13"/>
  <c r="H182" i="13" s="1"/>
  <c r="G182" i="20"/>
  <c r="H182" i="20" s="1"/>
  <c r="G150" i="14"/>
  <c r="H150" i="14" s="1"/>
  <c r="G5" i="6"/>
  <c r="F5" i="6"/>
  <c r="G40" i="8"/>
  <c r="H40" i="8" s="1"/>
  <c r="G45" i="4"/>
  <c r="H45" i="4" s="1"/>
  <c r="G43" i="15"/>
  <c r="H43" i="15" s="1"/>
  <c r="H5" i="6"/>
  <c r="D5" i="17"/>
  <c r="E19" i="17"/>
  <c r="J19" i="17"/>
  <c r="I47" i="8"/>
  <c r="I18" i="8"/>
  <c r="G47" i="8"/>
  <c r="H47" i="8" s="1"/>
  <c r="G18" i="8"/>
  <c r="H18" i="8" s="1"/>
  <c r="F19" i="6"/>
  <c r="G19" i="6"/>
  <c r="G59" i="4"/>
  <c r="H59" i="4" s="1"/>
  <c r="G23" i="15"/>
  <c r="H23" i="15" s="1"/>
  <c r="G57" i="15"/>
  <c r="H57" i="15" s="1"/>
  <c r="G23" i="4"/>
  <c r="H23" i="4" s="1"/>
  <c r="L56" i="8"/>
  <c r="C176" i="23"/>
  <c r="C145" i="23"/>
  <c r="C28" i="20"/>
  <c r="G16" i="19"/>
  <c r="F16" i="19"/>
  <c r="F3" i="19"/>
  <c r="G3" i="19"/>
  <c r="H3" i="19"/>
  <c r="G20" i="6"/>
  <c r="F20" i="6"/>
  <c r="F20" i="18"/>
  <c r="G20" i="18"/>
  <c r="J4" i="19"/>
  <c r="E4" i="19"/>
  <c r="E10" i="19"/>
  <c r="H10" i="19" s="1"/>
  <c r="J10" i="19"/>
  <c r="E13" i="19"/>
  <c r="H13" i="19" s="1"/>
  <c r="J13" i="19"/>
  <c r="J44" i="3"/>
  <c r="D13" i="9" s="1"/>
  <c r="M44" i="3"/>
  <c r="N45" i="3"/>
  <c r="J29" i="3"/>
  <c r="D10" i="9" s="1"/>
  <c r="M29" i="3"/>
  <c r="N30" i="3"/>
  <c r="F98" i="14"/>
  <c r="C98" i="14" s="1"/>
  <c r="H28" i="20"/>
  <c r="L28" i="20" s="1"/>
  <c r="L33" i="8"/>
  <c r="L28" i="8" s="1"/>
  <c r="L37" i="8" s="1"/>
  <c r="L18" i="8"/>
  <c r="H22" i="6"/>
  <c r="G171" i="15"/>
  <c r="H171" i="15" s="1"/>
  <c r="G173" i="4"/>
  <c r="H173" i="4" s="1"/>
  <c r="G120" i="16"/>
  <c r="H120" i="16" s="1"/>
  <c r="G22" i="17"/>
  <c r="F22" i="17"/>
  <c r="H22" i="17"/>
  <c r="E21" i="17"/>
  <c r="H21" i="17"/>
  <c r="G58" i="16"/>
  <c r="H58" i="16" s="1"/>
  <c r="G21" i="17"/>
  <c r="G22" i="6"/>
  <c r="F22" i="6"/>
  <c r="G138" i="15"/>
  <c r="H138" i="15" s="1"/>
  <c r="L11" i="8"/>
  <c r="L3" i="8" s="1"/>
  <c r="H3" i="8"/>
  <c r="R11" i="8"/>
  <c r="O11" i="8"/>
  <c r="S11" i="8" s="1"/>
  <c r="C7" i="1" l="1"/>
  <c r="C47" i="1"/>
  <c r="C60" i="1"/>
  <c r="C32" i="1"/>
  <c r="F33" i="3"/>
  <c r="F32" i="3"/>
  <c r="F34" i="3"/>
  <c r="F37" i="3"/>
  <c r="F31" i="3"/>
  <c r="F30" i="3"/>
  <c r="F38" i="3"/>
  <c r="F36" i="3"/>
  <c r="F35" i="3"/>
  <c r="F39" i="3"/>
  <c r="K39" i="3" s="1"/>
  <c r="F51" i="3"/>
  <c r="F46" i="3"/>
  <c r="F47" i="3"/>
  <c r="F53" i="3"/>
  <c r="F48" i="3"/>
  <c r="F45" i="3"/>
  <c r="F50" i="3"/>
  <c r="F52" i="3"/>
  <c r="F49" i="3"/>
  <c r="F54" i="3"/>
  <c r="F9" i="3"/>
  <c r="F10" i="3"/>
  <c r="F11" i="3"/>
  <c r="H11" i="3"/>
  <c r="D14" i="1"/>
  <c r="D12" i="1"/>
  <c r="H9" i="3"/>
  <c r="D13" i="1"/>
  <c r="H10" i="3"/>
  <c r="D10" i="1"/>
  <c r="E7" i="1" s="1"/>
  <c r="H7" i="3"/>
  <c r="H6" i="3"/>
  <c r="D9" i="1"/>
  <c r="D7" i="1" s="1"/>
  <c r="F6" i="3"/>
  <c r="D161" i="25"/>
  <c r="F161" i="25" s="1"/>
  <c r="D164" i="20"/>
  <c r="F164" i="20" s="1"/>
  <c r="H5" i="18"/>
  <c r="H21" i="18"/>
  <c r="H19" i="17"/>
  <c r="F21" i="17"/>
  <c r="I58" i="16"/>
  <c r="P58" i="16"/>
  <c r="R58" i="16" s="1"/>
  <c r="G63" i="25"/>
  <c r="G65" i="25"/>
  <c r="G62" i="25"/>
  <c r="G61" i="25"/>
  <c r="G64" i="25"/>
  <c r="G29" i="25"/>
  <c r="G28" i="25"/>
  <c r="G32" i="25"/>
  <c r="G30" i="25"/>
  <c r="G33" i="25"/>
  <c r="G31" i="25"/>
  <c r="S27" i="25"/>
  <c r="G48" i="25"/>
  <c r="G47" i="25"/>
  <c r="R32" i="25"/>
  <c r="R31" i="25"/>
  <c r="R30" i="25"/>
  <c r="R29" i="25"/>
  <c r="R28" i="25"/>
  <c r="R65" i="25"/>
  <c r="R64" i="25"/>
  <c r="R63" i="25"/>
  <c r="R62" i="25"/>
  <c r="R61" i="25"/>
  <c r="S60" i="25"/>
  <c r="O33" i="25"/>
  <c r="O32" i="25"/>
  <c r="O31" i="25"/>
  <c r="O30" i="25"/>
  <c r="O29" i="25"/>
  <c r="O28" i="25"/>
  <c r="O66" i="25"/>
  <c r="O65" i="25"/>
  <c r="O64" i="25"/>
  <c r="O63" i="25"/>
  <c r="O62" i="25"/>
  <c r="O61" i="25"/>
  <c r="L69" i="25"/>
  <c r="L180" i="25"/>
  <c r="R74" i="25"/>
  <c r="R73" i="25"/>
  <c r="R72" i="25"/>
  <c r="R71" i="25"/>
  <c r="R70" i="25"/>
  <c r="O75" i="25"/>
  <c r="O74" i="25"/>
  <c r="O73" i="25"/>
  <c r="O72" i="25"/>
  <c r="O71" i="25"/>
  <c r="O70" i="25"/>
  <c r="R185" i="25"/>
  <c r="R184" i="25"/>
  <c r="R183" i="25"/>
  <c r="R182" i="25"/>
  <c r="R181" i="25"/>
  <c r="S180" i="25"/>
  <c r="O186" i="25"/>
  <c r="O185" i="25"/>
  <c r="O184" i="25"/>
  <c r="O183" i="25"/>
  <c r="O182" i="25"/>
  <c r="O181" i="25"/>
  <c r="O213" i="22"/>
  <c r="R213" i="22"/>
  <c r="D16" i="20"/>
  <c r="L58" i="16"/>
  <c r="S28" i="13"/>
  <c r="R54" i="20"/>
  <c r="R53" i="20"/>
  <c r="R52" i="20"/>
  <c r="R51" i="20"/>
  <c r="R50" i="20"/>
  <c r="S49" i="20"/>
  <c r="R54" i="13"/>
  <c r="R53" i="13"/>
  <c r="R52" i="13"/>
  <c r="R51" i="13"/>
  <c r="R50" i="13"/>
  <c r="S49" i="13"/>
  <c r="R51" i="14"/>
  <c r="R50" i="14"/>
  <c r="R49" i="14"/>
  <c r="R48" i="14"/>
  <c r="R47" i="14"/>
  <c r="S46" i="14"/>
  <c r="O55" i="13"/>
  <c r="O54" i="13"/>
  <c r="O53" i="13"/>
  <c r="O52" i="13"/>
  <c r="O51" i="13"/>
  <c r="O50" i="13"/>
  <c r="O52" i="14"/>
  <c r="O51" i="14"/>
  <c r="O50" i="14"/>
  <c r="O49" i="14"/>
  <c r="O48" i="14"/>
  <c r="O47" i="14"/>
  <c r="O55" i="20"/>
  <c r="O54" i="20"/>
  <c r="O53" i="20"/>
  <c r="O52" i="20"/>
  <c r="O51" i="20"/>
  <c r="O50" i="20"/>
  <c r="R68" i="13"/>
  <c r="R67" i="13"/>
  <c r="R66" i="13"/>
  <c r="R65" i="13"/>
  <c r="R64" i="13"/>
  <c r="R65" i="14"/>
  <c r="R64" i="14"/>
  <c r="R63" i="14"/>
  <c r="R62" i="14"/>
  <c r="R61" i="14"/>
  <c r="S60" i="14"/>
  <c r="R68" i="20"/>
  <c r="R67" i="20"/>
  <c r="R66" i="20"/>
  <c r="R65" i="20"/>
  <c r="R64" i="20"/>
  <c r="R32" i="14"/>
  <c r="R31" i="14"/>
  <c r="R30" i="14"/>
  <c r="R29" i="14"/>
  <c r="R28" i="14"/>
  <c r="R33" i="13"/>
  <c r="R32" i="13"/>
  <c r="R31" i="13"/>
  <c r="R30" i="13"/>
  <c r="R29" i="13"/>
  <c r="O34" i="13"/>
  <c r="O33" i="13"/>
  <c r="O32" i="13"/>
  <c r="O31" i="13"/>
  <c r="O30" i="13"/>
  <c r="O29" i="13"/>
  <c r="O69" i="20"/>
  <c r="O68" i="20"/>
  <c r="O67" i="20"/>
  <c r="O66" i="20"/>
  <c r="O65" i="20"/>
  <c r="O64" i="20"/>
  <c r="O66" i="14"/>
  <c r="O65" i="14"/>
  <c r="O64" i="14"/>
  <c r="O63" i="14"/>
  <c r="O62" i="14"/>
  <c r="O61" i="14"/>
  <c r="O33" i="14"/>
  <c r="O32" i="14"/>
  <c r="O31" i="14"/>
  <c r="O30" i="14"/>
  <c r="O29" i="14"/>
  <c r="O28" i="14"/>
  <c r="O69" i="13"/>
  <c r="O68" i="13"/>
  <c r="O67" i="13"/>
  <c r="O66" i="13"/>
  <c r="O65" i="13"/>
  <c r="O64" i="13"/>
  <c r="L198" i="13"/>
  <c r="L193" i="13"/>
  <c r="O74" i="4"/>
  <c r="O73" i="4"/>
  <c r="O72" i="4"/>
  <c r="O71" i="4"/>
  <c r="O70" i="4"/>
  <c r="O69" i="4"/>
  <c r="R73" i="4"/>
  <c r="R72" i="4"/>
  <c r="R71" i="4"/>
  <c r="R70" i="4"/>
  <c r="R69" i="4"/>
  <c r="S63" i="13"/>
  <c r="S27" i="14"/>
  <c r="S63" i="20"/>
  <c r="S68" i="4"/>
  <c r="R28" i="20"/>
  <c r="O28" i="20"/>
  <c r="L28" i="22"/>
  <c r="L62" i="22"/>
  <c r="L72" i="13"/>
  <c r="L69" i="14"/>
  <c r="L150" i="14"/>
  <c r="L189" i="14"/>
  <c r="L182" i="20"/>
  <c r="L182" i="13"/>
  <c r="L59" i="4"/>
  <c r="L23" i="4"/>
  <c r="L37" i="20"/>
  <c r="L108" i="14"/>
  <c r="L99" i="14"/>
  <c r="L102" i="14"/>
  <c r="L107" i="14"/>
  <c r="L100" i="14"/>
  <c r="L105" i="14"/>
  <c r="L115" i="14" s="1"/>
  <c r="L103" i="14"/>
  <c r="L106" i="14"/>
  <c r="L116" i="14" s="1"/>
  <c r="L104" i="14"/>
  <c r="L101" i="14"/>
  <c r="L204" i="14"/>
  <c r="L195" i="13"/>
  <c r="L201" i="14"/>
  <c r="I49" i="23"/>
  <c r="I48" i="22"/>
  <c r="M28" i="23"/>
  <c r="M63" i="23"/>
  <c r="M28" i="22"/>
  <c r="O28" i="22" s="1"/>
  <c r="M62" i="22"/>
  <c r="O62" i="22" s="1"/>
  <c r="P28" i="22"/>
  <c r="R28" i="22" s="1"/>
  <c r="P28" i="23"/>
  <c r="P63" i="23"/>
  <c r="P62" i="22"/>
  <c r="R62" i="22" s="1"/>
  <c r="I72" i="23"/>
  <c r="I71" i="22"/>
  <c r="P69" i="14"/>
  <c r="R69" i="14" s="1"/>
  <c r="P72" i="20"/>
  <c r="P72" i="13"/>
  <c r="R72" i="13" s="1"/>
  <c r="M72" i="13"/>
  <c r="O72" i="13" s="1"/>
  <c r="M72" i="20"/>
  <c r="M69" i="14"/>
  <c r="O69" i="14" s="1"/>
  <c r="P182" i="13"/>
  <c r="R182" i="13" s="1"/>
  <c r="P182" i="20"/>
  <c r="R182" i="20" s="1"/>
  <c r="P150" i="14"/>
  <c r="R150" i="14" s="1"/>
  <c r="P189" i="14"/>
  <c r="R189" i="14" s="1"/>
  <c r="M182" i="13"/>
  <c r="O182" i="13" s="1"/>
  <c r="M150" i="14"/>
  <c r="O150" i="14" s="1"/>
  <c r="M182" i="20"/>
  <c r="O182" i="20" s="1"/>
  <c r="M189" i="14"/>
  <c r="O189" i="14" s="1"/>
  <c r="P43" i="15"/>
  <c r="P45" i="4"/>
  <c r="R45" i="4" s="1"/>
  <c r="M43" i="15"/>
  <c r="M45" i="4"/>
  <c r="O45" i="4" s="1"/>
  <c r="I43" i="15"/>
  <c r="I45" i="4"/>
  <c r="L45" i="4" s="1"/>
  <c r="I23" i="16"/>
  <c r="I49" i="16"/>
  <c r="M23" i="4"/>
  <c r="O23" i="4" s="1"/>
  <c r="M23" i="15"/>
  <c r="M57" i="15"/>
  <c r="M59" i="4"/>
  <c r="O59" i="4" s="1"/>
  <c r="P23" i="15"/>
  <c r="P23" i="4"/>
  <c r="R23" i="4" s="1"/>
  <c r="P57" i="15"/>
  <c r="P59" i="4"/>
  <c r="R59" i="4" s="1"/>
  <c r="K101" i="22"/>
  <c r="L101" i="22" s="1"/>
  <c r="L111" i="22" s="1"/>
  <c r="K102" i="23"/>
  <c r="K158" i="23"/>
  <c r="K156" i="22"/>
  <c r="L156" i="22" s="1"/>
  <c r="S28" i="20"/>
  <c r="I173" i="4"/>
  <c r="L173" i="4" s="1"/>
  <c r="I138" i="15"/>
  <c r="I171" i="15"/>
  <c r="P152" i="16"/>
  <c r="R152" i="16" s="1"/>
  <c r="P120" i="16"/>
  <c r="R120" i="16" s="1"/>
  <c r="M152" i="16"/>
  <c r="O152" i="16" s="1"/>
  <c r="M120" i="16"/>
  <c r="O120" i="16" s="1"/>
  <c r="I152" i="16"/>
  <c r="L152" i="16" s="1"/>
  <c r="I120" i="16"/>
  <c r="L120" i="16" s="1"/>
  <c r="S120" i="16" s="1"/>
  <c r="G59" i="16"/>
  <c r="R63" i="16"/>
  <c r="R62" i="16"/>
  <c r="R61" i="16"/>
  <c r="R60" i="16"/>
  <c r="R59" i="16"/>
  <c r="P173" i="4"/>
  <c r="R173" i="4" s="1"/>
  <c r="P138" i="15"/>
  <c r="P171" i="15"/>
  <c r="M173" i="4"/>
  <c r="O173" i="4" s="1"/>
  <c r="M138" i="15"/>
  <c r="M171" i="15"/>
  <c r="L50" i="23"/>
  <c r="L51" i="23"/>
  <c r="L52" i="23"/>
  <c r="L53" i="23"/>
  <c r="L28" i="23"/>
  <c r="O28" i="23"/>
  <c r="R28" i="23"/>
  <c r="L63" i="23"/>
  <c r="O63" i="23"/>
  <c r="R63" i="23"/>
  <c r="G67" i="15"/>
  <c r="S66" i="15"/>
  <c r="O72" i="15"/>
  <c r="O71" i="15"/>
  <c r="O70" i="15"/>
  <c r="O69" i="15"/>
  <c r="O68" i="15"/>
  <c r="O67" i="15"/>
  <c r="R71" i="15"/>
  <c r="R70" i="15"/>
  <c r="R69" i="15"/>
  <c r="R68" i="15"/>
  <c r="R67" i="15"/>
  <c r="L43" i="15"/>
  <c r="O43" i="15"/>
  <c r="R43" i="15"/>
  <c r="L23" i="15"/>
  <c r="O23" i="15"/>
  <c r="R23" i="15"/>
  <c r="L57" i="15"/>
  <c r="O57" i="15"/>
  <c r="R57" i="15"/>
  <c r="L171" i="15"/>
  <c r="O171" i="15"/>
  <c r="R171" i="15"/>
  <c r="L138" i="15"/>
  <c r="O138" i="15"/>
  <c r="R138" i="15"/>
  <c r="C49" i="23"/>
  <c r="F101" i="23"/>
  <c r="D133" i="23"/>
  <c r="F133" i="23" s="1"/>
  <c r="F101" i="20"/>
  <c r="H22" i="18"/>
  <c r="G174" i="22"/>
  <c r="H174" i="22" s="1"/>
  <c r="G153" i="16"/>
  <c r="G154" i="16"/>
  <c r="G155" i="16"/>
  <c r="G156" i="16"/>
  <c r="G157" i="16"/>
  <c r="G48" i="22"/>
  <c r="H48" i="22" s="1"/>
  <c r="G5" i="18"/>
  <c r="F5" i="18"/>
  <c r="G49" i="23"/>
  <c r="H49" i="23" s="1"/>
  <c r="F21" i="18"/>
  <c r="G21" i="18"/>
  <c r="G71" i="22"/>
  <c r="H71" i="22" s="1"/>
  <c r="G72" i="23"/>
  <c r="F22" i="18"/>
  <c r="G22" i="18"/>
  <c r="G144" i="22"/>
  <c r="H144" i="22" s="1"/>
  <c r="G145" i="23"/>
  <c r="H145" i="23" s="1"/>
  <c r="G176" i="23"/>
  <c r="H176" i="23" s="1"/>
  <c r="P40" i="8"/>
  <c r="R40" i="8" s="1"/>
  <c r="M40" i="8"/>
  <c r="O40" i="8" s="1"/>
  <c r="I40" i="8"/>
  <c r="L40" i="8" s="1"/>
  <c r="J5" i="17"/>
  <c r="E5" i="17"/>
  <c r="F19" i="17"/>
  <c r="G19" i="17"/>
  <c r="G23" i="16"/>
  <c r="H23" i="16" s="1"/>
  <c r="G49" i="16"/>
  <c r="H49" i="16" s="1"/>
  <c r="M47" i="8"/>
  <c r="O47" i="8" s="1"/>
  <c r="M18" i="8"/>
  <c r="O18" i="8" s="1"/>
  <c r="P47" i="8"/>
  <c r="R47" i="8" s="1"/>
  <c r="P18" i="8"/>
  <c r="R18" i="8" s="1"/>
  <c r="H31" i="20"/>
  <c r="H4" i="19"/>
  <c r="G4" i="19"/>
  <c r="F4" i="19"/>
  <c r="G10" i="19"/>
  <c r="F10" i="19"/>
  <c r="G13" i="19"/>
  <c r="F13" i="19"/>
  <c r="E13" i="9"/>
  <c r="J13" i="9"/>
  <c r="N44" i="3"/>
  <c r="D13" i="18" s="1"/>
  <c r="E10" i="9"/>
  <c r="J10" i="9"/>
  <c r="N29" i="3"/>
  <c r="D10" i="18" s="1"/>
  <c r="G47" i="14"/>
  <c r="G48" i="14"/>
  <c r="G51" i="20"/>
  <c r="G50" i="20"/>
  <c r="G51" i="13"/>
  <c r="G50" i="13"/>
  <c r="G69" i="20"/>
  <c r="G64" i="20"/>
  <c r="G65" i="20"/>
  <c r="G68" i="20"/>
  <c r="G67" i="20"/>
  <c r="G66" i="20"/>
  <c r="G65" i="13"/>
  <c r="G67" i="13"/>
  <c r="G64" i="13"/>
  <c r="G68" i="13"/>
  <c r="G66" i="13"/>
  <c r="G65" i="14"/>
  <c r="G62" i="14"/>
  <c r="G63" i="14"/>
  <c r="G64" i="14"/>
  <c r="G61" i="14"/>
  <c r="G67" i="14" s="1"/>
  <c r="G33" i="14"/>
  <c r="G31" i="14"/>
  <c r="G32" i="14"/>
  <c r="G29" i="14"/>
  <c r="G30" i="14"/>
  <c r="G28" i="14"/>
  <c r="G34" i="14" s="1"/>
  <c r="G34" i="13"/>
  <c r="G35" i="13"/>
  <c r="G31" i="13"/>
  <c r="G32" i="13"/>
  <c r="G33" i="13"/>
  <c r="G29" i="13"/>
  <c r="G30" i="13"/>
  <c r="H39" i="8"/>
  <c r="L47" i="8"/>
  <c r="S47" i="8" s="1"/>
  <c r="G62" i="15"/>
  <c r="H32" i="20"/>
  <c r="H33" i="20"/>
  <c r="H30" i="20"/>
  <c r="H29" i="20"/>
  <c r="H35" i="20" s="1"/>
  <c r="G121" i="16"/>
  <c r="G124" i="16"/>
  <c r="G125" i="16"/>
  <c r="G123" i="16"/>
  <c r="G122" i="16"/>
  <c r="G68" i="15"/>
  <c r="G69" i="15"/>
  <c r="G70" i="15"/>
  <c r="G71" i="15"/>
  <c r="G72" i="15"/>
  <c r="G73" i="15"/>
  <c r="G72" i="4"/>
  <c r="G70" i="4"/>
  <c r="G73" i="4"/>
  <c r="G71" i="4"/>
  <c r="G69" i="4"/>
  <c r="G74" i="4" s="1"/>
  <c r="R13" i="8"/>
  <c r="R14" i="8"/>
  <c r="R15" i="8"/>
  <c r="R16" i="8"/>
  <c r="R12" i="8"/>
  <c r="R3" i="8"/>
  <c r="S3" i="8" s="1"/>
  <c r="O12" i="8"/>
  <c r="O17" i="8"/>
  <c r="O16" i="8"/>
  <c r="O15" i="8"/>
  <c r="O14" i="8"/>
  <c r="O13" i="8"/>
  <c r="O3" i="8"/>
  <c r="G33" i="3" l="1"/>
  <c r="K33" i="3"/>
  <c r="L33" i="3" s="1"/>
  <c r="K137" i="16" s="1"/>
  <c r="L137" i="16" s="1"/>
  <c r="G32" i="3"/>
  <c r="K32" i="3"/>
  <c r="L32" i="3" s="1"/>
  <c r="K136" i="16" s="1"/>
  <c r="L136" i="16" s="1"/>
  <c r="G34" i="3"/>
  <c r="K34" i="3"/>
  <c r="L34" i="3" s="1"/>
  <c r="K138" i="16" s="1"/>
  <c r="L138" i="16" s="1"/>
  <c r="G37" i="3"/>
  <c r="K37" i="3"/>
  <c r="L37" i="3" s="1"/>
  <c r="K141" i="16" s="1"/>
  <c r="L141" i="16" s="1"/>
  <c r="G31" i="3"/>
  <c r="K31" i="3"/>
  <c r="L31" i="3" s="1"/>
  <c r="K135" i="16" s="1"/>
  <c r="L135" i="16" s="1"/>
  <c r="K30" i="3"/>
  <c r="F29" i="3"/>
  <c r="G30" i="3"/>
  <c r="G38" i="3"/>
  <c r="K38" i="3"/>
  <c r="L38" i="3" s="1"/>
  <c r="K142" i="16" s="1"/>
  <c r="L142" i="16" s="1"/>
  <c r="G36" i="3"/>
  <c r="K36" i="3"/>
  <c r="L36" i="3" s="1"/>
  <c r="K140" i="16" s="1"/>
  <c r="L140" i="16" s="1"/>
  <c r="G35" i="3"/>
  <c r="K35" i="3"/>
  <c r="L35" i="3" s="1"/>
  <c r="K139" i="16" s="1"/>
  <c r="L139" i="16" s="1"/>
  <c r="G39" i="3"/>
  <c r="L39" i="3"/>
  <c r="K143" i="16" s="1"/>
  <c r="L143" i="16" s="1"/>
  <c r="G51" i="3"/>
  <c r="K51" i="3"/>
  <c r="L51" i="3" s="1"/>
  <c r="K94" i="16" s="1"/>
  <c r="L94" i="16" s="1"/>
  <c r="G46" i="3"/>
  <c r="K46" i="3"/>
  <c r="L46" i="3" s="1"/>
  <c r="K89" i="16" s="1"/>
  <c r="L89" i="16" s="1"/>
  <c r="G47" i="3"/>
  <c r="K47" i="3"/>
  <c r="L47" i="3" s="1"/>
  <c r="K90" i="16" s="1"/>
  <c r="L90" i="16" s="1"/>
  <c r="G53" i="3"/>
  <c r="K53" i="3"/>
  <c r="L53" i="3" s="1"/>
  <c r="K96" i="16" s="1"/>
  <c r="L96" i="16" s="1"/>
  <c r="G48" i="3"/>
  <c r="K48" i="3"/>
  <c r="L48" i="3" s="1"/>
  <c r="K91" i="16" s="1"/>
  <c r="L91" i="16" s="1"/>
  <c r="K45" i="3"/>
  <c r="F44" i="3"/>
  <c r="G45" i="3"/>
  <c r="G50" i="3"/>
  <c r="K50" i="3"/>
  <c r="L50" i="3" s="1"/>
  <c r="K93" i="16" s="1"/>
  <c r="L93" i="16" s="1"/>
  <c r="G52" i="3"/>
  <c r="K52" i="3"/>
  <c r="L52" i="3" s="1"/>
  <c r="K95" i="16" s="1"/>
  <c r="L95" i="16" s="1"/>
  <c r="G49" i="3"/>
  <c r="K49" i="3"/>
  <c r="L49" i="3" s="1"/>
  <c r="K92" i="16" s="1"/>
  <c r="L92" i="16" s="1"/>
  <c r="G54" i="3"/>
  <c r="K54" i="3"/>
  <c r="L54" i="3" s="1"/>
  <c r="K97" i="16" s="1"/>
  <c r="L97" i="16" s="1"/>
  <c r="G9" i="3"/>
  <c r="K9" i="3"/>
  <c r="F8" i="3"/>
  <c r="G10" i="3"/>
  <c r="K10" i="3"/>
  <c r="L10" i="3" s="1"/>
  <c r="K103" i="16" s="1"/>
  <c r="L103" i="16" s="1"/>
  <c r="G11" i="3"/>
  <c r="K11" i="3"/>
  <c r="L11" i="3" s="1"/>
  <c r="D11" i="1"/>
  <c r="E11" i="1"/>
  <c r="N11" i="1" s="1"/>
  <c r="I10" i="3"/>
  <c r="I9" i="3"/>
  <c r="I11" i="3"/>
  <c r="N7" i="1"/>
  <c r="I7" i="1" s="1"/>
  <c r="F5" i="3"/>
  <c r="G6" i="3"/>
  <c r="K6" i="3"/>
  <c r="K7" i="3"/>
  <c r="L7" i="3" s="1"/>
  <c r="D9" i="20"/>
  <c r="D8" i="20" s="1"/>
  <c r="I6" i="3"/>
  <c r="I7" i="3"/>
  <c r="L164" i="25"/>
  <c r="L163" i="25"/>
  <c r="L162" i="25"/>
  <c r="L170" i="25"/>
  <c r="L195" i="25" s="1"/>
  <c r="L169" i="25"/>
  <c r="L194" i="25" s="1"/>
  <c r="L168" i="25"/>
  <c r="L193" i="25" s="1"/>
  <c r="L167" i="25"/>
  <c r="L166" i="25"/>
  <c r="L165" i="25"/>
  <c r="L191" i="25" s="1"/>
  <c r="L171" i="25"/>
  <c r="C161" i="25"/>
  <c r="D157" i="23"/>
  <c r="F157" i="23" s="1"/>
  <c r="L167" i="20"/>
  <c r="L166" i="20"/>
  <c r="L165" i="20"/>
  <c r="L173" i="20"/>
  <c r="L172" i="20"/>
  <c r="L197" i="20" s="1"/>
  <c r="L171" i="20"/>
  <c r="L196" i="20" s="1"/>
  <c r="L170" i="20"/>
  <c r="L169" i="20"/>
  <c r="L168" i="20"/>
  <c r="L194" i="20" s="1"/>
  <c r="L174" i="20"/>
  <c r="L199" i="20" s="1"/>
  <c r="C164" i="20"/>
  <c r="D123" i="25"/>
  <c r="F123" i="25" s="1"/>
  <c r="M58" i="16"/>
  <c r="O58" i="16" s="1"/>
  <c r="H5" i="17"/>
  <c r="S69" i="25"/>
  <c r="G73" i="25"/>
  <c r="G74" i="25"/>
  <c r="G72" i="25"/>
  <c r="G71" i="25"/>
  <c r="G70" i="25"/>
  <c r="G76" i="25" s="1"/>
  <c r="G184" i="25"/>
  <c r="G182" i="25"/>
  <c r="G185" i="25"/>
  <c r="G181" i="25"/>
  <c r="G183" i="25"/>
  <c r="G67" i="25"/>
  <c r="G34" i="25"/>
  <c r="H13" i="9"/>
  <c r="I98" i="25" s="1"/>
  <c r="G98" i="25"/>
  <c r="H98" i="25" s="1"/>
  <c r="H10" i="9"/>
  <c r="I161" i="25" s="1"/>
  <c r="G161" i="25"/>
  <c r="H161" i="25" s="1"/>
  <c r="R178" i="4"/>
  <c r="R177" i="4"/>
  <c r="R176" i="4"/>
  <c r="R175" i="4"/>
  <c r="R174" i="4"/>
  <c r="O179" i="4"/>
  <c r="O178" i="4"/>
  <c r="O177" i="4"/>
  <c r="O176" i="4"/>
  <c r="O175" i="4"/>
  <c r="O174" i="4"/>
  <c r="R29" i="20"/>
  <c r="R30" i="20"/>
  <c r="R31" i="20"/>
  <c r="R32" i="20"/>
  <c r="R33" i="20"/>
  <c r="O29" i="20"/>
  <c r="O30" i="20"/>
  <c r="O31" i="20"/>
  <c r="O32" i="20"/>
  <c r="O33" i="20"/>
  <c r="O34" i="20"/>
  <c r="S28" i="22"/>
  <c r="L44" i="22"/>
  <c r="L45" i="22" s="1"/>
  <c r="O34" i="22"/>
  <c r="O33" i="22"/>
  <c r="O32" i="22"/>
  <c r="O31" i="22"/>
  <c r="O30" i="22"/>
  <c r="O29" i="22"/>
  <c r="O68" i="22"/>
  <c r="O67" i="22"/>
  <c r="O66" i="22"/>
  <c r="O65" i="22"/>
  <c r="O64" i="22"/>
  <c r="O63" i="22"/>
  <c r="R33" i="22"/>
  <c r="R32" i="22"/>
  <c r="R31" i="22"/>
  <c r="R30" i="22"/>
  <c r="R29" i="22"/>
  <c r="R67" i="22"/>
  <c r="R66" i="22"/>
  <c r="R65" i="22"/>
  <c r="R64" i="22"/>
  <c r="R63" i="22"/>
  <c r="S62" i="22"/>
  <c r="R74" i="14"/>
  <c r="R73" i="14"/>
  <c r="R72" i="14"/>
  <c r="R71" i="14"/>
  <c r="R70" i="14"/>
  <c r="R77" i="13"/>
  <c r="R76" i="13"/>
  <c r="R75" i="13"/>
  <c r="R74" i="13"/>
  <c r="R73" i="13"/>
  <c r="O78" i="13"/>
  <c r="O77" i="13"/>
  <c r="O76" i="13"/>
  <c r="O75" i="13"/>
  <c r="O74" i="13"/>
  <c r="O73" i="13"/>
  <c r="O75" i="14"/>
  <c r="O74" i="14"/>
  <c r="O73" i="14"/>
  <c r="O72" i="14"/>
  <c r="O71" i="14"/>
  <c r="O70" i="14"/>
  <c r="R187" i="13"/>
  <c r="R186" i="13"/>
  <c r="R185" i="13"/>
  <c r="R184" i="13"/>
  <c r="R183" i="13"/>
  <c r="S182" i="13"/>
  <c r="R187" i="20"/>
  <c r="R186" i="20"/>
  <c r="R185" i="20"/>
  <c r="R184" i="20"/>
  <c r="R183" i="20"/>
  <c r="S182" i="20"/>
  <c r="R155" i="14"/>
  <c r="R154" i="14"/>
  <c r="R153" i="14"/>
  <c r="R152" i="14"/>
  <c r="R151" i="14"/>
  <c r="R159" i="14" s="1"/>
  <c r="R194" i="14"/>
  <c r="R193" i="14"/>
  <c r="R192" i="14"/>
  <c r="R191" i="14"/>
  <c r="R190" i="14"/>
  <c r="S189" i="14"/>
  <c r="O188" i="13"/>
  <c r="O187" i="13"/>
  <c r="O186" i="13"/>
  <c r="O185" i="13"/>
  <c r="O184" i="13"/>
  <c r="O183" i="13"/>
  <c r="O156" i="14"/>
  <c r="O155" i="14"/>
  <c r="O154" i="14"/>
  <c r="O153" i="14"/>
  <c r="O152" i="14"/>
  <c r="O151" i="14"/>
  <c r="O159" i="14" s="1"/>
  <c r="O188" i="20"/>
  <c r="O187" i="20"/>
  <c r="O186" i="20"/>
  <c r="O185" i="20"/>
  <c r="O184" i="20"/>
  <c r="O183" i="20"/>
  <c r="O195" i="14"/>
  <c r="O194" i="14"/>
  <c r="O193" i="14"/>
  <c r="O192" i="14"/>
  <c r="O191" i="14"/>
  <c r="O190" i="14"/>
  <c r="R50" i="4"/>
  <c r="R49" i="4"/>
  <c r="R48" i="4"/>
  <c r="R47" i="4"/>
  <c r="R46" i="4"/>
  <c r="S45" i="4"/>
  <c r="O51" i="4"/>
  <c r="O50" i="4"/>
  <c r="O49" i="4"/>
  <c r="O48" i="4"/>
  <c r="O47" i="4"/>
  <c r="O46" i="4"/>
  <c r="O29" i="4"/>
  <c r="O28" i="4"/>
  <c r="O27" i="4"/>
  <c r="O26" i="4"/>
  <c r="O25" i="4"/>
  <c r="O24" i="4"/>
  <c r="O65" i="4"/>
  <c r="O64" i="4"/>
  <c r="O63" i="4"/>
  <c r="O62" i="4"/>
  <c r="O61" i="4"/>
  <c r="O60" i="4"/>
  <c r="R28" i="4"/>
  <c r="R27" i="4"/>
  <c r="R26" i="4"/>
  <c r="R25" i="4"/>
  <c r="R24" i="4"/>
  <c r="R64" i="4"/>
  <c r="R63" i="4"/>
  <c r="R62" i="4"/>
  <c r="R61" i="4"/>
  <c r="R60" i="4"/>
  <c r="S59" i="4"/>
  <c r="R157" i="16"/>
  <c r="R156" i="16"/>
  <c r="R155" i="16"/>
  <c r="R154" i="16"/>
  <c r="R153" i="16"/>
  <c r="S152" i="16"/>
  <c r="R125" i="16"/>
  <c r="R124" i="16"/>
  <c r="R123" i="16"/>
  <c r="R122" i="16"/>
  <c r="R121" i="16"/>
  <c r="O158" i="16"/>
  <c r="O157" i="16"/>
  <c r="O156" i="16"/>
  <c r="O155" i="16"/>
  <c r="O154" i="16"/>
  <c r="O153" i="16"/>
  <c r="O126" i="16"/>
  <c r="O125" i="16"/>
  <c r="O124" i="16"/>
  <c r="O123" i="16"/>
  <c r="O122" i="16"/>
  <c r="O121" i="16"/>
  <c r="L192" i="13"/>
  <c r="S72" i="13"/>
  <c r="S69" i="14"/>
  <c r="S23" i="4"/>
  <c r="L109" i="14"/>
  <c r="L48" i="22"/>
  <c r="L71" i="22"/>
  <c r="L23" i="16"/>
  <c r="L49" i="16"/>
  <c r="S173" i="4"/>
  <c r="C101" i="20"/>
  <c r="L111" i="20"/>
  <c r="L119" i="20" s="1"/>
  <c r="L107" i="20"/>
  <c r="L109" i="20"/>
  <c r="L117" i="20" s="1"/>
  <c r="L104" i="20"/>
  <c r="L106" i="20"/>
  <c r="L108" i="20"/>
  <c r="L116" i="20" s="1"/>
  <c r="L103" i="20"/>
  <c r="L110" i="20"/>
  <c r="L105" i="20"/>
  <c r="L102" i="20"/>
  <c r="I145" i="23"/>
  <c r="I176" i="23"/>
  <c r="I144" i="22"/>
  <c r="L144" i="22" s="1"/>
  <c r="I174" i="22"/>
  <c r="L174" i="22" s="1"/>
  <c r="P48" i="22"/>
  <c r="R48" i="22" s="1"/>
  <c r="P49" i="23"/>
  <c r="M48" i="22"/>
  <c r="O48" i="22" s="1"/>
  <c r="M49" i="23"/>
  <c r="M71" i="22"/>
  <c r="O71" i="22" s="1"/>
  <c r="M72" i="23"/>
  <c r="P72" i="23"/>
  <c r="P71" i="22"/>
  <c r="R71" i="22" s="1"/>
  <c r="M145" i="23"/>
  <c r="M176" i="23"/>
  <c r="M144" i="22"/>
  <c r="O144" i="22" s="1"/>
  <c r="M174" i="22"/>
  <c r="O174" i="22" s="1"/>
  <c r="P145" i="23"/>
  <c r="P176" i="23"/>
  <c r="P144" i="22"/>
  <c r="R144" i="22" s="1"/>
  <c r="P174" i="22"/>
  <c r="R174" i="22" s="1"/>
  <c r="M49" i="16"/>
  <c r="O49" i="16" s="1"/>
  <c r="M23" i="16"/>
  <c r="O23" i="16" s="1"/>
  <c r="P49" i="16"/>
  <c r="R49" i="16" s="1"/>
  <c r="P23" i="16"/>
  <c r="R23" i="16" s="1"/>
  <c r="I101" i="13"/>
  <c r="I98" i="14"/>
  <c r="I101" i="20"/>
  <c r="I164" i="20"/>
  <c r="I163" i="13"/>
  <c r="I170" i="14"/>
  <c r="O34" i="23"/>
  <c r="O33" i="23"/>
  <c r="O32" i="23"/>
  <c r="O31" i="23"/>
  <c r="O30" i="23"/>
  <c r="O29" i="23"/>
  <c r="R33" i="23"/>
  <c r="R32" i="23"/>
  <c r="R31" i="23"/>
  <c r="R30" i="23"/>
  <c r="R29" i="23"/>
  <c r="O69" i="23"/>
  <c r="O68" i="23"/>
  <c r="O67" i="23"/>
  <c r="O66" i="23"/>
  <c r="O65" i="23"/>
  <c r="O64" i="23"/>
  <c r="R68" i="23"/>
  <c r="R67" i="23"/>
  <c r="R66" i="23"/>
  <c r="R65" i="23"/>
  <c r="R64" i="23"/>
  <c r="S63" i="23"/>
  <c r="S28" i="23"/>
  <c r="L102" i="23"/>
  <c r="L108" i="23"/>
  <c r="L107" i="23"/>
  <c r="L106" i="23"/>
  <c r="L105" i="23"/>
  <c r="L104" i="23"/>
  <c r="L103" i="23"/>
  <c r="L111" i="23"/>
  <c r="L110" i="23"/>
  <c r="L109" i="23"/>
  <c r="C133" i="23"/>
  <c r="R49" i="23"/>
  <c r="O49" i="23"/>
  <c r="L49" i="23"/>
  <c r="O145" i="23"/>
  <c r="L145" i="23"/>
  <c r="R145" i="23"/>
  <c r="R176" i="23"/>
  <c r="O176" i="23"/>
  <c r="L176" i="23"/>
  <c r="O49" i="15"/>
  <c r="O48" i="15"/>
  <c r="O47" i="15"/>
  <c r="O46" i="15"/>
  <c r="O45" i="15"/>
  <c r="O44" i="15"/>
  <c r="R48" i="15"/>
  <c r="R47" i="15"/>
  <c r="R46" i="15"/>
  <c r="R45" i="15"/>
  <c r="R44" i="15"/>
  <c r="S43" i="15"/>
  <c r="O29" i="15"/>
  <c r="O28" i="15"/>
  <c r="O27" i="15"/>
  <c r="O26" i="15"/>
  <c r="O25" i="15"/>
  <c r="O24" i="15"/>
  <c r="R28" i="15"/>
  <c r="R27" i="15"/>
  <c r="R26" i="15"/>
  <c r="R25" i="15"/>
  <c r="R24" i="15"/>
  <c r="O63" i="15"/>
  <c r="O62" i="15"/>
  <c r="O61" i="15"/>
  <c r="O60" i="15"/>
  <c r="O59" i="15"/>
  <c r="O58" i="15"/>
  <c r="R62" i="15"/>
  <c r="R61" i="15"/>
  <c r="R60" i="15"/>
  <c r="R59" i="15"/>
  <c r="R58" i="15"/>
  <c r="S57" i="15"/>
  <c r="O177" i="15"/>
  <c r="O176" i="15"/>
  <c r="O175" i="15"/>
  <c r="O174" i="15"/>
  <c r="O173" i="15"/>
  <c r="O172" i="15"/>
  <c r="R176" i="15"/>
  <c r="R175" i="15"/>
  <c r="R174" i="15"/>
  <c r="R173" i="15"/>
  <c r="R172" i="15"/>
  <c r="S171" i="15"/>
  <c r="O144" i="15"/>
  <c r="O143" i="15"/>
  <c r="O142" i="15"/>
  <c r="O141" i="15"/>
  <c r="O140" i="15"/>
  <c r="O139" i="15"/>
  <c r="R143" i="15"/>
  <c r="R142" i="15"/>
  <c r="R141" i="15"/>
  <c r="R140" i="15"/>
  <c r="R139" i="15"/>
  <c r="S23" i="15"/>
  <c r="S138" i="15"/>
  <c r="D9" i="23"/>
  <c r="C101" i="23"/>
  <c r="G158" i="16"/>
  <c r="D16" i="22"/>
  <c r="F16" i="22"/>
  <c r="C16" i="22" s="1"/>
  <c r="R41" i="8"/>
  <c r="R45" i="8"/>
  <c r="R44" i="8"/>
  <c r="R43" i="8"/>
  <c r="R42" i="8"/>
  <c r="R39" i="8"/>
  <c r="O39" i="8"/>
  <c r="O56" i="8"/>
  <c r="O41" i="8"/>
  <c r="O46" i="8"/>
  <c r="O45" i="8"/>
  <c r="O44" i="8"/>
  <c r="O43" i="8"/>
  <c r="O42" i="8"/>
  <c r="S40" i="8"/>
  <c r="L39" i="8"/>
  <c r="G46" i="4"/>
  <c r="G47" i="4"/>
  <c r="G45" i="15"/>
  <c r="G44" i="15"/>
  <c r="G35" i="16"/>
  <c r="H35" i="16" s="1"/>
  <c r="G5" i="17"/>
  <c r="F5" i="17"/>
  <c r="O48" i="8"/>
  <c r="O53" i="8"/>
  <c r="O52" i="8"/>
  <c r="O61" i="8" s="1"/>
  <c r="O51" i="8"/>
  <c r="O60" i="8" s="1"/>
  <c r="O50" i="8"/>
  <c r="O59" i="8" s="1"/>
  <c r="O49" i="8"/>
  <c r="O58" i="8" s="1"/>
  <c r="S18" i="8"/>
  <c r="S28" i="8" s="1"/>
  <c r="O19" i="8"/>
  <c r="O29" i="8" s="1"/>
  <c r="O24" i="8"/>
  <c r="O34" i="8" s="1"/>
  <c r="O23" i="8"/>
  <c r="O33" i="8" s="1"/>
  <c r="O22" i="8"/>
  <c r="O32" i="8" s="1"/>
  <c r="O21" i="8"/>
  <c r="O31" i="8" s="1"/>
  <c r="O20" i="8"/>
  <c r="O30" i="8" s="1"/>
  <c r="R48" i="8"/>
  <c r="R52" i="8"/>
  <c r="R51" i="8"/>
  <c r="R50" i="8"/>
  <c r="R49" i="8"/>
  <c r="R20" i="8"/>
  <c r="R30" i="8" s="1"/>
  <c r="R21" i="8"/>
  <c r="R31" i="8" s="1"/>
  <c r="R22" i="8"/>
  <c r="R32" i="8" s="1"/>
  <c r="R23" i="8"/>
  <c r="R33" i="8" s="1"/>
  <c r="R19" i="8"/>
  <c r="R24" i="8" s="1"/>
  <c r="G98" i="14"/>
  <c r="H98" i="14" s="1"/>
  <c r="G13" i="9"/>
  <c r="P98" i="25" s="1"/>
  <c r="R98" i="25" s="1"/>
  <c r="F13" i="9"/>
  <c r="M98" i="25" s="1"/>
  <c r="O98" i="25" s="1"/>
  <c r="G101" i="13"/>
  <c r="H101" i="13" s="1"/>
  <c r="G101" i="20"/>
  <c r="H101" i="20" s="1"/>
  <c r="E13" i="18"/>
  <c r="J13" i="18"/>
  <c r="G170" i="14"/>
  <c r="H170" i="14" s="1"/>
  <c r="G10" i="9"/>
  <c r="P161" i="25" s="1"/>
  <c r="R161" i="25" s="1"/>
  <c r="F10" i="9"/>
  <c r="M161" i="25" s="1"/>
  <c r="O161" i="25" s="1"/>
  <c r="G163" i="13"/>
  <c r="H163" i="13" s="1"/>
  <c r="G164" i="20"/>
  <c r="H164" i="20" s="1"/>
  <c r="E10" i="18"/>
  <c r="J10" i="18"/>
  <c r="F16" i="20"/>
  <c r="C16" i="20" s="1"/>
  <c r="G32" i="22"/>
  <c r="G33" i="22"/>
  <c r="G31" i="22"/>
  <c r="G30" i="22"/>
  <c r="G29" i="22"/>
  <c r="G34" i="22" s="1"/>
  <c r="G68" i="22"/>
  <c r="G66" i="22"/>
  <c r="G67" i="22"/>
  <c r="G65" i="22"/>
  <c r="G64" i="22"/>
  <c r="G63" i="22"/>
  <c r="G69" i="22" s="1"/>
  <c r="G32" i="23"/>
  <c r="G33" i="23"/>
  <c r="G31" i="23"/>
  <c r="G30" i="23"/>
  <c r="G29" i="23"/>
  <c r="G34" i="23" s="1"/>
  <c r="G69" i="23"/>
  <c r="G67" i="23"/>
  <c r="G68" i="23"/>
  <c r="G66" i="23"/>
  <c r="G65" i="23"/>
  <c r="G64" i="23"/>
  <c r="G70" i="23" s="1"/>
  <c r="G70" i="14"/>
  <c r="G72" i="14"/>
  <c r="G71" i="14"/>
  <c r="G74" i="14"/>
  <c r="G73" i="14"/>
  <c r="G76" i="13"/>
  <c r="G75" i="13"/>
  <c r="G77" i="13"/>
  <c r="G73" i="13"/>
  <c r="G74" i="13"/>
  <c r="G190" i="14"/>
  <c r="G194" i="14"/>
  <c r="G193" i="14"/>
  <c r="G192" i="14"/>
  <c r="G191" i="14"/>
  <c r="H188" i="20"/>
  <c r="H183" i="20"/>
  <c r="H184" i="20"/>
  <c r="H187" i="20"/>
  <c r="H186" i="20"/>
  <c r="H185" i="20"/>
  <c r="G183" i="13"/>
  <c r="G188" i="13"/>
  <c r="G189" i="13"/>
  <c r="G187" i="13"/>
  <c r="G186" i="13"/>
  <c r="G185" i="13"/>
  <c r="G184" i="13"/>
  <c r="H156" i="14"/>
  <c r="H153" i="14"/>
  <c r="H155" i="14"/>
  <c r="H151" i="14"/>
  <c r="H154" i="14"/>
  <c r="H152" i="14"/>
  <c r="G27" i="4"/>
  <c r="G25" i="4"/>
  <c r="G28" i="4"/>
  <c r="G26" i="4"/>
  <c r="G24" i="4"/>
  <c r="G29" i="4" s="1"/>
  <c r="G25" i="15"/>
  <c r="G26" i="15"/>
  <c r="G27" i="15"/>
  <c r="G28" i="15"/>
  <c r="G24" i="15"/>
  <c r="G29" i="15" s="1"/>
  <c r="G59" i="15"/>
  <c r="G60" i="15"/>
  <c r="G61" i="15"/>
  <c r="G63" i="15"/>
  <c r="G58" i="15"/>
  <c r="G64" i="15" s="1"/>
  <c r="G63" i="4"/>
  <c r="G61" i="4"/>
  <c r="G64" i="4"/>
  <c r="G62" i="4"/>
  <c r="G60" i="4"/>
  <c r="G65" i="4" s="1"/>
  <c r="G70" i="20"/>
  <c r="G69" i="13"/>
  <c r="G36" i="13"/>
  <c r="I67" i="3"/>
  <c r="I78" i="3"/>
  <c r="J78" i="3" s="1"/>
  <c r="I59" i="3"/>
  <c r="I60" i="3"/>
  <c r="I61" i="3"/>
  <c r="I62" i="3"/>
  <c r="I63" i="3"/>
  <c r="I64" i="3"/>
  <c r="I65" i="3"/>
  <c r="I66" i="3"/>
  <c r="I58" i="3"/>
  <c r="I70" i="3"/>
  <c r="I71" i="3"/>
  <c r="I72" i="3"/>
  <c r="I73" i="3"/>
  <c r="I74" i="3"/>
  <c r="I75" i="3"/>
  <c r="I76" i="3"/>
  <c r="I77" i="3"/>
  <c r="I69" i="3"/>
  <c r="G176" i="4"/>
  <c r="G177" i="4"/>
  <c r="G175" i="4"/>
  <c r="G178" i="4"/>
  <c r="G174" i="4"/>
  <c r="G176" i="15"/>
  <c r="G174" i="15"/>
  <c r="G173" i="15"/>
  <c r="G175" i="15"/>
  <c r="G172" i="15"/>
  <c r="G177" i="15" s="1"/>
  <c r="G126" i="16"/>
  <c r="G64" i="16"/>
  <c r="G61" i="16"/>
  <c r="G62" i="16"/>
  <c r="G63" i="16"/>
  <c r="G60" i="16"/>
  <c r="G65" i="16" s="1"/>
  <c r="G142" i="15"/>
  <c r="G143" i="15"/>
  <c r="G141" i="15"/>
  <c r="G140" i="15"/>
  <c r="G139" i="15"/>
  <c r="G144" i="15" s="1"/>
  <c r="R29" i="8"/>
  <c r="R17" i="8"/>
  <c r="O28" i="8"/>
  <c r="K147" i="25" l="1"/>
  <c r="L147" i="25" s="1"/>
  <c r="K148" i="13"/>
  <c r="L148" i="13" s="1"/>
  <c r="K156" i="15"/>
  <c r="L156" i="15" s="1"/>
  <c r="K159" i="4"/>
  <c r="L159" i="4" s="1"/>
  <c r="L187" i="4" s="1"/>
  <c r="K158" i="4"/>
  <c r="L158" i="4" s="1"/>
  <c r="K155" i="15"/>
  <c r="L155" i="15" s="1"/>
  <c r="K157" i="15"/>
  <c r="L157" i="15" s="1"/>
  <c r="K160" i="4"/>
  <c r="L160" i="4" s="1"/>
  <c r="K160" i="15"/>
  <c r="L160" i="15" s="1"/>
  <c r="K163" i="4"/>
  <c r="L163" i="4" s="1"/>
  <c r="L191" i="4" s="1"/>
  <c r="K154" i="15"/>
  <c r="L154" i="15" s="1"/>
  <c r="K157" i="4"/>
  <c r="L157" i="4" s="1"/>
  <c r="L30" i="3"/>
  <c r="K29" i="3"/>
  <c r="G29" i="3"/>
  <c r="D10" i="6" s="1"/>
  <c r="K153" i="15"/>
  <c r="L153" i="15" s="1"/>
  <c r="K156" i="4"/>
  <c r="L156" i="4" s="1"/>
  <c r="K164" i="4"/>
  <c r="L164" i="4" s="1"/>
  <c r="K161" i="15"/>
  <c r="L161" i="15" s="1"/>
  <c r="K159" i="15"/>
  <c r="L159" i="15" s="1"/>
  <c r="K162" i="4"/>
  <c r="L162" i="4" s="1"/>
  <c r="L190" i="4" s="1"/>
  <c r="K161" i="4"/>
  <c r="L161" i="4" s="1"/>
  <c r="K158" i="15"/>
  <c r="L158" i="15" s="1"/>
  <c r="K162" i="15"/>
  <c r="L162" i="15" s="1"/>
  <c r="K165" i="4"/>
  <c r="L165" i="4" s="1"/>
  <c r="L193" i="4" s="1"/>
  <c r="K102" i="15"/>
  <c r="L102" i="15" s="1"/>
  <c r="K104" i="4"/>
  <c r="L104" i="4" s="1"/>
  <c r="K97" i="15"/>
  <c r="L97" i="15" s="1"/>
  <c r="K99" i="4"/>
  <c r="L99" i="4" s="1"/>
  <c r="K98" i="15"/>
  <c r="L98" i="15" s="1"/>
  <c r="K100" i="4"/>
  <c r="L100" i="4" s="1"/>
  <c r="K104" i="15"/>
  <c r="L104" i="15" s="1"/>
  <c r="K106" i="4"/>
  <c r="L106" i="4" s="1"/>
  <c r="K101" i="4"/>
  <c r="L101" i="4" s="1"/>
  <c r="K99" i="15"/>
  <c r="L99" i="15" s="1"/>
  <c r="L45" i="3"/>
  <c r="K44" i="3"/>
  <c r="G44" i="3"/>
  <c r="D13" i="6" s="1"/>
  <c r="K96" i="15"/>
  <c r="L96" i="15" s="1"/>
  <c r="K98" i="4"/>
  <c r="L98" i="4" s="1"/>
  <c r="K103" i="4"/>
  <c r="L103" i="4" s="1"/>
  <c r="K101" i="15"/>
  <c r="L101" i="15" s="1"/>
  <c r="K103" i="15"/>
  <c r="L103" i="15" s="1"/>
  <c r="K105" i="4"/>
  <c r="L105" i="4" s="1"/>
  <c r="K102" i="4"/>
  <c r="L102" i="4" s="1"/>
  <c r="K100" i="15"/>
  <c r="L100" i="15" s="1"/>
  <c r="K105" i="15"/>
  <c r="L105" i="15" s="1"/>
  <c r="K107" i="4"/>
  <c r="L107" i="4" s="1"/>
  <c r="F71" i="3"/>
  <c r="F75" i="3"/>
  <c r="F73" i="3"/>
  <c r="F74" i="3"/>
  <c r="F69" i="3"/>
  <c r="F70" i="3"/>
  <c r="F76" i="3"/>
  <c r="F72" i="3"/>
  <c r="F77" i="3"/>
  <c r="F58" i="3"/>
  <c r="F66" i="3"/>
  <c r="F65" i="3"/>
  <c r="F64" i="3"/>
  <c r="F63" i="3"/>
  <c r="F62" i="3"/>
  <c r="F61" i="3"/>
  <c r="F60" i="3"/>
  <c r="F59" i="3"/>
  <c r="F78" i="3"/>
  <c r="F67" i="3"/>
  <c r="G8" i="3"/>
  <c r="D4" i="6" s="1"/>
  <c r="K120" i="15"/>
  <c r="L120" i="15" s="1"/>
  <c r="K122" i="4"/>
  <c r="L122" i="4" s="1"/>
  <c r="K8" i="3"/>
  <c r="L9" i="3"/>
  <c r="K123" i="4"/>
  <c r="L123" i="4" s="1"/>
  <c r="K121" i="15"/>
  <c r="L121" i="15" s="1"/>
  <c r="K123" i="15"/>
  <c r="L123" i="15" s="1"/>
  <c r="K122" i="15"/>
  <c r="L122" i="15" s="1"/>
  <c r="K124" i="4"/>
  <c r="L124" i="4" s="1"/>
  <c r="K125" i="4"/>
  <c r="L125" i="4" s="1"/>
  <c r="L148" i="4" s="1"/>
  <c r="K105" i="16"/>
  <c r="L105" i="16" s="1"/>
  <c r="K104" i="16"/>
  <c r="L104" i="16" s="1"/>
  <c r="K11" i="1"/>
  <c r="M11" i="1"/>
  <c r="I11" i="1"/>
  <c r="J10" i="3"/>
  <c r="M10" i="3"/>
  <c r="N10" i="3" s="1"/>
  <c r="J9" i="3"/>
  <c r="M9" i="3"/>
  <c r="I8" i="3"/>
  <c r="J11" i="3"/>
  <c r="M11" i="3"/>
  <c r="N11" i="3" s="1"/>
  <c r="M7" i="1"/>
  <c r="K7" i="1"/>
  <c r="G5" i="3"/>
  <c r="D3" i="6" s="1"/>
  <c r="L17" i="15"/>
  <c r="K5" i="3"/>
  <c r="L6" i="3"/>
  <c r="L40" i="4"/>
  <c r="L19" i="15"/>
  <c r="L18" i="15"/>
  <c r="L39" i="4"/>
  <c r="M6" i="3"/>
  <c r="J6" i="3"/>
  <c r="M7" i="3"/>
  <c r="N7" i="3" s="1"/>
  <c r="J7" i="3"/>
  <c r="D9" i="25"/>
  <c r="L158" i="23"/>
  <c r="L167" i="23"/>
  <c r="L166" i="23"/>
  <c r="L165" i="23"/>
  <c r="L164" i="23"/>
  <c r="L163" i="23"/>
  <c r="L162" i="23"/>
  <c r="L161" i="23"/>
  <c r="L160" i="23"/>
  <c r="L159" i="23"/>
  <c r="C157" i="23"/>
  <c r="D115" i="23"/>
  <c r="F115" i="23" s="1"/>
  <c r="L193" i="20"/>
  <c r="L198" i="20"/>
  <c r="D124" i="20"/>
  <c r="F124" i="20" s="1"/>
  <c r="C123" i="25"/>
  <c r="L192" i="25"/>
  <c r="L195" i="20"/>
  <c r="S58" i="16"/>
  <c r="O59" i="16"/>
  <c r="O60" i="16"/>
  <c r="O61" i="16"/>
  <c r="O62" i="16"/>
  <c r="O63" i="16"/>
  <c r="O64" i="16"/>
  <c r="I35" i="16"/>
  <c r="L35" i="16" s="1"/>
  <c r="P35" i="16"/>
  <c r="R35" i="16" s="1"/>
  <c r="M35" i="16"/>
  <c r="O35" i="16" s="1"/>
  <c r="H13" i="18"/>
  <c r="H10" i="18"/>
  <c r="G186" i="25"/>
  <c r="L98" i="25"/>
  <c r="L161" i="25"/>
  <c r="R103" i="25"/>
  <c r="R102" i="25"/>
  <c r="R101" i="25"/>
  <c r="R100" i="25"/>
  <c r="R99" i="25"/>
  <c r="R105" i="25" s="1"/>
  <c r="O104" i="25"/>
  <c r="O103" i="25"/>
  <c r="O102" i="25"/>
  <c r="O101" i="25"/>
  <c r="O100" i="25"/>
  <c r="O99" i="25"/>
  <c r="O105" i="25" s="1"/>
  <c r="R166" i="25"/>
  <c r="R165" i="25"/>
  <c r="R164" i="25"/>
  <c r="R163" i="25"/>
  <c r="R162" i="25"/>
  <c r="O167" i="25"/>
  <c r="O166" i="25"/>
  <c r="O165" i="25"/>
  <c r="O164" i="25"/>
  <c r="O163" i="25"/>
  <c r="O162" i="25"/>
  <c r="C124" i="20"/>
  <c r="D229" i="20"/>
  <c r="D245" i="20" s="1"/>
  <c r="F245" i="20" s="1"/>
  <c r="R53" i="22"/>
  <c r="R52" i="22"/>
  <c r="R51" i="22"/>
  <c r="R50" i="22"/>
  <c r="R49" i="22"/>
  <c r="S48" i="22"/>
  <c r="O54" i="22"/>
  <c r="O53" i="22"/>
  <c r="O52" i="22"/>
  <c r="O51" i="22"/>
  <c r="O50" i="22"/>
  <c r="O49" i="22"/>
  <c r="O77" i="22"/>
  <c r="O76" i="22"/>
  <c r="O75" i="22"/>
  <c r="O74" i="22"/>
  <c r="O73" i="22"/>
  <c r="O72" i="22"/>
  <c r="R76" i="22"/>
  <c r="R75" i="22"/>
  <c r="R74" i="22"/>
  <c r="R73" i="22"/>
  <c r="R72" i="22"/>
  <c r="O150" i="22"/>
  <c r="O149" i="22"/>
  <c r="O148" i="22"/>
  <c r="O147" i="22"/>
  <c r="O146" i="22"/>
  <c r="O145" i="22"/>
  <c r="O180" i="22"/>
  <c r="O179" i="22"/>
  <c r="O178" i="22"/>
  <c r="O177" i="22"/>
  <c r="O176" i="22"/>
  <c r="O175" i="22"/>
  <c r="R149" i="22"/>
  <c r="R148" i="22"/>
  <c r="R147" i="22"/>
  <c r="R146" i="22"/>
  <c r="R145" i="22"/>
  <c r="R179" i="22"/>
  <c r="R178" i="22"/>
  <c r="R177" i="22"/>
  <c r="R176" i="22"/>
  <c r="R175" i="22"/>
  <c r="S174" i="22"/>
  <c r="O55" i="16"/>
  <c r="O54" i="16"/>
  <c r="O53" i="16"/>
  <c r="O52" i="16"/>
  <c r="O51" i="16"/>
  <c r="O50" i="16"/>
  <c r="O29" i="16"/>
  <c r="O28" i="16"/>
  <c r="O27" i="16"/>
  <c r="O26" i="16"/>
  <c r="O25" i="16"/>
  <c r="O24" i="16"/>
  <c r="R54" i="16"/>
  <c r="R53" i="16"/>
  <c r="R52" i="16"/>
  <c r="R51" i="16"/>
  <c r="R50" i="16"/>
  <c r="S49" i="16"/>
  <c r="R28" i="16"/>
  <c r="R27" i="16"/>
  <c r="R26" i="16"/>
  <c r="R25" i="16"/>
  <c r="R24" i="16"/>
  <c r="S71" i="22"/>
  <c r="S23" i="16"/>
  <c r="S144" i="22"/>
  <c r="L101" i="13"/>
  <c r="L98" i="14"/>
  <c r="L101" i="20"/>
  <c r="L164" i="20"/>
  <c r="L163" i="13"/>
  <c r="L170" i="14"/>
  <c r="R40" i="16"/>
  <c r="R39" i="16"/>
  <c r="R38" i="16"/>
  <c r="R37" i="16"/>
  <c r="R36" i="16"/>
  <c r="O41" i="16"/>
  <c r="O40" i="16"/>
  <c r="O39" i="16"/>
  <c r="O38" i="16"/>
  <c r="O37" i="16"/>
  <c r="O36" i="16"/>
  <c r="P98" i="14"/>
  <c r="R98" i="14" s="1"/>
  <c r="P101" i="20"/>
  <c r="R119" i="20" s="1"/>
  <c r="P101" i="13"/>
  <c r="R119" i="13" s="1"/>
  <c r="M101" i="20"/>
  <c r="M98" i="14"/>
  <c r="O98" i="14" s="1"/>
  <c r="M101" i="13"/>
  <c r="I100" i="22"/>
  <c r="I101" i="23"/>
  <c r="P163" i="13"/>
  <c r="R163" i="13" s="1"/>
  <c r="P170" i="14"/>
  <c r="R170" i="14" s="1"/>
  <c r="P164" i="20"/>
  <c r="R164" i="20" s="1"/>
  <c r="M164" i="20"/>
  <c r="O164" i="20" s="1"/>
  <c r="M170" i="14"/>
  <c r="O170" i="14" s="1"/>
  <c r="M163" i="13"/>
  <c r="O163" i="13" s="1"/>
  <c r="I155" i="22"/>
  <c r="I157" i="23"/>
  <c r="K147" i="14"/>
  <c r="L147" i="14" s="1"/>
  <c r="K148" i="20"/>
  <c r="L148" i="20" s="1"/>
  <c r="R54" i="23"/>
  <c r="R53" i="23"/>
  <c r="R52" i="23"/>
  <c r="R51" i="23"/>
  <c r="R50" i="23"/>
  <c r="S49" i="23"/>
  <c r="O55" i="23"/>
  <c r="O54" i="23"/>
  <c r="O53" i="23"/>
  <c r="O52" i="23"/>
  <c r="O51" i="23"/>
  <c r="O50" i="23"/>
  <c r="O151" i="23"/>
  <c r="O150" i="23"/>
  <c r="O149" i="23"/>
  <c r="O148" i="23"/>
  <c r="O147" i="23"/>
  <c r="O146" i="23"/>
  <c r="R150" i="23"/>
  <c r="R149" i="23"/>
  <c r="R148" i="23"/>
  <c r="R147" i="23"/>
  <c r="R146" i="23"/>
  <c r="R181" i="23"/>
  <c r="R180" i="23"/>
  <c r="R179" i="23"/>
  <c r="R178" i="23"/>
  <c r="R177" i="23"/>
  <c r="S176" i="23"/>
  <c r="O182" i="23"/>
  <c r="O181" i="23"/>
  <c r="O180" i="23"/>
  <c r="O179" i="23"/>
  <c r="O178" i="23"/>
  <c r="O177" i="23"/>
  <c r="L112" i="23"/>
  <c r="S145" i="23"/>
  <c r="F9" i="23"/>
  <c r="G176" i="22"/>
  <c r="G179" i="22"/>
  <c r="G178" i="22"/>
  <c r="G177" i="22"/>
  <c r="G175" i="22"/>
  <c r="G180" i="22" s="1"/>
  <c r="D16" i="23"/>
  <c r="D8" i="23" s="1"/>
  <c r="D132" i="22"/>
  <c r="D131" i="13"/>
  <c r="D123" i="13" s="1"/>
  <c r="R57" i="8"/>
  <c r="R46" i="8"/>
  <c r="F13" i="18"/>
  <c r="G13" i="18"/>
  <c r="G101" i="23"/>
  <c r="H101" i="23" s="1"/>
  <c r="G100" i="22"/>
  <c r="H100" i="22" s="1"/>
  <c r="F10" i="18"/>
  <c r="G10" i="18"/>
  <c r="G157" i="23"/>
  <c r="H157" i="23" s="1"/>
  <c r="G155" i="22"/>
  <c r="H155" i="22" s="1"/>
  <c r="G50" i="23"/>
  <c r="G51" i="23"/>
  <c r="G49" i="22"/>
  <c r="G50" i="22"/>
  <c r="G77" i="22"/>
  <c r="G74" i="22"/>
  <c r="G73" i="22"/>
  <c r="G76" i="22"/>
  <c r="G75" i="22"/>
  <c r="G72" i="22"/>
  <c r="G78" i="22" s="1"/>
  <c r="G146" i="22"/>
  <c r="G148" i="22"/>
  <c r="G149" i="22"/>
  <c r="G147" i="22"/>
  <c r="G145" i="22"/>
  <c r="G150" i="22" s="1"/>
  <c r="G148" i="23"/>
  <c r="G150" i="23"/>
  <c r="G149" i="23"/>
  <c r="G147" i="23"/>
  <c r="G146" i="23"/>
  <c r="G151" i="23" s="1"/>
  <c r="G179" i="23"/>
  <c r="G180" i="23"/>
  <c r="G181" i="23"/>
  <c r="G178" i="23"/>
  <c r="G177" i="23"/>
  <c r="G182" i="23" s="1"/>
  <c r="G25" i="16"/>
  <c r="G28" i="16"/>
  <c r="G27" i="16"/>
  <c r="G26" i="16"/>
  <c r="G24" i="16"/>
  <c r="G29" i="16" s="1"/>
  <c r="G55" i="16"/>
  <c r="G52" i="16"/>
  <c r="G54" i="16"/>
  <c r="G51" i="16"/>
  <c r="G53" i="16"/>
  <c r="G50" i="16"/>
  <c r="G56" i="16" s="1"/>
  <c r="J67" i="3"/>
  <c r="K26" i="25" s="1"/>
  <c r="L26" i="25" s="1"/>
  <c r="M67" i="3"/>
  <c r="N67" i="3" s="1"/>
  <c r="M78" i="3"/>
  <c r="N78" i="3" s="1"/>
  <c r="M59" i="3"/>
  <c r="N59" i="3" s="1"/>
  <c r="J59" i="3"/>
  <c r="K18" i="25" s="1"/>
  <c r="L18" i="25" s="1"/>
  <c r="M60" i="3"/>
  <c r="N60" i="3" s="1"/>
  <c r="J60" i="3"/>
  <c r="K19" i="25" s="1"/>
  <c r="L19" i="25" s="1"/>
  <c r="M61" i="3"/>
  <c r="N61" i="3" s="1"/>
  <c r="J61" i="3"/>
  <c r="K20" i="25" s="1"/>
  <c r="L20" i="25" s="1"/>
  <c r="M62" i="3"/>
  <c r="N62" i="3" s="1"/>
  <c r="J62" i="3"/>
  <c r="K21" i="25" s="1"/>
  <c r="L21" i="25" s="1"/>
  <c r="M63" i="3"/>
  <c r="N63" i="3" s="1"/>
  <c r="J63" i="3"/>
  <c r="K22" i="25" s="1"/>
  <c r="L22" i="25" s="1"/>
  <c r="M64" i="3"/>
  <c r="N64" i="3" s="1"/>
  <c r="J64" i="3"/>
  <c r="K23" i="25" s="1"/>
  <c r="L23" i="25" s="1"/>
  <c r="M65" i="3"/>
  <c r="N65" i="3" s="1"/>
  <c r="J65" i="3"/>
  <c r="K24" i="25" s="1"/>
  <c r="L24" i="25" s="1"/>
  <c r="M66" i="3"/>
  <c r="N66" i="3" s="1"/>
  <c r="J66" i="3"/>
  <c r="K25" i="25" s="1"/>
  <c r="L25" i="25" s="1"/>
  <c r="I57" i="3"/>
  <c r="M57" i="3" s="1"/>
  <c r="J58" i="3"/>
  <c r="K17" i="25" s="1"/>
  <c r="L17" i="25" s="1"/>
  <c r="M58" i="3"/>
  <c r="N58" i="3" s="1"/>
  <c r="M70" i="3"/>
  <c r="N70" i="3" s="1"/>
  <c r="J70" i="3"/>
  <c r="M71" i="3"/>
  <c r="N71" i="3" s="1"/>
  <c r="J71" i="3"/>
  <c r="M72" i="3"/>
  <c r="N72" i="3" s="1"/>
  <c r="J72" i="3"/>
  <c r="M73" i="3"/>
  <c r="N73" i="3" s="1"/>
  <c r="J73" i="3"/>
  <c r="M74" i="3"/>
  <c r="N74" i="3" s="1"/>
  <c r="J74" i="3"/>
  <c r="M75" i="3"/>
  <c r="N75" i="3" s="1"/>
  <c r="J75" i="3"/>
  <c r="M76" i="3"/>
  <c r="N76" i="3" s="1"/>
  <c r="J76" i="3"/>
  <c r="M77" i="3"/>
  <c r="N77" i="3" s="1"/>
  <c r="J77" i="3"/>
  <c r="I68" i="3"/>
  <c r="J69" i="3"/>
  <c r="M69" i="3"/>
  <c r="R61" i="8"/>
  <c r="R60" i="8"/>
  <c r="R59" i="8"/>
  <c r="R58" i="8"/>
  <c r="O57" i="8"/>
  <c r="O62" i="8"/>
  <c r="R53" i="8"/>
  <c r="G76" i="14"/>
  <c r="G78" i="13"/>
  <c r="G195" i="14"/>
  <c r="H189" i="20"/>
  <c r="G190" i="13"/>
  <c r="H157" i="14"/>
  <c r="R28" i="8"/>
  <c r="M37" i="8" s="1"/>
  <c r="N37" i="8" s="1"/>
  <c r="F9" i="20"/>
  <c r="K139" i="25" l="1"/>
  <c r="L139" i="25" s="1"/>
  <c r="K140" i="13"/>
  <c r="L140" i="13" s="1"/>
  <c r="K140" i="25"/>
  <c r="L140" i="25" s="1"/>
  <c r="K141" i="13"/>
  <c r="L141" i="13" s="1"/>
  <c r="K141" i="25"/>
  <c r="L141" i="25" s="1"/>
  <c r="K142" i="13"/>
  <c r="L142" i="13" s="1"/>
  <c r="K142" i="25"/>
  <c r="L142" i="25" s="1"/>
  <c r="K143" i="13"/>
  <c r="L143" i="13" s="1"/>
  <c r="K143" i="25"/>
  <c r="L143" i="25" s="1"/>
  <c r="K144" i="13"/>
  <c r="L144" i="13" s="1"/>
  <c r="K144" i="25"/>
  <c r="L144" i="25" s="1"/>
  <c r="K145" i="13"/>
  <c r="L145" i="13" s="1"/>
  <c r="K145" i="25"/>
  <c r="L145" i="25" s="1"/>
  <c r="K146" i="13"/>
  <c r="L146" i="13" s="1"/>
  <c r="K146" i="25"/>
  <c r="L146" i="25" s="1"/>
  <c r="K147" i="13"/>
  <c r="L147" i="13" s="1"/>
  <c r="K138" i="25"/>
  <c r="L138" i="25" s="1"/>
  <c r="K139" i="13"/>
  <c r="L139" i="13" s="1"/>
  <c r="L149" i="13" s="1"/>
  <c r="L29" i="3"/>
  <c r="D10" i="17" s="1"/>
  <c r="K134" i="16"/>
  <c r="L134" i="16" s="1"/>
  <c r="E10" i="6"/>
  <c r="H10" i="6" s="1"/>
  <c r="J10" i="6"/>
  <c r="K88" i="16"/>
  <c r="L88" i="16" s="1"/>
  <c r="L98" i="16" s="1"/>
  <c r="L44" i="3"/>
  <c r="D13" i="17" s="1"/>
  <c r="E13" i="6"/>
  <c r="H13" i="6" s="1"/>
  <c r="J13" i="6"/>
  <c r="G71" i="3"/>
  <c r="K71" i="3"/>
  <c r="L71" i="3" s="1"/>
  <c r="K111" i="16" s="1"/>
  <c r="L111" i="16" s="1"/>
  <c r="G75" i="3"/>
  <c r="K75" i="3"/>
  <c r="L75" i="3" s="1"/>
  <c r="K115" i="16" s="1"/>
  <c r="L115" i="16" s="1"/>
  <c r="G73" i="3"/>
  <c r="K73" i="3"/>
  <c r="L73" i="3" s="1"/>
  <c r="K113" i="16" s="1"/>
  <c r="L113" i="16" s="1"/>
  <c r="G74" i="3"/>
  <c r="K74" i="3"/>
  <c r="L74" i="3" s="1"/>
  <c r="K114" i="16" s="1"/>
  <c r="L114" i="16" s="1"/>
  <c r="K69" i="3"/>
  <c r="F68" i="3"/>
  <c r="G69" i="3"/>
  <c r="G70" i="3"/>
  <c r="K70" i="3"/>
  <c r="L70" i="3" s="1"/>
  <c r="K110" i="16" s="1"/>
  <c r="L110" i="16" s="1"/>
  <c r="G76" i="3"/>
  <c r="K76" i="3"/>
  <c r="L76" i="3" s="1"/>
  <c r="K116" i="16" s="1"/>
  <c r="L116" i="16" s="1"/>
  <c r="G72" i="3"/>
  <c r="K72" i="3"/>
  <c r="L72" i="3" s="1"/>
  <c r="K112" i="16" s="1"/>
  <c r="L112" i="16" s="1"/>
  <c r="G77" i="3"/>
  <c r="K77" i="3"/>
  <c r="L77" i="3" s="1"/>
  <c r="K117" i="16" s="1"/>
  <c r="L117" i="16" s="1"/>
  <c r="K58" i="3"/>
  <c r="G58" i="3"/>
  <c r="F57" i="3"/>
  <c r="G66" i="3"/>
  <c r="K66" i="3"/>
  <c r="L66" i="3" s="1"/>
  <c r="G65" i="3"/>
  <c r="K65" i="3"/>
  <c r="L65" i="3" s="1"/>
  <c r="G64" i="3"/>
  <c r="K64" i="3"/>
  <c r="L64" i="3" s="1"/>
  <c r="G63" i="3"/>
  <c r="K63" i="3"/>
  <c r="L63" i="3" s="1"/>
  <c r="G62" i="3"/>
  <c r="K62" i="3"/>
  <c r="L62" i="3" s="1"/>
  <c r="G61" i="3"/>
  <c r="K61" i="3"/>
  <c r="L61" i="3" s="1"/>
  <c r="G60" i="3"/>
  <c r="K60" i="3"/>
  <c r="L60" i="3" s="1"/>
  <c r="G59" i="3"/>
  <c r="K59" i="3"/>
  <c r="L59" i="3" s="1"/>
  <c r="K78" i="3"/>
  <c r="L78" i="3" s="1"/>
  <c r="K118" i="16" s="1"/>
  <c r="L118" i="16" s="1"/>
  <c r="G78" i="3"/>
  <c r="K67" i="3"/>
  <c r="L67" i="3" s="1"/>
  <c r="G67" i="3"/>
  <c r="L192" i="4"/>
  <c r="L188" i="4"/>
  <c r="L186" i="4" s="1"/>
  <c r="L106" i="15"/>
  <c r="L108" i="4"/>
  <c r="E4" i="6"/>
  <c r="J4" i="6"/>
  <c r="L8" i="3"/>
  <c r="D4" i="17" s="1"/>
  <c r="K102" i="16"/>
  <c r="L102" i="16" s="1"/>
  <c r="K125" i="14"/>
  <c r="L125" i="14" s="1"/>
  <c r="K126" i="13"/>
  <c r="L126" i="13" s="1"/>
  <c r="K126" i="20"/>
  <c r="L126" i="20" s="1"/>
  <c r="K125" i="25"/>
  <c r="L125" i="25" s="1"/>
  <c r="K117" i="23"/>
  <c r="K116" i="22"/>
  <c r="L116" i="22" s="1"/>
  <c r="J8" i="3"/>
  <c r="D4" i="9" s="1"/>
  <c r="K125" i="20"/>
  <c r="L125" i="20" s="1"/>
  <c r="K125" i="13"/>
  <c r="L125" i="13" s="1"/>
  <c r="K124" i="14"/>
  <c r="L124" i="14" s="1"/>
  <c r="K124" i="25"/>
  <c r="L124" i="25" s="1"/>
  <c r="N9" i="3"/>
  <c r="M8" i="3"/>
  <c r="K128" i="20"/>
  <c r="L128" i="20" s="1"/>
  <c r="L159" i="20" s="1"/>
  <c r="K127" i="13"/>
  <c r="L127" i="13" s="1"/>
  <c r="L157" i="13" s="1"/>
  <c r="K127" i="20"/>
  <c r="L127" i="20" s="1"/>
  <c r="L158" i="20" s="1"/>
  <c r="K128" i="13"/>
  <c r="L128" i="13" s="1"/>
  <c r="L158" i="13" s="1"/>
  <c r="K126" i="14"/>
  <c r="L126" i="14" s="1"/>
  <c r="L166" i="14" s="1"/>
  <c r="K127" i="14"/>
  <c r="L127" i="14" s="1"/>
  <c r="L165" i="14" s="1"/>
  <c r="K126" i="25"/>
  <c r="K118" i="22"/>
  <c r="L118" i="22" s="1"/>
  <c r="K117" i="22"/>
  <c r="L117" i="22" s="1"/>
  <c r="K118" i="23"/>
  <c r="K119" i="23"/>
  <c r="J3" i="6"/>
  <c r="E3" i="6"/>
  <c r="H3" i="6" s="1"/>
  <c r="L40" i="15"/>
  <c r="L20" i="15"/>
  <c r="L34" i="4"/>
  <c r="L32" i="4" s="1"/>
  <c r="L5" i="3"/>
  <c r="D3" i="17" s="1"/>
  <c r="D9" i="14"/>
  <c r="N6" i="3"/>
  <c r="M5" i="3"/>
  <c r="K10" i="13"/>
  <c r="K10" i="20"/>
  <c r="K10" i="14"/>
  <c r="K10" i="25"/>
  <c r="K12" i="23"/>
  <c r="K12" i="22"/>
  <c r="K11" i="22"/>
  <c r="K11" i="23"/>
  <c r="J5" i="3"/>
  <c r="D3" i="9" s="1"/>
  <c r="K11" i="14"/>
  <c r="K11" i="13"/>
  <c r="K12" i="13"/>
  <c r="K12" i="20"/>
  <c r="K11" i="20"/>
  <c r="K12" i="14"/>
  <c r="K12" i="25"/>
  <c r="K11" i="25"/>
  <c r="D8" i="25"/>
  <c r="F9" i="25"/>
  <c r="C115" i="23"/>
  <c r="F114" i="23"/>
  <c r="L119" i="23"/>
  <c r="L118" i="23"/>
  <c r="L117" i="23"/>
  <c r="G36" i="16"/>
  <c r="G37" i="16"/>
  <c r="S35" i="16"/>
  <c r="H104" i="25"/>
  <c r="H101" i="25"/>
  <c r="H100" i="25"/>
  <c r="H105" i="25"/>
  <c r="H106" i="25" s="1"/>
  <c r="H99" i="25"/>
  <c r="H102" i="25"/>
  <c r="H103" i="25"/>
  <c r="H167" i="25"/>
  <c r="H168" i="25" s="1"/>
  <c r="H163" i="25"/>
  <c r="H162" i="25"/>
  <c r="H164" i="25"/>
  <c r="H165" i="25"/>
  <c r="H166" i="25"/>
  <c r="L151" i="25"/>
  <c r="L152" i="25"/>
  <c r="L154" i="25"/>
  <c r="L155" i="25"/>
  <c r="L153" i="25"/>
  <c r="L148" i="25"/>
  <c r="L130" i="20"/>
  <c r="F229" i="20"/>
  <c r="C245" i="20"/>
  <c r="H245" i="20"/>
  <c r="O245" i="20" s="1"/>
  <c r="F132" i="22"/>
  <c r="D272" i="13"/>
  <c r="R103" i="14"/>
  <c r="R102" i="14"/>
  <c r="R101" i="14"/>
  <c r="R100" i="14"/>
  <c r="R99" i="14"/>
  <c r="R105" i="14" s="1"/>
  <c r="O120" i="20"/>
  <c r="O101" i="20"/>
  <c r="O104" i="14"/>
  <c r="O103" i="14"/>
  <c r="O102" i="14"/>
  <c r="O101" i="14"/>
  <c r="O100" i="14"/>
  <c r="O99" i="14"/>
  <c r="O105" i="14" s="1"/>
  <c r="O120" i="13"/>
  <c r="O101" i="13"/>
  <c r="R168" i="13"/>
  <c r="R197" i="13" s="1"/>
  <c r="R167" i="13"/>
  <c r="R196" i="13" s="1"/>
  <c r="R166" i="13"/>
  <c r="R195" i="13" s="1"/>
  <c r="R165" i="13"/>
  <c r="R194" i="13" s="1"/>
  <c r="R164" i="13"/>
  <c r="R193" i="13" s="1"/>
  <c r="R192" i="13" s="1"/>
  <c r="R162" i="13"/>
  <c r="R175" i="14"/>
  <c r="R174" i="14"/>
  <c r="R173" i="14"/>
  <c r="R172" i="14"/>
  <c r="R171" i="14"/>
  <c r="R169" i="20"/>
  <c r="R168" i="20"/>
  <c r="R167" i="20"/>
  <c r="R166" i="20"/>
  <c r="R165" i="20"/>
  <c r="O170" i="20"/>
  <c r="O169" i="20"/>
  <c r="O168" i="20"/>
  <c r="O167" i="20"/>
  <c r="O166" i="20"/>
  <c r="O165" i="20"/>
  <c r="O176" i="14"/>
  <c r="O175" i="14"/>
  <c r="O174" i="14"/>
  <c r="O173" i="14"/>
  <c r="O172" i="14"/>
  <c r="O171" i="14"/>
  <c r="O169" i="13"/>
  <c r="O198" i="13" s="1"/>
  <c r="O168" i="13"/>
  <c r="O197" i="13" s="1"/>
  <c r="O167" i="13"/>
  <c r="O196" i="13" s="1"/>
  <c r="O166" i="13"/>
  <c r="O195" i="13" s="1"/>
  <c r="O165" i="13"/>
  <c r="O194" i="13" s="1"/>
  <c r="O164" i="13"/>
  <c r="O193" i="13" s="1"/>
  <c r="O192" i="13" s="1"/>
  <c r="O162" i="13"/>
  <c r="L100" i="22"/>
  <c r="L155" i="22"/>
  <c r="M101" i="23"/>
  <c r="M100" i="22"/>
  <c r="O100" i="22" s="1"/>
  <c r="P101" i="23"/>
  <c r="P100" i="22"/>
  <c r="R100" i="22" s="1"/>
  <c r="M155" i="22"/>
  <c r="O155" i="22" s="1"/>
  <c r="M157" i="23"/>
  <c r="P157" i="23"/>
  <c r="P155" i="22"/>
  <c r="R155" i="22" s="1"/>
  <c r="K26" i="13"/>
  <c r="L26" i="13" s="1"/>
  <c r="K26" i="20"/>
  <c r="L26" i="20" s="1"/>
  <c r="K26" i="14"/>
  <c r="L26" i="14" s="1"/>
  <c r="K26" i="22"/>
  <c r="L26" i="22" s="1"/>
  <c r="L41" i="22" s="1"/>
  <c r="K26" i="23"/>
  <c r="K143" i="23"/>
  <c r="L143" i="23" s="1"/>
  <c r="K142" i="22"/>
  <c r="L142" i="22" s="1"/>
  <c r="K18" i="23"/>
  <c r="K18" i="22"/>
  <c r="L18" i="22" s="1"/>
  <c r="K18" i="13"/>
  <c r="L18" i="13" s="1"/>
  <c r="K18" i="14"/>
  <c r="L18" i="14" s="1"/>
  <c r="K18" i="20"/>
  <c r="L18" i="20" s="1"/>
  <c r="K19" i="23"/>
  <c r="K19" i="22"/>
  <c r="L19" i="22" s="1"/>
  <c r="K19" i="13"/>
  <c r="L19" i="13" s="1"/>
  <c r="K19" i="20"/>
  <c r="L19" i="20" s="1"/>
  <c r="K19" i="14"/>
  <c r="L19" i="14" s="1"/>
  <c r="K20" i="23"/>
  <c r="K20" i="22"/>
  <c r="L20" i="22" s="1"/>
  <c r="K20" i="13"/>
  <c r="L20" i="13" s="1"/>
  <c r="L42" i="13" s="1"/>
  <c r="K20" i="20"/>
  <c r="L20" i="20" s="1"/>
  <c r="K20" i="14"/>
  <c r="L20" i="14" s="1"/>
  <c r="K21" i="23"/>
  <c r="K21" i="22"/>
  <c r="L21" i="22" s="1"/>
  <c r="K21" i="13"/>
  <c r="L21" i="13" s="1"/>
  <c r="K21" i="20"/>
  <c r="L21" i="20" s="1"/>
  <c r="K21" i="14"/>
  <c r="L21" i="14" s="1"/>
  <c r="K22" i="23"/>
  <c r="K22" i="22"/>
  <c r="L22" i="22" s="1"/>
  <c r="L42" i="22" s="1"/>
  <c r="K22" i="13"/>
  <c r="L22" i="13" s="1"/>
  <c r="K22" i="20"/>
  <c r="L22" i="20" s="1"/>
  <c r="K22" i="14"/>
  <c r="L22" i="14" s="1"/>
  <c r="K23" i="23"/>
  <c r="K23" i="22"/>
  <c r="L23" i="22" s="1"/>
  <c r="K23" i="14"/>
  <c r="L23" i="14" s="1"/>
  <c r="K23" i="20"/>
  <c r="L23" i="20" s="1"/>
  <c r="K23" i="13"/>
  <c r="L23" i="13" s="1"/>
  <c r="L40" i="13" s="1"/>
  <c r="K24" i="22"/>
  <c r="L24" i="22" s="1"/>
  <c r="K24" i="23"/>
  <c r="K24" i="20"/>
  <c r="L24" i="20" s="1"/>
  <c r="K24" i="14"/>
  <c r="L24" i="14" s="1"/>
  <c r="K24" i="13"/>
  <c r="L24" i="13" s="1"/>
  <c r="L41" i="13" s="1"/>
  <c r="K25" i="22"/>
  <c r="L25" i="22" s="1"/>
  <c r="L40" i="22" s="1"/>
  <c r="K25" i="23"/>
  <c r="K25" i="20"/>
  <c r="L25" i="20" s="1"/>
  <c r="K25" i="13"/>
  <c r="L25" i="13" s="1"/>
  <c r="K25" i="14"/>
  <c r="L25" i="14" s="1"/>
  <c r="K17" i="14"/>
  <c r="L17" i="14" s="1"/>
  <c r="K17" i="20"/>
  <c r="L17" i="20" s="1"/>
  <c r="L27" i="20" s="1"/>
  <c r="K17" i="13"/>
  <c r="L17" i="13" s="1"/>
  <c r="L27" i="13" s="1"/>
  <c r="K17" i="22"/>
  <c r="L17" i="22" s="1"/>
  <c r="L27" i="22" s="1"/>
  <c r="K17" i="23"/>
  <c r="K134" i="22"/>
  <c r="L134" i="22" s="1"/>
  <c r="K135" i="23"/>
  <c r="L135" i="23" s="1"/>
  <c r="K140" i="20"/>
  <c r="L140" i="20" s="1"/>
  <c r="K139" i="14"/>
  <c r="L139" i="14" s="1"/>
  <c r="K135" i="22"/>
  <c r="L135" i="22" s="1"/>
  <c r="K136" i="23"/>
  <c r="L136" i="23" s="1"/>
  <c r="K140" i="14"/>
  <c r="L140" i="14" s="1"/>
  <c r="K141" i="20"/>
  <c r="L141" i="20" s="1"/>
  <c r="K136" i="22"/>
  <c r="L136" i="22" s="1"/>
  <c r="K137" i="23"/>
  <c r="L137" i="23" s="1"/>
  <c r="L152" i="13"/>
  <c r="K141" i="14"/>
  <c r="L141" i="14" s="1"/>
  <c r="L161" i="14" s="1"/>
  <c r="K142" i="20"/>
  <c r="L142" i="20" s="1"/>
  <c r="L153" i="20" s="1"/>
  <c r="K138" i="23"/>
  <c r="L138" i="23" s="1"/>
  <c r="K137" i="22"/>
  <c r="L137" i="22" s="1"/>
  <c r="K143" i="20"/>
  <c r="L143" i="20" s="1"/>
  <c r="K142" i="14"/>
  <c r="L142" i="14" s="1"/>
  <c r="K138" i="22"/>
  <c r="L138" i="22" s="1"/>
  <c r="K139" i="23"/>
  <c r="L139" i="23" s="1"/>
  <c r="K143" i="14"/>
  <c r="L143" i="14" s="1"/>
  <c r="K144" i="20"/>
  <c r="L144" i="20" s="1"/>
  <c r="K139" i="22"/>
  <c r="L139" i="22" s="1"/>
  <c r="K140" i="23"/>
  <c r="L140" i="23" s="1"/>
  <c r="K145" i="20"/>
  <c r="L145" i="20" s="1"/>
  <c r="L155" i="20" s="1"/>
  <c r="K144" i="14"/>
  <c r="L144" i="14" s="1"/>
  <c r="L163" i="14" s="1"/>
  <c r="L154" i="13"/>
  <c r="K140" i="22"/>
  <c r="L140" i="22" s="1"/>
  <c r="K141" i="23"/>
  <c r="L141" i="23" s="1"/>
  <c r="K146" i="20"/>
  <c r="L146" i="20" s="1"/>
  <c r="L156" i="20" s="1"/>
  <c r="K145" i="14"/>
  <c r="L145" i="14" s="1"/>
  <c r="L164" i="14" s="1"/>
  <c r="L155" i="13"/>
  <c r="K141" i="22"/>
  <c r="L141" i="22" s="1"/>
  <c r="K142" i="23"/>
  <c r="L142" i="23" s="1"/>
  <c r="K147" i="20"/>
  <c r="L147" i="20" s="1"/>
  <c r="K146" i="14"/>
  <c r="L146" i="14" s="1"/>
  <c r="K139" i="20"/>
  <c r="L139" i="20" s="1"/>
  <c r="K138" i="14"/>
  <c r="L138" i="14" s="1"/>
  <c r="F8" i="20"/>
  <c r="L10" i="20"/>
  <c r="L11" i="20"/>
  <c r="L12" i="20"/>
  <c r="L11" i="23"/>
  <c r="L12" i="23"/>
  <c r="L45" i="23" s="1"/>
  <c r="L101" i="23"/>
  <c r="O101" i="23"/>
  <c r="R101" i="23"/>
  <c r="L157" i="23"/>
  <c r="O157" i="23"/>
  <c r="R157" i="23"/>
  <c r="F16" i="23"/>
  <c r="C9" i="23"/>
  <c r="F8" i="23"/>
  <c r="D8" i="14"/>
  <c r="F9" i="14"/>
  <c r="R56" i="8"/>
  <c r="F113" i="22"/>
  <c r="C132" i="22"/>
  <c r="J57" i="3"/>
  <c r="D15" i="9" s="1"/>
  <c r="N57" i="3"/>
  <c r="D15" i="18" s="1"/>
  <c r="J68" i="3"/>
  <c r="D16" i="9" s="1"/>
  <c r="M68" i="3"/>
  <c r="N69" i="3"/>
  <c r="H104" i="14"/>
  <c r="H100" i="14"/>
  <c r="H101" i="14"/>
  <c r="H102" i="14"/>
  <c r="H103" i="14"/>
  <c r="H105" i="14"/>
  <c r="H106" i="14" s="1"/>
  <c r="H99" i="14"/>
  <c r="H107" i="14" s="1"/>
  <c r="H102" i="20"/>
  <c r="H103" i="20"/>
  <c r="H104" i="20"/>
  <c r="H105" i="20"/>
  <c r="H106" i="20"/>
  <c r="H107" i="20"/>
  <c r="G106" i="13"/>
  <c r="G102" i="13"/>
  <c r="G103" i="13"/>
  <c r="G104" i="13"/>
  <c r="G105" i="13"/>
  <c r="G107" i="13"/>
  <c r="G108" i="13" s="1"/>
  <c r="H175" i="14"/>
  <c r="H176" i="14"/>
  <c r="H177" i="14" s="1"/>
  <c r="H171" i="14"/>
  <c r="H173" i="14"/>
  <c r="H174" i="14"/>
  <c r="H172" i="14"/>
  <c r="H167" i="20"/>
  <c r="H165" i="20"/>
  <c r="H170" i="20"/>
  <c r="H169" i="20"/>
  <c r="H168" i="20"/>
  <c r="H166" i="20"/>
  <c r="H171" i="20" s="1"/>
  <c r="G168" i="13"/>
  <c r="G164" i="13"/>
  <c r="G166" i="13"/>
  <c r="G167" i="13"/>
  <c r="G169" i="13"/>
  <c r="G170" i="13" s="1"/>
  <c r="G165" i="13"/>
  <c r="C9" i="20"/>
  <c r="H4" i="6" l="1"/>
  <c r="G121" i="4"/>
  <c r="C229" i="20"/>
  <c r="C246" i="20" s="1"/>
  <c r="C8" i="20"/>
  <c r="C10" i="20"/>
  <c r="D218" i="25"/>
  <c r="J10" i="17"/>
  <c r="E10" i="17"/>
  <c r="H10" i="17" s="1"/>
  <c r="I133" i="16" s="1"/>
  <c r="I155" i="4"/>
  <c r="I152" i="15"/>
  <c r="G152" i="15"/>
  <c r="H152" i="15" s="1"/>
  <c r="G155" i="4"/>
  <c r="H155" i="4" s="1"/>
  <c r="F10" i="6"/>
  <c r="G10" i="6"/>
  <c r="E13" i="17"/>
  <c r="H13" i="17" s="1"/>
  <c r="I87" i="16" s="1"/>
  <c r="J13" i="17"/>
  <c r="I97" i="4"/>
  <c r="I95" i="15"/>
  <c r="F13" i="6"/>
  <c r="G13" i="6"/>
  <c r="G95" i="15"/>
  <c r="H95" i="15" s="1"/>
  <c r="G97" i="4"/>
  <c r="H97" i="4" s="1"/>
  <c r="K131" i="4"/>
  <c r="L131" i="4" s="1"/>
  <c r="K129" i="15"/>
  <c r="L129" i="15" s="1"/>
  <c r="K135" i="4"/>
  <c r="L135" i="4" s="1"/>
  <c r="L145" i="4" s="1"/>
  <c r="K133" i="15"/>
  <c r="L133" i="15" s="1"/>
  <c r="K131" i="15"/>
  <c r="L131" i="15" s="1"/>
  <c r="K133" i="4"/>
  <c r="L133" i="4" s="1"/>
  <c r="K134" i="4"/>
  <c r="L134" i="4" s="1"/>
  <c r="K132" i="15"/>
  <c r="L132" i="15" s="1"/>
  <c r="L69" i="3"/>
  <c r="K68" i="3"/>
  <c r="G68" i="3"/>
  <c r="D16" i="6" s="1"/>
  <c r="K129" i="4"/>
  <c r="L129" i="4" s="1"/>
  <c r="K127" i="15"/>
  <c r="L127" i="15" s="1"/>
  <c r="K130" i="4"/>
  <c r="L130" i="4" s="1"/>
  <c r="K128" i="15"/>
  <c r="L128" i="15" s="1"/>
  <c r="K134" i="15"/>
  <c r="L134" i="15" s="1"/>
  <c r="K136" i="4"/>
  <c r="L136" i="4" s="1"/>
  <c r="L146" i="4" s="1"/>
  <c r="K132" i="4"/>
  <c r="L132" i="4" s="1"/>
  <c r="L143" i="4" s="1"/>
  <c r="K130" i="15"/>
  <c r="L130" i="15" s="1"/>
  <c r="K137" i="4"/>
  <c r="L137" i="4" s="1"/>
  <c r="K135" i="15"/>
  <c r="L135" i="15" s="1"/>
  <c r="L58" i="3"/>
  <c r="L57" i="3" s="1"/>
  <c r="D15" i="17" s="1"/>
  <c r="E15" i="17" s="1"/>
  <c r="K57" i="3"/>
  <c r="K138" i="4"/>
  <c r="L138" i="4" s="1"/>
  <c r="L149" i="4" s="1"/>
  <c r="K136" i="15"/>
  <c r="L136" i="15" s="1"/>
  <c r="L137" i="15" s="1"/>
  <c r="G57" i="3"/>
  <c r="D15" i="6" s="1"/>
  <c r="I119" i="15"/>
  <c r="I121" i="4"/>
  <c r="G4" i="6"/>
  <c r="F4" i="6"/>
  <c r="H121" i="4"/>
  <c r="G119" i="15"/>
  <c r="H119" i="15" s="1"/>
  <c r="E4" i="17"/>
  <c r="H4" i="17" s="1"/>
  <c r="I101" i="16" s="1"/>
  <c r="J4" i="17"/>
  <c r="J4" i="9"/>
  <c r="E4" i="9"/>
  <c r="H4" i="9" s="1"/>
  <c r="N8" i="3"/>
  <c r="D4" i="18" s="1"/>
  <c r="K115" i="22"/>
  <c r="L115" i="22" s="1"/>
  <c r="K116" i="23"/>
  <c r="L116" i="23" s="1"/>
  <c r="L120" i="23" s="1"/>
  <c r="L126" i="25"/>
  <c r="K127" i="25"/>
  <c r="L127" i="25" s="1"/>
  <c r="L156" i="25" s="1"/>
  <c r="L130" i="13"/>
  <c r="L128" i="14"/>
  <c r="I16" i="15"/>
  <c r="G3" i="6"/>
  <c r="F3" i="6"/>
  <c r="H16" i="15"/>
  <c r="H16" i="4"/>
  <c r="J3" i="17"/>
  <c r="E3" i="17"/>
  <c r="H3" i="17" s="1"/>
  <c r="N5" i="3"/>
  <c r="D3" i="18" s="1"/>
  <c r="K10" i="23"/>
  <c r="L10" i="23" s="1"/>
  <c r="K10" i="22"/>
  <c r="E3" i="9"/>
  <c r="H3" i="9" s="1"/>
  <c r="J3" i="9"/>
  <c r="D219" i="25"/>
  <c r="F219" i="25" s="1"/>
  <c r="D226" i="25"/>
  <c r="F226" i="25" s="1"/>
  <c r="D234" i="25"/>
  <c r="F234" i="25" s="1"/>
  <c r="D242" i="25"/>
  <c r="F242" i="25" s="1"/>
  <c r="F8" i="25"/>
  <c r="C9" i="25"/>
  <c r="L10" i="25"/>
  <c r="L12" i="25"/>
  <c r="L11" i="25"/>
  <c r="H107" i="25"/>
  <c r="H169" i="25"/>
  <c r="O250" i="20"/>
  <c r="O249" i="20"/>
  <c r="O248" i="20"/>
  <c r="O247" i="20"/>
  <c r="O246" i="20"/>
  <c r="O251" i="20" s="1"/>
  <c r="D213" i="23"/>
  <c r="D236" i="23" s="1"/>
  <c r="F236" i="23" s="1"/>
  <c r="F213" i="23" s="1"/>
  <c r="O106" i="22"/>
  <c r="O105" i="22"/>
  <c r="O104" i="22"/>
  <c r="O103" i="22"/>
  <c r="O102" i="22"/>
  <c r="O101" i="22"/>
  <c r="O107" i="22" s="1"/>
  <c r="R105" i="22"/>
  <c r="R104" i="22"/>
  <c r="R103" i="22"/>
  <c r="R102" i="22"/>
  <c r="R101" i="22"/>
  <c r="R107" i="22" s="1"/>
  <c r="O107" i="20"/>
  <c r="O106" i="20"/>
  <c r="O105" i="20"/>
  <c r="O104" i="20"/>
  <c r="O103" i="20"/>
  <c r="O102" i="20"/>
  <c r="O107" i="13"/>
  <c r="O106" i="13"/>
  <c r="O105" i="13"/>
  <c r="O104" i="13"/>
  <c r="O103" i="13"/>
  <c r="O102" i="13"/>
  <c r="O161" i="22"/>
  <c r="O160" i="22"/>
  <c r="O159" i="22"/>
  <c r="O158" i="22"/>
  <c r="O157" i="22"/>
  <c r="O156" i="22"/>
  <c r="R160" i="22"/>
  <c r="R159" i="22"/>
  <c r="R158" i="22"/>
  <c r="R157" i="22"/>
  <c r="R156" i="22"/>
  <c r="L156" i="13"/>
  <c r="L151" i="13"/>
  <c r="L157" i="20"/>
  <c r="L152" i="20"/>
  <c r="L153" i="13"/>
  <c r="L154" i="20"/>
  <c r="L149" i="20"/>
  <c r="L122" i="14"/>
  <c r="L162" i="14"/>
  <c r="L148" i="14"/>
  <c r="L43" i="13"/>
  <c r="L43" i="22"/>
  <c r="L160" i="14"/>
  <c r="L167" i="14" s="1"/>
  <c r="L15" i="20"/>
  <c r="L10" i="14"/>
  <c r="L12" i="14"/>
  <c r="L11" i="14"/>
  <c r="K134" i="23"/>
  <c r="L134" i="23" s="1"/>
  <c r="L144" i="23" s="1"/>
  <c r="K133" i="22"/>
  <c r="L133" i="22" s="1"/>
  <c r="L143" i="22" s="1"/>
  <c r="L15" i="23"/>
  <c r="O107" i="23"/>
  <c r="O106" i="23"/>
  <c r="O105" i="23"/>
  <c r="O104" i="23"/>
  <c r="O103" i="23"/>
  <c r="O102" i="23"/>
  <c r="O108" i="23" s="1"/>
  <c r="R106" i="23"/>
  <c r="R105" i="23"/>
  <c r="R104" i="23"/>
  <c r="R103" i="23"/>
  <c r="R102" i="23"/>
  <c r="R108" i="23" s="1"/>
  <c r="O163" i="23"/>
  <c r="O162" i="23"/>
  <c r="O161" i="23"/>
  <c r="O160" i="23"/>
  <c r="O159" i="23"/>
  <c r="O158" i="23"/>
  <c r="O156" i="23"/>
  <c r="R162" i="23"/>
  <c r="R161" i="23"/>
  <c r="R160" i="23"/>
  <c r="R159" i="23"/>
  <c r="R158" i="23"/>
  <c r="C16" i="23"/>
  <c r="C8" i="23" s="1"/>
  <c r="L17" i="23"/>
  <c r="L18" i="23"/>
  <c r="L19" i="23"/>
  <c r="L20" i="23"/>
  <c r="L42" i="23" s="1"/>
  <c r="L21" i="23"/>
  <c r="L22" i="23"/>
  <c r="L23" i="23"/>
  <c r="L40" i="23" s="1"/>
  <c r="L24" i="23"/>
  <c r="L41" i="23" s="1"/>
  <c r="L25" i="23"/>
  <c r="L26" i="23"/>
  <c r="L44" i="23" s="1"/>
  <c r="C9" i="14"/>
  <c r="C8" i="14" s="1"/>
  <c r="F8" i="14"/>
  <c r="E15" i="9"/>
  <c r="E15" i="18"/>
  <c r="J16" i="9"/>
  <c r="E16" i="9"/>
  <c r="N68" i="3"/>
  <c r="D16" i="18" s="1"/>
  <c r="G103" i="23"/>
  <c r="G104" i="23"/>
  <c r="G105" i="23"/>
  <c r="G106" i="23"/>
  <c r="G107" i="23"/>
  <c r="G108" i="23"/>
  <c r="G109" i="23" s="1"/>
  <c r="G102" i="23"/>
  <c r="G110" i="23" s="1"/>
  <c r="G106" i="22"/>
  <c r="G107" i="22"/>
  <c r="G108" i="22" s="1"/>
  <c r="G103" i="22"/>
  <c r="G104" i="22"/>
  <c r="G105" i="22"/>
  <c r="G102" i="22"/>
  <c r="G101" i="22"/>
  <c r="G109" i="22" s="1"/>
  <c r="G162" i="23"/>
  <c r="G161" i="23"/>
  <c r="G160" i="23"/>
  <c r="G159" i="23"/>
  <c r="G164" i="23"/>
  <c r="G163" i="23"/>
  <c r="G158" i="23"/>
  <c r="G165" i="23" s="1"/>
  <c r="G156" i="22"/>
  <c r="G162" i="22"/>
  <c r="G160" i="22"/>
  <c r="G161" i="22"/>
  <c r="G157" i="22"/>
  <c r="G158" i="22"/>
  <c r="G159" i="22"/>
  <c r="H109" i="20"/>
  <c r="G109" i="13"/>
  <c r="H178" i="14"/>
  <c r="G171" i="13"/>
  <c r="H8" i="4" l="1"/>
  <c r="L16" i="4"/>
  <c r="C231" i="20"/>
  <c r="C254" i="20"/>
  <c r="C239" i="20"/>
  <c r="C17" i="20"/>
  <c r="C29" i="20"/>
  <c r="C28" i="14"/>
  <c r="C17" i="14"/>
  <c r="C10" i="14"/>
  <c r="G137" i="25"/>
  <c r="H137" i="25" s="1"/>
  <c r="G138" i="13"/>
  <c r="H138" i="13" s="1"/>
  <c r="G133" i="16"/>
  <c r="H133" i="16" s="1"/>
  <c r="L133" i="16" s="1"/>
  <c r="G10" i="17"/>
  <c r="P133" i="16" s="1"/>
  <c r="R133" i="16" s="1"/>
  <c r="F10" i="17"/>
  <c r="M133" i="16" s="1"/>
  <c r="O133" i="16" s="1"/>
  <c r="M155" i="4"/>
  <c r="O155" i="4" s="1"/>
  <c r="M152" i="15"/>
  <c r="O152" i="15" s="1"/>
  <c r="P155" i="4"/>
  <c r="R155" i="4" s="1"/>
  <c r="P152" i="15"/>
  <c r="R152" i="15" s="1"/>
  <c r="G13" i="17"/>
  <c r="P87" i="16" s="1"/>
  <c r="F13" i="17"/>
  <c r="M87" i="16" s="1"/>
  <c r="G87" i="16"/>
  <c r="H87" i="16" s="1"/>
  <c r="L87" i="16" s="1"/>
  <c r="M97" i="4"/>
  <c r="O97" i="4" s="1"/>
  <c r="M95" i="15"/>
  <c r="O95" i="15" s="1"/>
  <c r="P97" i="4"/>
  <c r="P95" i="15"/>
  <c r="L68" i="3"/>
  <c r="D16" i="17" s="1"/>
  <c r="K109" i="16"/>
  <c r="L109" i="16" s="1"/>
  <c r="L119" i="16" s="1"/>
  <c r="J16" i="6"/>
  <c r="E16" i="6"/>
  <c r="H16" i="6" s="1"/>
  <c r="L139" i="4"/>
  <c r="L144" i="4"/>
  <c r="F15" i="17"/>
  <c r="G15" i="17"/>
  <c r="H15" i="17"/>
  <c r="E15" i="6"/>
  <c r="H15" i="6"/>
  <c r="L155" i="4"/>
  <c r="L152" i="15"/>
  <c r="L97" i="4"/>
  <c r="L95" i="15"/>
  <c r="L147" i="4"/>
  <c r="G140" i="16"/>
  <c r="G138" i="16"/>
  <c r="G139" i="16"/>
  <c r="G137" i="16"/>
  <c r="G136" i="16"/>
  <c r="G135" i="16"/>
  <c r="G134" i="16"/>
  <c r="G141" i="16" s="1"/>
  <c r="P121" i="4"/>
  <c r="P119" i="15"/>
  <c r="M121" i="4"/>
  <c r="O121" i="4" s="1"/>
  <c r="M119" i="15"/>
  <c r="O119" i="15" s="1"/>
  <c r="G4" i="17"/>
  <c r="P101" i="16" s="1"/>
  <c r="F4" i="17"/>
  <c r="M101" i="16" s="1"/>
  <c r="G101" i="16"/>
  <c r="H101" i="16" s="1"/>
  <c r="I123" i="14"/>
  <c r="I124" i="20"/>
  <c r="I124" i="13"/>
  <c r="I123" i="25"/>
  <c r="G4" i="9"/>
  <c r="F4" i="9"/>
  <c r="G124" i="13"/>
  <c r="H124" i="13" s="1"/>
  <c r="G124" i="20"/>
  <c r="H124" i="20" s="1"/>
  <c r="G123" i="14"/>
  <c r="H123" i="14" s="1"/>
  <c r="G123" i="25"/>
  <c r="H123" i="25" s="1"/>
  <c r="E4" i="18"/>
  <c r="H4" i="18" s="1"/>
  <c r="J4" i="18"/>
  <c r="L122" i="25"/>
  <c r="L157" i="25"/>
  <c r="L158" i="25" s="1"/>
  <c r="P16" i="15"/>
  <c r="R16" i="15" s="1"/>
  <c r="R16" i="4"/>
  <c r="M16" i="15"/>
  <c r="O16" i="15" s="1"/>
  <c r="O16" i="4"/>
  <c r="H16" i="16"/>
  <c r="L16" i="16" s="1"/>
  <c r="G3" i="17"/>
  <c r="R16" i="16" s="1"/>
  <c r="F3" i="17"/>
  <c r="O16" i="16" s="1"/>
  <c r="D9" i="13"/>
  <c r="D227" i="14"/>
  <c r="D251" i="14" s="1"/>
  <c r="F251" i="14" s="1"/>
  <c r="E3" i="18"/>
  <c r="H3" i="18" s="1"/>
  <c r="J3" i="18"/>
  <c r="I9" i="14"/>
  <c r="I9" i="20"/>
  <c r="I9" i="13"/>
  <c r="I9" i="25"/>
  <c r="F3" i="9"/>
  <c r="G3" i="9"/>
  <c r="G9" i="14"/>
  <c r="H9" i="14" s="1"/>
  <c r="G9" i="13"/>
  <c r="G9" i="20"/>
  <c r="H9" i="20" s="1"/>
  <c r="L9" i="20" s="1"/>
  <c r="G9" i="25"/>
  <c r="H9" i="25" s="1"/>
  <c r="C219" i="25"/>
  <c r="H219" i="25"/>
  <c r="C226" i="25"/>
  <c r="H226" i="25"/>
  <c r="C234" i="25"/>
  <c r="H234" i="25"/>
  <c r="C242" i="25"/>
  <c r="H242" i="25"/>
  <c r="C8" i="25"/>
  <c r="L16" i="15"/>
  <c r="L13" i="25"/>
  <c r="D245" i="23"/>
  <c r="H15" i="18"/>
  <c r="H15" i="9"/>
  <c r="I16" i="25" s="1"/>
  <c r="G16" i="25"/>
  <c r="H16" i="25" s="1"/>
  <c r="H16" i="9"/>
  <c r="G138" i="20"/>
  <c r="C236" i="23"/>
  <c r="C213" i="23" s="1"/>
  <c r="H236" i="23"/>
  <c r="L151" i="20"/>
  <c r="L13" i="14"/>
  <c r="L39" i="23"/>
  <c r="C10" i="23"/>
  <c r="C29" i="23"/>
  <c r="C17" i="23"/>
  <c r="L9" i="14"/>
  <c r="I16" i="14"/>
  <c r="I16" i="20"/>
  <c r="I16" i="13"/>
  <c r="I16" i="23"/>
  <c r="I16" i="22"/>
  <c r="I137" i="14"/>
  <c r="I138" i="20"/>
  <c r="L27" i="23"/>
  <c r="L43" i="23"/>
  <c r="L38" i="23" s="1"/>
  <c r="D9" i="22"/>
  <c r="D8" i="22" s="1"/>
  <c r="C251" i="14"/>
  <c r="F15" i="9"/>
  <c r="M16" i="25" s="1"/>
  <c r="O16" i="25" s="1"/>
  <c r="G15" i="9"/>
  <c r="P16" i="25" s="1"/>
  <c r="R16" i="25" s="1"/>
  <c r="G16" i="14"/>
  <c r="H16" i="14" s="1"/>
  <c r="G16" i="13"/>
  <c r="H16" i="13" s="1"/>
  <c r="G16" i="20"/>
  <c r="H16" i="20" s="1"/>
  <c r="H8" i="20" s="1"/>
  <c r="F15" i="18"/>
  <c r="G15" i="18"/>
  <c r="G16" i="22"/>
  <c r="H16" i="22" s="1"/>
  <c r="G16" i="23"/>
  <c r="H16" i="23" s="1"/>
  <c r="G16" i="9"/>
  <c r="F16" i="9"/>
  <c r="G137" i="14"/>
  <c r="H137" i="14" s="1"/>
  <c r="H138" i="20"/>
  <c r="J16" i="18"/>
  <c r="E16" i="18"/>
  <c r="G163" i="22"/>
  <c r="H11" i="20"/>
  <c r="H12" i="20"/>
  <c r="H10" i="20"/>
  <c r="I137" i="25" l="1"/>
  <c r="L137" i="25" s="1"/>
  <c r="I138" i="13"/>
  <c r="L138" i="13" s="1"/>
  <c r="C227" i="14"/>
  <c r="C252" i="14" s="1"/>
  <c r="P137" i="25"/>
  <c r="R137" i="25" s="1"/>
  <c r="P138" i="13"/>
  <c r="R138" i="13" s="1"/>
  <c r="M137" i="25"/>
  <c r="O137" i="25" s="1"/>
  <c r="M138" i="13"/>
  <c r="O138" i="13" s="1"/>
  <c r="C218" i="25"/>
  <c r="C10" i="25"/>
  <c r="D260" i="25"/>
  <c r="F260" i="25" s="1"/>
  <c r="R134" i="16"/>
  <c r="R135" i="16"/>
  <c r="R136" i="16"/>
  <c r="R137" i="16"/>
  <c r="R138" i="16"/>
  <c r="O134" i="16"/>
  <c r="O135" i="16"/>
  <c r="O136" i="16"/>
  <c r="O137" i="16"/>
  <c r="O138" i="16"/>
  <c r="O139" i="16"/>
  <c r="O154" i="4"/>
  <c r="O156" i="4"/>
  <c r="O187" i="4" s="1"/>
  <c r="O157" i="4"/>
  <c r="O188" i="4" s="1"/>
  <c r="O158" i="4"/>
  <c r="O189" i="4" s="1"/>
  <c r="O159" i="4"/>
  <c r="O190" i="4" s="1"/>
  <c r="O160" i="4"/>
  <c r="O191" i="4" s="1"/>
  <c r="O161" i="4"/>
  <c r="O192" i="4" s="1"/>
  <c r="O153" i="15"/>
  <c r="O154" i="15"/>
  <c r="O155" i="15"/>
  <c r="O156" i="15"/>
  <c r="O157" i="15"/>
  <c r="O158" i="15"/>
  <c r="R154" i="4"/>
  <c r="R156" i="4"/>
  <c r="R187" i="4" s="1"/>
  <c r="R157" i="4"/>
  <c r="R188" i="4" s="1"/>
  <c r="R158" i="4"/>
  <c r="R189" i="4" s="1"/>
  <c r="R159" i="4"/>
  <c r="R190" i="4" s="1"/>
  <c r="R160" i="4"/>
  <c r="R191" i="4" s="1"/>
  <c r="R153" i="15"/>
  <c r="R154" i="15"/>
  <c r="R155" i="15"/>
  <c r="R156" i="15"/>
  <c r="R157" i="15"/>
  <c r="H88" i="16"/>
  <c r="H93" i="16"/>
  <c r="H94" i="16"/>
  <c r="H95" i="16" s="1"/>
  <c r="H91" i="16"/>
  <c r="H90" i="16"/>
  <c r="H92" i="16"/>
  <c r="H89" i="16"/>
  <c r="H96" i="16" s="1"/>
  <c r="J16" i="17"/>
  <c r="E16" i="17"/>
  <c r="H16" i="17" s="1"/>
  <c r="I108" i="16" s="1"/>
  <c r="I126" i="15"/>
  <c r="I128" i="4"/>
  <c r="G126" i="15"/>
  <c r="H126" i="15" s="1"/>
  <c r="G16" i="6"/>
  <c r="F16" i="6"/>
  <c r="G128" i="4"/>
  <c r="H128" i="4" s="1"/>
  <c r="F15" i="6"/>
  <c r="G15" i="6"/>
  <c r="L154" i="4"/>
  <c r="H156" i="4"/>
  <c r="H162" i="4"/>
  <c r="H163" i="4" s="1"/>
  <c r="H157" i="4"/>
  <c r="H158" i="4"/>
  <c r="H159" i="4"/>
  <c r="H160" i="4"/>
  <c r="H161" i="4"/>
  <c r="G154" i="15"/>
  <c r="G155" i="15"/>
  <c r="G156" i="15"/>
  <c r="G157" i="15"/>
  <c r="G158" i="15"/>
  <c r="G153" i="15"/>
  <c r="G159" i="15" s="1"/>
  <c r="H103" i="4"/>
  <c r="H99" i="4"/>
  <c r="H100" i="4"/>
  <c r="H101" i="4"/>
  <c r="H102" i="4"/>
  <c r="H98" i="4"/>
  <c r="H105" i="4" s="1"/>
  <c r="H97" i="15"/>
  <c r="H98" i="15"/>
  <c r="H99" i="15"/>
  <c r="H100" i="15"/>
  <c r="H101" i="15"/>
  <c r="H96" i="15"/>
  <c r="H103" i="15" s="1"/>
  <c r="R87" i="16"/>
  <c r="R88" i="16" s="1"/>
  <c r="R94" i="16" s="1"/>
  <c r="O87" i="16"/>
  <c r="O88" i="16" s="1"/>
  <c r="O94" i="16" s="1"/>
  <c r="L142" i="4"/>
  <c r="O126" i="4"/>
  <c r="O125" i="4"/>
  <c r="O124" i="4"/>
  <c r="O123" i="4"/>
  <c r="O122" i="4"/>
  <c r="O127" i="4"/>
  <c r="O120" i="15"/>
  <c r="O121" i="15"/>
  <c r="O122" i="15"/>
  <c r="O123" i="15"/>
  <c r="O124" i="15"/>
  <c r="O125" i="15"/>
  <c r="O101" i="16"/>
  <c r="K123" i="25"/>
  <c r="L123" i="25"/>
  <c r="P124" i="13"/>
  <c r="P124" i="20"/>
  <c r="P123" i="14"/>
  <c r="P123" i="25"/>
  <c r="R123" i="25" s="1"/>
  <c r="M124" i="13"/>
  <c r="O124" i="13" s="1"/>
  <c r="M124" i="20"/>
  <c r="O124" i="20" s="1"/>
  <c r="M123" i="14"/>
  <c r="O123" i="14" s="1"/>
  <c r="M123" i="25"/>
  <c r="O123" i="25" s="1"/>
  <c r="I115" i="23"/>
  <c r="I114" i="22"/>
  <c r="G4" i="18"/>
  <c r="F4" i="18"/>
  <c r="G114" i="22"/>
  <c r="H114" i="22" s="1"/>
  <c r="G115" i="23"/>
  <c r="H115" i="23" s="1"/>
  <c r="L115" i="23" s="1"/>
  <c r="G116" i="23" s="1"/>
  <c r="R17" i="15"/>
  <c r="R34" i="15" s="1"/>
  <c r="R18" i="15"/>
  <c r="R35" i="15" s="1"/>
  <c r="R19" i="15"/>
  <c r="R36" i="15" s="1"/>
  <c r="R20" i="15"/>
  <c r="R37" i="15" s="1"/>
  <c r="R21" i="15"/>
  <c r="R38" i="15" s="1"/>
  <c r="R8" i="15"/>
  <c r="R17" i="4"/>
  <c r="R34" i="4" s="1"/>
  <c r="R18" i="4"/>
  <c r="R35" i="4" s="1"/>
  <c r="S35" i="4" s="1"/>
  <c r="R19" i="4"/>
  <c r="R36" i="4" s="1"/>
  <c r="S36" i="4" s="1"/>
  <c r="R20" i="4"/>
  <c r="R37" i="4" s="1"/>
  <c r="S37" i="4" s="1"/>
  <c r="R21" i="4"/>
  <c r="R38" i="4" s="1"/>
  <c r="S38" i="4" s="1"/>
  <c r="R8" i="4"/>
  <c r="O17" i="15"/>
  <c r="O34" i="15" s="1"/>
  <c r="O18" i="15"/>
  <c r="O35" i="15" s="1"/>
  <c r="O19" i="15"/>
  <c r="O36" i="15" s="1"/>
  <c r="O20" i="15"/>
  <c r="O37" i="15" s="1"/>
  <c r="O21" i="15"/>
  <c r="O38" i="15" s="1"/>
  <c r="O22" i="15"/>
  <c r="O39" i="15" s="1"/>
  <c r="O8" i="15"/>
  <c r="O17" i="4"/>
  <c r="O34" i="4" s="1"/>
  <c r="O18" i="4"/>
  <c r="O35" i="4" s="1"/>
  <c r="O19" i="4"/>
  <c r="O36" i="4" s="1"/>
  <c r="O20" i="4"/>
  <c r="O37" i="4" s="1"/>
  <c r="O21" i="4"/>
  <c r="O38" i="4" s="1"/>
  <c r="O22" i="4"/>
  <c r="O39" i="4" s="1"/>
  <c r="O8" i="4"/>
  <c r="S16" i="16"/>
  <c r="L8" i="16"/>
  <c r="R17" i="16"/>
  <c r="R18" i="16"/>
  <c r="R19" i="16"/>
  <c r="R20" i="16"/>
  <c r="R21" i="16"/>
  <c r="R8" i="16"/>
  <c r="O17" i="16"/>
  <c r="O18" i="16"/>
  <c r="O19" i="16"/>
  <c r="O20" i="16"/>
  <c r="O21" i="16"/>
  <c r="O22" i="16"/>
  <c r="O8" i="16"/>
  <c r="I9" i="22"/>
  <c r="I9" i="23"/>
  <c r="G9" i="23"/>
  <c r="H9" i="23" s="1"/>
  <c r="G9" i="22"/>
  <c r="F3" i="18"/>
  <c r="G3" i="18"/>
  <c r="M9" i="20"/>
  <c r="O9" i="20" s="1"/>
  <c r="M9" i="14"/>
  <c r="O9" i="14" s="1"/>
  <c r="M9" i="13"/>
  <c r="M9" i="25"/>
  <c r="O9" i="25" s="1"/>
  <c r="P9" i="20"/>
  <c r="R9" i="20" s="1"/>
  <c r="P9" i="13"/>
  <c r="P9" i="14"/>
  <c r="R9" i="14" s="1"/>
  <c r="P9" i="25"/>
  <c r="R9" i="25" s="1"/>
  <c r="L219" i="25"/>
  <c r="O219" i="25"/>
  <c r="R219" i="25"/>
  <c r="L226" i="25"/>
  <c r="O226" i="25"/>
  <c r="R226" i="25"/>
  <c r="L234" i="25"/>
  <c r="O234" i="25"/>
  <c r="R234" i="25"/>
  <c r="L242" i="25"/>
  <c r="O242" i="25"/>
  <c r="R242" i="25"/>
  <c r="C28" i="25"/>
  <c r="C181" i="25"/>
  <c r="C17" i="25"/>
  <c r="L8" i="4"/>
  <c r="S16" i="4"/>
  <c r="L8" i="15"/>
  <c r="S16" i="15"/>
  <c r="F245" i="23"/>
  <c r="D244" i="23"/>
  <c r="H260" i="25"/>
  <c r="C260" i="25"/>
  <c r="L9" i="25"/>
  <c r="S9" i="25" s="1"/>
  <c r="H16" i="18"/>
  <c r="L16" i="25"/>
  <c r="H142" i="25"/>
  <c r="H141" i="25"/>
  <c r="H139" i="25"/>
  <c r="H138" i="25"/>
  <c r="H140" i="25"/>
  <c r="H143" i="25"/>
  <c r="H144" i="25" s="1"/>
  <c r="S137" i="25"/>
  <c r="O8" i="25"/>
  <c r="O22" i="25"/>
  <c r="O21" i="25"/>
  <c r="O20" i="25"/>
  <c r="O19" i="25"/>
  <c r="O18" i="25"/>
  <c r="O17" i="25"/>
  <c r="R8" i="25"/>
  <c r="R21" i="25"/>
  <c r="R20" i="25"/>
  <c r="R19" i="25"/>
  <c r="R18" i="25"/>
  <c r="R17" i="25"/>
  <c r="R142" i="25"/>
  <c r="R141" i="25"/>
  <c r="R140" i="25"/>
  <c r="R139" i="25"/>
  <c r="R138" i="25"/>
  <c r="O143" i="25"/>
  <c r="O142" i="25"/>
  <c r="O141" i="25"/>
  <c r="O140" i="25"/>
  <c r="O139" i="25"/>
  <c r="O138" i="25"/>
  <c r="R236" i="23"/>
  <c r="O236" i="23"/>
  <c r="D121" i="22"/>
  <c r="D113" i="22" s="1"/>
  <c r="S9" i="14"/>
  <c r="R10" i="14"/>
  <c r="R11" i="14"/>
  <c r="R12" i="14"/>
  <c r="R13" i="14"/>
  <c r="R14" i="14"/>
  <c r="O10" i="14"/>
  <c r="O11" i="14"/>
  <c r="O12" i="14"/>
  <c r="O13" i="14"/>
  <c r="O14" i="14"/>
  <c r="O15" i="14"/>
  <c r="L16" i="14"/>
  <c r="L8" i="14" s="1"/>
  <c r="L16" i="20"/>
  <c r="L16" i="13"/>
  <c r="L16" i="22"/>
  <c r="L137" i="14"/>
  <c r="L138" i="20"/>
  <c r="H139" i="20" s="1"/>
  <c r="M16" i="14"/>
  <c r="O16" i="14" s="1"/>
  <c r="O8" i="14" s="1"/>
  <c r="M16" i="20"/>
  <c r="O16" i="20" s="1"/>
  <c r="M16" i="13"/>
  <c r="O16" i="13" s="1"/>
  <c r="P16" i="14"/>
  <c r="R16" i="14" s="1"/>
  <c r="R8" i="14" s="1"/>
  <c r="P16" i="20"/>
  <c r="R16" i="20" s="1"/>
  <c r="P16" i="13"/>
  <c r="R16" i="13" s="1"/>
  <c r="M16" i="23"/>
  <c r="M16" i="22"/>
  <c r="O16" i="22" s="1"/>
  <c r="P16" i="23"/>
  <c r="P16" i="22"/>
  <c r="R16" i="22" s="1"/>
  <c r="P137" i="14"/>
  <c r="R137" i="14" s="1"/>
  <c r="P138" i="20"/>
  <c r="M137" i="14"/>
  <c r="O137" i="14" s="1"/>
  <c r="M138" i="20"/>
  <c r="I133" i="23"/>
  <c r="I132" i="22"/>
  <c r="L16" i="23"/>
  <c r="O16" i="23"/>
  <c r="R16" i="23"/>
  <c r="F9" i="22"/>
  <c r="D8" i="13"/>
  <c r="D6" i="13" s="1"/>
  <c r="F9" i="13"/>
  <c r="F16" i="18"/>
  <c r="G16" i="18"/>
  <c r="G132" i="22"/>
  <c r="H132" i="22" s="1"/>
  <c r="G133" i="23"/>
  <c r="H133" i="23" s="1"/>
  <c r="G17" i="13"/>
  <c r="H139" i="13" l="1"/>
  <c r="H144" i="13"/>
  <c r="H143" i="13"/>
  <c r="H142" i="13"/>
  <c r="H141" i="13"/>
  <c r="H140" i="13"/>
  <c r="H145" i="13"/>
  <c r="H146" i="13" s="1"/>
  <c r="C229" i="14"/>
  <c r="C236" i="14"/>
  <c r="C244" i="14"/>
  <c r="R139" i="13"/>
  <c r="R143" i="13"/>
  <c r="R142" i="13"/>
  <c r="R141" i="13"/>
  <c r="R140" i="13"/>
  <c r="O139" i="13"/>
  <c r="O144" i="13"/>
  <c r="O143" i="13"/>
  <c r="O142" i="13"/>
  <c r="O141" i="13"/>
  <c r="O140" i="13"/>
  <c r="G108" i="16"/>
  <c r="H108" i="16" s="1"/>
  <c r="L108" i="16" s="1"/>
  <c r="G16" i="17"/>
  <c r="P108" i="16" s="1"/>
  <c r="R108" i="16" s="1"/>
  <c r="F16" i="17"/>
  <c r="M108" i="16" s="1"/>
  <c r="O108" i="16" s="1"/>
  <c r="P128" i="4"/>
  <c r="R128" i="4" s="1"/>
  <c r="P126" i="15"/>
  <c r="R126" i="15" s="1"/>
  <c r="M128" i="4"/>
  <c r="O128" i="4" s="1"/>
  <c r="M126" i="15"/>
  <c r="O126" i="15" s="1"/>
  <c r="O186" i="4"/>
  <c r="R186" i="4"/>
  <c r="L126" i="15"/>
  <c r="L128" i="4"/>
  <c r="H164" i="4"/>
  <c r="G113" i="16"/>
  <c r="G115" i="16" s="1"/>
  <c r="G109" i="16"/>
  <c r="G114" i="16"/>
  <c r="G111" i="16"/>
  <c r="G110" i="16"/>
  <c r="G112" i="16"/>
  <c r="D218" i="22"/>
  <c r="D241" i="22" s="1"/>
  <c r="F241" i="22" s="1"/>
  <c r="C241" i="22" s="1"/>
  <c r="O106" i="16"/>
  <c r="O105" i="16"/>
  <c r="O104" i="16"/>
  <c r="O103" i="16"/>
  <c r="O102" i="16"/>
  <c r="O107" i="16"/>
  <c r="S123" i="25"/>
  <c r="H124" i="25"/>
  <c r="H126" i="25"/>
  <c r="H125" i="25"/>
  <c r="H127" i="25" s="1"/>
  <c r="R124" i="25"/>
  <c r="R125" i="25"/>
  <c r="R152" i="25" s="1"/>
  <c r="R126" i="25"/>
  <c r="R153" i="25" s="1"/>
  <c r="R127" i="25"/>
  <c r="R154" i="25" s="1"/>
  <c r="R128" i="25"/>
  <c r="R155" i="25" s="1"/>
  <c r="R129" i="25"/>
  <c r="O129" i="13"/>
  <c r="O128" i="13"/>
  <c r="O127" i="13"/>
  <c r="O126" i="13"/>
  <c r="O125" i="13"/>
  <c r="O130" i="13"/>
  <c r="O129" i="20"/>
  <c r="O128" i="20"/>
  <c r="O127" i="20"/>
  <c r="O126" i="20"/>
  <c r="O125" i="20"/>
  <c r="O130" i="20"/>
  <c r="O128" i="14"/>
  <c r="O127" i="14"/>
  <c r="O126" i="14"/>
  <c r="O125" i="14"/>
  <c r="O124" i="14"/>
  <c r="O129" i="14"/>
  <c r="O124" i="25"/>
  <c r="O125" i="25"/>
  <c r="O152" i="25" s="1"/>
  <c r="O126" i="25"/>
  <c r="O153" i="25" s="1"/>
  <c r="O127" i="25"/>
  <c r="O154" i="25" s="1"/>
  <c r="O128" i="25"/>
  <c r="O155" i="25" s="1"/>
  <c r="O129" i="25"/>
  <c r="O156" i="25" s="1"/>
  <c r="P114" i="22"/>
  <c r="P115" i="23"/>
  <c r="M114" i="22"/>
  <c r="O114" i="22" s="1"/>
  <c r="M115" i="23"/>
  <c r="O115" i="23" s="1"/>
  <c r="R33" i="4"/>
  <c r="S34" i="4"/>
  <c r="S32" i="4" s="1"/>
  <c r="M9" i="22"/>
  <c r="M9" i="23"/>
  <c r="O9" i="23" s="1"/>
  <c r="P9" i="22"/>
  <c r="P9" i="23"/>
  <c r="R9" i="23" s="1"/>
  <c r="O15" i="20"/>
  <c r="O14" i="20"/>
  <c r="O13" i="20"/>
  <c r="O12" i="20"/>
  <c r="O11" i="20"/>
  <c r="O10" i="20"/>
  <c r="S9" i="20"/>
  <c r="O10" i="25"/>
  <c r="O37" i="25" s="1"/>
  <c r="O11" i="25"/>
  <c r="O38" i="25" s="1"/>
  <c r="O12" i="25"/>
  <c r="O39" i="25" s="1"/>
  <c r="O13" i="25"/>
  <c r="O40" i="25" s="1"/>
  <c r="O14" i="25"/>
  <c r="O41" i="25" s="1"/>
  <c r="O15" i="25"/>
  <c r="O42" i="25" s="1"/>
  <c r="R14" i="20"/>
  <c r="R13" i="20"/>
  <c r="R12" i="20"/>
  <c r="R11" i="20"/>
  <c r="R10" i="20"/>
  <c r="R10" i="25"/>
  <c r="R37" i="25" s="1"/>
  <c r="R11" i="25"/>
  <c r="R38" i="25" s="1"/>
  <c r="R12" i="25"/>
  <c r="R39" i="25" s="1"/>
  <c r="R13" i="25"/>
  <c r="R40" i="25" s="1"/>
  <c r="R14" i="25"/>
  <c r="R41" i="25" s="1"/>
  <c r="S219" i="25"/>
  <c r="L220" i="25"/>
  <c r="L221" i="25"/>
  <c r="L222" i="25"/>
  <c r="L223" i="25"/>
  <c r="O220" i="25"/>
  <c r="O221" i="25"/>
  <c r="O222" i="25"/>
  <c r="O223" i="25"/>
  <c r="O224" i="25"/>
  <c r="R220" i="25"/>
  <c r="R221" i="25"/>
  <c r="R222" i="25"/>
  <c r="R223" i="25"/>
  <c r="R224" i="25"/>
  <c r="R225" i="25"/>
  <c r="S226" i="25"/>
  <c r="L227" i="25"/>
  <c r="L228" i="25"/>
  <c r="L229" i="25"/>
  <c r="L230" i="25"/>
  <c r="O227" i="25"/>
  <c r="O228" i="25"/>
  <c r="O229" i="25"/>
  <c r="O230" i="25"/>
  <c r="O231" i="25"/>
  <c r="R227" i="25"/>
  <c r="R228" i="25"/>
  <c r="R229" i="25"/>
  <c r="R230" i="25"/>
  <c r="R231" i="25"/>
  <c r="R232" i="25"/>
  <c r="S234" i="25"/>
  <c r="L235" i="25"/>
  <c r="O235" i="25"/>
  <c r="O236" i="25"/>
  <c r="O237" i="25"/>
  <c r="O238" i="25"/>
  <c r="O239" i="25"/>
  <c r="R235" i="25"/>
  <c r="R236" i="25"/>
  <c r="R237" i="25"/>
  <c r="R238" i="25"/>
  <c r="R239" i="25"/>
  <c r="R240" i="25"/>
  <c r="S242" i="25"/>
  <c r="L243" i="25"/>
  <c r="L245" i="25"/>
  <c r="L244" i="25"/>
  <c r="O243" i="25"/>
  <c r="O244" i="25"/>
  <c r="O245" i="25"/>
  <c r="O246" i="25"/>
  <c r="O247" i="25"/>
  <c r="R243" i="25"/>
  <c r="R244" i="25"/>
  <c r="R245" i="25"/>
  <c r="R246" i="25"/>
  <c r="R247" i="25"/>
  <c r="R248" i="25"/>
  <c r="F244" i="23"/>
  <c r="H245" i="23"/>
  <c r="C245" i="23"/>
  <c r="L260" i="25"/>
  <c r="O260" i="25"/>
  <c r="R260" i="25"/>
  <c r="R33" i="15"/>
  <c r="O33" i="15"/>
  <c r="O33" i="4"/>
  <c r="L9" i="23"/>
  <c r="S16" i="25"/>
  <c r="H22" i="25"/>
  <c r="H23" i="25" s="1"/>
  <c r="H20" i="25"/>
  <c r="H18" i="25"/>
  <c r="H19" i="25"/>
  <c r="H21" i="25"/>
  <c r="H17" i="25"/>
  <c r="H24" i="25" s="1"/>
  <c r="L8" i="25"/>
  <c r="R122" i="25"/>
  <c r="R151" i="25"/>
  <c r="R158" i="25" s="1"/>
  <c r="O122" i="25"/>
  <c r="O151" i="25"/>
  <c r="O158" i="25" s="1"/>
  <c r="H145" i="25"/>
  <c r="D166" i="22"/>
  <c r="S16" i="20"/>
  <c r="L8" i="20"/>
  <c r="O22" i="14"/>
  <c r="O42" i="14" s="1"/>
  <c r="O21" i="14"/>
  <c r="O41" i="14" s="1"/>
  <c r="O20" i="14"/>
  <c r="O40" i="14" s="1"/>
  <c r="O19" i="14"/>
  <c r="O39" i="14" s="1"/>
  <c r="O18" i="14"/>
  <c r="O38" i="14" s="1"/>
  <c r="O17" i="14"/>
  <c r="O37" i="14" s="1"/>
  <c r="O36" i="14" s="1"/>
  <c r="O8" i="20"/>
  <c r="O22" i="20"/>
  <c r="O21" i="20"/>
  <c r="O20" i="20"/>
  <c r="O19" i="20"/>
  <c r="O18" i="20"/>
  <c r="O17" i="20"/>
  <c r="O22" i="13"/>
  <c r="O21" i="13"/>
  <c r="O20" i="13"/>
  <c r="O19" i="13"/>
  <c r="O18" i="13"/>
  <c r="O17" i="13"/>
  <c r="R21" i="14"/>
  <c r="R41" i="14" s="1"/>
  <c r="R20" i="14"/>
  <c r="R40" i="14" s="1"/>
  <c r="R19" i="14"/>
  <c r="R39" i="14" s="1"/>
  <c r="R18" i="14"/>
  <c r="R38" i="14" s="1"/>
  <c r="R17" i="14"/>
  <c r="R37" i="14" s="1"/>
  <c r="R36" i="14" s="1"/>
  <c r="R8" i="20"/>
  <c r="R21" i="20"/>
  <c r="R20" i="20"/>
  <c r="R19" i="20"/>
  <c r="R18" i="20"/>
  <c r="R17" i="20"/>
  <c r="R21" i="13"/>
  <c r="R20" i="13"/>
  <c r="R19" i="13"/>
  <c r="R18" i="13"/>
  <c r="R17" i="13"/>
  <c r="O22" i="22"/>
  <c r="O21" i="22"/>
  <c r="O20" i="22"/>
  <c r="O19" i="22"/>
  <c r="O18" i="22"/>
  <c r="O17" i="22"/>
  <c r="R21" i="22"/>
  <c r="R20" i="22"/>
  <c r="R19" i="22"/>
  <c r="R18" i="22"/>
  <c r="R17" i="22"/>
  <c r="R142" i="14"/>
  <c r="R141" i="14"/>
  <c r="R140" i="14"/>
  <c r="R139" i="14"/>
  <c r="R138" i="14"/>
  <c r="R138" i="20"/>
  <c r="O143" i="14"/>
  <c r="O165" i="14" s="1"/>
  <c r="O142" i="14"/>
  <c r="O164" i="14" s="1"/>
  <c r="O141" i="14"/>
  <c r="O163" i="14" s="1"/>
  <c r="O140" i="14"/>
  <c r="O162" i="14" s="1"/>
  <c r="O139" i="14"/>
  <c r="O161" i="14" s="1"/>
  <c r="O138" i="14"/>
  <c r="O138" i="20"/>
  <c r="S16" i="14"/>
  <c r="S16" i="13"/>
  <c r="S16" i="22"/>
  <c r="S137" i="14"/>
  <c r="L132" i="22"/>
  <c r="L11" i="22"/>
  <c r="L12" i="22"/>
  <c r="L39" i="22" s="1"/>
  <c r="L10" i="22"/>
  <c r="L15" i="22" s="1"/>
  <c r="L10" i="13"/>
  <c r="L12" i="13"/>
  <c r="L45" i="13" s="1"/>
  <c r="L11" i="13"/>
  <c r="L44" i="13" s="1"/>
  <c r="M133" i="23"/>
  <c r="M132" i="22"/>
  <c r="O132" i="22" s="1"/>
  <c r="P133" i="23"/>
  <c r="P132" i="22"/>
  <c r="R132" i="22" s="1"/>
  <c r="L8" i="23"/>
  <c r="S16" i="23"/>
  <c r="O8" i="23"/>
  <c r="O22" i="23"/>
  <c r="O21" i="23"/>
  <c r="O20" i="23"/>
  <c r="O19" i="23"/>
  <c r="O18" i="23"/>
  <c r="O17" i="23"/>
  <c r="R8" i="23"/>
  <c r="R21" i="23"/>
  <c r="R20" i="23"/>
  <c r="R19" i="23"/>
  <c r="R41" i="23" s="1"/>
  <c r="R18" i="23"/>
  <c r="R40" i="23" s="1"/>
  <c r="R17" i="23"/>
  <c r="L133" i="23"/>
  <c r="O133" i="23"/>
  <c r="R133" i="23"/>
  <c r="C9" i="22"/>
  <c r="C8" i="22" s="1"/>
  <c r="F8" i="22"/>
  <c r="H9" i="22"/>
  <c r="F234" i="22"/>
  <c r="F227" i="22"/>
  <c r="F219" i="22"/>
  <c r="F218" i="22" s="1"/>
  <c r="F121" i="22"/>
  <c r="C9" i="13"/>
  <c r="C8" i="13" s="1"/>
  <c r="F8" i="13"/>
  <c r="H9" i="13"/>
  <c r="C80" i="3"/>
  <c r="D80" i="3" s="1"/>
  <c r="G22" i="13"/>
  <c r="G24" i="13" s="1"/>
  <c r="G23" i="13"/>
  <c r="G20" i="13"/>
  <c r="G21" i="13"/>
  <c r="G18" i="13"/>
  <c r="G19" i="13"/>
  <c r="H20" i="14"/>
  <c r="H21" i="14"/>
  <c r="H18" i="14"/>
  <c r="H19" i="14"/>
  <c r="H22" i="14"/>
  <c r="H23" i="14" s="1"/>
  <c r="H17" i="14"/>
  <c r="H24" i="14" s="1"/>
  <c r="H17" i="20"/>
  <c r="H22" i="20"/>
  <c r="H18" i="20"/>
  <c r="H20" i="20"/>
  <c r="H21" i="20"/>
  <c r="H19" i="20"/>
  <c r="G17" i="23"/>
  <c r="G18" i="23"/>
  <c r="G19" i="23"/>
  <c r="G20" i="23"/>
  <c r="G21" i="23"/>
  <c r="G22" i="23"/>
  <c r="G23" i="23" s="1"/>
  <c r="G17" i="22"/>
  <c r="G18" i="22"/>
  <c r="G19" i="22"/>
  <c r="G20" i="22"/>
  <c r="G21" i="22"/>
  <c r="G22" i="22"/>
  <c r="G23" i="22" s="1"/>
  <c r="H139" i="14"/>
  <c r="H138" i="14"/>
  <c r="H140" i="14"/>
  <c r="H141" i="14"/>
  <c r="H142" i="14"/>
  <c r="H143" i="14"/>
  <c r="H144" i="14" s="1"/>
  <c r="H144" i="20"/>
  <c r="H140" i="20"/>
  <c r="H142" i="20"/>
  <c r="H143" i="20"/>
  <c r="H141" i="20"/>
  <c r="G80" i="3"/>
  <c r="J80" i="3"/>
  <c r="K54" i="25" s="1"/>
  <c r="L54" i="25" s="1"/>
  <c r="L85" i="25" s="1"/>
  <c r="L79" i="25" s="1"/>
  <c r="L80" i="3"/>
  <c r="N80" i="3"/>
  <c r="H147" i="13" l="1"/>
  <c r="R145" i="13"/>
  <c r="O145" i="13"/>
  <c r="B8" i="13"/>
  <c r="C17" i="13"/>
  <c r="C183" i="13"/>
  <c r="C29" i="13"/>
  <c r="C10" i="13"/>
  <c r="R109" i="16"/>
  <c r="R110" i="16"/>
  <c r="R111" i="16"/>
  <c r="R112" i="16"/>
  <c r="R113" i="16"/>
  <c r="O109" i="16"/>
  <c r="O110" i="16"/>
  <c r="O111" i="16"/>
  <c r="O112" i="16"/>
  <c r="O113" i="16"/>
  <c r="O114" i="16"/>
  <c r="R129" i="4"/>
  <c r="R130" i="4"/>
  <c r="R131" i="4"/>
  <c r="R132" i="4"/>
  <c r="R133" i="4"/>
  <c r="R127" i="15"/>
  <c r="R128" i="15"/>
  <c r="R129" i="15"/>
  <c r="R130" i="15"/>
  <c r="R131" i="15"/>
  <c r="O129" i="4"/>
  <c r="O143" i="4" s="1"/>
  <c r="O130" i="4"/>
  <c r="O144" i="4" s="1"/>
  <c r="O131" i="4"/>
  <c r="O145" i="4" s="1"/>
  <c r="O132" i="4"/>
  <c r="O146" i="4" s="1"/>
  <c r="O133" i="4"/>
  <c r="O147" i="4" s="1"/>
  <c r="O134" i="4"/>
  <c r="O148" i="4" s="1"/>
  <c r="O120" i="4"/>
  <c r="O127" i="15"/>
  <c r="O128" i="15"/>
  <c r="O129" i="15"/>
  <c r="O130" i="15"/>
  <c r="O131" i="15"/>
  <c r="O132" i="15"/>
  <c r="G128" i="15"/>
  <c r="G129" i="15"/>
  <c r="G130" i="15"/>
  <c r="G131" i="15"/>
  <c r="G132" i="15"/>
  <c r="G127" i="15"/>
  <c r="G133" i="15" s="1"/>
  <c r="H135" i="4"/>
  <c r="H136" i="4" s="1"/>
  <c r="H130" i="4"/>
  <c r="H131" i="4"/>
  <c r="H132" i="4"/>
  <c r="H133" i="4"/>
  <c r="H134" i="4"/>
  <c r="H129" i="4"/>
  <c r="H137" i="4" s="1"/>
  <c r="G116" i="16"/>
  <c r="D260" i="22"/>
  <c r="O119" i="22"/>
  <c r="O118" i="22"/>
  <c r="O117" i="22"/>
  <c r="O116" i="22"/>
  <c r="O115" i="22"/>
  <c r="O120" i="22"/>
  <c r="O116" i="23"/>
  <c r="O117" i="23"/>
  <c r="O118" i="23"/>
  <c r="O119" i="23"/>
  <c r="O120" i="23"/>
  <c r="O121" i="23"/>
  <c r="H128" i="25"/>
  <c r="O10" i="23"/>
  <c r="O39" i="23" s="1"/>
  <c r="O11" i="23"/>
  <c r="O40" i="23" s="1"/>
  <c r="O12" i="23"/>
  <c r="O41" i="23" s="1"/>
  <c r="O13" i="23"/>
  <c r="O42" i="23" s="1"/>
  <c r="O14" i="23"/>
  <c r="O43" i="23" s="1"/>
  <c r="O15" i="23"/>
  <c r="O44" i="23" s="1"/>
  <c r="R13" i="23"/>
  <c r="R42" i="23" s="1"/>
  <c r="R14" i="23"/>
  <c r="R43" i="23" s="1"/>
  <c r="R245" i="23"/>
  <c r="O245" i="23"/>
  <c r="L245" i="23"/>
  <c r="L262" i="25"/>
  <c r="L263" i="25"/>
  <c r="L261" i="25"/>
  <c r="S260" i="25"/>
  <c r="O261" i="25"/>
  <c r="O262" i="25"/>
  <c r="O263" i="25"/>
  <c r="O264" i="25"/>
  <c r="O265" i="25"/>
  <c r="R263" i="25"/>
  <c r="R262" i="25"/>
  <c r="R264" i="25"/>
  <c r="R265" i="25"/>
  <c r="R266" i="25"/>
  <c r="R261" i="25"/>
  <c r="S9" i="23"/>
  <c r="G11" i="23"/>
  <c r="G13" i="23" s="1"/>
  <c r="G12" i="23"/>
  <c r="G10" i="23"/>
  <c r="G14" i="23" s="1"/>
  <c r="T35" i="4"/>
  <c r="O36" i="25"/>
  <c r="R36" i="25"/>
  <c r="L224" i="25"/>
  <c r="O225" i="25"/>
  <c r="K43" i="16"/>
  <c r="G25" i="13"/>
  <c r="C121" i="22"/>
  <c r="C113" i="22" s="1"/>
  <c r="H121" i="22"/>
  <c r="D154" i="22"/>
  <c r="F166" i="22"/>
  <c r="D90" i="22"/>
  <c r="R143" i="20"/>
  <c r="R142" i="20"/>
  <c r="R141" i="20"/>
  <c r="R140" i="20"/>
  <c r="R139" i="20"/>
  <c r="O122" i="14"/>
  <c r="O160" i="14"/>
  <c r="O167" i="14" s="1"/>
  <c r="O144" i="20"/>
  <c r="O143" i="20"/>
  <c r="O142" i="20"/>
  <c r="O141" i="20"/>
  <c r="O140" i="20"/>
  <c r="O139" i="20"/>
  <c r="L15" i="13"/>
  <c r="L39" i="13"/>
  <c r="L46" i="13" s="1"/>
  <c r="O138" i="22"/>
  <c r="O137" i="22"/>
  <c r="O136" i="22"/>
  <c r="O135" i="22"/>
  <c r="O134" i="22"/>
  <c r="O133" i="22"/>
  <c r="R137" i="22"/>
  <c r="R136" i="22"/>
  <c r="R135" i="22"/>
  <c r="R134" i="22"/>
  <c r="R133" i="22"/>
  <c r="O9" i="22"/>
  <c r="R9" i="22"/>
  <c r="L9" i="22"/>
  <c r="L9" i="13"/>
  <c r="O9" i="13"/>
  <c r="R9" i="13"/>
  <c r="K51" i="15"/>
  <c r="K53" i="4"/>
  <c r="K54" i="14"/>
  <c r="L54" i="14" s="1"/>
  <c r="L85" i="14" s="1"/>
  <c r="L79" i="14" s="1"/>
  <c r="K57" i="20"/>
  <c r="K57" i="13"/>
  <c r="L57" i="13" s="1"/>
  <c r="L88" i="13" s="1"/>
  <c r="L82" i="13" s="1"/>
  <c r="K56" i="22"/>
  <c r="L56" i="22" s="1"/>
  <c r="L87" i="22" s="1"/>
  <c r="L81" i="22" s="1"/>
  <c r="K57" i="23"/>
  <c r="R39" i="23"/>
  <c r="R38" i="23" s="1"/>
  <c r="R27" i="23"/>
  <c r="O139" i="23"/>
  <c r="O138" i="23"/>
  <c r="O137" i="23"/>
  <c r="O136" i="23"/>
  <c r="O135" i="23"/>
  <c r="O134" i="23"/>
  <c r="R138" i="23"/>
  <c r="R137" i="23"/>
  <c r="R136" i="23"/>
  <c r="R135" i="23"/>
  <c r="R134" i="23"/>
  <c r="C10" i="22"/>
  <c r="G12" i="22"/>
  <c r="C234" i="22"/>
  <c r="H234" i="22"/>
  <c r="C227" i="22"/>
  <c r="H219" i="22"/>
  <c r="C219" i="22"/>
  <c r="F260" i="22"/>
  <c r="D259" i="22"/>
  <c r="D216" i="22" s="1"/>
  <c r="H8" i="13"/>
  <c r="F56" i="20"/>
  <c r="G79" i="3"/>
  <c r="D17" i="6" s="1"/>
  <c r="J79" i="3"/>
  <c r="D17" i="9" s="1"/>
  <c r="L79" i="3"/>
  <c r="D17" i="17" s="1"/>
  <c r="N79" i="3"/>
  <c r="D17" i="18" s="1"/>
  <c r="G135" i="23"/>
  <c r="G136" i="23"/>
  <c r="G137" i="23"/>
  <c r="G138" i="23"/>
  <c r="G140" i="23" s="1"/>
  <c r="G139" i="23"/>
  <c r="G134" i="23"/>
  <c r="G141" i="23" s="1"/>
  <c r="G133" i="22"/>
  <c r="G138" i="22"/>
  <c r="G137" i="22"/>
  <c r="G139" i="22" s="1"/>
  <c r="G136" i="22"/>
  <c r="G135" i="22"/>
  <c r="G134" i="22"/>
  <c r="H23" i="20"/>
  <c r="G24" i="23"/>
  <c r="G24" i="22"/>
  <c r="H145" i="14"/>
  <c r="H145" i="20"/>
  <c r="C82" i="3"/>
  <c r="D82" i="3" s="1"/>
  <c r="O142" i="4" l="1"/>
  <c r="R246" i="23"/>
  <c r="R251" i="23"/>
  <c r="R250" i="23"/>
  <c r="R249" i="23"/>
  <c r="R248" i="23"/>
  <c r="R247" i="23"/>
  <c r="O246" i="23"/>
  <c r="O250" i="23"/>
  <c r="O249" i="23"/>
  <c r="O248" i="23"/>
  <c r="O247" i="23"/>
  <c r="S245" i="23"/>
  <c r="L246" i="23"/>
  <c r="O38" i="23"/>
  <c r="G140" i="22"/>
  <c r="C122" i="22"/>
  <c r="L121" i="22"/>
  <c r="O121" i="22"/>
  <c r="F154" i="22"/>
  <c r="H166" i="22"/>
  <c r="C166" i="22"/>
  <c r="D89" i="22"/>
  <c r="D6" i="22" s="1"/>
  <c r="F90" i="22"/>
  <c r="O8" i="22"/>
  <c r="O10" i="22"/>
  <c r="O39" i="22" s="1"/>
  <c r="O11" i="22"/>
  <c r="O40" i="22" s="1"/>
  <c r="O12" i="22"/>
  <c r="O41" i="22" s="1"/>
  <c r="O13" i="22"/>
  <c r="O42" i="22" s="1"/>
  <c r="O14" i="22"/>
  <c r="O43" i="22" s="1"/>
  <c r="O15" i="22"/>
  <c r="O44" i="22" s="1"/>
  <c r="R8" i="22"/>
  <c r="R10" i="22"/>
  <c r="R39" i="22" s="1"/>
  <c r="R11" i="22"/>
  <c r="R40" i="22" s="1"/>
  <c r="R12" i="22"/>
  <c r="R41" i="22" s="1"/>
  <c r="R13" i="22"/>
  <c r="R42" i="22" s="1"/>
  <c r="R14" i="22"/>
  <c r="R43" i="22" s="1"/>
  <c r="L8" i="22"/>
  <c r="S9" i="22"/>
  <c r="S9" i="13"/>
  <c r="L8" i="13"/>
  <c r="O8" i="13"/>
  <c r="O10" i="13"/>
  <c r="O39" i="13" s="1"/>
  <c r="O11" i="13"/>
  <c r="O40" i="13" s="1"/>
  <c r="O12" i="13"/>
  <c r="O41" i="13" s="1"/>
  <c r="O13" i="13"/>
  <c r="O42" i="13" s="1"/>
  <c r="O14" i="13"/>
  <c r="O43" i="13" s="1"/>
  <c r="O15" i="13"/>
  <c r="O44" i="13" s="1"/>
  <c r="R8" i="13"/>
  <c r="R10" i="13"/>
  <c r="R39" i="13" s="1"/>
  <c r="R11" i="13"/>
  <c r="R40" i="13" s="1"/>
  <c r="S40" i="13" s="1"/>
  <c r="R12" i="13"/>
  <c r="R41" i="13" s="1"/>
  <c r="S41" i="13" s="1"/>
  <c r="R13" i="13"/>
  <c r="R42" i="13" s="1"/>
  <c r="S42" i="13" s="1"/>
  <c r="R14" i="13"/>
  <c r="R43" i="13" s="1"/>
  <c r="S43" i="13" s="1"/>
  <c r="L57" i="20"/>
  <c r="L88" i="20" s="1"/>
  <c r="L234" i="22"/>
  <c r="O234" i="22"/>
  <c r="R234" i="22"/>
  <c r="L219" i="22"/>
  <c r="O219" i="22"/>
  <c r="R219" i="22"/>
  <c r="C218" i="22"/>
  <c r="D72" i="23"/>
  <c r="F72" i="23" s="1"/>
  <c r="C29" i="22"/>
  <c r="C17" i="22"/>
  <c r="G10" i="22"/>
  <c r="G11" i="22"/>
  <c r="G13" i="22" s="1"/>
  <c r="H260" i="22"/>
  <c r="F259" i="22"/>
  <c r="F216" i="22" s="1"/>
  <c r="C260" i="22"/>
  <c r="C259" i="22" s="1"/>
  <c r="G11" i="13"/>
  <c r="G13" i="13" s="1"/>
  <c r="G12" i="13"/>
  <c r="G10" i="13"/>
  <c r="G14" i="13" s="1"/>
  <c r="D42" i="16"/>
  <c r="C56" i="20"/>
  <c r="E17" i="6"/>
  <c r="J17" i="6"/>
  <c r="E17" i="9"/>
  <c r="E17" i="17"/>
  <c r="J17" i="17"/>
  <c r="E17" i="18"/>
  <c r="J17" i="18"/>
  <c r="J82" i="3"/>
  <c r="J81" i="3" s="1"/>
  <c r="D18" i="9" s="1"/>
  <c r="G82" i="3"/>
  <c r="G81" i="3" s="1"/>
  <c r="D18" i="6" s="1"/>
  <c r="L82" i="3"/>
  <c r="L81" i="3" s="1"/>
  <c r="D18" i="17" s="1"/>
  <c r="N82" i="3"/>
  <c r="N81" i="3" s="1"/>
  <c r="D18" i="18" s="1"/>
  <c r="H11" i="9"/>
  <c r="C220" i="22" l="1"/>
  <c r="C216" i="22"/>
  <c r="C154" i="22"/>
  <c r="C167" i="22" s="1"/>
  <c r="H17" i="17"/>
  <c r="H17" i="18"/>
  <c r="C145" i="22"/>
  <c r="C115" i="22"/>
  <c r="C133" i="22"/>
  <c r="H17" i="9"/>
  <c r="I53" i="25" s="1"/>
  <c r="G53" i="25"/>
  <c r="H53" i="25" s="1"/>
  <c r="O122" i="22"/>
  <c r="O123" i="22"/>
  <c r="O124" i="22"/>
  <c r="O125" i="22"/>
  <c r="O126" i="22"/>
  <c r="O127" i="22"/>
  <c r="H17" i="6"/>
  <c r="R166" i="22"/>
  <c r="L166" i="22"/>
  <c r="L167" i="22" s="1"/>
  <c r="L99" i="22"/>
  <c r="C90" i="22"/>
  <c r="C89" i="22" s="1"/>
  <c r="C6" i="22" s="1"/>
  <c r="C4" i="22" s="1"/>
  <c r="F89" i="22"/>
  <c r="D72" i="20"/>
  <c r="D48" i="20" s="1"/>
  <c r="O38" i="22"/>
  <c r="R38" i="22"/>
  <c r="S39" i="13"/>
  <c r="S38" i="13" s="1"/>
  <c r="R38" i="13"/>
  <c r="L235" i="22"/>
  <c r="S234" i="22"/>
  <c r="O239" i="22"/>
  <c r="O238" i="22"/>
  <c r="O237" i="22"/>
  <c r="O236" i="22"/>
  <c r="O235" i="22"/>
  <c r="R240" i="22"/>
  <c r="R239" i="22"/>
  <c r="R238" i="22"/>
  <c r="R237" i="22"/>
  <c r="R236" i="22"/>
  <c r="R235" i="22"/>
  <c r="L221" i="22"/>
  <c r="L222" i="22"/>
  <c r="L223" i="22"/>
  <c r="L220" i="22"/>
  <c r="L224" i="22" s="1"/>
  <c r="S219" i="22"/>
  <c r="O224" i="22"/>
  <c r="O223" i="22"/>
  <c r="O222" i="22"/>
  <c r="O221" i="22"/>
  <c r="O220" i="22"/>
  <c r="O225" i="22" s="1"/>
  <c r="R225" i="22"/>
  <c r="R224" i="22"/>
  <c r="R223" i="22"/>
  <c r="R222" i="22"/>
  <c r="R221" i="22"/>
  <c r="R220" i="22"/>
  <c r="O38" i="13"/>
  <c r="L260" i="22"/>
  <c r="O260" i="22"/>
  <c r="R260" i="22"/>
  <c r="I50" i="15"/>
  <c r="I52" i="4"/>
  <c r="I53" i="14"/>
  <c r="I56" i="20"/>
  <c r="I56" i="13"/>
  <c r="I56" i="23"/>
  <c r="I55" i="22"/>
  <c r="I181" i="14"/>
  <c r="I175" i="20"/>
  <c r="I174" i="13"/>
  <c r="L174" i="13" s="1"/>
  <c r="L73" i="23"/>
  <c r="L74" i="23"/>
  <c r="L75" i="23"/>
  <c r="L86" i="23" s="1"/>
  <c r="L76" i="23"/>
  <c r="L77" i="23"/>
  <c r="L78" i="23"/>
  <c r="L84" i="23" s="1"/>
  <c r="L79" i="23"/>
  <c r="L85" i="23" s="1"/>
  <c r="L80" i="23"/>
  <c r="L87" i="23" s="1"/>
  <c r="C228" i="22"/>
  <c r="C235" i="22"/>
  <c r="C242" i="22"/>
  <c r="D56" i="23"/>
  <c r="D48" i="23" s="1"/>
  <c r="H72" i="23"/>
  <c r="C72" i="23"/>
  <c r="G14" i="22"/>
  <c r="F42" i="16"/>
  <c r="L43" i="16" s="1"/>
  <c r="L74" i="16" s="1"/>
  <c r="L68" i="16" s="1"/>
  <c r="D34" i="16"/>
  <c r="D6" i="16" s="1"/>
  <c r="D52" i="4"/>
  <c r="D44" i="4" s="1"/>
  <c r="G17" i="6"/>
  <c r="F17" i="6"/>
  <c r="G52" i="4"/>
  <c r="G50" i="15"/>
  <c r="G17" i="9"/>
  <c r="P53" i="25" s="1"/>
  <c r="R53" i="25" s="1"/>
  <c r="F17" i="9"/>
  <c r="M53" i="25" s="1"/>
  <c r="O53" i="25" s="1"/>
  <c r="G56" i="13"/>
  <c r="H56" i="13" s="1"/>
  <c r="H48" i="13" s="1"/>
  <c r="G56" i="20"/>
  <c r="H56" i="20" s="1"/>
  <c r="G53" i="14"/>
  <c r="H53" i="14" s="1"/>
  <c r="F17" i="17"/>
  <c r="G42" i="16"/>
  <c r="H42" i="16" s="1"/>
  <c r="G17" i="17"/>
  <c r="F17" i="18"/>
  <c r="G55" i="22"/>
  <c r="H55" i="22" s="1"/>
  <c r="G17" i="18"/>
  <c r="G56" i="23"/>
  <c r="E18" i="9"/>
  <c r="H18" i="9" s="1"/>
  <c r="J18" i="9"/>
  <c r="E18" i="6"/>
  <c r="H18" i="6" s="1"/>
  <c r="J18" i="6"/>
  <c r="E18" i="17"/>
  <c r="H18" i="17" s="1"/>
  <c r="J18" i="17"/>
  <c r="E18" i="18"/>
  <c r="H18" i="18" s="1"/>
  <c r="J18" i="18"/>
  <c r="F72" i="20"/>
  <c r="C156" i="22" l="1"/>
  <c r="C175" i="22"/>
  <c r="I42" i="16"/>
  <c r="L42" i="16" s="1"/>
  <c r="M42" i="16"/>
  <c r="P42" i="16"/>
  <c r="R42" i="16" s="1"/>
  <c r="L53" i="25"/>
  <c r="L45" i="25" s="1"/>
  <c r="R45" i="25"/>
  <c r="R58" i="25"/>
  <c r="R84" i="25" s="1"/>
  <c r="R57" i="25"/>
  <c r="R83" i="25" s="1"/>
  <c r="R56" i="25"/>
  <c r="R82" i="25" s="1"/>
  <c r="R55" i="25"/>
  <c r="R81" i="25" s="1"/>
  <c r="R54" i="25"/>
  <c r="R80" i="25" s="1"/>
  <c r="R79" i="25" s="1"/>
  <c r="S53" i="25"/>
  <c r="O45" i="25"/>
  <c r="O59" i="25"/>
  <c r="O85" i="25" s="1"/>
  <c r="O58" i="25"/>
  <c r="O84" i="25" s="1"/>
  <c r="O57" i="25"/>
  <c r="O83" i="25" s="1"/>
  <c r="O56" i="25"/>
  <c r="O82" i="25" s="1"/>
  <c r="O55" i="25"/>
  <c r="O81" i="25" s="1"/>
  <c r="O54" i="25"/>
  <c r="O80" i="25" s="1"/>
  <c r="O79" i="25" s="1"/>
  <c r="R172" i="22"/>
  <c r="R171" i="22"/>
  <c r="R170" i="22"/>
  <c r="R169" i="22"/>
  <c r="R168" i="22"/>
  <c r="R167" i="22"/>
  <c r="O42" i="16"/>
  <c r="L261" i="22"/>
  <c r="S260" i="22"/>
  <c r="O265" i="22"/>
  <c r="O264" i="22"/>
  <c r="O263" i="22"/>
  <c r="O262" i="22"/>
  <c r="O261" i="22"/>
  <c r="R266" i="22"/>
  <c r="R265" i="22"/>
  <c r="R264" i="22"/>
  <c r="R263" i="22"/>
  <c r="R262" i="22"/>
  <c r="R261" i="22"/>
  <c r="S181" i="14"/>
  <c r="L181" i="14"/>
  <c r="L182" i="14" s="1"/>
  <c r="L205" i="14" s="1"/>
  <c r="L162" i="13"/>
  <c r="L175" i="13"/>
  <c r="L53" i="14"/>
  <c r="L45" i="14" s="1"/>
  <c r="L56" i="20"/>
  <c r="L56" i="13"/>
  <c r="L48" i="13" s="1"/>
  <c r="L55" i="22"/>
  <c r="L47" i="22" s="1"/>
  <c r="P50" i="15"/>
  <c r="P52" i="4"/>
  <c r="M50" i="15"/>
  <c r="M52" i="4"/>
  <c r="P53" i="14"/>
  <c r="R53" i="14" s="1"/>
  <c r="P56" i="20"/>
  <c r="P56" i="13"/>
  <c r="M53" i="14"/>
  <c r="O53" i="14" s="1"/>
  <c r="M56" i="20"/>
  <c r="M56" i="13"/>
  <c r="O34" i="16"/>
  <c r="O48" i="16"/>
  <c r="O74" i="16" s="1"/>
  <c r="O47" i="16"/>
  <c r="O73" i="16" s="1"/>
  <c r="O46" i="16"/>
  <c r="O72" i="16" s="1"/>
  <c r="O45" i="16"/>
  <c r="O71" i="16" s="1"/>
  <c r="O44" i="16"/>
  <c r="O70" i="16" s="1"/>
  <c r="O43" i="16"/>
  <c r="O69" i="16" s="1"/>
  <c r="O68" i="16" s="1"/>
  <c r="R34" i="16"/>
  <c r="R47" i="16"/>
  <c r="R73" i="16" s="1"/>
  <c r="R46" i="16"/>
  <c r="R72" i="16" s="1"/>
  <c r="R45" i="16"/>
  <c r="R71" i="16" s="1"/>
  <c r="R44" i="16"/>
  <c r="R70" i="16" s="1"/>
  <c r="R43" i="16"/>
  <c r="R69" i="16" s="1"/>
  <c r="R68" i="16" s="1"/>
  <c r="M56" i="23"/>
  <c r="M55" i="22"/>
  <c r="O55" i="22" s="1"/>
  <c r="P56" i="23"/>
  <c r="P55" i="22"/>
  <c r="R55" i="22" s="1"/>
  <c r="L77" i="20"/>
  <c r="L76" i="20"/>
  <c r="L78" i="20"/>
  <c r="L84" i="20" s="1"/>
  <c r="L80" i="20"/>
  <c r="L87" i="20" s="1"/>
  <c r="L75" i="20"/>
  <c r="L86" i="20" s="1"/>
  <c r="L73" i="20"/>
  <c r="L79" i="20"/>
  <c r="L85" i="20" s="1"/>
  <c r="L74" i="20"/>
  <c r="L83" i="23"/>
  <c r="L72" i="23"/>
  <c r="O72" i="23"/>
  <c r="R72" i="23"/>
  <c r="F56" i="23"/>
  <c r="L57" i="23" s="1"/>
  <c r="L88" i="23" s="1"/>
  <c r="L82" i="23" s="1"/>
  <c r="G73" i="23"/>
  <c r="G75" i="23"/>
  <c r="G76" i="23"/>
  <c r="G77" i="23"/>
  <c r="G74" i="23"/>
  <c r="C42" i="16"/>
  <c r="F34" i="16"/>
  <c r="F52" i="4"/>
  <c r="L53" i="4" s="1"/>
  <c r="L84" i="4" s="1"/>
  <c r="L78" i="4" s="1"/>
  <c r="D6" i="4"/>
  <c r="F18" i="9"/>
  <c r="G18" i="9"/>
  <c r="F18" i="6"/>
  <c r="G18" i="6"/>
  <c r="G18" i="17"/>
  <c r="F18" i="17"/>
  <c r="G18" i="18"/>
  <c r="F18" i="18"/>
  <c r="F48" i="20"/>
  <c r="H72" i="20"/>
  <c r="H48" i="20" s="1"/>
  <c r="C72" i="20"/>
  <c r="C48" i="20" l="1"/>
  <c r="C73" i="20"/>
  <c r="S42" i="16"/>
  <c r="L34" i="16"/>
  <c r="C101" i="22"/>
  <c r="C91" i="22"/>
  <c r="R45" i="14"/>
  <c r="R58" i="14"/>
  <c r="R84" i="14" s="1"/>
  <c r="R57" i="14"/>
  <c r="R83" i="14" s="1"/>
  <c r="R56" i="14"/>
  <c r="R82" i="14" s="1"/>
  <c r="R55" i="14"/>
  <c r="R81" i="14" s="1"/>
  <c r="R54" i="14"/>
  <c r="R80" i="14" s="1"/>
  <c r="R79" i="14" s="1"/>
  <c r="S53" i="14"/>
  <c r="R56" i="20"/>
  <c r="R56" i="13"/>
  <c r="O45" i="14"/>
  <c r="O59" i="14"/>
  <c r="O85" i="14" s="1"/>
  <c r="O58" i="14"/>
  <c r="O84" i="14" s="1"/>
  <c r="O57" i="14"/>
  <c r="O83" i="14" s="1"/>
  <c r="O56" i="14"/>
  <c r="O82" i="14" s="1"/>
  <c r="O55" i="14"/>
  <c r="O81" i="14" s="1"/>
  <c r="O54" i="14"/>
  <c r="O80" i="14" s="1"/>
  <c r="O79" i="14" s="1"/>
  <c r="O56" i="20"/>
  <c r="O56" i="13"/>
  <c r="O47" i="22"/>
  <c r="O61" i="22"/>
  <c r="O87" i="22" s="1"/>
  <c r="O60" i="22"/>
  <c r="O86" i="22" s="1"/>
  <c r="O59" i="22"/>
  <c r="O85" i="22" s="1"/>
  <c r="O58" i="22"/>
  <c r="O84" i="22" s="1"/>
  <c r="O57" i="22"/>
  <c r="O83" i="22" s="1"/>
  <c r="O56" i="22"/>
  <c r="O82" i="22" s="1"/>
  <c r="O81" i="22" s="1"/>
  <c r="R47" i="22"/>
  <c r="R60" i="22"/>
  <c r="R86" i="22" s="1"/>
  <c r="R59" i="22"/>
  <c r="R85" i="22" s="1"/>
  <c r="R58" i="22"/>
  <c r="R84" i="22" s="1"/>
  <c r="R57" i="22"/>
  <c r="R83" i="22" s="1"/>
  <c r="R56" i="22"/>
  <c r="R82" i="22" s="1"/>
  <c r="R81" i="22" s="1"/>
  <c r="S55" i="22"/>
  <c r="L83" i="20"/>
  <c r="L82" i="20" s="1"/>
  <c r="L72" i="20"/>
  <c r="R72" i="20"/>
  <c r="O72" i="20"/>
  <c r="O78" i="23"/>
  <c r="O77" i="23"/>
  <c r="O76" i="23"/>
  <c r="O75" i="23"/>
  <c r="O74" i="23"/>
  <c r="O73" i="23"/>
  <c r="R77" i="23"/>
  <c r="R76" i="23"/>
  <c r="R75" i="23"/>
  <c r="R74" i="23"/>
  <c r="R73" i="23"/>
  <c r="S72" i="23"/>
  <c r="H56" i="23"/>
  <c r="F48" i="23"/>
  <c r="C56" i="23"/>
  <c r="C48" i="23" s="1"/>
  <c r="G78" i="23"/>
  <c r="G79" i="23"/>
  <c r="C34" i="16"/>
  <c r="D50" i="15"/>
  <c r="H52" i="4"/>
  <c r="C52" i="4"/>
  <c r="F44" i="4"/>
  <c r="F131" i="13"/>
  <c r="F123" i="13" s="1"/>
  <c r="C131" i="13"/>
  <c r="C57" i="20" l="1"/>
  <c r="C50" i="20"/>
  <c r="C64" i="20"/>
  <c r="C43" i="16"/>
  <c r="C6" i="16"/>
  <c r="C123" i="13"/>
  <c r="C132" i="13" s="1"/>
  <c r="C44" i="4"/>
  <c r="C53" i="4"/>
  <c r="R48" i="20"/>
  <c r="R61" i="20"/>
  <c r="R60" i="20"/>
  <c r="R59" i="20"/>
  <c r="R58" i="20"/>
  <c r="R57" i="20"/>
  <c r="S56" i="20"/>
  <c r="R48" i="13"/>
  <c r="R61" i="13"/>
  <c r="R87" i="13" s="1"/>
  <c r="S87" i="13" s="1"/>
  <c r="R60" i="13"/>
  <c r="R86" i="13" s="1"/>
  <c r="S86" i="13" s="1"/>
  <c r="R59" i="13"/>
  <c r="R85" i="13" s="1"/>
  <c r="S85" i="13" s="1"/>
  <c r="R58" i="13"/>
  <c r="R84" i="13" s="1"/>
  <c r="S84" i="13" s="1"/>
  <c r="R57" i="13"/>
  <c r="R83" i="13" s="1"/>
  <c r="S56" i="13"/>
  <c r="O48" i="20"/>
  <c r="O62" i="20"/>
  <c r="O61" i="20"/>
  <c r="O60" i="20"/>
  <c r="O59" i="20"/>
  <c r="O58" i="20"/>
  <c r="O57" i="20"/>
  <c r="O48" i="13"/>
  <c r="O62" i="13"/>
  <c r="O88" i="13" s="1"/>
  <c r="O61" i="13"/>
  <c r="O87" i="13" s="1"/>
  <c r="O60" i="13"/>
  <c r="O86" i="13" s="1"/>
  <c r="O59" i="13"/>
  <c r="O85" i="13" s="1"/>
  <c r="O58" i="13"/>
  <c r="O84" i="13" s="1"/>
  <c r="O57" i="13"/>
  <c r="O83" i="13" s="1"/>
  <c r="O82" i="13" s="1"/>
  <c r="L48" i="20"/>
  <c r="S72" i="20"/>
  <c r="R73" i="20"/>
  <c r="R74" i="20"/>
  <c r="R75" i="20"/>
  <c r="R76" i="20"/>
  <c r="R77" i="20"/>
  <c r="O73" i="20"/>
  <c r="O74" i="20"/>
  <c r="O75" i="20"/>
  <c r="O76" i="20"/>
  <c r="O77" i="20"/>
  <c r="O78" i="20"/>
  <c r="R52" i="4"/>
  <c r="O52" i="4"/>
  <c r="L52" i="4"/>
  <c r="L44" i="4" s="1"/>
  <c r="L56" i="23"/>
  <c r="L48" i="23" s="1"/>
  <c r="O56" i="23"/>
  <c r="R56" i="23"/>
  <c r="C57" i="23"/>
  <c r="C50" i="16"/>
  <c r="C36" i="16"/>
  <c r="C59" i="16"/>
  <c r="D42" i="15"/>
  <c r="D6" i="15" s="1"/>
  <c r="F50" i="15"/>
  <c r="L51" i="15" s="1"/>
  <c r="L82" i="15" s="1"/>
  <c r="L76" i="15" s="1"/>
  <c r="H44" i="4"/>
  <c r="C6" i="4"/>
  <c r="C4" i="4" s="1"/>
  <c r="B44" i="4"/>
  <c r="G78" i="20"/>
  <c r="G73" i="20"/>
  <c r="G74" i="20"/>
  <c r="G77" i="20"/>
  <c r="G76" i="20"/>
  <c r="G75" i="20"/>
  <c r="F272" i="13"/>
  <c r="D271" i="13"/>
  <c r="D226" i="13" s="1"/>
  <c r="H131" i="13"/>
  <c r="H123" i="13" s="1"/>
  <c r="B123" i="13" l="1"/>
  <c r="C6" i="13"/>
  <c r="C125" i="13"/>
  <c r="C139" i="13"/>
  <c r="C69" i="4"/>
  <c r="C46" i="4"/>
  <c r="C60" i="4"/>
  <c r="S83" i="13"/>
  <c r="S82" i="13" s="1"/>
  <c r="R82" i="13"/>
  <c r="S52" i="4"/>
  <c r="R53" i="4"/>
  <c r="R79" i="4" s="1"/>
  <c r="R54" i="4"/>
  <c r="R80" i="4" s="1"/>
  <c r="S80" i="4" s="1"/>
  <c r="R55" i="4"/>
  <c r="R81" i="4" s="1"/>
  <c r="S81" i="4" s="1"/>
  <c r="R56" i="4"/>
  <c r="R82" i="4" s="1"/>
  <c r="S82" i="4" s="1"/>
  <c r="R57" i="4"/>
  <c r="R83" i="4" s="1"/>
  <c r="S83" i="4" s="1"/>
  <c r="R44" i="4"/>
  <c r="O53" i="4"/>
  <c r="O79" i="4" s="1"/>
  <c r="O54" i="4"/>
  <c r="O80" i="4" s="1"/>
  <c r="O55" i="4"/>
  <c r="O81" i="4" s="1"/>
  <c r="O56" i="4"/>
  <c r="O82" i="4" s="1"/>
  <c r="O57" i="4"/>
  <c r="O83" i="4" s="1"/>
  <c r="O58" i="4"/>
  <c r="O84" i="4" s="1"/>
  <c r="O44" i="4"/>
  <c r="R87" i="20"/>
  <c r="R86" i="20"/>
  <c r="R85" i="20"/>
  <c r="R84" i="20"/>
  <c r="R83" i="20"/>
  <c r="R82" i="20" s="1"/>
  <c r="O88" i="20"/>
  <c r="O87" i="20"/>
  <c r="O86" i="20"/>
  <c r="O85" i="20"/>
  <c r="O84" i="20"/>
  <c r="O83" i="20"/>
  <c r="O82" i="20" s="1"/>
  <c r="L131" i="13"/>
  <c r="R131" i="13"/>
  <c r="O131" i="13"/>
  <c r="O123" i="13" s="1"/>
  <c r="O48" i="23"/>
  <c r="O62" i="23"/>
  <c r="O88" i="23" s="1"/>
  <c r="O61" i="23"/>
  <c r="O87" i="23" s="1"/>
  <c r="O60" i="23"/>
  <c r="O86" i="23" s="1"/>
  <c r="O59" i="23"/>
  <c r="O85" i="23" s="1"/>
  <c r="O58" i="23"/>
  <c r="O84" i="23" s="1"/>
  <c r="O57" i="23"/>
  <c r="O83" i="23" s="1"/>
  <c r="O82" i="23" s="1"/>
  <c r="R48" i="23"/>
  <c r="R61" i="23"/>
  <c r="R87" i="23" s="1"/>
  <c r="R60" i="23"/>
  <c r="R86" i="23" s="1"/>
  <c r="R59" i="23"/>
  <c r="R85" i="23" s="1"/>
  <c r="R58" i="23"/>
  <c r="R84" i="23" s="1"/>
  <c r="R57" i="23"/>
  <c r="R83" i="23" s="1"/>
  <c r="R82" i="23" s="1"/>
  <c r="S56" i="23"/>
  <c r="C73" i="23"/>
  <c r="C50" i="23"/>
  <c r="C64" i="23"/>
  <c r="H50" i="15"/>
  <c r="F42" i="15"/>
  <c r="F6" i="15" s="1"/>
  <c r="C50" i="15"/>
  <c r="C42" i="15" s="1"/>
  <c r="C6" i="15" s="1"/>
  <c r="C272" i="13"/>
  <c r="G79" i="20"/>
  <c r="B271" i="13" l="1"/>
  <c r="C271" i="13"/>
  <c r="C226" i="13" s="1"/>
  <c r="C4" i="13" s="1"/>
  <c r="S79" i="4"/>
  <c r="S78" i="4" s="1"/>
  <c r="R78" i="4"/>
  <c r="S131" i="13"/>
  <c r="L132" i="13"/>
  <c r="L159" i="13" s="1"/>
  <c r="L150" i="13" s="1"/>
  <c r="R132" i="13"/>
  <c r="R133" i="13"/>
  <c r="R134" i="13"/>
  <c r="R135" i="13"/>
  <c r="R136" i="13"/>
  <c r="O132" i="13"/>
  <c r="O151" i="13" s="1"/>
  <c r="O133" i="13"/>
  <c r="O152" i="13" s="1"/>
  <c r="O134" i="13"/>
  <c r="O153" i="13" s="1"/>
  <c r="O135" i="13"/>
  <c r="O154" i="13" s="1"/>
  <c r="O136" i="13"/>
  <c r="O155" i="13" s="1"/>
  <c r="O137" i="13"/>
  <c r="O156" i="13" s="1"/>
  <c r="O78" i="4"/>
  <c r="L50" i="15"/>
  <c r="L42" i="15" s="1"/>
  <c r="O50" i="15"/>
  <c r="R50" i="15"/>
  <c r="C51" i="15"/>
  <c r="O150" i="13" l="1"/>
  <c r="O42" i="15"/>
  <c r="O56" i="15"/>
  <c r="O82" i="15" s="1"/>
  <c r="O55" i="15"/>
  <c r="O81" i="15" s="1"/>
  <c r="O54" i="15"/>
  <c r="O80" i="15" s="1"/>
  <c r="O53" i="15"/>
  <c r="O79" i="15" s="1"/>
  <c r="O52" i="15"/>
  <c r="O78" i="15" s="1"/>
  <c r="O51" i="15"/>
  <c r="O77" i="15" s="1"/>
  <c r="O76" i="15" s="1"/>
  <c r="R42" i="15"/>
  <c r="R55" i="15"/>
  <c r="R81" i="15" s="1"/>
  <c r="R54" i="15"/>
  <c r="R80" i="15" s="1"/>
  <c r="R53" i="15"/>
  <c r="R79" i="15" s="1"/>
  <c r="R52" i="15"/>
  <c r="R78" i="15" s="1"/>
  <c r="R51" i="15"/>
  <c r="R77" i="15" s="1"/>
  <c r="R76" i="15" s="1"/>
  <c r="S50" i="15"/>
  <c r="D202" i="15"/>
  <c r="C58" i="15"/>
  <c r="C44" i="15"/>
  <c r="C67" i="15"/>
  <c r="D211" i="15" l="1"/>
  <c r="F211" i="15" s="1"/>
  <c r="C211" i="15" s="1"/>
  <c r="D200" i="15"/>
  <c r="F218" i="15"/>
  <c r="C218" i="15" s="1"/>
  <c r="C202" i="15" l="1"/>
  <c r="C200" i="15" s="1"/>
  <c r="C4" i="15" s="1"/>
  <c r="F202" i="15"/>
  <c r="H218" i="15"/>
  <c r="L218" i="15" l="1"/>
  <c r="O218" i="15"/>
  <c r="R218" i="15"/>
  <c r="L219" i="15" l="1"/>
  <c r="S218" i="15"/>
  <c r="O223" i="15"/>
  <c r="O222" i="15"/>
  <c r="O221" i="15"/>
  <c r="O220" i="15"/>
  <c r="O219" i="15"/>
  <c r="R224" i="15"/>
  <c r="R223" i="15"/>
  <c r="R222" i="15"/>
  <c r="R221" i="15"/>
  <c r="R220" i="15"/>
  <c r="R219" i="15"/>
  <c r="C26" i="3" l="1"/>
  <c r="D26" i="3" s="1"/>
  <c r="C27" i="3"/>
  <c r="D27" i="3" s="1"/>
  <c r="P26" i="3" l="1"/>
  <c r="N26" i="3"/>
  <c r="L26" i="3"/>
  <c r="G26" i="3"/>
  <c r="J26" i="3"/>
  <c r="K95" i="25" s="1"/>
  <c r="P27" i="3"/>
  <c r="N27" i="3"/>
  <c r="L27" i="3"/>
  <c r="J27" i="3"/>
  <c r="K96" i="25" s="1"/>
  <c r="G27" i="3"/>
  <c r="C20" i="3"/>
  <c r="D20" i="3" s="1"/>
  <c r="G20" i="3" s="1"/>
  <c r="C23" i="3"/>
  <c r="D23" i="3" s="1"/>
  <c r="C24" i="3"/>
  <c r="D24" i="3" s="1"/>
  <c r="C22" i="3"/>
  <c r="D22" i="3" s="1"/>
  <c r="C21" i="3"/>
  <c r="D21" i="3" s="1"/>
  <c r="C25" i="3"/>
  <c r="D25" i="3" s="1"/>
  <c r="K84" i="16"/>
  <c r="L84" i="16" s="1"/>
  <c r="K85" i="16"/>
  <c r="L85" i="16" s="1"/>
  <c r="K95" i="14"/>
  <c r="K98" i="20"/>
  <c r="K98" i="13"/>
  <c r="L98" i="13" s="1"/>
  <c r="K92" i="15"/>
  <c r="L92" i="15" s="1"/>
  <c r="K94" i="4"/>
  <c r="L94" i="4" s="1"/>
  <c r="K98" i="23"/>
  <c r="K97" i="22"/>
  <c r="L97" i="22" s="1"/>
  <c r="K93" i="15"/>
  <c r="L93" i="15" s="1"/>
  <c r="K95" i="4"/>
  <c r="L95" i="4" s="1"/>
  <c r="K96" i="14"/>
  <c r="K99" i="20"/>
  <c r="K99" i="13"/>
  <c r="L99" i="13" s="1"/>
  <c r="K99" i="23"/>
  <c r="K98" i="22"/>
  <c r="L98" i="22" s="1"/>
  <c r="K72" i="8"/>
  <c r="L72" i="8" s="1"/>
  <c r="K73" i="8"/>
  <c r="L73" i="8" s="1"/>
  <c r="P20" i="3" l="1"/>
  <c r="N20" i="3"/>
  <c r="L20" i="3"/>
  <c r="J20" i="3"/>
  <c r="K89" i="25" s="1"/>
  <c r="P23" i="3"/>
  <c r="N23" i="3"/>
  <c r="L23" i="3"/>
  <c r="G23" i="3"/>
  <c r="J23" i="3"/>
  <c r="K92" i="25" s="1"/>
  <c r="P24" i="3"/>
  <c r="N24" i="3"/>
  <c r="L24" i="3"/>
  <c r="G24" i="3"/>
  <c r="J24" i="3"/>
  <c r="K93" i="25" s="1"/>
  <c r="P22" i="3"/>
  <c r="N22" i="3"/>
  <c r="L22" i="3"/>
  <c r="G22" i="3"/>
  <c r="J22" i="3"/>
  <c r="K91" i="25" s="1"/>
  <c r="P21" i="3"/>
  <c r="N21" i="3"/>
  <c r="L21" i="3"/>
  <c r="G21" i="3"/>
  <c r="J21" i="3"/>
  <c r="K90" i="25" s="1"/>
  <c r="P25" i="3"/>
  <c r="N25" i="3"/>
  <c r="L25" i="3"/>
  <c r="G25" i="3"/>
  <c r="J25" i="3"/>
  <c r="K94" i="25" s="1"/>
  <c r="K78" i="16"/>
  <c r="L78" i="16" s="1"/>
  <c r="K81" i="16"/>
  <c r="L81" i="16" s="1"/>
  <c r="K82" i="16"/>
  <c r="L82" i="16" s="1"/>
  <c r="K80" i="16"/>
  <c r="L80" i="16" s="1"/>
  <c r="K79" i="16"/>
  <c r="L79" i="16" s="1"/>
  <c r="K83" i="16"/>
  <c r="L83" i="16" s="1"/>
  <c r="L118" i="13"/>
  <c r="L112" i="15"/>
  <c r="L114" i="4"/>
  <c r="K88" i="4"/>
  <c r="L88" i="4" s="1"/>
  <c r="K86" i="15"/>
  <c r="L86" i="15" s="1"/>
  <c r="K92" i="13"/>
  <c r="L92" i="13" s="1"/>
  <c r="K89" i="14"/>
  <c r="K92" i="20"/>
  <c r="K91" i="22"/>
  <c r="L91" i="22" s="1"/>
  <c r="K92" i="23"/>
  <c r="K95" i="13"/>
  <c r="L95" i="13" s="1"/>
  <c r="L114" i="13" s="1"/>
  <c r="K92" i="14"/>
  <c r="K95" i="20"/>
  <c r="K89" i="15"/>
  <c r="L89" i="15" s="1"/>
  <c r="L110" i="15" s="1"/>
  <c r="K91" i="4"/>
  <c r="L91" i="4" s="1"/>
  <c r="L112" i="4" s="1"/>
  <c r="K95" i="23"/>
  <c r="K94" i="22"/>
  <c r="L94" i="22" s="1"/>
  <c r="K93" i="14"/>
  <c r="K96" i="20"/>
  <c r="K96" i="13"/>
  <c r="L96" i="13" s="1"/>
  <c r="K90" i="15"/>
  <c r="L90" i="15" s="1"/>
  <c r="K92" i="4"/>
  <c r="L92" i="4" s="1"/>
  <c r="K96" i="23"/>
  <c r="K95" i="22"/>
  <c r="L95" i="22" s="1"/>
  <c r="K91" i="14"/>
  <c r="K94" i="20"/>
  <c r="K94" i="13"/>
  <c r="L94" i="13" s="1"/>
  <c r="K88" i="15"/>
  <c r="L88" i="15" s="1"/>
  <c r="K90" i="4"/>
  <c r="L90" i="4" s="1"/>
  <c r="K94" i="23"/>
  <c r="K93" i="22"/>
  <c r="L93" i="22" s="1"/>
  <c r="K93" i="20"/>
  <c r="K90" i="14"/>
  <c r="K93" i="13"/>
  <c r="L93" i="13" s="1"/>
  <c r="K87" i="15"/>
  <c r="L87" i="15" s="1"/>
  <c r="K89" i="4"/>
  <c r="L89" i="4" s="1"/>
  <c r="K93" i="23"/>
  <c r="K92" i="22"/>
  <c r="L92" i="22" s="1"/>
  <c r="K94" i="14"/>
  <c r="K97" i="13"/>
  <c r="L97" i="13" s="1"/>
  <c r="K97" i="20"/>
  <c r="K91" i="15"/>
  <c r="L91" i="15" s="1"/>
  <c r="K93" i="4"/>
  <c r="L93" i="4" s="1"/>
  <c r="K96" i="22"/>
  <c r="L96" i="22" s="1"/>
  <c r="K97" i="23"/>
  <c r="K66" i="8"/>
  <c r="L66" i="8" s="1"/>
  <c r="G19" i="3"/>
  <c r="J19" i="3"/>
  <c r="L19" i="3"/>
  <c r="N19" i="3"/>
  <c r="K69" i="8"/>
  <c r="L69" i="8" s="1"/>
  <c r="L79" i="8" s="1"/>
  <c r="K70" i="8"/>
  <c r="L70" i="8" s="1"/>
  <c r="K68" i="8"/>
  <c r="L68" i="8" s="1"/>
  <c r="K67" i="8"/>
  <c r="L67" i="8" s="1"/>
  <c r="K71" i="8"/>
  <c r="L71" i="8" s="1"/>
  <c r="L80" i="8"/>
  <c r="P19" i="3"/>
  <c r="L113" i="4" l="1"/>
  <c r="L111" i="4" s="1"/>
  <c r="L111" i="15"/>
  <c r="L109" i="15" s="1"/>
  <c r="L115" i="13"/>
  <c r="L113" i="13" s="1"/>
  <c r="D7" i="6"/>
  <c r="D8" i="6"/>
  <c r="D8" i="9"/>
  <c r="D7" i="9"/>
  <c r="D8" i="17"/>
  <c r="D7" i="17"/>
  <c r="D8" i="18"/>
  <c r="D7" i="18"/>
  <c r="D8" i="19"/>
  <c r="D7" i="19"/>
  <c r="L76" i="8"/>
  <c r="E7" i="6" l="1"/>
  <c r="J7" i="6"/>
  <c r="D9" i="6"/>
  <c r="E9" i="6" s="1"/>
  <c r="E8" i="6"/>
  <c r="J8" i="6"/>
  <c r="D9" i="9"/>
  <c r="E9" i="9" s="1"/>
  <c r="G88" i="25" s="1"/>
  <c r="E8" i="9"/>
  <c r="J8" i="9"/>
  <c r="J7" i="9"/>
  <c r="J9" i="9" s="1"/>
  <c r="E7" i="9"/>
  <c r="D9" i="17"/>
  <c r="E9" i="17" s="1"/>
  <c r="J8" i="17"/>
  <c r="E8" i="17"/>
  <c r="J7" i="17"/>
  <c r="J9" i="17" s="1"/>
  <c r="E7" i="17"/>
  <c r="D9" i="18"/>
  <c r="E9" i="18" s="1"/>
  <c r="J8" i="18"/>
  <c r="E8" i="18"/>
  <c r="J7" i="18"/>
  <c r="J9" i="18" s="1"/>
  <c r="E7" i="18"/>
  <c r="D9" i="19"/>
  <c r="E9" i="19" s="1"/>
  <c r="H9" i="19" s="1"/>
  <c r="J8" i="19"/>
  <c r="E8" i="19"/>
  <c r="J7" i="19"/>
  <c r="J9" i="19" s="1"/>
  <c r="E7" i="19"/>
  <c r="L81" i="8"/>
  <c r="L75" i="8"/>
  <c r="F9" i="18"/>
  <c r="G9" i="18"/>
  <c r="G91" i="23"/>
  <c r="G90" i="22"/>
  <c r="H90" i="22" s="1"/>
  <c r="F9" i="17"/>
  <c r="G9" i="17"/>
  <c r="G77" i="16"/>
  <c r="H77" i="16" s="1"/>
  <c r="F9" i="19"/>
  <c r="G9" i="19"/>
  <c r="H9" i="17" l="1"/>
  <c r="H9" i="18"/>
  <c r="M77" i="16"/>
  <c r="P77" i="16"/>
  <c r="O77" i="16"/>
  <c r="R77" i="16"/>
  <c r="I91" i="23"/>
  <c r="I90" i="22"/>
  <c r="L90" i="22" s="1"/>
  <c r="M91" i="23"/>
  <c r="M90" i="22"/>
  <c r="O90" i="22" s="1"/>
  <c r="P91" i="23"/>
  <c r="P90" i="22"/>
  <c r="R90" i="22" s="1"/>
  <c r="O83" i="16"/>
  <c r="O82" i="16"/>
  <c r="O81" i="16"/>
  <c r="O80" i="16"/>
  <c r="O79" i="16"/>
  <c r="O78" i="16"/>
  <c r="R82" i="16"/>
  <c r="R81" i="16"/>
  <c r="R80" i="16"/>
  <c r="R79" i="16"/>
  <c r="R78" i="16"/>
  <c r="G7" i="6"/>
  <c r="F7" i="6"/>
  <c r="H7" i="6"/>
  <c r="G85" i="15"/>
  <c r="H85" i="15" s="1"/>
  <c r="G87" i="4"/>
  <c r="H87" i="4" s="1"/>
  <c r="G65" i="8"/>
  <c r="H65" i="8" s="1"/>
  <c r="H64" i="8" s="1"/>
  <c r="F9" i="6"/>
  <c r="G9" i="6"/>
  <c r="H9" i="6"/>
  <c r="F8" i="6"/>
  <c r="G8" i="6"/>
  <c r="H8" i="6"/>
  <c r="G9" i="9"/>
  <c r="P88" i="25" s="1"/>
  <c r="F9" i="9"/>
  <c r="M88" i="25" s="1"/>
  <c r="G88" i="14"/>
  <c r="G91" i="13"/>
  <c r="H91" i="13" s="1"/>
  <c r="G91" i="20"/>
  <c r="H9" i="9"/>
  <c r="I88" i="25" s="1"/>
  <c r="F8" i="9"/>
  <c r="G8" i="9"/>
  <c r="H8" i="9"/>
  <c r="G7" i="9"/>
  <c r="F7" i="9"/>
  <c r="H7" i="9"/>
  <c r="G8" i="17"/>
  <c r="F8" i="17"/>
  <c r="H8" i="17"/>
  <c r="G7" i="17"/>
  <c r="F7" i="17"/>
  <c r="H7" i="17"/>
  <c r="G8" i="18"/>
  <c r="F8" i="18"/>
  <c r="H8" i="18"/>
  <c r="G7" i="18"/>
  <c r="F7" i="18"/>
  <c r="H7" i="18"/>
  <c r="G8" i="19"/>
  <c r="F8" i="19"/>
  <c r="H8" i="19"/>
  <c r="G7" i="19"/>
  <c r="F7" i="19"/>
  <c r="H7" i="19"/>
  <c r="F88" i="14"/>
  <c r="D87" i="14"/>
  <c r="D6" i="14" s="1"/>
  <c r="J9" i="6"/>
  <c r="D88" i="25" l="1"/>
  <c r="D91" i="20"/>
  <c r="I77" i="16"/>
  <c r="L77" i="16" s="1"/>
  <c r="O96" i="22"/>
  <c r="O95" i="22"/>
  <c r="O94" i="22"/>
  <c r="O93" i="22"/>
  <c r="O92" i="22"/>
  <c r="O91" i="22"/>
  <c r="R95" i="22"/>
  <c r="R94" i="22"/>
  <c r="R93" i="22"/>
  <c r="R92" i="22"/>
  <c r="R91" i="22"/>
  <c r="S90" i="22"/>
  <c r="M85" i="15"/>
  <c r="M87" i="4"/>
  <c r="O87" i="4" s="1"/>
  <c r="P87" i="4"/>
  <c r="R87" i="4" s="1"/>
  <c r="P85" i="15"/>
  <c r="I85" i="15"/>
  <c r="I87" i="4"/>
  <c r="L87" i="4" s="1"/>
  <c r="P88" i="14"/>
  <c r="P91" i="20"/>
  <c r="P91" i="13"/>
  <c r="R91" i="13" s="1"/>
  <c r="M88" i="14"/>
  <c r="M91" i="13"/>
  <c r="O91" i="13" s="1"/>
  <c r="M91" i="20"/>
  <c r="I91" i="13"/>
  <c r="L91" i="13" s="1"/>
  <c r="I91" i="20"/>
  <c r="I88" i="14"/>
  <c r="L97" i="14"/>
  <c r="L117" i="14" s="1"/>
  <c r="L96" i="14"/>
  <c r="L95" i="14"/>
  <c r="L113" i="14" s="1"/>
  <c r="L89" i="14"/>
  <c r="L92" i="14"/>
  <c r="L114" i="14" s="1"/>
  <c r="L93" i="14"/>
  <c r="L91" i="14"/>
  <c r="L90" i="14"/>
  <c r="L94" i="14"/>
  <c r="L85" i="15"/>
  <c r="O85" i="15"/>
  <c r="R85" i="15"/>
  <c r="M65" i="8"/>
  <c r="O65" i="8" s="1"/>
  <c r="P65" i="8"/>
  <c r="R65" i="8" s="1"/>
  <c r="I65" i="8"/>
  <c r="L65" i="8" s="1"/>
  <c r="S65" i="8" s="1"/>
  <c r="C88" i="14"/>
  <c r="C87" i="14" s="1"/>
  <c r="C6" i="14" s="1"/>
  <c r="C4" i="14" s="1"/>
  <c r="F87" i="14"/>
  <c r="H88" i="14"/>
  <c r="G94" i="22"/>
  <c r="G91" i="22"/>
  <c r="G93" i="22"/>
  <c r="G92" i="22"/>
  <c r="F88" i="25" l="1"/>
  <c r="D87" i="25"/>
  <c r="F91" i="20"/>
  <c r="D90" i="20"/>
  <c r="D91" i="23"/>
  <c r="S77" i="16"/>
  <c r="G81" i="16"/>
  <c r="G78" i="16"/>
  <c r="G80" i="16"/>
  <c r="G79" i="16"/>
  <c r="S87" i="4"/>
  <c r="H89" i="4"/>
  <c r="H90" i="4"/>
  <c r="H91" i="4"/>
  <c r="H92" i="4"/>
  <c r="H88" i="4"/>
  <c r="G89" i="15"/>
  <c r="G86" i="15"/>
  <c r="O93" i="4"/>
  <c r="O117" i="4" s="1"/>
  <c r="O92" i="4"/>
  <c r="O116" i="4" s="1"/>
  <c r="O91" i="4"/>
  <c r="O115" i="4" s="1"/>
  <c r="O90" i="4"/>
  <c r="O114" i="4" s="1"/>
  <c r="O89" i="4"/>
  <c r="O113" i="4" s="1"/>
  <c r="O88" i="4"/>
  <c r="R92" i="4"/>
  <c r="R116" i="4" s="1"/>
  <c r="R91" i="4"/>
  <c r="R115" i="4" s="1"/>
  <c r="R90" i="4"/>
  <c r="R114" i="4" s="1"/>
  <c r="R89" i="4"/>
  <c r="R113" i="4" s="1"/>
  <c r="R88" i="4"/>
  <c r="R112" i="4" s="1"/>
  <c r="R111" i="4" s="1"/>
  <c r="R96" i="13"/>
  <c r="R118" i="13" s="1"/>
  <c r="R95" i="13"/>
  <c r="R117" i="13" s="1"/>
  <c r="R94" i="13"/>
  <c r="R116" i="13" s="1"/>
  <c r="R93" i="13"/>
  <c r="R115" i="13" s="1"/>
  <c r="R92" i="13"/>
  <c r="R114" i="13" s="1"/>
  <c r="R113" i="13" s="1"/>
  <c r="R90" i="13"/>
  <c r="O97" i="13"/>
  <c r="O119" i="13" s="1"/>
  <c r="O96" i="13"/>
  <c r="O118" i="13" s="1"/>
  <c r="O95" i="13"/>
  <c r="O117" i="13" s="1"/>
  <c r="O94" i="13"/>
  <c r="O116" i="13" s="1"/>
  <c r="O93" i="13"/>
  <c r="O115" i="13" s="1"/>
  <c r="O92" i="13"/>
  <c r="O114" i="13" s="1"/>
  <c r="O113" i="13" s="1"/>
  <c r="O90" i="13"/>
  <c r="S91" i="13"/>
  <c r="L90" i="13"/>
  <c r="R88" i="14"/>
  <c r="O88" i="14"/>
  <c r="L88" i="14"/>
  <c r="L112" i="14"/>
  <c r="L119" i="14" s="1"/>
  <c r="O91" i="15"/>
  <c r="O115" i="15" s="1"/>
  <c r="O90" i="15"/>
  <c r="O114" i="15" s="1"/>
  <c r="O89" i="15"/>
  <c r="O113" i="15" s="1"/>
  <c r="O88" i="15"/>
  <c r="O112" i="15" s="1"/>
  <c r="O87" i="15"/>
  <c r="O111" i="15" s="1"/>
  <c r="O86" i="15"/>
  <c r="O110" i="15" s="1"/>
  <c r="O109" i="15" s="1"/>
  <c r="R90" i="15"/>
  <c r="R114" i="15" s="1"/>
  <c r="R89" i="15"/>
  <c r="R113" i="15" s="1"/>
  <c r="R88" i="15"/>
  <c r="R112" i="15" s="1"/>
  <c r="R87" i="15"/>
  <c r="R111" i="15" s="1"/>
  <c r="R86" i="15"/>
  <c r="R110" i="15" s="1"/>
  <c r="R109" i="15" s="1"/>
  <c r="S85" i="15"/>
  <c r="F91" i="23"/>
  <c r="D90" i="23"/>
  <c r="O71" i="8"/>
  <c r="O81" i="8" s="1"/>
  <c r="O70" i="8"/>
  <c r="O80" i="8" s="1"/>
  <c r="O69" i="8"/>
  <c r="O79" i="8" s="1"/>
  <c r="O68" i="8"/>
  <c r="O78" i="8" s="1"/>
  <c r="O67" i="8"/>
  <c r="O77" i="8" s="1"/>
  <c r="O66" i="8"/>
  <c r="O75" i="8"/>
  <c r="R75" i="8"/>
  <c r="R66" i="8"/>
  <c r="R76" i="8" s="1"/>
  <c r="R70" i="8"/>
  <c r="R80" i="8" s="1"/>
  <c r="R69" i="8"/>
  <c r="R79" i="8" s="1"/>
  <c r="R68" i="8"/>
  <c r="R78" i="8" s="1"/>
  <c r="R67" i="8"/>
  <c r="R77" i="8" s="1"/>
  <c r="R71" i="8"/>
  <c r="H93" i="4"/>
  <c r="G88" i="15"/>
  <c r="G87" i="15"/>
  <c r="G92" i="13"/>
  <c r="G93" i="13"/>
  <c r="G95" i="13"/>
  <c r="G94" i="13"/>
  <c r="G95" i="22"/>
  <c r="H88" i="25" l="1"/>
  <c r="L94" i="25"/>
  <c r="L90" i="25"/>
  <c r="L91" i="25"/>
  <c r="L93" i="25"/>
  <c r="L92" i="25"/>
  <c r="L89" i="25"/>
  <c r="L96" i="25"/>
  <c r="L95" i="25"/>
  <c r="L97" i="25"/>
  <c r="F87" i="25"/>
  <c r="C88" i="25"/>
  <c r="H91" i="20"/>
  <c r="H90" i="20" s="1"/>
  <c r="C91" i="20"/>
  <c r="C90" i="20" s="1"/>
  <c r="L93" i="20"/>
  <c r="L97" i="20"/>
  <c r="L96" i="20"/>
  <c r="L94" i="20"/>
  <c r="L95" i="20"/>
  <c r="L100" i="20"/>
  <c r="L92" i="20"/>
  <c r="L99" i="20"/>
  <c r="L98" i="20"/>
  <c r="D175" i="20"/>
  <c r="D163" i="20" s="1"/>
  <c r="G82" i="16"/>
  <c r="G90" i="15"/>
  <c r="O112" i="4"/>
  <c r="O111" i="4" s="1"/>
  <c r="O94" i="4"/>
  <c r="R87" i="14"/>
  <c r="R89" i="14"/>
  <c r="R112" i="14" s="1"/>
  <c r="R90" i="14"/>
  <c r="R113" i="14" s="1"/>
  <c r="R91" i="14"/>
  <c r="R114" i="14" s="1"/>
  <c r="R92" i="14"/>
  <c r="R115" i="14" s="1"/>
  <c r="R93" i="14"/>
  <c r="R116" i="14" s="1"/>
  <c r="O87" i="14"/>
  <c r="O89" i="14"/>
  <c r="O112" i="14" s="1"/>
  <c r="O90" i="14"/>
  <c r="O113" i="14" s="1"/>
  <c r="O91" i="14"/>
  <c r="O114" i="14" s="1"/>
  <c r="O92" i="14"/>
  <c r="O115" i="14" s="1"/>
  <c r="O93" i="14"/>
  <c r="O116" i="14" s="1"/>
  <c r="O94" i="14"/>
  <c r="O117" i="14" s="1"/>
  <c r="L87" i="14"/>
  <c r="S88" i="14"/>
  <c r="L92" i="23"/>
  <c r="L93" i="23"/>
  <c r="L94" i="23"/>
  <c r="L95" i="23"/>
  <c r="L96" i="23"/>
  <c r="L97" i="23"/>
  <c r="L98" i="23"/>
  <c r="L99" i="23"/>
  <c r="L100" i="23"/>
  <c r="H91" i="23"/>
  <c r="F90" i="23"/>
  <c r="C91" i="23"/>
  <c r="C90" i="23" s="1"/>
  <c r="C102" i="23" s="1"/>
  <c r="O76" i="8"/>
  <c r="O72" i="8"/>
  <c r="H95" i="14"/>
  <c r="H93" i="14"/>
  <c r="H92" i="14"/>
  <c r="G96" i="13"/>
  <c r="C99" i="14"/>
  <c r="C89" i="14"/>
  <c r="H94" i="14"/>
  <c r="H90" i="14"/>
  <c r="H89" i="14"/>
  <c r="H91" i="14"/>
  <c r="L88" i="25" l="1"/>
  <c r="O88" i="25"/>
  <c r="R88" i="25"/>
  <c r="H91" i="25"/>
  <c r="L114" i="25"/>
  <c r="H89" i="25"/>
  <c r="L112" i="25"/>
  <c r="H90" i="25"/>
  <c r="L113" i="25"/>
  <c r="H94" i="25"/>
  <c r="L117" i="25"/>
  <c r="C87" i="25"/>
  <c r="D172" i="25"/>
  <c r="L91" i="20"/>
  <c r="O91" i="20"/>
  <c r="R91" i="20"/>
  <c r="H92" i="20"/>
  <c r="L114" i="20"/>
  <c r="H95" i="20"/>
  <c r="L120" i="20"/>
  <c r="H93" i="20"/>
  <c r="L115" i="20"/>
  <c r="H94" i="20"/>
  <c r="L118" i="20"/>
  <c r="R118" i="14"/>
  <c r="O118" i="14"/>
  <c r="L91" i="23"/>
  <c r="O91" i="23"/>
  <c r="R91" i="23"/>
  <c r="H96" i="14"/>
  <c r="L87" i="25" l="1"/>
  <c r="S88" i="25"/>
  <c r="H92" i="25"/>
  <c r="H93" i="25"/>
  <c r="H95" i="25"/>
  <c r="O87" i="25"/>
  <c r="O89" i="25"/>
  <c r="O112" i="25" s="1"/>
  <c r="O90" i="25"/>
  <c r="O113" i="25" s="1"/>
  <c r="O91" i="25"/>
  <c r="O114" i="25" s="1"/>
  <c r="O92" i="25"/>
  <c r="O115" i="25" s="1"/>
  <c r="O93" i="25"/>
  <c r="O116" i="25" s="1"/>
  <c r="O94" i="25"/>
  <c r="O117" i="25" s="1"/>
  <c r="R87" i="25"/>
  <c r="R89" i="25"/>
  <c r="R112" i="25" s="1"/>
  <c r="R90" i="25"/>
  <c r="R113" i="25" s="1"/>
  <c r="R91" i="25"/>
  <c r="R114" i="25" s="1"/>
  <c r="R92" i="25"/>
  <c r="R115" i="25" s="1"/>
  <c r="R93" i="25"/>
  <c r="R116" i="25" s="1"/>
  <c r="F172" i="25"/>
  <c r="D160" i="25"/>
  <c r="S91" i="20"/>
  <c r="L90" i="20"/>
  <c r="O97" i="20"/>
  <c r="O119" i="20" s="1"/>
  <c r="O96" i="20"/>
  <c r="O118" i="20" s="1"/>
  <c r="O95" i="20"/>
  <c r="O117" i="20" s="1"/>
  <c r="O94" i="20"/>
  <c r="O116" i="20" s="1"/>
  <c r="O93" i="20"/>
  <c r="O115" i="20" s="1"/>
  <c r="O92" i="20"/>
  <c r="O114" i="20" s="1"/>
  <c r="O113" i="20" s="1"/>
  <c r="O90" i="20"/>
  <c r="R96" i="20"/>
  <c r="R118" i="20" s="1"/>
  <c r="R95" i="20"/>
  <c r="R117" i="20" s="1"/>
  <c r="R94" i="20"/>
  <c r="R116" i="20" s="1"/>
  <c r="R93" i="20"/>
  <c r="R115" i="20" s="1"/>
  <c r="R92" i="20"/>
  <c r="R114" i="20" s="1"/>
  <c r="R113" i="20" s="1"/>
  <c r="R90" i="20"/>
  <c r="D131" i="20"/>
  <c r="H96" i="25"/>
  <c r="L119" i="25"/>
  <c r="H96" i="20"/>
  <c r="L113" i="20"/>
  <c r="C99" i="25"/>
  <c r="C89" i="25"/>
  <c r="O97" i="23"/>
  <c r="O96" i="23"/>
  <c r="O95" i="23"/>
  <c r="O94" i="23"/>
  <c r="O93" i="23"/>
  <c r="O92" i="23"/>
  <c r="R96" i="23"/>
  <c r="R95" i="23"/>
  <c r="R94" i="23"/>
  <c r="R93" i="23"/>
  <c r="R92" i="23"/>
  <c r="S91" i="23"/>
  <c r="G93" i="23"/>
  <c r="G92" i="23"/>
  <c r="G95" i="23"/>
  <c r="G94" i="23"/>
  <c r="C172" i="25" l="1"/>
  <c r="C160" i="25" s="1"/>
  <c r="H172" i="25"/>
  <c r="F160" i="25"/>
  <c r="F131" i="20"/>
  <c r="D123" i="20"/>
  <c r="D6" i="20" s="1"/>
  <c r="O118" i="25"/>
  <c r="R118" i="25"/>
  <c r="F175" i="20"/>
  <c r="G96" i="23"/>
  <c r="L172" i="25" l="1"/>
  <c r="L173" i="25" s="1"/>
  <c r="L196" i="25" s="1"/>
  <c r="O172" i="25"/>
  <c r="R172" i="25"/>
  <c r="R173" i="25" s="1"/>
  <c r="R174" i="25" s="1"/>
  <c r="R175" i="25" s="1"/>
  <c r="R176" i="25" s="1"/>
  <c r="R177" i="25" s="1"/>
  <c r="D130" i="25"/>
  <c r="H131" i="20"/>
  <c r="H123" i="20" s="1"/>
  <c r="C131" i="20"/>
  <c r="C123" i="20" s="1"/>
  <c r="H175" i="20"/>
  <c r="H163" i="20" s="1"/>
  <c r="C175" i="20"/>
  <c r="C163" i="20" s="1"/>
  <c r="D168" i="23"/>
  <c r="C6" i="20" l="1"/>
  <c r="O173" i="25"/>
  <c r="O174" i="25"/>
  <c r="O175" i="25"/>
  <c r="O176" i="25"/>
  <c r="O177" i="25"/>
  <c r="O178" i="25"/>
  <c r="F130" i="25"/>
  <c r="D122" i="25"/>
  <c r="D6" i="25" s="1"/>
  <c r="O131" i="20"/>
  <c r="L131" i="20"/>
  <c r="D122" i="23"/>
  <c r="L175" i="20"/>
  <c r="O175" i="20"/>
  <c r="R175" i="20"/>
  <c r="C183" i="20"/>
  <c r="C165" i="20"/>
  <c r="C176" i="20"/>
  <c r="F168" i="23"/>
  <c r="D156" i="23"/>
  <c r="C130" i="25" l="1"/>
  <c r="F122" i="25"/>
  <c r="O137" i="20"/>
  <c r="O157" i="20" s="1"/>
  <c r="O136" i="20"/>
  <c r="O156" i="20" s="1"/>
  <c r="O135" i="20"/>
  <c r="O155" i="20" s="1"/>
  <c r="O134" i="20"/>
  <c r="O154" i="20" s="1"/>
  <c r="O133" i="20"/>
  <c r="O153" i="20" s="1"/>
  <c r="O132" i="20"/>
  <c r="O152" i="20" s="1"/>
  <c r="O151" i="20" s="1"/>
  <c r="O123" i="20"/>
  <c r="D114" i="23"/>
  <c r="D6" i="23" s="1"/>
  <c r="F122" i="23"/>
  <c r="L163" i="20"/>
  <c r="L176" i="20"/>
  <c r="O181" i="20"/>
  <c r="O198" i="20" s="1"/>
  <c r="O180" i="20"/>
  <c r="O197" i="20" s="1"/>
  <c r="O179" i="20"/>
  <c r="O196" i="20" s="1"/>
  <c r="O178" i="20"/>
  <c r="O195" i="20" s="1"/>
  <c r="O177" i="20"/>
  <c r="O194" i="20" s="1"/>
  <c r="O176" i="20"/>
  <c r="O193" i="20" s="1"/>
  <c r="O163" i="20"/>
  <c r="R180" i="20"/>
  <c r="R197" i="20" s="1"/>
  <c r="R179" i="20"/>
  <c r="R196" i="20" s="1"/>
  <c r="R178" i="20"/>
  <c r="R195" i="20" s="1"/>
  <c r="R177" i="20"/>
  <c r="R194" i="20" s="1"/>
  <c r="R176" i="20"/>
  <c r="R193" i="20" s="1"/>
  <c r="R163" i="20"/>
  <c r="C168" i="23"/>
  <c r="H168" i="23"/>
  <c r="F156" i="23"/>
  <c r="C122" i="25" l="1"/>
  <c r="H122" i="23"/>
  <c r="C122" i="23"/>
  <c r="C114" i="23" s="1"/>
  <c r="C156" i="23"/>
  <c r="C169" i="23"/>
  <c r="R168" i="23"/>
  <c r="L168" i="23"/>
  <c r="D261" i="20"/>
  <c r="D227" i="20" s="1"/>
  <c r="C131" i="25" l="1"/>
  <c r="C6" i="25"/>
  <c r="C138" i="25"/>
  <c r="C124" i="25"/>
  <c r="O122" i="23"/>
  <c r="L122" i="23"/>
  <c r="C134" i="23"/>
  <c r="C116" i="23"/>
  <c r="C146" i="23"/>
  <c r="C123" i="23"/>
  <c r="C177" i="23"/>
  <c r="C158" i="23"/>
  <c r="R169" i="23"/>
  <c r="R170" i="23"/>
  <c r="R171" i="23"/>
  <c r="R172" i="23"/>
  <c r="R173" i="23"/>
  <c r="R174" i="23"/>
  <c r="R156" i="23"/>
  <c r="L169" i="23"/>
  <c r="L156" i="23"/>
  <c r="C262" i="20"/>
  <c r="C261" i="20" s="1"/>
  <c r="C227" i="20" s="1"/>
  <c r="C4" i="20" s="1"/>
  <c r="H262" i="20"/>
  <c r="F261" i="20"/>
  <c r="O128" i="23" l="1"/>
  <c r="O127" i="23"/>
  <c r="O126" i="23"/>
  <c r="O125" i="23"/>
  <c r="O124" i="23"/>
  <c r="O123" i="23"/>
  <c r="B261" i="20"/>
  <c r="R262" i="20"/>
  <c r="O262" i="20"/>
  <c r="L262" i="20"/>
  <c r="R263" i="20" l="1"/>
  <c r="R264" i="20"/>
  <c r="R265" i="20"/>
  <c r="R266" i="20"/>
  <c r="R267" i="20"/>
  <c r="R268" i="20"/>
  <c r="O263" i="20"/>
  <c r="O264" i="20"/>
  <c r="O265" i="20"/>
  <c r="O266" i="20"/>
  <c r="O267" i="20"/>
  <c r="S262" i="20"/>
  <c r="L263" i="20"/>
  <c r="K241" i="22" l="1"/>
  <c r="K245" i="13"/>
  <c r="L257" i="4"/>
  <c r="K257" i="4"/>
  <c r="K251" i="14"/>
  <c r="K245" i="20"/>
  <c r="R257" i="4"/>
  <c r="R258" i="4"/>
  <c r="R259" i="4"/>
  <c r="R260" i="4"/>
  <c r="R261" i="4"/>
  <c r="R262" i="4"/>
  <c r="R263" i="4"/>
  <c r="S257" i="4"/>
  <c r="L245" i="13"/>
  <c r="R245" i="13"/>
  <c r="S245" i="13"/>
  <c r="L246" i="13"/>
  <c r="L247" i="13"/>
  <c r="L248" i="13"/>
  <c r="R246" i="13"/>
  <c r="R247" i="13"/>
  <c r="R248" i="13"/>
  <c r="R249" i="13"/>
  <c r="R250" i="13"/>
  <c r="R251" i="13"/>
  <c r="R245" i="20"/>
  <c r="L245" i="20"/>
  <c r="R246" i="20"/>
  <c r="R247" i="20"/>
  <c r="R248" i="20"/>
  <c r="R249" i="20"/>
  <c r="R250" i="20"/>
  <c r="R251" i="20"/>
  <c r="S245" i="20"/>
  <c r="L246" i="20"/>
  <c r="L247" i="20"/>
  <c r="L248" i="20"/>
  <c r="R252" i="13"/>
  <c r="R252" i="20"/>
  <c r="L258" i="4"/>
  <c r="L260" i="4"/>
  <c r="L259" i="4"/>
  <c r="L261" i="4"/>
  <c r="F258" i="4"/>
  <c r="F259" i="4"/>
  <c r="H251" i="14"/>
  <c r="R251" i="14"/>
  <c r="O251" i="14"/>
  <c r="L251" i="14"/>
  <c r="H241" i="22"/>
  <c r="H91" i="8"/>
  <c r="L91" i="8"/>
  <c r="L92" i="8"/>
  <c r="L94" i="8"/>
  <c r="L93" i="8"/>
  <c r="O91" i="8"/>
  <c r="R91" i="8"/>
  <c r="R252" i="14"/>
  <c r="R253" i="14"/>
  <c r="R254" i="14"/>
  <c r="R255" i="14"/>
  <c r="R256" i="14"/>
  <c r="R257" i="14"/>
  <c r="O252" i="14"/>
  <c r="O253" i="14"/>
  <c r="O254" i="14"/>
  <c r="O255" i="14"/>
  <c r="O256" i="14"/>
  <c r="L254" i="14"/>
  <c r="L253" i="14"/>
  <c r="L252" i="14"/>
  <c r="S251" i="14"/>
  <c r="R241" i="22"/>
  <c r="O241" i="22"/>
  <c r="L241" i="22"/>
  <c r="L95" i="8"/>
  <c r="O93" i="8"/>
  <c r="O94" i="8"/>
  <c r="O95" i="8"/>
  <c r="O96" i="8"/>
  <c r="O92" i="8"/>
  <c r="R93" i="8"/>
  <c r="R94" i="8"/>
  <c r="R95" i="8"/>
  <c r="R96" i="8"/>
  <c r="R97" i="8"/>
  <c r="R92" i="8"/>
  <c r="R242" i="22"/>
  <c r="R243" i="22"/>
  <c r="R244" i="22"/>
  <c r="R245" i="22"/>
  <c r="R246" i="22"/>
  <c r="R247" i="22"/>
  <c r="O242" i="22"/>
  <c r="O243" i="22"/>
  <c r="O244" i="22"/>
  <c r="O245" i="22"/>
  <c r="O246" i="22"/>
  <c r="L244" i="22"/>
  <c r="L243" i="22"/>
  <c r="L242" i="22"/>
  <c r="S241" i="22"/>
  <c r="K264" i="4"/>
  <c r="R264" i="4"/>
  <c r="L264" i="4"/>
  <c r="S264" i="4"/>
  <c r="R265" i="4"/>
  <c r="R266" i="4"/>
  <c r="R267" i="4"/>
  <c r="R268" i="4"/>
  <c r="R269" i="4"/>
  <c r="R270" i="4"/>
  <c r="L265" i="4"/>
  <c r="L267" i="4"/>
  <c r="L266" i="4"/>
  <c r="L268" i="4"/>
  <c r="K233" i="15"/>
  <c r="K284" i="4"/>
  <c r="K254" i="15"/>
  <c r="K272" i="13"/>
  <c r="K261" i="14"/>
  <c r="H261" i="14"/>
  <c r="O261" i="14"/>
  <c r="R261" i="14"/>
  <c r="L261" i="14"/>
  <c r="S261" i="14"/>
  <c r="H284" i="4"/>
  <c r="O262" i="14"/>
  <c r="O263" i="14"/>
  <c r="O264" i="14"/>
  <c r="O265" i="14"/>
  <c r="O266" i="14"/>
  <c r="R262" i="14"/>
  <c r="R263" i="14"/>
  <c r="R264" i="14"/>
  <c r="R265" i="14"/>
  <c r="R266" i="14"/>
  <c r="R267" i="14"/>
  <c r="R254" i="15"/>
  <c r="L254" i="15"/>
  <c r="S254" i="15"/>
  <c r="O284" i="4"/>
  <c r="R284" i="4"/>
  <c r="L284" i="4"/>
  <c r="S284" i="4"/>
  <c r="L233" i="15"/>
  <c r="R233" i="15"/>
  <c r="R255" i="15"/>
  <c r="R256" i="15"/>
  <c r="R257" i="15"/>
  <c r="R258" i="15"/>
  <c r="R259" i="15"/>
  <c r="R260" i="15"/>
  <c r="O285" i="4"/>
  <c r="O286" i="4"/>
  <c r="O287" i="4"/>
  <c r="O288" i="4"/>
  <c r="O289" i="4"/>
  <c r="R285" i="4"/>
  <c r="R286" i="4"/>
  <c r="R287" i="4"/>
  <c r="R288" i="4"/>
  <c r="R289" i="4"/>
  <c r="R290" i="4"/>
  <c r="L236" i="15"/>
  <c r="L235" i="15"/>
  <c r="L234" i="15"/>
  <c r="L237" i="15"/>
  <c r="S233" i="15"/>
  <c r="R239" i="15"/>
  <c r="R238" i="15"/>
  <c r="R237" i="15"/>
  <c r="R236" i="15"/>
  <c r="R235" i="15"/>
  <c r="R234" i="15"/>
  <c r="L257" i="15"/>
  <c r="L256" i="15"/>
  <c r="L255" i="15"/>
  <c r="L262" i="14"/>
  <c r="L285" i="4"/>
  <c r="L263" i="14"/>
  <c r="L264" i="14"/>
  <c r="L287" i="4"/>
  <c r="L286" i="4"/>
  <c r="L288" i="4"/>
  <c r="K121" i="4"/>
  <c r="K119" i="15"/>
  <c r="R121" i="4"/>
  <c r="L121" i="4"/>
  <c r="K101" i="16"/>
  <c r="K123" i="14"/>
  <c r="K124" i="13"/>
  <c r="K124" i="20"/>
  <c r="R119" i="15"/>
  <c r="L119" i="15"/>
  <c r="S119" i="15"/>
  <c r="G121" i="15"/>
  <c r="G123" i="15"/>
  <c r="G122" i="15"/>
  <c r="H123" i="4"/>
  <c r="H125" i="4"/>
  <c r="H124" i="4"/>
  <c r="H122" i="4"/>
  <c r="H126" i="4" s="1"/>
  <c r="G120" i="15"/>
  <c r="G124" i="15"/>
  <c r="R122" i="4"/>
  <c r="R143" i="4" s="1"/>
  <c r="R123" i="4"/>
  <c r="R144" i="4" s="1"/>
  <c r="R124" i="4"/>
  <c r="R125" i="4"/>
  <c r="R146" i="4" s="1"/>
  <c r="R126" i="4"/>
  <c r="R127" i="4"/>
  <c r="S121" i="4"/>
  <c r="R101" i="16"/>
  <c r="L101" i="16"/>
  <c r="L123" i="14"/>
  <c r="H125" i="14" s="1"/>
  <c r="H127" i="14" s="1"/>
  <c r="R123" i="14"/>
  <c r="R124" i="13"/>
  <c r="R123" i="13" s="1"/>
  <c r="L124" i="13"/>
  <c r="L123" i="13" s="1"/>
  <c r="R124" i="20"/>
  <c r="L124" i="20"/>
  <c r="L120" i="4"/>
  <c r="K114" i="22"/>
  <c r="K115" i="23"/>
  <c r="R125" i="15"/>
  <c r="R124" i="15"/>
  <c r="R123" i="15"/>
  <c r="R122" i="15"/>
  <c r="R121" i="15"/>
  <c r="R120" i="15"/>
  <c r="H124" i="14"/>
  <c r="H126" i="14"/>
  <c r="H125" i="20"/>
  <c r="H127" i="20"/>
  <c r="R102" i="16"/>
  <c r="R103" i="16"/>
  <c r="R104" i="16"/>
  <c r="R105" i="16"/>
  <c r="R106" i="16"/>
  <c r="R107" i="16"/>
  <c r="G102" i="16"/>
  <c r="G104" i="16"/>
  <c r="G103" i="16"/>
  <c r="G105" i="16"/>
  <c r="S101" i="16"/>
  <c r="R124" i="14"/>
  <c r="R125" i="14"/>
  <c r="R126" i="14"/>
  <c r="R127" i="14"/>
  <c r="R128" i="14"/>
  <c r="R129" i="14"/>
  <c r="R125" i="13"/>
  <c r="R151" i="13" s="1"/>
  <c r="R126" i="13"/>
  <c r="R152" i="13" s="1"/>
  <c r="R127" i="13"/>
  <c r="R128" i="13"/>
  <c r="R154" i="13" s="1"/>
  <c r="R129" i="13"/>
  <c r="R130" i="13"/>
  <c r="S124" i="13"/>
  <c r="R125" i="20"/>
  <c r="R152" i="20" s="1"/>
  <c r="R126" i="20"/>
  <c r="R153" i="20" s="1"/>
  <c r="R127" i="20"/>
  <c r="R128" i="20"/>
  <c r="R155" i="20" s="1"/>
  <c r="R129" i="20"/>
  <c r="R130" i="20"/>
  <c r="H126" i="20"/>
  <c r="H128" i="20"/>
  <c r="S124" i="20"/>
  <c r="L114" i="22"/>
  <c r="R114" i="22"/>
  <c r="S123" i="14"/>
  <c r="R115" i="23"/>
  <c r="S115" i="23"/>
  <c r="H129" i="20"/>
  <c r="G117" i="23"/>
  <c r="G118" i="23"/>
  <c r="G115" i="22"/>
  <c r="G117" i="22"/>
  <c r="G129" i="13"/>
  <c r="G116" i="22"/>
  <c r="G118" i="22"/>
  <c r="S114" i="22"/>
  <c r="R115" i="22"/>
  <c r="R116" i="22"/>
  <c r="R117" i="22"/>
  <c r="R118" i="22"/>
  <c r="R119" i="22"/>
  <c r="R120" i="22"/>
  <c r="R120" i="4"/>
  <c r="R147" i="4"/>
  <c r="R145" i="4"/>
  <c r="G106" i="16"/>
  <c r="L123" i="20"/>
  <c r="R121" i="23"/>
  <c r="R120" i="23"/>
  <c r="R119" i="23"/>
  <c r="R118" i="23"/>
  <c r="R117" i="23"/>
  <c r="R116" i="23"/>
  <c r="G119" i="22"/>
  <c r="R164" i="14"/>
  <c r="R163" i="14"/>
  <c r="R162" i="14"/>
  <c r="R161" i="14"/>
  <c r="R122" i="14"/>
  <c r="R160" i="14"/>
  <c r="R167" i="14"/>
  <c r="R123" i="20"/>
  <c r="R156" i="20"/>
  <c r="R154" i="20"/>
  <c r="H272" i="13"/>
  <c r="R153" i="13"/>
  <c r="R155" i="13"/>
  <c r="O272" i="13"/>
  <c r="R272" i="13"/>
  <c r="L272" i="13"/>
  <c r="O273" i="13"/>
  <c r="O274" i="13"/>
  <c r="O275" i="13"/>
  <c r="O276" i="13"/>
  <c r="O277" i="13"/>
  <c r="R273" i="13"/>
  <c r="R274" i="13"/>
  <c r="R275" i="13"/>
  <c r="R276" i="13"/>
  <c r="R277" i="13"/>
  <c r="R278" i="13"/>
  <c r="S272" i="13"/>
  <c r="L273" i="13"/>
  <c r="L274" i="13"/>
  <c r="L275" i="13"/>
  <c r="L276" i="13"/>
  <c r="R151" i="20" l="1"/>
  <c r="R142" i="4"/>
  <c r="R150" i="13"/>
  <c r="G119" i="23"/>
  <c r="H128" i="14"/>
  <c r="L236" i="23"/>
  <c r="K236" i="23"/>
  <c r="L238" i="23" l="1"/>
  <c r="L239" i="23"/>
  <c r="L237" i="23"/>
  <c r="L240" i="23" s="1"/>
  <c r="S236" i="23"/>
  <c r="G222" i="23" l="1"/>
  <c r="G227" i="22"/>
  <c r="G192" i="16"/>
  <c r="G235" i="14"/>
  <c r="G211" i="15"/>
  <c r="G238" i="20"/>
  <c r="G238" i="13"/>
  <c r="G234" i="4"/>
  <c r="G98" i="8"/>
  <c r="K227" i="22"/>
  <c r="K192" i="16"/>
  <c r="K235" i="14"/>
  <c r="K211" i="15"/>
  <c r="K238" i="20"/>
  <c r="K238" i="13"/>
  <c r="K234" i="4"/>
  <c r="H235" i="14"/>
  <c r="L235" i="14"/>
  <c r="O235" i="14"/>
  <c r="R235" i="14"/>
  <c r="H98" i="8"/>
  <c r="L239" i="14"/>
  <c r="L238" i="14"/>
  <c r="L237" i="14"/>
  <c r="L236" i="14"/>
  <c r="S235" i="14"/>
  <c r="O240" i="14"/>
  <c r="O239" i="14"/>
  <c r="O238" i="14"/>
  <c r="O237" i="14"/>
  <c r="O236" i="14"/>
  <c r="R241" i="14"/>
  <c r="R240" i="14"/>
  <c r="R239" i="14"/>
  <c r="R238" i="14"/>
  <c r="R237" i="14"/>
  <c r="R236" i="14"/>
  <c r="H238" i="20"/>
  <c r="H238" i="13"/>
  <c r="H192" i="16"/>
  <c r="H211" i="15"/>
  <c r="L98" i="8"/>
  <c r="O98" i="8"/>
  <c r="R98" i="8"/>
  <c r="L238" i="20"/>
  <c r="O238" i="20"/>
  <c r="R238" i="20"/>
  <c r="L238" i="13"/>
  <c r="O238" i="13"/>
  <c r="R238" i="13"/>
  <c r="L192" i="16"/>
  <c r="O192" i="16"/>
  <c r="R192" i="16"/>
  <c r="L211" i="15"/>
  <c r="O211" i="15"/>
  <c r="R211" i="15"/>
  <c r="L100" i="8"/>
  <c r="L101" i="8"/>
  <c r="L102" i="8"/>
  <c r="L99" i="8"/>
  <c r="O100" i="8"/>
  <c r="O101" i="8"/>
  <c r="O102" i="8"/>
  <c r="O103" i="8"/>
  <c r="O99" i="8"/>
  <c r="R100" i="8"/>
  <c r="R101" i="8"/>
  <c r="R102" i="8"/>
  <c r="R103" i="8"/>
  <c r="R104" i="8"/>
  <c r="R99" i="8"/>
  <c r="L240" i="20"/>
  <c r="L241" i="20"/>
  <c r="L242" i="20"/>
  <c r="L239" i="20"/>
  <c r="S238" i="20"/>
  <c r="O243" i="20"/>
  <c r="O242" i="20"/>
  <c r="O241" i="20"/>
  <c r="O240" i="20"/>
  <c r="O239" i="20"/>
  <c r="R244" i="20"/>
  <c r="R243" i="20"/>
  <c r="R242" i="20"/>
  <c r="R241" i="20"/>
  <c r="R240" i="20"/>
  <c r="R239" i="20"/>
  <c r="L240" i="13"/>
  <c r="L241" i="13"/>
  <c r="L242" i="13"/>
  <c r="L239" i="13"/>
  <c r="S238" i="13"/>
  <c r="O243" i="13"/>
  <c r="O242" i="13"/>
  <c r="O241" i="13"/>
  <c r="O240" i="13"/>
  <c r="O239" i="13"/>
  <c r="R244" i="13"/>
  <c r="R243" i="13"/>
  <c r="R242" i="13"/>
  <c r="R241" i="13"/>
  <c r="R240" i="13"/>
  <c r="R239" i="13"/>
  <c r="L196" i="16"/>
  <c r="L195" i="16"/>
  <c r="L194" i="16"/>
  <c r="L193" i="16"/>
  <c r="S192" i="16"/>
  <c r="O197" i="16"/>
  <c r="O196" i="16"/>
  <c r="O195" i="16"/>
  <c r="O194" i="16"/>
  <c r="O193" i="16"/>
  <c r="R198" i="16"/>
  <c r="R197" i="16"/>
  <c r="R196" i="16"/>
  <c r="R195" i="16"/>
  <c r="R194" i="16"/>
  <c r="R193" i="16"/>
  <c r="L215" i="15"/>
  <c r="L214" i="15"/>
  <c r="L213" i="15"/>
  <c r="L212" i="15"/>
  <c r="S211" i="15"/>
  <c r="O216" i="15"/>
  <c r="O215" i="15"/>
  <c r="O214" i="15"/>
  <c r="O213" i="15"/>
  <c r="O212" i="15"/>
  <c r="R217" i="15"/>
  <c r="R216" i="15"/>
  <c r="R215" i="15"/>
  <c r="R214" i="15"/>
  <c r="R213" i="15"/>
  <c r="R212" i="15"/>
  <c r="H227" i="22"/>
  <c r="L227" i="22"/>
  <c r="O227" i="22"/>
  <c r="R227" i="22"/>
  <c r="L231" i="22"/>
  <c r="L230" i="22"/>
  <c r="L229" i="22"/>
  <c r="L228" i="22"/>
  <c r="S227" i="22"/>
  <c r="O232" i="22"/>
  <c r="O231" i="22"/>
  <c r="O230" i="22"/>
  <c r="O229" i="22"/>
  <c r="O228" i="22"/>
  <c r="R233" i="22"/>
  <c r="R232" i="22"/>
  <c r="R231" i="22"/>
  <c r="R230" i="22"/>
  <c r="R229" i="22"/>
  <c r="R228" i="22"/>
  <c r="H83" i="8"/>
  <c r="L83" i="8"/>
  <c r="L109" i="8"/>
  <c r="O83" i="8"/>
  <c r="R83" i="8"/>
  <c r="L106" i="8"/>
  <c r="L111" i="8"/>
  <c r="O107" i="8"/>
  <c r="O108" i="8"/>
  <c r="O109" i="8"/>
  <c r="O110" i="8"/>
  <c r="O106" i="8"/>
  <c r="R107" i="8"/>
  <c r="R108" i="8"/>
  <c r="R109" i="8"/>
  <c r="R110" i="8"/>
  <c r="R111" i="8"/>
  <c r="R106" i="8"/>
  <c r="O105" i="8"/>
  <c r="R105" i="8"/>
  <c r="K222" i="23"/>
  <c r="H222" i="23"/>
  <c r="L222" i="23"/>
  <c r="O222" i="23"/>
  <c r="O223" i="23"/>
  <c r="R222" i="23"/>
  <c r="R223" i="23"/>
  <c r="O224" i="23"/>
  <c r="R224" i="23"/>
  <c r="O225" i="23"/>
  <c r="R225" i="23"/>
  <c r="O226" i="23"/>
  <c r="R226" i="23"/>
  <c r="O227" i="23"/>
  <c r="R227" i="23"/>
  <c r="R228" i="23"/>
  <c r="S222" i="23"/>
  <c r="G240" i="20" l="1"/>
  <c r="G239" i="20"/>
  <c r="S83" i="8"/>
  <c r="B229" i="20"/>
  <c r="B227" i="20"/>
  <c r="R41" i="20"/>
  <c r="L42" i="20"/>
  <c r="O42" i="20"/>
  <c r="R42" i="20"/>
  <c r="L43" i="20"/>
  <c r="O43" i="20"/>
  <c r="R43" i="20"/>
  <c r="L44" i="20"/>
  <c r="O44" i="20"/>
  <c r="L45" i="20"/>
  <c r="O101" i="4"/>
  <c r="R101" i="4"/>
  <c r="O102" i="4"/>
  <c r="R102" i="4"/>
  <c r="O103" i="4"/>
  <c r="O98" i="4"/>
  <c r="R98" i="4"/>
  <c r="O99" i="4"/>
  <c r="R99" i="4"/>
  <c r="O100" i="4"/>
  <c r="R100" i="4"/>
  <c r="O99" i="15"/>
  <c r="R99" i="15"/>
  <c r="O100" i="15"/>
  <c r="R100" i="15"/>
  <c r="O101" i="15"/>
  <c r="O96" i="15"/>
  <c r="R96" i="15"/>
  <c r="O97" i="15"/>
  <c r="R97" i="15"/>
  <c r="O98" i="15"/>
  <c r="R98" i="15"/>
  <c r="L39" i="20"/>
  <c r="O39" i="20"/>
  <c r="R39" i="20"/>
  <c r="L40" i="20"/>
  <c r="L46" i="20"/>
  <c r="O38" i="20"/>
  <c r="R38" i="20"/>
  <c r="O40" i="20"/>
  <c r="R40" i="20"/>
  <c r="L41" i="20"/>
  <c r="O41"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tc={2BDE14E4-3FFB-4CAC-BE3D-F09A1CCBDA86}</author>
    <author>tc={749DF298-3BAE-4218-9F5C-B407E01BD859}</author>
    <author>tc={6BB6D71C-876E-4AC1-B3D4-C8EC4EF7447C}</author>
    <author>tc={0641B48C-1C2E-451D-B038-C8905E93DEBF}</author>
    <author>tc={D2BAAC56-4CC2-48C6-B87A-6E4A714A4DC4}</author>
    <author>tc={2EE79CC8-7DB4-40E7-9C5C-0CF6A83C93D3}</author>
    <author>tc={39C073FB-1DE4-492E-A48A-BFEFDF685185}</author>
    <author>tc={CAA6746D-9F9C-4C7E-A5C7-C3DC2E1772CF}</author>
    <author>tc={63BE232C-8257-40CB-A854-8EEEE5D046C6}</author>
    <author>tc={EFF544C3-280E-463F-872F-2969E46F178B}</author>
    <author>tc={85047F7D-F8D5-471B-A8D3-394D1DA3F27F}</author>
    <author>tc={1F1D4C1E-F310-4986-A721-4E625752DF11}</author>
    <author>tc={4AA83F66-2551-44B1-8A82-8E41A3C66DBD}</author>
    <author>tc={6E9D4E67-23E2-43C2-B3EF-8D64F92CF5BE}</author>
    <author>tc={0EBA3DE9-C51E-4D26-975A-C8966C8DB4DA}</author>
    <author>tc={0E7B8B5E-75D0-4D1B-B201-7FBD183D3816}</author>
    <author>tc={A42FE59B-99E4-4B07-BCEC-FF9F9EEB1295}</author>
    <author>tc={B8E32453-DF1E-4C76-BB44-072E6BCE9A26}</author>
  </authors>
  <commentList>
    <comment ref="J5" authorId="0" shapeId="0" xr:uid="{2BDE14E4-3FFB-4CAC-BE3D-F09A1CCBDA8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 </t>
      </text>
    </comment>
    <comment ref="L5" authorId="1" shapeId="0" xr:uid="{749DF298-3BAE-4218-9F5C-B407E01BD8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N5" authorId="2" shapeId="0" xr:uid="{6BB6D71C-876E-4AC1-B3D4-C8EC4EF744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 probably not rigth</t>
      </text>
    </comment>
    <comment ref="E6" authorId="3" shapeId="0" xr:uid="{0641B48C-1C2E-451D-B038-C8905E93DE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250€/t from farmer to aggregator, the 520 is the price when deliuivered to refinery</t>
      </text>
    </comment>
    <comment ref="J7" authorId="4" shapeId="0" xr:uid="{D2BAAC56-4CC2-48C6-B87A-6E4A714A4D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7" authorId="5" shapeId="0" xr:uid="{2EE79CC8-7DB4-40E7-9C5C-0CF6A83C93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0" authorId="6" shapeId="0" xr:uid="{39C073FB-1DE4-492E-A48A-BFEFDF6851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J11" authorId="7" shapeId="0" xr:uid="{CAA6746D-9F9C-4C7E-A5C7-C3DC2E1772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11" authorId="8" shapeId="0" xr:uid="{63BE232C-8257-40CB-A854-8EEEE5D046C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4" authorId="9" shapeId="0" xr:uid="{EFF544C3-280E-463F-872F-2969E46F17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16" authorId="10" shapeId="0" xr:uid="{85047F7D-F8D5-471B-A8D3-394D1DA3F27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E21" authorId="11" shapeId="0" xr:uid="{1F1D4C1E-F310-4986-A721-4E625752DF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23" authorId="12" shapeId="0" xr:uid="{4AA83F66-2551-44B1-8A82-8E41A3C66D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E31" authorId="13" shapeId="0" xr:uid="{6E9D4E67-23E2-43C2-B3EF-8D64F92CF5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7" authorId="14" shapeId="0" xr:uid="{0EBA3DE9-C51E-4D26-975A-C8966C8DB4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9" authorId="15" shapeId="0" xr:uid="{0E7B8B5E-75D0-4D1B-B201-7FBD183D381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0" authorId="16" shapeId="0" xr:uid="{A42FE59B-99E4-4B07-BCEC-FF9F9EEB12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2" authorId="17" shapeId="0" xr:uid="{B8E32453-DF1E-4C76-BB44-072E6BCE9A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tc={A77A5799-89FE-491F-8766-25D60FD4565B}</author>
    <author>tc={6DAB5E6E-D0B7-43ED-9647-37D38E0A8E78}</author>
    <author>Lucie Catalina Cherpin</author>
    <author>tc={32CBDEC2-176C-4B0F-A623-5BD86D2D25BE}</author>
    <author>tc={62DE1E61-0033-4005-9F9C-E930BE32F7F3}</author>
  </authors>
  <commentList>
    <comment ref="G5" authorId="0" shapeId="0" xr:uid="{A77A5799-89FE-491F-8766-25D60FD456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G11" authorId="1" shapeId="0" xr:uid="{6DAB5E6E-D0B7-43ED-9647-37D38E0A8E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plants using non-standard oils from cover crops or marginal lands require more robust pre-treatment and purification units to handle feedstock variability compared to plants using refined food-grade oils
--&gt; therefore slightly higher share than IVC above</t>
      </text>
    </comment>
    <comment ref="E17" authorId="2" shapeId="0" xr:uid="{53A232C6-8129-4EA6-9ABB-ADA7F6C02076}">
      <text>
        <r>
          <rPr>
            <b/>
            <sz val="9"/>
            <color indexed="81"/>
            <rFont val="Segoe UI"/>
            <charset val="1"/>
          </rPr>
          <t>Lucie Catalina Cherpin:</t>
        </r>
        <r>
          <rPr>
            <sz val="9"/>
            <color indexed="81"/>
            <rFont val="Segoe UI"/>
            <charset val="1"/>
          </rPr>
          <t xml:space="preserve">
Feedstock input [€/t product] - transesterification of UCO and AF</t>
        </r>
      </text>
    </comment>
    <comment ref="K17" authorId="2" shapeId="0" xr:uid="{2F45C780-CB50-4D71-B418-3DC6DB863208}">
      <text>
        <r>
          <rPr>
            <b/>
            <sz val="9"/>
            <color indexed="81"/>
            <rFont val="Segoe UI"/>
            <charset val="1"/>
          </rPr>
          <t>Lucie Catalina Cherpin:</t>
        </r>
        <r>
          <rPr>
            <sz val="9"/>
            <color indexed="81"/>
            <rFont val="Segoe UI"/>
            <charset val="1"/>
          </rPr>
          <t xml:space="preserve">
OPEX input [€/t product] - transesterification of UCO and AF</t>
        </r>
      </text>
    </comment>
    <comment ref="L17" authorId="2" shapeId="0" xr:uid="{6B9857C8-0D48-413B-90B5-D1C8FB2D402D}">
      <text>
        <r>
          <rPr>
            <b/>
            <sz val="9"/>
            <color indexed="81"/>
            <rFont val="Segoe UI"/>
            <charset val="1"/>
          </rPr>
          <t>Lucie Catalina Cherpin:</t>
        </r>
        <r>
          <rPr>
            <sz val="9"/>
            <color indexed="81"/>
            <rFont val="Segoe UI"/>
            <charset val="1"/>
          </rPr>
          <t xml:space="preserve">
CAPEX input [€/t product] - transesterification of UCO and AF</t>
        </r>
      </text>
    </comment>
    <comment ref="D18" authorId="3" shapeId="0" xr:uid="{32CBDEC2-176C-4B0F-A623-5BD86D2D25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G25" authorId="4" shapeId="0" xr:uid="{62DE1E61-0033-4005-9F9C-E930BE32F7F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tc={0E6581DC-125A-4B5D-B1EC-315EC5ED65A4}</author>
    <author>tc={791FF8A9-5C90-4745-991A-C8BB0DD269AA}</author>
    <author>tc={14F10201-8CFB-41D8-A4A3-AFABE0F8583F}</author>
    <author>tc={04B8099F-9F46-4279-A631-A0EE3B9FFE36}</author>
    <author>tc={EDB183A3-BBBD-4B95-AF65-B3F57C1812D1}</author>
  </authors>
  <commentList>
    <comment ref="K41" authorId="0" shapeId="0" xr:uid="{0E6581DC-125A-4B5D-B1EC-315EC5ED65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G84" authorId="1" shapeId="0" xr:uid="{791FF8A9-5C90-4745-991A-C8BB0DD269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N86" authorId="2" shapeId="0" xr:uid="{14F10201-8CFB-41D8-A4A3-AFABE0F858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P97" authorId="3" shapeId="0" xr:uid="{04B8099F-9F46-4279-A631-A0EE3B9FFE3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Because of the feedstock being UCO: CETO report „SMEs also manage the logistics of the decentralised collection and processing of dispersed feedstocks, such as used cooking oil (UCO).“ (p. 52)
Antwort:
    Or p. 7 CETO: „Small and medium-sized enterprises (SMEs) are innovators for Annex IX Part A feedstocks of the RED II and for managing decentralised feedstock collection logistics. „</t>
      </text>
    </comment>
    <comment ref="N99" authorId="4" shapeId="0" xr:uid="{EDB183A3-BBBD-4B95-AF65-B3F57C1812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tc={615B2508-73C0-49D2-B04B-B5B8C1E93B00}</author>
    <author>tc={C67FFAEE-B71C-4525-9BAA-00FF76799D59}</author>
    <author>tc={639AD20E-E983-4316-9ACA-074BEE69CCD9}</author>
    <author>tc={434814F4-DB7F-4BCC-96B8-C2E1AA1C11FA}</author>
    <author>tc={E3A804DE-968D-4E5F-B5B5-A6CCBB403F93}</author>
    <author>tc={7574952B-ECF1-48F0-AD44-54FAC23173B3}</author>
    <author>tc={C568C5AD-1395-40D9-B997-EC3F725614DB}</author>
    <author>tc={2AA4F211-22E1-43B4-8BF5-D4A763DD0995}</author>
    <author>tc={43198721-C0F1-4937-B9B3-5D0897D380C9}</author>
    <author>tc={3D080233-ECE2-48E5-947C-39A5F551D115}</author>
  </authors>
  <commentList>
    <comment ref="B68" authorId="0" shapeId="0" xr:uid="{615B2508-73C0-49D2-B04B-B5B8C1E93B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G226" authorId="1" shapeId="0" xr:uid="{C67FFAEE-B71C-4525-9BAA-00FF76799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7" authorId="2" shapeId="0" xr:uid="{639AD20E-E983-4316-9ACA-074BEE69CC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28" authorId="3" shapeId="0" xr:uid="{434814F4-DB7F-4BCC-96B8-C2E1AA1C11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5" authorId="4" shapeId="0" xr:uid="{E3A804DE-968D-4E5F-B5B5-A6CCBB403F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3" authorId="5" shapeId="0" xr:uid="{7574952B-ECF1-48F0-AD44-54FAC23173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0" authorId="6" shapeId="0" xr:uid="{C568C5AD-1395-40D9-B997-EC3F725614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59" authorId="7" shapeId="0" xr:uid="{2AA4F211-22E1-43B4-8BF5-D4A763DD09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65" authorId="8" shapeId="0" xr:uid="{43198721-C0F1-4937-B9B3-5D0897D380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85" authorId="9" shapeId="0" xr:uid="{3D080233-ECE2-48E5-947C-39A5F551D1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tc={FEB367C1-2641-4F36-9E9D-1C8ED52B3F2C}</author>
    <author>tc={21791D32-E2D6-4A6A-8DC5-24BADA9A0723}</author>
    <author>tc={2127DB78-DF01-45A7-B9B5-7C63AB36B015}</author>
    <author>tc={18F44418-585B-4D59-A9D3-4A6003FE035E}</author>
    <author>tc={0CCD31A9-EB72-46DF-B492-C9E90BCA9B41}</author>
    <author>tc={3DD45E12-CA73-490B-B97B-2DB99D2C2309}</author>
    <author>tc={EA6E58E6-3E93-4AA8-90F7-2611E860ED0A}</author>
    <author>tc={CD945056-963B-4CBB-892F-B9A7847DDFDE}</author>
    <author>tc={47152EBA-AB68-4B91-9FBF-6CC8157C8795}</author>
    <author>tc={7CEF01E4-3DD3-49B8-B576-7AB5DCC62C64}</author>
    <author>tc={49113B1F-545B-4005-BD88-DDA1B4B67027}</author>
    <author>tc={EE5E435E-B0DD-4F27-9EAC-D58AFBF34CAC}</author>
    <author>tc={F614B8A6-96FC-41E5-9D61-C283E539D32C}</author>
  </authors>
  <commentList>
    <comment ref="C6" authorId="0" shapeId="0" xr:uid="{FEB367C1-2641-4F36-9E9D-1C8ED52B3F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Incldues the surpluses form 8a, 8b and 7, 9a (partly used as feedstock for IVC6, 12, and 8b)</t>
      </text>
    </comment>
    <comment ref="D6" authorId="1" shapeId="0" xr:uid="{21791D32-E2D6-4A6A-8DC5-24BADA9A07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Incldues the surpluses form 8a, 8b and 7, 9a (partly used as feedstock for IVC6, 12, and 8b)</t>
      </text>
    </comment>
    <comment ref="B72" authorId="2" shapeId="0" xr:uid="{2127DB78-DF01-45A7-B9B5-7C63AB36B0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92" authorId="3" shapeId="0" xr:uid="{18F44418-585B-4D59-A9D3-4A6003FE03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30" authorId="4" shapeId="0" xr:uid="{0CCD31A9-EB72-46DF-B492-C9E90BCA9B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31" authorId="5" shapeId="0" xr:uid="{3DD45E12-CA73-490B-B97B-2DB99D2C23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2" authorId="6" shapeId="0" xr:uid="{EA6E58E6-3E93-4AA8-90F7-2611E860ED0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39" authorId="7" shapeId="0" xr:uid="{CD945056-963B-4CBB-892F-B9A7847DDFD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9" authorId="8" shapeId="0" xr:uid="{47152EBA-AB68-4B91-9FBF-6CC8157C87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7" authorId="9" shapeId="0" xr:uid="{7CEF01E4-3DD3-49B8-B576-7AB5DCC62C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4" authorId="10" shapeId="0" xr:uid="{49113B1F-545B-4005-BD88-DDA1B4B670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73" authorId="11" shapeId="0" xr:uid="{EE5E435E-B0DD-4F27-9EAC-D58AFBF34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E275" authorId="12" shapeId="0" xr:uid="{F614B8A6-96FC-41E5-9D61-C283E539D3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am making averages for the conversion factor, based on what I knwo form domestic production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tc={47B0E686-8E2D-420B-9125-6A38C109AF84}</author>
    <author>Lucie Catalina Cherpin</author>
    <author>tc={8AD0E3AA-FDBB-4B63-83EB-419CA97A29F2}</author>
    <author>tc={4939E957-CC9C-47BB-80D7-6B4E49E03ACC}</author>
    <author>tc={AD5EE79F-7363-4994-AE8C-280FCA669394}</author>
    <author>tc={DEFBC9A1-0EC8-4E5A-938B-7BE93708B863}</author>
    <author>tc={35290D83-15FE-48A8-8B81-97B23D28E911}</author>
    <author>tc={B3B8BCFF-5A31-4B7D-ABFC-C8ABA2CDA76B}</author>
    <author>tc={86F36409-51CA-45E4-B2ED-85618D4EEC7D}</author>
    <author>tc={C9199DE8-8969-4E74-B5AC-FF40F118A782}</author>
  </authors>
  <commentList>
    <comment ref="D9" authorId="0" shapeId="0" xr:uid="{47B0E686-8E2D-420B-9125-6A38C109AF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182" authorId="1" shapeId="0" xr:uid="{24B7BDAA-8DDD-4E83-9E50-12E8FB497EDF}">
      <text>
        <r>
          <rPr>
            <b/>
            <sz val="9"/>
            <color indexed="81"/>
            <rFont val="Segoe UI"/>
            <family val="2"/>
          </rPr>
          <t>Lucie Catalina Cherpin:</t>
        </r>
        <r>
          <rPr>
            <sz val="9"/>
            <color indexed="81"/>
            <rFont val="Segoe UI"/>
            <family val="2"/>
          </rPr>
          <t xml:space="preserve">
Source: 2035 costs Sc 1 | Ref: B149 | Notes: Marktpreis IVC 13b (maritime) an 2035 Sc 1 angepasst; Produktionskosten und übrige Verknüpfungen unverändert.</t>
        </r>
      </text>
    </comment>
    <comment ref="G230" authorId="2" shapeId="0" xr:uid="{8AD0E3AA-FDBB-4B63-83EB-419CA97A29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31" authorId="3" shapeId="0" xr:uid="{4939E957-CC9C-47BB-80D7-6B4E49E03A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2" authorId="4" shapeId="0" xr:uid="{AD5EE79F-7363-4994-AE8C-280FCA6693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39" authorId="5" shapeId="0" xr:uid="{DEFBC9A1-0EC8-4E5A-938B-7BE93708B86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9" authorId="6" shapeId="0" xr:uid="{35290D83-15FE-48A8-8B81-97B23D28E9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7" authorId="7" shapeId="0" xr:uid="{B3B8BCFF-5A31-4B7D-ABFC-C8ABA2CDA7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4" authorId="8" shapeId="0" xr:uid="{86F36409-51CA-45E4-B2ED-85618D4EEC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D262" authorId="9" shapeId="0" xr:uid="{C9199DE8-8969-4E74-B5AC-FF40F118A7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 limit advanced biofuel consumption to 18,4 target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tc={098CFD09-AA28-4D55-A0DA-993DD6BC1FB3}</author>
    <author>tc={37D92A2E-7963-41CB-B1BB-353A58920241}</author>
    <author>tc={131713EB-C766-423B-8B7A-20B5184EFDD2}</author>
    <author>tc={F2302E30-98A9-418C-9E98-59A76A17F3B8}</author>
    <author>tc={240DC0F3-D805-4BA3-9F66-49A4D93AD340}</author>
    <author>tc={F2652C68-4A32-4F60-BA00-6480064B88B7}</author>
    <author>tc={22D1EB81-D3D4-44F4-B990-0ACF78EACF1D}</author>
    <author>tc={BA1D06DB-2DD3-4CB6-9D9C-FF45F867FA19}</author>
  </authors>
  <commentList>
    <comment ref="G5" authorId="0" shapeId="0" xr:uid="{098CFD09-AA28-4D55-A0DA-993DD6BC1F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J5" authorId="1" shapeId="0" xr:uid="{37D92A2E-7963-41CB-B1BB-353A589202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G8" authorId="2" shapeId="0" xr:uid="{131713EB-C766-423B-8B7A-20B5184EFD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here: to exclude tall oil from price determination, I approximated to 20% oil crops abandoned and 80% FPBO</t>
      </text>
    </comment>
    <comment ref="C28" authorId="3" shapeId="0" xr:uid="{F2302E30-98A9-418C-9E98-59A76A17F3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just picked any number for now, but value is still missing</t>
      </text>
    </comment>
    <comment ref="C39" authorId="4" shapeId="0" xr:uid="{240DC0F3-D805-4BA3-9F66-49A4D93AD34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t>
      </text>
    </comment>
    <comment ref="P42" authorId="5" shapeId="0" xr:uid="{F2652C68-4A32-4F60-BA00-6480064B88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P43" authorId="6" shapeId="0" xr:uid="{22D1EB81-D3D4-44F4-B990-0ACF78EACF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67" authorId="7" shapeId="0" xr:uid="{BA1D06DB-2DD3-4CB6-9D9C-FF45F867FA1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tc={BA5CFD50-A063-4F47-A583-84806370223C}</author>
    <author>tc={CB48DB25-90EE-4C55-865B-376DD8B48D3C}</author>
    <author>tc={BEF3AECA-2AC5-409E-B977-8BE8C02DFDF8}</author>
    <author>tc={D95B37BE-F6CD-4A0A-AF40-E3337296E39B}</author>
    <author>tc={F49F948D-1D2F-4352-B901-7FDE6DF6EA62}</author>
    <author>tc={B5C3B8BC-DFDC-4AB8-9F8B-86DAC7DCB8D3}</author>
    <author>tc={C1B8A317-5A5F-4C5C-8A91-092D5976EA2C}</author>
    <author>tc={C1718D6B-063A-47DA-9478-1B1CC2FB5CA8}</author>
  </authors>
  <commentList>
    <comment ref="B66" authorId="0" shapeId="0" xr:uid="{BA5CFD50-A063-4F47-A583-8480637022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6" authorId="1" shapeId="0" xr:uid="{CB48DB25-90EE-4C55-865B-376DD8B48D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03" authorId="2" shapeId="0" xr:uid="{BEF3AECA-2AC5-409E-B977-8BE8C02DFD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04" authorId="3" shapeId="0" xr:uid="{D95B37BE-F6CD-4A0A-AF40-E3337296E3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05" authorId="4" shapeId="0" xr:uid="{F49F948D-1D2F-4352-B901-7FDE6DF6E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12" authorId="5" shapeId="0" xr:uid="{B5C3B8BC-DFDC-4AB8-9F8B-86DAC7DCB8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27" authorId="6" shapeId="0" xr:uid="{C1B8A317-5A5F-4C5C-8A91-092D5976EA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34" authorId="7" shapeId="0" xr:uid="{C1718D6B-063A-47DA-9478-1B1CC2FB5C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tc={F7A678F1-2B55-48E1-A9B0-2B40C4617D06}</author>
    <author>tc={6A0D7073-00FB-4531-8AC2-053A427F8312}</author>
    <author>tc={4431C100-1E29-43CB-879C-EDF60CAF3108}</author>
    <author>tc={E2113A07-9C54-4E91-832F-96BDB51C2867}</author>
    <author>tc={3CF01E95-DD57-4CC1-A05A-3E923E0E39B0}</author>
    <author>tc={3DEE084E-263F-4B5C-B7E0-C75C213ED08D}</author>
    <author>tc={031B011B-16CA-4414-BCDE-5FA2DA7AF5E0}</author>
  </authors>
  <commentList>
    <comment ref="B69" authorId="0" shapeId="0" xr:uid="{F7A678F1-2B55-48E1-A9B0-2B40C4617D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9" authorId="1" shapeId="0" xr:uid="{6A0D7073-00FB-4531-8AC2-053A427F831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2" shapeId="0" xr:uid="{4431C100-1E29-43CB-879C-EDF60CAF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28" authorId="3" shapeId="0" xr:uid="{E2113A07-9C54-4E91-832F-96BDB51C286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9" authorId="4" shapeId="0" xr:uid="{3CF01E95-DD57-4CC1-A05A-3E923E0E39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0" authorId="5" shapeId="0" xr:uid="{3DEE084E-263F-4B5C-B7E0-C75C213ED0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6" authorId="6" shapeId="0" xr:uid="{031B011B-16CA-4414-BCDE-5FA2DA7AF5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tc={0579AB59-075D-4340-AF32-C19E2DD0812C}</author>
    <author>tc={F2712B9B-A4B8-4556-9666-3C782CF0C694}</author>
    <author>Lucie Catalina Cherpin</author>
    <author>tc={DB1A1A1C-298B-4804-9F37-52B8A1C8504B}</author>
    <author>tc={81AC7292-3445-4553-91A8-5C9859E613A3}</author>
    <author>tc={6C1B567A-21D8-4481-8492-0F5972F12028}</author>
    <author>tc={091E95A8-2AC9-4948-93D3-DD58FA1073C0}</author>
  </authors>
  <commentList>
    <comment ref="B69" authorId="0" shapeId="0" xr:uid="{0579AB59-075D-4340-AF32-C19E2DD081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9" authorId="1" shapeId="0" xr:uid="{F2712B9B-A4B8-4556-9666-3C782CF0C6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219" authorId="2" shapeId="0" xr:uid="{A2F83E9C-8BB3-4F63-9A99-78B1E59A8827}">
      <text>
        <r>
          <rPr>
            <b/>
            <sz val="9"/>
            <color indexed="81"/>
            <rFont val="Segoe UI"/>
            <family val="2"/>
          </rPr>
          <t>Lucie Catalina Cherpin:</t>
        </r>
        <r>
          <rPr>
            <sz val="9"/>
            <color indexed="81"/>
            <rFont val="Segoe UI"/>
            <family val="2"/>
          </rPr>
          <t xml:space="preserve">
Aligned to the same conventional biodiesel IVC market price used in the other scenario sheets.</t>
        </r>
      </text>
    </comment>
    <comment ref="G219" authorId="3" shapeId="0" xr:uid="{DB1A1A1C-298B-4804-9F37-52B8A1C850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0" authorId="4" shapeId="0" xr:uid="{81AC7292-3445-4553-91A8-5C9859E613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21" authorId="5" shapeId="0" xr:uid="{6C1B567A-21D8-4481-8492-0F5972F1202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B226" authorId="2" shapeId="0" xr:uid="{43385278-6B8E-4835-BC44-5C001F34EE05}">
      <text>
        <r>
          <rPr>
            <b/>
            <sz val="9"/>
            <color indexed="81"/>
            <rFont val="Segoe UI"/>
            <family val="2"/>
          </rPr>
          <t>Lucie Catalina Cherpin:</t>
        </r>
        <r>
          <rPr>
            <sz val="9"/>
            <color indexed="81"/>
            <rFont val="Segoe UI"/>
            <family val="2"/>
          </rPr>
          <t xml:space="preserve">
Aligned to the same conventional biodiesel IVC market price used in the other scenario sheets.</t>
        </r>
      </text>
    </comment>
    <comment ref="N227" authorId="6" shapeId="0" xr:uid="{091E95A8-2AC9-4948-93D3-DD58FA1073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tc={46D3CB7A-96A0-41F9-B7C0-7C2B49760ADC}</author>
    <author>tc={FE7C5259-A15B-402C-B0C6-DC19A4979F7A}</author>
    <author>tc={644132A5-4C3F-42E8-A687-B1FE6F352323}</author>
    <author>tc={9B825A42-A09B-4DC3-9E3C-89F2308B74B1}</author>
    <author>tc={55CBB37B-B89E-4EA5-9E36-AF8C7B03B320}</author>
    <author>tc={7C946C12-7A5B-4237-A178-222C1081E768}</author>
  </authors>
  <commentList>
    <comment ref="A78" authorId="0" shapeId="0" xr:uid="{46D3CB7A-96A0-41F9-B7C0-7C2B49760A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184" authorId="1" shapeId="0" xr:uid="{FE7C5259-A15B-402C-B0C6-DC19A4979F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185" authorId="2" shapeId="0" xr:uid="{644132A5-4C3F-42E8-A687-B1FE6F3523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186" authorId="3" shapeId="0" xr:uid="{9B825A42-A09B-4DC3-9E3C-89F2308B74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193" authorId="4" shapeId="0" xr:uid="{55CBB37B-B89E-4EA5-9E36-AF8C7B03B3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19" authorId="5" shapeId="0" xr:uid="{7C946C12-7A5B-4237-A178-222C1081E76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tc={3E15BB33-EB32-41AE-83B2-1F4203AC79D6}</author>
    <author>tc={007D8C6D-F010-4A7D-9A69-33D7A3C03209}</author>
    <author>tc={1662FA08-893D-4718-AE5D-FF69AC937266}</author>
    <author>tc={EEA20C4B-CB19-4EA3-832D-E37955958BBA}</author>
    <author>tc={247AA8D4-3A1E-44A1-95D5-87B71808C122}</author>
    <author>tc={50BCA87F-3B63-464A-A38E-DB6D60C0DF1E}</author>
  </authors>
  <commentList>
    <comment ref="A91" authorId="0" shapeId="0" xr:uid="{3E15BB33-EB32-41AE-83B2-1F4203AC79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19" authorId="1" shapeId="0" xr:uid="{007D8C6D-F010-4A7D-9A69-33D7A3C032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0" authorId="2" shapeId="0" xr:uid="{1662FA08-893D-4718-AE5D-FF69AC937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21" authorId="3" shapeId="0" xr:uid="{EEA20C4B-CB19-4EA3-832D-E37955958BB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28" authorId="4" shapeId="0" xr:uid="{247AA8D4-3A1E-44A1-95D5-87B71808C1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61" authorId="5" shapeId="0" xr:uid="{50BCA87F-3B63-464A-A38E-DB6D60C0DF1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Lucie Catalina Cherpin</author>
    <author>tc={4E791FA2-AA05-475A-8A64-4A58B5FC6642}</author>
    <author>tc={0FAD2E99-70A7-4130-BF22-BD6D03CA7CD0}</author>
    <author>tc={D9DE8452-14AB-4455-8429-8E3804B5A014}</author>
    <author>tc={FC0A1C31-412B-4E31-B10E-07C35EC32800}</author>
    <author>tc={6623277C-83DF-454E-A007-C15F5A288E9F}</author>
    <author>tc={BB0022C1-551A-4920-BB27-C9BDDD728A46}</author>
    <author>tc={E72DB189-9F13-437C-8535-20C3C9352B78}</author>
    <author>tc={8490C915-B743-4BE1-973E-B81BDFA4C0D7}</author>
  </authors>
  <commentList>
    <comment ref="D187" authorId="0" shapeId="0" xr:uid="{E0B09A75-199B-45F3-8FA4-D1E81B3D7C82}">
      <text>
        <r>
          <rPr>
            <b/>
            <sz val="9"/>
            <color indexed="81"/>
            <rFont val="Segoe UI"/>
            <family val="2"/>
          </rPr>
          <t>Lucie Catalina Cherpin:</t>
        </r>
        <r>
          <rPr>
            <sz val="9"/>
            <color indexed="81"/>
            <rFont val="Segoe UI"/>
            <family val="2"/>
          </rPr>
          <t xml:space="preserve">
Input: Produktionsmenge für IVC 8c im 2040 Scenario 3. Alle Kosten- und Summenformeln aktualisieren sich automatisch.</t>
        </r>
      </text>
    </comment>
    <comment ref="D194" authorId="0" shapeId="0" xr:uid="{FD7E3821-3373-45CC-9FCD-B3643C4C835A}">
      <text>
        <r>
          <rPr>
            <b/>
            <sz val="9"/>
            <color indexed="81"/>
            <rFont val="Segoe UI"/>
            <family val="2"/>
          </rPr>
          <t>Lucie Catalina Cherpin:</t>
        </r>
        <r>
          <rPr>
            <sz val="9"/>
            <color indexed="81"/>
            <rFont val="Segoe UI"/>
            <family val="2"/>
          </rPr>
          <t xml:space="preserve">
Input: Produktionsmenge für IVC 9b im 2040 Scenario 3. Alle Kosten- und Summenformeln aktualisieren sich automatisch.</t>
        </r>
      </text>
    </comment>
    <comment ref="D214" authorId="1" shapeId="0" xr:uid="{4E791FA2-AA05-475A-8A64-4A58B5FC664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availabilities from S2
</t>
      </text>
    </comment>
    <comment ref="G214" authorId="2" shapeId="0" xr:uid="{0FAD2E99-70A7-4130-BF22-BD6D03CA7C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15" authorId="3" shapeId="0" xr:uid="{D9DE8452-14AB-4455-8429-8E3804B5A01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16" authorId="4" shapeId="0" xr:uid="{FC0A1C31-412B-4E31-B10E-07C35EC328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23" authorId="5" shapeId="0" xr:uid="{6623277C-83DF-454E-A007-C15F5A288E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30" authorId="6" shapeId="0" xr:uid="{BB0022C1-551A-4920-BB27-C9BDDD728A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38" authorId="7" shapeId="0" xr:uid="{E72DB189-9F13-437C-8535-20C3C9352B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46" authorId="8" shapeId="0" xr:uid="{8490C915-B743-4BE1-973E-B81BDFA4C0D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tc={94A3501F-B153-4C95-ACE4-2891DBAE222D}</author>
  </authors>
  <commentList>
    <comment ref="I1" authorId="0" shapeId="0" xr:uid="{94A3501F-B153-4C95-ACE4-2891DBAE222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tc={261700E8-1133-4883-A1CC-1B8EC3BC50D2}</author>
  </authors>
  <commentList>
    <comment ref="I1" authorId="0" shapeId="0" xr:uid="{261700E8-1133-4883-A1CC-1B8EC3BC50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tc={5DAAA79C-A9C3-4CE6-8EAE-6F702CBCE1BD}</author>
    <author>tc={077E58AE-9EBD-4337-89EC-EE582F91C73B}</author>
  </authors>
  <commentList>
    <comment ref="E1" authorId="0" shapeId="0" xr:uid="{5DAAA79C-A9C3-4CE6-8EAE-6F702CBCE1B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considering the selling of co-products
</t>
      </text>
    </comment>
    <comment ref="I1" authorId="1" shapeId="0" xr:uid="{077E58AE-9EBD-4337-89EC-EE582F91C7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tc={D2893936-2C35-4D69-932F-08605DA8AF4D}</author>
  </authors>
  <commentList>
    <comment ref="I1" authorId="0" shapeId="0" xr:uid="{D2893936-2C35-4D69-932F-08605DA8A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tc={C33FB081-41AD-490E-8487-CE17E9A595A6}</author>
  </authors>
  <commentList>
    <comment ref="I1" authorId="0" shapeId="0" xr:uid="{C33FB081-41AD-490E-8487-CE17E9A595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tc={21777A9E-C4D6-4BCE-BFF2-14BA76F7B0A1}</author>
    <author>tc={3F6780FE-8283-4321-B855-6B77DB777DF5}</author>
    <author>tc={F2DAB838-1E58-4473-9EFE-8779F98D24C5}</author>
  </authors>
  <commentList>
    <comment ref="F4" authorId="0" shapeId="0" xr:uid="{21777A9E-C4D6-4BCE-BFF2-14BA76F7B0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 ref="H16" authorId="1" shapeId="0" xr:uid="{3F6780FE-8283-4321-B855-6B77DB777DF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F23" authorId="2" shapeId="0" xr:uid="{F2DAB838-1E58-4473-9EFE-8779F98D24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tc={709ABB52-4FDF-4900-AB8C-356FC45B5524}</author>
    <author>tc={CBD50B0B-E4AF-4A07-B3DC-4DDD7CC8BF01}</author>
    <author>tc={16E3288C-F0E7-4D2D-996C-2D5FCEA16577}</author>
    <author>tc={C458FFF9-54D8-4E68-9FAF-07FAB4E553D0}</author>
    <author>tc={9C551C7F-D85A-41A2-9AEE-19E98504B18C}</author>
    <author>tc={39C4A11F-E8DF-4DDC-89FF-1E2209BDFA9F}</author>
  </authors>
  <commentList>
    <comment ref="E2" authorId="0" shapeId="0" xr:uid="{709ABB52-4FDF-4900-AB8C-356FC45B55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Note: In Annex 4 of Study 2: 20 years lifetime; but from that I deducted the  construction and ramp-up time (usually 4 years together)</t>
      </text>
    </comment>
    <comment ref="F2" authorId="1" shapeId="0" xr:uid="{CBD50B0B-E4AF-4A07-B3DC-4DDD7CC8BF0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of Study 2
</t>
      </text>
    </comment>
    <comment ref="E3" authorId="2" shapeId="0" xr:uid="{16E3288C-F0E7-4D2D-996C-2D5FCEA1657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Annex 4, p. 23</t>
      </text>
    </comment>
    <comment ref="D8" authorId="3" shapeId="0" xr:uid="{C458FFF9-54D8-4E68-9FAF-07FAB4E553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 are two different IVCs for 6, took the middle of both</t>
      </text>
    </comment>
    <comment ref="A9" authorId="4" shapeId="0" xr:uid="{9C551C7F-D85A-41A2-9AEE-19E98504B18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Municipal solid waste</t>
      </text>
    </comment>
    <comment ref="A10" authorId="5" shapeId="0" xr:uid="{39C4A11F-E8DF-4DDC-89FF-1E2209BDFA9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Manure, agro-residues,sequential crops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<sst xmlns="http://schemas.openxmlformats.org/spreadsheetml/2006/main" count="7283" uniqueCount="433">
  <si>
    <t>IVC 1</t>
  </si>
  <si>
    <t>Oil crops abandoned, degraded, intercropping</t>
  </si>
  <si>
    <t>Source</t>
  </si>
  <si>
    <t>IVC13a</t>
  </si>
  <si>
    <t>Straw</t>
  </si>
  <si>
    <t>Prunings &amp; damaged crops</t>
  </si>
  <si>
    <t>Agroprocessing residues - maize cobs</t>
  </si>
  <si>
    <t>Lignocrops abandoned degraded</t>
  </si>
  <si>
    <t>Lignocrops inter &amp; cover cropping</t>
  </si>
  <si>
    <t>Primary forestry residues</t>
  </si>
  <si>
    <t>Secondary forest residues</t>
  </si>
  <si>
    <t>Biowastes - Post consumer wood</t>
  </si>
  <si>
    <t>Study 2, p. 124</t>
  </si>
  <si>
    <t>Price estimate [€/t]</t>
  </si>
  <si>
    <t>520 €/t</t>
  </si>
  <si>
    <t>IVC 5</t>
  </si>
  <si>
    <t>Intermediate Bioenergy carrier (ethanol, methanol)</t>
  </si>
  <si>
    <t>IVC 6</t>
  </si>
  <si>
    <t xml:space="preserve">IVC 7 </t>
  </si>
  <si>
    <t>Prunings &amp; damaged crops (olive stones excluded)</t>
  </si>
  <si>
    <t>Agroprocessing residues</t>
  </si>
  <si>
    <t xml:space="preserve">Manure </t>
  </si>
  <si>
    <t>Sewage sludge</t>
  </si>
  <si>
    <t>Biowastes (post consumer woods excluded)</t>
  </si>
  <si>
    <t>Intermediate Bioenergy carrier (crude glycerine)</t>
  </si>
  <si>
    <t>Intermediate Bioenergy carrier (FPBO with lower quality)</t>
  </si>
  <si>
    <t>IVC 8a</t>
  </si>
  <si>
    <t>IVC 8b</t>
  </si>
  <si>
    <t>Intermediate Bioenergy carrier (biomethane)</t>
  </si>
  <si>
    <t>IVC 8c</t>
  </si>
  <si>
    <t>e-biofuel feedstocks (biogenic CO2 and hydrogen from electrolysis)</t>
  </si>
  <si>
    <t xml:space="preserve">IVC 9a </t>
  </si>
  <si>
    <t>Intermediate Bioenergy carriers (FPBO with lower quality )</t>
  </si>
  <si>
    <t>IVC 9b</t>
  </si>
  <si>
    <t>IVC 11a</t>
  </si>
  <si>
    <t>IVC 12</t>
  </si>
  <si>
    <t>Intermediate Bioenergy carriers (Syngas)</t>
  </si>
  <si>
    <t>Study 2, p. 97</t>
  </si>
  <si>
    <t>Study 2, p. 111</t>
  </si>
  <si>
    <t>Study 2, p. 193</t>
  </si>
  <si>
    <t>Eurostat sector</t>
  </si>
  <si>
    <t>A01: Products of agriculture, hunting and related services</t>
  </si>
  <si>
    <t>C20: Chemicals and chemical products</t>
  </si>
  <si>
    <t>A02: Products of forestry, logging and related services (en)</t>
  </si>
  <si>
    <t>E WATER SUPPLY; SEWERAGE, WASTE MANAGEMENT AND REMEDIATION SERVICES (en)</t>
  </si>
  <si>
    <t>E: WATER SUPPLY; SEWERAGE, WASTE MANAGEMENT AND REMEDIATION SERVICES (en); E37: Sewage services, sewage sludge</t>
  </si>
  <si>
    <t>A01: Products of agriculture, hunting and related services; A01.4: Live animals and animal products</t>
  </si>
  <si>
    <t>A01: Products of agriculture, hunting and related services (en); A01.1: non-perennial crops</t>
  </si>
  <si>
    <t>CPA_C10-12 (Food, beverages and tobacco products)</t>
  </si>
  <si>
    <t xml:space="preserve">CETO 2026, p. 29 </t>
  </si>
  <si>
    <t>share CAPEX</t>
  </si>
  <si>
    <t>share OPEX</t>
  </si>
  <si>
    <t>share feedstock costs</t>
  </si>
  <si>
    <t>OPEX [€/t]</t>
  </si>
  <si>
    <t>OVERALL costs</t>
  </si>
  <si>
    <t>CAPEX [€/t]</t>
  </si>
  <si>
    <t>IVC 2 - HVO</t>
  </si>
  <si>
    <t>IVC 2 - HEFA</t>
  </si>
  <si>
    <t>IVC 7</t>
  </si>
  <si>
    <t>IVC 9a</t>
  </si>
  <si>
    <t>IVC 13a</t>
  </si>
  <si>
    <t>IVC 13b</t>
  </si>
  <si>
    <t>IVC 1 FAME</t>
  </si>
  <si>
    <t>IVC 2 HVO</t>
  </si>
  <si>
    <t>Intermediate Bioenergy carriers (biocrude, FPBO)</t>
  </si>
  <si>
    <t>Converison factor [t product/ t feedstock]</t>
  </si>
  <si>
    <t>Oil crops abandoned</t>
  </si>
  <si>
    <t xml:space="preserve">Share distribution of feedstocks within IVC  2030 </t>
  </si>
  <si>
    <t xml:space="preserve">Share distribution of feedstocks within IVC  2050 </t>
  </si>
  <si>
    <t>Feestock cost to produce 1t of fuel</t>
  </si>
  <si>
    <t>C MANUFACTURED PRODUCTS, C17: Paper and paper products (en)</t>
  </si>
  <si>
    <t>C17 Paper and paper products (en)</t>
  </si>
  <si>
    <t>CHECK</t>
  </si>
  <si>
    <t xml:space="preserve">CHECK </t>
  </si>
  <si>
    <t>IVC 2 HEFA</t>
  </si>
  <si>
    <t>IVC 5 Advanced Ethanol</t>
  </si>
  <si>
    <t>Study 2, annex 4, page 40</t>
  </si>
  <si>
    <t>Advanced biodiesel</t>
  </si>
  <si>
    <t>Advanced biogasoline</t>
  </si>
  <si>
    <t>Advanced biogas</t>
  </si>
  <si>
    <t>Advanced bio-kerosene</t>
  </si>
  <si>
    <t>Advanced bio-HFO</t>
  </si>
  <si>
    <t xml:space="preserve">wird hier das Minuszeichen richtig in die Formel übernommen? </t>
  </si>
  <si>
    <t>Price of 1t of feedstock</t>
  </si>
  <si>
    <t>This sheet is mostly redundant since the price data is in th "feedstock MIX price per IVC " sheet. But references and Eurostat mapping in here</t>
  </si>
  <si>
    <t>Total Capex [M€]</t>
  </si>
  <si>
    <t>Capital Recovery factor</t>
  </si>
  <si>
    <t>IVC  5 (SAF)</t>
  </si>
  <si>
    <t xml:space="preserve">IVC 6 </t>
  </si>
  <si>
    <t>Discount rate</t>
  </si>
  <si>
    <t>Specific Capex [€/kW]</t>
  </si>
  <si>
    <t>IVC 5 (adv eth)</t>
  </si>
  <si>
    <t>IVC 7 (MSW)</t>
  </si>
  <si>
    <t>IVC 7 (MCR)</t>
  </si>
  <si>
    <t>CAPEX Costs per IVC (marked in red = average value of stakeholder &amp; lit-based value taken)</t>
  </si>
  <si>
    <t>Average Plant size [MW]</t>
  </si>
  <si>
    <t>??</t>
  </si>
  <si>
    <t>Annual production of main output [t/yr]</t>
  </si>
  <si>
    <t>Annualized investment [€/ yr]</t>
  </si>
  <si>
    <t xml:space="preserve">IVC </t>
  </si>
  <si>
    <t>CAPEX share (€/t)</t>
  </si>
  <si>
    <t>2 (HEFA)</t>
  </si>
  <si>
    <t>2(HVO)</t>
  </si>
  <si>
    <t>5 (ethanol)</t>
  </si>
  <si>
    <t>8a</t>
  </si>
  <si>
    <t xml:space="preserve">8b </t>
  </si>
  <si>
    <t>8c</t>
  </si>
  <si>
    <t>9a</t>
  </si>
  <si>
    <t>9b</t>
  </si>
  <si>
    <t>11a</t>
  </si>
  <si>
    <t>13a</t>
  </si>
  <si>
    <t>13b</t>
  </si>
  <si>
    <t>7 (MSW)</t>
  </si>
  <si>
    <t>7 (MCR)</t>
  </si>
  <si>
    <t>?</t>
  </si>
  <si>
    <t>value of Co-products [€)</t>
  </si>
  <si>
    <t>n.d.</t>
  </si>
  <si>
    <t xml:space="preserve">Average lifetime of production plant  [years] </t>
  </si>
  <si>
    <t>IVC</t>
  </si>
  <si>
    <t>Annual OPEX (M€/yr]</t>
  </si>
  <si>
    <t>Annual production [kt/yr]</t>
  </si>
  <si>
    <t>Note: values in red = medium value between lit-based and stakeholder-based values</t>
  </si>
  <si>
    <t>Problem: Annual OPEX costs do NOT include energy and material consumption costs, so these numbers are not really telling</t>
  </si>
  <si>
    <t xml:space="preserve">OPEX share (€/t) (only fixed) </t>
  </si>
  <si>
    <t>OPEX according to table 3-3 Study 2 [€/t]</t>
  </si>
  <si>
    <t>Question: zwo different  13b pathways, which one is the right?</t>
  </si>
  <si>
    <t>which IVC 6? Two possibilitoes</t>
  </si>
  <si>
    <t xml:space="preserve">Difference (= energy and mateiral consumption costs) </t>
  </si>
  <si>
    <t>what accounts for the extra OPEX</t>
  </si>
  <si>
    <t>green hydrogen</t>
  </si>
  <si>
    <t>Tall Oil</t>
  </si>
  <si>
    <t>FPBO, biocrude</t>
  </si>
  <si>
    <t>Tall oil</t>
  </si>
  <si>
    <t xml:space="preserve">Share per feedstock of overall feedstock mix (2030 high) </t>
  </si>
  <si>
    <t>Share per feedstock of overall feedstock mix (2030 medium)</t>
  </si>
  <si>
    <t>LCoP 2030 medium [€/t]</t>
  </si>
  <si>
    <t>LCoP 2030 high [€/t]</t>
  </si>
  <si>
    <t xml:space="preserve">12 (aviation) </t>
  </si>
  <si>
    <t>12 (road)</t>
  </si>
  <si>
    <t>IVC 12 (road)</t>
  </si>
  <si>
    <t xml:space="preserve">IVC 12 (aviation) </t>
  </si>
  <si>
    <t>For comparison: values from study 2 table 3-3</t>
  </si>
  <si>
    <t>IVC 2 (HVO)</t>
  </si>
  <si>
    <t>IVC (HEFA)</t>
  </si>
  <si>
    <t>obwohl die stakeholder values höher waren</t>
  </si>
  <si>
    <t>this makes sense since stakeholder values are higher than lit-based ones</t>
  </si>
  <si>
    <t>Avergae plant size had different values in figure 3-4; took the value from table 3-2 instead</t>
  </si>
  <si>
    <t>12 road</t>
  </si>
  <si>
    <t>12 aviation</t>
  </si>
  <si>
    <t>7 all</t>
  </si>
  <si>
    <t>assumption: 10% of IVC 7 is made with MSW and 90% with MCR</t>
  </si>
  <si>
    <t>revise whether this very low feedstock price is reasonable --&gt; makes the LCoP much lower than in Study 2</t>
  </si>
  <si>
    <t>Feedstock</t>
  </si>
  <si>
    <t>of which IVC 1</t>
  </si>
  <si>
    <t>of which  IVC 2</t>
  </si>
  <si>
    <t>of which IVC 13a</t>
  </si>
  <si>
    <t>TOTAL</t>
  </si>
  <si>
    <t>in t</t>
  </si>
  <si>
    <t>in Mtoe</t>
  </si>
  <si>
    <t>Capex share</t>
  </si>
  <si>
    <t>CAPEX  (€/t)</t>
  </si>
  <si>
    <t>OPEX  (€/t)</t>
  </si>
  <si>
    <t xml:space="preserve">Feedstock mix  (€/t) (in 2030 high) </t>
  </si>
  <si>
    <t>OPEX share</t>
  </si>
  <si>
    <t>Feedstock share</t>
  </si>
  <si>
    <t xml:space="preserve">Costs of production </t>
  </si>
  <si>
    <t>Cost of production</t>
  </si>
  <si>
    <t xml:space="preserve">Feedstock mix  (€/t) (in 2030 medium) </t>
  </si>
  <si>
    <t>CAPEX  share</t>
  </si>
  <si>
    <t>Feedstock share of costs</t>
  </si>
  <si>
    <t>CAPEX share of costs</t>
  </si>
  <si>
    <t>OPEX share of costs</t>
  </si>
  <si>
    <t>Absolute OPEX</t>
  </si>
  <si>
    <t>of which IVC 5</t>
  </si>
  <si>
    <t xml:space="preserve">Cost spent per IVC </t>
  </si>
  <si>
    <t>of which</t>
  </si>
  <si>
    <t>Paper and paper products</t>
  </si>
  <si>
    <t>Chemicals and chemical products</t>
  </si>
  <si>
    <t>Food, beverages and tobacco products</t>
  </si>
  <si>
    <t>Products of agriculture, hunting and related services</t>
  </si>
  <si>
    <t>Sewerage services; sewage sludge; waste collection, treatment and disposal services; materials recovery services; remediation services and other waste management services</t>
  </si>
  <si>
    <t>TOTALS</t>
  </si>
  <si>
    <t>Prices of feedstocks</t>
  </si>
  <si>
    <t xml:space="preserve">(Old) Share of feedstock  2030 medium (NOT taking into account feedstock split) </t>
  </si>
  <si>
    <t>money [€] spent on each feedtsock when producing 1t of product (and weighted feedstock mix cost)</t>
  </si>
  <si>
    <t xml:space="preserve">(old) Share per feedstock 2030 high </t>
  </si>
  <si>
    <r>
      <t xml:space="preserve">NEW share of feedstock mix 2030 </t>
    </r>
    <r>
      <rPr>
        <b/>
        <i/>
        <u/>
        <sz val="11"/>
        <color theme="1"/>
        <rFont val="Aptos Narrow"/>
        <family val="2"/>
        <scheme val="minor"/>
      </rPr>
      <t>medium</t>
    </r>
    <r>
      <rPr>
        <b/>
        <sz val="11"/>
        <color theme="1"/>
        <rFont val="Aptos Narrow"/>
        <family val="2"/>
        <scheme val="minor"/>
      </rPr>
      <t xml:space="preserve"> (taking into account the feedstock split in 2030)</t>
    </r>
  </si>
  <si>
    <r>
      <t xml:space="preserve">NEW share of feedstock mix 2030 </t>
    </r>
    <r>
      <rPr>
        <b/>
        <i/>
        <u/>
        <sz val="11"/>
        <color theme="1"/>
        <rFont val="Aptos Narrow"/>
        <family val="2"/>
        <scheme val="minor"/>
      </rPr>
      <t>high</t>
    </r>
    <r>
      <rPr>
        <b/>
        <sz val="11"/>
        <color theme="1"/>
        <rFont val="Aptos Narrow"/>
        <family val="2"/>
        <scheme val="minor"/>
      </rPr>
      <t xml:space="preserve"> (taking into account the feedstock split in 2030)</t>
    </r>
  </si>
  <si>
    <t>IVC 12 (aviation)</t>
  </si>
  <si>
    <t>2030 medium</t>
  </si>
  <si>
    <t>2030 high</t>
  </si>
  <si>
    <t>I am assuming the feedstock split to be as in 2030 medium</t>
  </si>
  <si>
    <t>money [€] spent on each feedtsock when producing 1t of product</t>
  </si>
  <si>
    <t>IVC13a (road)</t>
  </si>
  <si>
    <t>IVC 13b (road)</t>
  </si>
  <si>
    <t>IVC 13b (aviation/ HFO)</t>
  </si>
  <si>
    <t>IVC13a (aviation/ HFO)</t>
  </si>
  <si>
    <t>13a /road)</t>
  </si>
  <si>
    <t>13a (aviation/ HFO)</t>
  </si>
  <si>
    <t>13a (road)</t>
  </si>
  <si>
    <t>13b (road)</t>
  </si>
  <si>
    <t>13a (aviation, HFO)</t>
  </si>
  <si>
    <t>13b (aviation, HFO)</t>
  </si>
  <si>
    <t>of which IVC 7</t>
  </si>
  <si>
    <t>Conversion factor [t/toe]</t>
  </si>
  <si>
    <t>Cost of production [€/t]</t>
  </si>
  <si>
    <t>IVC 7  (MCR + MSW)</t>
  </si>
  <si>
    <t>Absolute feedstock costs [€]</t>
  </si>
  <si>
    <t>Absoluet CAPEX [€]</t>
  </si>
  <si>
    <t>Absolute OPEX [€]</t>
  </si>
  <si>
    <t>Machinery and equipment n.e.c.</t>
  </si>
  <si>
    <t>Fabricated metal products</t>
  </si>
  <si>
    <t>Electrical equipment</t>
  </si>
  <si>
    <t>Constructions and construction works</t>
  </si>
  <si>
    <t>Architectural and engineering services; technical testing and analysis services</t>
  </si>
  <si>
    <t>CAPEX distribution</t>
  </si>
  <si>
    <t>Computer, electronic and optical products</t>
  </si>
  <si>
    <t>Electricity, gas, steam and air conditioning</t>
  </si>
  <si>
    <t>Legal and accounting services; services of head offices; management consultancy services</t>
  </si>
  <si>
    <t>Repair and installation services of machinery and equipment</t>
  </si>
  <si>
    <t>Land transport services and transport services via pipelines</t>
  </si>
  <si>
    <t>ENTIRE production costs</t>
  </si>
  <si>
    <t>Products of forestry, logging and related services</t>
  </si>
  <si>
    <t>or does that rather come from a biofuels sector directly?</t>
  </si>
  <si>
    <t>Conventional biodiesel</t>
  </si>
  <si>
    <t>rapeseed oil</t>
  </si>
  <si>
    <t>soybean oil</t>
  </si>
  <si>
    <t>palm oil</t>
  </si>
  <si>
    <t>sunflower oil</t>
  </si>
  <si>
    <t>Rapeseed oil</t>
  </si>
  <si>
    <t>Soybean oil</t>
  </si>
  <si>
    <t>Sunflower oil</t>
  </si>
  <si>
    <t>Palm oil</t>
  </si>
  <si>
    <t>UCO</t>
  </si>
  <si>
    <t>Conventional biogasoline (Ethanol)</t>
  </si>
  <si>
    <t>Wheat kernels</t>
  </si>
  <si>
    <t>corn kernsels</t>
  </si>
  <si>
    <t>triticale</t>
  </si>
  <si>
    <t>Barely Kernels</t>
  </si>
  <si>
    <t>Rye Kernels</t>
  </si>
  <si>
    <t>Sugar Beets</t>
  </si>
  <si>
    <t>source: CETO 2026 report, p. 28</t>
  </si>
  <si>
    <t>primarily EU</t>
  </si>
  <si>
    <t>transesterification of food/feed crops</t>
  </si>
  <si>
    <t>transesterification of cover crops from marginal lands</t>
  </si>
  <si>
    <t>transesterification of UCO and AF</t>
  </si>
  <si>
    <t>hydrotreatment of cover crops from marginal lands (non-aviation part)</t>
  </si>
  <si>
    <t>hydrotreatment of food/feed crops</t>
  </si>
  <si>
    <t>Absolute feedstock costs [€/t product]</t>
  </si>
  <si>
    <t>CAPEX share</t>
  </si>
  <si>
    <t>Absolute CAPEX</t>
  </si>
  <si>
    <t>60% imported</t>
  </si>
  <si>
    <t>imported</t>
  </si>
  <si>
    <t>Animal fat</t>
  </si>
  <si>
    <t>domestic</t>
  </si>
  <si>
    <t>ethanol fermentation of food/ feed crops</t>
  </si>
  <si>
    <t>TOTAL absolute costs [€/ t product]</t>
  </si>
  <si>
    <t>Machinery and equipment</t>
  </si>
  <si>
    <t>Architectural and engineering services</t>
  </si>
  <si>
    <t>Chemical and chemical products</t>
  </si>
  <si>
    <t>Electricity, gas, steam &amp; AC</t>
  </si>
  <si>
    <t>Repair and installation services</t>
  </si>
  <si>
    <t>Waster management services</t>
  </si>
  <si>
    <t>HEFA (aviationn) hydrotreatment of UCO and AF</t>
  </si>
  <si>
    <t>HVO (road) hydrotreatment of UCO and AF</t>
  </si>
  <si>
    <t>POME</t>
  </si>
  <si>
    <t>of which transestification of food/ feed crops</t>
  </si>
  <si>
    <t>animal fats</t>
  </si>
  <si>
    <t>UCO domestic</t>
  </si>
  <si>
    <t>UCO imported</t>
  </si>
  <si>
    <t>pirmarily EU</t>
  </si>
  <si>
    <t>Share of feedstock mix</t>
  </si>
  <si>
    <t>Conventional ethnaol</t>
  </si>
  <si>
    <t>cover crops</t>
  </si>
  <si>
    <t>20-145</t>
  </si>
  <si>
    <t xml:space="preserve">40% domestic </t>
  </si>
  <si>
    <t>Total production costs</t>
  </si>
  <si>
    <t>Animal Fat</t>
  </si>
  <si>
    <t>TOTAL:</t>
  </si>
  <si>
    <t xml:space="preserve">Therefore, shares: </t>
  </si>
  <si>
    <t>Share of total costs</t>
  </si>
  <si>
    <t>TOTALS domestic</t>
  </si>
  <si>
    <t>TOTAL imported</t>
  </si>
  <si>
    <t>ALL</t>
  </si>
  <si>
    <t xml:space="preserve">from: </t>
  </si>
  <si>
    <t xml:space="preserve">TOTALS </t>
  </si>
  <si>
    <t xml:space="preserve">Assumptions: </t>
  </si>
  <si>
    <t>technical capacity = cmc</t>
  </si>
  <si>
    <t>feedstock availability: 2030 medium</t>
  </si>
  <si>
    <r>
      <t xml:space="preserve">Contribution of each IVC to final product in Scenario (1) </t>
    </r>
    <r>
      <rPr>
        <b/>
        <sz val="11"/>
        <color theme="1"/>
        <rFont val="Aptos Narrow"/>
        <family val="2"/>
        <scheme val="minor"/>
      </rPr>
      <t>2030</t>
    </r>
  </si>
  <si>
    <t>Money spent on each IVC</t>
  </si>
  <si>
    <t>produced in Mtoe</t>
  </si>
  <si>
    <t xml:space="preserve">produced in t </t>
  </si>
  <si>
    <t>TOTAL production costs</t>
  </si>
  <si>
    <t>of which IVC 2 HVO</t>
  </si>
  <si>
    <t xml:space="preserve">of which 13a (half) </t>
  </si>
  <si>
    <t>of whch IVC 13b (maritime)</t>
  </si>
  <si>
    <t>of which from IVC 5</t>
  </si>
  <si>
    <t xml:space="preserve">of which 13b (road) </t>
  </si>
  <si>
    <t>TOTALS imported</t>
  </si>
  <si>
    <t xml:space="preserve">FPBO (Intermediate bioenergy carrier) </t>
  </si>
  <si>
    <t>Biocrude (Intermediate Bioenergy carrier)</t>
  </si>
  <si>
    <t>Biogasoline</t>
  </si>
  <si>
    <t>of which 12 (road)</t>
  </si>
  <si>
    <t>of which IVC 11a</t>
  </si>
  <si>
    <t>IVC 11a (SAF)</t>
  </si>
  <si>
    <t>IVC 11a (road, diesel)</t>
  </si>
  <si>
    <t>11a (road)</t>
  </si>
  <si>
    <t>11a (SAF)</t>
  </si>
  <si>
    <t>of which 8a</t>
  </si>
  <si>
    <t>since n.d. on CAPEX and OPEX, I just took the final Lco from  tabel 3-3 and made estimates about the three shares</t>
  </si>
  <si>
    <r>
      <t xml:space="preserve">Contribution of each IVC to final product in Scenario (2) </t>
    </r>
    <r>
      <rPr>
        <b/>
        <sz val="11"/>
        <color theme="1"/>
        <rFont val="Aptos Narrow"/>
        <family val="2"/>
        <scheme val="minor"/>
      </rPr>
      <t>2030</t>
    </r>
  </si>
  <si>
    <r>
      <t xml:space="preserve">feedstock availability: 2030 </t>
    </r>
    <r>
      <rPr>
        <b/>
        <sz val="11"/>
        <color theme="1"/>
        <rFont val="Aptos Narrow"/>
        <family val="2"/>
        <scheme val="minor"/>
      </rPr>
      <t>high</t>
    </r>
  </si>
  <si>
    <r>
      <t xml:space="preserve">technical capacity = </t>
    </r>
    <r>
      <rPr>
        <b/>
        <sz val="11"/>
        <color theme="1"/>
        <rFont val="Aptos Narrow"/>
        <family val="2"/>
        <scheme val="minor"/>
      </rPr>
      <t>tcp</t>
    </r>
  </si>
  <si>
    <r>
      <t xml:space="preserve">Contribution of each IVC to final product in Scenario (2) </t>
    </r>
    <r>
      <rPr>
        <b/>
        <sz val="11"/>
        <color theme="1"/>
        <rFont val="Aptos Narrow"/>
        <family val="2"/>
        <scheme val="minor"/>
      </rPr>
      <t>2035</t>
    </r>
  </si>
  <si>
    <t>of which IVC 11a (road)</t>
  </si>
  <si>
    <t>biocrude (Intermediate Bioenergy carrier)</t>
  </si>
  <si>
    <t>rework</t>
  </si>
  <si>
    <t>of which IVC 11a (SAF)</t>
  </si>
  <si>
    <t>SUM</t>
  </si>
  <si>
    <t>Sum</t>
  </si>
  <si>
    <t>Chemicals</t>
  </si>
  <si>
    <t>SUMME ALL advanced</t>
  </si>
  <si>
    <t>Production Conventional</t>
  </si>
  <si>
    <t>hydrotreatment of cover crops from marginal lands (non-aviation part) (road)</t>
  </si>
  <si>
    <t>hydrotreatment of UCO and AF (road)</t>
  </si>
  <si>
    <t>hydrotreatment of UCO and AF (aviation)</t>
  </si>
  <si>
    <t>Bio-Kerosene</t>
  </si>
  <si>
    <t>Conventional biogasoline</t>
  </si>
  <si>
    <t>ethanol fermentation of food/feed crops</t>
  </si>
  <si>
    <t>hydrotreatment of food/ feed crops</t>
  </si>
  <si>
    <t>transestification of UCO and AF (road)</t>
  </si>
  <si>
    <t>Of which IVC 13b</t>
  </si>
  <si>
    <r>
      <t xml:space="preserve">Contribution of each IVC to final product in Scenario (1) </t>
    </r>
    <r>
      <rPr>
        <b/>
        <sz val="11"/>
        <color theme="1"/>
        <rFont val="Aptos Narrow"/>
        <family val="2"/>
        <scheme val="minor"/>
      </rPr>
      <t>2035</t>
    </r>
  </si>
  <si>
    <r>
      <t xml:space="preserve">technical capacity = </t>
    </r>
    <r>
      <rPr>
        <b/>
        <sz val="11"/>
        <color theme="1"/>
        <rFont val="Aptos Narrow"/>
        <family val="2"/>
        <scheme val="minor"/>
      </rPr>
      <t>cmc</t>
    </r>
  </si>
  <si>
    <t>of which 13b (aviation)</t>
  </si>
  <si>
    <t>2050 high</t>
  </si>
  <si>
    <t>2040 with 2030 medium and 2050 high</t>
  </si>
  <si>
    <r>
      <t xml:space="preserve">feedstock availability: 2035 with </t>
    </r>
    <r>
      <rPr>
        <b/>
        <sz val="11"/>
        <color theme="1"/>
        <rFont val="Aptos Narrow"/>
        <family val="2"/>
        <scheme val="minor"/>
      </rPr>
      <t>2030 medium and 2050 high</t>
    </r>
  </si>
  <si>
    <t xml:space="preserve">assuming the feedstock split from 2030 medium </t>
  </si>
  <si>
    <r>
      <t xml:space="preserve">Contribution of each IVC to final product in Scenario (1) </t>
    </r>
    <r>
      <rPr>
        <b/>
        <sz val="11"/>
        <color theme="1"/>
        <rFont val="Aptos Narrow"/>
        <family val="2"/>
        <scheme val="minor"/>
      </rPr>
      <t xml:space="preserve">2040 </t>
    </r>
  </si>
  <si>
    <r>
      <t>feedstock availability:</t>
    </r>
    <r>
      <rPr>
        <b/>
        <sz val="11"/>
        <color theme="1"/>
        <rFont val="Aptos Narrow"/>
        <family val="2"/>
        <scheme val="minor"/>
      </rPr>
      <t xml:space="preserve"> 2030 medium and 2050 high</t>
    </r>
  </si>
  <si>
    <t>of which IVC 13b (maritime)</t>
  </si>
  <si>
    <t>Conventional bio-kerosene</t>
  </si>
  <si>
    <t>Sum ALL advanced</t>
  </si>
  <si>
    <t>Conventional biokerosene</t>
  </si>
  <si>
    <t>hydrotreatment of UCO/ animal fats</t>
  </si>
  <si>
    <t>ALL advanced biofuels</t>
  </si>
  <si>
    <t>ALLL CHECKED AND FINE</t>
  </si>
  <si>
    <t>CHECKED; ALL FINE</t>
  </si>
  <si>
    <t>Production RFNBOs</t>
  </si>
  <si>
    <t>of which IVC 8c</t>
  </si>
  <si>
    <t>of which IVC 9b</t>
  </si>
  <si>
    <t xml:space="preserve">cover crops from marginal land </t>
  </si>
  <si>
    <r>
      <t xml:space="preserve">technical capacity = </t>
    </r>
    <r>
      <rPr>
        <b/>
        <sz val="11"/>
        <color theme="1"/>
        <rFont val="Aptos Narrow"/>
        <family val="2"/>
        <scheme val="minor"/>
      </rPr>
      <t>no constraints</t>
    </r>
  </si>
  <si>
    <r>
      <t xml:space="preserve">Contribution of each IVC to final product in Scenario (3) </t>
    </r>
    <r>
      <rPr>
        <b/>
        <sz val="11"/>
        <color theme="1"/>
        <rFont val="Aptos Narrow"/>
        <family val="2"/>
        <scheme val="minor"/>
      </rPr>
      <t>2030</t>
    </r>
  </si>
  <si>
    <t>hydrotreatment of cover crops</t>
  </si>
  <si>
    <t>transestification of food/ feed crops</t>
  </si>
  <si>
    <t>market price [€/t]</t>
  </si>
  <si>
    <t>makret value of overall amount produced</t>
  </si>
  <si>
    <t>Market value</t>
  </si>
  <si>
    <t>Makret value of overall amount produced</t>
  </si>
  <si>
    <t>wheat kernels etc</t>
  </si>
  <si>
    <t>marrket price</t>
  </si>
  <si>
    <t>market value asbolute [€/t]</t>
  </si>
  <si>
    <t>EU but from imported soybeans</t>
  </si>
  <si>
    <t>NOTE: made of imported soybeans, pick up in discussion</t>
  </si>
  <si>
    <t>Mapping of the co-products</t>
  </si>
  <si>
    <t>Co-products</t>
  </si>
  <si>
    <t>crude glycerol</t>
  </si>
  <si>
    <t xml:space="preserve">chemicals </t>
  </si>
  <si>
    <t>Naphta</t>
  </si>
  <si>
    <t>Market price [€(t]</t>
  </si>
  <si>
    <t xml:space="preserve"> transestification of food/ feed crops</t>
  </si>
  <si>
    <t>2040 with 2030 high and 2050 high</t>
  </si>
  <si>
    <t>Market price</t>
  </si>
  <si>
    <t>Market value of amount produced</t>
  </si>
  <si>
    <t>Advanced  biogasoline</t>
  </si>
  <si>
    <r>
      <t xml:space="preserve">Contribution of each IVC to final product in Scenario (3) </t>
    </r>
    <r>
      <rPr>
        <b/>
        <sz val="11"/>
        <color theme="1"/>
        <rFont val="Aptos Narrow"/>
        <family val="2"/>
        <scheme val="minor"/>
      </rPr>
      <t xml:space="preserve">2040 </t>
    </r>
  </si>
  <si>
    <r>
      <t xml:space="preserve">technical capacity = </t>
    </r>
    <r>
      <rPr>
        <b/>
        <sz val="11"/>
        <color theme="1"/>
        <rFont val="Aptos Narrow"/>
        <family val="2"/>
        <scheme val="minor"/>
      </rPr>
      <t>no limitations</t>
    </r>
  </si>
  <si>
    <r>
      <t>feedstock availability:</t>
    </r>
    <r>
      <rPr>
        <b/>
        <sz val="11"/>
        <color theme="1"/>
        <rFont val="Aptos Narrow"/>
        <family val="2"/>
        <scheme val="minor"/>
      </rPr>
      <t xml:space="preserve"> 2030 high and 2050 high</t>
    </r>
  </si>
  <si>
    <t>RFNBOs</t>
  </si>
  <si>
    <t>check, for now I just took tehIVC 12  (aviation) numbers</t>
  </si>
  <si>
    <t>NONE</t>
  </si>
  <si>
    <t>Imported POME</t>
  </si>
  <si>
    <t>1 (with imported POME)</t>
  </si>
  <si>
    <t>transestification of UCO and AF</t>
  </si>
  <si>
    <t>for cosnumption</t>
  </si>
  <si>
    <t>as feedtsock for IVC 12</t>
  </si>
  <si>
    <t>as feedstock for IVC 8b</t>
  </si>
  <si>
    <t>for consumption</t>
  </si>
  <si>
    <t>(all as feedstock for IVC 12)</t>
  </si>
  <si>
    <t>Market value of ALLL biofule production</t>
  </si>
  <si>
    <t>Contribution of each IVC to final product in Scenario (3) 2035</t>
  </si>
  <si>
    <t>produced in Mtoe (manual input)</t>
  </si>
  <si>
    <t>a lot of it used for 12</t>
  </si>
  <si>
    <t>cover crops from marginal land</t>
  </si>
  <si>
    <t>of which transesterification of food/feed crops</t>
  </si>
  <si>
    <t>hydrotreatment of cover crops from marginal lands</t>
  </si>
  <si>
    <t>transesterification of UCO and animal fats</t>
  </si>
  <si>
    <t>agriculture</t>
  </si>
  <si>
    <t>wheat kernels, maize, barley, rye and triticale</t>
  </si>
  <si>
    <t>for direct cosnumtpion</t>
  </si>
  <si>
    <t>needed because part of the demand is for HFO</t>
  </si>
  <si>
    <t>includes surplus for IVC6</t>
  </si>
  <si>
    <t>of which 13b (SAF)</t>
  </si>
  <si>
    <t>none</t>
  </si>
  <si>
    <t>13b (SAF)</t>
  </si>
  <si>
    <t>hydrotreatment of cover crops from marginal lands (SAF)</t>
  </si>
  <si>
    <t>hydrotreatment of cover crops from marginal lands(SAF)</t>
  </si>
  <si>
    <t>HEFA (aviation) hydrotreatment of UCO and AF</t>
  </si>
  <si>
    <t>Corn kernels</t>
  </si>
  <si>
    <t>Barley kernels</t>
  </si>
  <si>
    <t>Waste management services</t>
  </si>
  <si>
    <t>of which IVC 11_SAF</t>
  </si>
  <si>
    <t>IVC 11a_SAF</t>
  </si>
  <si>
    <t>partyl used as feedtsock for HVO and HEFA</t>
  </si>
  <si>
    <t xml:space="preserve">of ALL BIO sector: </t>
  </si>
  <si>
    <t xml:space="preserve">HEFA (with imported POME ) </t>
  </si>
  <si>
    <t>IVC2 (HEFA) with imported POME</t>
  </si>
  <si>
    <t>IVC 2 (HVO) (with imported POME)</t>
  </si>
  <si>
    <t>Exiobase mapping</t>
  </si>
  <si>
    <t>Eindeutige Kategorien</t>
  </si>
  <si>
    <t>Adv biodiesel, adv biogasoline</t>
  </si>
  <si>
    <t>CPA_A01</t>
  </si>
  <si>
    <t>CPA_A02</t>
  </si>
  <si>
    <t>CPA_E37-39</t>
  </si>
  <si>
    <t>CPA_C17</t>
  </si>
  <si>
    <t>CPA_C10-12</t>
  </si>
  <si>
    <t>CPA_C20_others</t>
  </si>
  <si>
    <t>CPA_C20_advanced_bio_HFO</t>
  </si>
  <si>
    <t>CPA_C20_Advanced_biogas</t>
  </si>
  <si>
    <t>CPA_C20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</si>
</sst>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0"/>
    <numFmt numFmtId="165" formatCode="_-* #,##0.000_-;\-* #,##0.000_-;_-* &quot;-&quot;??_-;_-@_-"/>
    <numFmt numFmtId="166" formatCode="0.000000"/>
    <numFmt numFmtId="167" formatCode="_-* #,##0.00\ _€_-;\-* #,##0.00\ _€_-;_-* &quot;-&quot;??\ _€_-;_-@_-"/>
    <numFmt numFmtId="168" formatCode="0.00000"/>
    <numFmt numFmtId="169" formatCode="0.0"/>
    <numFmt numFmtId="170" formatCode="_-* #,##0.00000_-;\-* #,##0.00000_-;_-* &quot;-&quot;??_-;_-@_-"/>
    <numFmt numFmtId="171" formatCode="0.0000"/>
    <numFmt numFmtId="172" formatCode="0.00000%"/>
    <numFmt numFmtId="173" formatCode="_-* #,##0.0000_-;\-* #,##0.0000_-;_-* &quot;-&quot;??_-;_-@_-"/>
    <numFmt numFmtId="174" formatCode="_-* #,##0_-;\-* #,##0_-;_-* &quot;-&quot;??_-;_-@_-"/>
    <numFmt numFmtId="175" formatCode="_-* #,##0.000000_-;\-* #,##0.000000_-;_-* &quot;-&quot;??_-;_-@_-"/>
    <numFmt numFmtId="176" formatCode="_-* #,##0.000000_-;\-* #,##0.000000_-;_-* &quot;-&quot;??????_-;_-@_-"/>
    <numFmt numFmtId="177" formatCode="0.0000%"/>
    <numFmt numFmtId="178" formatCode="_-* #,##0.00000_-;\-* #,##0.00000_-;_-* &quot;-&quot;?????_-;_-@_-"/>
    <numFmt numFmtId="179" formatCode="0.0%"/>
    <numFmt numFmtId="180" formatCode="#,##0.00;[Red]\(#,##0.00\);\-"/>
    <numFmt numFmtId="181" formatCode="_-* #,##0.0000_-;\-* #,##0.0000_-;_-* &quot;-&quot;????_-;_-@_-"/>
  </numFmts>
  <fonts count="30" x14ac:knownFonts="1">
    <font>
      <sz val="11"/>
      <color theme="1"/>
      <name val="Aptos Narrow"/>
      <family val="2"/>
      <scheme val="minor"/>
    </font>
    <font>
      <sz val="11"/>
      <color theme="1"/>
      <name val="Aptos Narrow"/>
      <family val="2"/>
      <scheme val="minor"/>
    </font>
    <font>
      <sz val="11"/>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b/>
      <sz val="11"/>
      <color rgb="FF7030A0"/>
      <name val="Aptos Narrow"/>
      <family val="2"/>
      <scheme val="minor"/>
    </font>
    <font>
      <b/>
      <sz val="11"/>
      <color rgb="FF00B0F0"/>
      <name val="Aptos Narrow"/>
      <family val="2"/>
      <scheme val="minor"/>
    </font>
    <font>
      <b/>
      <sz val="11"/>
      <name val="Aptos Narrow"/>
      <family val="2"/>
      <scheme val="minor"/>
    </font>
    <font>
      <sz val="11"/>
      <color rgb="FF212529"/>
      <name val="Calibri"/>
      <family val="2"/>
    </font>
    <font>
      <sz val="11"/>
      <color rgb="FFFF0000"/>
      <name val="Calibri"/>
      <family val="2"/>
    </font>
    <font>
      <sz val="11"/>
      <color theme="0"/>
      <name val="Aptos Narrow"/>
      <family val="2"/>
      <scheme val="minor"/>
    </font>
    <font>
      <sz val="11"/>
      <color theme="0" tint="-0.499984740745262"/>
      <name val="Aptos Narrow"/>
      <family val="2"/>
      <scheme val="minor"/>
    </font>
    <font>
      <b/>
      <sz val="11"/>
      <color theme="0" tint="-0.499984740745262"/>
      <name val="Aptos Narrow"/>
      <family val="2"/>
      <scheme val="minor"/>
    </font>
    <font>
      <sz val="11"/>
      <name val="Calibri"/>
      <family val="2"/>
    </font>
    <font>
      <sz val="11"/>
      <color theme="0" tint="-0.499984740745262"/>
      <name val="Calibri"/>
      <family val="2"/>
    </font>
    <font>
      <b/>
      <i/>
      <u/>
      <sz val="11"/>
      <color theme="1"/>
      <name val="Aptos Narrow"/>
      <family val="2"/>
      <scheme val="minor"/>
    </font>
    <font>
      <sz val="11"/>
      <color rgb="FF7030A0"/>
      <name val="Aptos Narrow"/>
      <family val="2"/>
      <scheme val="minor"/>
    </font>
    <font>
      <b/>
      <sz val="11"/>
      <color rgb="FF212529"/>
      <name val="Calibri"/>
      <family val="2"/>
    </font>
    <font>
      <b/>
      <sz val="9"/>
      <name val="Arial"/>
      <family val="2"/>
    </font>
    <font>
      <sz val="11"/>
      <color rgb="FFFF00FF"/>
      <name val="Aptos Narrow"/>
      <family val="2"/>
      <scheme val="minor"/>
    </font>
    <font>
      <b/>
      <sz val="11"/>
      <color rgb="FFFF00FF"/>
      <name val="Aptos Narrow"/>
      <family val="2"/>
      <scheme val="minor"/>
    </font>
    <font>
      <sz val="9"/>
      <color indexed="81"/>
      <name val="Segoe UI"/>
      <family val="2"/>
    </font>
    <font>
      <b/>
      <sz val="9"/>
      <color indexed="81"/>
      <name val="Segoe UI"/>
      <family val="2"/>
    </font>
    <font>
      <sz val="11"/>
      <color rgb="FF0070C0"/>
      <name val="Aptos Narrow"/>
      <family val="2"/>
      <scheme val="minor"/>
    </font>
    <font>
      <sz val="9"/>
      <color indexed="81"/>
      <name val="Segoe UI"/>
      <charset val="1"/>
    </font>
    <font>
      <b/>
      <sz val="9"/>
      <color indexed="81"/>
      <name val="Segoe UI"/>
      <charset val="1"/>
    </font>
    <font>
      <sz val="11"/>
      <color rgb="FF008000"/>
      <name val="Aptos Narrow"/>
      <family val="2"/>
      <scheme val="minor"/>
    </font>
    <font>
      <sz val="11"/>
      <color rgb="FF000000"/>
      <name val="Aptos Narrow"/>
      <scheme val="minor"/>
    </font>
    <font>
      <b/>
      <sz val="18"/>
      <color theme="1"/>
      <name val="Aptos Narrow"/>
      <family val="2"/>
      <scheme val="minor"/>
    </font>
  </fonts>
  <fills count="42">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3" tint="0.249977111117893"/>
        <bgColor indexed="64"/>
      </patternFill>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FFFF"/>
        <bgColor indexed="64"/>
      </patternFill>
    </fill>
    <fill>
      <patternFill patternType="solid">
        <fgColor rgb="FF8ED973"/>
        <bgColor indexed="64"/>
      </patternFill>
    </fill>
    <fill>
      <patternFill patternType="solid">
        <fgColor rgb="FFF1A983"/>
        <bgColor indexed="64"/>
      </patternFill>
    </fill>
    <fill>
      <patternFill patternType="solid">
        <fgColor rgb="FFD9D9D9"/>
        <bgColor indexed="64"/>
      </patternFill>
    </fill>
    <fill>
      <patternFill patternType="solid">
        <fgColor rgb="FFF2CEEF"/>
        <bgColor indexed="64"/>
      </patternFill>
    </fill>
    <fill>
      <patternFill patternType="solid">
        <fgColor rgb="FFE49EDD"/>
        <bgColor indexed="64"/>
      </patternFill>
    </fill>
    <fill>
      <patternFill patternType="solid">
        <fgColor rgb="FFD86DCD"/>
        <bgColor indexed="64"/>
      </patternFill>
    </fill>
    <fill>
      <patternFill patternType="solid">
        <fgColor rgb="FF94DCF8"/>
        <bgColor indexed="64"/>
      </patternFill>
    </fill>
  </fills>
  <borders count="5">
    <border>
      <left/>
      <right/>
      <top/>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9.9948118533890809E-2"/>
      </left>
      <right style="hair">
        <color theme="2" tint="-9.9948118533890809E-2"/>
      </right>
      <top style="hair">
        <color theme="2" tint="-9.9948118533890809E-2"/>
      </top>
      <bottom style="hair">
        <color theme="2" tint="-9.9948118533890809E-2"/>
      </bottom>
      <diagonal/>
    </border>
    <border>
      <left style="hair">
        <color theme="2" tint="-0.24994659260841701"/>
      </left>
      <right style="hair">
        <color theme="2" tint="-0.24994659260841701"/>
      </right>
      <top/>
      <bottom/>
      <diagonal/>
    </border>
    <border>
      <left style="thin">
        <color rgb="FFB0B0B0"/>
      </left>
      <right style="thin">
        <color rgb="FFB0B0B0"/>
      </right>
      <top style="thin">
        <color rgb="FFB0B0B0"/>
      </top>
      <bottom style="thin">
        <color rgb="FFB0B0B0"/>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339">
    <xf numFmtId="0" fontId="0" fillId="0" borderId="0" xfId="0"/>
    <xf numFmtId="43" fontId="0" fillId="0" borderId="0" xfId="1" applyFont="1"/>
    <xf numFmtId="43" fontId="0" fillId="0" borderId="0" xfId="0" applyNumberFormat="1"/>
    <xf numFmtId="9" fontId="0" fillId="0" borderId="0" xfId="2" applyFont="1"/>
    <xf numFmtId="2" fontId="0" fillId="0" borderId="1" xfId="0" applyNumberFormat="1" applyBorder="1"/>
    <xf numFmtId="0" fontId="0" fillId="0" borderId="1" xfId="0" applyBorder="1" applyAlignment="1">
      <alignment vertical="top"/>
    </xf>
    <xf numFmtId="2" fontId="0" fillId="0" borderId="0" xfId="0" applyNumberFormat="1"/>
    <xf numFmtId="0" fontId="0" fillId="0" borderId="1" xfId="0" applyBorder="1"/>
    <xf numFmtId="0" fontId="6" fillId="0" borderId="1" xfId="0" applyFont="1" applyBorder="1"/>
    <xf numFmtId="2" fontId="0" fillId="2" borderId="0" xfId="0" applyNumberFormat="1" applyFill="1"/>
    <xf numFmtId="0" fontId="0" fillId="2" borderId="0" xfId="0" applyFill="1"/>
    <xf numFmtId="0" fontId="2" fillId="2" borderId="0" xfId="0" applyFont="1" applyFill="1"/>
    <xf numFmtId="0" fontId="2" fillId="0" borderId="1" xfId="0" applyFont="1" applyBorder="1" applyAlignment="1">
      <alignment vertical="top"/>
    </xf>
    <xf numFmtId="0" fontId="6" fillId="0" borderId="1" xfId="0" applyFont="1" applyBorder="1" applyAlignment="1">
      <alignment vertical="top"/>
    </xf>
    <xf numFmtId="0" fontId="6" fillId="0" borderId="0" xfId="0" applyFont="1" applyAlignment="1">
      <alignment vertical="top"/>
    </xf>
    <xf numFmtId="0" fontId="7" fillId="0" borderId="1" xfId="3" applyFont="1" applyFill="1" applyBorder="1" applyAlignment="1">
      <alignment vertical="top"/>
    </xf>
    <xf numFmtId="0" fontId="7" fillId="0" borderId="1" xfId="0" applyFont="1" applyBorder="1" applyAlignment="1">
      <alignment vertical="top"/>
    </xf>
    <xf numFmtId="0" fontId="8" fillId="2" borderId="0" xfId="0" applyFont="1" applyFill="1" applyAlignment="1">
      <alignment vertical="top"/>
    </xf>
    <xf numFmtId="0" fontId="2" fillId="0" borderId="0" xfId="0" applyFont="1"/>
    <xf numFmtId="0" fontId="2" fillId="2" borderId="0" xfId="0" applyFont="1" applyFill="1" applyAlignment="1">
      <alignment vertical="top"/>
    </xf>
    <xf numFmtId="0" fontId="6" fillId="0" borderId="0" xfId="0" applyFont="1"/>
    <xf numFmtId="0" fontId="0" fillId="0" borderId="0" xfId="0" applyAlignment="1">
      <alignment vertical="top"/>
    </xf>
    <xf numFmtId="0" fontId="7" fillId="0" borderId="0" xfId="0" applyFont="1" applyAlignment="1">
      <alignment vertical="top"/>
    </xf>
    <xf numFmtId="9" fontId="0" fillId="0" borderId="0" xfId="2" applyFont="1" applyBorder="1"/>
    <xf numFmtId="0" fontId="4" fillId="0" borderId="0" xfId="0" applyFont="1"/>
    <xf numFmtId="0" fontId="4" fillId="0" borderId="0" xfId="0" applyFont="1" applyAlignment="1">
      <alignment vertical="top"/>
    </xf>
    <xf numFmtId="0" fontId="9" fillId="0" borderId="0" xfId="0" applyFont="1"/>
    <xf numFmtId="0" fontId="0" fillId="3" borderId="0" xfId="0" applyFill="1"/>
    <xf numFmtId="0" fontId="10" fillId="0" borderId="0" xfId="0" applyFont="1"/>
    <xf numFmtId="0" fontId="0" fillId="0" borderId="0" xfId="0" applyAlignment="1">
      <alignment wrapText="1"/>
    </xf>
    <xf numFmtId="9" fontId="0" fillId="2" borderId="0" xfId="2" applyFont="1" applyFill="1"/>
    <xf numFmtId="43" fontId="0" fillId="0" borderId="0" xfId="1" applyFont="1" applyFill="1"/>
    <xf numFmtId="0" fontId="2" fillId="0" borderId="1" xfId="0" applyFont="1" applyBorder="1"/>
    <xf numFmtId="0" fontId="5" fillId="4" borderId="0" xfId="0" applyFont="1" applyFill="1"/>
    <xf numFmtId="9" fontId="0" fillId="0" borderId="0" xfId="0" applyNumberFormat="1"/>
    <xf numFmtId="0" fontId="6" fillId="0" borderId="2" xfId="0" applyFont="1" applyBorder="1"/>
    <xf numFmtId="9" fontId="6" fillId="0" borderId="0" xfId="2" applyFont="1" applyBorder="1"/>
    <xf numFmtId="2" fontId="4" fillId="0" borderId="0" xfId="0" applyNumberFormat="1" applyFont="1"/>
    <xf numFmtId="0" fontId="0" fillId="5" borderId="0" xfId="0" applyFill="1"/>
    <xf numFmtId="9" fontId="6" fillId="0" borderId="0" xfId="0" applyNumberFormat="1" applyFont="1" applyAlignment="1">
      <alignment vertical="top"/>
    </xf>
    <xf numFmtId="9" fontId="7" fillId="0" borderId="0" xfId="3" applyNumberFormat="1" applyFont="1" applyFill="1" applyBorder="1" applyAlignment="1">
      <alignment vertical="top"/>
    </xf>
    <xf numFmtId="2" fontId="2" fillId="2" borderId="0" xfId="0" applyNumberFormat="1" applyFont="1" applyFill="1"/>
    <xf numFmtId="9" fontId="7" fillId="0" borderId="0" xfId="0" applyNumberFormat="1" applyFont="1" applyAlignment="1">
      <alignment vertical="top"/>
    </xf>
    <xf numFmtId="0" fontId="0" fillId="6" borderId="0" xfId="0" applyFill="1"/>
    <xf numFmtId="2" fontId="0" fillId="6" borderId="0" xfId="0" applyNumberFormat="1" applyFill="1"/>
    <xf numFmtId="0" fontId="11" fillId="7" borderId="0" xfId="0" applyFont="1" applyFill="1"/>
    <xf numFmtId="0" fontId="0" fillId="8" borderId="0" xfId="0" applyFill="1"/>
    <xf numFmtId="0" fontId="0" fillId="9" borderId="0" xfId="0" applyFill="1"/>
    <xf numFmtId="0" fontId="0" fillId="0" borderId="0" xfId="0" applyAlignment="1">
      <alignment horizontal="left"/>
    </xf>
    <xf numFmtId="0" fontId="0" fillId="10" borderId="0" xfId="0" applyFill="1"/>
    <xf numFmtId="0" fontId="12" fillId="0" borderId="0" xfId="0" applyFont="1"/>
    <xf numFmtId="9" fontId="12" fillId="0" borderId="0" xfId="0" applyNumberFormat="1" applyFont="1"/>
    <xf numFmtId="0" fontId="0" fillId="11" borderId="0" xfId="0" applyFill="1"/>
    <xf numFmtId="0" fontId="0" fillId="7" borderId="0" xfId="0" applyFill="1"/>
    <xf numFmtId="2" fontId="0" fillId="0" borderId="0" xfId="0" applyNumberFormat="1" applyAlignment="1">
      <alignment horizontal="right"/>
    </xf>
    <xf numFmtId="10" fontId="11" fillId="7" borderId="0" xfId="0" applyNumberFormat="1" applyFont="1" applyFill="1"/>
    <xf numFmtId="10" fontId="0" fillId="9" borderId="0" xfId="0" applyNumberFormat="1" applyFill="1"/>
    <xf numFmtId="10" fontId="0" fillId="3" borderId="0" xfId="0" applyNumberFormat="1" applyFill="1"/>
    <xf numFmtId="10" fontId="0" fillId="2" borderId="0" xfId="0" applyNumberFormat="1" applyFill="1"/>
    <xf numFmtId="10" fontId="0" fillId="0" borderId="0" xfId="0" applyNumberFormat="1"/>
    <xf numFmtId="10" fontId="6" fillId="0" borderId="0" xfId="0" applyNumberFormat="1" applyFont="1"/>
    <xf numFmtId="10" fontId="2" fillId="0" borderId="0" xfId="0" applyNumberFormat="1" applyFont="1"/>
    <xf numFmtId="10" fontId="10" fillId="0" borderId="0" xfId="0" applyNumberFormat="1" applyFont="1"/>
    <xf numFmtId="10" fontId="9" fillId="0" borderId="0" xfId="0" applyNumberFormat="1" applyFont="1"/>
    <xf numFmtId="10" fontId="0" fillId="0" borderId="0" xfId="0" applyNumberFormat="1" applyAlignment="1">
      <alignment vertical="top"/>
    </xf>
    <xf numFmtId="10" fontId="2" fillId="2" borderId="0" xfId="0" applyNumberFormat="1" applyFont="1" applyFill="1" applyAlignment="1">
      <alignment vertical="top"/>
    </xf>
    <xf numFmtId="10" fontId="4" fillId="0" borderId="0" xfId="0" applyNumberFormat="1" applyFont="1" applyAlignment="1">
      <alignment vertical="top"/>
    </xf>
    <xf numFmtId="10" fontId="8" fillId="2" borderId="0" xfId="0" applyNumberFormat="1" applyFont="1" applyFill="1" applyAlignment="1">
      <alignment vertical="top"/>
    </xf>
    <xf numFmtId="10" fontId="7" fillId="0" borderId="0" xfId="0" applyNumberFormat="1" applyFont="1" applyAlignment="1">
      <alignment vertical="top"/>
    </xf>
    <xf numFmtId="10" fontId="2" fillId="2" borderId="0" xfId="0" applyNumberFormat="1" applyFont="1" applyFill="1"/>
    <xf numFmtId="10" fontId="0" fillId="0" borderId="0" xfId="2" applyNumberFormat="1" applyFont="1" applyBorder="1" applyAlignment="1">
      <alignment vertical="top"/>
    </xf>
    <xf numFmtId="10" fontId="0" fillId="0" borderId="0" xfId="1" applyNumberFormat="1" applyFont="1" applyBorder="1" applyAlignment="1">
      <alignment vertical="top"/>
    </xf>
    <xf numFmtId="10" fontId="2" fillId="0" borderId="0" xfId="2" applyNumberFormat="1" applyFont="1" applyBorder="1" applyAlignment="1">
      <alignment vertical="top"/>
    </xf>
    <xf numFmtId="10" fontId="6" fillId="0" borderId="0" xfId="2" applyNumberFormat="1" applyFont="1" applyBorder="1" applyAlignment="1">
      <alignment vertical="top"/>
    </xf>
    <xf numFmtId="9" fontId="2" fillId="2" borderId="0" xfId="0" applyNumberFormat="1" applyFont="1" applyFill="1" applyAlignment="1">
      <alignment vertical="top"/>
    </xf>
    <xf numFmtId="9" fontId="8" fillId="2" borderId="0" xfId="0" applyNumberFormat="1" applyFont="1" applyFill="1" applyAlignment="1">
      <alignment vertical="top"/>
    </xf>
    <xf numFmtId="9" fontId="2" fillId="2" borderId="0" xfId="0" applyNumberFormat="1" applyFont="1" applyFill="1"/>
    <xf numFmtId="164" fontId="0" fillId="0" borderId="0" xfId="0" applyNumberFormat="1"/>
    <xf numFmtId="0" fontId="5" fillId="0" borderId="0" xfId="0" applyFont="1"/>
    <xf numFmtId="2" fontId="0" fillId="12" borderId="0" xfId="0" applyNumberFormat="1" applyFill="1"/>
    <xf numFmtId="0" fontId="0" fillId="12" borderId="0" xfId="0" applyFill="1"/>
    <xf numFmtId="0" fontId="2" fillId="12" borderId="0" xfId="0" applyFont="1" applyFill="1" applyAlignment="1">
      <alignment vertical="top"/>
    </xf>
    <xf numFmtId="0" fontId="2" fillId="12" borderId="0" xfId="0" applyFont="1" applyFill="1"/>
    <xf numFmtId="9" fontId="0" fillId="12" borderId="0" xfId="2" applyFont="1" applyFill="1"/>
    <xf numFmtId="2" fontId="0" fillId="12" borderId="0" xfId="2" applyNumberFormat="1" applyFont="1" applyFill="1"/>
    <xf numFmtId="0" fontId="0" fillId="12" borderId="3" xfId="0" applyFill="1" applyBorder="1" applyAlignment="1">
      <alignment vertical="top"/>
    </xf>
    <xf numFmtId="10" fontId="0" fillId="12" borderId="0" xfId="0" applyNumberFormat="1" applyFill="1"/>
    <xf numFmtId="0" fontId="12" fillId="0" borderId="0" xfId="0" applyFont="1" applyAlignment="1">
      <alignment horizontal="left"/>
    </xf>
    <xf numFmtId="43" fontId="12" fillId="0" borderId="0" xfId="0" applyNumberFormat="1" applyFont="1"/>
    <xf numFmtId="2" fontId="12" fillId="0" borderId="0" xfId="0" applyNumberFormat="1" applyFont="1"/>
    <xf numFmtId="43" fontId="5" fillId="0" borderId="0" xfId="0" applyNumberFormat="1" applyFont="1"/>
    <xf numFmtId="0" fontId="0" fillId="14" borderId="0" xfId="0" applyFill="1"/>
    <xf numFmtId="43" fontId="0" fillId="14" borderId="0" xfId="0" applyNumberFormat="1" applyFill="1"/>
    <xf numFmtId="165" fontId="5" fillId="0" borderId="0" xfId="0" applyNumberFormat="1" applyFont="1"/>
    <xf numFmtId="2" fontId="0" fillId="14" borderId="0" xfId="0" applyNumberFormat="1" applyFill="1"/>
    <xf numFmtId="0" fontId="0" fillId="6" borderId="0" xfId="0" applyFill="1" applyAlignment="1">
      <alignment horizontal="left"/>
    </xf>
    <xf numFmtId="43" fontId="0" fillId="6" borderId="0" xfId="0" applyNumberFormat="1" applyFill="1"/>
    <xf numFmtId="10" fontId="13" fillId="0" borderId="0" xfId="0" applyNumberFormat="1" applyFont="1"/>
    <xf numFmtId="10" fontId="12" fillId="0" borderId="0" xfId="0" applyNumberFormat="1" applyFont="1"/>
    <xf numFmtId="43" fontId="5" fillId="12" borderId="0" xfId="1" applyFont="1" applyFill="1"/>
    <xf numFmtId="43" fontId="4" fillId="0" borderId="0" xfId="0" applyNumberFormat="1" applyFont="1"/>
    <xf numFmtId="43" fontId="0" fillId="0" borderId="0" xfId="4" applyFont="1"/>
    <xf numFmtId="43" fontId="2" fillId="0" borderId="0" xfId="0" applyNumberFormat="1" applyFont="1"/>
    <xf numFmtId="0" fontId="0" fillId="4" borderId="0" xfId="0" applyFill="1"/>
    <xf numFmtId="0" fontId="13" fillId="0" borderId="0" xfId="0" applyFont="1"/>
    <xf numFmtId="0" fontId="2" fillId="0" borderId="0" xfId="0" applyFont="1" applyAlignment="1">
      <alignment vertical="top"/>
    </xf>
    <xf numFmtId="43" fontId="12" fillId="0" borderId="0" xfId="4" applyFont="1"/>
    <xf numFmtId="2" fontId="2" fillId="0" borderId="0" xfId="0" applyNumberFormat="1" applyFont="1"/>
    <xf numFmtId="164" fontId="12" fillId="0" borderId="0" xfId="0" applyNumberFormat="1" applyFont="1"/>
    <xf numFmtId="9" fontId="2" fillId="0" borderId="0" xfId="2" applyFont="1"/>
    <xf numFmtId="0" fontId="8" fillId="0" borderId="0" xfId="0" applyFont="1"/>
    <xf numFmtId="43" fontId="2" fillId="0" borderId="0" xfId="4" applyFont="1"/>
    <xf numFmtId="43" fontId="2" fillId="0" borderId="0" xfId="1" applyFont="1"/>
    <xf numFmtId="43" fontId="12" fillId="0" borderId="0" xfId="0" applyNumberFormat="1" applyFont="1" applyAlignment="1">
      <alignment horizontal="right"/>
    </xf>
    <xf numFmtId="43" fontId="2" fillId="13" borderId="0" xfId="1" applyFont="1" applyFill="1"/>
    <xf numFmtId="43" fontId="2" fillId="8" borderId="0" xfId="4" applyFont="1" applyFill="1"/>
    <xf numFmtId="43" fontId="2" fillId="0" borderId="0" xfId="4" applyFont="1" applyFill="1"/>
    <xf numFmtId="43" fontId="2" fillId="0" borderId="0" xfId="1" applyFont="1" applyFill="1"/>
    <xf numFmtId="9" fontId="2" fillId="0" borderId="0" xfId="0" applyNumberFormat="1" applyFont="1"/>
    <xf numFmtId="43" fontId="2" fillId="0" borderId="0" xfId="2" applyNumberFormat="1" applyFont="1" applyFill="1"/>
    <xf numFmtId="10" fontId="2" fillId="0" borderId="0" xfId="0" applyNumberFormat="1" applyFont="1" applyAlignment="1">
      <alignment vertical="top"/>
    </xf>
    <xf numFmtId="0" fontId="12" fillId="12" borderId="0" xfId="0" applyFont="1" applyFill="1"/>
    <xf numFmtId="9" fontId="12" fillId="0" borderId="0" xfId="2" applyFont="1" applyBorder="1"/>
    <xf numFmtId="9" fontId="12" fillId="0" borderId="0" xfId="2" applyFont="1"/>
    <xf numFmtId="10" fontId="12" fillId="12" borderId="0" xfId="0" applyNumberFormat="1" applyFont="1" applyFill="1"/>
    <xf numFmtId="10" fontId="15" fillId="0" borderId="0" xfId="0" applyNumberFormat="1" applyFont="1"/>
    <xf numFmtId="10" fontId="12" fillId="0" borderId="0" xfId="0" applyNumberFormat="1" applyFont="1" applyAlignment="1">
      <alignment vertical="top"/>
    </xf>
    <xf numFmtId="10" fontId="13" fillId="0" borderId="0" xfId="0" applyNumberFormat="1" applyFont="1" applyAlignment="1">
      <alignment vertical="top"/>
    </xf>
    <xf numFmtId="9" fontId="13" fillId="0" borderId="0" xfId="2" applyFont="1" applyBorder="1"/>
    <xf numFmtId="10" fontId="12" fillId="0" borderId="0" xfId="1" applyNumberFormat="1" applyFont="1" applyBorder="1" applyAlignment="1">
      <alignment vertical="top"/>
    </xf>
    <xf numFmtId="9" fontId="13" fillId="0" borderId="0" xfId="0" applyNumberFormat="1" applyFont="1" applyAlignment="1">
      <alignment vertical="top"/>
    </xf>
    <xf numFmtId="166" fontId="12" fillId="12" borderId="0" xfId="2" applyNumberFormat="1" applyFont="1" applyFill="1"/>
    <xf numFmtId="43" fontId="2" fillId="6" borderId="0" xfId="0" applyNumberFormat="1" applyFont="1" applyFill="1"/>
    <xf numFmtId="0" fontId="13" fillId="17" borderId="0" xfId="0" applyFont="1" applyFill="1"/>
    <xf numFmtId="0" fontId="5" fillId="17" borderId="0" xfId="0" applyFont="1" applyFill="1"/>
    <xf numFmtId="0" fontId="13" fillId="18" borderId="0" xfId="0" applyFont="1" applyFill="1"/>
    <xf numFmtId="0" fontId="5" fillId="18" borderId="0" xfId="0" applyFont="1" applyFill="1"/>
    <xf numFmtId="2" fontId="2" fillId="12" borderId="0" xfId="0" applyNumberFormat="1" applyFont="1" applyFill="1" applyAlignment="1">
      <alignment vertical="top"/>
    </xf>
    <xf numFmtId="0" fontId="5" fillId="3" borderId="0" xfId="0" applyFont="1" applyFill="1"/>
    <xf numFmtId="43" fontId="5" fillId="0" borderId="0" xfId="4" applyFont="1"/>
    <xf numFmtId="43" fontId="8" fillId="0" borderId="0" xfId="0" applyNumberFormat="1" applyFont="1"/>
    <xf numFmtId="0" fontId="5" fillId="14" borderId="0" xfId="0" applyFont="1" applyFill="1"/>
    <xf numFmtId="0" fontId="17" fillId="0" borderId="0" xfId="0" applyFont="1"/>
    <xf numFmtId="43" fontId="8" fillId="0" borderId="0" xfId="4" applyFont="1"/>
    <xf numFmtId="43" fontId="8" fillId="0" borderId="0" xfId="1" applyFont="1"/>
    <xf numFmtId="0" fontId="8" fillId="0" borderId="0" xfId="0" applyFont="1" applyAlignment="1">
      <alignment vertical="top"/>
    </xf>
    <xf numFmtId="10" fontId="18" fillId="0" borderId="0" xfId="0" applyNumberFormat="1" applyFont="1"/>
    <xf numFmtId="2" fontId="2" fillId="6" borderId="0" xfId="0" applyNumberFormat="1" applyFont="1" applyFill="1"/>
    <xf numFmtId="0" fontId="0" fillId="19" borderId="0" xfId="0" applyFill="1"/>
    <xf numFmtId="0" fontId="2" fillId="19" borderId="0" xfId="0" applyFont="1" applyFill="1" applyAlignment="1">
      <alignment vertical="top"/>
    </xf>
    <xf numFmtId="0" fontId="14" fillId="20" borderId="0" xfId="0" applyFont="1" applyFill="1"/>
    <xf numFmtId="0" fontId="0" fillId="18" borderId="0" xfId="0" applyFill="1"/>
    <xf numFmtId="0" fontId="2" fillId="9" borderId="1" xfId="0" applyFont="1" applyFill="1" applyBorder="1" applyAlignment="1">
      <alignment vertical="top"/>
    </xf>
    <xf numFmtId="43" fontId="2" fillId="21" borderId="0" xfId="4" applyFont="1" applyFill="1"/>
    <xf numFmtId="0" fontId="14" fillId="12" borderId="0" xfId="0" applyFont="1" applyFill="1"/>
    <xf numFmtId="0" fontId="2" fillId="17" borderId="0" xfId="0" applyFont="1" applyFill="1" applyAlignment="1">
      <alignment vertical="top"/>
    </xf>
    <xf numFmtId="0" fontId="2" fillId="22" borderId="1" xfId="0" applyFont="1" applyFill="1" applyBorder="1" applyAlignment="1">
      <alignment vertical="top"/>
    </xf>
    <xf numFmtId="2" fontId="0" fillId="4" borderId="0" xfId="0" applyNumberFormat="1" applyFill="1"/>
    <xf numFmtId="2" fontId="0" fillId="12" borderId="3" xfId="0" applyNumberFormat="1" applyFill="1" applyBorder="1" applyAlignment="1">
      <alignment vertical="top"/>
    </xf>
    <xf numFmtId="2" fontId="2" fillId="12" borderId="0" xfId="0" applyNumberFormat="1" applyFont="1" applyFill="1"/>
    <xf numFmtId="9" fontId="2" fillId="6" borderId="0" xfId="2" applyFont="1" applyFill="1"/>
    <xf numFmtId="43" fontId="5" fillId="14" borderId="0" xfId="0" applyNumberFormat="1" applyFont="1" applyFill="1"/>
    <xf numFmtId="0" fontId="5" fillId="23" borderId="0" xfId="0" applyFont="1" applyFill="1"/>
    <xf numFmtId="0" fontId="0" fillId="23" borderId="0" xfId="0" applyFill="1"/>
    <xf numFmtId="0" fontId="8" fillId="23" borderId="0" xfId="0" applyFont="1" applyFill="1"/>
    <xf numFmtId="0" fontId="19" fillId="6" borderId="4" xfId="0" applyFont="1" applyFill="1" applyBorder="1" applyAlignment="1">
      <alignment horizontal="left" vertical="center"/>
    </xf>
    <xf numFmtId="0" fontId="2" fillId="24" borderId="0" xfId="0" applyFont="1" applyFill="1"/>
    <xf numFmtId="9" fontId="0" fillId="0" borderId="0" xfId="0" applyNumberFormat="1" applyAlignment="1">
      <alignment vertical="top"/>
    </xf>
    <xf numFmtId="9" fontId="0" fillId="0" borderId="0" xfId="1" applyNumberFormat="1" applyFont="1"/>
    <xf numFmtId="43" fontId="0" fillId="14" borderId="0" xfId="1" applyFont="1" applyFill="1"/>
    <xf numFmtId="10" fontId="8" fillId="23" borderId="0" xfId="0" applyNumberFormat="1" applyFont="1" applyFill="1"/>
    <xf numFmtId="2" fontId="2" fillId="25" borderId="0" xfId="0" applyNumberFormat="1" applyFont="1" applyFill="1"/>
    <xf numFmtId="0" fontId="0" fillId="26" borderId="0" xfId="0" applyFill="1"/>
    <xf numFmtId="0" fontId="5" fillId="26" borderId="0" xfId="0" applyFont="1" applyFill="1"/>
    <xf numFmtId="164" fontId="2" fillId="0" borderId="0" xfId="0" applyNumberFormat="1" applyFont="1"/>
    <xf numFmtId="167" fontId="2" fillId="0" borderId="0" xfId="0" applyNumberFormat="1" applyFont="1"/>
    <xf numFmtId="9" fontId="0" fillId="12" borderId="0" xfId="0" applyNumberFormat="1" applyFill="1"/>
    <xf numFmtId="0" fontId="0" fillId="25" borderId="0" xfId="0" applyFill="1"/>
    <xf numFmtId="10" fontId="0" fillId="25" borderId="0" xfId="0" applyNumberFormat="1" applyFill="1"/>
    <xf numFmtId="2" fontId="0" fillId="18" borderId="0" xfId="0" applyNumberFormat="1" applyFill="1"/>
    <xf numFmtId="10" fontId="0" fillId="18" borderId="0" xfId="0" applyNumberFormat="1" applyFill="1"/>
    <xf numFmtId="9" fontId="0" fillId="18" borderId="0" xfId="0" applyNumberFormat="1" applyFill="1"/>
    <xf numFmtId="0" fontId="5" fillId="8" borderId="0" xfId="0" applyFont="1" applyFill="1"/>
    <xf numFmtId="0" fontId="5" fillId="15" borderId="0" xfId="0" applyFont="1" applyFill="1"/>
    <xf numFmtId="0" fontId="5" fillId="25" borderId="0" xfId="0" applyFont="1" applyFill="1"/>
    <xf numFmtId="10" fontId="5" fillId="25" borderId="0" xfId="0" applyNumberFormat="1" applyFont="1" applyFill="1"/>
    <xf numFmtId="10" fontId="5" fillId="8" borderId="0" xfId="0" applyNumberFormat="1" applyFont="1" applyFill="1"/>
    <xf numFmtId="10" fontId="5" fillId="17" borderId="0" xfId="0" applyNumberFormat="1" applyFont="1" applyFill="1"/>
    <xf numFmtId="43" fontId="12" fillId="0" borderId="0" xfId="2" applyNumberFormat="1" applyFont="1" applyFill="1"/>
    <xf numFmtId="0" fontId="8" fillId="26" borderId="0" xfId="0" applyFont="1" applyFill="1"/>
    <xf numFmtId="0" fontId="0" fillId="24" borderId="0" xfId="0" applyFill="1"/>
    <xf numFmtId="43" fontId="11" fillId="28" borderId="0" xfId="0" applyNumberFormat="1" applyFont="1" applyFill="1"/>
    <xf numFmtId="43" fontId="11" fillId="25" borderId="0" xfId="1" applyFont="1" applyFill="1"/>
    <xf numFmtId="169" fontId="0" fillId="0" borderId="0" xfId="0" applyNumberFormat="1"/>
    <xf numFmtId="0" fontId="5" fillId="9" borderId="0" xfId="0" applyFont="1" applyFill="1"/>
    <xf numFmtId="2" fontId="0" fillId="24" borderId="0" xfId="0" applyNumberFormat="1" applyFill="1"/>
    <xf numFmtId="2" fontId="8" fillId="0" borderId="0" xfId="0" applyNumberFormat="1" applyFont="1"/>
    <xf numFmtId="43" fontId="8" fillId="0" borderId="0" xfId="1" applyFont="1" applyFill="1"/>
    <xf numFmtId="43" fontId="0" fillId="24" borderId="0" xfId="1" applyFont="1" applyFill="1"/>
    <xf numFmtId="0" fontId="2" fillId="0" borderId="0" xfId="0" applyFont="1" applyAlignment="1">
      <alignment horizontal="left"/>
    </xf>
    <xf numFmtId="0" fontId="0" fillId="29" borderId="0" xfId="0" applyFill="1"/>
    <xf numFmtId="0" fontId="0" fillId="27" borderId="0" xfId="0" applyFill="1"/>
    <xf numFmtId="43" fontId="0" fillId="27" borderId="0" xfId="1" applyFont="1" applyFill="1"/>
    <xf numFmtId="43" fontId="0" fillId="27" borderId="0" xfId="0" applyNumberFormat="1" applyFill="1"/>
    <xf numFmtId="43" fontId="0" fillId="29" borderId="0" xfId="0" applyNumberFormat="1" applyFill="1"/>
    <xf numFmtId="0" fontId="11" fillId="30" borderId="0" xfId="0" applyFont="1" applyFill="1"/>
    <xf numFmtId="9" fontId="0" fillId="27" borderId="0" xfId="0" applyNumberFormat="1" applyFill="1"/>
    <xf numFmtId="43" fontId="0" fillId="29" borderId="0" xfId="1" applyFont="1" applyFill="1"/>
    <xf numFmtId="2" fontId="0" fillId="27" borderId="0" xfId="0" applyNumberFormat="1" applyFill="1"/>
    <xf numFmtId="9" fontId="0" fillId="27" borderId="0" xfId="1" applyNumberFormat="1" applyFont="1" applyFill="1"/>
    <xf numFmtId="164" fontId="0" fillId="27" borderId="0" xfId="0" applyNumberFormat="1" applyFill="1"/>
    <xf numFmtId="168" fontId="0" fillId="27" borderId="0" xfId="0" applyNumberFormat="1" applyFill="1"/>
    <xf numFmtId="2" fontId="5" fillId="0" borderId="0" xfId="0" applyNumberFormat="1" applyFont="1"/>
    <xf numFmtId="43" fontId="5" fillId="0" borderId="0" xfId="1" applyFont="1"/>
    <xf numFmtId="0" fontId="4" fillId="14" borderId="0" xfId="0" applyFont="1" applyFill="1"/>
    <xf numFmtId="2" fontId="2" fillId="0" borderId="1" xfId="0" applyNumberFormat="1" applyFont="1" applyBorder="1"/>
    <xf numFmtId="2" fontId="20" fillId="0" borderId="1" xfId="0" applyNumberFormat="1" applyFont="1" applyBorder="1"/>
    <xf numFmtId="0" fontId="20" fillId="0" borderId="1" xfId="0" applyFont="1" applyBorder="1"/>
    <xf numFmtId="0" fontId="0" fillId="29" borderId="0" xfId="1" applyNumberFormat="1" applyFont="1" applyFill="1"/>
    <xf numFmtId="9" fontId="0" fillId="27" borderId="0" xfId="2" applyFont="1" applyFill="1"/>
    <xf numFmtId="43" fontId="5" fillId="0" borderId="0" xfId="1" applyFont="1" applyFill="1"/>
    <xf numFmtId="2" fontId="2" fillId="5" borderId="0" xfId="0" applyNumberFormat="1" applyFont="1" applyFill="1"/>
    <xf numFmtId="10" fontId="0" fillId="27" borderId="0" xfId="1" applyNumberFormat="1" applyFont="1" applyFill="1"/>
    <xf numFmtId="9" fontId="0" fillId="5" borderId="0" xfId="0" applyNumberFormat="1" applyFill="1"/>
    <xf numFmtId="43" fontId="0" fillId="8" borderId="0" xfId="1" applyFont="1" applyFill="1"/>
    <xf numFmtId="43" fontId="0" fillId="9" borderId="0" xfId="1" applyFont="1" applyFill="1"/>
    <xf numFmtId="43" fontId="0" fillId="27" borderId="0" xfId="2" applyNumberFormat="1" applyFont="1" applyFill="1"/>
    <xf numFmtId="43" fontId="0" fillId="4" borderId="0" xfId="1" applyFont="1" applyFill="1"/>
    <xf numFmtId="43" fontId="0" fillId="24" borderId="0" xfId="0" applyNumberFormat="1" applyFill="1"/>
    <xf numFmtId="0" fontId="5" fillId="24" borderId="0" xfId="0" applyFont="1" applyFill="1"/>
    <xf numFmtId="43" fontId="0" fillId="18" borderId="0" xfId="1" applyFont="1" applyFill="1"/>
    <xf numFmtId="43" fontId="0" fillId="5" borderId="0" xfId="1" applyFont="1" applyFill="1"/>
    <xf numFmtId="0" fontId="5" fillId="16" borderId="0" xfId="0" applyFont="1" applyFill="1"/>
    <xf numFmtId="43" fontId="0" fillId="25" borderId="0" xfId="1" applyFont="1" applyFill="1"/>
    <xf numFmtId="43" fontId="0" fillId="25" borderId="0" xfId="0" applyNumberFormat="1" applyFill="1"/>
    <xf numFmtId="0" fontId="21" fillId="0" borderId="1" xfId="0" applyFont="1" applyBorder="1" applyAlignment="1">
      <alignment vertical="top"/>
    </xf>
    <xf numFmtId="0" fontId="5" fillId="2" borderId="0" xfId="0" applyFont="1" applyFill="1"/>
    <xf numFmtId="0" fontId="2" fillId="9" borderId="0" xfId="0" applyFont="1" applyFill="1" applyAlignment="1">
      <alignment vertical="top"/>
    </xf>
    <xf numFmtId="43" fontId="11" fillId="0" borderId="0" xfId="1" applyFont="1" applyFill="1"/>
    <xf numFmtId="0" fontId="0" fillId="31" borderId="0" xfId="0" applyFill="1"/>
    <xf numFmtId="0" fontId="2" fillId="31" borderId="0" xfId="0" applyFont="1" applyFill="1"/>
    <xf numFmtId="0" fontId="0" fillId="32" borderId="0" xfId="0" applyFill="1"/>
    <xf numFmtId="0" fontId="2" fillId="33" borderId="0" xfId="0" applyFont="1" applyFill="1"/>
    <xf numFmtId="170" fontId="0" fillId="0" borderId="0" xfId="0" applyNumberFormat="1"/>
    <xf numFmtId="172" fontId="2" fillId="0" borderId="0" xfId="0" applyNumberFormat="1" applyFont="1"/>
    <xf numFmtId="172" fontId="2" fillId="6" borderId="0" xfId="0" applyNumberFormat="1" applyFont="1" applyFill="1"/>
    <xf numFmtId="43" fontId="0" fillId="3" borderId="0" xfId="0" applyNumberFormat="1" applyFill="1"/>
    <xf numFmtId="10" fontId="5" fillId="0" borderId="0" xfId="0" applyNumberFormat="1" applyFont="1"/>
    <xf numFmtId="43" fontId="4" fillId="0" borderId="0" xfId="4" applyFont="1"/>
    <xf numFmtId="173" fontId="0" fillId="0" borderId="0" xfId="1" applyNumberFormat="1" applyFont="1" applyFill="1"/>
    <xf numFmtId="174" fontId="0" fillId="27" borderId="0" xfId="1" applyNumberFormat="1" applyFont="1" applyFill="1"/>
    <xf numFmtId="9" fontId="0" fillId="0" borderId="0" xfId="2" applyFont="1" applyFill="1"/>
    <xf numFmtId="170" fontId="0" fillId="0" borderId="0" xfId="1" applyNumberFormat="1" applyFont="1" applyFill="1"/>
    <xf numFmtId="173" fontId="0" fillId="27" borderId="0" xfId="1" applyNumberFormat="1" applyFont="1" applyFill="1"/>
    <xf numFmtId="175" fontId="0" fillId="27" borderId="0" xfId="1" applyNumberFormat="1" applyFont="1" applyFill="1"/>
    <xf numFmtId="176" fontId="0" fillId="0" borderId="0" xfId="0" applyNumberFormat="1"/>
    <xf numFmtId="0" fontId="0" fillId="27" borderId="0" xfId="1" applyNumberFormat="1" applyFont="1" applyFill="1"/>
    <xf numFmtId="0" fontId="0" fillId="27" borderId="0" xfId="2" applyNumberFormat="1" applyFont="1" applyFill="1"/>
    <xf numFmtId="164" fontId="0" fillId="0" borderId="0" xfId="0" applyNumberFormat="1" applyAlignment="1">
      <alignment vertical="top"/>
    </xf>
    <xf numFmtId="164" fontId="0" fillId="27" borderId="0" xfId="1" applyNumberFormat="1" applyFont="1" applyFill="1"/>
    <xf numFmtId="164" fontId="0" fillId="27" borderId="0" xfId="2" applyNumberFormat="1" applyFont="1" applyFill="1"/>
    <xf numFmtId="164" fontId="0" fillId="5" borderId="0" xfId="0" applyNumberFormat="1" applyFill="1"/>
    <xf numFmtId="171" fontId="0" fillId="0" borderId="0" xfId="0" applyNumberFormat="1"/>
    <xf numFmtId="171" fontId="0" fillId="5" borderId="0" xfId="0" applyNumberFormat="1" applyFill="1"/>
    <xf numFmtId="166" fontId="0" fillId="0" borderId="0" xfId="0" applyNumberFormat="1"/>
    <xf numFmtId="171" fontId="2" fillId="0" borderId="0" xfId="0" applyNumberFormat="1" applyFont="1"/>
    <xf numFmtId="171" fontId="0" fillId="0" borderId="0" xfId="0" applyNumberFormat="1" applyAlignment="1">
      <alignment vertical="top"/>
    </xf>
    <xf numFmtId="171" fontId="0" fillId="27" borderId="0" xfId="0" applyNumberFormat="1" applyFill="1"/>
    <xf numFmtId="171" fontId="0" fillId="27" borderId="0" xfId="2" applyNumberFormat="1" applyFont="1" applyFill="1"/>
    <xf numFmtId="173" fontId="2" fillId="13" borderId="0" xfId="1" applyNumberFormat="1" applyFont="1" applyFill="1"/>
    <xf numFmtId="167" fontId="4" fillId="0" borderId="0" xfId="0" applyNumberFormat="1" applyFont="1"/>
    <xf numFmtId="0" fontId="17" fillId="0" borderId="0" xfId="0" applyFont="1" applyAlignment="1">
      <alignment horizontal="left"/>
    </xf>
    <xf numFmtId="43" fontId="17" fillId="0" borderId="0" xfId="0" applyNumberFormat="1" applyFont="1"/>
    <xf numFmtId="2" fontId="17" fillId="0" borderId="0" xfId="0" applyNumberFormat="1" applyFont="1"/>
    <xf numFmtId="173" fontId="0" fillId="24" borderId="0" xfId="0" applyNumberFormat="1" applyFill="1"/>
    <xf numFmtId="168" fontId="0" fillId="0" borderId="0" xfId="0" applyNumberFormat="1"/>
    <xf numFmtId="173" fontId="0" fillId="0" borderId="0" xfId="0" applyNumberFormat="1"/>
    <xf numFmtId="173" fontId="0" fillId="27" borderId="0" xfId="0" applyNumberFormat="1" applyFill="1"/>
    <xf numFmtId="177" fontId="2" fillId="0" borderId="0" xfId="2" applyNumberFormat="1" applyFont="1"/>
    <xf numFmtId="177" fontId="2" fillId="6" borderId="0" xfId="2" applyNumberFormat="1" applyFont="1" applyFill="1"/>
    <xf numFmtId="171" fontId="2" fillId="13" borderId="0" xfId="1" applyNumberFormat="1" applyFont="1" applyFill="1"/>
    <xf numFmtId="171" fontId="2" fillId="0" borderId="0" xfId="1" applyNumberFormat="1" applyFont="1" applyFill="1"/>
    <xf numFmtId="43" fontId="0" fillId="24" borderId="0" xfId="0" applyNumberFormat="1" applyFill="1" applyAlignment="1">
      <alignment horizontal="left"/>
    </xf>
    <xf numFmtId="178" fontId="0" fillId="24" borderId="0" xfId="0" applyNumberFormat="1" applyFill="1"/>
    <xf numFmtId="43" fontId="24" fillId="27" borderId="0" xfId="1" applyFont="1" applyFill="1"/>
    <xf numFmtId="173" fontId="7" fillId="0" borderId="1" xfId="3" applyNumberFormat="1" applyFont="1" applyFill="1" applyBorder="1" applyAlignment="1">
      <alignment vertical="top"/>
    </xf>
    <xf numFmtId="43" fontId="0" fillId="0" borderId="0" xfId="1" applyFont="1" applyFill="1" applyAlignment="1">
      <alignment horizontal="left"/>
    </xf>
    <xf numFmtId="43" fontId="24" fillId="27" borderId="0" xfId="0" applyNumberFormat="1" applyFont="1" applyFill="1"/>
    <xf numFmtId="2" fontId="24" fillId="27" borderId="0" xfId="0" applyNumberFormat="1" applyFont="1" applyFill="1"/>
    <xf numFmtId="43" fontId="24" fillId="13" borderId="0" xfId="1" applyFont="1" applyFill="1"/>
    <xf numFmtId="43" fontId="0" fillId="4" borderId="0" xfId="0" applyNumberFormat="1" applyFill="1"/>
    <xf numFmtId="179" fontId="2" fillId="0" borderId="0" xfId="2" applyNumberFormat="1" applyFont="1"/>
    <xf numFmtId="179" fontId="17" fillId="0" borderId="0" xfId="2" applyNumberFormat="1" applyFont="1" applyFill="1"/>
    <xf numFmtId="0" fontId="8" fillId="4" borderId="0" xfId="0" applyFont="1" applyFill="1"/>
    <xf numFmtId="0" fontId="2" fillId="12" borderId="3" xfId="0" applyFont="1" applyFill="1" applyBorder="1" applyAlignment="1">
      <alignment vertical="top"/>
    </xf>
    <xf numFmtId="170" fontId="0" fillId="27" borderId="0" xfId="0" applyNumberFormat="1" applyFill="1"/>
    <xf numFmtId="175" fontId="0" fillId="0" borderId="0" xfId="0" applyNumberFormat="1"/>
    <xf numFmtId="165" fontId="0" fillId="0" borderId="0" xfId="0" applyNumberFormat="1"/>
    <xf numFmtId="43" fontId="0" fillId="14" borderId="0" xfId="1" applyFont="1" applyFill="1" applyAlignment="1">
      <alignment horizontal="right"/>
    </xf>
    <xf numFmtId="43" fontId="2" fillId="0" borderId="0" xfId="0" applyNumberFormat="1" applyFont="1" applyAlignment="1">
      <alignment horizontal="left"/>
    </xf>
    <xf numFmtId="10" fontId="2" fillId="0" borderId="0" xfId="1" applyNumberFormat="1" applyFont="1" applyFill="1"/>
    <xf numFmtId="43" fontId="27" fillId="13" borderId="0" xfId="1" applyFont="1" applyFill="1"/>
    <xf numFmtId="10" fontId="0" fillId="6" borderId="0" xfId="0" applyNumberFormat="1" applyFill="1"/>
    <xf numFmtId="3" fontId="0" fillId="0" borderId="0" xfId="0" applyNumberFormat="1"/>
    <xf numFmtId="2" fontId="27" fillId="4" borderId="0" xfId="0" applyNumberFormat="1" applyFont="1" applyFill="1"/>
    <xf numFmtId="9" fontId="0" fillId="6" borderId="0" xfId="0" applyNumberFormat="1" applyFill="1"/>
    <xf numFmtId="43" fontId="27" fillId="8" borderId="0" xfId="4" applyFont="1" applyFill="1"/>
    <xf numFmtId="2" fontId="27" fillId="24" borderId="0" xfId="0" applyNumberFormat="1" applyFont="1" applyFill="1"/>
    <xf numFmtId="9" fontId="27" fillId="13" borderId="0" xfId="1" applyNumberFormat="1" applyFont="1" applyFill="1"/>
    <xf numFmtId="10" fontId="27" fillId="13" borderId="0" xfId="1" applyNumberFormat="1" applyFont="1" applyFill="1"/>
    <xf numFmtId="10" fontId="27" fillId="4" borderId="0" xfId="1" applyNumberFormat="1" applyFont="1" applyFill="1"/>
    <xf numFmtId="180" fontId="28" fillId="34" borderId="0" xfId="0" applyNumberFormat="1" applyFont="1" applyFill="1" applyAlignment="1">
      <alignment horizontal="right"/>
    </xf>
    <xf numFmtId="0" fontId="29" fillId="9" borderId="0" xfId="0" applyFont="1" applyFill="1" applyAlignment="1">
      <alignment horizontal="left"/>
    </xf>
    <xf numFmtId="170" fontId="0" fillId="24" borderId="0" xfId="0" applyNumberFormat="1" applyFill="1"/>
    <xf numFmtId="170" fontId="0" fillId="14" borderId="0" xfId="0" applyNumberFormat="1" applyFill="1"/>
    <xf numFmtId="170" fontId="0" fillId="29" borderId="0" xfId="0" applyNumberFormat="1" applyFill="1"/>
    <xf numFmtId="170" fontId="0" fillId="27" borderId="0" xfId="1" applyNumberFormat="1" applyFont="1" applyFill="1"/>
    <xf numFmtId="170" fontId="5" fillId="0" borderId="0" xfId="0" applyNumberFormat="1" applyFont="1"/>
    <xf numFmtId="170" fontId="0" fillId="0" borderId="0" xfId="1" applyNumberFormat="1" applyFont="1"/>
    <xf numFmtId="170" fontId="4" fillId="14" borderId="0" xfId="0" applyNumberFormat="1" applyFont="1" applyFill="1"/>
    <xf numFmtId="170" fontId="2" fillId="0" borderId="0" xfId="0" applyNumberFormat="1" applyFont="1"/>
    <xf numFmtId="170" fontId="0" fillId="18" borderId="0" xfId="0" applyNumberFormat="1" applyFill="1"/>
    <xf numFmtId="170" fontId="2" fillId="13" borderId="0" xfId="1" applyNumberFormat="1" applyFont="1" applyFill="1"/>
    <xf numFmtId="170" fontId="2" fillId="0" borderId="0" xfId="1" applyNumberFormat="1" applyFont="1" applyFill="1"/>
    <xf numFmtId="173" fontId="2" fillId="0" borderId="0" xfId="0" applyNumberFormat="1" applyFont="1"/>
    <xf numFmtId="10" fontId="2" fillId="0" borderId="0" xfId="2" applyNumberFormat="1" applyFont="1"/>
    <xf numFmtId="181" fontId="0" fillId="8" borderId="0" xfId="0" applyNumberFormat="1" applyFill="1"/>
    <xf numFmtId="178" fontId="0" fillId="0" borderId="0" xfId="0" applyNumberFormat="1"/>
    <xf numFmtId="179" fontId="12" fillId="0" borderId="0" xfId="2" applyNumberFormat="1" applyFont="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177" fontId="0" fillId="0" borderId="0" xfId="0" applyNumberFormat="1"/>
    <xf numFmtId="177" fontId="9" fillId="0" borderId="0" xfId="0" applyNumberFormat="1" applyFont="1"/>
    <xf numFmtId="10" fontId="0" fillId="27" borderId="0" xfId="0" applyNumberFormat="1" applyFill="1"/>
  </cellXfs>
  <cellStyles count="5">
    <cellStyle name="Komma" xfId="1" builtinId="3"/>
    <cellStyle name="Komma 2" xfId="4" xr:uid="{8CAA8C39-FAB6-4C0D-84BA-61EF650C8634}"/>
    <cellStyle name="Prozent" xfId="2" builtinId="5"/>
    <cellStyle name="Standard" xfId="0" builtinId="0"/>
    <cellStyle name="Überschrift 4" xfId="3" builtin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MAIN%20working%20sheet%20Lucie.xlsx" TargetMode="External"/><Relationship Id="rId1" Type="http://schemas.openxmlformats.org/officeDocument/2006/relationships/externalLinkPath" Target="MAIN%20working%20sheet%20Luci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Scenario%201%20-%20Lucie.xlsx" TargetMode="External"/><Relationship Id="rId1" Type="http://schemas.openxmlformats.org/officeDocument/2006/relationships/externalLinkPath" Target="Scenario%201%20-%20Luci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estresearcheu-my.sharepoint.com/personal/cherpinl_best-research_eu/Documents/Scenarios%202040.xlsx" TargetMode="External"/><Relationship Id="rId1" Type="http://schemas.openxmlformats.org/officeDocument/2006/relationships/externalLinkPath" Target="https://bestresearcheu-my.sharepoint.com/personal/cherpinl_best-research_eu/Documents/Scenarios%2020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version factors"/>
      <sheetName val="Conversion factors selected IV "/>
      <sheetName val="Availabilities EU Austria"/>
      <sheetName val="FPBO per HVO"/>
      <sheetName val="IVCs relevant in 2030"/>
      <sheetName val="IVCs relevant 2040-2050"/>
      <sheetName val="Gap analysis EU"/>
      <sheetName val="Gap Analysis AUSTRIA"/>
      <sheetName val="EU Energiebedarf Verkehr"/>
      <sheetName val="EU-27_High_2030-2050"/>
      <sheetName val="AUSTRIA Energiebedarf Verkehr"/>
      <sheetName val="Austria_High_2030_2050"/>
      <sheetName val="EU-27_Medium_2030"/>
      <sheetName val="Austria Medium 2030"/>
      <sheetName val="2025-2030_KPIs"/>
      <sheetName val="2025-2030_Heatmap"/>
      <sheetName val="Overview"/>
      <sheetName val="2030-2040_essential IVCs"/>
      <sheetName val="2030-2040_Heatmap"/>
      <sheetName val="2040-2050_Heatmap"/>
      <sheetName val="TRL"/>
      <sheetName val="conv.f. additional"/>
      <sheetName val="3"/>
      <sheetName val="6"/>
      <sheetName val="8b"/>
      <sheetName val="8d"/>
      <sheetName val="11b"/>
      <sheetName val="12"/>
      <sheetName val="CO2"/>
      <sheetName val="t-toe"/>
      <sheetName val="Demand"/>
      <sheetName val="Market readiness"/>
      <sheetName val="IVC Overview"/>
    </sheetNames>
    <sheetDataSet>
      <sheetData sheetId="0"/>
      <sheetData sheetId="1">
        <row r="4">
          <cell r="O4">
            <v>1.1315675675675676</v>
          </cell>
        </row>
        <row r="5">
          <cell r="G5">
            <v>0.95978351434331599</v>
          </cell>
        </row>
        <row r="7">
          <cell r="O7">
            <v>0.95154545454545458</v>
          </cell>
        </row>
        <row r="9">
          <cell r="O9">
            <v>0.95154545454545458</v>
          </cell>
        </row>
        <row r="10">
          <cell r="G10">
            <v>0.15387272727272727</v>
          </cell>
        </row>
        <row r="12">
          <cell r="G12">
            <v>0.42350471353132874</v>
          </cell>
          <cell r="O12">
            <v>0.97367441860465131</v>
          </cell>
        </row>
        <row r="15">
          <cell r="G15">
            <v>0.15387272727272727</v>
          </cell>
        </row>
        <row r="17">
          <cell r="G17">
            <v>0.18050496028765164</v>
          </cell>
          <cell r="O17">
            <v>1.5506666666666669</v>
          </cell>
        </row>
        <row r="18">
          <cell r="G18">
            <v>0.18050496028765164</v>
          </cell>
          <cell r="O18">
            <v>1.5506666666666669</v>
          </cell>
        </row>
        <row r="19">
          <cell r="G19">
            <v>0.18050496028765164</v>
          </cell>
        </row>
        <row r="20">
          <cell r="G20">
            <v>0.23616905737803762</v>
          </cell>
        </row>
        <row r="22">
          <cell r="O22">
            <v>1.5506666666666669</v>
          </cell>
        </row>
        <row r="27">
          <cell r="G27">
            <v>0.47</v>
          </cell>
          <cell r="O27">
            <v>0.97367441860465131</v>
          </cell>
        </row>
        <row r="29">
          <cell r="G29">
            <v>0.50565325955726736</v>
          </cell>
          <cell r="O29">
            <v>0.83669064748201449</v>
          </cell>
        </row>
        <row r="30">
          <cell r="G30">
            <v>0.50565325955726736</v>
          </cell>
        </row>
        <row r="31">
          <cell r="G31">
            <v>0.50565325955726736</v>
          </cell>
        </row>
        <row r="32">
          <cell r="G32">
            <v>0.50565325955726736</v>
          </cell>
        </row>
        <row r="33">
          <cell r="G33">
            <v>0.50565325955726736</v>
          </cell>
        </row>
        <row r="34">
          <cell r="G34">
            <v>0.11659945531529187</v>
          </cell>
        </row>
        <row r="35">
          <cell r="G35">
            <v>0.11659945531529187</v>
          </cell>
        </row>
        <row r="36">
          <cell r="G36">
            <v>0.18593291119169406</v>
          </cell>
        </row>
        <row r="39">
          <cell r="G39">
            <v>0.44129562342499795</v>
          </cell>
        </row>
        <row r="40">
          <cell r="G40">
            <v>0.44129562342499795</v>
          </cell>
        </row>
        <row r="41">
          <cell r="G41">
            <v>0.30788066750581256</v>
          </cell>
        </row>
        <row r="42">
          <cell r="G42">
            <v>0.44129562342499795</v>
          </cell>
        </row>
        <row r="43">
          <cell r="G43">
            <v>0.44129562342499795</v>
          </cell>
        </row>
        <row r="44">
          <cell r="G44">
            <v>0.44129562342499795</v>
          </cell>
        </row>
        <row r="45">
          <cell r="G45">
            <v>0.48747772355086988</v>
          </cell>
        </row>
        <row r="46">
          <cell r="G46">
            <v>0.48747772355086988</v>
          </cell>
        </row>
        <row r="47">
          <cell r="G47">
            <v>0.41050755667441674</v>
          </cell>
        </row>
        <row r="48">
          <cell r="G48">
            <v>0.79651764705882355</v>
          </cell>
        </row>
        <row r="49">
          <cell r="O49">
            <v>2.0934000000000004</v>
          </cell>
        </row>
        <row r="50">
          <cell r="O50">
            <v>2.0934000000000004</v>
          </cell>
        </row>
        <row r="52">
          <cell r="G52">
            <v>0.24762705465272858</v>
          </cell>
          <cell r="O52">
            <v>0.83669064748201449</v>
          </cell>
        </row>
        <row r="53">
          <cell r="G53">
            <v>0.24762705465272858</v>
          </cell>
        </row>
        <row r="54">
          <cell r="G54">
            <v>0.17276306138562458</v>
          </cell>
        </row>
        <row r="55">
          <cell r="G55">
            <v>0.24762705465272858</v>
          </cell>
        </row>
        <row r="56">
          <cell r="G56">
            <v>0.24762705465272858</v>
          </cell>
        </row>
        <row r="57">
          <cell r="G57">
            <v>0.24762705465272858</v>
          </cell>
        </row>
        <row r="58">
          <cell r="G58">
            <v>0.27354151386057229</v>
          </cell>
        </row>
        <row r="59">
          <cell r="G59">
            <v>0.27354151386057229</v>
          </cell>
        </row>
        <row r="60">
          <cell r="G60">
            <v>0.23035074851416612</v>
          </cell>
        </row>
        <row r="61">
          <cell r="G61">
            <v>0.79651764705882355</v>
          </cell>
        </row>
        <row r="62">
          <cell r="O62">
            <v>0.83669064748201449</v>
          </cell>
        </row>
        <row r="64">
          <cell r="G64">
            <v>0.17998143851508122</v>
          </cell>
          <cell r="O64">
            <v>0.95154545454545658</v>
          </cell>
        </row>
        <row r="65">
          <cell r="G65">
            <v>0.17998143851508122</v>
          </cell>
        </row>
        <row r="66">
          <cell r="G66">
            <v>0.17998143851508122</v>
          </cell>
        </row>
        <row r="67">
          <cell r="G67">
            <v>0.17998143851508122</v>
          </cell>
        </row>
        <row r="68">
          <cell r="G68">
            <v>0.17998143851508122</v>
          </cell>
        </row>
        <row r="69">
          <cell r="G69">
            <v>0.17998143851508122</v>
          </cell>
        </row>
        <row r="70">
          <cell r="G70">
            <v>0.19881670533642692</v>
          </cell>
        </row>
        <row r="71">
          <cell r="G71">
            <v>0.19881670533642692</v>
          </cell>
        </row>
        <row r="72">
          <cell r="G72">
            <v>0.16742459396751741</v>
          </cell>
        </row>
        <row r="73">
          <cell r="G73">
            <v>0.31417169373549886</v>
          </cell>
        </row>
        <row r="75">
          <cell r="G75">
            <v>8.9990719257540611E-2</v>
          </cell>
        </row>
        <row r="76">
          <cell r="G76">
            <v>8.9990719257540611E-2</v>
          </cell>
          <cell r="O76">
            <v>0.97367441860465131</v>
          </cell>
        </row>
        <row r="77">
          <cell r="G77">
            <v>8.9990719257540611E-2</v>
          </cell>
        </row>
        <row r="78">
          <cell r="G78">
            <v>8.9990719257540611E-2</v>
          </cell>
          <cell r="O78">
            <v>0.97367441860465131</v>
          </cell>
        </row>
        <row r="79">
          <cell r="G79">
            <v>8.9990719257540611E-2</v>
          </cell>
        </row>
        <row r="80">
          <cell r="G80">
            <v>8.9990719257540611E-2</v>
          </cell>
        </row>
        <row r="81">
          <cell r="G81">
            <v>9.9408352668213462E-2</v>
          </cell>
        </row>
        <row r="82">
          <cell r="G82">
            <v>9.9408352668213462E-2</v>
          </cell>
        </row>
        <row r="83">
          <cell r="G83">
            <v>8.3712296983758705E-2</v>
          </cell>
        </row>
        <row r="84">
          <cell r="G84">
            <v>0.15708584686774943</v>
          </cell>
        </row>
        <row r="86">
          <cell r="G86">
            <v>0.47169811320754712</v>
          </cell>
          <cell r="O86">
            <v>1.5506666666666669</v>
          </cell>
        </row>
        <row r="87">
          <cell r="G87">
            <v>0.28301886792452824</v>
          </cell>
        </row>
        <row r="89">
          <cell r="O89">
            <v>1</v>
          </cell>
        </row>
        <row r="98">
          <cell r="G98">
            <v>0.27123986095017383</v>
          </cell>
          <cell r="O98">
            <v>1</v>
          </cell>
        </row>
        <row r="99">
          <cell r="G99">
            <v>0.27123986095017383</v>
          </cell>
        </row>
        <row r="100">
          <cell r="G100">
            <v>0.27123986095017383</v>
          </cell>
        </row>
        <row r="101">
          <cell r="G101">
            <v>0.27123986095017383</v>
          </cell>
        </row>
        <row r="102">
          <cell r="G102">
            <v>0.27123986095017383</v>
          </cell>
        </row>
        <row r="103">
          <cell r="G103">
            <v>0.27123986095017383</v>
          </cell>
        </row>
        <row r="104">
          <cell r="G104">
            <v>0.27123986095017383</v>
          </cell>
        </row>
        <row r="105">
          <cell r="G105">
            <v>0.27123986095017383</v>
          </cell>
        </row>
        <row r="107">
          <cell r="G107">
            <v>8.2474864655839128E-2</v>
          </cell>
        </row>
        <row r="108">
          <cell r="G108">
            <v>8.2474864655839128E-2</v>
          </cell>
          <cell r="O108">
            <v>1</v>
          </cell>
        </row>
        <row r="109">
          <cell r="G109">
            <v>8.2474864655839128E-2</v>
          </cell>
        </row>
        <row r="110">
          <cell r="G110">
            <v>8.2474864655839128E-2</v>
          </cell>
        </row>
        <row r="111">
          <cell r="G111">
            <v>8.2474864655839128E-2</v>
          </cell>
        </row>
        <row r="112">
          <cell r="G112">
            <v>9.1105955143078107E-2</v>
          </cell>
        </row>
        <row r="113">
          <cell r="G113">
            <v>9.1105955143078107E-2</v>
          </cell>
        </row>
        <row r="114">
          <cell r="G114">
            <v>9.1105955143078107E-2</v>
          </cell>
        </row>
        <row r="116">
          <cell r="G116">
            <v>0.27123986095017383</v>
          </cell>
        </row>
        <row r="117">
          <cell r="G117">
            <v>0.27123986095017383</v>
          </cell>
        </row>
        <row r="118">
          <cell r="G118">
            <v>0.27123986095017383</v>
          </cell>
        </row>
        <row r="119">
          <cell r="G119">
            <v>0.27123986095017383</v>
          </cell>
        </row>
        <row r="120">
          <cell r="G120">
            <v>0.27123986095017383</v>
          </cell>
        </row>
        <row r="121">
          <cell r="G121">
            <v>0.27123986095017383</v>
          </cell>
        </row>
        <row r="122">
          <cell r="G122">
            <v>0.27123986095017383</v>
          </cell>
        </row>
        <row r="123">
          <cell r="G123">
            <v>0.27123986095017383</v>
          </cell>
        </row>
        <row r="125">
          <cell r="G125">
            <v>8.7338247338247313E-2</v>
          </cell>
          <cell r="O125">
            <v>1</v>
          </cell>
        </row>
        <row r="126">
          <cell r="G126">
            <v>8.7338247338247313E-2</v>
          </cell>
        </row>
        <row r="127">
          <cell r="G127">
            <v>8.7338247338247313E-2</v>
          </cell>
        </row>
        <row r="128">
          <cell r="G128">
            <v>8.7338247338247313E-2</v>
          </cell>
        </row>
        <row r="129">
          <cell r="G129">
            <v>8.7338247338247313E-2</v>
          </cell>
        </row>
        <row r="130">
          <cell r="G130">
            <v>9.6478296478296463E-2</v>
          </cell>
        </row>
        <row r="131">
          <cell r="G131">
            <v>9.6478296478296463E-2</v>
          </cell>
        </row>
        <row r="132">
          <cell r="G132">
            <v>9.6478296478296463E-2</v>
          </cell>
        </row>
      </sheetData>
      <sheetData sheetId="2">
        <row r="10">
          <cell r="N10">
            <v>6.3480428594768199</v>
          </cell>
          <cell r="Q10">
            <v>8.9686926412541244</v>
          </cell>
          <cell r="X10">
            <v>14.921232086754733</v>
          </cell>
          <cell r="AB10">
            <v>1.2285053574346025</v>
          </cell>
          <cell r="AC10">
            <v>1.7060865801567653</v>
          </cell>
        </row>
        <row r="13">
          <cell r="N13">
            <v>0.4</v>
          </cell>
          <cell r="Q13">
            <v>0.8</v>
          </cell>
          <cell r="X13">
            <v>1.4</v>
          </cell>
          <cell r="AB13">
            <v>0.2</v>
          </cell>
          <cell r="AC13">
            <v>0.4</v>
          </cell>
        </row>
        <row r="14">
          <cell r="N14">
            <v>5.1880428594768198</v>
          </cell>
          <cell r="Q14">
            <v>7.4086926412541239</v>
          </cell>
          <cell r="X14">
            <v>8.9412320867547326</v>
          </cell>
          <cell r="AB14">
            <v>0.64850535743460247</v>
          </cell>
          <cell r="AC14">
            <v>0.92608658015676548</v>
          </cell>
        </row>
        <row r="15">
          <cell r="N15">
            <v>0.76</v>
          </cell>
          <cell r="Q15">
            <v>0.76</v>
          </cell>
          <cell r="X15">
            <v>4.58</v>
          </cell>
          <cell r="AB15">
            <v>0.38</v>
          </cell>
          <cell r="AC15">
            <v>0.38</v>
          </cell>
        </row>
        <row r="16">
          <cell r="N16">
            <v>6.8437699722118355</v>
          </cell>
          <cell r="Q16">
            <v>10.139010384222962</v>
          </cell>
          <cell r="AB16">
            <v>1.7242324701696183</v>
          </cell>
          <cell r="AC16">
            <v>2.8764043231256027</v>
          </cell>
          <cell r="AD16">
            <v>9.2381744600462667</v>
          </cell>
        </row>
        <row r="21">
          <cell r="N21">
            <v>0.49572711273501602</v>
          </cell>
          <cell r="Q21">
            <v>1.1703177429688374</v>
          </cell>
          <cell r="AB21">
            <v>0.49572711273501602</v>
          </cell>
          <cell r="AC21">
            <v>1.1703177429688374</v>
          </cell>
          <cell r="AD21">
            <v>1.8443972405264524</v>
          </cell>
        </row>
        <row r="23">
          <cell r="N23">
            <v>0.4</v>
          </cell>
          <cell r="Q23">
            <v>0.8</v>
          </cell>
          <cell r="AB23">
            <v>0.2</v>
          </cell>
          <cell r="AC23">
            <v>0.4</v>
          </cell>
          <cell r="AD23">
            <v>1.26</v>
          </cell>
        </row>
        <row r="24">
          <cell r="N24">
            <v>5.1880428594768198</v>
          </cell>
          <cell r="Q24">
            <v>7.4086926412541239</v>
          </cell>
          <cell r="AB24">
            <v>0.64850535743460247</v>
          </cell>
          <cell r="AC24">
            <v>0.92608658015676548</v>
          </cell>
          <cell r="AD24">
            <v>2.0117772195198147</v>
          </cell>
        </row>
        <row r="25">
          <cell r="N25">
            <v>0.75999999999999979</v>
          </cell>
          <cell r="Q25">
            <v>0.75999999999999979</v>
          </cell>
          <cell r="AB25">
            <v>0.37999999999999989</v>
          </cell>
          <cell r="AC25">
            <v>0.37999999999999989</v>
          </cell>
          <cell r="AD25">
            <v>4.121999999999999</v>
          </cell>
        </row>
        <row r="26">
          <cell r="N26">
            <v>177.62992397271947</v>
          </cell>
          <cell r="Q26">
            <v>277.32429753491976</v>
          </cell>
          <cell r="AB26">
            <v>26.310984931318337</v>
          </cell>
          <cell r="AC26">
            <v>40.92816852563805</v>
          </cell>
          <cell r="AD26">
            <v>51.616756389369257</v>
          </cell>
        </row>
        <row r="27">
          <cell r="N27">
            <v>130.89263574041894</v>
          </cell>
          <cell r="Q27">
            <v>207.40944074964315</v>
          </cell>
          <cell r="AB27">
            <v>18.698947962916989</v>
          </cell>
          <cell r="AC27">
            <v>29.629920107091877</v>
          </cell>
          <cell r="AD27">
            <v>29.629920107091877</v>
          </cell>
        </row>
        <row r="28">
          <cell r="N28">
            <v>5.1230865023155641</v>
          </cell>
          <cell r="Q28">
            <v>8.738165736490755</v>
          </cell>
          <cell r="AB28">
            <v>0.73186950033079479</v>
          </cell>
          <cell r="AC28">
            <v>1.2483093909272507</v>
          </cell>
          <cell r="AD28">
            <v>10.204344080083652</v>
          </cell>
        </row>
        <row r="29">
          <cell r="N29">
            <v>2.3323784509315457</v>
          </cell>
          <cell r="Q29">
            <v>6.1393981815063317</v>
          </cell>
          <cell r="AB29">
            <v>0.33319692156164937</v>
          </cell>
          <cell r="AC29">
            <v>0.87705688307233309</v>
          </cell>
          <cell r="AD29">
            <v>2.0142016679260926</v>
          </cell>
        </row>
        <row r="30">
          <cell r="N30">
            <v>39.28182327905342</v>
          </cell>
          <cell r="Q30">
            <v>55.037292867279561</v>
          </cell>
          <cell r="AB30">
            <v>6.546970546508903</v>
          </cell>
          <cell r="AC30">
            <v>9.1728821445465929</v>
          </cell>
          <cell r="AD30">
            <v>9.7682905342676349</v>
          </cell>
        </row>
        <row r="40">
          <cell r="N40">
            <v>277.60808698322893</v>
          </cell>
          <cell r="Q40">
            <v>407.13033666871206</v>
          </cell>
          <cell r="AB40">
            <v>145.33172569748982</v>
          </cell>
          <cell r="AC40">
            <v>198.99384258077731</v>
          </cell>
          <cell r="AD40">
            <v>200.92527365728921</v>
          </cell>
        </row>
        <row r="41">
          <cell r="N41">
            <v>8.4952845259123446</v>
          </cell>
          <cell r="Q41">
            <v>12.256703698099333</v>
          </cell>
          <cell r="AB41">
            <v>1.415880754318724</v>
          </cell>
          <cell r="AC41">
            <v>2.0427839496832219</v>
          </cell>
          <cell r="AD41">
            <v>1.9895846938818926</v>
          </cell>
        </row>
        <row r="42">
          <cell r="N42">
            <v>5.1230865023155641</v>
          </cell>
          <cell r="Q42">
            <v>8.738165736490755</v>
          </cell>
          <cell r="AB42">
            <v>0.73186950033079479</v>
          </cell>
          <cell r="AC42">
            <v>1.2483093909272507</v>
          </cell>
          <cell r="AD42">
            <v>10.204344080083652</v>
          </cell>
        </row>
        <row r="43">
          <cell r="N43">
            <v>2.3323784509315457</v>
          </cell>
          <cell r="Q43">
            <v>6.1393981815063317</v>
          </cell>
          <cell r="AB43">
            <v>0.33319692156164937</v>
          </cell>
          <cell r="AC43">
            <v>0.87705688307233309</v>
          </cell>
          <cell r="AD43">
            <v>2.0142016679260926</v>
          </cell>
        </row>
        <row r="44">
          <cell r="N44">
            <v>6.5447342912320421</v>
          </cell>
          <cell r="Q44">
            <v>9.7773868037813845</v>
          </cell>
          <cell r="AB44">
            <v>6.5447342912320421</v>
          </cell>
          <cell r="AC44">
            <v>9.7773868037813845</v>
          </cell>
          <cell r="AD44">
            <v>10.743175764288399</v>
          </cell>
        </row>
        <row r="45">
          <cell r="N45">
            <v>130.89263574041894</v>
          </cell>
          <cell r="Q45">
            <v>207.40944074964315</v>
          </cell>
          <cell r="AB45">
            <v>18.698947962916989</v>
          </cell>
          <cell r="AC45">
            <v>29.629920107091877</v>
          </cell>
          <cell r="AD45">
            <v>29.629920107091877</v>
          </cell>
        </row>
        <row r="46">
          <cell r="N46">
            <v>96.46686757407214</v>
          </cell>
          <cell r="Q46">
            <v>128.62249009876282</v>
          </cell>
          <cell r="AB46">
            <v>96.46686757407214</v>
          </cell>
          <cell r="AC46">
            <v>128.62249009876282</v>
          </cell>
          <cell r="AD46">
            <v>122.94419040434806</v>
          </cell>
        </row>
        <row r="47">
          <cell r="N47">
            <v>8.8171616070517977</v>
          </cell>
          <cell r="Q47">
            <v>9.854474737293188</v>
          </cell>
          <cell r="AB47">
            <v>2.2042904017629494</v>
          </cell>
          <cell r="AC47">
            <v>2.463618684323297</v>
          </cell>
          <cell r="AD47">
            <v>2.2901825701455727</v>
          </cell>
        </row>
        <row r="48">
          <cell r="N48">
            <v>18.294938291294546</v>
          </cell>
          <cell r="Q48">
            <v>23.691276663135103</v>
          </cell>
          <cell r="AB48">
            <v>18.294938291294546</v>
          </cell>
          <cell r="AC48">
            <v>23.691276663135103</v>
          </cell>
          <cell r="AD48">
            <v>20.468674369523679</v>
          </cell>
        </row>
        <row r="49">
          <cell r="N49">
            <v>0.64100000000000001</v>
          </cell>
          <cell r="Q49">
            <v>0.64100000000000001</v>
          </cell>
          <cell r="AB49">
            <v>0.64100000000000001</v>
          </cell>
          <cell r="AC49">
            <v>0.64100000000000001</v>
          </cell>
          <cell r="AD49">
            <v>0.64100000000000001</v>
          </cell>
        </row>
        <row r="50">
          <cell r="N50">
            <v>252.76748695189718</v>
          </cell>
          <cell r="Q50">
            <v>365.13131220918297</v>
          </cell>
          <cell r="AB50">
            <v>41.755581599616569</v>
          </cell>
          <cell r="AC50">
            <v>58.944138985804884</v>
          </cell>
        </row>
        <row r="51">
          <cell r="N51">
            <v>130.89263574041894</v>
          </cell>
          <cell r="Q51">
            <v>207.40944074964315</v>
          </cell>
          <cell r="AB51">
            <v>18.698947962916989</v>
          </cell>
          <cell r="AC51">
            <v>29.629920107091877</v>
          </cell>
        </row>
        <row r="52">
          <cell r="N52">
            <v>8.4952845259123446</v>
          </cell>
          <cell r="Q52">
            <v>12.257725308395727</v>
          </cell>
          <cell r="AB52">
            <v>1.415880754318724</v>
          </cell>
          <cell r="AC52">
            <v>2.0429542180659546</v>
          </cell>
        </row>
        <row r="53">
          <cell r="N53">
            <v>8.8171616070517977</v>
          </cell>
          <cell r="Q53">
            <v>9.854474737293188</v>
          </cell>
          <cell r="AB53">
            <v>2.2042904017629494</v>
          </cell>
          <cell r="AC53">
            <v>2.463618684323297</v>
          </cell>
        </row>
        <row r="54">
          <cell r="N54">
            <v>3.4535388863652337</v>
          </cell>
          <cell r="Q54">
            <v>5.1803083295478496</v>
          </cell>
          <cell r="AB54">
            <v>0.69070777727304677</v>
          </cell>
          <cell r="AC54">
            <v>1.0360616659095701</v>
          </cell>
        </row>
        <row r="55">
          <cell r="N55">
            <v>5.1230865023155641</v>
          </cell>
          <cell r="Q55">
            <v>8.738165736490755</v>
          </cell>
          <cell r="AB55">
            <v>0.73186950033079479</v>
          </cell>
          <cell r="AC55">
            <v>1.2483093909272507</v>
          </cell>
        </row>
        <row r="56">
          <cell r="N56">
            <v>2.3323784509315457</v>
          </cell>
          <cell r="Q56">
            <v>6.1393981815063317</v>
          </cell>
          <cell r="AB56">
            <v>0.33319692156164937</v>
          </cell>
          <cell r="AC56">
            <v>0.87705688307233309</v>
          </cell>
        </row>
        <row r="57">
          <cell r="N57">
            <v>37.416699428169103</v>
          </cell>
          <cell r="Q57">
            <v>37.416699428169103</v>
          </cell>
          <cell r="AB57">
            <v>7.4833398856338214</v>
          </cell>
          <cell r="AC57">
            <v>7.4833398856338214</v>
          </cell>
        </row>
        <row r="58">
          <cell r="N58">
            <v>39.28182327905342</v>
          </cell>
          <cell r="Q58">
            <v>55.037292867279561</v>
          </cell>
          <cell r="AB58">
            <v>6.546970546508903</v>
          </cell>
          <cell r="AC58">
            <v>9.1728821445465929</v>
          </cell>
        </row>
        <row r="59">
          <cell r="N59">
            <v>11.766835672202422</v>
          </cell>
          <cell r="Q59">
            <v>15.689114229603229</v>
          </cell>
          <cell r="AB59">
            <v>2.3533671344404845</v>
          </cell>
          <cell r="AC59">
            <v>3.1378228459206459</v>
          </cell>
        </row>
        <row r="60">
          <cell r="N60">
            <v>5.1880428594768198</v>
          </cell>
          <cell r="Q60">
            <v>7.4086926412541239</v>
          </cell>
          <cell r="AB60">
            <v>1.2970107148692049</v>
          </cell>
          <cell r="AC60">
            <v>1.852173160313531</v>
          </cell>
        </row>
        <row r="69">
          <cell r="N69">
            <v>252.76748695189718</v>
          </cell>
          <cell r="Q69">
            <v>365.13131220918297</v>
          </cell>
          <cell r="AB69">
            <v>41.755581599616569</v>
          </cell>
          <cell r="AC69">
            <v>58.944138985804884</v>
          </cell>
          <cell r="AD69">
            <v>70.454090137881195</v>
          </cell>
        </row>
        <row r="70">
          <cell r="N70">
            <v>130.89263574041894</v>
          </cell>
          <cell r="Q70">
            <v>207.40944074964315</v>
          </cell>
          <cell r="AB70">
            <v>18.698947962916989</v>
          </cell>
          <cell r="AC70">
            <v>29.629920107091877</v>
          </cell>
          <cell r="AD70">
            <v>29.629920107091877</v>
          </cell>
        </row>
        <row r="71">
          <cell r="N71">
            <v>8.4952845259123446</v>
          </cell>
          <cell r="Q71">
            <v>12.257725308395727</v>
          </cell>
          <cell r="AB71">
            <v>1.415880754318724</v>
          </cell>
          <cell r="AC71">
            <v>2.0429542180659546</v>
          </cell>
          <cell r="AD71">
            <v>1.9897731868222737</v>
          </cell>
        </row>
        <row r="72">
          <cell r="N72">
            <v>8.8171616070517977</v>
          </cell>
          <cell r="Q72">
            <v>9.854474737293188</v>
          </cell>
          <cell r="AB72">
            <v>2.2042904017629494</v>
          </cell>
          <cell r="AC72">
            <v>2.463618684323297</v>
          </cell>
          <cell r="AD72">
            <v>2.2901825701455727</v>
          </cell>
        </row>
        <row r="73">
          <cell r="N73">
            <v>3.4535388863652337</v>
          </cell>
          <cell r="Q73">
            <v>5.1803083295478496</v>
          </cell>
          <cell r="AB73">
            <v>0.69070777727304677</v>
          </cell>
          <cell r="AC73">
            <v>1.0360616659095701</v>
          </cell>
          <cell r="AD73">
            <v>0.88961112873008164</v>
          </cell>
        </row>
        <row r="74">
          <cell r="N74">
            <v>5.1230865023155641</v>
          </cell>
          <cell r="Q74">
            <v>8.738165736490755</v>
          </cell>
          <cell r="AB74">
            <v>0.73186950033079479</v>
          </cell>
          <cell r="AC74">
            <v>1.2483093909272507</v>
          </cell>
          <cell r="AD74">
            <v>10.204344080083652</v>
          </cell>
        </row>
        <row r="75">
          <cell r="N75">
            <v>2.3323784509315457</v>
          </cell>
          <cell r="Q75">
            <v>6.1393981815063317</v>
          </cell>
          <cell r="AB75">
            <v>0.33319692156164937</v>
          </cell>
          <cell r="AC75">
            <v>0.87705688307233309</v>
          </cell>
          <cell r="AD75">
            <v>2.0142016679260926</v>
          </cell>
        </row>
        <row r="76">
          <cell r="N76">
            <v>37.416699428169103</v>
          </cell>
          <cell r="Q76">
            <v>37.416699428169103</v>
          </cell>
          <cell r="AB76">
            <v>7.4833398856338214</v>
          </cell>
          <cell r="AC76">
            <v>7.4833398856338214</v>
          </cell>
          <cell r="AD76">
            <v>7.6263561572719825</v>
          </cell>
        </row>
        <row r="77">
          <cell r="N77">
            <v>39.28182327905342</v>
          </cell>
          <cell r="Q77">
            <v>55.037292867279561</v>
          </cell>
          <cell r="AB77">
            <v>6.546970546508903</v>
          </cell>
          <cell r="AC77">
            <v>9.1728821445465929</v>
          </cell>
          <cell r="AD77">
            <v>9.7682905342676349</v>
          </cell>
        </row>
        <row r="78">
          <cell r="N78">
            <v>11.766835672202422</v>
          </cell>
          <cell r="Q78">
            <v>15.689114229603229</v>
          </cell>
          <cell r="AB78">
            <v>2.3533671344404845</v>
          </cell>
          <cell r="AC78">
            <v>3.1378228459206459</v>
          </cell>
          <cell r="AD78">
            <v>3.8061026838533483</v>
          </cell>
        </row>
        <row r="79">
          <cell r="N79">
            <v>5.1880428594768198</v>
          </cell>
          <cell r="Q79">
            <v>7.4086926412541239</v>
          </cell>
          <cell r="AB79">
            <v>1.2970107148692049</v>
          </cell>
          <cell r="AC79">
            <v>1.852173160313531</v>
          </cell>
          <cell r="AD79">
            <v>2.2353080216886831</v>
          </cell>
        </row>
        <row r="93">
          <cell r="AB93">
            <v>20.877790799808285</v>
          </cell>
          <cell r="AC93">
            <v>29.472069492902442</v>
          </cell>
          <cell r="AD93">
            <v>36.344699079784938</v>
          </cell>
        </row>
        <row r="94">
          <cell r="AB94">
            <v>9.3494739814584946</v>
          </cell>
          <cell r="AC94">
            <v>14.814960053545938</v>
          </cell>
          <cell r="AD94">
            <v>14.814960053545938</v>
          </cell>
        </row>
        <row r="95">
          <cell r="AB95">
            <v>0.70794037715936198</v>
          </cell>
          <cell r="AC95">
            <v>1.0214771090329773</v>
          </cell>
          <cell r="AD95">
            <v>0.99488659341113683</v>
          </cell>
        </row>
        <row r="96">
          <cell r="AB96">
            <v>1.1021452008814747</v>
          </cell>
          <cell r="AC96">
            <v>1.2318093421616485</v>
          </cell>
          <cell r="AD96">
            <v>1.1450912850727863</v>
          </cell>
        </row>
        <row r="97">
          <cell r="AB97">
            <v>0.34535388863652339</v>
          </cell>
          <cell r="AC97">
            <v>0.51803083295478503</v>
          </cell>
          <cell r="AD97">
            <v>0.44480556436504082</v>
          </cell>
        </row>
        <row r="98">
          <cell r="AB98">
            <v>0.36593475016539739</v>
          </cell>
          <cell r="AC98">
            <v>0.62415469546362534</v>
          </cell>
          <cell r="AD98">
            <v>5.1021720400418262</v>
          </cell>
        </row>
        <row r="99">
          <cell r="AB99">
            <v>0.16659846078082469</v>
          </cell>
          <cell r="AC99">
            <v>0.43852844153616655</v>
          </cell>
          <cell r="AD99">
            <v>1.0071008339630463</v>
          </cell>
        </row>
        <row r="100">
          <cell r="AB100">
            <v>3.7416699428169107</v>
          </cell>
          <cell r="AC100">
            <v>3.7416699428169107</v>
          </cell>
          <cell r="AD100">
            <v>3.8131780786359912</v>
          </cell>
        </row>
        <row r="101">
          <cell r="AB101">
            <v>3.2734852732544515</v>
          </cell>
          <cell r="AC101">
            <v>4.5864410722732964</v>
          </cell>
          <cell r="AD101">
            <v>4.8841452671338175</v>
          </cell>
        </row>
        <row r="102">
          <cell r="AB102">
            <v>1.1766835672202423</v>
          </cell>
          <cell r="AC102">
            <v>1.5689114229603229</v>
          </cell>
          <cell r="AD102">
            <v>1.9030513419266741</v>
          </cell>
        </row>
        <row r="103">
          <cell r="AB103">
            <v>0.64850535743460247</v>
          </cell>
          <cell r="AC103">
            <v>0.92608658015676548</v>
          </cell>
          <cell r="AD103">
            <v>2.2353080216886831</v>
          </cell>
        </row>
        <row r="104">
          <cell r="N104">
            <v>252.76748695189718</v>
          </cell>
          <cell r="Q104">
            <v>365.13131220918297</v>
          </cell>
        </row>
        <row r="105">
          <cell r="N105">
            <v>130.89263574041894</v>
          </cell>
          <cell r="Q105">
            <v>207.40944074964315</v>
          </cell>
        </row>
        <row r="106">
          <cell r="N106">
            <v>8.4952845259123446</v>
          </cell>
          <cell r="Q106">
            <v>12.257725308395727</v>
          </cell>
        </row>
        <row r="107">
          <cell r="N107">
            <v>8.8171616070517977</v>
          </cell>
          <cell r="Q107">
            <v>9.854474737293188</v>
          </cell>
        </row>
        <row r="108">
          <cell r="N108">
            <v>3.4535388863652337</v>
          </cell>
          <cell r="Q108">
            <v>5.1803083295478496</v>
          </cell>
        </row>
        <row r="109">
          <cell r="N109">
            <v>5.1230865023155641</v>
          </cell>
          <cell r="Q109">
            <v>8.738165736490755</v>
          </cell>
        </row>
        <row r="110">
          <cell r="N110">
            <v>2.3323784509315457</v>
          </cell>
          <cell r="Q110">
            <v>6.1393981815063317</v>
          </cell>
        </row>
        <row r="111">
          <cell r="N111">
            <v>37.416699428169103</v>
          </cell>
          <cell r="Q111">
            <v>37.416699428169103</v>
          </cell>
        </row>
        <row r="112">
          <cell r="N112">
            <v>39.28182327905342</v>
          </cell>
          <cell r="Q112">
            <v>55.037292867279561</v>
          </cell>
        </row>
        <row r="113">
          <cell r="N113">
            <v>11.766835672202422</v>
          </cell>
          <cell r="Q113">
            <v>15.689114229603229</v>
          </cell>
        </row>
        <row r="114">
          <cell r="N114">
            <v>5.1880428594768198</v>
          </cell>
          <cell r="Q114">
            <v>7.4086926412541239</v>
          </cell>
        </row>
        <row r="119">
          <cell r="N119">
            <v>238.76228248536859</v>
          </cell>
          <cell r="AB119">
            <v>38.254280482984413</v>
          </cell>
          <cell r="AC119">
            <v>54.628347141168042</v>
          </cell>
          <cell r="AD119">
            <v>65.928599546046954</v>
          </cell>
        </row>
        <row r="120">
          <cell r="N120">
            <v>130.89263574041894</v>
          </cell>
          <cell r="AB120">
            <v>18.698947962916989</v>
          </cell>
          <cell r="AC120">
            <v>29.629920107091877</v>
          </cell>
          <cell r="AD120">
            <v>29.629920107091877</v>
          </cell>
        </row>
        <row r="121">
          <cell r="N121">
            <v>8.4952845259123446</v>
          </cell>
          <cell r="AB121">
            <v>1.415880754318724</v>
          </cell>
          <cell r="AC121">
            <v>2.0429542180659546</v>
          </cell>
          <cell r="AD121">
            <v>1.9897731868222737</v>
          </cell>
        </row>
        <row r="122">
          <cell r="N122">
            <v>3.4535388863652337</v>
          </cell>
          <cell r="AB122">
            <v>0.69070777727304677</v>
          </cell>
          <cell r="AC122">
            <v>1.0360616659095701</v>
          </cell>
          <cell r="AD122">
            <v>0.88961112873008164</v>
          </cell>
        </row>
        <row r="123">
          <cell r="N123">
            <v>5.1230865023155641</v>
          </cell>
          <cell r="AB123">
            <v>0.73186950033079479</v>
          </cell>
          <cell r="AC123">
            <v>1.2483093909272507</v>
          </cell>
          <cell r="AD123">
            <v>10.204344080083652</v>
          </cell>
        </row>
        <row r="124">
          <cell r="N124">
            <v>2.3323784509315457</v>
          </cell>
          <cell r="AB124">
            <v>0.33319692156164937</v>
          </cell>
          <cell r="AC124">
            <v>0.87705688307233309</v>
          </cell>
          <cell r="AD124">
            <v>2.0142016679260926</v>
          </cell>
        </row>
        <row r="125">
          <cell r="N125">
            <v>37.416699428169103</v>
          </cell>
          <cell r="AB125">
            <v>7.4833398856338214</v>
          </cell>
          <cell r="AC125">
            <v>7.4833398856338214</v>
          </cell>
          <cell r="AD125">
            <v>7.6263561572719825</v>
          </cell>
        </row>
        <row r="126">
          <cell r="N126">
            <v>39.28182327905342</v>
          </cell>
          <cell r="AB126">
            <v>6.546970546508903</v>
          </cell>
          <cell r="AC126">
            <v>9.1728821445465929</v>
          </cell>
          <cell r="AD126">
            <v>9.7682905342676349</v>
          </cell>
        </row>
        <row r="127">
          <cell r="N127">
            <v>11.766835672202422</v>
          </cell>
          <cell r="AB127">
            <v>2.3533671344404845</v>
          </cell>
          <cell r="AC127">
            <v>3.1378228459206459</v>
          </cell>
          <cell r="AD127">
            <v>3.8061026838533483</v>
          </cell>
        </row>
        <row r="128">
          <cell r="AB128">
            <v>19.493074991657604</v>
          </cell>
          <cell r="AC128">
            <v>27.938328266047645</v>
          </cell>
        </row>
        <row r="129">
          <cell r="AB129">
            <v>9.3494739814584946</v>
          </cell>
          <cell r="AC129">
            <v>14.814960053545938</v>
          </cell>
        </row>
        <row r="130">
          <cell r="AB130">
            <v>0.70794037715936198</v>
          </cell>
          <cell r="AC130">
            <v>1.0214771090329773</v>
          </cell>
        </row>
        <row r="131">
          <cell r="AB131">
            <v>0.34535388863652339</v>
          </cell>
          <cell r="AC131">
            <v>0.51803083295478503</v>
          </cell>
        </row>
        <row r="132">
          <cell r="AB132">
            <v>0.73186950033079479</v>
          </cell>
          <cell r="AC132">
            <v>1.2483093909272507</v>
          </cell>
        </row>
        <row r="133">
          <cell r="AB133">
            <v>0.16659846078082469</v>
          </cell>
          <cell r="AC133">
            <v>0.43852844153616655</v>
          </cell>
        </row>
        <row r="134">
          <cell r="AB134">
            <v>3.7416699428169107</v>
          </cell>
          <cell r="AC134">
            <v>3.7416699428169107</v>
          </cell>
        </row>
        <row r="135">
          <cell r="AB135">
            <v>3.2734852732544515</v>
          </cell>
          <cell r="AC135">
            <v>4.5864410722732964</v>
          </cell>
        </row>
        <row r="136">
          <cell r="AB136">
            <v>1.1766835672202423</v>
          </cell>
          <cell r="AC136">
            <v>1.5689114229603229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P analysis Sc. 1"/>
      <sheetName val="GAP analysis Sc. 2"/>
      <sheetName val="GAP analysis Sc. 3"/>
      <sheetName val="DEMAND in FF55_RED"/>
      <sheetName val="Production 2030"/>
      <sheetName val="cmc-5_matching IVCs"/>
      <sheetName val="cmc-4_calculated sums"/>
      <sheetName val="cmc-3_conventional-capped"/>
      <sheetName val="cmc-2_cover crops"/>
      <sheetName val="cmc-1_biomethane"/>
      <sheetName val="current market conditions-0"/>
      <sheetName val="changes made"/>
    </sheetNames>
    <sheetDataSet>
      <sheetData sheetId="0">
        <row r="13">
          <cell r="K13">
            <v>0.14939810834049866</v>
          </cell>
          <cell r="S13">
            <v>0.25602567252180314</v>
          </cell>
        </row>
        <row r="18">
          <cell r="G18">
            <v>4.5953950511130213</v>
          </cell>
          <cell r="H18">
            <v>3.5911858774227325</v>
          </cell>
          <cell r="J18">
            <v>0.25628164708130313</v>
          </cell>
          <cell r="S18">
            <v>3.3132335769261889</v>
          </cell>
          <cell r="T18">
            <v>2.7789996293483421</v>
          </cell>
        </row>
        <row r="19">
          <cell r="H19">
            <v>3.9442817119799067</v>
          </cell>
          <cell r="T19">
            <v>2.0723845493727584</v>
          </cell>
        </row>
        <row r="20">
          <cell r="G20">
            <v>3.1599312123817707</v>
          </cell>
          <cell r="H20">
            <v>2.8076114368002423</v>
          </cell>
          <cell r="T20">
            <v>2.304297471683773</v>
          </cell>
        </row>
        <row r="21">
          <cell r="K21">
            <v>2.8279354160695518</v>
          </cell>
        </row>
        <row r="22">
          <cell r="K22">
            <v>1.6919843317091812</v>
          </cell>
          <cell r="S22">
            <v>2.9005445686443103</v>
          </cell>
          <cell r="T22">
            <v>4.1091048055794399</v>
          </cell>
        </row>
        <row r="23">
          <cell r="G23">
            <v>3.0930543613260721</v>
          </cell>
          <cell r="H23">
            <v>2.0988583166141201</v>
          </cell>
          <cell r="J23">
            <v>0.11046622719021687</v>
          </cell>
        </row>
        <row r="24">
          <cell r="H24">
            <v>0.94582975064488384</v>
          </cell>
          <cell r="I24">
            <v>0.47291487532244192</v>
          </cell>
          <cell r="J24">
            <v>0.15763829177414734</v>
          </cell>
          <cell r="S24">
            <v>2.7023707161282395</v>
          </cell>
        </row>
        <row r="36">
          <cell r="C36">
            <v>1.4272236552976001</v>
          </cell>
        </row>
        <row r="37">
          <cell r="C37">
            <v>0.25222126683863599</v>
          </cell>
        </row>
        <row r="38">
          <cell r="C38">
            <v>6.0905703640011424E-2</v>
          </cell>
        </row>
        <row r="40">
          <cell r="C40">
            <v>0.16122098022356002</v>
          </cell>
        </row>
        <row r="41">
          <cell r="C41">
            <v>0.15209526436184867</v>
          </cell>
        </row>
        <row r="42">
          <cell r="C42">
            <v>6.0905703640011424E-2</v>
          </cell>
        </row>
        <row r="43">
          <cell r="C43">
            <v>2.030190121333714E-2</v>
          </cell>
        </row>
        <row r="45">
          <cell r="D45">
            <v>1.083748797669112</v>
          </cell>
        </row>
        <row r="50">
          <cell r="C50">
            <v>7.5117034489347506E-2</v>
          </cell>
        </row>
        <row r="51">
          <cell r="C51">
            <v>4.20368778064392E-2</v>
          </cell>
        </row>
        <row r="52">
          <cell r="C52">
            <v>4.0603802426674281E-2</v>
          </cell>
        </row>
        <row r="54">
          <cell r="C54">
            <v>0.21496130696474633</v>
          </cell>
        </row>
        <row r="55">
          <cell r="C55">
            <v>0.21496130696474633</v>
          </cell>
          <cell r="E55">
            <v>0.26538432958610658</v>
          </cell>
        </row>
        <row r="57">
          <cell r="D57">
            <v>0.36997008308772433</v>
          </cell>
        </row>
        <row r="60">
          <cell r="C60">
            <v>0.85124677558039541</v>
          </cell>
        </row>
        <row r="61">
          <cell r="C61">
            <v>5.2546097258049103E-2</v>
          </cell>
        </row>
        <row r="66">
          <cell r="C66">
            <v>0.14939810834049866</v>
          </cell>
        </row>
        <row r="68">
          <cell r="C68">
            <v>8.2429939268880453E-2</v>
          </cell>
        </row>
        <row r="73">
          <cell r="F73">
            <v>9.0541196160615804</v>
          </cell>
        </row>
        <row r="74">
          <cell r="C74">
            <v>1.7608156246161375</v>
          </cell>
        </row>
        <row r="75">
          <cell r="C75">
            <v>0.62304658177401118</v>
          </cell>
        </row>
        <row r="76">
          <cell r="C76">
            <v>8.9908419659064473E-2</v>
          </cell>
        </row>
        <row r="77">
          <cell r="F77">
            <v>2.5559544542420078</v>
          </cell>
        </row>
        <row r="78">
          <cell r="C78">
            <v>0.23031568603365718</v>
          </cell>
        </row>
        <row r="79">
          <cell r="C79">
            <v>0.26073473890602628</v>
          </cell>
        </row>
        <row r="80">
          <cell r="C80">
            <v>8.9908419659064473E-2</v>
          </cell>
        </row>
        <row r="81">
          <cell r="C81">
            <v>1.5661466650288652E-2</v>
          </cell>
        </row>
        <row r="83">
          <cell r="C83">
            <v>1.1328180853408081</v>
          </cell>
        </row>
        <row r="86">
          <cell r="F86">
            <v>2.7023707161282395</v>
          </cell>
        </row>
        <row r="88">
          <cell r="C88">
            <v>3.654342218400685E-2</v>
          </cell>
        </row>
        <row r="90">
          <cell r="C90">
            <v>0.36830037259959869</v>
          </cell>
        </row>
        <row r="91">
          <cell r="C91">
            <v>0.36830037259959869</v>
          </cell>
          <cell r="E91">
            <v>0.45469181802419589</v>
          </cell>
        </row>
        <row r="93">
          <cell r="C93">
            <v>0.85468408298424914</v>
          </cell>
        </row>
        <row r="95">
          <cell r="F95">
            <v>1.5780889598602408</v>
          </cell>
        </row>
        <row r="96">
          <cell r="C96">
            <v>1.24309052941899</v>
          </cell>
        </row>
        <row r="98">
          <cell r="C98">
            <v>9.0079023870941327E-2</v>
          </cell>
        </row>
        <row r="99">
          <cell r="C99">
            <v>5.2204888834295506E-2</v>
          </cell>
        </row>
        <row r="105">
          <cell r="C105">
            <v>0.25602567252180314</v>
          </cell>
        </row>
        <row r="106">
          <cell r="C106">
            <v>0.18415018629979935</v>
          </cell>
        </row>
        <row r="107">
          <cell r="C107">
            <v>0.18415018629979935</v>
          </cell>
        </row>
        <row r="112">
          <cell r="F112">
            <v>6.9186049678679424</v>
          </cell>
        </row>
        <row r="113">
          <cell r="C113">
            <v>2.0192905594453272</v>
          </cell>
        </row>
        <row r="114">
          <cell r="C114">
            <v>0.82572438548362936</v>
          </cell>
        </row>
        <row r="115">
          <cell r="C115">
            <v>0.11891113567811754</v>
          </cell>
        </row>
        <row r="117">
          <cell r="C117">
            <v>0.29941039184375434</v>
          </cell>
        </row>
        <row r="118">
          <cell r="C118">
            <v>0.36502863446843681</v>
          </cell>
        </row>
        <row r="119">
          <cell r="C119">
            <v>0.11891113567811754</v>
          </cell>
        </row>
        <row r="120">
          <cell r="C120">
            <v>2.2187077754575586E-2</v>
          </cell>
        </row>
        <row r="122">
          <cell r="C122">
            <v>1.0506417248487399</v>
          </cell>
        </row>
        <row r="123">
          <cell r="H123">
            <v>0.36265323670310756</v>
          </cell>
        </row>
        <row r="127">
          <cell r="C127">
            <v>5.1769848094009703E-2</v>
          </cell>
        </row>
        <row r="129">
          <cell r="C129">
            <v>0.52163943823445114</v>
          </cell>
        </row>
        <row r="130">
          <cell r="C130">
            <v>0.52163943823445114</v>
          </cell>
          <cell r="E130">
            <v>0.64399930646228531</v>
          </cell>
        </row>
        <row r="132">
          <cell r="C132">
            <v>2.0972075484745103</v>
          </cell>
        </row>
        <row r="135">
          <cell r="C135">
            <v>1.7610449166769027</v>
          </cell>
        </row>
        <row r="137">
          <cell r="C137">
            <v>0.12761195048383353</v>
          </cell>
        </row>
        <row r="138">
          <cell r="C138">
            <v>7.3956925848585292E-2</v>
          </cell>
        </row>
        <row r="145">
          <cell r="C145">
            <v>0.36265323670310756</v>
          </cell>
        </row>
        <row r="146">
          <cell r="C146">
            <v>0.26081971911722557</v>
          </cell>
        </row>
        <row r="147">
          <cell r="C147">
            <v>0.26081971911722557</v>
          </cell>
        </row>
      </sheetData>
      <sheetData sheetId="1">
        <row r="20">
          <cell r="I20">
            <v>2.4328447263976689</v>
          </cell>
          <cell r="K20">
            <v>3.2135569708726672</v>
          </cell>
          <cell r="L20">
            <v>1.6521324819226708</v>
          </cell>
        </row>
        <row r="21">
          <cell r="I21">
            <v>3.9873984807654104</v>
          </cell>
          <cell r="K21">
            <v>4.513482447113156</v>
          </cell>
          <cell r="L21">
            <v>2.3310757894760554</v>
          </cell>
        </row>
        <row r="23">
          <cell r="I23">
            <v>0.70095472031371264</v>
          </cell>
          <cell r="K23">
            <v>0.4088902535163324</v>
          </cell>
          <cell r="L23">
            <v>0.93459388225313123</v>
          </cell>
        </row>
        <row r="24">
          <cell r="K24">
            <v>4.6775039059741133</v>
          </cell>
        </row>
        <row r="39">
          <cell r="C39">
            <v>4.8</v>
          </cell>
        </row>
        <row r="40">
          <cell r="C40">
            <v>1.2684375000000001</v>
          </cell>
        </row>
        <row r="41">
          <cell r="E41">
            <v>5.034968904341941E-2</v>
          </cell>
        </row>
        <row r="42">
          <cell r="C42">
            <v>2.3464249181570365</v>
          </cell>
        </row>
        <row r="43">
          <cell r="C43">
            <v>2.3464249181570365</v>
          </cell>
          <cell r="E43">
            <v>2.3464483826408631</v>
          </cell>
        </row>
        <row r="44">
          <cell r="C44">
            <v>1.2684375000000001</v>
          </cell>
        </row>
        <row r="45">
          <cell r="C45">
            <v>0.84562500000000007</v>
          </cell>
        </row>
        <row r="47">
          <cell r="C47">
            <v>1.083748797669112</v>
          </cell>
        </row>
        <row r="48">
          <cell r="C48">
            <v>0.48601379959576846</v>
          </cell>
        </row>
        <row r="51">
          <cell r="C51">
            <v>1.6912500000000001</v>
          </cell>
        </row>
        <row r="52">
          <cell r="J52">
            <v>1.7283950617283947</v>
          </cell>
        </row>
        <row r="53">
          <cell r="C53">
            <v>0.39684680661811123</v>
          </cell>
          <cell r="H53">
            <v>0.99515319338188868</v>
          </cell>
        </row>
        <row r="54">
          <cell r="C54">
            <v>0.39684680661811123</v>
          </cell>
          <cell r="H54">
            <v>0.99515319338188868</v>
          </cell>
        </row>
        <row r="56">
          <cell r="C56">
            <v>0.36997008308772433</v>
          </cell>
        </row>
        <row r="57">
          <cell r="C57">
            <v>8.2429939268880453E-2</v>
          </cell>
        </row>
        <row r="58">
          <cell r="E58">
            <v>0.54801034898900847</v>
          </cell>
        </row>
        <row r="59">
          <cell r="C59">
            <v>0.4</v>
          </cell>
        </row>
        <row r="60">
          <cell r="C60">
            <v>1.2264714048558671</v>
          </cell>
        </row>
        <row r="68">
          <cell r="E68">
            <v>12.904028675071293</v>
          </cell>
        </row>
        <row r="70">
          <cell r="C70">
            <v>7.8</v>
          </cell>
        </row>
        <row r="71">
          <cell r="C71">
            <v>2.2948744637849563</v>
          </cell>
        </row>
        <row r="73">
          <cell r="C73">
            <v>1.1268491132182206</v>
          </cell>
        </row>
        <row r="74">
          <cell r="C74">
            <v>1.1268491132182206</v>
          </cell>
          <cell r="F74">
            <v>1.1268603818220388</v>
          </cell>
        </row>
        <row r="75">
          <cell r="C75">
            <v>2.2948744637849563</v>
          </cell>
        </row>
        <row r="76">
          <cell r="C76">
            <v>0.68846233913548682</v>
          </cell>
        </row>
        <row r="78">
          <cell r="C78">
            <v>0.56640904267040404</v>
          </cell>
        </row>
        <row r="79">
          <cell r="C79">
            <v>0.56640904267040404</v>
          </cell>
        </row>
        <row r="82">
          <cell r="C82">
            <v>1.6064121246494694</v>
          </cell>
        </row>
        <row r="84">
          <cell r="C84">
            <v>1.1166998860872441</v>
          </cell>
        </row>
        <row r="85">
          <cell r="C85">
            <v>1.1166998860872441</v>
          </cell>
          <cell r="F85">
            <v>1.7793308958297873</v>
          </cell>
        </row>
        <row r="87">
          <cell r="C87">
            <v>0.42734204149212457</v>
          </cell>
        </row>
        <row r="88">
          <cell r="C88">
            <v>0.42734204149212457</v>
          </cell>
        </row>
        <row r="89">
          <cell r="E89">
            <v>2.9849298493263632</v>
          </cell>
        </row>
        <row r="91">
          <cell r="C91">
            <v>0.2</v>
          </cell>
          <cell r="F91">
            <v>0.32455813953488377</v>
          </cell>
        </row>
        <row r="92">
          <cell r="C92">
            <v>1</v>
          </cell>
        </row>
        <row r="93">
          <cell r="C93">
            <v>2.2948744637849563</v>
          </cell>
        </row>
        <row r="97">
          <cell r="C97">
            <v>8.7306124999999994</v>
          </cell>
        </row>
        <row r="98">
          <cell r="C98">
            <v>0.78140929758716804</v>
          </cell>
        </row>
        <row r="99">
          <cell r="C99">
            <v>1.2603375767534968</v>
          </cell>
        </row>
        <row r="104">
          <cell r="H104">
            <v>11.314412334023228</v>
          </cell>
        </row>
        <row r="105">
          <cell r="F105">
            <v>0.32413219826146089</v>
          </cell>
        </row>
        <row r="106">
          <cell r="F106">
            <v>6.5878977971262422</v>
          </cell>
        </row>
        <row r="107">
          <cell r="F107">
            <v>2.8231147134344257</v>
          </cell>
          <cell r="J107">
            <v>0.49819671413548683</v>
          </cell>
        </row>
        <row r="109">
          <cell r="F109">
            <v>0.95426797434460386</v>
          </cell>
        </row>
        <row r="110">
          <cell r="F110">
            <v>0.95426797434460386</v>
          </cell>
          <cell r="H110">
            <v>0.95427751711977504</v>
          </cell>
        </row>
        <row r="111">
          <cell r="C111">
            <v>3.3213114275699125</v>
          </cell>
        </row>
        <row r="112">
          <cell r="F112">
            <v>0.99639342827097366</v>
          </cell>
        </row>
        <row r="114">
          <cell r="F114">
            <v>1.0506417248487399</v>
          </cell>
        </row>
        <row r="116">
          <cell r="F116">
            <v>9.4691036458333322</v>
          </cell>
        </row>
        <row r="119">
          <cell r="F119">
            <v>2.3249179992989384</v>
          </cell>
        </row>
        <row r="121">
          <cell r="F121">
            <v>2.2122299104122982</v>
          </cell>
        </row>
        <row r="122">
          <cell r="F122">
            <v>2.2122299104122982</v>
          </cell>
          <cell r="H122">
            <v>7.1577292607965264</v>
          </cell>
        </row>
        <row r="124">
          <cell r="F124">
            <v>2.0972075484745099</v>
          </cell>
        </row>
        <row r="126">
          <cell r="F126">
            <v>1.8246751535069936</v>
          </cell>
        </row>
        <row r="128">
          <cell r="H128">
            <v>1.7333971000102721</v>
          </cell>
        </row>
        <row r="129">
          <cell r="F129">
            <v>0.93459388225313333</v>
          </cell>
        </row>
        <row r="130">
          <cell r="F130">
            <v>2.2094844368846971</v>
          </cell>
          <cell r="H130">
            <v>3.5855307908328879</v>
          </cell>
        </row>
        <row r="131">
          <cell r="F131">
            <v>2.30712981671536</v>
          </cell>
        </row>
        <row r="132">
          <cell r="F132">
            <v>3.3213114275699125</v>
          </cell>
        </row>
        <row r="134">
          <cell r="F134">
            <v>1.8246751535069936</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enario 3 2030"/>
      <sheetName val="Scenario 3 2035"/>
      <sheetName val="Scenaior 3 2040"/>
    </sheetNames>
    <sheetDataSet>
      <sheetData sheetId="0">
        <row r="4">
          <cell r="J4">
            <v>12.813433577476269</v>
          </cell>
        </row>
        <row r="8">
          <cell r="K8">
            <v>2.1188287720039565</v>
          </cell>
        </row>
        <row r="9">
          <cell r="E9">
            <v>5.0935109436753994</v>
          </cell>
          <cell r="O9">
            <v>0.4712049436871445</v>
          </cell>
        </row>
        <row r="10">
          <cell r="E10">
            <v>18.890827639508842</v>
          </cell>
        </row>
        <row r="11">
          <cell r="E11">
            <v>3.7043463206270619</v>
          </cell>
        </row>
        <row r="12">
          <cell r="E12">
            <v>7.562983611860628</v>
          </cell>
        </row>
        <row r="14">
          <cell r="E14">
            <v>50.043724798423419</v>
          </cell>
        </row>
        <row r="16">
          <cell r="G16">
            <v>18.890846530355372</v>
          </cell>
        </row>
        <row r="18">
          <cell r="E18">
            <v>7.0262000000000002</v>
          </cell>
        </row>
        <row r="20">
          <cell r="O20">
            <v>5.8462852609877034</v>
          </cell>
        </row>
        <row r="21">
          <cell r="E21">
            <v>2.5305438957411668</v>
          </cell>
          <cell r="O21">
            <v>1.6258426707415721</v>
          </cell>
        </row>
        <row r="23">
          <cell r="E23">
            <v>12.904199625122519</v>
          </cell>
          <cell r="O23">
            <v>7.4086926412541239</v>
          </cell>
          <cell r="P23">
            <v>7.4086926412541239</v>
          </cell>
        </row>
        <row r="24">
          <cell r="E24">
            <v>19.678952396654971</v>
          </cell>
        </row>
        <row r="26">
          <cell r="E26">
            <v>5.2287999999999997</v>
          </cell>
        </row>
        <row r="28">
          <cell r="J28">
            <v>2.1744817538448755</v>
          </cell>
        </row>
        <row r="29">
          <cell r="E29">
            <v>0.98727861419515794</v>
          </cell>
        </row>
        <row r="30">
          <cell r="E30">
            <v>6.0633057685308369</v>
          </cell>
        </row>
      </sheetData>
      <sheetData sheetId="1">
        <row r="3">
          <cell r="N3">
            <v>12.48219186649861</v>
          </cell>
        </row>
        <row r="4">
          <cell r="H4">
            <v>0.40370599198602869</v>
          </cell>
        </row>
        <row r="5">
          <cell r="H5">
            <v>6.2170915290569715</v>
          </cell>
        </row>
        <row r="6">
          <cell r="H6">
            <v>3.8959137513146382</v>
          </cell>
        </row>
        <row r="7">
          <cell r="O7">
            <v>1.6036203590984996</v>
          </cell>
        </row>
        <row r="8">
          <cell r="H8">
            <v>5.4099048599943593</v>
          </cell>
        </row>
        <row r="9">
          <cell r="H9">
            <v>19.279437644365416</v>
          </cell>
        </row>
        <row r="10">
          <cell r="H10">
            <v>3.8959137513146382</v>
          </cell>
        </row>
        <row r="11">
          <cell r="H11">
            <v>10.13221918399654</v>
          </cell>
        </row>
        <row r="13">
          <cell r="H13">
            <v>51.323650072492413</v>
          </cell>
        </row>
        <row r="17">
          <cell r="D17">
            <v>7.7918275026292765</v>
          </cell>
        </row>
        <row r="18">
          <cell r="H18">
            <v>3.3858739780343416</v>
          </cell>
        </row>
        <row r="20">
          <cell r="H20">
            <v>13.31878745509502</v>
          </cell>
        </row>
        <row r="21">
          <cell r="H21">
            <v>19.981139901187781</v>
          </cell>
        </row>
        <row r="24">
          <cell r="L24">
            <v>19.279456923822337</v>
          </cell>
        </row>
        <row r="26">
          <cell r="N26">
            <v>1.8047215206949545</v>
          </cell>
        </row>
        <row r="27">
          <cell r="H27">
            <v>1.3927654773012108</v>
          </cell>
        </row>
        <row r="28">
          <cell r="H28">
            <v>6.1564131251868339</v>
          </cell>
        </row>
        <row r="29">
          <cell r="H29">
            <v>2.0705536681430043</v>
          </cell>
        </row>
        <row r="36">
          <cell r="H36">
            <v>3.2485999999999997</v>
          </cell>
        </row>
        <row r="37">
          <cell r="H37">
            <v>3.2485999999999997</v>
          </cell>
        </row>
        <row r="38">
          <cell r="H38">
            <v>8.7306124999999994</v>
          </cell>
        </row>
      </sheetData>
      <sheetData sheetId="2">
        <row r="3">
          <cell r="K3">
            <v>10.037971023431988</v>
          </cell>
        </row>
        <row r="4">
          <cell r="E4">
            <v>0.33620704028491294</v>
          </cell>
        </row>
        <row r="5">
          <cell r="E5">
            <v>6.5878977971262422</v>
          </cell>
        </row>
        <row r="6">
          <cell r="E6">
            <v>4.0874811820022146</v>
          </cell>
        </row>
        <row r="8">
          <cell r="E8">
            <v>5.7262987763133202</v>
          </cell>
        </row>
        <row r="9">
          <cell r="E9">
            <v>19.668047649221986</v>
          </cell>
        </row>
        <row r="10">
          <cell r="E10">
            <v>4.0874811820022146</v>
          </cell>
        </row>
        <row r="11">
          <cell r="E11">
            <v>12.701454756132451</v>
          </cell>
        </row>
        <row r="13">
          <cell r="E13">
            <v>52.603575346561399</v>
          </cell>
        </row>
        <row r="16">
          <cell r="E16">
            <v>10.435025</v>
          </cell>
        </row>
        <row r="17">
          <cell r="AA17">
            <v>8.1749623640044291</v>
          </cell>
        </row>
        <row r="19">
          <cell r="E19">
            <v>2.120602030163758</v>
          </cell>
        </row>
        <row r="21">
          <cell r="E21">
            <v>13.733375285067522</v>
          </cell>
        </row>
        <row r="22">
          <cell r="E22">
            <v>20.029569059661455</v>
          </cell>
        </row>
        <row r="25">
          <cell r="H25">
            <v>19.668067317289303</v>
          </cell>
        </row>
        <row r="28">
          <cell r="E28">
            <v>3.8828</v>
          </cell>
        </row>
        <row r="30">
          <cell r="L30">
            <v>3.0098384106015486</v>
          </cell>
        </row>
        <row r="31">
          <cell r="E31">
            <v>1.7982523404072637</v>
          </cell>
        </row>
        <row r="32">
          <cell r="E32">
            <v>6.1713346916411753</v>
          </cell>
        </row>
        <row r="33">
          <cell r="E33">
            <v>2.5152646655444366</v>
          </cell>
        </row>
        <row r="34">
          <cell r="E34">
            <v>2.120602030163758</v>
          </cell>
        </row>
        <row r="37">
          <cell r="E37">
            <v>3.8828</v>
          </cell>
        </row>
      </sheetData>
    </sheetDataSet>
  </externalBook>
</externalLink>
</file>

<file path=xl/persons/person.xml><?xml version="1.0" encoding="utf-8"?>
<personList xmlns="http://schemas.microsoft.com/office/spreadsheetml/2018/threadedcomments" xmlns:x="http://schemas.openxmlformats.org/spreadsheetml/2006/main">
  <person displayName="Lucie Catalina Cherpin" id="{3E777230-61F3-43BE-A748-388BDE894DDF}" userId="S::CherpinL@best-research.eu::a927ef08-32c0-4941-96b1-5a6dcfb3d6e8"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 dT="2026-07-01T08:43:28.94" personId="{3E777230-61F3-43BE-A748-388BDE894DDF}" id="{2BDE14E4-3FFB-4CAC-BE3D-F09A1CCBDA86}">
    <text xml:space="preserve">Source: Study 2, table 3-3, p. 50 </text>
  </threadedComment>
  <threadedComment ref="L5" dT="2026-07-01T08:43:53.76" personId="{3E777230-61F3-43BE-A748-388BDE894DDF}" id="{749DF298-3BAE-4218-9F5C-B407E01BD859}">
    <text>Source: Study 2, table 3-3, p. 50</text>
  </threadedComment>
  <threadedComment ref="N5" dT="2026-07-01T08:44:21.58" personId="{3E777230-61F3-43BE-A748-388BDE894DDF}" id="{6BB6D71C-876E-4AC1-B3D4-C8EC4EF7447C}">
    <text>Check, probably not rigth</text>
  </threadedComment>
  <threadedComment ref="E6" dT="2026-06-30T14:19:10.69" personId="{3E777230-61F3-43BE-A748-388BDE894DDF}" id="{0641B48C-1C2E-451D-B038-C8905E93DEBF}">
    <text>250€/t from farmer to aggregator, the 520 is the price when deliuivered to refinery</text>
  </threadedComment>
  <threadedComment ref="J7" dT="2026-07-01T08:43:38.57" personId="{3E777230-61F3-43BE-A748-388BDE894DDF}" id="{D2BAAC56-4CC2-48C6-B87A-6E4A714A4DC4}">
    <text>Source: Study 2, table 3-3, p. 50</text>
  </threadedComment>
  <threadedComment ref="L7" dT="2026-07-01T08:43:57.50" personId="{3E777230-61F3-43BE-A748-388BDE894DDF}" id="{2EE79CC8-7DB4-40E7-9C5C-0CF6A83C93D3}">
    <text>Source: Study 2, table 3-3, p. 50</text>
  </threadedComment>
  <threadedComment ref="E10" dT="2026-06-30T18:20:54.06" personId="{3E777230-61F3-43BE-A748-388BDE894DDF}" id="{39C073FB-1DE4-492E-A48A-BFEFDF685185}">
    <text>I have the original information of  20 €/MWh</text>
  </threadedComment>
  <threadedComment ref="J11" dT="2026-07-01T08:43:43.77" personId="{3E777230-61F3-43BE-A748-388BDE894DDF}" id="{CAA6746D-9F9C-4C7E-A5C7-C3DC2E1772CF}">
    <text>Source: Study 2, table 3-3, p. 50</text>
  </threadedComment>
  <threadedComment ref="L11" dT="2026-07-01T08:44:02.35" personId="{3E777230-61F3-43BE-A748-388BDE894DDF}" id="{63BE232C-8257-40CB-A854-8EEEE5D046C6}">
    <text>Source: Study 2, table 3-3, p. 50</text>
  </threadedComment>
  <threadedComment ref="E14" dT="2026-06-30T18:20:54.06" personId="{3E777230-61F3-43BE-A748-388BDE894DDF}" id="{EFF544C3-280E-463F-872F-2969E46F178B}">
    <text>I have the original information of  20 €/MWh</text>
  </threadedComment>
  <threadedComment ref="E16" dT="2026-06-30T14:19:30.84" personId="{3E777230-61F3-43BE-A748-388BDE894DDF}" id="{85047F7D-F8D5-471B-A8D3-394D1DA3F27F}">
    <text>German average in 2020, costs  come from a) replenishment of soil nutrient and organic matter, and b) classical collection, storage and transport of the material to farmgate or torrefaction of feedstock usage</text>
  </threadedComment>
  <threadedComment ref="E21" dT="2026-06-30T18:20:54.06" personId="{3E777230-61F3-43BE-A748-388BDE894DDF}" id="{1F1D4C1E-F310-4986-A721-4E625752DF11}">
    <text>I have the original information of  20 €/MWh</text>
  </threadedComment>
  <threadedComment ref="E23" dT="2026-06-30T14:19:44.03" personId="{3E777230-61F3-43BE-A748-388BDE894DDF}" id="{4AA83F66-2551-44B1-8A82-8E41A3C66DBD}">
    <text>I asumed it to be the same as for agroprocessing</text>
  </threadedComment>
  <threadedComment ref="E31" dT="2026-06-30T18:20:54.06" personId="{3E777230-61F3-43BE-A748-388BDE894DDF}" id="{6E9D4E67-23E2-43C2-B3EF-8D64F92CF5BE}">
    <text>I have the original information of  20 €/MWh</text>
  </threadedComment>
  <threadedComment ref="E57" dT="2026-06-30T18:20:54.06" personId="{3E777230-61F3-43BE-A748-388BDE894DDF}" id="{0EBA3DE9-C51E-4D26-975A-C8966C8DB4DA}">
    <text>I have the original information of  20 €/MWh</text>
  </threadedComment>
  <threadedComment ref="E59" dT="2026-06-30T18:20:54.06" personId="{3E777230-61F3-43BE-A748-388BDE894DDF}" id="{0E7B8B5E-75D0-4D1B-B201-7FBD183D3816}">
    <text>I have the original information of  20 €/MWh</text>
  </threadedComment>
  <threadedComment ref="E70" dT="2026-06-30T18:20:54.06" personId="{3E777230-61F3-43BE-A748-388BDE894DDF}" id="{A42FE59B-99E4-4B07-BCEC-FF9F9EEB1295}">
    <text>I have the original information of  20 €/MWh</text>
  </threadedComment>
  <threadedComment ref="E72" dT="2026-06-30T18:20:54.06" personId="{3E777230-61F3-43BE-A748-388BDE894DDF}" id="{B8E32453-DF1E-4C76-BB44-072E6BCE9A26}">
    <text>I have the original information of  20 €/MWh</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6-08-03T13:48:59.84" personId="{3E777230-61F3-43BE-A748-388BDE894DDF}" id="{A77A5799-89FE-491F-8766-25D60FD4565B}">
    <text>In ceto report: intellectual property and engineering expertise contribute an estimated 30% of the wokr involved in manufacturing a European biodiesel plant</text>
  </threadedComment>
  <threadedComment ref="G11" dT="2026-08-03T13:43:46.55" personId="{3E777230-61F3-43BE-A748-388BDE894DDF}" id="{6DAB5E6E-D0B7-43ED-9647-37D38E0A8E78}">
    <text>plants using non-standard oils from cover crops or marginal lands require more robust pre-treatment and purification units to handle feedstock variability compared to plants using refined food-grade oils
--&gt; therefore slightly higher share than IVC above</text>
  </threadedComment>
  <threadedComment ref="D18" dT="2026-08-04T18:27:44.99" personId="{3E777230-61F3-43BE-A748-388BDE894DDF}" id="{32CBDEC2-176C-4B0F-A623-5BD86D2D25BE}">
    <text xml:space="preserve">Annex 5 Study 2, p. 13: 66.18% UCO and 33.82% Animal Fat </text>
  </threadedComment>
  <threadedComment ref="G25" dT="2026-08-03T13:50:43.32" personId="{3E777230-61F3-43BE-A748-388BDE894DDF}" id="{62DE1E61-0033-4005-9F9C-E930BE32F7F3}">
    <text>Hydrotreatment is technically more complex than tranestification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K41" dT="2026-06-30T14:19:30.84" personId="{3E777230-61F3-43BE-A748-388BDE894DDF}" id="{0E6581DC-125A-4B5D-B1EC-315EC5ED65A4}">
    <text>German average in 2020, costs  come from a) replenishment of soil nutrient and organic matter, and b) classical collection, storage and transport of the material to farmgate or torrefaction of feedstock usage</text>
  </threadedComment>
  <threadedComment ref="G84" dT="2026-08-04T19:38:02.83" personId="{3E777230-61F3-43BE-A748-388BDE894DDF}" id="{791FF8A9-5C90-4745-991A-C8BB0DD269AA}">
    <text>Based on DBFZ report sent by Doris on 04.08. via mail</text>
  </threadedComment>
  <threadedComment ref="N86" dT="2026-08-03T13:48:59.84" personId="{3E777230-61F3-43BE-A748-388BDE894DDF}" id="{14F10201-8CFB-41D8-A4A3-AFABE0F8583F}">
    <text>In ceto report: intellectual property and engineering expertise contribute an estimated 30% of the wokr involved in manufacturing a European biodiesel plant</text>
  </threadedComment>
  <threadedComment ref="P97" dT="2026-08-06T09:50:09.92" personId="{3E777230-61F3-43BE-A748-388BDE894DDF}" id="{04B8099F-9F46-4279-A631-A0EE3B9FFE36}">
    <text>Because of the feedstock being UCO: CETO report „SMEs also manage the logistics of the decentralised collection and processing of dispersed feedstocks, such as used cooking oil (UCO).“ (p. 52)</text>
  </threadedComment>
  <threadedComment ref="P97" dT="2026-08-06T09:51:24.62" personId="{3E777230-61F3-43BE-A748-388BDE894DDF}" id="{1F212AB7-F53C-4C45-8DB0-1316251FB1CA}" parentId="{04B8099F-9F46-4279-A631-A0EE3B9FFE36}">
    <text>Or p. 7 CETO: „Small and medium-sized enterprises (SMEs) are innovators for Annex IX Part A feedstocks of the RED II and for managing decentralised feedstock collection logistics. „</text>
  </threadedComment>
  <threadedComment ref="N99" dT="2026-08-03T13:50:43.32" personId="{3E777230-61F3-43BE-A748-388BDE894DDF}" id="{EDB183A3-BBBD-4B95-AF65-B3F57C1812D1}">
    <text>Hydrotreatment is technically more complex than tranestification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B68" dT="2026-08-11T12:51:49.18" personId="{3E777230-61F3-43BE-A748-388BDE894DDF}" id="{615B2508-73C0-49D2-B04B-B5B8C1E93B00}">
    <text>Can I really assum ethe same procie here as when used in shipping?</text>
  </threadedComment>
  <threadedComment ref="G226" dT="2026-08-04T19:38:02.83" personId="{3E777230-61F3-43BE-A748-388BDE894DDF}" id="{C67FFAEE-B71C-4525-9BAA-00FF76799D59}">
    <text>Based on DBFZ report sent by Doris on 04.08. via mail</text>
  </threadedComment>
  <threadedComment ref="K227" dT="2026-08-08T09:53:11.28" personId="{3E777230-61F3-43BE-A748-388BDE894DDF}" id="{639AD20E-E983-4316-9ACA-074BEE69CCD9}">
    <text>These are percentages of overall feedstock usage, not as staed above „moey spent on each feedstock for 1t of product“</text>
  </threadedComment>
  <threadedComment ref="N228" dT="2026-08-03T13:48:59.84" personId="{3E777230-61F3-43BE-A748-388BDE894DDF}" id="{434814F4-DB7F-4BCC-96B8-C2E1AA1C11FA}">
    <text>In ceto report: intellectual property and engineering expertise contribute an estimated 30% of the wokr involved in manufacturing a European biodiesel plant</text>
  </threadedComment>
  <threadedComment ref="N235" dT="2026-08-03T13:50:43.32" personId="{3E777230-61F3-43BE-A748-388BDE894DDF}" id="{E3A804DE-968D-4E5F-B5B5-A6CCBB403F93}">
    <text>Hydrotreatment is technically more complex than tranestification</text>
  </threadedComment>
  <threadedComment ref="N243" dT="2026-08-03T13:48:59.84" personId="{3E777230-61F3-43BE-A748-388BDE894DDF}" id="{7574952B-ECF1-48F0-AD44-54FAC23173B3}">
    <text>In ceto report: intellectual property and engineering expertise contribute an estimated 30% of the wokr involved in manufacturing a European biodiesel plant</text>
  </threadedComment>
  <threadedComment ref="N250" dT="2026-08-03T13:50:43.32" personId="{3E777230-61F3-43BE-A748-388BDE894DDF}" id="{C568C5AD-1395-40D9-B997-EC3F725614DB}">
    <text>Hydrotreatment is technically more complex than tranestification</text>
  </threadedComment>
  <threadedComment ref="N259" dT="2026-08-03T13:48:59.84" personId="{3E777230-61F3-43BE-A748-388BDE894DDF}" id="{2AA4F211-22E1-43B4-8BF5-D4A763DD0995}">
    <text>In ceto report: intellectual property and engineering expertise contribute an estimated 30% of the wokr involved in manufacturing a European biodiesel plant</text>
  </threadedComment>
  <threadedComment ref="N265" dT="2026-08-03T13:50:43.32" personId="{3E777230-61F3-43BE-A748-388BDE894DDF}" id="{43198721-C0F1-4937-B9B3-5D0897D380C9}">
    <text>Hydrotreatment is technically more complex than tranestification</text>
  </threadedComment>
  <threadedComment ref="N285" dT="2026-08-03T13:50:43.32" personId="{3E777230-61F3-43BE-A748-388BDE894DDF}" id="{3D080233-ECE2-48E5-947C-39A5F551D115}">
    <text>Hydrotreatment is technically more complex than tranestification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C6" dT="2026-09-02T15:06:36.95" personId="{3E777230-61F3-43BE-A748-388BDE894DDF}" id="{FEB367C1-2641-4F36-9E9D-1C8ED52B3F2C}">
    <text>Incldues the surpluses form 8a, 8b and 7, 9a (partly used as feedstock for IVC6, 12, and 8b)</text>
  </threadedComment>
  <threadedComment ref="D6" dT="2026-09-02T15:06:36.95" personId="{3E777230-61F3-43BE-A748-388BDE894DDF}" id="{21791D32-E2D6-4A6A-8DC5-24BADA9A0723}">
    <text>Incldues the surpluses form 8a, 8b and 7, 9a (partly used as feedstock for IVC6, 12, and 8b)</text>
  </threadedComment>
  <threadedComment ref="B72" dT="2026-08-11T12:51:49.18" personId="{3E777230-61F3-43BE-A748-388BDE894DDF}" id="{2127DB78-DF01-45A7-B9B5-7C63AB36B015}">
    <text>Can I really assum ethe same procie here as when used in shipping?</text>
  </threadedComment>
  <threadedComment ref="A92" dT="2026-07-29T17:57:31.68" personId="{3E777230-61F3-43BE-A748-388BDE894DDF}" id="{18F44418-585B-4D59-A9D3-4A6003FE035E}">
    <text>Taken out, since IVC 7 is sufficient to dover biogas demand and thereby 9a can be used as input for IVC 12</text>
  </threadedComment>
  <threadedComment ref="G230" dT="2026-08-04T19:38:02.83" personId="{3E777230-61F3-43BE-A748-388BDE894DDF}" id="{0CCD31A9-EB72-46DF-B492-C9E90BCA9B41}">
    <text>Based on DBFZ report sent by Doris on 04.08. via mail</text>
  </threadedComment>
  <threadedComment ref="K231" dT="2026-08-08T09:53:11.28" personId="{3E777230-61F3-43BE-A748-388BDE894DDF}" id="{3DD45E12-CA73-490B-B97B-2DB99D2C2309}">
    <text>These are percentages of overall feedstock usage, not as staed above „moey spent on each feedstock for 1t of product“</text>
  </threadedComment>
  <threadedComment ref="N232" dT="2026-08-03T13:48:59.84" personId="{3E777230-61F3-43BE-A748-388BDE894DDF}" id="{EA6E58E6-3E93-4AA8-90F7-2611E860ED0A}">
    <text>In ceto report: intellectual property and engineering expertise contribute an estimated 30% of the wokr involved in manufacturing a European biodiesel plant</text>
  </threadedComment>
  <threadedComment ref="K239" dT="2026-08-08T09:53:11.28" personId="{3E777230-61F3-43BE-A748-388BDE894DDF}" id="{CD945056-963B-4CBB-892F-B9A7847DDFDE}">
    <text>These are percentages of overall feedstock usage, not as staed above „moey spent on each feedstock for 1t of product“</text>
  </threadedComment>
  <threadedComment ref="N239" dT="2026-08-03T13:50:43.32" personId="{3E777230-61F3-43BE-A748-388BDE894DDF}" id="{47152EBA-AB68-4B91-9FBF-6CC8157C8795}">
    <text>Hydrotreatment is technically more complex than tranestification</text>
  </threadedComment>
  <threadedComment ref="N247" dT="2026-08-03T13:48:59.84" personId="{3E777230-61F3-43BE-A748-388BDE894DDF}" id="{7CEF01E4-3DD3-49B8-B576-7AB5DCC62C64}">
    <text>In ceto report: intellectual property and engineering expertise contribute an estimated 30% of the wokr involved in manufacturing a European biodiesel plant</text>
  </threadedComment>
  <threadedComment ref="N254" dT="2026-08-03T13:50:43.32" personId="{3E777230-61F3-43BE-A748-388BDE894DDF}" id="{49113B1F-545B-4005-BD88-DDA1B4B67027}">
    <text>Hydrotreatment is technically more complex than tranestification</text>
  </threadedComment>
  <threadedComment ref="N273" dT="2026-08-03T13:50:43.32" personId="{3E777230-61F3-43BE-A748-388BDE894DDF}" id="{EE5E435E-B0DD-4F27-9EAC-D58AFBF34CAC}">
    <text>Hydrotreatment is technically more complex than tranestification</text>
  </threadedComment>
  <threadedComment ref="E275" dT="2026-08-09T21:39:43.04" personId="{3E777230-61F3-43BE-A748-388BDE894DDF}" id="{F614B8A6-96FC-41E5-9D61-C283E539D32C}">
    <text>I am making averages for the conversion factor, based on what I knwo form domestic production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D9" dT="2026-08-06T14:55:45.03" personId="{3E777230-61F3-43BE-A748-388BDE894DDF}" id="{47B0E686-8E2D-420B-9125-6A38C109AF84}">
    <text>Includes the diesel going to shipping</text>
  </threadedComment>
  <threadedComment ref="G230" dT="2026-08-04T19:38:02.83" personId="{3E777230-61F3-43BE-A748-388BDE894DDF}" id="{8AD0E3AA-FDBB-4B63-83EB-419CA97A29F2}">
    <text>Based on DBFZ report sent by Doris on 04.08. via mail</text>
  </threadedComment>
  <threadedComment ref="K231" dT="2026-08-08T09:53:11.28" personId="{3E777230-61F3-43BE-A748-388BDE894DDF}" id="{4939E957-CC9C-47BB-80D7-6B4E49E03ACC}">
    <text>These are percentages of overall feedstock usage, not as staed above „moey spent on each feedstock for 1t of product“</text>
  </threadedComment>
  <threadedComment ref="N232" dT="2026-08-03T13:48:59.84" personId="{3E777230-61F3-43BE-A748-388BDE894DDF}" id="{AD5EE79F-7363-4994-AE8C-280FCA669394}">
    <text>In ceto report: intellectual property and engineering expertise contribute an estimated 30% of the wokr involved in manufacturing a European biodiesel plant</text>
  </threadedComment>
  <threadedComment ref="K239" dT="2026-08-08T09:53:11.28" personId="{3E777230-61F3-43BE-A748-388BDE894DDF}" id="{DEFBC9A1-0EC8-4E5A-938B-7BE93708B863}">
    <text>These are percentages of overall feedstock usage, not as staed above „moey spent on each feedstock for 1t of product“</text>
  </threadedComment>
  <threadedComment ref="N239" dT="2026-08-03T13:50:43.32" personId="{3E777230-61F3-43BE-A748-388BDE894DDF}" id="{35290D83-15FE-48A8-8B81-97B23D28E911}">
    <text>Hydrotreatment is technically more complex than tranestification</text>
  </threadedComment>
  <threadedComment ref="N247" dT="2026-08-03T13:48:59.84" personId="{3E777230-61F3-43BE-A748-388BDE894DDF}" id="{B3B8BCFF-5A31-4B7D-ABFC-C8ABA2CDA76B}">
    <text>In ceto report: intellectual property and engineering expertise contribute an estimated 30% of the wokr involved in manufacturing a European biodiesel plant</text>
  </threadedComment>
  <threadedComment ref="N254" dT="2026-08-03T13:50:43.32" personId="{3E777230-61F3-43BE-A748-388BDE894DDF}" id="{86F36409-51CA-45E4-B2ED-85618D4EEC7D}">
    <text>Hydrotreatment is technically more complex than tranestification</text>
  </threadedComment>
  <threadedComment ref="D262" dT="2026-08-10T12:22:58.67" personId="{3E777230-61F3-43BE-A748-388BDE894DDF}" id="{C9199DE8-8969-4E74-B5AC-FF40F118A782}">
    <text>To limit advanced biofuel consumption to 18,4 target</text>
  </threadedComment>
</ThreadedComments>
</file>

<file path=xl/threadedComments/threadedComment7.xml><?xml version="1.0" encoding="utf-8"?>
<ThreadedComments xmlns="http://schemas.microsoft.com/office/spreadsheetml/2018/threadedcomments" xmlns:x="http://schemas.openxmlformats.org/spreadsheetml/2006/main">
  <threadedComment ref="G5" dT="2026-07-29T17:41:43.37" personId="{3E777230-61F3-43BE-A748-388BDE894DDF}" id="{098CFD09-AA28-4D55-A0DA-993DD6BC1FB3}">
    <text>Since  no data available on tall oil price, the price of this feedstock mix is now entirely determined by FPBO price</text>
  </threadedComment>
  <threadedComment ref="J5" dT="2026-07-29T17:41:43.37" personId="{3E777230-61F3-43BE-A748-388BDE894DDF}" id="{37D92A2E-7963-41CB-B1BB-353A58920241}">
    <text>Since  no data available on tall oil price, the price of this feedstock mix is now entirely determined by FPBO price</text>
  </threadedComment>
  <threadedComment ref="G8" dT="2026-07-29T17:43:33.81" personId="{3E777230-61F3-43BE-A748-388BDE894DDF}" id="{131713EB-C766-423B-8B7A-20B5184EFDD2}">
    <text>Same here: to exclude tall oil from price determination, I approximated to 20% oil crops abandoned and 80% FPBO</text>
  </threadedComment>
  <threadedComment ref="C28" dT="2026-07-01T16:24:15.81" personId="{3E777230-61F3-43BE-A748-388BDE894DDF}" id="{F2302E30-98A9-418C-9E98-59A76A17F3B8}">
    <text>I just picked any number for now, but value is still missing</text>
  </threadedComment>
  <threadedComment ref="C39" dT="2026-07-01T16:28:18.24" personId="{3E777230-61F3-43BE-A748-388BDE894DDF}" id="{240DC0F3-D805-4BA3-9F66-49A4D93AD340}">
    <text>Check!</text>
  </threadedComment>
  <threadedComment ref="P42" dT="2026-06-30T18:20:54.06" personId="{3E777230-61F3-43BE-A748-388BDE894DDF}" id="{F2652C68-4A32-4F60-BA00-6480064B88B7}">
    <text>I have the original information of  20 €/MWh</text>
  </threadedComment>
  <threadedComment ref="P43" dT="2026-06-30T18:20:54.06" personId="{3E777230-61F3-43BE-A748-388BDE894DDF}" id="{22D1EB81-D3D4-44F4-B990-0ACF78EACF1D}">
    <text>I have the original information of  20 €/MWh</text>
  </threadedComment>
  <threadedComment ref="B67" dT="2026-06-30T18:20:54.06" personId="{3E777230-61F3-43BE-A748-388BDE894DDF}" id="{BA1D06DB-2DD3-4CB6-9D9C-FF45F867FA19}">
    <text>I have the original information of  20 €/MWh</text>
  </threadedComment>
</ThreadedComments>
</file>

<file path=xl/threadedComments/threadedComment8.xml><?xml version="1.0" encoding="utf-8"?>
<ThreadedComments xmlns="http://schemas.microsoft.com/office/spreadsheetml/2018/threadedcomments" xmlns:x="http://schemas.openxmlformats.org/spreadsheetml/2006/main">
  <threadedComment ref="B66" dT="2026-08-11T12:51:49.18" personId="{3E777230-61F3-43BE-A748-388BDE894DDF}" id="{BA5CFD50-A063-4F47-A583-84806370223C}">
    <text>Can I really assum ethe same procie here as when used in shipping?</text>
  </threadedComment>
  <threadedComment ref="A86" dT="2026-07-29T17:57:31.68" personId="{3E777230-61F3-43BE-A748-388BDE894DDF}" id="{CB48DB25-90EE-4C55-865B-376DD8B48D3C}">
    <text>Taken out, since IVC 7 is sufficient to dover biogas demand and thereby 9a can be used as input for IVC 12</text>
  </threadedComment>
  <threadedComment ref="G203" dT="2026-08-04T19:38:02.83" personId="{3E777230-61F3-43BE-A748-388BDE894DDF}" id="{BEF3AECA-2AC5-409E-B977-8BE8C02DFDF8}">
    <text>Based on DBFZ report sent by Doris on 04.08. via mail</text>
  </threadedComment>
  <threadedComment ref="K204" dT="2026-08-08T09:53:11.28" personId="{3E777230-61F3-43BE-A748-388BDE894DDF}" id="{D95B37BE-F6CD-4A0A-AF40-E3337296E39B}">
    <text>These are percentages of overall feedstock usage, not as staed above „moey spent on each feedstock for 1t of product“</text>
  </threadedComment>
  <threadedComment ref="N205" dT="2026-08-03T13:48:59.84" personId="{3E777230-61F3-43BE-A748-388BDE894DDF}" id="{F49F948D-1D2F-4352-B901-7FDE6DF6EA62}">
    <text>In ceto report: intellectual property and engineering expertise contribute an estimated 30% of the wokr involved in manufacturing a European biodiesel plant</text>
  </threadedComment>
  <threadedComment ref="N212" dT="2026-08-03T13:50:43.32" personId="{3E777230-61F3-43BE-A748-388BDE894DDF}" id="{B5C3B8BC-DFDC-4AB8-9F8B-86DAC7DCB8D3}">
    <text>Hydrotreatment is technically more complex than tranestification</text>
  </threadedComment>
  <threadedComment ref="N227" dT="2026-08-03T13:50:43.32" personId="{3E777230-61F3-43BE-A748-388BDE894DDF}" id="{C1B8A317-5A5F-4C5C-8A91-092D5976EA2C}">
    <text>Hydrotreatment is technically more complex than tranestification</text>
  </threadedComment>
  <threadedComment ref="N234" dT="2026-08-03T13:50:43.32" personId="{3E777230-61F3-43BE-A748-388BDE894DDF}" id="{C1718D6B-063A-47DA-9478-1B1CC2FB5CA8}">
    <text>Hydrotreatment is technically more complex than tranestification</text>
  </threadedComment>
</ThreadedComments>
</file>

<file path=xl/threadedComments/threadedComment9.xml><?xml version="1.0" encoding="utf-8"?>
<ThreadedComments xmlns="http://schemas.microsoft.com/office/spreadsheetml/2018/threadedcomments" xmlns:x="http://schemas.openxmlformats.org/spreadsheetml/2006/main">
  <threadedComment ref="B69" dT="2026-08-11T12:51:49.18" personId="{3E777230-61F3-43BE-A748-388BDE894DDF}" id="{F7A678F1-2B55-48E1-A9B0-2B40C4617D06}">
    <text>Can I really assum ethe same procie here as when used in shipping?</text>
  </threadedComment>
  <threadedComment ref="A89" dT="2026-07-29T17:57:31.68" personId="{3E777230-61F3-43BE-A748-388BDE894DDF}" id="{6A0D7073-00FB-4531-8AC2-053A427F8312}">
    <text>Taken out, since IVC 7 is sufficient to dover biogas demand and thereby 9a can be used as input for IVC 12</text>
  </threadedComment>
  <threadedComment ref="B150" dT="2026-08-12T12:54:57.37" personId="{3E777230-61F3-43BE-A748-388BDE894DDF}" id="{4431C100-1E29-43CB-879C-EDF60CAF3108}">
    <text>Took the same price as for the other because  makes more snese than taking the road 13b market price when sold as SAF no?</text>
  </threadedComment>
  <threadedComment ref="G228" dT="2026-08-04T19:38:02.83" personId="{3E777230-61F3-43BE-A748-388BDE894DDF}" id="{E2113A07-9C54-4E91-832F-96BDB51C2867}">
    <text>Based on DBFZ report sent by Doris on 04.08. via mail</text>
  </threadedComment>
  <threadedComment ref="K229" dT="2026-08-08T09:53:11.28" personId="{3E777230-61F3-43BE-A748-388BDE894DDF}" id="{3CF01E95-DD57-4CC1-A05A-3E923E0E39B0}">
    <text>These are percentages of overall feedstock usage, not as staed above „moey spent on each feedstock for 1t of product“</text>
  </threadedComment>
  <threadedComment ref="N230" dT="2026-08-03T13:48:59.84" personId="{3E777230-61F3-43BE-A748-388BDE894DDF}" id="{3DEE084E-263F-4B5C-B7E0-C75C213ED08D}">
    <text>In ceto report: intellectual property and engineering expertise contribute an estimated 30% of the wokr involved in manufacturing a European biodiesel plant</text>
  </threadedComment>
  <threadedComment ref="N236" dT="2026-08-03T13:50:43.32" personId="{3E777230-61F3-43BE-A748-388BDE894DDF}" id="{031B011B-16CA-4414-BCDE-5FA2DA7AF5E0}">
    <text>Hydrotreatment is technically more complex than tranestification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B69" dT="2026-08-11T12:51:49.18" personId="{3E777230-61F3-43BE-A748-388BDE894DDF}" id="{0579AB59-075D-4340-AF32-C19E2DD0812C}">
    <text>Can I really assum ethe same procie here as when used in shipping?</text>
  </threadedComment>
  <threadedComment ref="A89" dT="2026-07-29T17:57:31.68" personId="{3E777230-61F3-43BE-A748-388BDE894DDF}" id="{F2712B9B-A4B8-4556-9666-3C782CF0C694}">
    <text>Taken out, since IVC 7 is sufficient to dover biogas demand and thereby 9a can be used as input for IVC 12</text>
  </threadedComment>
  <threadedComment ref="G219" dT="2026-08-04T19:38:02.83" personId="{3E777230-61F3-43BE-A748-388BDE894DDF}" id="{DB1A1A1C-298B-4804-9F37-52B8A1C8504B}">
    <text>Based on DBFZ report sent by Doris on 04.08. via mail</text>
  </threadedComment>
  <threadedComment ref="K220" dT="2026-08-08T09:53:11.28" personId="{3E777230-61F3-43BE-A748-388BDE894DDF}" id="{81AC7292-3445-4553-91A8-5C9859E613A3}">
    <text>These are percentages of overall feedstock usage, not as staed above „moey spent on each feedstock for 1t of product“</text>
  </threadedComment>
  <threadedComment ref="N221" dT="2026-08-03T13:48:59.84" personId="{3E777230-61F3-43BE-A748-388BDE894DDF}" id="{6C1B567A-21D8-4481-8492-0F5972F12028}">
    <text>In ceto report: intellectual property and engineering expertise contribute an estimated 30% of the wokr involved in manufacturing a European biodiesel plant</text>
  </threadedComment>
  <threadedComment ref="N227" dT="2026-08-03T13:50:43.32" personId="{3E777230-61F3-43BE-A748-388BDE894DDF}" id="{091E95A8-2AC9-4948-93D3-DD58FA1073C0}">
    <text>Hydrotreatment is technically more complex than tranestification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A78" dT="2026-07-29T17:57:31.68" personId="{3E777230-61F3-43BE-A748-388BDE894DDF}" id="{46D3CB7A-96A0-41F9-B7C0-7C2B49760ADC}">
    <text>Taken out, since IVC 7 is sufficient to dover biogas demand and thereby 9a can be used as input for IVC 12</text>
  </threadedComment>
  <threadedComment ref="G184" dT="2026-08-04T19:38:02.83" personId="{3E777230-61F3-43BE-A748-388BDE894DDF}" id="{FE7C5259-A15B-402C-B0C6-DC19A4979F7A}">
    <text>Based on DBFZ report sent by Doris on 04.08. via mail</text>
  </threadedComment>
  <threadedComment ref="K185" dT="2026-08-08T09:53:11.28" personId="{3E777230-61F3-43BE-A748-388BDE894DDF}" id="{644132A5-4C3F-42E8-A687-B1FE6F352323}">
    <text>These are percentages of overall feedstock usage, not as staed above „moey spent on each feedstock for 1t of product“</text>
  </threadedComment>
  <threadedComment ref="N186" dT="2026-08-03T13:48:59.84" personId="{3E777230-61F3-43BE-A748-388BDE894DDF}" id="{9B825A42-A09B-4DC3-9E3C-89F2308B74B1}">
    <text>In ceto report: intellectual property and engineering expertise contribute an estimated 30% of the wokr involved in manufacturing a European biodiesel plant</text>
  </threadedComment>
  <threadedComment ref="N193" dT="2026-08-03T13:50:43.32" personId="{3E777230-61F3-43BE-A748-388BDE894DDF}" id="{55CBB37B-B89E-4EA5-9E36-AF8C7B03B320}">
    <text>Hydrotreatment is technically more complex than tranestification</text>
  </threadedComment>
  <threadedComment ref="N219" dT="2026-08-03T13:50:43.32" personId="{3E777230-61F3-43BE-A748-388BDE894DDF}" id="{7C946C12-7A5B-4237-A178-222C1081E768}">
    <text>Hydrotreatment is technically more complex than tranestification</text>
  </threadedComment>
</ThreadedComments>
</file>

<file path=xl/threadedComments/threadedComment12.xml><?xml version="1.0" encoding="utf-8"?>
<ThreadedComments xmlns="http://schemas.microsoft.com/office/spreadsheetml/2018/threadedcomments" xmlns:x="http://schemas.openxmlformats.org/spreadsheetml/2006/main">
  <threadedComment ref="A91" dT="2026-07-29T17:57:31.68" personId="{3E777230-61F3-43BE-A748-388BDE894DDF}" id="{3E15BB33-EB32-41AE-83B2-1F4203AC79D6}">
    <text>Taken out, since IVC 7 is sufficient to dover biogas demand and thereby 9a can be used as input for IVC 12</text>
  </threadedComment>
  <threadedComment ref="G219" dT="2026-08-04T19:38:02.83" personId="{3E777230-61F3-43BE-A748-388BDE894DDF}" id="{007D8C6D-F010-4A7D-9A69-33D7A3C03209}">
    <text>Based on DBFZ report sent by Doris on 04.08. via mail</text>
  </threadedComment>
  <threadedComment ref="K220" dT="2026-08-08T09:53:11.28" personId="{3E777230-61F3-43BE-A748-388BDE894DDF}" id="{1662FA08-893D-4718-AE5D-FF69AC937266}">
    <text>These are percentages of overall feedstock usage, not as staed above „moey spent on each feedstock for 1t of product“</text>
  </threadedComment>
  <threadedComment ref="N221" dT="2026-08-03T13:48:59.84" personId="{3E777230-61F3-43BE-A748-388BDE894DDF}" id="{EEA20C4B-CB19-4EA3-832D-E37955958BBA}">
    <text>In ceto report: intellectual property and engineering expertise contribute an estimated 30% of the wokr involved in manufacturing a European biodiesel plant</text>
  </threadedComment>
  <threadedComment ref="N228" dT="2026-08-03T13:50:43.32" personId="{3E777230-61F3-43BE-A748-388BDE894DDF}" id="{247AA8D4-3A1E-44A1-95D5-87B71808C122}">
    <text>Hydrotreatment is technically more complex than tranestification</text>
  </threadedComment>
  <threadedComment ref="N261" dT="2026-08-03T13:50:43.32" personId="{3E777230-61F3-43BE-A748-388BDE894DDF}" id="{50BCA87F-3B63-464A-A38E-DB6D60C0DF1E}">
    <text>Hydrotreatment is technically more complex than tranestification</text>
  </threadedComment>
</ThreadedComments>
</file>

<file path=xl/threadedComments/threadedComment13.xml><?xml version="1.0" encoding="utf-8"?>
<ThreadedComments xmlns="http://schemas.microsoft.com/office/spreadsheetml/2018/threadedcomments" xmlns:x="http://schemas.openxmlformats.org/spreadsheetml/2006/main">
  <threadedComment ref="D214" dT="2026-09-03T08:39:06.56" personId="{3E777230-61F3-43BE-A748-388BDE894DDF}" id="{4E791FA2-AA05-475A-8A64-4A58B5FC6642}">
    <text xml:space="preserve">Taking the availabilities from S2
</text>
  </threadedComment>
  <threadedComment ref="G214" dT="2026-08-04T19:38:02.83" personId="{3E777230-61F3-43BE-A748-388BDE894DDF}" id="{0FAD2E99-70A7-4130-BF22-BD6D03CA7CD0}">
    <text>Based on DBFZ report sent by Doris on 04.08. via mail</text>
  </threadedComment>
  <threadedComment ref="K215" dT="2026-08-08T09:53:11.28" personId="{3E777230-61F3-43BE-A748-388BDE894DDF}" id="{D9DE8452-14AB-4455-8429-8E3804B5A014}">
    <text>These are percentages of overall feedstock usage, not as staed above „moey spent on each feedstock for 1t of product“</text>
  </threadedComment>
  <threadedComment ref="N216" dT="2026-08-03T13:48:59.84" personId="{3E777230-61F3-43BE-A748-388BDE894DDF}" id="{FC0A1C31-412B-4E31-B10E-07C35EC32800}">
    <text>In ceto report: intellectual property and engineering expertise contribute an estimated 30% of the wokr involved in manufacturing a European biodiesel plant</text>
  </threadedComment>
  <threadedComment ref="N223" dT="2026-08-03T13:50:43.32" personId="{3E777230-61F3-43BE-A748-388BDE894DDF}" id="{6623277C-83DF-454E-A007-C15F5A288E9F}">
    <text>Hydrotreatment is technically more complex than tranestification</text>
  </threadedComment>
  <threadedComment ref="N230" dT="2026-08-03T13:50:43.32" personId="{3E777230-61F3-43BE-A748-388BDE894DDF}" id="{BB0022C1-551A-4920-BB27-C9BDDD728A46}">
    <text>Hydrotreatment is technically more complex than tranestification</text>
  </threadedComment>
  <threadedComment ref="N238" dT="2026-08-03T13:48:59.84" personId="{3E777230-61F3-43BE-A748-388BDE894DDF}" id="{E72DB189-9F13-437C-8535-20C3C9352B78}">
    <text>In ceto report: intellectual property and engineering expertise contribute an estimated 30% of the wokr involved in manufacturing a European biodiesel plant</text>
  </threadedComment>
  <threadedComment ref="N246" dT="2026-08-03T13:50:43.32" personId="{3E777230-61F3-43BE-A748-388BDE894DDF}" id="{8490C915-B743-4BE1-973E-B81BDFA4C0D7}">
    <text>Hydrotreatment is technically more complex than tranestification</text>
  </threadedComment>
</ThreadedComments>
</file>

<file path=xl/threadedComments/threadedComment14.xml><?xml version="1.0" encoding="utf-8"?>
<ThreadedComments xmlns="http://schemas.microsoft.com/office/spreadsheetml/2018/threadedcomments" xmlns:x="http://schemas.openxmlformats.org/spreadsheetml/2006/main">
  <threadedComment ref="I1" dT="2026-07-20T19:29:54.86" personId="{3E777230-61F3-43BE-A748-388BDE894DDF}" id="{94A3501F-B153-4C95-ACE4-2891DBAE222D}">
    <text>Based on study 2, table 3-3: difference between sum of (CAPEX+OPEX+feedstock) and LCoP</text>
  </threadedComment>
</ThreadedComments>
</file>

<file path=xl/threadedComments/threadedComment15.xml><?xml version="1.0" encoding="utf-8"?>
<ThreadedComments xmlns="http://schemas.microsoft.com/office/spreadsheetml/2018/threadedcomments" xmlns:x="http://schemas.openxmlformats.org/spreadsheetml/2006/main">
  <threadedComment ref="I1" dT="2026-07-20T19:29:54.86" personId="{3E777230-61F3-43BE-A748-388BDE894DDF}" id="{261700E8-1133-4883-A1CC-1B8EC3BC50D2}">
    <text>Based on study 2, table 3-3: difference between sum of (CAPEX+OPEX+feedstock) and LCoP</text>
  </threadedComment>
</ThreadedComments>
</file>

<file path=xl/threadedComments/threadedComment16.xml><?xml version="1.0" encoding="utf-8"?>
<ThreadedComments xmlns="http://schemas.microsoft.com/office/spreadsheetml/2018/threadedcomments" xmlns:x="http://schemas.openxmlformats.org/spreadsheetml/2006/main">
  <threadedComment ref="E1" dT="2026-08-01T12:55:51.47" personId="{3E777230-61F3-43BE-A748-388BDE894DDF}" id="{5DAAA79C-A9C3-4CE6-8EAE-6F702CBCE1BD}">
    <text xml:space="preserve">NOT considering the selling of co-products
</text>
  </threadedComment>
  <threadedComment ref="I1" dT="2026-07-20T19:29:54.86" personId="{3E777230-61F3-43BE-A748-388BDE894DDF}" id="{077E58AE-9EBD-4337-89EC-EE582F91C73B}">
    <text>Based on study 2, table 3-3: difference between sum of (CAPEX+OPEX+feedstock) and LCoP</text>
  </threadedComment>
</ThreadedComments>
</file>

<file path=xl/threadedComments/threadedComment17.xml><?xml version="1.0" encoding="utf-8"?>
<ThreadedComments xmlns="http://schemas.microsoft.com/office/spreadsheetml/2018/threadedcomments" xmlns:x="http://schemas.openxmlformats.org/spreadsheetml/2006/main">
  <threadedComment ref="I1" dT="2026-07-20T19:29:54.86" personId="{3E777230-61F3-43BE-A748-388BDE894DDF}" id="{D2893936-2C35-4D69-932F-08605DA8AF4D}">
    <text>Based on study 2, table 3-3: difference between sum of (CAPEX+OPEX+feedstock) and LCoP</text>
  </threadedComment>
</ThreadedComments>
</file>

<file path=xl/threadedComments/threadedComment18.xml><?xml version="1.0" encoding="utf-8"?>
<ThreadedComments xmlns="http://schemas.microsoft.com/office/spreadsheetml/2018/threadedcomments" xmlns:x="http://schemas.openxmlformats.org/spreadsheetml/2006/main">
  <threadedComment ref="I1" dT="2026-07-20T19:29:54.86" personId="{3E777230-61F3-43BE-A748-388BDE894DDF}" id="{C33FB081-41AD-490E-8487-CE17E9A595A6}">
    <text>Based on study 2, table 3-3: difference between sum of (CAPEX+OPEX+feedstock) and LCoP</text>
  </threadedComment>
</ThreadedComments>
</file>

<file path=xl/threadedComments/threadedComment19.xml><?xml version="1.0" encoding="utf-8"?>
<ThreadedComments xmlns="http://schemas.microsoft.com/office/spreadsheetml/2018/threadedcomments" xmlns:x="http://schemas.openxmlformats.org/spreadsheetml/2006/main">
  <threadedComment ref="F4" dT="2026-08-04T18:10:14.27" personId="{3E777230-61F3-43BE-A748-388BDE894DDF}" id="{21777A9E-C4D6-4BCE-BFF2-14BA76F7B0A1}">
    <text>„Die absolute jährliche Menge des produzierten FAME blieb in der EU seit 2016 nahezu konstant und lag zwischen 12,9 und 13,9 Mio. t, wofür 13,7 bis 14,7 Mio. t Pflanzenöl oder UCO benötigt werden „ source: DBFZ Bericht von Doris, p. 329</text>
  </threadedComment>
  <threadedComment ref="H16" dT="2026-08-04T18:27:44.99" personId="{3E777230-61F3-43BE-A748-388BDE894DDF}" id="{3F6780FE-8283-4321-B855-6B77DB777DF5}">
    <text xml:space="preserve">Annex 5 Study 2, p. 13: 66.18% UCO and 33.82% Animal Fat </text>
  </threadedComment>
  <threadedComment ref="F23" dT="2026-08-04T18:10:14.27" personId="{3E777230-61F3-43BE-A748-388BDE894DDF}" id="{F2DAB838-1E58-4473-9EFE-8779F98D24C5}">
    <text>„Die absolute jährliche Menge des produzierten FAME blieb in der EU seit 2016 nahezu konstant und lag zwischen 12,9 und 13,9 Mio. t, wofür 13,7 bis 14,7 Mio. t Pflanzenöl oder UCO benötigt werden „ source: DBFZ Bericht von Doris, p. 329</text>
  </threadedComment>
</ThreadedComments>
</file>

<file path=xl/threadedComments/threadedComment20.xml><?xml version="1.0" encoding="utf-8"?>
<ThreadedComments xmlns="http://schemas.microsoft.com/office/spreadsheetml/2018/threadedcomments" xmlns:x="http://schemas.openxmlformats.org/spreadsheetml/2006/main">
  <threadedComment ref="E2" dT="2026-07-20T20:04:38.53" personId="{3E777230-61F3-43BE-A748-388BDE894DDF}" id="{709ABB52-4FDF-4900-AB8C-356FC45B5524}">
    <text>Note: In Annex 4 of Study 2: 20 years lifetime; but from that I deducted the  construction and ramp-up time (usually 4 years together)</text>
  </threadedComment>
  <threadedComment ref="F2" dT="2026-07-20T19:49:33.16" personId="{3E777230-61F3-43BE-A748-388BDE894DDF}" id="{CBD50B0B-E4AF-4A07-B3DC-4DDD7CC8BF01}">
    <text xml:space="preserve">Annex 4 of Study 2
</text>
  </threadedComment>
  <threadedComment ref="E3" dT="2026-07-10T11:10:47.20" personId="{3E777230-61F3-43BE-A748-388BDE894DDF}" id="{16E3288C-F0E7-4D2D-996C-2D5FCEA16577}">
    <text>Source: study 2 Annex 4, p. 23</text>
  </threadedComment>
  <threadedComment ref="D8" dT="2026-07-20T20:22:16.28" personId="{3E777230-61F3-43BE-A748-388BDE894DDF}" id="{C458FFF9-54D8-4E68-9FAF-07FAB4E553D0}">
    <text>There are two different IVCs for 6, took the middle of both</text>
  </threadedComment>
  <threadedComment ref="A9" dT="2026-07-20T16:59:46.19" personId="{3E777230-61F3-43BE-A748-388BDE894DDF}" id="{9C551C7F-D85A-41A2-9AEE-19E98504B18C}">
    <text>Municipal solid waste</text>
  </threadedComment>
  <threadedComment ref="A10" dT="2026-07-20T17:00:25.16" personId="{3E777230-61F3-43BE-A748-388BDE894DDF}" id="{39C4A11F-E8DF-4DDC-89FF-1E2209BDFA9F}">
    <text xml:space="preserve">Manure, agro-residues,sequential crops </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26"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C3DA408-A43E-4A1C-99E9-E21E8C934AFD}">
  <we:reference id="wa200010215" version="2.0.0.0" store="de-DE" storeType="OMEX"/>
  <we:alternateReferences>
    <we:reference id="WA200010215" version="2.0.0.0" store="WA200010215" storeType="OMEX"/>
  </we:alternateReferences>
  <we:properties>
    <we:property name="bps.codex_control.document_id" value="&quot;e444f49e-7ee6-4c35-b9af-200dc31ba7ac&quot;"/>
  </we:properties>
  <we:bindings/>
  <we:snapshot xmlns:r="http://schemas.openxmlformats.org/officeDocument/2006/relationships"/>
</we:webextension>
</file>

<file path=xl/webextensions/webextension2.xml><?xml version="1.0" encoding="utf-8"?>
<we:webextension xmlns:we="http://schemas.microsoft.com/office/webextensions/webextension/2010/11" id="{B6C60F65-6E84-4E7E-ACD0-7B787A223E1C}">
  <we:reference id="wa200009404" version="1.0.0.8" store="de-DE" storeType="OMEX"/>
  <we:alternateReferences>
    <we:reference id="WA200009404" version="1.0.0.8" store="WA200009404" storeType="OMEX"/>
  </we:alternateReferences>
  <we:properties>
    <we:property name="claude.fileId" value="&quot;7ce3c01c-ab09-4fc3-998b-6db752ecaf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 Id="rId4" Type="http://schemas.microsoft.com/office/2017/10/relationships/threadedComment" Target="../threadedComments/threadedComment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 Id="rId4" Type="http://schemas.microsoft.com/office/2017/10/relationships/threadedComment" Target="../threadedComments/threadedComment1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1.bin"/><Relationship Id="rId4" Type="http://schemas.microsoft.com/office/2017/10/relationships/threadedComment" Target="../threadedComments/threadedComment20.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84D8-C3AD-42ED-B886-D50A6694B430}">
  <sheetPr codeName="Tabelle1"/>
  <dimension ref="A1:N81"/>
  <sheetViews>
    <sheetView workbookViewId="0">
      <selection activeCell="A44" sqref="A44"/>
    </sheetView>
  </sheetViews>
  <sheetFormatPr baseColWidth="10" defaultRowHeight="14.5" x14ac:dyDescent="0.35"/>
  <cols>
    <col min="1" max="1" width="23.453125" customWidth="1"/>
    <col min="2" max="2" width="30.54296875" customWidth="1"/>
    <col min="3" max="3" width="30.54296875" style="59" customWidth="1"/>
    <col min="4" max="4" width="16.26953125" customWidth="1"/>
    <col min="5" max="5" width="15.81640625" customWidth="1"/>
  </cols>
  <sheetData>
    <row r="1" spans="1:14" s="45" customFormat="1" ht="28.5" customHeight="1" x14ac:dyDescent="0.35">
      <c r="A1" s="45" t="s">
        <v>84</v>
      </c>
      <c r="C1" s="55"/>
    </row>
    <row r="2" spans="1:14" s="47" customFormat="1" ht="26.25" customHeight="1" x14ac:dyDescent="0.35">
      <c r="A2" s="47" t="s">
        <v>182</v>
      </c>
      <c r="C2" s="56"/>
    </row>
    <row r="4" spans="1:14" s="27" customFormat="1" x14ac:dyDescent="0.35">
      <c r="B4" s="27" t="s">
        <v>40</v>
      </c>
      <c r="C4" s="57" t="s">
        <v>134</v>
      </c>
      <c r="D4" s="27" t="s">
        <v>133</v>
      </c>
      <c r="E4" s="27" t="s">
        <v>13</v>
      </c>
      <c r="F4" s="27" t="s">
        <v>2</v>
      </c>
      <c r="G4" s="27" t="s">
        <v>67</v>
      </c>
      <c r="H4" s="27" t="s">
        <v>68</v>
      </c>
      <c r="I4" s="27" t="s">
        <v>52</v>
      </c>
      <c r="J4" s="27" t="s">
        <v>55</v>
      </c>
      <c r="K4" s="27" t="s">
        <v>50</v>
      </c>
      <c r="L4" s="27" t="s">
        <v>53</v>
      </c>
      <c r="M4" s="27" t="s">
        <v>51</v>
      </c>
      <c r="N4" s="27" t="s">
        <v>54</v>
      </c>
    </row>
    <row r="5" spans="1:14" s="10" customFormat="1" x14ac:dyDescent="0.35">
      <c r="A5" s="10" t="s">
        <v>0</v>
      </c>
      <c r="C5" s="58"/>
      <c r="E5" s="10">
        <v>520</v>
      </c>
      <c r="I5" s="30">
        <f>E5/N5</f>
        <v>0.5977011494252874</v>
      </c>
      <c r="J5" s="10">
        <v>83</v>
      </c>
      <c r="K5" s="30">
        <f>J5/N5</f>
        <v>9.5402298850574718E-2</v>
      </c>
      <c r="L5" s="10">
        <v>267</v>
      </c>
      <c r="M5" s="30">
        <f>L5/N5</f>
        <v>0.30689655172413793</v>
      </c>
      <c r="N5" s="10">
        <f>E5+J5+L5</f>
        <v>870</v>
      </c>
    </row>
    <row r="6" spans="1:14" x14ac:dyDescent="0.35">
      <c r="A6" s="4" t="s">
        <v>1</v>
      </c>
      <c r="B6" s="6" t="s">
        <v>41</v>
      </c>
      <c r="D6" s="23">
        <v>1</v>
      </c>
      <c r="E6" t="s">
        <v>14</v>
      </c>
      <c r="F6" t="s">
        <v>12</v>
      </c>
      <c r="G6">
        <v>1</v>
      </c>
      <c r="H6">
        <v>1</v>
      </c>
    </row>
    <row r="7" spans="1:14" s="10" customFormat="1" x14ac:dyDescent="0.35">
      <c r="A7" s="10" t="s">
        <v>56</v>
      </c>
      <c r="C7" s="58">
        <f>SUM(C8:C10)</f>
        <v>1</v>
      </c>
      <c r="D7" s="58">
        <f>SUM(D8:D10)</f>
        <v>0.99999999999999989</v>
      </c>
      <c r="E7" s="9">
        <f>D8*E8+D10*E10</f>
        <v>87.837631395559598</v>
      </c>
      <c r="I7" s="30">
        <f>E7/N7</f>
        <v>0.11529704989061211</v>
      </c>
      <c r="J7" s="10">
        <v>269</v>
      </c>
      <c r="K7" s="30">
        <f>J7/N7</f>
        <v>0.35309361065196637</v>
      </c>
      <c r="L7" s="10">
        <v>405</v>
      </c>
      <c r="M7" s="30">
        <f>L7/N7</f>
        <v>0.5316093394574215</v>
      </c>
      <c r="N7" s="9">
        <f>E7+J7+L7</f>
        <v>761.83763139555958</v>
      </c>
    </row>
    <row r="8" spans="1:14" x14ac:dyDescent="0.35">
      <c r="A8" s="4" t="s">
        <v>1</v>
      </c>
      <c r="B8" s="6" t="s">
        <v>41</v>
      </c>
      <c r="C8" s="59">
        <v>0</v>
      </c>
      <c r="D8" s="23">
        <v>0</v>
      </c>
      <c r="E8">
        <v>520</v>
      </c>
      <c r="F8" t="s">
        <v>12</v>
      </c>
      <c r="N8" s="6"/>
    </row>
    <row r="9" spans="1:14" x14ac:dyDescent="0.35">
      <c r="A9" s="4" t="s">
        <v>130</v>
      </c>
      <c r="B9" s="6"/>
      <c r="C9" s="59">
        <f>'[1]Availabilities EU Austria'!$N$13/'[1]Availabilities EU Austria'!$N$10</f>
        <v>6.301154684279596E-2</v>
      </c>
      <c r="D9" s="23">
        <f>'[1]Availabilities EU Austria'!$Q$13/'[1]Availabilities EU Austria'!$Q$10</f>
        <v>8.9199176736213054E-2</v>
      </c>
      <c r="E9" t="s">
        <v>96</v>
      </c>
      <c r="N9" s="6"/>
    </row>
    <row r="10" spans="1:14" x14ac:dyDescent="0.35">
      <c r="A10" s="32" t="s">
        <v>64</v>
      </c>
      <c r="B10" s="20" t="s">
        <v>42</v>
      </c>
      <c r="C10" s="60">
        <f>('[1]Availabilities EU Austria'!$N$15+'[1]Availabilities EU Austria'!$N$14)/'[1]Availabilities EU Austria'!$N$10</f>
        <v>0.93698845315720403</v>
      </c>
      <c r="D10" s="23">
        <f>('[1]Availabilities EU Austria'!$Q$14+'[1]Availabilities EU Austria'!$Q$15)/'[1]Availabilities EU Austria'!$Q$10</f>
        <v>0.91080082326378686</v>
      </c>
      <c r="E10" s="24">
        <v>96.44</v>
      </c>
      <c r="F10" t="s">
        <v>72</v>
      </c>
      <c r="N10" s="6"/>
    </row>
    <row r="11" spans="1:14" s="10" customFormat="1" x14ac:dyDescent="0.35">
      <c r="A11" s="10" t="s">
        <v>57</v>
      </c>
      <c r="C11" s="58">
        <f>SUM(C12:C14)</f>
        <v>1</v>
      </c>
      <c r="D11" s="58">
        <f>SUM(D12:D14)</f>
        <v>0.99999999999999989</v>
      </c>
      <c r="E11" s="9">
        <f>D12*E12+D14*E14</f>
        <v>137.72093051992249</v>
      </c>
      <c r="I11" s="30">
        <f>E11/N11</f>
        <v>0.12755233933791127</v>
      </c>
      <c r="J11" s="10">
        <v>376</v>
      </c>
      <c r="K11" s="30">
        <f>J11/N11</f>
        <v>0.34823813206894405</v>
      </c>
      <c r="L11" s="10">
        <v>566</v>
      </c>
      <c r="M11" s="30">
        <f>L11/N11</f>
        <v>0.52420952859314451</v>
      </c>
      <c r="N11" s="9">
        <f>E11+J11+L11</f>
        <v>1079.7209305199226</v>
      </c>
    </row>
    <row r="12" spans="1:14" x14ac:dyDescent="0.35">
      <c r="A12" s="4" t="s">
        <v>1</v>
      </c>
      <c r="B12" s="6" t="s">
        <v>41</v>
      </c>
      <c r="C12" s="59">
        <f>'[1]Availabilities EU Austria'!$N$21/'[1]Availabilities EU Austria'!$N$16</f>
        <v>7.2434800518989706E-2</v>
      </c>
      <c r="D12" s="23">
        <f>'[1]Availabilities EU Austria'!$Q$21/'[1]Availabilities EU Austria'!$Q$16</f>
        <v>0.11542721613047531</v>
      </c>
      <c r="E12">
        <v>520</v>
      </c>
      <c r="F12" t="s">
        <v>12</v>
      </c>
    </row>
    <row r="13" spans="1:14" x14ac:dyDescent="0.35">
      <c r="A13" s="4" t="s">
        <v>132</v>
      </c>
      <c r="B13" s="6"/>
      <c r="C13" s="59">
        <f>'[1]Availabilities EU Austria'!$N$23/'[1]Availabilities EU Austria'!$N$16</f>
        <v>5.8447318016845058E-2</v>
      </c>
      <c r="D13" s="23">
        <f>'[1]Availabilities EU Austria'!$Q$23/'[1]Availabilities EU Austria'!$Q$16</f>
        <v>7.8903164084421717E-2</v>
      </c>
      <c r="E13" t="s">
        <v>114</v>
      </c>
    </row>
    <row r="14" spans="1:14" x14ac:dyDescent="0.35">
      <c r="A14" s="32" t="s">
        <v>64</v>
      </c>
      <c r="B14" s="20" t="s">
        <v>42</v>
      </c>
      <c r="C14" s="60">
        <f>('[1]Availabilities EU Austria'!$N$24+'[1]Availabilities EU Austria'!$N$25)/'[1]Availabilities EU Austria'!$N$16</f>
        <v>0.86911788146416524</v>
      </c>
      <c r="D14" s="23">
        <f>('[1]Availabilities EU Austria'!$Q$24+'[1]Availabilities EU Austria'!$Q$25)/'[1]Availabilities EU Austria'!$Q$16</f>
        <v>0.80566961978510288</v>
      </c>
      <c r="E14" s="24">
        <v>96.44</v>
      </c>
    </row>
    <row r="15" spans="1:14" s="10" customFormat="1" x14ac:dyDescent="0.35">
      <c r="A15" s="9" t="s">
        <v>15</v>
      </c>
      <c r="B15" s="9"/>
      <c r="C15" s="58">
        <f>SUM(C16:C19)</f>
        <v>1</v>
      </c>
      <c r="D15" s="58">
        <f>SUM(D16:D19)</f>
        <v>1.0000000000000002</v>
      </c>
      <c r="E15" s="9">
        <f>D16*E16+D17*E17+D18*E18+D19*E19</f>
        <v>60.376239098993878</v>
      </c>
    </row>
    <row r="16" spans="1:14" x14ac:dyDescent="0.35">
      <c r="A16" s="7" t="s">
        <v>4</v>
      </c>
      <c r="B16" s="6" t="s">
        <v>41</v>
      </c>
      <c r="C16" s="59">
        <f>'[1]Availabilities EU Austria'!$N$27/'[1]Availabilities EU Austria'!$N$26</f>
        <v>0.73688392593424479</v>
      </c>
      <c r="D16" s="23">
        <f>'[1]Availabilities EU Austria'!$Q$27/'[1]Availabilities EU Austria'!$Q$26</f>
        <v>0.7478949467942918</v>
      </c>
      <c r="E16" s="24">
        <v>58</v>
      </c>
      <c r="F16" t="s">
        <v>37</v>
      </c>
    </row>
    <row r="17" spans="1:9" x14ac:dyDescent="0.35">
      <c r="A17" s="7" t="s">
        <v>7</v>
      </c>
      <c r="B17" s="6" t="s">
        <v>41</v>
      </c>
      <c r="C17" s="59">
        <f>'[1]Availabilities EU Austria'!$N$28/'[1]Availabilities EU Austria'!$N$26</f>
        <v>2.8841348280385298E-2</v>
      </c>
      <c r="D17" s="23">
        <f>'[1]Availabilities EU Austria'!$Q$28/'[1]Availabilities EU Austria'!$Q$26</f>
        <v>3.1508835735500146E-2</v>
      </c>
      <c r="E17">
        <v>69</v>
      </c>
      <c r="F17" t="s">
        <v>39</v>
      </c>
    </row>
    <row r="18" spans="1:9" x14ac:dyDescent="0.35">
      <c r="A18" s="7" t="s">
        <v>8</v>
      </c>
      <c r="B18" s="6" t="s">
        <v>41</v>
      </c>
      <c r="C18" s="59">
        <f>'[1]Availabilities EU Austria'!$N$29/'[1]Availabilities EU Austria'!$N$26</f>
        <v>1.3130549170812876E-2</v>
      </c>
      <c r="D18" s="23">
        <f>'[1]Availabilities EU Austria'!$Q$29/'[1]Availabilities EU Austria'!$Q$26</f>
        <v>2.2137974335744163E-2</v>
      </c>
      <c r="E18">
        <v>69</v>
      </c>
      <c r="F18" t="s">
        <v>39</v>
      </c>
    </row>
    <row r="19" spans="1:9" x14ac:dyDescent="0.35">
      <c r="A19" s="7" t="s">
        <v>10</v>
      </c>
      <c r="B19" s="18" t="s">
        <v>71</v>
      </c>
      <c r="C19" s="61">
        <f>'[1]Availabilities EU Austria'!$N$30/'[1]Availabilities EU Austria'!$N$26</f>
        <v>0.22114417661455707</v>
      </c>
      <c r="D19" s="23">
        <f>'[1]Availabilities EU Austria'!$Q$30/'[1]Availabilities EU Austria'!$Q$26</f>
        <v>0.19845824313446406</v>
      </c>
      <c r="E19">
        <v>67</v>
      </c>
    </row>
    <row r="20" spans="1:9" s="10" customFormat="1" x14ac:dyDescent="0.35">
      <c r="A20" s="9" t="s">
        <v>17</v>
      </c>
      <c r="B20" s="9"/>
      <c r="C20" s="58"/>
      <c r="D20" s="9"/>
      <c r="E20" s="10">
        <f>D21*E21</f>
        <v>96.44</v>
      </c>
    </row>
    <row r="21" spans="1:9" x14ac:dyDescent="0.35">
      <c r="A21" s="8" t="s">
        <v>16</v>
      </c>
      <c r="B21" s="20" t="s">
        <v>42</v>
      </c>
      <c r="C21" s="60">
        <v>1</v>
      </c>
      <c r="D21" s="36">
        <v>1</v>
      </c>
      <c r="E21" s="24">
        <v>96.44</v>
      </c>
    </row>
    <row r="22" spans="1:9" s="10" customFormat="1" x14ac:dyDescent="0.35">
      <c r="A22" s="9" t="s">
        <v>18</v>
      </c>
      <c r="B22" s="9"/>
      <c r="C22" s="9">
        <f>SUM(C23:C31)</f>
        <v>1</v>
      </c>
      <c r="D22" s="9">
        <f>SUM(D23:D31)</f>
        <v>0.99999999999999989</v>
      </c>
      <c r="E22" s="9">
        <f>D23*E23+D24*E24+D25*E25+D26*E26+D27*E27+D28*E28+D29*E29+D30*E30+D31*E31</f>
        <v>30.965299239580713</v>
      </c>
    </row>
    <row r="23" spans="1:9" x14ac:dyDescent="0.35">
      <c r="A23" s="5" t="s">
        <v>19</v>
      </c>
      <c r="B23" s="6" t="s">
        <v>41</v>
      </c>
      <c r="C23" s="59">
        <f>'[1]Availabilities EU Austria'!$N$41/'[1]Availabilities EU Austria'!$N$40</f>
        <v>3.0601718481009409E-2</v>
      </c>
      <c r="D23" s="71">
        <f>'[1]Availabilities EU Austria'!$Q$41/'[1]Availabilities EU Austria'!$Q$40</f>
        <v>3.0105110315257085E-2</v>
      </c>
      <c r="E23">
        <v>44</v>
      </c>
      <c r="F23" t="s">
        <v>38</v>
      </c>
      <c r="I23" s="21"/>
    </row>
    <row r="24" spans="1:9" x14ac:dyDescent="0.35">
      <c r="A24" s="5" t="s">
        <v>7</v>
      </c>
      <c r="B24" s="6" t="s">
        <v>41</v>
      </c>
      <c r="C24" s="59">
        <f>'[1]Availabilities EU Austria'!$N$42/'[1]Availabilities EU Austria'!$N$40</f>
        <v>1.8454384949618069E-2</v>
      </c>
      <c r="D24" s="70">
        <f>'[1]Availabilities EU Austria'!$Q$42/'[1]Availabilities EU Austria'!$Q$40</f>
        <v>2.1462821483630018E-2</v>
      </c>
      <c r="E24">
        <v>69</v>
      </c>
      <c r="F24" t="s">
        <v>39</v>
      </c>
      <c r="G24">
        <f>0.21/2</f>
        <v>0.105</v>
      </c>
    </row>
    <row r="25" spans="1:9" x14ac:dyDescent="0.35">
      <c r="A25" s="5" t="s">
        <v>8</v>
      </c>
      <c r="B25" s="6" t="s">
        <v>41</v>
      </c>
      <c r="C25" s="59">
        <f>'[1]Availabilities EU Austria'!$N$43/'[1]Availabilities EU Austria'!$N$40</f>
        <v>8.40169490837798E-3</v>
      </c>
      <c r="D25" s="70">
        <f>'[1]Availabilities EU Austria'!$Q$43/'[1]Availabilities EU Austria'!$Q$40</f>
        <v>1.5079687334874409E-2</v>
      </c>
      <c r="E25">
        <v>69</v>
      </c>
      <c r="F25" t="s">
        <v>39</v>
      </c>
      <c r="G25">
        <f>0.21/2</f>
        <v>0.105</v>
      </c>
    </row>
    <row r="26" spans="1:9" x14ac:dyDescent="0.35">
      <c r="A26" s="5" t="s">
        <v>20</v>
      </c>
      <c r="B26" s="28" t="s">
        <v>48</v>
      </c>
      <c r="C26" s="62">
        <f>'[1]Availabilities EU Austria'!$N$44/'[1]Availabilities EU Austria'!$N$40</f>
        <v>2.3575445378244429E-2</v>
      </c>
      <c r="D26" s="70">
        <f>'[1]Availabilities EU Austria'!$Q$44/'[1]Availabilities EU Austria'!$Q$40</f>
        <v>2.4015372776648152E-2</v>
      </c>
      <c r="E26">
        <v>44</v>
      </c>
      <c r="F26" t="s">
        <v>38</v>
      </c>
      <c r="G26">
        <v>0.24</v>
      </c>
    </row>
    <row r="27" spans="1:9" x14ac:dyDescent="0.35">
      <c r="A27" s="5" t="s">
        <v>4</v>
      </c>
      <c r="B27" s="26" t="s">
        <v>47</v>
      </c>
      <c r="C27" s="63">
        <f>'[1]Availabilities EU Austria'!$N$45/'[1]Availabilities EU Austria'!$N$40</f>
        <v>0.47150152275040363</v>
      </c>
      <c r="D27" s="70">
        <f>'[1]Availabilities EU Austria'!$Q$45/'[1]Availabilities EU Austria'!$Q$40</f>
        <v>0.50944236297089118</v>
      </c>
      <c r="E27">
        <v>58</v>
      </c>
    </row>
    <row r="28" spans="1:9" x14ac:dyDescent="0.35">
      <c r="A28" s="5" t="s">
        <v>21</v>
      </c>
      <c r="B28" s="6" t="s">
        <v>46</v>
      </c>
      <c r="C28" s="59">
        <f>'[1]Availabilities EU Austria'!$N$46/'[1]Availabilities EU Austria'!$N$40</f>
        <v>0.34749300217576146</v>
      </c>
      <c r="D28" s="70">
        <f>'[1]Availabilities EU Austria'!$Q$46/'[1]Availabilities EU Austria'!$Q$40</f>
        <v>0.31592460328846689</v>
      </c>
      <c r="E28">
        <v>0</v>
      </c>
      <c r="G28">
        <v>0.32</v>
      </c>
    </row>
    <row r="29" spans="1:9" x14ac:dyDescent="0.35">
      <c r="A29" s="5" t="s">
        <v>22</v>
      </c>
      <c r="B29" s="165" t="s">
        <v>180</v>
      </c>
      <c r="C29" s="64">
        <f>'[1]Availabilities EU Austria'!$N$47/'[1]Availabilities EU Austria'!$N$40</f>
        <v>3.1761184275530367E-2</v>
      </c>
      <c r="D29" s="70">
        <f>'[1]Availabilities EU Austria'!$Q$47/'[1]Availabilities EU Austria'!$Q$40</f>
        <v>2.4204717383445484E-2</v>
      </c>
      <c r="E29" s="24">
        <v>0</v>
      </c>
    </row>
    <row r="30" spans="1:9" x14ac:dyDescent="0.35">
      <c r="A30" s="12" t="s">
        <v>23</v>
      </c>
      <c r="B30" s="165" t="s">
        <v>180</v>
      </c>
      <c r="C30" s="63">
        <f>'[1]Availabilities EU Austria'!$N$48/'[1]Availabilities EU Austria'!$N$40</f>
        <v>6.590203653685274E-2</v>
      </c>
      <c r="D30" s="72">
        <f>'[1]Availabilities EU Austria'!$Q$48/'[1]Availabilities EU Austria'!$Q$40</f>
        <v>5.8190890064802624E-2</v>
      </c>
      <c r="E30">
        <f>-(55+70)/2</f>
        <v>-62.5</v>
      </c>
      <c r="F30" t="s">
        <v>76</v>
      </c>
      <c r="H30" s="24" t="s">
        <v>82</v>
      </c>
    </row>
    <row r="31" spans="1:9" ht="14.5" customHeight="1" x14ac:dyDescent="0.35">
      <c r="A31" s="13" t="s">
        <v>24</v>
      </c>
      <c r="B31" s="20" t="s">
        <v>42</v>
      </c>
      <c r="C31" s="60">
        <f>'[1]Availabilities EU Austria'!$N$49/'[1]Availabilities EU Austria'!$N$40</f>
        <v>2.3090105442019225E-3</v>
      </c>
      <c r="D31" s="73">
        <f>'[1]Availabilities EU Austria'!$Q$49/'[1]Availabilities EU Austria'!$Q$40</f>
        <v>1.5744343819841437E-3</v>
      </c>
      <c r="E31" s="24">
        <v>96.44</v>
      </c>
      <c r="F31" t="s">
        <v>49</v>
      </c>
      <c r="I31" s="29"/>
    </row>
    <row r="32" spans="1:9" s="11" customFormat="1" x14ac:dyDescent="0.35">
      <c r="A32" s="19" t="s">
        <v>26</v>
      </c>
      <c r="B32" s="19"/>
      <c r="C32" s="65">
        <f>SUM(C33:C42)</f>
        <v>1</v>
      </c>
      <c r="D32" s="74">
        <f>SUM(D33:D42)</f>
        <v>1</v>
      </c>
      <c r="E32" s="9">
        <f>D33*E33+D34*E34+D35*E35+D36*E36+D37*E37+D38*E38+D39*E39+D40*E40+D41*E41+D42*E42</f>
        <v>57.287315661976407</v>
      </c>
    </row>
    <row r="33" spans="1:6" x14ac:dyDescent="0.35">
      <c r="A33" s="5" t="s">
        <v>4</v>
      </c>
      <c r="B33" s="26" t="s">
        <v>47</v>
      </c>
      <c r="C33" s="63">
        <f>'[1]Availabilities EU Austria'!$N$51/'[1]Availabilities EU Austria'!$N$50</f>
        <v>0.51783810219756787</v>
      </c>
      <c r="D33" s="3">
        <f>'[1]Availabilities EU Austria'!$Q$51/'[1]Availabilities EU Austria'!$Q$50</f>
        <v>0.56804068512978889</v>
      </c>
      <c r="E33">
        <v>58</v>
      </c>
    </row>
    <row r="34" spans="1:6" x14ac:dyDescent="0.35">
      <c r="A34" s="5" t="s">
        <v>5</v>
      </c>
      <c r="B34" s="6" t="s">
        <v>41</v>
      </c>
      <c r="C34" s="59">
        <f>'[1]Availabilities EU Austria'!$N$52/'[1]Availabilities EU Austria'!$N$50</f>
        <v>3.3609087261800549E-2</v>
      </c>
      <c r="D34" s="3">
        <f>'[1]Availabilities EU Austria'!$Q$52/'[1]Availabilities EU Austria'!$Q$50</f>
        <v>3.3570731675220726E-2</v>
      </c>
      <c r="E34">
        <v>44</v>
      </c>
    </row>
    <row r="35" spans="1:6" x14ac:dyDescent="0.35">
      <c r="A35" s="5" t="s">
        <v>22</v>
      </c>
      <c r="B35" s="21" t="s">
        <v>45</v>
      </c>
      <c r="C35" s="64">
        <f>'[1]Availabilities EU Austria'!$N$53/'[1]Availabilities EU Austria'!$N$50</f>
        <v>3.4882498985044481E-2</v>
      </c>
      <c r="D35" s="3">
        <f>'[1]Availabilities EU Austria'!$Q$53/'[1]Availabilities EU Austria'!$Q$50</f>
        <v>2.6988851429010231E-2</v>
      </c>
      <c r="E35" s="24">
        <v>0</v>
      </c>
      <c r="F35" t="s">
        <v>72</v>
      </c>
    </row>
    <row r="36" spans="1:6" x14ac:dyDescent="0.35">
      <c r="A36" s="5" t="s">
        <v>6</v>
      </c>
      <c r="B36" s="28" t="s">
        <v>48</v>
      </c>
      <c r="C36" s="62">
        <f>'[1]Availabilities EU Austria'!$N$54/'[1]Availabilities EU Austria'!$N$50</f>
        <v>1.366290786845722E-2</v>
      </c>
      <c r="D36" s="3">
        <f>'[1]Availabilities EU Austria'!$Q$54/'[1]Availabilities EU Austria'!$Q$50</f>
        <v>1.4187521465099827E-2</v>
      </c>
      <c r="E36">
        <v>44</v>
      </c>
    </row>
    <row r="37" spans="1:6" x14ac:dyDescent="0.35">
      <c r="A37" s="5" t="s">
        <v>7</v>
      </c>
      <c r="B37" s="6" t="s">
        <v>41</v>
      </c>
      <c r="C37" s="59">
        <f>'[1]Availabilities EU Austria'!$N$55/'[1]Availabilities EU Austria'!$N$50</f>
        <v>2.0267980522710626E-2</v>
      </c>
      <c r="D37" s="3">
        <f>'[1]Availabilities EU Austria'!$Q$55/'[1]Availabilities EU Austria'!$Q$50</f>
        <v>2.3931570490686043E-2</v>
      </c>
      <c r="E37">
        <v>69</v>
      </c>
    </row>
    <row r="38" spans="1:6" x14ac:dyDescent="0.35">
      <c r="A38" s="5" t="s">
        <v>8</v>
      </c>
      <c r="B38" s="6" t="s">
        <v>41</v>
      </c>
      <c r="C38" s="59">
        <f>'[1]Availabilities EU Austria'!$N$56/'[1]Availabilities EU Austria'!$N$50</f>
        <v>9.2273673289927829E-3</v>
      </c>
      <c r="D38" s="3">
        <f>'[1]Availabilities EU Austria'!$Q$56/'[1]Availabilities EU Austria'!$Q$50</f>
        <v>1.6814219915461764E-2</v>
      </c>
      <c r="E38">
        <v>69</v>
      </c>
    </row>
    <row r="39" spans="1:6" x14ac:dyDescent="0.35">
      <c r="A39" s="5" t="s">
        <v>9</v>
      </c>
      <c r="B39" s="21" t="s">
        <v>43</v>
      </c>
      <c r="C39" s="64">
        <f>'[1]Availabilities EU Austria'!$N$57/'[1]Availabilities EU Austria'!$N$50</f>
        <v>0.14802813399529377</v>
      </c>
      <c r="D39" s="3">
        <f>'[1]Availabilities EU Austria'!$Q$57/'[1]Availabilities EU Austria'!$Q$50</f>
        <v>0.10247463906007917</v>
      </c>
      <c r="E39" s="24">
        <v>69</v>
      </c>
      <c r="F39" t="s">
        <v>72</v>
      </c>
    </row>
    <row r="40" spans="1:6" x14ac:dyDescent="0.35">
      <c r="A40" s="5" t="s">
        <v>10</v>
      </c>
      <c r="B40" s="25" t="s">
        <v>70</v>
      </c>
      <c r="C40" s="66">
        <f>'[1]Availabilities EU Austria'!$N$58/'[1]Availabilities EU Austria'!$N$50</f>
        <v>0.15540694633138846</v>
      </c>
      <c r="D40" s="3">
        <f>'[1]Availabilities EU Austria'!$Q$58/'[1]Availabilities EU Austria'!$Q$50</f>
        <v>0.15073287616524328</v>
      </c>
      <c r="E40" s="24">
        <v>69</v>
      </c>
      <c r="F40" t="s">
        <v>72</v>
      </c>
    </row>
    <row r="41" spans="1:6" x14ac:dyDescent="0.35">
      <c r="A41" s="5" t="s">
        <v>11</v>
      </c>
      <c r="B41" s="26" t="s">
        <v>44</v>
      </c>
      <c r="C41" s="63">
        <f>'[1]Availabilities EU Austria'!$N$59/'[1]Availabilities EU Austria'!$N$50</f>
        <v>4.6552014319949722E-2</v>
      </c>
      <c r="D41" s="3">
        <f>'[1]Availabilities EU Austria'!$Q$59/'[1]Availabilities EU Austria'!$Q$50</f>
        <v>4.2968416306665501E-2</v>
      </c>
      <c r="E41" s="24">
        <v>0</v>
      </c>
      <c r="F41" t="s">
        <v>72</v>
      </c>
    </row>
    <row r="42" spans="1:6" x14ac:dyDescent="0.35">
      <c r="A42" s="13" t="s">
        <v>25</v>
      </c>
      <c r="B42" s="18" t="s">
        <v>42</v>
      </c>
      <c r="C42" s="61">
        <f>'[1]Availabilities EU Austria'!$N$60/'[1]Availabilities EU Austria'!$N$50</f>
        <v>2.052496118879454E-2</v>
      </c>
      <c r="D42" s="3">
        <f>'[1]Availabilities EU Austria'!$Q$60/'[1]Availabilities EU Austria'!$Q$50</f>
        <v>2.0290488362744687E-2</v>
      </c>
      <c r="E42" s="24">
        <v>96.44</v>
      </c>
    </row>
    <row r="43" spans="1:6" s="11" customFormat="1" x14ac:dyDescent="0.35">
      <c r="A43" s="17" t="s">
        <v>27</v>
      </c>
      <c r="B43" s="17"/>
      <c r="C43" s="67"/>
      <c r="D43" s="17"/>
      <c r="E43" s="9">
        <f>D44*E44</f>
        <v>96.44</v>
      </c>
    </row>
    <row r="44" spans="1:6" x14ac:dyDescent="0.35">
      <c r="A44" s="13" t="s">
        <v>28</v>
      </c>
      <c r="B44" s="6" t="s">
        <v>41</v>
      </c>
      <c r="C44" s="59">
        <v>1</v>
      </c>
      <c r="D44" s="39">
        <f>100%</f>
        <v>1</v>
      </c>
      <c r="E44" s="24">
        <v>96.44</v>
      </c>
    </row>
    <row r="45" spans="1:6" s="11" customFormat="1" x14ac:dyDescent="0.35">
      <c r="A45" s="17" t="s">
        <v>29</v>
      </c>
      <c r="B45" s="17"/>
      <c r="C45" s="67"/>
      <c r="D45" s="17"/>
      <c r="E45" s="9">
        <f>D46*E46</f>
        <v>96.44</v>
      </c>
    </row>
    <row r="46" spans="1:6" x14ac:dyDescent="0.35">
      <c r="A46" s="15" t="s">
        <v>30</v>
      </c>
      <c r="B46" s="18" t="s">
        <v>42</v>
      </c>
      <c r="C46" s="61">
        <v>1</v>
      </c>
      <c r="D46" s="40">
        <v>1</v>
      </c>
      <c r="E46" s="24">
        <v>96.44</v>
      </c>
    </row>
    <row r="47" spans="1:6" s="11" customFormat="1" x14ac:dyDescent="0.35">
      <c r="A47" s="17" t="s">
        <v>31</v>
      </c>
      <c r="B47" s="17"/>
      <c r="C47" s="67">
        <f>SUM(C48:C57)</f>
        <v>1</v>
      </c>
      <c r="D47" s="67">
        <f>SUM(D48:D57)</f>
        <v>1</v>
      </c>
      <c r="E47" s="9">
        <f>D48*E48+D49*E49+D50*E50+D51*E51+D52*E52+D53*E53+D54*E54+D55*E55+D56*E56+D57*E57</f>
        <v>57.287315661976407</v>
      </c>
    </row>
    <row r="48" spans="1:6" x14ac:dyDescent="0.35">
      <c r="A48" s="5" t="s">
        <v>4</v>
      </c>
      <c r="B48" s="6" t="s">
        <v>41</v>
      </c>
      <c r="C48" s="59">
        <f>'[1]Availabilities EU Austria'!$N$70/'[1]Availabilities EU Austria'!$N$69</f>
        <v>0.51783810219756787</v>
      </c>
      <c r="D48" s="3">
        <f>'[1]Availabilities EU Austria'!$Q$70/'[1]Availabilities EU Austria'!$Q$69</f>
        <v>0.56804068512978889</v>
      </c>
      <c r="E48">
        <v>58</v>
      </c>
    </row>
    <row r="49" spans="1:6" x14ac:dyDescent="0.35">
      <c r="A49" s="5" t="s">
        <v>5</v>
      </c>
      <c r="B49" s="6" t="s">
        <v>41</v>
      </c>
      <c r="C49" s="59">
        <f>'[1]Availabilities EU Austria'!$N$71/'[1]Availabilities EU Austria'!$N$69</f>
        <v>3.3609087261800549E-2</v>
      </c>
      <c r="D49" s="3">
        <f>'[1]Availabilities EU Austria'!$Q$71/'[1]Availabilities EU Austria'!$Q$69</f>
        <v>3.3570731675220726E-2</v>
      </c>
      <c r="E49">
        <v>44</v>
      </c>
    </row>
    <row r="50" spans="1:6" x14ac:dyDescent="0.35">
      <c r="A50" s="5" t="s">
        <v>22</v>
      </c>
      <c r="B50" s="21" t="s">
        <v>45</v>
      </c>
      <c r="C50" s="64">
        <f>'[1]Availabilities EU Austria'!$N$72/'[1]Availabilities EU Austria'!$N$69</f>
        <v>3.4882498985044481E-2</v>
      </c>
      <c r="D50" s="3">
        <f>'[1]Availabilities EU Austria'!$Q$72/'[1]Availabilities EU Austria'!$Q$69</f>
        <v>2.6988851429010231E-2</v>
      </c>
      <c r="E50" s="24">
        <v>0</v>
      </c>
      <c r="F50" t="s">
        <v>72</v>
      </c>
    </row>
    <row r="51" spans="1:6" x14ac:dyDescent="0.35">
      <c r="A51" s="5" t="s">
        <v>6</v>
      </c>
      <c r="B51" s="28" t="s">
        <v>48</v>
      </c>
      <c r="C51" s="62">
        <f>'[1]Availabilities EU Austria'!$N$73/'[1]Availabilities EU Austria'!$N$69</f>
        <v>1.366290786845722E-2</v>
      </c>
      <c r="D51" s="3">
        <f>'[1]Availabilities EU Austria'!$Q$73/'[1]Availabilities EU Austria'!$Q$69</f>
        <v>1.4187521465099827E-2</v>
      </c>
      <c r="E51">
        <v>44</v>
      </c>
    </row>
    <row r="52" spans="1:6" x14ac:dyDescent="0.35">
      <c r="A52" s="5" t="s">
        <v>7</v>
      </c>
      <c r="B52" s="6" t="s">
        <v>41</v>
      </c>
      <c r="C52" s="59">
        <f>'[1]Availabilities EU Austria'!$N$74/'[1]Availabilities EU Austria'!$N$69</f>
        <v>2.0267980522710626E-2</v>
      </c>
      <c r="D52" s="3">
        <f>'[1]Availabilities EU Austria'!$Q$74/'[1]Availabilities EU Austria'!$Q$69</f>
        <v>2.3931570490686043E-2</v>
      </c>
      <c r="E52">
        <v>69</v>
      </c>
    </row>
    <row r="53" spans="1:6" x14ac:dyDescent="0.35">
      <c r="A53" s="5" t="s">
        <v>8</v>
      </c>
      <c r="B53" s="6" t="s">
        <v>41</v>
      </c>
      <c r="C53" s="59">
        <f>'[1]Availabilities EU Austria'!$N$75/'[1]Availabilities EU Austria'!$N$69</f>
        <v>9.2273673289927829E-3</v>
      </c>
      <c r="D53" s="3">
        <f>'[1]Availabilities EU Austria'!$Q$75/'[1]Availabilities EU Austria'!$Q$69</f>
        <v>1.6814219915461764E-2</v>
      </c>
      <c r="E53">
        <v>69</v>
      </c>
    </row>
    <row r="54" spans="1:6" x14ac:dyDescent="0.35">
      <c r="A54" s="5" t="s">
        <v>9</v>
      </c>
      <c r="B54" s="21" t="s">
        <v>43</v>
      </c>
      <c r="C54" s="59">
        <f>'[1]Availabilities EU Austria'!$N$76/'[1]Availabilities EU Austria'!$N$69</f>
        <v>0.14802813399529377</v>
      </c>
      <c r="D54" s="3">
        <f>'[1]Availabilities EU Austria'!$Q$76/'[1]Availabilities EU Austria'!$Q$69</f>
        <v>0.10247463906007917</v>
      </c>
      <c r="E54" s="24">
        <v>69</v>
      </c>
      <c r="F54" t="s">
        <v>72</v>
      </c>
    </row>
    <row r="55" spans="1:6" x14ac:dyDescent="0.35">
      <c r="A55" s="5" t="s">
        <v>10</v>
      </c>
      <c r="B55" s="25" t="s">
        <v>70</v>
      </c>
      <c r="C55" s="59">
        <f>'[1]Availabilities EU Austria'!$N$77/'[1]Availabilities EU Austria'!$N$69</f>
        <v>0.15540694633138846</v>
      </c>
      <c r="D55" s="3">
        <f>'[1]Availabilities EU Austria'!$Q$77/'[1]Availabilities EU Austria'!$Q$69</f>
        <v>0.15073287616524328</v>
      </c>
      <c r="E55" s="24">
        <v>69</v>
      </c>
      <c r="F55" t="s">
        <v>72</v>
      </c>
    </row>
    <row r="56" spans="1:6" x14ac:dyDescent="0.35">
      <c r="A56" s="5" t="s">
        <v>11</v>
      </c>
      <c r="B56" s="26" t="s">
        <v>44</v>
      </c>
      <c r="C56" s="59">
        <f>'[1]Availabilities EU Austria'!$N$78/'[1]Availabilities EU Austria'!$N$69</f>
        <v>4.6552014319949722E-2</v>
      </c>
      <c r="D56" s="3">
        <f>'[1]Availabilities EU Austria'!$Q$78/'[1]Availabilities EU Austria'!$Q$69</f>
        <v>4.2968416306665501E-2</v>
      </c>
      <c r="E56" s="24">
        <v>0</v>
      </c>
      <c r="F56" t="s">
        <v>72</v>
      </c>
    </row>
    <row r="57" spans="1:6" x14ac:dyDescent="0.35">
      <c r="A57" s="13" t="s">
        <v>32</v>
      </c>
      <c r="B57" s="18" t="s">
        <v>42</v>
      </c>
      <c r="C57" s="59">
        <f>'[1]Availabilities EU Austria'!$N$79/'[1]Availabilities EU Austria'!$N$69</f>
        <v>2.052496118879454E-2</v>
      </c>
      <c r="D57" s="3">
        <f>'[1]Availabilities EU Austria'!$Q$79/'[1]Availabilities EU Austria'!$Q$69</f>
        <v>2.0290488362744687E-2</v>
      </c>
      <c r="E57" s="24">
        <v>96.44</v>
      </c>
    </row>
    <row r="58" spans="1:6" s="11" customFormat="1" x14ac:dyDescent="0.35">
      <c r="A58" s="17" t="s">
        <v>33</v>
      </c>
      <c r="B58" s="17"/>
      <c r="C58" s="67"/>
      <c r="D58" s="17"/>
      <c r="E58" s="9">
        <f>D59*E59</f>
        <v>96.44</v>
      </c>
    </row>
    <row r="59" spans="1:6" x14ac:dyDescent="0.35">
      <c r="A59" s="15" t="s">
        <v>30</v>
      </c>
      <c r="B59" s="18" t="s">
        <v>42</v>
      </c>
      <c r="C59" s="61"/>
      <c r="D59" s="40">
        <v>1</v>
      </c>
      <c r="E59" s="24">
        <v>96.44</v>
      </c>
    </row>
    <row r="60" spans="1:6" s="11" customFormat="1" x14ac:dyDescent="0.35">
      <c r="A60" s="17" t="s">
        <v>34</v>
      </c>
      <c r="B60" s="17"/>
      <c r="C60" s="75">
        <f>SUM(C61:C70)</f>
        <v>1</v>
      </c>
      <c r="D60" s="75">
        <f>SUM(D61:D70)</f>
        <v>1</v>
      </c>
      <c r="E60" s="9">
        <f>D61*E61+D62*E62+D63*E63+D64*E64+D65*E65+D66*E66+D67*E67+D68*E68+D69*E69+D70*E70</f>
        <v>57.287315661976407</v>
      </c>
    </row>
    <row r="61" spans="1:6" x14ac:dyDescent="0.35">
      <c r="A61" s="5" t="s">
        <v>4</v>
      </c>
      <c r="B61" s="6" t="s">
        <v>41</v>
      </c>
      <c r="C61" s="3">
        <f>'[1]Availabilities EU Austria'!$N$105/'[1]Availabilities EU Austria'!$N$104</f>
        <v>0.51783810219756787</v>
      </c>
      <c r="D61" s="3">
        <f>'[1]Availabilities EU Austria'!$Q$105/'[1]Availabilities EU Austria'!$Q$104</f>
        <v>0.56804068512978889</v>
      </c>
      <c r="E61">
        <v>58</v>
      </c>
    </row>
    <row r="62" spans="1:6" x14ac:dyDescent="0.35">
      <c r="A62" s="5" t="s">
        <v>5</v>
      </c>
      <c r="B62" s="6" t="s">
        <v>41</v>
      </c>
      <c r="C62" s="3">
        <f>'[1]Availabilities EU Austria'!$N$106/'[1]Availabilities EU Austria'!$N$104</f>
        <v>3.3609087261800549E-2</v>
      </c>
      <c r="D62" s="3">
        <f>'[1]Availabilities EU Austria'!$Q$106/'[1]Availabilities EU Austria'!$Q$104</f>
        <v>3.3570731675220726E-2</v>
      </c>
      <c r="E62">
        <v>44</v>
      </c>
    </row>
    <row r="63" spans="1:6" x14ac:dyDescent="0.35">
      <c r="A63" s="5" t="s">
        <v>22</v>
      </c>
      <c r="B63" s="21" t="s">
        <v>45</v>
      </c>
      <c r="C63" s="3">
        <f>'[1]Availabilities EU Austria'!$N$107/'[1]Availabilities EU Austria'!$N$104</f>
        <v>3.4882498985044481E-2</v>
      </c>
      <c r="D63" s="3">
        <f>'[1]Availabilities EU Austria'!$Q$107/'[1]Availabilities EU Austria'!$Q$104</f>
        <v>2.6988851429010231E-2</v>
      </c>
      <c r="E63" s="24">
        <v>0</v>
      </c>
      <c r="F63" t="s">
        <v>72</v>
      </c>
    </row>
    <row r="64" spans="1:6" x14ac:dyDescent="0.35">
      <c r="A64" s="5" t="s">
        <v>6</v>
      </c>
      <c r="B64" s="28" t="s">
        <v>48</v>
      </c>
      <c r="C64" s="3">
        <f>'[1]Availabilities EU Austria'!$N$108/'[1]Availabilities EU Austria'!$N$104</f>
        <v>1.366290786845722E-2</v>
      </c>
      <c r="D64" s="3">
        <f>'[1]Availabilities EU Austria'!$Q$108/'[1]Availabilities EU Austria'!$Q$104</f>
        <v>1.4187521465099827E-2</v>
      </c>
      <c r="E64">
        <v>44</v>
      </c>
    </row>
    <row r="65" spans="1:6" x14ac:dyDescent="0.35">
      <c r="A65" s="5" t="s">
        <v>7</v>
      </c>
      <c r="B65" s="6" t="s">
        <v>41</v>
      </c>
      <c r="C65" s="3">
        <f>'[1]Availabilities EU Austria'!$N$109/'[1]Availabilities EU Austria'!$N$104</f>
        <v>2.0267980522710626E-2</v>
      </c>
      <c r="D65" s="3">
        <f>'[1]Availabilities EU Austria'!$Q$109/'[1]Availabilities EU Austria'!$Q$104</f>
        <v>2.3931570490686043E-2</v>
      </c>
      <c r="E65">
        <v>69</v>
      </c>
    </row>
    <row r="66" spans="1:6" x14ac:dyDescent="0.35">
      <c r="A66" s="5" t="s">
        <v>8</v>
      </c>
      <c r="B66" s="6" t="s">
        <v>41</v>
      </c>
      <c r="C66" s="3">
        <f>'[1]Availabilities EU Austria'!$N$110/'[1]Availabilities EU Austria'!$N$104</f>
        <v>9.2273673289927829E-3</v>
      </c>
      <c r="D66" s="3">
        <f>'[1]Availabilities EU Austria'!$Q$110/'[1]Availabilities EU Austria'!$Q$104</f>
        <v>1.6814219915461764E-2</v>
      </c>
      <c r="E66">
        <v>69</v>
      </c>
    </row>
    <row r="67" spans="1:6" x14ac:dyDescent="0.35">
      <c r="A67" s="5" t="s">
        <v>9</v>
      </c>
      <c r="B67" s="21" t="s">
        <v>43</v>
      </c>
      <c r="C67" s="3">
        <f>'[1]Availabilities EU Austria'!$N$111/'[1]Availabilities EU Austria'!$N$104</f>
        <v>0.14802813399529377</v>
      </c>
      <c r="D67" s="3">
        <f>'[1]Availabilities EU Austria'!$Q$111/'[1]Availabilities EU Austria'!$Q$104</f>
        <v>0.10247463906007917</v>
      </c>
      <c r="E67" s="24">
        <v>69</v>
      </c>
      <c r="F67" t="s">
        <v>72</v>
      </c>
    </row>
    <row r="68" spans="1:6" x14ac:dyDescent="0.35">
      <c r="A68" s="5" t="s">
        <v>10</v>
      </c>
      <c r="B68" s="25" t="s">
        <v>70</v>
      </c>
      <c r="C68" s="3">
        <f>'[1]Availabilities EU Austria'!$N$112/'[1]Availabilities EU Austria'!$N$104</f>
        <v>0.15540694633138846</v>
      </c>
      <c r="D68" s="3">
        <f>'[1]Availabilities EU Austria'!$Q$112/'[1]Availabilities EU Austria'!$Q$104</f>
        <v>0.15073287616524328</v>
      </c>
      <c r="E68" s="24">
        <v>69</v>
      </c>
      <c r="F68" t="s">
        <v>72</v>
      </c>
    </row>
    <row r="69" spans="1:6" x14ac:dyDescent="0.35">
      <c r="A69" s="5" t="s">
        <v>11</v>
      </c>
      <c r="B69" s="26" t="s">
        <v>44</v>
      </c>
      <c r="C69" s="3">
        <f>'[1]Availabilities EU Austria'!$N$113/'[1]Availabilities EU Austria'!$N$104</f>
        <v>4.6552014319949722E-2</v>
      </c>
      <c r="D69" s="3">
        <f>'[1]Availabilities EU Austria'!$Q$113/'[1]Availabilities EU Austria'!$Q$104</f>
        <v>4.2968416306665501E-2</v>
      </c>
      <c r="E69" s="24">
        <v>0</v>
      </c>
      <c r="F69" t="s">
        <v>72</v>
      </c>
    </row>
    <row r="70" spans="1:6" x14ac:dyDescent="0.35">
      <c r="A70" s="13" t="s">
        <v>32</v>
      </c>
      <c r="B70" s="14"/>
      <c r="C70" s="3">
        <f>'[1]Availabilities EU Austria'!$N$114/'[1]Availabilities EU Austria'!$N$104</f>
        <v>2.052496118879454E-2</v>
      </c>
      <c r="D70" s="3">
        <f>'[1]Availabilities EU Austria'!$Q$114/'[1]Availabilities EU Austria'!$Q$104</f>
        <v>2.0290488362744687E-2</v>
      </c>
      <c r="E70" s="24">
        <v>96.44</v>
      </c>
    </row>
    <row r="71" spans="1:6" s="11" customFormat="1" x14ac:dyDescent="0.35">
      <c r="A71" s="17" t="s">
        <v>35</v>
      </c>
      <c r="B71" s="17"/>
      <c r="C71" s="67"/>
      <c r="D71" s="17"/>
      <c r="E71" s="9">
        <f>D72*E72</f>
        <v>96.44</v>
      </c>
    </row>
    <row r="72" spans="1:6" x14ac:dyDescent="0.35">
      <c r="A72" s="16" t="s">
        <v>36</v>
      </c>
      <c r="B72" s="22"/>
      <c r="C72" s="68">
        <v>1</v>
      </c>
      <c r="D72" s="42">
        <v>1</v>
      </c>
      <c r="E72" s="24">
        <v>96.44</v>
      </c>
    </row>
    <row r="73" spans="1:6" s="11" customFormat="1" x14ac:dyDescent="0.35">
      <c r="A73" s="11" t="s">
        <v>3</v>
      </c>
      <c r="C73" s="69">
        <f>SUM(C74:C81)</f>
        <v>1</v>
      </c>
      <c r="D73" s="76" t="e">
        <f>SUM(D74:D81)</f>
        <v>#REF!</v>
      </c>
      <c r="E73" s="41" t="e">
        <f>D74*E74+D75*E75+D76*E76+D77*E77+D78*E78+D79*E79+D80*E80+D81*E81</f>
        <v>#REF!</v>
      </c>
    </row>
    <row r="74" spans="1:6" x14ac:dyDescent="0.35">
      <c r="A74" s="5" t="s">
        <v>4</v>
      </c>
      <c r="B74" s="6" t="s">
        <v>41</v>
      </c>
      <c r="C74" s="59">
        <f>'[1]Availabilities EU Austria'!$N$120/'[1]Availabilities EU Austria'!$N$119</f>
        <v>0.54821320343358704</v>
      </c>
      <c r="D74" s="3" t="e">
        <f>'[1]Availabilities EU Austria'!#REF!/'[1]Availabilities EU Austria'!#REF!</f>
        <v>#REF!</v>
      </c>
      <c r="E74">
        <v>58</v>
      </c>
    </row>
    <row r="75" spans="1:6" x14ac:dyDescent="0.35">
      <c r="A75" s="5" t="s">
        <v>5</v>
      </c>
      <c r="B75" s="6" t="s">
        <v>41</v>
      </c>
      <c r="C75" s="59">
        <f>'[1]Availabilities EU Austria'!$N$121/'[1]Availabilities EU Austria'!$N$119</f>
        <v>3.5580513125782073E-2</v>
      </c>
      <c r="D75" s="3" t="e">
        <f>'[1]Availabilities EU Austria'!#REF!/'[1]Availabilities EU Austria'!#REF!</f>
        <v>#REF!</v>
      </c>
      <c r="E75">
        <v>44</v>
      </c>
    </row>
    <row r="76" spans="1:6" x14ac:dyDescent="0.35">
      <c r="A76" s="5" t="s">
        <v>6</v>
      </c>
      <c r="B76" s="28" t="s">
        <v>48</v>
      </c>
      <c r="C76" s="64">
        <f>'[1]Availabilities EU Austria'!$N$122/'[1]Availabilities EU Austria'!$N$119</f>
        <v>1.4464340223321777E-2</v>
      </c>
      <c r="D76" s="3" t="e">
        <f>'[1]Availabilities EU Austria'!#REF!/'[1]Availabilities EU Austria'!#REF!</f>
        <v>#REF!</v>
      </c>
      <c r="E76">
        <v>44</v>
      </c>
    </row>
    <row r="77" spans="1:6" x14ac:dyDescent="0.35">
      <c r="A77" s="5" t="s">
        <v>7</v>
      </c>
      <c r="B77" s="6" t="s">
        <v>41</v>
      </c>
      <c r="C77" s="59">
        <f>'[1]Availabilities EU Austria'!$N$123/'[1]Availabilities EU Austria'!$N$119</f>
        <v>2.1456850089500667E-2</v>
      </c>
      <c r="D77" s="3" t="e">
        <f>'[1]Availabilities EU Austria'!#REF!/'[1]Availabilities EU Austria'!#REF!</f>
        <v>#REF!</v>
      </c>
      <c r="E77">
        <v>69</v>
      </c>
    </row>
    <row r="78" spans="1:6" x14ac:dyDescent="0.35">
      <c r="A78" s="5" t="s">
        <v>8</v>
      </c>
      <c r="B78" s="6" t="s">
        <v>41</v>
      </c>
      <c r="C78" s="59">
        <f>'[1]Availabilities EU Austria'!$N$124/'[1]Availabilities EU Austria'!$N$119</f>
        <v>9.7686218553991021E-3</v>
      </c>
      <c r="D78" s="3" t="e">
        <f>'[1]Availabilities EU Austria'!#REF!/'[1]Availabilities EU Austria'!#REF!</f>
        <v>#REF!</v>
      </c>
      <c r="E78">
        <v>69</v>
      </c>
    </row>
    <row r="79" spans="1:6" x14ac:dyDescent="0.35">
      <c r="A79" s="5" t="s">
        <v>9</v>
      </c>
      <c r="B79" s="21" t="s">
        <v>43</v>
      </c>
      <c r="C79" s="64">
        <f>'[1]Availabilities EU Austria'!$N$125/'[1]Availabilities EU Austria'!$N$119</f>
        <v>0.15671109791163104</v>
      </c>
      <c r="D79" s="3" t="e">
        <f>'[1]Availabilities EU Austria'!#REF!/'[1]Availabilities EU Austria'!#REF!</f>
        <v>#REF!</v>
      </c>
      <c r="E79">
        <v>67</v>
      </c>
    </row>
    <row r="80" spans="1:6" x14ac:dyDescent="0.35">
      <c r="A80" s="5" t="s">
        <v>10</v>
      </c>
      <c r="B80" s="25" t="s">
        <v>70</v>
      </c>
      <c r="C80" s="66">
        <f>'[1]Availabilities EU Austria'!$N$126/'[1]Availabilities EU Austria'!$N$119</f>
        <v>0.16452273311409904</v>
      </c>
      <c r="D80" s="3" t="e">
        <f>'[1]Availabilities EU Austria'!#REF!/'[1]Availabilities EU Austria'!#REF!</f>
        <v>#REF!</v>
      </c>
      <c r="E80">
        <v>67</v>
      </c>
    </row>
    <row r="81" spans="1:6" x14ac:dyDescent="0.35">
      <c r="A81" s="5" t="s">
        <v>11</v>
      </c>
      <c r="B81" s="26" t="s">
        <v>44</v>
      </c>
      <c r="C81" s="63">
        <f>'[1]Availabilities EU Austria'!$N$127/'[1]Availabilities EU Austria'!$N$119</f>
        <v>4.9282640246679235E-2</v>
      </c>
      <c r="D81" s="3" t="e">
        <f>'[1]Availabilities EU Austria'!#REF!/'[1]Availabilities EU Austria'!#REF!</f>
        <v>#REF!</v>
      </c>
      <c r="E81" s="24">
        <v>0</v>
      </c>
      <c r="F81" t="s">
        <v>73</v>
      </c>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F5BE-C2BB-4195-A29E-3254AA73FFFE}">
  <dimension ref="A1:L59"/>
  <sheetViews>
    <sheetView zoomScale="71" zoomScaleNormal="71" workbookViewId="0">
      <pane ySplit="1" topLeftCell="A15" activePane="bottomLeft" state="frozen"/>
      <selection pane="bottomLeft" activeCell="A45" sqref="A45"/>
    </sheetView>
  </sheetViews>
  <sheetFormatPr baseColWidth="10" defaultRowHeight="14.5" x14ac:dyDescent="0.35"/>
  <cols>
    <col min="1" max="1" width="34.6328125" customWidth="1"/>
    <col min="2" max="2" width="26.453125" customWidth="1"/>
    <col min="3" max="4" width="20.453125" customWidth="1"/>
    <col min="5" max="5" width="19.90625" customWidth="1"/>
    <col min="6" max="6" width="16.90625" customWidth="1"/>
    <col min="7" max="8" width="16.90625" style="59" customWidth="1"/>
    <col min="9" max="9" width="18.36328125" customWidth="1"/>
    <col min="10" max="10" width="18.36328125" style="59" customWidth="1"/>
    <col min="11" max="11" width="18.36328125" customWidth="1"/>
  </cols>
  <sheetData>
    <row r="1" spans="1:12" ht="39.5" customHeight="1" x14ac:dyDescent="0.35">
      <c r="A1" s="33"/>
      <c r="B1" s="33" t="s">
        <v>256</v>
      </c>
      <c r="C1" s="183" t="s">
        <v>164</v>
      </c>
      <c r="D1" s="183"/>
      <c r="E1" s="183" t="s">
        <v>248</v>
      </c>
      <c r="F1" s="134" t="s">
        <v>249</v>
      </c>
      <c r="G1" s="187"/>
      <c r="H1" s="187" t="s">
        <v>250</v>
      </c>
      <c r="I1" s="184" t="s">
        <v>163</v>
      </c>
      <c r="J1" s="185"/>
      <c r="K1" s="184" t="s">
        <v>172</v>
      </c>
      <c r="L1" s="78"/>
    </row>
    <row r="2" spans="1:12" s="46" customFormat="1" ht="35.5" customHeight="1" x14ac:dyDescent="0.35">
      <c r="A2" s="182" t="s">
        <v>224</v>
      </c>
      <c r="B2" s="182"/>
      <c r="C2" s="182"/>
      <c r="D2" s="182"/>
      <c r="F2" s="182"/>
      <c r="G2" s="186"/>
      <c r="H2" s="186"/>
      <c r="I2" s="182"/>
      <c r="J2" s="186"/>
      <c r="K2" s="182"/>
    </row>
    <row r="3" spans="1:12" s="43" customFormat="1" x14ac:dyDescent="0.35">
      <c r="A3" s="43" t="s">
        <v>243</v>
      </c>
      <c r="B3" s="43">
        <v>800</v>
      </c>
      <c r="C3" s="305">
        <v>0.75</v>
      </c>
      <c r="D3" s="305" t="s">
        <v>192</v>
      </c>
      <c r="E3" s="43">
        <f>C3*B3</f>
        <v>600</v>
      </c>
      <c r="F3" s="302">
        <v>6.5000000000000002E-2</v>
      </c>
      <c r="G3" s="302">
        <f>SUM(G4:G8)</f>
        <v>1</v>
      </c>
      <c r="H3" s="43">
        <f>F3*B3</f>
        <v>52</v>
      </c>
      <c r="I3" s="302">
        <v>0.185</v>
      </c>
      <c r="J3" s="302">
        <f>SUM(J4:J9)</f>
        <v>1</v>
      </c>
      <c r="K3" s="43">
        <f>I3*B3</f>
        <v>148</v>
      </c>
    </row>
    <row r="4" spans="1:12" x14ac:dyDescent="0.35">
      <c r="B4" t="s">
        <v>242</v>
      </c>
      <c r="C4" t="s">
        <v>229</v>
      </c>
      <c r="D4" s="6">
        <f>'Feedtstocks only CONVENTIONAL'!I4</f>
        <v>354.46400000000006</v>
      </c>
      <c r="E4" s="34">
        <v>0.76</v>
      </c>
      <c r="F4" t="s">
        <v>257</v>
      </c>
      <c r="G4" s="59">
        <v>0.45</v>
      </c>
      <c r="H4" s="311">
        <f>G4*$H$3</f>
        <v>23.400000000000002</v>
      </c>
      <c r="I4" t="s">
        <v>259</v>
      </c>
      <c r="J4" s="59">
        <v>0.3</v>
      </c>
      <c r="K4">
        <f t="shared" ref="K4:K9" si="0">J4*$K$3</f>
        <v>44.4</v>
      </c>
    </row>
    <row r="5" spans="1:12" x14ac:dyDescent="0.35">
      <c r="B5" t="s">
        <v>252</v>
      </c>
      <c r="C5" t="s">
        <v>230</v>
      </c>
      <c r="D5" s="6">
        <f>'Feedtstocks only CONVENTIONAL'!I5</f>
        <v>74.624000000000009</v>
      </c>
      <c r="E5" s="34">
        <v>0.16</v>
      </c>
      <c r="F5" t="s">
        <v>258</v>
      </c>
      <c r="G5" s="59">
        <v>0.3</v>
      </c>
      <c r="H5" s="311">
        <f>G5*$H$3</f>
        <v>15.6</v>
      </c>
      <c r="I5" t="s">
        <v>260</v>
      </c>
      <c r="J5" s="59">
        <v>0.2</v>
      </c>
      <c r="K5">
        <f t="shared" si="0"/>
        <v>29.6</v>
      </c>
    </row>
    <row r="6" spans="1:12" x14ac:dyDescent="0.35">
      <c r="B6" t="s">
        <v>242</v>
      </c>
      <c r="C6" t="s">
        <v>231</v>
      </c>
      <c r="D6" s="6">
        <f>'Feedtstocks only CONVENTIONAL'!I6</f>
        <v>18.656000000000002</v>
      </c>
      <c r="E6" s="34">
        <v>0.04</v>
      </c>
      <c r="F6" t="s">
        <v>213</v>
      </c>
      <c r="G6" s="59">
        <v>0.15</v>
      </c>
      <c r="H6" s="311">
        <f>G6*$H$3</f>
        <v>7.8</v>
      </c>
      <c r="I6" t="s">
        <v>218</v>
      </c>
      <c r="J6" s="59">
        <v>0.25</v>
      </c>
      <c r="K6">
        <f t="shared" si="0"/>
        <v>37</v>
      </c>
    </row>
    <row r="7" spans="1:12" x14ac:dyDescent="0.35">
      <c r="B7" t="s">
        <v>252</v>
      </c>
      <c r="C7" t="s">
        <v>232</v>
      </c>
      <c r="D7" s="6">
        <f>'Feedtstocks only CONVENTIONAL'!I7</f>
        <v>18.333333333333336</v>
      </c>
      <c r="E7" s="34">
        <v>0.04</v>
      </c>
      <c r="F7" t="s">
        <v>211</v>
      </c>
      <c r="G7" s="59">
        <v>7.0000000000000007E-2</v>
      </c>
      <c r="H7" s="311">
        <f>G7*$H$3</f>
        <v>3.6400000000000006</v>
      </c>
      <c r="I7" t="s">
        <v>261</v>
      </c>
      <c r="J7" s="59">
        <v>0.15</v>
      </c>
      <c r="K7">
        <f t="shared" si="0"/>
        <v>22.2</v>
      </c>
    </row>
    <row r="8" spans="1:12" x14ac:dyDescent="0.35">
      <c r="F8" t="s">
        <v>216</v>
      </c>
      <c r="G8" s="59">
        <v>0.03</v>
      </c>
      <c r="H8" s="311">
        <f>G8*$H$3</f>
        <v>1.56</v>
      </c>
      <c r="I8" s="102" t="s">
        <v>220</v>
      </c>
      <c r="J8" s="59">
        <v>0.1</v>
      </c>
      <c r="K8">
        <f t="shared" si="0"/>
        <v>14.8</v>
      </c>
    </row>
    <row r="9" spans="1:12" x14ac:dyDescent="0.35">
      <c r="H9" s="311"/>
      <c r="I9" t="s">
        <v>413</v>
      </c>
      <c r="J9" s="59">
        <v>0</v>
      </c>
      <c r="K9">
        <f t="shared" si="0"/>
        <v>0</v>
      </c>
    </row>
    <row r="10" spans="1:12" s="43" customFormat="1" x14ac:dyDescent="0.35">
      <c r="A10" s="43" t="s">
        <v>244</v>
      </c>
      <c r="B10" s="43">
        <f>E10+H10+K10</f>
        <v>1253</v>
      </c>
      <c r="C10" s="43">
        <f>E10/B10</f>
        <v>0.72067039106145248</v>
      </c>
      <c r="E10" s="43">
        <v>903</v>
      </c>
      <c r="F10" s="43">
        <f>H10/B10</f>
        <v>6.6241021548284124E-2</v>
      </c>
      <c r="G10" s="43">
        <f>SUM(G11:G15)</f>
        <v>1</v>
      </c>
      <c r="H10" s="43">
        <v>83</v>
      </c>
      <c r="I10" s="43">
        <f>K10/B10</f>
        <v>0.21308858739026337</v>
      </c>
      <c r="J10" s="43">
        <f>SUM(J11:J16)</f>
        <v>1</v>
      </c>
      <c r="K10" s="43">
        <v>267</v>
      </c>
    </row>
    <row r="11" spans="1:12" x14ac:dyDescent="0.35">
      <c r="F11" t="s">
        <v>257</v>
      </c>
      <c r="G11" s="59">
        <v>0.48</v>
      </c>
      <c r="H11" s="311">
        <f>G11*$H$10</f>
        <v>39.839999999999996</v>
      </c>
      <c r="I11" t="s">
        <v>259</v>
      </c>
      <c r="J11" s="59">
        <v>0.25</v>
      </c>
      <c r="K11">
        <f t="shared" ref="K11:K16" si="1">J11*$K$10</f>
        <v>66.75</v>
      </c>
    </row>
    <row r="12" spans="1:12" x14ac:dyDescent="0.35">
      <c r="F12" t="s">
        <v>258</v>
      </c>
      <c r="G12" s="59">
        <v>0.3</v>
      </c>
      <c r="H12" s="311">
        <f>G12*$H$10</f>
        <v>24.9</v>
      </c>
      <c r="I12" t="s">
        <v>260</v>
      </c>
      <c r="J12" s="59">
        <v>0.15</v>
      </c>
      <c r="K12">
        <f t="shared" si="1"/>
        <v>40.049999999999997</v>
      </c>
    </row>
    <row r="13" spans="1:12" x14ac:dyDescent="0.35">
      <c r="F13" t="s">
        <v>213</v>
      </c>
      <c r="G13" s="59">
        <v>0.12</v>
      </c>
      <c r="H13" s="311">
        <f>G13*$H$10</f>
        <v>9.9599999999999991</v>
      </c>
      <c r="I13" t="s">
        <v>218</v>
      </c>
      <c r="J13" s="59">
        <v>0.2</v>
      </c>
      <c r="K13">
        <f t="shared" si="1"/>
        <v>53.400000000000006</v>
      </c>
    </row>
    <row r="14" spans="1:12" x14ac:dyDescent="0.35">
      <c r="F14" t="s">
        <v>211</v>
      </c>
      <c r="G14" s="59">
        <v>7.0000000000000007E-2</v>
      </c>
      <c r="H14" s="311">
        <f>G14*$H$10</f>
        <v>5.8100000000000005</v>
      </c>
      <c r="I14" t="s">
        <v>261</v>
      </c>
      <c r="J14" s="59">
        <v>0.15</v>
      </c>
      <c r="K14">
        <f t="shared" si="1"/>
        <v>40.049999999999997</v>
      </c>
    </row>
    <row r="15" spans="1:12" x14ac:dyDescent="0.35">
      <c r="F15" t="s">
        <v>216</v>
      </c>
      <c r="G15" s="59">
        <v>0.03</v>
      </c>
      <c r="H15" s="311">
        <f>G15*$H$10</f>
        <v>2.4899999999999998</v>
      </c>
      <c r="I15" s="102" t="s">
        <v>220</v>
      </c>
      <c r="J15" s="59">
        <v>0.25</v>
      </c>
      <c r="K15">
        <f t="shared" si="1"/>
        <v>66.75</v>
      </c>
    </row>
    <row r="16" spans="1:12" x14ac:dyDescent="0.35">
      <c r="H16" s="311"/>
      <c r="I16" t="s">
        <v>413</v>
      </c>
      <c r="J16" s="59">
        <v>0</v>
      </c>
      <c r="K16">
        <f t="shared" si="1"/>
        <v>0</v>
      </c>
    </row>
    <row r="17" spans="1:12" s="43" customFormat="1" x14ac:dyDescent="0.35">
      <c r="A17" s="43" t="s">
        <v>245</v>
      </c>
      <c r="B17" s="43">
        <v>1253</v>
      </c>
      <c r="C17" s="43">
        <f>E17/$B$17</f>
        <v>0.72067039106145248</v>
      </c>
      <c r="E17" s="43">
        <v>903</v>
      </c>
      <c r="F17" s="43">
        <f>$H$17/$B$17</f>
        <v>6.6241021548284124E-2</v>
      </c>
      <c r="G17" s="43">
        <f>SUM(G18:G22)</f>
        <v>1</v>
      </c>
      <c r="H17" s="43">
        <v>83</v>
      </c>
      <c r="I17" s="43">
        <f>K17/B17</f>
        <v>0.21308858739026337</v>
      </c>
      <c r="J17" s="43">
        <f>SUM(J18:J23)</f>
        <v>1</v>
      </c>
      <c r="K17" s="43">
        <v>267</v>
      </c>
    </row>
    <row r="18" spans="1:12" x14ac:dyDescent="0.35">
      <c r="C18" t="s">
        <v>269</v>
      </c>
      <c r="D18" s="59">
        <f>0.6618*0.6</f>
        <v>0.39708000000000004</v>
      </c>
      <c r="E18" s="6">
        <f>D18*$E$17</f>
        <v>358.56324000000006</v>
      </c>
      <c r="F18" t="s">
        <v>257</v>
      </c>
      <c r="G18" s="59">
        <v>0.5</v>
      </c>
      <c r="H18" s="311">
        <f>G18*$H$17</f>
        <v>41.5</v>
      </c>
      <c r="I18" t="s">
        <v>259</v>
      </c>
      <c r="J18" s="59">
        <v>0.25</v>
      </c>
      <c r="K18">
        <f>J18*K$17</f>
        <v>66.75</v>
      </c>
    </row>
    <row r="19" spans="1:12" x14ac:dyDescent="0.35">
      <c r="C19" t="s">
        <v>268</v>
      </c>
      <c r="D19" s="59">
        <f>0.6618*0.4</f>
        <v>0.26472000000000001</v>
      </c>
      <c r="E19" s="6">
        <f>D19*$E$17</f>
        <v>239.04216000000002</v>
      </c>
      <c r="F19" t="s">
        <v>258</v>
      </c>
      <c r="G19" s="59">
        <v>0.3</v>
      </c>
      <c r="H19" s="311">
        <f>G19*$H$17</f>
        <v>24.9</v>
      </c>
      <c r="I19" t="s">
        <v>260</v>
      </c>
      <c r="J19" s="59">
        <v>0.15</v>
      </c>
      <c r="K19">
        <f t="shared" ref="K19:K22" si="2">J19*K$17</f>
        <v>40.049999999999997</v>
      </c>
    </row>
    <row r="20" spans="1:12" x14ac:dyDescent="0.35">
      <c r="C20" t="s">
        <v>277</v>
      </c>
      <c r="D20" s="59">
        <v>0.3382</v>
      </c>
      <c r="E20" s="6">
        <f>D20*$E$17</f>
        <v>305.39460000000003</v>
      </c>
      <c r="F20" t="s">
        <v>213</v>
      </c>
      <c r="G20" s="59">
        <v>0.1</v>
      </c>
      <c r="H20" s="311">
        <f>G20*$H$17</f>
        <v>8.3000000000000007</v>
      </c>
      <c r="I20" t="s">
        <v>218</v>
      </c>
      <c r="J20" s="59">
        <v>0.2</v>
      </c>
      <c r="K20">
        <f t="shared" si="2"/>
        <v>53.400000000000006</v>
      </c>
    </row>
    <row r="21" spans="1:12" x14ac:dyDescent="0.35">
      <c r="F21" t="s">
        <v>211</v>
      </c>
      <c r="G21" s="59">
        <v>7.0000000000000007E-2</v>
      </c>
      <c r="H21" s="311">
        <f>G21*$H$17</f>
        <v>5.8100000000000005</v>
      </c>
      <c r="I21" t="s">
        <v>261</v>
      </c>
      <c r="J21" s="59">
        <v>0.2</v>
      </c>
      <c r="K21">
        <f t="shared" si="2"/>
        <v>53.400000000000006</v>
      </c>
    </row>
    <row r="22" spans="1:12" x14ac:dyDescent="0.35">
      <c r="F22" t="s">
        <v>216</v>
      </c>
      <c r="G22" s="59">
        <v>0.03</v>
      </c>
      <c r="H22" s="311">
        <f>G22*$H$17</f>
        <v>2.4899999999999998</v>
      </c>
      <c r="I22" s="102" t="s">
        <v>220</v>
      </c>
      <c r="J22" s="59">
        <v>0.1</v>
      </c>
      <c r="K22">
        <f t="shared" si="2"/>
        <v>26.700000000000003</v>
      </c>
    </row>
    <row r="23" spans="1:12" x14ac:dyDescent="0.35">
      <c r="H23" s="311"/>
      <c r="I23" t="s">
        <v>413</v>
      </c>
      <c r="J23" s="59">
        <v>0.1</v>
      </c>
      <c r="K23">
        <f>J23*K$17</f>
        <v>26.700000000000003</v>
      </c>
    </row>
    <row r="24" spans="1:12" s="43" customFormat="1" x14ac:dyDescent="0.35">
      <c r="A24" s="43" t="s">
        <v>247</v>
      </c>
      <c r="B24" s="43">
        <f>E24+H24+K24</f>
        <v>900</v>
      </c>
      <c r="C24" s="43">
        <f>E24/B24</f>
        <v>0.66666666666666663</v>
      </c>
      <c r="E24" s="43">
        <v>600</v>
      </c>
      <c r="F24" s="43">
        <f>H24/B24</f>
        <v>0.1111111111111111</v>
      </c>
      <c r="G24" s="43">
        <f>SUM(G25:G29)</f>
        <v>1</v>
      </c>
      <c r="H24" s="43">
        <v>100</v>
      </c>
      <c r="I24" s="43">
        <f>K24/B24</f>
        <v>0.22222222222222221</v>
      </c>
      <c r="J24" s="43">
        <f>SUM(J25:J30)</f>
        <v>1</v>
      </c>
      <c r="K24" s="43">
        <v>200</v>
      </c>
    </row>
    <row r="25" spans="1:12" x14ac:dyDescent="0.35">
      <c r="F25" t="s">
        <v>257</v>
      </c>
      <c r="G25" s="59">
        <v>0.55000000000000004</v>
      </c>
      <c r="H25" s="311">
        <f>G25*$H$24</f>
        <v>55.000000000000007</v>
      </c>
      <c r="I25" t="s">
        <v>259</v>
      </c>
      <c r="J25" s="59">
        <v>0.4</v>
      </c>
      <c r="K25">
        <f t="shared" ref="K25:K30" si="3">J25*$K$24</f>
        <v>80</v>
      </c>
    </row>
    <row r="26" spans="1:12" x14ac:dyDescent="0.35">
      <c r="F26" t="s">
        <v>258</v>
      </c>
      <c r="G26" s="59">
        <v>0.25</v>
      </c>
      <c r="H26" s="311">
        <f>G26*$H$24</f>
        <v>25</v>
      </c>
      <c r="I26" t="s">
        <v>260</v>
      </c>
      <c r="J26" s="59">
        <v>0.2</v>
      </c>
      <c r="K26">
        <f t="shared" si="3"/>
        <v>40</v>
      </c>
    </row>
    <row r="27" spans="1:12" x14ac:dyDescent="0.35">
      <c r="F27" t="s">
        <v>213</v>
      </c>
      <c r="G27" s="59">
        <v>0.1</v>
      </c>
      <c r="H27" s="311">
        <f>G27*$H$24</f>
        <v>10</v>
      </c>
      <c r="I27" t="s">
        <v>218</v>
      </c>
      <c r="J27" s="59">
        <v>0.2</v>
      </c>
      <c r="K27">
        <f t="shared" si="3"/>
        <v>40</v>
      </c>
    </row>
    <row r="28" spans="1:12" x14ac:dyDescent="0.35">
      <c r="F28" t="s">
        <v>211</v>
      </c>
      <c r="G28" s="59">
        <v>7.0000000000000007E-2</v>
      </c>
      <c r="H28" s="311">
        <f>G28*$H$24</f>
        <v>7.0000000000000009</v>
      </c>
      <c r="I28" t="s">
        <v>261</v>
      </c>
      <c r="J28" s="59">
        <v>0.15</v>
      </c>
      <c r="K28">
        <f t="shared" si="3"/>
        <v>30</v>
      </c>
    </row>
    <row r="29" spans="1:12" x14ac:dyDescent="0.35">
      <c r="F29" t="s">
        <v>216</v>
      </c>
      <c r="G29" s="59">
        <v>0.03</v>
      </c>
      <c r="H29" s="311">
        <f>G29*$H$24</f>
        <v>3</v>
      </c>
      <c r="I29" s="102" t="s">
        <v>220</v>
      </c>
      <c r="J29" s="59">
        <v>0.05</v>
      </c>
      <c r="K29">
        <f t="shared" si="3"/>
        <v>10</v>
      </c>
    </row>
    <row r="30" spans="1:12" x14ac:dyDescent="0.35">
      <c r="H30" s="311"/>
      <c r="I30" t="s">
        <v>413</v>
      </c>
      <c r="J30" s="59">
        <v>0</v>
      </c>
      <c r="K30">
        <f t="shared" si="3"/>
        <v>0</v>
      </c>
    </row>
    <row r="31" spans="1:12" s="43" customFormat="1" x14ac:dyDescent="0.35">
      <c r="A31" s="43" t="s">
        <v>246</v>
      </c>
      <c r="B31" s="43">
        <f>E31+H31+K31</f>
        <v>1203</v>
      </c>
      <c r="C31" s="43">
        <f>E31/B31</f>
        <v>0.75062344139650872</v>
      </c>
      <c r="E31" s="43">
        <v>903</v>
      </c>
      <c r="F31" s="43">
        <f>H31/$B$31</f>
        <v>8.3125519534497094E-2</v>
      </c>
      <c r="G31" s="43">
        <f>SUM(G32:G36)</f>
        <v>1</v>
      </c>
      <c r="H31" s="43">
        <v>100</v>
      </c>
      <c r="I31" s="43">
        <f>K31/$B$31</f>
        <v>0.16625103906899419</v>
      </c>
      <c r="J31" s="43">
        <f>SUM(J32:J37)</f>
        <v>1</v>
      </c>
      <c r="K31" s="43">
        <v>200</v>
      </c>
    </row>
    <row r="32" spans="1:12" x14ac:dyDescent="0.35">
      <c r="F32" t="s">
        <v>257</v>
      </c>
      <c r="G32" s="59">
        <v>0.57999999999999996</v>
      </c>
      <c r="H32" s="311">
        <f>G32*$H$31</f>
        <v>57.999999999999993</v>
      </c>
      <c r="I32" t="s">
        <v>259</v>
      </c>
      <c r="J32" s="59">
        <v>0.35</v>
      </c>
      <c r="K32">
        <f t="shared" ref="K32:K37" si="4">J32*$K$31</f>
        <v>70</v>
      </c>
    </row>
    <row r="33" spans="1:11" x14ac:dyDescent="0.35">
      <c r="F33" t="s">
        <v>258</v>
      </c>
      <c r="G33" s="59">
        <v>0.25</v>
      </c>
      <c r="H33" s="311">
        <f>G33*$H$31</f>
        <v>25</v>
      </c>
      <c r="I33" t="s">
        <v>260</v>
      </c>
      <c r="J33" s="59">
        <v>0.15</v>
      </c>
      <c r="K33">
        <f t="shared" si="4"/>
        <v>30</v>
      </c>
    </row>
    <row r="34" spans="1:11" x14ac:dyDescent="0.35">
      <c r="F34" t="s">
        <v>213</v>
      </c>
      <c r="G34" s="59">
        <v>0.08</v>
      </c>
      <c r="H34" s="311">
        <f>G34*$H$31</f>
        <v>8</v>
      </c>
      <c r="I34" t="s">
        <v>218</v>
      </c>
      <c r="J34" s="59">
        <v>0.18</v>
      </c>
      <c r="K34">
        <f t="shared" si="4"/>
        <v>36</v>
      </c>
    </row>
    <row r="35" spans="1:11" x14ac:dyDescent="0.35">
      <c r="F35" t="s">
        <v>211</v>
      </c>
      <c r="G35" s="59">
        <v>0.06</v>
      </c>
      <c r="H35" s="311">
        <f>G35*$H$31</f>
        <v>6</v>
      </c>
      <c r="I35" t="s">
        <v>261</v>
      </c>
      <c r="J35" s="59">
        <v>0.15</v>
      </c>
      <c r="K35">
        <f t="shared" si="4"/>
        <v>30</v>
      </c>
    </row>
    <row r="36" spans="1:11" x14ac:dyDescent="0.35">
      <c r="F36" t="s">
        <v>216</v>
      </c>
      <c r="G36" s="59">
        <v>0.03</v>
      </c>
      <c r="H36" s="311">
        <f>G36*$H$31</f>
        <v>3</v>
      </c>
      <c r="I36" s="102" t="s">
        <v>220</v>
      </c>
      <c r="J36" s="59">
        <v>0.17</v>
      </c>
      <c r="K36">
        <f t="shared" si="4"/>
        <v>34</v>
      </c>
    </row>
    <row r="37" spans="1:11" x14ac:dyDescent="0.35">
      <c r="H37" s="311"/>
      <c r="I37" t="s">
        <v>413</v>
      </c>
      <c r="J37" s="59">
        <v>0</v>
      </c>
      <c r="K37">
        <f t="shared" si="4"/>
        <v>0</v>
      </c>
    </row>
    <row r="38" spans="1:11" s="43" customFormat="1" x14ac:dyDescent="0.35">
      <c r="A38" s="43" t="s">
        <v>264</v>
      </c>
      <c r="B38" s="43">
        <f>E38+H38+K38</f>
        <v>2016</v>
      </c>
      <c r="C38" s="43">
        <f>E38/$B$38</f>
        <v>0.66567460317460314</v>
      </c>
      <c r="E38" s="43">
        <v>1342</v>
      </c>
      <c r="F38" s="43">
        <f>H38/$B$38</f>
        <v>0.13343253968253968</v>
      </c>
      <c r="G38" s="43">
        <f>SUM(G39:G43)</f>
        <v>1</v>
      </c>
      <c r="H38" s="43">
        <v>269</v>
      </c>
      <c r="I38" s="43">
        <f>K38/$B$38</f>
        <v>0.20089285714285715</v>
      </c>
      <c r="J38" s="43">
        <f>SUM(J39:J44)</f>
        <v>1</v>
      </c>
      <c r="K38" s="43">
        <v>405</v>
      </c>
    </row>
    <row r="39" spans="1:11" x14ac:dyDescent="0.35">
      <c r="B39" s="303" t="s">
        <v>251</v>
      </c>
      <c r="C39" t="s">
        <v>233</v>
      </c>
      <c r="D39" s="59"/>
      <c r="F39" t="s">
        <v>257</v>
      </c>
      <c r="G39" s="59">
        <v>0.6</v>
      </c>
      <c r="H39" s="311">
        <f>G39*$H$38</f>
        <v>161.4</v>
      </c>
      <c r="I39" t="s">
        <v>259</v>
      </c>
      <c r="J39">
        <v>0.15</v>
      </c>
      <c r="K39">
        <f>J39*K$38</f>
        <v>60.75</v>
      </c>
    </row>
    <row r="40" spans="1:11" x14ac:dyDescent="0.35">
      <c r="B40" s="303" t="s">
        <v>254</v>
      </c>
      <c r="C40" t="s">
        <v>253</v>
      </c>
      <c r="D40" s="59"/>
      <c r="F40" t="s">
        <v>258</v>
      </c>
      <c r="G40" s="59">
        <v>0.25</v>
      </c>
      <c r="H40" s="311">
        <f>G40*$H$38</f>
        <v>67.25</v>
      </c>
      <c r="I40" t="s">
        <v>260</v>
      </c>
      <c r="J40">
        <v>0.4</v>
      </c>
      <c r="K40">
        <f t="shared" ref="K40:K44" si="5">J40*K$38</f>
        <v>162</v>
      </c>
    </row>
    <row r="41" spans="1:11" x14ac:dyDescent="0.35">
      <c r="B41" s="303"/>
      <c r="C41" s="59"/>
      <c r="D41" s="59"/>
      <c r="F41" t="s">
        <v>213</v>
      </c>
      <c r="G41" s="59">
        <v>7.0000000000000007E-2</v>
      </c>
      <c r="H41" s="311">
        <f>G41*$H$38</f>
        <v>18.830000000000002</v>
      </c>
      <c r="I41" t="s">
        <v>218</v>
      </c>
      <c r="J41">
        <v>0.2</v>
      </c>
      <c r="K41">
        <f t="shared" si="5"/>
        <v>81</v>
      </c>
    </row>
    <row r="42" spans="1:11" x14ac:dyDescent="0.35">
      <c r="B42" s="303"/>
      <c r="C42" s="59"/>
      <c r="D42" s="59"/>
      <c r="F42" t="s">
        <v>211</v>
      </c>
      <c r="G42" s="59">
        <v>0.05</v>
      </c>
      <c r="H42" s="311">
        <f>G42*$H$38</f>
        <v>13.450000000000001</v>
      </c>
      <c r="I42" t="s">
        <v>261</v>
      </c>
      <c r="J42">
        <v>0.15</v>
      </c>
      <c r="K42">
        <f t="shared" si="5"/>
        <v>60.75</v>
      </c>
    </row>
    <row r="43" spans="1:11" x14ac:dyDescent="0.35">
      <c r="B43" s="303"/>
      <c r="C43" s="59"/>
      <c r="D43" s="59"/>
      <c r="F43" t="s">
        <v>216</v>
      </c>
      <c r="G43" s="59">
        <v>0.03</v>
      </c>
      <c r="H43" s="311">
        <f>G43*$H$38</f>
        <v>8.07</v>
      </c>
      <c r="I43" s="102" t="s">
        <v>220</v>
      </c>
      <c r="J43">
        <v>0.1</v>
      </c>
      <c r="K43">
        <f t="shared" si="5"/>
        <v>40.5</v>
      </c>
    </row>
    <row r="44" spans="1:11" x14ac:dyDescent="0.35">
      <c r="B44" s="303"/>
      <c r="C44" s="59"/>
      <c r="D44" s="59"/>
      <c r="F44" s="59"/>
      <c r="H44" s="311"/>
      <c r="I44" t="s">
        <v>413</v>
      </c>
      <c r="J44">
        <v>0</v>
      </c>
      <c r="K44">
        <f t="shared" si="5"/>
        <v>0</v>
      </c>
    </row>
    <row r="45" spans="1:11" s="43" customFormat="1" ht="18" customHeight="1" x14ac:dyDescent="0.35">
      <c r="A45" s="43" t="s">
        <v>410</v>
      </c>
      <c r="B45" s="43">
        <f>E45+H45+K45</f>
        <v>2903</v>
      </c>
      <c r="C45" s="43">
        <f>E45/$B$45</f>
        <v>0.67550809507406129</v>
      </c>
      <c r="E45" s="43">
        <v>1961</v>
      </c>
      <c r="F45" s="43">
        <f>H45/$B$45</f>
        <v>0.12952118498105408</v>
      </c>
      <c r="G45" s="43">
        <f>SUM(G46:G50)</f>
        <v>1</v>
      </c>
      <c r="H45" s="43">
        <v>376</v>
      </c>
      <c r="I45" s="43">
        <f>K45/$B$45</f>
        <v>0.1949707199448846</v>
      </c>
      <c r="J45" s="43">
        <f>SUM(J46:J51)</f>
        <v>1</v>
      </c>
      <c r="K45" s="43">
        <v>566</v>
      </c>
    </row>
    <row r="46" spans="1:11" s="151" customFormat="1" ht="13.5" customHeight="1" x14ac:dyDescent="0.35">
      <c r="A46"/>
      <c r="B46" t="s">
        <v>251</v>
      </c>
      <c r="C46" t="s">
        <v>233</v>
      </c>
      <c r="D46" s="59"/>
      <c r="E46"/>
      <c r="F46" t="s">
        <v>257</v>
      </c>
      <c r="G46" s="59">
        <v>0.6</v>
      </c>
      <c r="H46" s="311">
        <f>G46*$H$45</f>
        <v>225.6</v>
      </c>
      <c r="I46" t="s">
        <v>259</v>
      </c>
      <c r="J46">
        <v>0.15</v>
      </c>
      <c r="K46">
        <f>J46*K$45</f>
        <v>84.899999999999991</v>
      </c>
    </row>
    <row r="47" spans="1:11" x14ac:dyDescent="0.35">
      <c r="B47" t="s">
        <v>254</v>
      </c>
      <c r="C47" t="s">
        <v>253</v>
      </c>
      <c r="D47" s="59"/>
      <c r="F47" t="s">
        <v>258</v>
      </c>
      <c r="G47" s="59">
        <v>0.25</v>
      </c>
      <c r="H47" s="311">
        <f>G47*$H$45</f>
        <v>94</v>
      </c>
      <c r="I47" t="s">
        <v>260</v>
      </c>
      <c r="J47">
        <v>0.4</v>
      </c>
      <c r="K47">
        <f t="shared" ref="K47:K51" si="6">J47*K$45</f>
        <v>226.4</v>
      </c>
    </row>
    <row r="48" spans="1:11" x14ac:dyDescent="0.35">
      <c r="C48" s="59"/>
      <c r="D48" s="59"/>
      <c r="F48" t="s">
        <v>213</v>
      </c>
      <c r="G48" s="59">
        <v>7.0000000000000007E-2</v>
      </c>
      <c r="H48" s="311">
        <f>G48*$H$45</f>
        <v>26.320000000000004</v>
      </c>
      <c r="I48" t="s">
        <v>218</v>
      </c>
      <c r="J48">
        <v>0.2</v>
      </c>
      <c r="K48">
        <f t="shared" si="6"/>
        <v>113.2</v>
      </c>
    </row>
    <row r="49" spans="1:11" x14ac:dyDescent="0.35">
      <c r="C49" s="59"/>
      <c r="D49" s="59"/>
      <c r="F49" t="s">
        <v>211</v>
      </c>
      <c r="G49" s="59">
        <v>0.05</v>
      </c>
      <c r="H49" s="311">
        <f>G49*$H$45</f>
        <v>18.8</v>
      </c>
      <c r="I49" t="s">
        <v>261</v>
      </c>
      <c r="J49">
        <v>0.15</v>
      </c>
      <c r="K49">
        <f t="shared" si="6"/>
        <v>84.899999999999991</v>
      </c>
    </row>
    <row r="50" spans="1:11" x14ac:dyDescent="0.35">
      <c r="C50" s="59"/>
      <c r="D50" s="59"/>
      <c r="F50" t="s">
        <v>216</v>
      </c>
      <c r="G50" s="59">
        <v>0.03</v>
      </c>
      <c r="H50" s="311">
        <f>G50*$H$45</f>
        <v>11.28</v>
      </c>
      <c r="I50" s="102" t="s">
        <v>220</v>
      </c>
      <c r="J50">
        <v>0.1</v>
      </c>
      <c r="K50">
        <f t="shared" si="6"/>
        <v>56.6</v>
      </c>
    </row>
    <row r="51" spans="1:11" x14ac:dyDescent="0.35">
      <c r="C51" s="59"/>
      <c r="D51" s="59"/>
      <c r="F51" s="59"/>
      <c r="H51" s="311"/>
      <c r="I51" t="s">
        <v>413</v>
      </c>
      <c r="J51">
        <v>0</v>
      </c>
      <c r="K51">
        <f t="shared" si="6"/>
        <v>0</v>
      </c>
    </row>
    <row r="52" spans="1:11" x14ac:dyDescent="0.35">
      <c r="A52" s="184" t="s">
        <v>234</v>
      </c>
      <c r="B52" s="177"/>
      <c r="C52" s="177"/>
      <c r="D52" s="177"/>
      <c r="E52" s="177"/>
      <c r="F52" s="177"/>
      <c r="G52" s="178"/>
      <c r="H52" s="178"/>
      <c r="I52" s="177"/>
      <c r="J52" s="178"/>
      <c r="K52" s="177"/>
    </row>
    <row r="53" spans="1:11" x14ac:dyDescent="0.35">
      <c r="A53" s="151" t="s">
        <v>255</v>
      </c>
      <c r="B53" s="151">
        <v>903.57</v>
      </c>
      <c r="C53" s="181">
        <v>0.7</v>
      </c>
      <c r="D53" s="151" t="s">
        <v>241</v>
      </c>
      <c r="E53" s="151">
        <f>C53*B53</f>
        <v>632.49900000000002</v>
      </c>
      <c r="F53" s="181">
        <v>0.1</v>
      </c>
      <c r="G53" s="180"/>
      <c r="H53" s="151">
        <f>F53*B53</f>
        <v>90.357000000000014</v>
      </c>
      <c r="I53" s="181">
        <v>0.2</v>
      </c>
      <c r="J53" s="180">
        <f>SUM(J54:J59)</f>
        <v>1</v>
      </c>
      <c r="K53" s="151">
        <f>I53*B53</f>
        <v>180.71400000000003</v>
      </c>
    </row>
    <row r="54" spans="1:11" x14ac:dyDescent="0.35">
      <c r="C54" t="s">
        <v>235</v>
      </c>
      <c r="D54" s="34">
        <v>0.17</v>
      </c>
      <c r="F54" t="s">
        <v>257</v>
      </c>
      <c r="G54" s="59">
        <v>0.5</v>
      </c>
      <c r="H54" s="311">
        <f>G54*$H$53</f>
        <v>45.178500000000007</v>
      </c>
      <c r="I54" t="s">
        <v>259</v>
      </c>
      <c r="J54" s="59">
        <v>0.15</v>
      </c>
      <c r="K54">
        <f>J54*K$53</f>
        <v>27.107100000000003</v>
      </c>
    </row>
    <row r="55" spans="1:11" x14ac:dyDescent="0.35">
      <c r="C55" t="s">
        <v>411</v>
      </c>
      <c r="D55" s="34">
        <v>0.43</v>
      </c>
      <c r="F55" t="s">
        <v>258</v>
      </c>
      <c r="G55" s="59">
        <v>0.25</v>
      </c>
      <c r="H55" s="311">
        <f>G55*$H$53</f>
        <v>22.589250000000003</v>
      </c>
      <c r="I55" t="s">
        <v>260</v>
      </c>
      <c r="J55" s="59">
        <v>0.4</v>
      </c>
      <c r="K55">
        <f t="shared" ref="K55:K59" si="7">J55*K$53</f>
        <v>72.285600000000017</v>
      </c>
    </row>
    <row r="56" spans="1:11" x14ac:dyDescent="0.35">
      <c r="C56" t="s">
        <v>237</v>
      </c>
      <c r="D56" s="34">
        <v>0.09</v>
      </c>
      <c r="F56" t="s">
        <v>213</v>
      </c>
      <c r="G56" s="59">
        <v>0.15</v>
      </c>
      <c r="H56" s="311">
        <f>G56*$H$53</f>
        <v>13.553550000000001</v>
      </c>
      <c r="I56" t="s">
        <v>218</v>
      </c>
      <c r="J56" s="59">
        <v>0.2</v>
      </c>
      <c r="K56">
        <f t="shared" si="7"/>
        <v>36.142800000000008</v>
      </c>
    </row>
    <row r="57" spans="1:11" x14ac:dyDescent="0.35">
      <c r="C57" t="s">
        <v>412</v>
      </c>
      <c r="D57" s="34">
        <v>0.03</v>
      </c>
      <c r="F57" t="s">
        <v>211</v>
      </c>
      <c r="G57" s="59">
        <v>7.0000000000000007E-2</v>
      </c>
      <c r="H57" s="311">
        <f>G57*$H$53</f>
        <v>6.3249900000000014</v>
      </c>
      <c r="I57" t="s">
        <v>261</v>
      </c>
      <c r="J57" s="59">
        <v>0.15</v>
      </c>
      <c r="K57">
        <f t="shared" si="7"/>
        <v>27.107100000000003</v>
      </c>
    </row>
    <row r="58" spans="1:11" x14ac:dyDescent="0.35">
      <c r="C58" t="s">
        <v>239</v>
      </c>
      <c r="D58" s="34">
        <v>0.02</v>
      </c>
      <c r="F58" t="s">
        <v>216</v>
      </c>
      <c r="G58" s="59">
        <v>0.03</v>
      </c>
      <c r="H58" s="311">
        <f>G58*$H$53</f>
        <v>2.7107100000000002</v>
      </c>
      <c r="I58" s="102" t="s">
        <v>220</v>
      </c>
      <c r="J58" s="59">
        <v>0.1</v>
      </c>
      <c r="K58">
        <f t="shared" si="7"/>
        <v>18.071400000000004</v>
      </c>
    </row>
    <row r="59" spans="1:11" x14ac:dyDescent="0.35">
      <c r="C59" t="s">
        <v>240</v>
      </c>
      <c r="D59" s="34">
        <v>0.26</v>
      </c>
      <c r="H59" s="311"/>
      <c r="I59" t="s">
        <v>413</v>
      </c>
      <c r="J59" s="59">
        <v>0</v>
      </c>
      <c r="K59">
        <f t="shared" si="7"/>
        <v>0</v>
      </c>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0602-84BD-43E1-9376-855F3B13489B}">
  <sheetPr>
    <tabColor theme="9"/>
  </sheetPr>
  <dimension ref="A1:S290"/>
  <sheetViews>
    <sheetView zoomScale="85" zoomScaleNormal="85" workbookViewId="0">
      <pane ySplit="1" topLeftCell="A102" activePane="bottomLeft" state="frozen"/>
      <selection pane="bottomLeft" activeCell="C46" sqref="C46"/>
    </sheetView>
  </sheetViews>
  <sheetFormatPr baseColWidth="10" defaultRowHeight="14.5" x14ac:dyDescent="0.35"/>
  <cols>
    <col min="1" max="1" width="31.26953125" customWidth="1"/>
    <col min="2" max="2" width="21" customWidth="1"/>
    <col min="3" max="3" width="27.453125" customWidth="1"/>
    <col min="6" max="6" width="15.26953125" customWidth="1"/>
    <col min="7" max="7" width="15.54296875" customWidth="1"/>
    <col min="8" max="8" width="22.7265625" customWidth="1"/>
    <col min="9" max="11" width="13.90625" style="103" customWidth="1"/>
    <col min="12" max="12" width="18.26953125" style="91" customWidth="1"/>
    <col min="13" max="14" width="17.54296875" style="103" customWidth="1"/>
    <col min="15" max="15" width="17.1796875" style="91" customWidth="1"/>
    <col min="16" max="16" width="17.6328125" style="103" customWidth="1"/>
    <col min="17" max="17" width="14.36328125" style="91" bestFit="1" customWidth="1"/>
    <col min="18" max="18" width="15.7265625" bestFit="1" customWidth="1"/>
    <col min="19" max="19" width="20.90625" customWidth="1"/>
  </cols>
  <sheetData>
    <row r="1" spans="1:19" s="47" customFormat="1" ht="27.5" customHeight="1" x14ac:dyDescent="0.55000000000000004">
      <c r="A1" s="312">
        <v>2023</v>
      </c>
      <c r="B1" s="47" t="s">
        <v>363</v>
      </c>
      <c r="C1" s="47" t="s">
        <v>364</v>
      </c>
      <c r="D1" s="47" t="s">
        <v>158</v>
      </c>
      <c r="E1" s="47" t="s">
        <v>204</v>
      </c>
      <c r="F1" s="47" t="s">
        <v>157</v>
      </c>
      <c r="G1" s="47" t="s">
        <v>205</v>
      </c>
      <c r="H1" s="47" t="s">
        <v>174</v>
      </c>
      <c r="I1" s="47" t="s">
        <v>169</v>
      </c>
      <c r="J1" s="47" t="s">
        <v>40</v>
      </c>
      <c r="K1" s="47" t="s">
        <v>192</v>
      </c>
      <c r="L1" s="47" t="s">
        <v>207</v>
      </c>
      <c r="M1" s="47" t="s">
        <v>170</v>
      </c>
      <c r="N1" s="47" t="s">
        <v>215</v>
      </c>
      <c r="O1" s="47" t="s">
        <v>208</v>
      </c>
      <c r="P1" s="47" t="s">
        <v>171</v>
      </c>
      <c r="R1" s="47" t="s">
        <v>209</v>
      </c>
      <c r="S1" s="47" t="s">
        <v>221</v>
      </c>
    </row>
    <row r="2" spans="1:19" s="163" customFormat="1" ht="27.5" customHeight="1" x14ac:dyDescent="0.35">
      <c r="A2" s="162" t="s">
        <v>77</v>
      </c>
      <c r="B2" s="162"/>
      <c r="C2" s="162"/>
    </row>
    <row r="3" spans="1:19" s="78" customFormat="1" x14ac:dyDescent="0.35">
      <c r="A3" s="78" t="s">
        <v>156</v>
      </c>
      <c r="C3" s="140">
        <f>SUM(C4:C18)</f>
        <v>2138609825.5528255</v>
      </c>
      <c r="D3" s="139">
        <f>D4+D11+D18</f>
        <v>1.2999999999999998</v>
      </c>
      <c r="F3" s="140">
        <f>SUM(F4:F18)</f>
        <v>1443203.3906633905</v>
      </c>
      <c r="G3" s="140"/>
      <c r="H3" s="140">
        <f>SUM(H4:H18)</f>
        <v>1894285039.0255764</v>
      </c>
      <c r="I3" s="33"/>
      <c r="J3" s="33"/>
      <c r="K3" s="33"/>
      <c r="L3" s="161">
        <f>L4+L11+L18</f>
        <v>1427766541.3474436</v>
      </c>
      <c r="M3" s="33"/>
      <c r="N3" s="33"/>
      <c r="O3" s="161">
        <f>O4+O11+O18</f>
        <v>159004125.06142506</v>
      </c>
      <c r="P3" s="33"/>
      <c r="Q3" s="141"/>
      <c r="R3" s="161">
        <f>R4+R11+R18</f>
        <v>307514372.61670762</v>
      </c>
      <c r="S3" s="2">
        <f>L3+R3</f>
        <v>1735280913.9641511</v>
      </c>
    </row>
    <row r="4" spans="1:19" s="114" customFormat="1" x14ac:dyDescent="0.35">
      <c r="A4" s="114" t="s">
        <v>153</v>
      </c>
      <c r="B4" s="114">
        <v>1450</v>
      </c>
      <c r="C4" s="114">
        <f>B4*F4</f>
        <v>1870481189.1891892</v>
      </c>
      <c r="D4" s="114">
        <v>1.1399999999999999</v>
      </c>
      <c r="E4" s="114">
        <f>'[1]Conversion factors selected IV '!$O$4</f>
        <v>1.1315675675675676</v>
      </c>
      <c r="F4" s="114">
        <f>D4*E4*1000000</f>
        <v>1289987.027027027</v>
      </c>
      <c r="G4" s="114">
        <f>'LCoP 2030 MEDIUM'!E2</f>
        <v>1283.25</v>
      </c>
      <c r="H4" s="114">
        <f>F4*G4</f>
        <v>1655375852.4324324</v>
      </c>
      <c r="I4" s="114">
        <f>'LCoP 2030 MEDIUM'!H2</f>
        <v>0.77927138125852324</v>
      </c>
      <c r="L4" s="114">
        <f>I4*H4</f>
        <v>1289987027.0270269</v>
      </c>
      <c r="M4" s="114">
        <f>'LCoP 2030 MEDIUM'!F2</f>
        <v>6.4679524644457434E-2</v>
      </c>
      <c r="O4" s="114">
        <f>M4*H4</f>
        <v>107068923.24324325</v>
      </c>
      <c r="P4" s="114">
        <f>'LCoP 2030 MEDIUM'!G2</f>
        <v>0.15604909409701928</v>
      </c>
      <c r="R4" s="114">
        <f>P4*H4</f>
        <v>258319902.16216215</v>
      </c>
      <c r="S4" s="114">
        <f>L4+O4+R4</f>
        <v>1655375852.4324322</v>
      </c>
    </row>
    <row r="5" spans="1:19" s="18" customFormat="1" x14ac:dyDescent="0.35">
      <c r="D5" s="111"/>
      <c r="F5" s="102"/>
      <c r="G5" s="102"/>
      <c r="H5" s="191" t="s">
        <v>252</v>
      </c>
      <c r="I5" s="102" t="s">
        <v>265</v>
      </c>
      <c r="J5" s="150" t="s">
        <v>178</v>
      </c>
      <c r="K5" s="102">
        <v>850</v>
      </c>
      <c r="L5" s="102">
        <f>K5*F4</f>
        <v>1096488972.9729729</v>
      </c>
      <c r="M5" s="5" t="s">
        <v>211</v>
      </c>
      <c r="N5" s="118">
        <v>0.05</v>
      </c>
      <c r="O5" s="117">
        <f>N5*O$4</f>
        <v>5353446.1621621624</v>
      </c>
      <c r="P5" s="102" t="s">
        <v>217</v>
      </c>
      <c r="Q5" s="118">
        <v>0.35</v>
      </c>
      <c r="R5" s="102">
        <f>Q5*R$4</f>
        <v>90411965.756756753</v>
      </c>
    </row>
    <row r="6" spans="1:19" s="18" customFormat="1" x14ac:dyDescent="0.35">
      <c r="D6" s="111"/>
      <c r="F6" s="102"/>
      <c r="G6" s="102"/>
      <c r="H6" s="102"/>
      <c r="I6" s="102"/>
      <c r="J6" s="107"/>
      <c r="K6" s="102"/>
      <c r="L6" s="102"/>
      <c r="M6" t="s">
        <v>212</v>
      </c>
      <c r="N6" s="118">
        <v>0.02</v>
      </c>
      <c r="O6" s="117">
        <f t="shared" ref="O6:O10" si="0">N6*O$4</f>
        <v>2141378.4648648649</v>
      </c>
      <c r="P6" s="102" t="s">
        <v>177</v>
      </c>
      <c r="Q6" s="118">
        <v>0.25</v>
      </c>
      <c r="R6" s="102">
        <f>Q6*R$4</f>
        <v>64579975.540540539</v>
      </c>
    </row>
    <row r="7" spans="1:19" s="18" customFormat="1" x14ac:dyDescent="0.35">
      <c r="D7" s="111"/>
      <c r="F7" s="102"/>
      <c r="G7" s="102"/>
      <c r="H7" s="102"/>
      <c r="I7" s="102"/>
      <c r="J7" s="107"/>
      <c r="K7" s="102"/>
      <c r="L7" s="102"/>
      <c r="M7" s="5" t="s">
        <v>210</v>
      </c>
      <c r="N7" s="118">
        <v>0.45</v>
      </c>
      <c r="O7" s="117">
        <f t="shared" si="0"/>
        <v>48181015.459459461</v>
      </c>
      <c r="P7" s="102" t="s">
        <v>218</v>
      </c>
      <c r="Q7" s="118">
        <v>0.2</v>
      </c>
      <c r="R7" s="102">
        <f t="shared" ref="R7:R9" si="1">Q7*R$4</f>
        <v>51663980.432432435</v>
      </c>
    </row>
    <row r="8" spans="1:19" s="18" customFormat="1" x14ac:dyDescent="0.35">
      <c r="D8" s="111"/>
      <c r="F8" s="102"/>
      <c r="G8" s="102"/>
      <c r="H8" s="102"/>
      <c r="I8" s="102"/>
      <c r="J8" s="107"/>
      <c r="K8" s="102"/>
      <c r="L8" s="102"/>
      <c r="M8" t="s">
        <v>213</v>
      </c>
      <c r="N8" s="118">
        <v>0.15</v>
      </c>
      <c r="O8" s="117">
        <f t="shared" si="0"/>
        <v>16060338.486486487</v>
      </c>
      <c r="P8" s="102" t="s">
        <v>219</v>
      </c>
      <c r="Q8" s="118">
        <v>0.15</v>
      </c>
      <c r="R8" s="102">
        <f t="shared" si="1"/>
        <v>38747985.324324325</v>
      </c>
    </row>
    <row r="9" spans="1:19" s="18" customFormat="1" x14ac:dyDescent="0.35">
      <c r="D9" s="111"/>
      <c r="F9" s="102"/>
      <c r="G9" s="102"/>
      <c r="H9" s="102"/>
      <c r="I9" s="102"/>
      <c r="J9" s="107"/>
      <c r="K9" s="102"/>
      <c r="L9" s="102"/>
      <c r="M9" t="s">
        <v>214</v>
      </c>
      <c r="N9" s="118">
        <v>0.3</v>
      </c>
      <c r="O9" s="117">
        <f t="shared" si="0"/>
        <v>32120676.972972974</v>
      </c>
      <c r="P9" s="102" t="s">
        <v>220</v>
      </c>
      <c r="Q9" s="118">
        <v>0.05</v>
      </c>
      <c r="R9" s="102">
        <f t="shared" si="1"/>
        <v>12915995.108108109</v>
      </c>
    </row>
    <row r="10" spans="1:19" s="18" customFormat="1" x14ac:dyDescent="0.35">
      <c r="D10" s="111"/>
      <c r="F10" s="102"/>
      <c r="G10" s="102"/>
      <c r="H10" s="102"/>
      <c r="I10" s="102"/>
      <c r="J10" s="107"/>
      <c r="K10" s="102"/>
      <c r="L10" s="102"/>
      <c r="M10" t="s">
        <v>216</v>
      </c>
      <c r="N10" s="118">
        <v>0.03</v>
      </c>
      <c r="O10" s="117">
        <f t="shared" si="0"/>
        <v>3212067.6972972974</v>
      </c>
      <c r="P10" s="102"/>
      <c r="Q10" s="102">
        <f>SUM(Q5:Q9)</f>
        <v>1</v>
      </c>
      <c r="R10" s="102">
        <f>SUM(R5:R9)</f>
        <v>258319902.16216218</v>
      </c>
    </row>
    <row r="11" spans="1:19" s="114" customFormat="1" x14ac:dyDescent="0.35">
      <c r="A11" s="114" t="s">
        <v>154</v>
      </c>
      <c r="B11" s="114">
        <v>1750</v>
      </c>
      <c r="C11" s="114">
        <f>B11*F11</f>
        <v>233128636.36363637</v>
      </c>
      <c r="D11" s="114">
        <v>0.14000000000000001</v>
      </c>
      <c r="E11" s="114">
        <f>'[1]Conversion factors selected IV '!$O$7</f>
        <v>0.95154545454545458</v>
      </c>
      <c r="F11" s="114">
        <f t="shared" ref="F11:F18" si="2">D11*E11*1000000</f>
        <v>133216.36363636365</v>
      </c>
      <c r="G11" s="114">
        <f>'LCoP 2030 MEDIUM'!E23</f>
        <v>1572.75</v>
      </c>
      <c r="H11" s="114">
        <f>F11*G11</f>
        <v>209516035.90909094</v>
      </c>
      <c r="I11" s="114">
        <f>'LCoP 2030 MEDIUM'!H23</f>
        <v>0.63582896200921957</v>
      </c>
      <c r="L11" s="114">
        <f>I11*H11</f>
        <v>133216363.63636367</v>
      </c>
      <c r="M11" s="114">
        <f>'LCoP 2030 MEDIUM'!F23</f>
        <v>0.17103799078048004</v>
      </c>
      <c r="N11" s="114">
        <f>SUM(N12:N17)</f>
        <v>1</v>
      </c>
      <c r="O11" s="114">
        <f>M11*H11</f>
        <v>35835201.81818182</v>
      </c>
      <c r="P11" s="114">
        <f>'LCoP 2030 MEDIUM'!G23</f>
        <v>0.19313304721030042</v>
      </c>
      <c r="R11" s="114">
        <f>P11*H11</f>
        <v>40464470.454545461</v>
      </c>
      <c r="S11" s="114">
        <f>L11+O11+R11</f>
        <v>209516035.90909097</v>
      </c>
    </row>
    <row r="12" spans="1:19" s="18" customFormat="1" x14ac:dyDescent="0.35">
      <c r="D12" s="116"/>
      <c r="F12" s="102"/>
      <c r="G12" s="102"/>
      <c r="H12" s="191" t="s">
        <v>252</v>
      </c>
      <c r="I12" s="102" t="s">
        <v>265</v>
      </c>
      <c r="J12" s="150" t="s">
        <v>178</v>
      </c>
      <c r="K12" s="89">
        <v>850</v>
      </c>
      <c r="L12" s="102">
        <f>K12*F11</f>
        <v>113233909.09090909</v>
      </c>
      <c r="M12" s="5" t="s">
        <v>211</v>
      </c>
      <c r="N12" s="118">
        <v>0.05</v>
      </c>
      <c r="O12" s="117">
        <f>N12*O$11</f>
        <v>1791760.0909090911</v>
      </c>
      <c r="P12" s="102" t="s">
        <v>217</v>
      </c>
      <c r="Q12" s="118">
        <v>0.35</v>
      </c>
      <c r="R12" s="102">
        <f>Q12*R$11</f>
        <v>14162564.65909091</v>
      </c>
    </row>
    <row r="13" spans="1:19" s="18" customFormat="1" x14ac:dyDescent="0.35">
      <c r="D13" s="116"/>
      <c r="F13" s="102"/>
      <c r="G13" s="102"/>
      <c r="H13" s="117"/>
      <c r="I13" s="50"/>
      <c r="J13" s="50"/>
      <c r="K13" s="89"/>
      <c r="L13" s="188"/>
      <c r="M13" t="s">
        <v>212</v>
      </c>
      <c r="N13" s="118">
        <v>0.02</v>
      </c>
      <c r="O13" s="117">
        <f t="shared" ref="O13:O17" si="3">N13*O$11</f>
        <v>716704.03636363638</v>
      </c>
      <c r="P13" s="102" t="s">
        <v>177</v>
      </c>
      <c r="Q13" s="118">
        <v>0.25</v>
      </c>
      <c r="R13" s="102">
        <f t="shared" ref="R13:R16" si="4">Q13*R$11</f>
        <v>10116117.613636365</v>
      </c>
    </row>
    <row r="14" spans="1:19" s="18" customFormat="1" x14ac:dyDescent="0.35">
      <c r="D14" s="116"/>
      <c r="F14" s="102"/>
      <c r="G14" s="102"/>
      <c r="H14" s="117"/>
      <c r="I14"/>
      <c r="J14"/>
      <c r="K14" s="142"/>
      <c r="L14" s="119"/>
      <c r="M14" s="5" t="s">
        <v>210</v>
      </c>
      <c r="N14" s="118">
        <v>0.45</v>
      </c>
      <c r="O14" s="117">
        <f t="shared" si="3"/>
        <v>16125840.81818182</v>
      </c>
      <c r="P14" s="102" t="s">
        <v>218</v>
      </c>
      <c r="Q14" s="118">
        <v>0.2</v>
      </c>
      <c r="R14" s="102">
        <f t="shared" si="4"/>
        <v>8092894.0909090927</v>
      </c>
    </row>
    <row r="15" spans="1:19" s="18" customFormat="1" x14ac:dyDescent="0.35">
      <c r="D15" s="116"/>
      <c r="F15" s="102"/>
      <c r="G15" s="102"/>
      <c r="H15" s="117"/>
      <c r="I15"/>
      <c r="J15"/>
      <c r="K15" s="142"/>
      <c r="L15" s="119"/>
      <c r="M15" t="s">
        <v>213</v>
      </c>
      <c r="N15" s="118">
        <v>0.15</v>
      </c>
      <c r="O15" s="117">
        <f t="shared" si="3"/>
        <v>5375280.2727272725</v>
      </c>
      <c r="P15" s="102" t="s">
        <v>219</v>
      </c>
      <c r="Q15" s="118">
        <v>0.15</v>
      </c>
      <c r="R15" s="102">
        <f t="shared" si="4"/>
        <v>6069670.5681818193</v>
      </c>
    </row>
    <row r="16" spans="1:19" s="18" customFormat="1" x14ac:dyDescent="0.35">
      <c r="D16" s="116"/>
      <c r="F16" s="102"/>
      <c r="G16" s="102"/>
      <c r="H16" s="117"/>
      <c r="I16"/>
      <c r="J16"/>
      <c r="K16" s="142"/>
      <c r="L16" s="119"/>
      <c r="M16" t="s">
        <v>214</v>
      </c>
      <c r="N16" s="118">
        <v>0.3</v>
      </c>
      <c r="O16" s="117">
        <f t="shared" si="3"/>
        <v>10750560.545454545</v>
      </c>
      <c r="P16" s="102" t="s">
        <v>220</v>
      </c>
      <c r="Q16" s="118">
        <v>0.05</v>
      </c>
      <c r="R16" s="102">
        <f t="shared" si="4"/>
        <v>2023223.5227272732</v>
      </c>
    </row>
    <row r="17" spans="1:19" s="18" customFormat="1" x14ac:dyDescent="0.35">
      <c r="D17" s="116"/>
      <c r="F17" s="102"/>
      <c r="G17" s="102"/>
      <c r="H17" s="117"/>
      <c r="I17"/>
      <c r="J17"/>
      <c r="K17" s="142"/>
      <c r="L17" s="119"/>
      <c r="M17" t="s">
        <v>216</v>
      </c>
      <c r="N17" s="118">
        <v>0.03</v>
      </c>
      <c r="O17" s="117">
        <f t="shared" si="3"/>
        <v>1075056.0545454547</v>
      </c>
      <c r="P17" s="118"/>
      <c r="Q17" s="118">
        <f>SUM(Q12:Q16)</f>
        <v>1</v>
      </c>
      <c r="R17" s="112">
        <f>SUM(R12:R16)</f>
        <v>40464470.454545461</v>
      </c>
    </row>
    <row r="18" spans="1:19" s="114" customFormat="1" x14ac:dyDescent="0.35">
      <c r="A18" s="114" t="s">
        <v>155</v>
      </c>
      <c r="B18" s="114">
        <v>1750</v>
      </c>
      <c r="C18" s="114">
        <f>B18*F18</f>
        <v>35000000</v>
      </c>
      <c r="D18" s="114">
        <v>0.02</v>
      </c>
      <c r="E18" s="114">
        <f>'[1]Conversion factors selected IV '!$O$98</f>
        <v>1</v>
      </c>
      <c r="F18" s="114">
        <f t="shared" si="2"/>
        <v>20000</v>
      </c>
      <c r="G18" s="114">
        <f>'LCoP 2030 MEDIUM'!E19</f>
        <v>1469.6575342026485</v>
      </c>
      <c r="H18" s="114">
        <f>F18*G18</f>
        <v>29393150.68405297</v>
      </c>
      <c r="I18" s="114">
        <f>'LCoP 2030 MEDIUM'!H19</f>
        <v>0.15524537444462094</v>
      </c>
      <c r="L18" s="114">
        <f>SUM(L19:L26)</f>
        <v>4563150.6840529693</v>
      </c>
      <c r="M18" s="114">
        <f>'LCoP 2030 MEDIUM'!F19</f>
        <v>0.5477466561192752</v>
      </c>
      <c r="O18" s="114">
        <f>M18*H18</f>
        <v>16100000</v>
      </c>
      <c r="P18" s="114">
        <f>'LCoP 2030 MEDIUM'!G19</f>
        <v>0.29700796943610386</v>
      </c>
      <c r="R18" s="114">
        <f>P18*H18</f>
        <v>8730000</v>
      </c>
      <c r="S18" s="114">
        <f>L18+O18+R18</f>
        <v>29393150.68405297</v>
      </c>
    </row>
    <row r="19" spans="1:19" s="18" customFormat="1" x14ac:dyDescent="0.35">
      <c r="A19" s="138" t="s">
        <v>191</v>
      </c>
      <c r="B19" s="138"/>
      <c r="C19" s="138"/>
      <c r="D19" s="138"/>
      <c r="E19" s="138"/>
      <c r="F19" s="102"/>
      <c r="G19" s="102" t="s">
        <v>175</v>
      </c>
      <c r="H19" s="192" t="s">
        <v>254</v>
      </c>
      <c r="I19" s="12" t="s">
        <v>4</v>
      </c>
      <c r="J19" s="147" t="s">
        <v>179</v>
      </c>
      <c r="K19" s="6">
        <f>'Feedstock MIX per IVC'!G84</f>
        <v>117.13777724189546</v>
      </c>
      <c r="L19" s="102">
        <f t="shared" ref="L19:L26" si="5">K19*F$18</f>
        <v>2342755.5448379093</v>
      </c>
      <c r="M19" s="5" t="s">
        <v>211</v>
      </c>
      <c r="N19" s="167">
        <v>0.15</v>
      </c>
      <c r="O19" s="117">
        <f>N19*O$18</f>
        <v>2415000</v>
      </c>
      <c r="P19" s="102" t="s">
        <v>217</v>
      </c>
      <c r="Q19" s="118">
        <v>0.15</v>
      </c>
      <c r="R19" s="102">
        <f>Q19*R$18</f>
        <v>1309500</v>
      </c>
    </row>
    <row r="20" spans="1:19" s="18" customFormat="1" x14ac:dyDescent="0.35">
      <c r="D20" s="111"/>
      <c r="F20" s="102"/>
      <c r="G20" s="102"/>
      <c r="H20" s="192" t="s">
        <v>254</v>
      </c>
      <c r="I20" s="12" t="s">
        <v>5</v>
      </c>
      <c r="J20" s="147" t="s">
        <v>179</v>
      </c>
      <c r="K20" s="6">
        <f>'Feedstock MIX per IVC'!G85</f>
        <v>6.0040707909944153</v>
      </c>
      <c r="L20" s="102">
        <f t="shared" si="5"/>
        <v>120081.41581988831</v>
      </c>
      <c r="M20" t="s">
        <v>212</v>
      </c>
      <c r="N20" s="34">
        <v>0.02</v>
      </c>
      <c r="O20" s="117">
        <f t="shared" ref="O20:O24" si="6">N20*O$18</f>
        <v>322000</v>
      </c>
      <c r="P20" s="102" t="s">
        <v>177</v>
      </c>
      <c r="Q20" s="118">
        <v>0.25</v>
      </c>
      <c r="R20" s="102">
        <f t="shared" ref="R20:R23" si="7">Q20*R$18</f>
        <v>2182500</v>
      </c>
    </row>
    <row r="21" spans="1:19" s="18" customFormat="1" x14ac:dyDescent="0.35">
      <c r="D21" s="111"/>
      <c r="F21" s="102"/>
      <c r="G21" s="102"/>
      <c r="H21" s="192" t="s">
        <v>254</v>
      </c>
      <c r="I21" s="12" t="s">
        <v>6</v>
      </c>
      <c r="J21" s="150" t="s">
        <v>178</v>
      </c>
      <c r="K21" s="6">
        <f>'Feedstock MIX per IVC'!G86</f>
        <v>2.9289602093879772</v>
      </c>
      <c r="L21" s="102">
        <f t="shared" si="5"/>
        <v>58579.20418775954</v>
      </c>
      <c r="M21" s="5" t="s">
        <v>210</v>
      </c>
      <c r="N21" s="167">
        <v>0.45</v>
      </c>
      <c r="O21" s="117">
        <f t="shared" si="6"/>
        <v>7245000</v>
      </c>
      <c r="P21" s="102" t="s">
        <v>218</v>
      </c>
      <c r="Q21" s="118">
        <v>0.2</v>
      </c>
      <c r="R21" s="102">
        <f t="shared" si="7"/>
        <v>1746000</v>
      </c>
    </row>
    <row r="22" spans="1:19" s="18" customFormat="1" x14ac:dyDescent="0.35">
      <c r="D22" s="111"/>
      <c r="F22" s="102"/>
      <c r="G22" s="102"/>
      <c r="H22" s="192" t="s">
        <v>254</v>
      </c>
      <c r="I22" s="12" t="s">
        <v>7</v>
      </c>
      <c r="J22" s="147" t="s">
        <v>179</v>
      </c>
      <c r="K22" s="6">
        <f>'Feedstock MIX per IVC'!G87</f>
        <v>4.8668637567806563</v>
      </c>
      <c r="L22" s="102">
        <f t="shared" si="5"/>
        <v>97337.275135613119</v>
      </c>
      <c r="M22" t="s">
        <v>213</v>
      </c>
      <c r="N22" s="34">
        <v>0.1</v>
      </c>
      <c r="O22" s="117">
        <f t="shared" si="6"/>
        <v>1610000</v>
      </c>
      <c r="P22" s="102" t="s">
        <v>219</v>
      </c>
      <c r="Q22" s="118">
        <v>0.3</v>
      </c>
      <c r="R22" s="102">
        <f t="shared" si="7"/>
        <v>2619000</v>
      </c>
    </row>
    <row r="23" spans="1:19" s="18" customFormat="1" x14ac:dyDescent="0.35">
      <c r="D23" s="111"/>
      <c r="F23" s="102"/>
      <c r="G23" s="102"/>
      <c r="H23" s="192" t="s">
        <v>254</v>
      </c>
      <c r="I23" s="12" t="s">
        <v>8</v>
      </c>
      <c r="J23" s="147" t="s">
        <v>179</v>
      </c>
      <c r="K23" s="6">
        <f>'Feedstock MIX per IVC'!G88</f>
        <v>2.2157283787428326</v>
      </c>
      <c r="L23" s="102">
        <f t="shared" si="5"/>
        <v>44314.56757485665</v>
      </c>
      <c r="M23" t="s">
        <v>214</v>
      </c>
      <c r="N23" s="34">
        <v>0.25</v>
      </c>
      <c r="O23" s="117">
        <f t="shared" si="6"/>
        <v>4025000</v>
      </c>
      <c r="P23" s="102" t="s">
        <v>220</v>
      </c>
      <c r="Q23" s="118">
        <v>0.1</v>
      </c>
      <c r="R23" s="102">
        <f t="shared" si="7"/>
        <v>873000</v>
      </c>
    </row>
    <row r="24" spans="1:19" s="18" customFormat="1" x14ac:dyDescent="0.35">
      <c r="D24" s="111"/>
      <c r="F24" s="102"/>
      <c r="G24" s="102"/>
      <c r="H24" s="192" t="s">
        <v>254</v>
      </c>
      <c r="I24" s="12" t="s">
        <v>9</v>
      </c>
      <c r="J24" s="171" t="s">
        <v>222</v>
      </c>
      <c r="K24" s="6">
        <f>'Feedstock MIX per IVC'!G89</f>
        <v>48.321090044736764</v>
      </c>
      <c r="L24" s="102">
        <f t="shared" si="5"/>
        <v>966421.80089473526</v>
      </c>
      <c r="M24" t="s">
        <v>216</v>
      </c>
      <c r="N24" s="34">
        <v>0.03</v>
      </c>
      <c r="O24" s="117">
        <f t="shared" si="6"/>
        <v>483000</v>
      </c>
      <c r="P24" s="102"/>
      <c r="Q24" s="118">
        <f>SUM(Q19:Q23)</f>
        <v>1.0000000000000002</v>
      </c>
      <c r="R24" s="112">
        <f>SUM(R19:R23)</f>
        <v>8730000</v>
      </c>
    </row>
    <row r="25" spans="1:19" s="18" customFormat="1" x14ac:dyDescent="0.35">
      <c r="D25" s="111"/>
      <c r="F25" s="102"/>
      <c r="G25" s="102"/>
      <c r="H25" s="192" t="s">
        <v>254</v>
      </c>
      <c r="I25" s="12" t="s">
        <v>10</v>
      </c>
      <c r="J25" s="149" t="s">
        <v>176</v>
      </c>
      <c r="K25" s="6">
        <f>'Feedstock MIX per IVC'!G90</f>
        <v>41.012872970559165</v>
      </c>
      <c r="L25" s="102">
        <f t="shared" si="5"/>
        <v>820257.45941118326</v>
      </c>
      <c r="M25" s="102"/>
      <c r="N25" s="102"/>
      <c r="O25" s="102"/>
      <c r="P25" s="102"/>
      <c r="Q25" s="102"/>
      <c r="R25" s="102"/>
    </row>
    <row r="26" spans="1:19" s="18" customFormat="1" x14ac:dyDescent="0.35">
      <c r="D26" s="111"/>
      <c r="F26" s="102"/>
      <c r="G26" s="102"/>
      <c r="H26" s="192" t="s">
        <v>254</v>
      </c>
      <c r="I26" s="12" t="s">
        <v>11</v>
      </c>
      <c r="J26" s="152" t="s">
        <v>180</v>
      </c>
      <c r="K26" s="6">
        <f>'Feedstock MIX per IVC'!G91</f>
        <v>5.6701708095512098</v>
      </c>
      <c r="L26" s="102">
        <f t="shared" si="5"/>
        <v>113403.4161910242</v>
      </c>
      <c r="M26" s="102">
        <f>K26*F$18</f>
        <v>113403.4161910242</v>
      </c>
      <c r="N26" s="102"/>
      <c r="O26" s="102"/>
      <c r="P26" s="102"/>
      <c r="Q26" s="102"/>
      <c r="R26" s="102"/>
    </row>
    <row r="27" spans="1:19" s="18" customFormat="1" x14ac:dyDescent="0.35">
      <c r="D27" s="111"/>
      <c r="E27" s="102"/>
      <c r="F27" s="102"/>
      <c r="G27" s="102"/>
      <c r="H27" s="112"/>
      <c r="I27" s="105"/>
      <c r="J27" s="105"/>
      <c r="K27" s="6"/>
      <c r="L27" s="102"/>
      <c r="M27" s="102"/>
      <c r="N27" s="102"/>
      <c r="O27" s="102"/>
      <c r="P27" s="102"/>
      <c r="Q27" s="102"/>
      <c r="R27" s="102"/>
    </row>
    <row r="28" spans="1:19" s="110" customFormat="1" x14ac:dyDescent="0.35">
      <c r="D28" s="143"/>
      <c r="E28" s="140"/>
      <c r="F28" s="140"/>
      <c r="G28" s="140"/>
      <c r="H28" s="144"/>
      <c r="I28" s="145"/>
      <c r="J28" s="145" t="s">
        <v>281</v>
      </c>
      <c r="K28" s="146"/>
      <c r="L28" s="140">
        <f>SUM(L29:L34)</f>
        <v>4563150.6840529703</v>
      </c>
      <c r="M28" s="145" t="s">
        <v>181</v>
      </c>
      <c r="N28" s="140"/>
      <c r="O28" s="140">
        <f>SUM(O29:O34)</f>
        <v>159004125.06142503</v>
      </c>
      <c r="P28" s="140"/>
      <c r="Q28" s="140"/>
      <c r="R28" s="140">
        <f>SUM(R29:R33)</f>
        <v>307514372.61670756</v>
      </c>
      <c r="S28" s="140">
        <f>S4+S11+S18</f>
        <v>1894285039.0255761</v>
      </c>
    </row>
    <row r="29" spans="1:19" s="18" customFormat="1" x14ac:dyDescent="0.35">
      <c r="D29" s="111"/>
      <c r="F29" s="102"/>
      <c r="G29" s="102"/>
      <c r="H29" s="112"/>
      <c r="I29" s="105"/>
      <c r="J29" s="147" t="s">
        <v>179</v>
      </c>
      <c r="K29" s="63"/>
      <c r="L29" s="102">
        <f>L19+L20+L22+L23</f>
        <v>2604488.8033682676</v>
      </c>
      <c r="M29" s="5" t="s">
        <v>211</v>
      </c>
      <c r="N29" s="102"/>
      <c r="O29" s="102">
        <f>O5+O12+O19</f>
        <v>9560206.2530712523</v>
      </c>
      <c r="P29" s="102" t="s">
        <v>217</v>
      </c>
      <c r="Q29" s="102"/>
      <c r="R29" s="102">
        <f>R5+R12+R19</f>
        <v>105884030.41584766</v>
      </c>
    </row>
    <row r="30" spans="1:19" s="18" customFormat="1" x14ac:dyDescent="0.35">
      <c r="D30" s="111"/>
      <c r="F30" s="102"/>
      <c r="G30" s="102"/>
      <c r="H30" s="112"/>
      <c r="I30" s="105"/>
      <c r="J30" s="148" t="s">
        <v>176</v>
      </c>
      <c r="K30" s="63"/>
      <c r="L30" s="102">
        <f>L25</f>
        <v>820257.45941118326</v>
      </c>
      <c r="M30" t="s">
        <v>212</v>
      </c>
      <c r="N30" s="102"/>
      <c r="O30" s="102">
        <f>O6+O13+O20</f>
        <v>3180082.5012285011</v>
      </c>
      <c r="P30" s="102" t="s">
        <v>177</v>
      </c>
      <c r="Q30" s="102"/>
      <c r="R30" s="102">
        <f t="shared" ref="R30:R33" si="8">R6+R13+R20</f>
        <v>76878593.154176906</v>
      </c>
    </row>
    <row r="31" spans="1:19" s="18" customFormat="1" x14ac:dyDescent="0.35">
      <c r="D31" s="111"/>
      <c r="F31" s="102"/>
      <c r="G31" s="25" t="s">
        <v>223</v>
      </c>
      <c r="H31" s="112"/>
      <c r="J31" s="151" t="s">
        <v>177</v>
      </c>
      <c r="K31" s="63"/>
      <c r="L31" s="102">
        <f>L13</f>
        <v>0</v>
      </c>
      <c r="M31" s="5" t="s">
        <v>210</v>
      </c>
      <c r="N31" s="102"/>
      <c r="O31" s="102">
        <f>O7+O14+O21</f>
        <v>71551856.277641281</v>
      </c>
      <c r="P31" s="102" t="s">
        <v>218</v>
      </c>
      <c r="Q31" s="102"/>
      <c r="R31" s="102">
        <f t="shared" si="8"/>
        <v>61502874.523341529</v>
      </c>
    </row>
    <row r="32" spans="1:19" s="18" customFormat="1" x14ac:dyDescent="0.35">
      <c r="D32" s="111"/>
      <c r="F32" s="102"/>
      <c r="G32" s="102"/>
      <c r="H32" s="112"/>
      <c r="I32" s="105"/>
      <c r="J32" s="150" t="s">
        <v>178</v>
      </c>
      <c r="K32" s="63"/>
      <c r="L32" s="102">
        <f>L21</f>
        <v>58579.20418775954</v>
      </c>
      <c r="M32" t="s">
        <v>213</v>
      </c>
      <c r="N32" s="102"/>
      <c r="O32" s="102">
        <f t="shared" ref="O32:O33" si="9">O8+O15+O22</f>
        <v>23045618.75921376</v>
      </c>
      <c r="P32" s="102" t="s">
        <v>219</v>
      </c>
      <c r="Q32" s="102"/>
      <c r="R32" s="102">
        <f t="shared" si="8"/>
        <v>47436655.892506145</v>
      </c>
    </row>
    <row r="33" spans="1:19" s="18" customFormat="1" x14ac:dyDescent="0.35">
      <c r="D33" s="111"/>
      <c r="F33" s="102"/>
      <c r="G33" s="102"/>
      <c r="H33" s="112"/>
      <c r="I33" s="105"/>
      <c r="J33" s="152" t="s">
        <v>180</v>
      </c>
      <c r="K33" s="63"/>
      <c r="L33" s="102">
        <f>L26</f>
        <v>113403.4161910242</v>
      </c>
      <c r="M33" t="s">
        <v>214</v>
      </c>
      <c r="N33" s="102"/>
      <c r="O33" s="102">
        <f t="shared" si="9"/>
        <v>46896237.518427521</v>
      </c>
      <c r="P33" s="102" t="s">
        <v>220</v>
      </c>
      <c r="Q33" s="102"/>
      <c r="R33" s="102">
        <f t="shared" si="8"/>
        <v>15812218.630835382</v>
      </c>
    </row>
    <row r="34" spans="1:19" s="18" customFormat="1" x14ac:dyDescent="0.35">
      <c r="D34" s="111"/>
      <c r="F34" s="102"/>
      <c r="G34" s="102"/>
      <c r="H34" s="112"/>
      <c r="I34" s="105"/>
      <c r="J34" s="171" t="s">
        <v>222</v>
      </c>
      <c r="K34" s="63"/>
      <c r="L34" s="102">
        <f>L24</f>
        <v>966421.80089473526</v>
      </c>
      <c r="M34" t="s">
        <v>216</v>
      </c>
      <c r="N34" s="102"/>
      <c r="O34" s="102">
        <f>O10+O17+O24</f>
        <v>4770123.7518427521</v>
      </c>
      <c r="P34" s="102"/>
      <c r="Q34" s="102"/>
      <c r="R34" s="102"/>
    </row>
    <row r="35" spans="1:19" s="18" customFormat="1" x14ac:dyDescent="0.35">
      <c r="D35" s="111"/>
      <c r="F35" s="102"/>
      <c r="G35" s="102"/>
      <c r="H35" s="112"/>
      <c r="I35" s="105"/>
      <c r="J35" s="145" t="s">
        <v>282</v>
      </c>
      <c r="K35" s="63"/>
      <c r="L35" s="140">
        <f>L36</f>
        <v>1209722882.0638819</v>
      </c>
      <c r="M35"/>
      <c r="N35" s="102"/>
      <c r="O35" s="102"/>
      <c r="P35" s="102"/>
      <c r="Q35" s="102"/>
      <c r="R35" s="102"/>
    </row>
    <row r="36" spans="1:19" s="18" customFormat="1" x14ac:dyDescent="0.35">
      <c r="D36" s="111"/>
      <c r="F36" s="102"/>
      <c r="G36" s="102"/>
      <c r="H36" s="112"/>
      <c r="I36" s="105"/>
      <c r="J36" s="150" t="s">
        <v>178</v>
      </c>
      <c r="K36" s="63"/>
      <c r="L36" s="102">
        <f>L12+L5</f>
        <v>1209722882.0638819</v>
      </c>
      <c r="M36"/>
      <c r="N36" s="102"/>
      <c r="O36" s="102"/>
      <c r="P36" s="102"/>
      <c r="Q36" s="102"/>
      <c r="R36" s="102"/>
    </row>
    <row r="37" spans="1:19" s="18" customFormat="1" x14ac:dyDescent="0.35">
      <c r="D37" s="111"/>
      <c r="F37" s="102"/>
      <c r="G37" s="102"/>
      <c r="H37" s="112"/>
      <c r="I37" s="105"/>
      <c r="J37" s="196" t="s">
        <v>283</v>
      </c>
      <c r="K37" s="146"/>
      <c r="L37" s="140">
        <f>L35+L28</f>
        <v>1214286032.7479348</v>
      </c>
      <c r="M37" s="2">
        <f>L28+L37+O28+R28</f>
        <v>1685367681.1101203</v>
      </c>
      <c r="N37" s="102">
        <f>M37/1000000</f>
        <v>1685.3676811101202</v>
      </c>
      <c r="O37" s="102"/>
      <c r="P37" s="102"/>
      <c r="Q37" s="102"/>
      <c r="R37" s="102"/>
    </row>
    <row r="38" spans="1:19" s="163" customFormat="1" ht="32" customHeight="1" x14ac:dyDescent="0.35">
      <c r="A38" s="164" t="s">
        <v>78</v>
      </c>
      <c r="B38" s="164"/>
      <c r="C38" s="164"/>
    </row>
    <row r="39" spans="1:19" s="78" customFormat="1" x14ac:dyDescent="0.35">
      <c r="A39" s="110" t="s">
        <v>156</v>
      </c>
      <c r="B39" s="110"/>
      <c r="C39" s="90">
        <f>SUM(C40:C47)</f>
        <v>236586666.66666669</v>
      </c>
      <c r="D39" s="90">
        <f>SUM(D40:D47)</f>
        <v>0.15</v>
      </c>
      <c r="E39" s="90"/>
      <c r="F39" s="90">
        <f>SUM(F40:F47)</f>
        <v>221586.66666666669</v>
      </c>
      <c r="H39" s="90">
        <f>SUM(H40:H47)</f>
        <v>287802792.25083464</v>
      </c>
      <c r="L39" s="90">
        <f>L40+L47</f>
        <v>73078152.250834614</v>
      </c>
      <c r="O39" s="90">
        <f>O40+O47</f>
        <v>127980600</v>
      </c>
      <c r="R39" s="90">
        <f>R40+R47</f>
        <v>86744040.000000015</v>
      </c>
    </row>
    <row r="40" spans="1:19" s="153" customFormat="1" x14ac:dyDescent="0.35">
      <c r="A40" s="153" t="s">
        <v>173</v>
      </c>
      <c r="B40" s="153">
        <v>1000</v>
      </c>
      <c r="C40" s="153">
        <f>B40*F40</f>
        <v>201586666.66666669</v>
      </c>
      <c r="D40" s="153">
        <v>0.13</v>
      </c>
      <c r="E40" s="153">
        <f>'[1]Conversion factors selected IV '!$O$18</f>
        <v>1.5506666666666669</v>
      </c>
      <c r="F40" s="153">
        <f>D40*E40*1000000</f>
        <v>201586.66666666669</v>
      </c>
      <c r="G40" s="153">
        <f>'LCoP 2030 MEDIUM'!E5</f>
        <v>1281.8786373112391</v>
      </c>
      <c r="H40" s="153">
        <f>F40*G40</f>
        <v>258409641.56678167</v>
      </c>
      <c r="I40" s="153">
        <f>'LCoP 2030 MEDIUM'!H5</f>
        <v>0.26514104176362585</v>
      </c>
      <c r="L40" s="153">
        <f>I40*H40</f>
        <v>68515001.56678164</v>
      </c>
      <c r="M40" s="153">
        <f>'LCoP 2030 MEDIUM'!F5</f>
        <v>0.43295830341951974</v>
      </c>
      <c r="O40" s="153">
        <f>M40*H40</f>
        <v>111880600</v>
      </c>
      <c r="P40" s="153">
        <f>'LCoP 2030 MEDIUM'!G5</f>
        <v>0.30190065481685435</v>
      </c>
      <c r="R40" s="153">
        <f>P40*H40</f>
        <v>78014040.000000015</v>
      </c>
      <c r="S40" s="153">
        <f>L40+O40+R40</f>
        <v>258409641.56678164</v>
      </c>
    </row>
    <row r="41" spans="1:19" x14ac:dyDescent="0.35">
      <c r="A41" s="104"/>
      <c r="B41" s="104"/>
      <c r="C41" s="104"/>
      <c r="D41" s="106"/>
      <c r="E41" s="108"/>
      <c r="F41" s="113"/>
      <c r="G41" s="6"/>
      <c r="H41" s="192" t="s">
        <v>254</v>
      </c>
      <c r="I41" s="7" t="s">
        <v>4</v>
      </c>
      <c r="J41" s="147" t="s">
        <v>179</v>
      </c>
      <c r="K41" s="112">
        <f>'Feedstock MIX per IVC'!G13</f>
        <v>255.92003292567989</v>
      </c>
      <c r="L41" s="102">
        <f>K41*F$40</f>
        <v>51590066.370711394</v>
      </c>
      <c r="M41" s="5" t="s">
        <v>211</v>
      </c>
      <c r="N41" s="3">
        <v>0</v>
      </c>
      <c r="O41" s="6">
        <f>N41*O$40</f>
        <v>0</v>
      </c>
      <c r="P41" s="102" t="s">
        <v>217</v>
      </c>
      <c r="Q41" s="34">
        <v>0.2</v>
      </c>
      <c r="R41" s="6">
        <f>Q41*R$40</f>
        <v>15602808.000000004</v>
      </c>
      <c r="S41" s="102"/>
    </row>
    <row r="42" spans="1:19" x14ac:dyDescent="0.35">
      <c r="A42" s="104"/>
      <c r="B42" s="104"/>
      <c r="C42" s="104"/>
      <c r="D42" s="106"/>
      <c r="E42" s="108"/>
      <c r="F42" s="113"/>
      <c r="G42" s="6"/>
      <c r="H42" s="192" t="s">
        <v>254</v>
      </c>
      <c r="I42" s="7" t="s">
        <v>7</v>
      </c>
      <c r="J42" s="147" t="s">
        <v>179</v>
      </c>
      <c r="K42" s="112">
        <f>'Feedstock MIX per IVC'!G14</f>
        <v>10.633016625439506</v>
      </c>
      <c r="L42" s="102">
        <f>K42*F$40</f>
        <v>2143474.3781335987</v>
      </c>
      <c r="M42" t="s">
        <v>212</v>
      </c>
      <c r="N42" s="3">
        <v>0.02</v>
      </c>
      <c r="O42" s="6">
        <f t="shared" ref="O42:O46" si="10">N42*O$40</f>
        <v>2237612</v>
      </c>
      <c r="P42" s="102" t="s">
        <v>177</v>
      </c>
      <c r="Q42" s="34">
        <v>0.5</v>
      </c>
      <c r="R42" s="6">
        <f t="shared" ref="R42:R45" si="11">Q42*R$40</f>
        <v>39007020.000000007</v>
      </c>
      <c r="S42" s="102"/>
    </row>
    <row r="43" spans="1:19" x14ac:dyDescent="0.35">
      <c r="A43" s="104"/>
      <c r="B43" s="104"/>
      <c r="C43" s="104"/>
      <c r="D43" s="106"/>
      <c r="E43" s="108"/>
      <c r="F43" s="113"/>
      <c r="G43" s="6"/>
      <c r="H43" s="192" t="s">
        <v>254</v>
      </c>
      <c r="I43" s="7" t="s">
        <v>8</v>
      </c>
      <c r="J43" s="147" t="s">
        <v>179</v>
      </c>
      <c r="K43" s="112">
        <f>'Feedstock MIX per IVC'!G15</f>
        <v>4.8408745068744423</v>
      </c>
      <c r="L43" s="102">
        <f>K43*F$40</f>
        <v>975855.75559246272</v>
      </c>
      <c r="M43" s="5" t="s">
        <v>210</v>
      </c>
      <c r="N43" s="3">
        <v>0.5</v>
      </c>
      <c r="O43" s="6">
        <f t="shared" si="10"/>
        <v>55940300</v>
      </c>
      <c r="P43" s="102" t="s">
        <v>218</v>
      </c>
      <c r="Q43" s="34">
        <v>0.15</v>
      </c>
      <c r="R43" s="6">
        <f t="shared" si="11"/>
        <v>11702106.000000002</v>
      </c>
      <c r="S43" s="102"/>
    </row>
    <row r="44" spans="1:19" x14ac:dyDescent="0.35">
      <c r="A44" s="104"/>
      <c r="B44" s="104"/>
      <c r="C44" s="104"/>
      <c r="D44" s="106"/>
      <c r="E44" s="108"/>
      <c r="F44" s="113"/>
      <c r="G44" s="6"/>
      <c r="H44" s="192" t="s">
        <v>254</v>
      </c>
      <c r="I44" s="7" t="s">
        <v>10</v>
      </c>
      <c r="J44" s="148" t="s">
        <v>176</v>
      </c>
      <c r="K44" s="112">
        <f>'Feedstock MIX per IVC'!G16</f>
        <v>68.484713253245218</v>
      </c>
      <c r="L44" s="102">
        <f>K44*F$40</f>
        <v>13805605.062344193</v>
      </c>
      <c r="M44" t="s">
        <v>213</v>
      </c>
      <c r="N44" s="168">
        <v>0.15</v>
      </c>
      <c r="O44" s="6">
        <f t="shared" si="10"/>
        <v>16782090</v>
      </c>
      <c r="P44" s="102" t="s">
        <v>219</v>
      </c>
      <c r="Q44" s="34">
        <v>0.1</v>
      </c>
      <c r="R44" s="6">
        <f t="shared" si="11"/>
        <v>7801404.0000000019</v>
      </c>
      <c r="S44" s="102"/>
    </row>
    <row r="45" spans="1:19" x14ac:dyDescent="0.35">
      <c r="A45" s="104"/>
      <c r="B45" s="104"/>
      <c r="C45" s="104"/>
      <c r="D45" s="106"/>
      <c r="E45" s="108"/>
      <c r="F45" s="113"/>
      <c r="G45" s="6"/>
      <c r="H45" s="6"/>
      <c r="I45"/>
      <c r="J45"/>
      <c r="K45" s="112"/>
      <c r="L45" s="102"/>
      <c r="M45" t="s">
        <v>214</v>
      </c>
      <c r="N45" s="168">
        <v>0.3</v>
      </c>
      <c r="O45" s="6">
        <f t="shared" si="10"/>
        <v>33564180</v>
      </c>
      <c r="P45" s="102" t="s">
        <v>220</v>
      </c>
      <c r="Q45" s="34">
        <v>0.05</v>
      </c>
      <c r="R45" s="6">
        <f t="shared" si="11"/>
        <v>3900702.0000000009</v>
      </c>
      <c r="S45" s="102"/>
    </row>
    <row r="46" spans="1:19" x14ac:dyDescent="0.35">
      <c r="A46" s="104"/>
      <c r="B46" s="104"/>
      <c r="C46" s="104"/>
      <c r="D46" s="106"/>
      <c r="E46" s="108"/>
      <c r="F46" s="113"/>
      <c r="G46" s="6"/>
      <c r="H46" s="6"/>
      <c r="I46"/>
      <c r="J46"/>
      <c r="K46" s="112"/>
      <c r="L46" s="102"/>
      <c r="M46" t="s">
        <v>216</v>
      </c>
      <c r="N46" s="168">
        <v>0.03</v>
      </c>
      <c r="O46" s="6">
        <f t="shared" si="10"/>
        <v>3356418</v>
      </c>
      <c r="P46" s="6"/>
      <c r="Q46" s="34">
        <f>SUM(Q41:Q45)</f>
        <v>1</v>
      </c>
      <c r="R46" s="31">
        <f>SUM(R41:R45)</f>
        <v>78014040.000000015</v>
      </c>
      <c r="S46" s="102"/>
    </row>
    <row r="47" spans="1:19" s="153" customFormat="1" x14ac:dyDescent="0.35">
      <c r="A47" s="153" t="s">
        <v>155</v>
      </c>
      <c r="B47" s="153">
        <v>1750</v>
      </c>
      <c r="C47" s="153">
        <f>B47*F47</f>
        <v>35000000</v>
      </c>
      <c r="D47" s="153">
        <f>0.04/2</f>
        <v>0.02</v>
      </c>
      <c r="E47" s="153">
        <f>'[1]Conversion factors selected IV '!$O$89</f>
        <v>1</v>
      </c>
      <c r="F47" s="153">
        <f>D47*E47*1000000</f>
        <v>20000</v>
      </c>
      <c r="G47" s="153">
        <f>'LCoP 2030 MEDIUM'!E19</f>
        <v>1469.6575342026485</v>
      </c>
      <c r="H47" s="153">
        <f>F47*G47</f>
        <v>29393150.68405297</v>
      </c>
      <c r="I47" s="153">
        <f>'LCoP 2030 MEDIUM'!H19</f>
        <v>0.15524537444462094</v>
      </c>
      <c r="K47" s="153">
        <f>SUM(K48:K55)</f>
        <v>228.15753420264849</v>
      </c>
      <c r="L47" s="153">
        <f>I47*H47</f>
        <v>4563150.6840529693</v>
      </c>
      <c r="M47" s="153">
        <f>'LCoP 2030 MEDIUM'!F19</f>
        <v>0.5477466561192752</v>
      </c>
      <c r="O47" s="153">
        <f>M47*H47</f>
        <v>16100000</v>
      </c>
      <c r="P47" s="153">
        <f>'LCoP 2030 MEDIUM'!G19</f>
        <v>0.29700796943610386</v>
      </c>
      <c r="R47" s="153">
        <f>P47*H47</f>
        <v>8730000</v>
      </c>
      <c r="S47" s="153">
        <f>L47+O47+R47</f>
        <v>29393150.68405297</v>
      </c>
    </row>
    <row r="48" spans="1:19" x14ac:dyDescent="0.35">
      <c r="H48" s="192" t="s">
        <v>254</v>
      </c>
      <c r="I48" s="5" t="s">
        <v>4</v>
      </c>
      <c r="J48" s="147" t="s">
        <v>179</v>
      </c>
      <c r="K48" s="6">
        <f>'Feedstock MIX per IVC'!G84</f>
        <v>117.13777724189546</v>
      </c>
      <c r="L48" s="2">
        <f>K48*$F$47</f>
        <v>2342755.5448379093</v>
      </c>
      <c r="M48" s="5" t="s">
        <v>211</v>
      </c>
      <c r="N48" s="167">
        <v>0.15</v>
      </c>
      <c r="O48" s="2">
        <f t="shared" ref="O48:O53" si="12">N48*O$47</f>
        <v>2415000</v>
      </c>
      <c r="P48" s="102" t="s">
        <v>217</v>
      </c>
      <c r="Q48" s="118">
        <v>0.15</v>
      </c>
      <c r="R48" s="2">
        <f>Q48*R$47</f>
        <v>1309500</v>
      </c>
    </row>
    <row r="49" spans="1:18" x14ac:dyDescent="0.35">
      <c r="H49" s="192" t="s">
        <v>254</v>
      </c>
      <c r="I49" s="5" t="s">
        <v>5</v>
      </c>
      <c r="J49" s="147" t="s">
        <v>179</v>
      </c>
      <c r="K49" s="6">
        <f>'Feedstock MIX per IVC'!G85</f>
        <v>6.0040707909944153</v>
      </c>
      <c r="L49" s="2">
        <f t="shared" ref="L49:L55" si="13">K49*$F$47</f>
        <v>120081.41581988831</v>
      </c>
      <c r="M49" t="s">
        <v>212</v>
      </c>
      <c r="N49" s="34">
        <v>0.02</v>
      </c>
      <c r="O49" s="2">
        <f t="shared" si="12"/>
        <v>322000</v>
      </c>
      <c r="P49" s="102" t="s">
        <v>177</v>
      </c>
      <c r="Q49" s="118">
        <v>0.25</v>
      </c>
      <c r="R49" s="2">
        <f>Q49*R$47</f>
        <v>2182500</v>
      </c>
    </row>
    <row r="50" spans="1:18" x14ac:dyDescent="0.35">
      <c r="H50" s="192" t="s">
        <v>254</v>
      </c>
      <c r="I50" s="5" t="s">
        <v>6</v>
      </c>
      <c r="J50" s="154" t="s">
        <v>178</v>
      </c>
      <c r="K50" s="6">
        <f>'Feedstock MIX per IVC'!G86</f>
        <v>2.9289602093879772</v>
      </c>
      <c r="L50" s="2">
        <f t="shared" si="13"/>
        <v>58579.20418775954</v>
      </c>
      <c r="M50" s="5" t="s">
        <v>210</v>
      </c>
      <c r="N50" s="167">
        <v>0.45</v>
      </c>
      <c r="O50" s="2">
        <f t="shared" si="12"/>
        <v>7245000</v>
      </c>
      <c r="P50" s="102" t="s">
        <v>218</v>
      </c>
      <c r="Q50" s="118">
        <v>0.2</v>
      </c>
      <c r="R50" s="2">
        <f>Q50*R$47</f>
        <v>1746000</v>
      </c>
    </row>
    <row r="51" spans="1:18" x14ac:dyDescent="0.35">
      <c r="H51" s="192" t="s">
        <v>254</v>
      </c>
      <c r="I51" s="5" t="s">
        <v>7</v>
      </c>
      <c r="J51" s="147" t="s">
        <v>179</v>
      </c>
      <c r="K51" s="6">
        <f>'Feedstock MIX per IVC'!G87</f>
        <v>4.8668637567806563</v>
      </c>
      <c r="L51" s="2">
        <f t="shared" si="13"/>
        <v>97337.275135613119</v>
      </c>
      <c r="M51" t="s">
        <v>213</v>
      </c>
      <c r="N51" s="34">
        <v>0.1</v>
      </c>
      <c r="O51" s="2">
        <f t="shared" si="12"/>
        <v>1610000</v>
      </c>
      <c r="P51" s="102" t="s">
        <v>219</v>
      </c>
      <c r="Q51" s="118">
        <v>0.3</v>
      </c>
      <c r="R51" s="2">
        <f>Q51*R$47</f>
        <v>2619000</v>
      </c>
    </row>
    <row r="52" spans="1:18" x14ac:dyDescent="0.35">
      <c r="H52" s="192" t="s">
        <v>254</v>
      </c>
      <c r="I52" s="5" t="s">
        <v>8</v>
      </c>
      <c r="J52" s="147" t="s">
        <v>179</v>
      </c>
      <c r="K52" s="6">
        <f>'Feedstock MIX per IVC'!G88</f>
        <v>2.2157283787428326</v>
      </c>
      <c r="L52" s="2">
        <f t="shared" si="13"/>
        <v>44314.56757485665</v>
      </c>
      <c r="M52" t="s">
        <v>214</v>
      </c>
      <c r="N52" s="34">
        <v>0.25</v>
      </c>
      <c r="O52" s="2">
        <f t="shared" si="12"/>
        <v>4025000</v>
      </c>
      <c r="P52" s="102" t="s">
        <v>220</v>
      </c>
      <c r="Q52" s="118">
        <v>0.1</v>
      </c>
      <c r="R52" s="2">
        <f>Q52*R$47</f>
        <v>873000</v>
      </c>
    </row>
    <row r="53" spans="1:18" x14ac:dyDescent="0.35">
      <c r="H53" s="192" t="s">
        <v>254</v>
      </c>
      <c r="I53" s="5" t="s">
        <v>9</v>
      </c>
      <c r="J53" s="171" t="s">
        <v>222</v>
      </c>
      <c r="K53" s="6">
        <f>'Feedstock MIX per IVC'!G89</f>
        <v>48.321090044736764</v>
      </c>
      <c r="L53" s="2">
        <f>K53*$F$47</f>
        <v>966421.80089473526</v>
      </c>
      <c r="M53" t="s">
        <v>216</v>
      </c>
      <c r="N53" s="34">
        <v>0.03</v>
      </c>
      <c r="O53" s="2">
        <f t="shared" si="12"/>
        <v>483000</v>
      </c>
      <c r="P53"/>
      <c r="Q53" s="34">
        <f>SUM(Q48:Q52)</f>
        <v>1.0000000000000002</v>
      </c>
      <c r="R53" s="31">
        <f>SUM(R48:R52)</f>
        <v>8730000</v>
      </c>
    </row>
    <row r="54" spans="1:18" x14ac:dyDescent="0.35">
      <c r="H54" s="192" t="s">
        <v>254</v>
      </c>
      <c r="I54" s="5" t="s">
        <v>10</v>
      </c>
      <c r="J54" s="155" t="s">
        <v>176</v>
      </c>
      <c r="K54" s="6">
        <f>'Feedstock MIX per IVC'!G90</f>
        <v>41.012872970559165</v>
      </c>
      <c r="L54" s="2">
        <f t="shared" si="13"/>
        <v>820257.45941118326</v>
      </c>
      <c r="M54"/>
      <c r="N54"/>
      <c r="O54"/>
      <c r="P54"/>
      <c r="Q54"/>
    </row>
    <row r="55" spans="1:18" x14ac:dyDescent="0.35">
      <c r="H55" s="192" t="s">
        <v>254</v>
      </c>
      <c r="I55" s="5" t="s">
        <v>11</v>
      </c>
      <c r="J55" s="156" t="s">
        <v>180</v>
      </c>
      <c r="K55" s="6">
        <f>'Feedstock MIX per IVC'!G91</f>
        <v>5.6701708095512098</v>
      </c>
      <c r="L55" s="2">
        <f t="shared" si="13"/>
        <v>113403.4161910242</v>
      </c>
      <c r="M55"/>
      <c r="N55"/>
      <c r="O55"/>
      <c r="P55"/>
      <c r="Q55"/>
    </row>
    <row r="56" spans="1:18" x14ac:dyDescent="0.35">
      <c r="I56"/>
      <c r="J56" s="145" t="s">
        <v>281</v>
      </c>
      <c r="K56"/>
      <c r="L56" s="90">
        <f>SUM(L57:L62)</f>
        <v>73078152.250834644</v>
      </c>
      <c r="M56" s="145" t="s">
        <v>181</v>
      </c>
      <c r="N56"/>
      <c r="O56" s="90">
        <f t="shared" ref="O56:O62" si="14">O40+O47</f>
        <v>127980600</v>
      </c>
      <c r="P56"/>
      <c r="Q56"/>
      <c r="R56" s="90">
        <f>SUM(R57:R61)</f>
        <v>86744040.000000015</v>
      </c>
    </row>
    <row r="57" spans="1:18" x14ac:dyDescent="0.35">
      <c r="I57" t="s">
        <v>175</v>
      </c>
      <c r="J57" s="147" t="s">
        <v>179</v>
      </c>
      <c r="K57"/>
      <c r="L57" s="2">
        <f>L41+L42+L43+L48+L49+L51+L52</f>
        <v>57313885.307805732</v>
      </c>
      <c r="M57" s="5" t="s">
        <v>211</v>
      </c>
      <c r="N57"/>
      <c r="O57" s="2">
        <f t="shared" si="14"/>
        <v>2415000</v>
      </c>
      <c r="P57" s="102" t="s">
        <v>217</v>
      </c>
      <c r="Q57"/>
      <c r="R57" s="2">
        <f>R41+R48</f>
        <v>16912308.000000004</v>
      </c>
    </row>
    <row r="58" spans="1:18" x14ac:dyDescent="0.35">
      <c r="I58"/>
      <c r="J58" s="148" t="s">
        <v>176</v>
      </c>
      <c r="K58"/>
      <c r="L58" s="2">
        <f>L44+L54</f>
        <v>14625862.521755377</v>
      </c>
      <c r="M58" t="s">
        <v>212</v>
      </c>
      <c r="N58"/>
      <c r="O58" s="2">
        <f t="shared" si="14"/>
        <v>2559612</v>
      </c>
      <c r="P58" s="102" t="s">
        <v>177</v>
      </c>
      <c r="Q58"/>
      <c r="R58" s="2">
        <f>R42+R49</f>
        <v>41189520.000000007</v>
      </c>
    </row>
    <row r="59" spans="1:18" x14ac:dyDescent="0.35">
      <c r="I59"/>
      <c r="J59" s="151" t="s">
        <v>177</v>
      </c>
      <c r="K59"/>
      <c r="L59">
        <f>0</f>
        <v>0</v>
      </c>
      <c r="M59" s="5" t="s">
        <v>210</v>
      </c>
      <c r="N59"/>
      <c r="O59" s="2">
        <f t="shared" si="14"/>
        <v>63185300</v>
      </c>
      <c r="P59" s="102" t="s">
        <v>218</v>
      </c>
      <c r="Q59"/>
      <c r="R59" s="2">
        <f>R43+R50</f>
        <v>13448106.000000002</v>
      </c>
    </row>
    <row r="60" spans="1:18" x14ac:dyDescent="0.35">
      <c r="I60"/>
      <c r="J60" s="150" t="s">
        <v>178</v>
      </c>
      <c r="K60"/>
      <c r="L60" s="2">
        <f>L50</f>
        <v>58579.20418775954</v>
      </c>
      <c r="M60" t="s">
        <v>213</v>
      </c>
      <c r="N60"/>
      <c r="O60" s="2">
        <f t="shared" si="14"/>
        <v>18392090</v>
      </c>
      <c r="P60" s="102" t="s">
        <v>219</v>
      </c>
      <c r="Q60"/>
      <c r="R60" s="2">
        <f>R44+R51</f>
        <v>10420404.000000002</v>
      </c>
    </row>
    <row r="61" spans="1:18" x14ac:dyDescent="0.35">
      <c r="I61"/>
      <c r="J61" s="152" t="s">
        <v>180</v>
      </c>
      <c r="K61"/>
      <c r="L61" s="2">
        <f>L55</f>
        <v>113403.4161910242</v>
      </c>
      <c r="M61" t="s">
        <v>214</v>
      </c>
      <c r="N61"/>
      <c r="O61" s="2">
        <f t="shared" si="14"/>
        <v>37589180</v>
      </c>
      <c r="P61" s="102" t="s">
        <v>220</v>
      </c>
      <c r="Q61"/>
      <c r="R61" s="2">
        <f>R45+R52</f>
        <v>4773702.0000000009</v>
      </c>
    </row>
    <row r="62" spans="1:18" x14ac:dyDescent="0.35">
      <c r="I62"/>
      <c r="J62" s="171" t="s">
        <v>222</v>
      </c>
      <c r="K62"/>
      <c r="L62" s="2">
        <f>L53</f>
        <v>966421.80089473526</v>
      </c>
      <c r="M62" t="s">
        <v>216</v>
      </c>
      <c r="N62"/>
      <c r="O62" s="2">
        <f t="shared" si="14"/>
        <v>3839418</v>
      </c>
      <c r="P62"/>
      <c r="Q62"/>
    </row>
    <row r="63" spans="1:18" s="164" customFormat="1" ht="28" customHeight="1" x14ac:dyDescent="0.35">
      <c r="A63" s="164" t="s">
        <v>79</v>
      </c>
      <c r="P63" s="170"/>
    </row>
    <row r="64" spans="1:18" x14ac:dyDescent="0.35">
      <c r="A64" s="110" t="s">
        <v>156</v>
      </c>
      <c r="B64" s="110"/>
      <c r="C64" s="1">
        <f>C65</f>
        <v>138681474.82014391</v>
      </c>
      <c r="D64">
        <v>0.13</v>
      </c>
      <c r="F64" s="2">
        <f>F65</f>
        <v>108769.78417266189</v>
      </c>
      <c r="H64" s="1">
        <f>H65</f>
        <v>99803998.9567049</v>
      </c>
      <c r="I64"/>
      <c r="J64"/>
      <c r="K64"/>
      <c r="L64"/>
      <c r="M64"/>
      <c r="N64"/>
      <c r="O64"/>
      <c r="P64" s="59"/>
      <c r="Q64"/>
    </row>
    <row r="65" spans="1:19" s="166" customFormat="1" x14ac:dyDescent="0.35">
      <c r="A65" s="166" t="s">
        <v>203</v>
      </c>
      <c r="B65" s="166">
        <v>1275</v>
      </c>
      <c r="C65" s="166">
        <f>B65*F65</f>
        <v>138681474.82014391</v>
      </c>
      <c r="D65" s="166">
        <v>0.13</v>
      </c>
      <c r="E65" s="166">
        <f>'[1]Conversion factors selected IV '!$O$29</f>
        <v>0.83669064748201449</v>
      </c>
      <c r="F65" s="166">
        <f>D65*E65*1000000</f>
        <v>108769.78417266189</v>
      </c>
      <c r="G65" s="166">
        <f>'LCoP 2030 MEDIUM'!E9</f>
        <v>917.57099378146563</v>
      </c>
      <c r="H65" s="166">
        <f>F65*G65</f>
        <v>99803998.9567049</v>
      </c>
      <c r="I65" s="166">
        <f>'LCoP 2030 MEDIUM'!H9</f>
        <v>-1.9403410024069152E-2</v>
      </c>
      <c r="L65" s="166">
        <f>I65*H65</f>
        <v>-1936537.913798715</v>
      </c>
      <c r="M65" s="166">
        <f>'LCoP 2030 MEDIUM'!F9</f>
        <v>0.65934952619490772</v>
      </c>
      <c r="O65" s="166">
        <f>M65*H65</f>
        <v>65805719.424460441</v>
      </c>
      <c r="P65" s="166">
        <f>'LCoP 2030 MEDIUM'!G9</f>
        <v>0.36005388382916148</v>
      </c>
      <c r="R65" s="166">
        <f>P65*H65</f>
        <v>35934817.446043178</v>
      </c>
      <c r="S65" s="166">
        <f>L65+O65+R65</f>
        <v>99803998.956704915</v>
      </c>
    </row>
    <row r="66" spans="1:19" x14ac:dyDescent="0.35">
      <c r="H66" s="192" t="s">
        <v>254</v>
      </c>
      <c r="I66" s="5" t="s">
        <v>19</v>
      </c>
      <c r="J66" s="147" t="s">
        <v>179</v>
      </c>
      <c r="K66" s="6">
        <f>'Feedstock MIX per IVC'!G20</f>
        <v>0.84774671077551111</v>
      </c>
      <c r="L66" s="31">
        <f>K66*$F$65</f>
        <v>92209.226764136372</v>
      </c>
      <c r="M66" s="5" t="s">
        <v>211</v>
      </c>
      <c r="N66" s="34">
        <v>0.05</v>
      </c>
      <c r="O66" s="31">
        <f>N66*$O$65</f>
        <v>3290285.9712230223</v>
      </c>
      <c r="P66" s="61" t="s">
        <v>217</v>
      </c>
      <c r="Q66" s="34">
        <v>0.2</v>
      </c>
      <c r="R66" s="2">
        <f>Q66*R$65</f>
        <v>7186963.4892086359</v>
      </c>
    </row>
    <row r="67" spans="1:19" x14ac:dyDescent="0.35">
      <c r="H67" s="192" t="s">
        <v>254</v>
      </c>
      <c r="I67" s="5" t="s">
        <v>7</v>
      </c>
      <c r="J67" s="147" t="s">
        <v>179</v>
      </c>
      <c r="K67" s="6">
        <f>'Feedstock MIX per IVC'!G21</f>
        <v>0.68717839699555039</v>
      </c>
      <c r="L67" s="2">
        <f t="shared" ref="L67:L74" si="15">K67*$F$65</f>
        <v>74744.245929321783</v>
      </c>
      <c r="M67" t="s">
        <v>212</v>
      </c>
      <c r="N67" s="34">
        <v>0.02</v>
      </c>
      <c r="O67" s="31">
        <f t="shared" ref="O67:O71" si="16">N67*$O$65</f>
        <v>1316114.3884892089</v>
      </c>
      <c r="P67" s="61" t="s">
        <v>177</v>
      </c>
      <c r="Q67" s="34">
        <v>0.5</v>
      </c>
      <c r="R67" s="2">
        <f t="shared" ref="R67:R71" si="17">Q67*R$65</f>
        <v>17967408.723021589</v>
      </c>
    </row>
    <row r="68" spans="1:19" x14ac:dyDescent="0.35">
      <c r="H68" s="192" t="s">
        <v>254</v>
      </c>
      <c r="I68" s="5" t="s">
        <v>8</v>
      </c>
      <c r="J68" s="147" t="s">
        <v>179</v>
      </c>
      <c r="K68" s="6">
        <f>'Feedstock MIX per IVC'!G22</f>
        <v>0.31285048268727833</v>
      </c>
      <c r="L68" s="2">
        <f t="shared" si="15"/>
        <v>34028.67948020836</v>
      </c>
      <c r="M68" s="5" t="s">
        <v>210</v>
      </c>
      <c r="N68" s="34">
        <v>0.4</v>
      </c>
      <c r="O68" s="31">
        <f t="shared" si="16"/>
        <v>26322287.769784179</v>
      </c>
      <c r="P68" s="61" t="s">
        <v>218</v>
      </c>
      <c r="Q68" s="34">
        <v>0.15</v>
      </c>
      <c r="R68" s="2">
        <f t="shared" si="17"/>
        <v>5390222.6169064762</v>
      </c>
    </row>
    <row r="69" spans="1:19" x14ac:dyDescent="0.35">
      <c r="H69" s="192" t="s">
        <v>254</v>
      </c>
      <c r="I69" s="5" t="s">
        <v>20</v>
      </c>
      <c r="J69" s="154" t="s">
        <v>178</v>
      </c>
      <c r="K69" s="6">
        <f>'Feedstock MIX per IVC'!G23</f>
        <v>3.9186046927810039</v>
      </c>
      <c r="L69" s="2">
        <f t="shared" si="15"/>
        <v>426225.78669176984</v>
      </c>
      <c r="M69" t="s">
        <v>213</v>
      </c>
      <c r="N69" s="34">
        <v>0.3</v>
      </c>
      <c r="O69" s="31">
        <f t="shared" si="16"/>
        <v>19741715.827338133</v>
      </c>
      <c r="P69" s="61" t="s">
        <v>219</v>
      </c>
      <c r="Q69" s="34">
        <v>0.1</v>
      </c>
      <c r="R69" s="2">
        <f t="shared" si="17"/>
        <v>3593481.7446043179</v>
      </c>
    </row>
    <row r="70" spans="1:19" x14ac:dyDescent="0.35">
      <c r="H70" s="192" t="s">
        <v>254</v>
      </c>
      <c r="I70" s="5" t="s">
        <v>4</v>
      </c>
      <c r="J70" s="147" t="s">
        <v>179</v>
      </c>
      <c r="K70" s="6">
        <f>'Feedstock MIX per IVC'!G24</f>
        <v>16.539306217594486</v>
      </c>
      <c r="L70" s="2">
        <f t="shared" si="15"/>
        <v>1798976.7676533172</v>
      </c>
      <c r="M70" t="s">
        <v>214</v>
      </c>
      <c r="N70" s="34">
        <v>0.2</v>
      </c>
      <c r="O70" s="31">
        <f t="shared" si="16"/>
        <v>13161143.884892089</v>
      </c>
      <c r="P70" s="61" t="s">
        <v>220</v>
      </c>
      <c r="Q70" s="34">
        <v>0.05</v>
      </c>
      <c r="R70" s="2">
        <f t="shared" si="17"/>
        <v>1796740.872302159</v>
      </c>
    </row>
    <row r="71" spans="1:19" x14ac:dyDescent="0.35">
      <c r="H71" s="192" t="s">
        <v>254</v>
      </c>
      <c r="I71" s="5" t="s">
        <v>21</v>
      </c>
      <c r="J71" s="147" t="s">
        <v>179</v>
      </c>
      <c r="K71" s="6">
        <f>'Feedstock MIX per IVC'!G25</f>
        <v>0</v>
      </c>
      <c r="L71" s="2">
        <f t="shared" si="15"/>
        <v>0</v>
      </c>
      <c r="M71" t="s">
        <v>216</v>
      </c>
      <c r="N71" s="34">
        <v>0.03</v>
      </c>
      <c r="O71" s="31">
        <f t="shared" si="16"/>
        <v>1974171.5827338132</v>
      </c>
      <c r="P71" s="59"/>
      <c r="Q71" s="34">
        <f>SUM(Q66:Q70)</f>
        <v>1</v>
      </c>
      <c r="R71" s="2">
        <f t="shared" si="17"/>
        <v>35934817.446043178</v>
      </c>
    </row>
    <row r="72" spans="1:19" x14ac:dyDescent="0.35">
      <c r="H72" s="192" t="s">
        <v>254</v>
      </c>
      <c r="I72" s="5" t="s">
        <v>22</v>
      </c>
      <c r="J72" s="156" t="s">
        <v>180</v>
      </c>
      <c r="K72" s="6">
        <f>'Feedstock MIX per IVC'!G26</f>
        <v>0</v>
      </c>
      <c r="L72" s="2">
        <f t="shared" si="15"/>
        <v>0</v>
      </c>
      <c r="M72"/>
      <c r="N72" s="34">
        <f>SUM(N66:N71)</f>
        <v>1</v>
      </c>
      <c r="O72" s="31">
        <f>SUM(O66:O71)</f>
        <v>65805719.424460441</v>
      </c>
      <c r="P72"/>
      <c r="Q72"/>
    </row>
    <row r="73" spans="1:19" x14ac:dyDescent="0.35">
      <c r="H73" s="192" t="s">
        <v>254</v>
      </c>
      <c r="I73" s="12" t="s">
        <v>23</v>
      </c>
      <c r="J73" s="156" t="s">
        <v>180</v>
      </c>
      <c r="K73" s="6">
        <f>'Feedstock MIX per IVC'!G27</f>
        <v>-42.314992343120878</v>
      </c>
      <c r="L73" s="2">
        <f t="shared" si="15"/>
        <v>-4602592.5844290983</v>
      </c>
      <c r="M73"/>
      <c r="N73" s="34"/>
      <c r="O73"/>
      <c r="P73"/>
      <c r="Q73"/>
    </row>
    <row r="74" spans="1:19" x14ac:dyDescent="0.35">
      <c r="H74" s="192" t="s">
        <v>254</v>
      </c>
      <c r="I74" s="12" t="s">
        <v>24</v>
      </c>
      <c r="J74" s="239" t="s">
        <v>259</v>
      </c>
      <c r="K74" s="6">
        <f>'Feedstock MIX per IVC'!G28</f>
        <v>2.2052996237526661</v>
      </c>
      <c r="L74" s="2">
        <f t="shared" si="15"/>
        <v>239869.96411162996</v>
      </c>
      <c r="M74"/>
      <c r="N74"/>
      <c r="O74"/>
      <c r="P74"/>
      <c r="Q74"/>
    </row>
    <row r="75" spans="1:19" x14ac:dyDescent="0.35">
      <c r="I75"/>
      <c r="J75" s="145" t="s">
        <v>181</v>
      </c>
      <c r="K75"/>
      <c r="L75" s="90">
        <f>SUM(L76:L80)</f>
        <v>-1936537.9137987145</v>
      </c>
      <c r="M75" s="145" t="s">
        <v>181</v>
      </c>
      <c r="N75"/>
      <c r="O75" s="90">
        <f t="shared" ref="O75:O81" si="18">O65</f>
        <v>65805719.424460441</v>
      </c>
      <c r="P75"/>
      <c r="Q75"/>
      <c r="R75" s="90">
        <f>R65</f>
        <v>35934817.446043178</v>
      </c>
    </row>
    <row r="76" spans="1:19" x14ac:dyDescent="0.35">
      <c r="I76" t="s">
        <v>175</v>
      </c>
      <c r="J76" s="147" t="s">
        <v>179</v>
      </c>
      <c r="K76"/>
      <c r="L76" s="2">
        <f>L66+L67+L68+L70+L71</f>
        <v>1999958.9198269837</v>
      </c>
      <c r="M76" s="5" t="s">
        <v>211</v>
      </c>
      <c r="N76"/>
      <c r="O76" s="2">
        <f t="shared" si="18"/>
        <v>3290285.9712230223</v>
      </c>
      <c r="P76" s="102" t="s">
        <v>217</v>
      </c>
      <c r="Q76"/>
      <c r="R76" s="2">
        <f>R66</f>
        <v>7186963.4892086359</v>
      </c>
    </row>
    <row r="77" spans="1:19" x14ac:dyDescent="0.35">
      <c r="I77"/>
      <c r="J77" s="148" t="s">
        <v>176</v>
      </c>
      <c r="K77"/>
      <c r="L77" s="2">
        <f>0</f>
        <v>0</v>
      </c>
      <c r="M77" t="s">
        <v>212</v>
      </c>
      <c r="N77"/>
      <c r="O77" s="2">
        <f t="shared" si="18"/>
        <v>1316114.3884892089</v>
      </c>
      <c r="P77" s="102" t="s">
        <v>177</v>
      </c>
      <c r="Q77"/>
      <c r="R77" s="2">
        <f t="shared" ref="R77:R80" si="19">R67</f>
        <v>17967408.723021589</v>
      </c>
    </row>
    <row r="78" spans="1:19" x14ac:dyDescent="0.35">
      <c r="I78"/>
      <c r="J78" s="239" t="s">
        <v>259</v>
      </c>
      <c r="K78"/>
      <c r="L78" s="2">
        <f>L74</f>
        <v>239869.96411162996</v>
      </c>
      <c r="M78" s="5" t="s">
        <v>210</v>
      </c>
      <c r="N78"/>
      <c r="O78" s="2">
        <f t="shared" si="18"/>
        <v>26322287.769784179</v>
      </c>
      <c r="P78" s="102" t="s">
        <v>218</v>
      </c>
      <c r="Q78"/>
      <c r="R78" s="2">
        <f t="shared" si="19"/>
        <v>5390222.6169064762</v>
      </c>
    </row>
    <row r="79" spans="1:19" x14ac:dyDescent="0.35">
      <c r="I79"/>
      <c r="J79" s="150" t="s">
        <v>178</v>
      </c>
      <c r="K79"/>
      <c r="L79" s="2">
        <f>L69</f>
        <v>426225.78669176984</v>
      </c>
      <c r="M79" t="s">
        <v>213</v>
      </c>
      <c r="N79"/>
      <c r="O79" s="2">
        <f t="shared" si="18"/>
        <v>19741715.827338133</v>
      </c>
      <c r="P79" s="102" t="s">
        <v>219</v>
      </c>
      <c r="Q79"/>
      <c r="R79" s="2">
        <f t="shared" si="19"/>
        <v>3593481.7446043179</v>
      </c>
    </row>
    <row r="80" spans="1:19" x14ac:dyDescent="0.35">
      <c r="I80"/>
      <c r="J80" s="152" t="s">
        <v>180</v>
      </c>
      <c r="K80"/>
      <c r="L80" s="2">
        <f>L72+L73</f>
        <v>-4602592.5844290983</v>
      </c>
      <c r="M80" t="s">
        <v>214</v>
      </c>
      <c r="N80"/>
      <c r="O80" s="2">
        <f t="shared" si="18"/>
        <v>13161143.884892089</v>
      </c>
      <c r="P80" s="102" t="s">
        <v>220</v>
      </c>
      <c r="Q80"/>
      <c r="R80" s="2">
        <f t="shared" si="19"/>
        <v>1796740.872302159</v>
      </c>
    </row>
    <row r="81" spans="1:19" x14ac:dyDescent="0.35">
      <c r="I81"/>
      <c r="J81"/>
      <c r="K81"/>
      <c r="L81" s="2">
        <f>SUM(L76:L79)</f>
        <v>2666054.6706303838</v>
      </c>
      <c r="M81" t="s">
        <v>216</v>
      </c>
      <c r="N81"/>
      <c r="O81" s="2">
        <f t="shared" si="18"/>
        <v>1974171.5827338132</v>
      </c>
      <c r="P81"/>
      <c r="Q81"/>
    </row>
    <row r="82" spans="1:19" s="172" customFormat="1" ht="34" customHeight="1" x14ac:dyDescent="0.35">
      <c r="A82" s="173" t="s">
        <v>224</v>
      </c>
      <c r="B82" s="173"/>
      <c r="C82" s="173"/>
    </row>
    <row r="83" spans="1:19" x14ac:dyDescent="0.35">
      <c r="A83" s="78" t="s">
        <v>156</v>
      </c>
      <c r="B83" s="78"/>
      <c r="C83" s="31">
        <f>SUM(C84:C98)</f>
        <v>15963965208.083679</v>
      </c>
      <c r="D83" s="101">
        <f>SUM(D84:D98)</f>
        <v>12.938449412439093</v>
      </c>
      <c r="E83" s="77">
        <v>1.1627906976744187</v>
      </c>
      <c r="F83" s="31">
        <f>SUM(F84:F98)</f>
        <v>13695613.636363637</v>
      </c>
      <c r="H83" s="2">
        <f>H84+H91+H98</f>
        <v>13041552272.727272</v>
      </c>
      <c r="I83"/>
      <c r="J83"/>
      <c r="K83"/>
      <c r="L83" s="2">
        <f>L84+L91+L98</f>
        <v>9277868181.8181801</v>
      </c>
      <c r="M83"/>
      <c r="N83"/>
      <c r="O83" s="2">
        <f>O84+O91+O98</f>
        <v>1060461363.6363636</v>
      </c>
      <c r="P83"/>
      <c r="Q83"/>
      <c r="R83" s="2">
        <f>R84+R91+R98</f>
        <v>2703222727.272727</v>
      </c>
      <c r="S83" s="2">
        <f>L83+R83</f>
        <v>11981090909.090908</v>
      </c>
    </row>
    <row r="84" spans="1:19" s="115" customFormat="1" x14ac:dyDescent="0.35">
      <c r="A84" s="115" t="s">
        <v>373</v>
      </c>
      <c r="B84" s="115">
        <v>1165.6261363636365</v>
      </c>
      <c r="C84" s="115">
        <f>B84*F84</f>
        <v>6061255909.090909</v>
      </c>
      <c r="D84" s="115">
        <f>'[2]GAP analysis Sc. 1'!$G$18</f>
        <v>4.5953950511130213</v>
      </c>
      <c r="E84" s="115">
        <f>'[1]Conversion factors selected IV '!$O$4</f>
        <v>1.1315675675675676</v>
      </c>
      <c r="F84" s="115">
        <f>D84*E84*1000000</f>
        <v>5199999.9999999991</v>
      </c>
      <c r="G84" s="306">
        <f>'LCoP CONVENTIONAL'!$B$3</f>
        <v>800</v>
      </c>
      <c r="H84" s="115">
        <f>G84*F84</f>
        <v>4159999999.999999</v>
      </c>
      <c r="I84" s="306">
        <f>'LCoP CONVENTIONAL'!$C$3</f>
        <v>0.75</v>
      </c>
      <c r="K84" s="115">
        <f>I84*G84</f>
        <v>600</v>
      </c>
      <c r="L84" s="115">
        <f>I84*H84</f>
        <v>3119999999.999999</v>
      </c>
      <c r="M84" s="306">
        <f>'LCoP CONVENTIONAL'!$F$3</f>
        <v>6.5000000000000002E-2</v>
      </c>
      <c r="O84" s="115">
        <f>M84*H84</f>
        <v>270399999.99999994</v>
      </c>
      <c r="P84" s="306">
        <f>'LCoP CONVENTIONAL'!$I$3</f>
        <v>0.185</v>
      </c>
      <c r="R84" s="115">
        <f>P84*H84</f>
        <v>769599999.99999976</v>
      </c>
    </row>
    <row r="85" spans="1:19" s="18" customFormat="1" x14ac:dyDescent="0.35">
      <c r="D85" s="111"/>
      <c r="E85" s="174"/>
      <c r="F85" s="175"/>
      <c r="H85" s="192" t="s">
        <v>254</v>
      </c>
      <c r="I85" s="18" t="s">
        <v>225</v>
      </c>
      <c r="J85" s="154" t="s">
        <v>178</v>
      </c>
      <c r="K85" s="107">
        <f>'Feedtstocks only CONVENTIONAL'!$J$4</f>
        <v>0.76052615016678204</v>
      </c>
      <c r="L85" s="117">
        <f>K85*L$84</f>
        <v>2372841588.520359</v>
      </c>
      <c r="M85" t="s">
        <v>257</v>
      </c>
      <c r="N85" s="59">
        <v>0.45</v>
      </c>
      <c r="O85" s="31">
        <f>N85*$O$84</f>
        <v>121679999.99999997</v>
      </c>
      <c r="P85" t="s">
        <v>259</v>
      </c>
      <c r="Q85" s="59">
        <v>0.3</v>
      </c>
      <c r="R85" s="117">
        <f>Q85*R$84</f>
        <v>230879999.99999991</v>
      </c>
    </row>
    <row r="86" spans="1:19" s="18" customFormat="1" x14ac:dyDescent="0.35">
      <c r="D86" s="111"/>
      <c r="E86" s="174"/>
      <c r="F86" s="270" t="s">
        <v>366</v>
      </c>
      <c r="H86" s="192" t="s">
        <v>254</v>
      </c>
      <c r="I86" s="18" t="s">
        <v>226</v>
      </c>
      <c r="J86" s="154" t="s">
        <v>178</v>
      </c>
      <c r="K86" s="107">
        <f>'Feedtstocks only CONVENTIONAL'!$J$5</f>
        <v>0.16011076845616465</v>
      </c>
      <c r="L86" s="117">
        <f t="shared" ref="L86:L88" si="20">K86*L$84</f>
        <v>499545597.58323354</v>
      </c>
      <c r="M86" t="s">
        <v>258</v>
      </c>
      <c r="N86" s="59">
        <v>0.3</v>
      </c>
      <c r="O86" s="31">
        <f t="shared" ref="O86:O89" si="21">N86*$O$84</f>
        <v>81119999.999999985</v>
      </c>
      <c r="P86" t="s">
        <v>260</v>
      </c>
      <c r="Q86" s="59">
        <v>0.2</v>
      </c>
      <c r="R86" s="117">
        <f t="shared" ref="R86:R89" si="22">Q86*R$84</f>
        <v>153919999.99999997</v>
      </c>
    </row>
    <row r="87" spans="1:19" s="18" customFormat="1" x14ac:dyDescent="0.35">
      <c r="D87" s="111"/>
      <c r="E87" s="174"/>
      <c r="F87" s="270"/>
      <c r="H87" s="192" t="s">
        <v>254</v>
      </c>
      <c r="I87" s="18" t="s">
        <v>228</v>
      </c>
      <c r="J87" s="154" t="s">
        <v>178</v>
      </c>
      <c r="K87" s="107">
        <f>'Feedtstocks only CONVENTIONAL'!$J$6</f>
        <v>4.0027692114041162E-2</v>
      </c>
      <c r="L87" s="117">
        <f t="shared" si="20"/>
        <v>124886399.39580838</v>
      </c>
      <c r="M87" t="s">
        <v>213</v>
      </c>
      <c r="N87" s="59">
        <v>0.15</v>
      </c>
      <c r="O87" s="31">
        <f t="shared" si="21"/>
        <v>40559999.999999993</v>
      </c>
      <c r="P87" t="s">
        <v>218</v>
      </c>
      <c r="Q87" s="59">
        <v>0.25</v>
      </c>
      <c r="R87" s="117">
        <f t="shared" si="22"/>
        <v>192399999.99999994</v>
      </c>
    </row>
    <row r="88" spans="1:19" s="18" customFormat="1" x14ac:dyDescent="0.35">
      <c r="D88" s="111"/>
      <c r="E88" s="174"/>
      <c r="F88" s="175"/>
      <c r="H88" s="191" t="s">
        <v>252</v>
      </c>
      <c r="I88" s="18" t="s">
        <v>227</v>
      </c>
      <c r="J88" s="154" t="s">
        <v>178</v>
      </c>
      <c r="K88" s="107">
        <f>'Feedtstocks only CONVENTIONAL'!$J$7</f>
        <v>3.9335389263012145E-2</v>
      </c>
      <c r="L88" s="117">
        <f t="shared" si="20"/>
        <v>122726414.50059785</v>
      </c>
      <c r="M88" t="s">
        <v>211</v>
      </c>
      <c r="N88" s="59">
        <v>7.0000000000000007E-2</v>
      </c>
      <c r="O88" s="31">
        <f t="shared" si="21"/>
        <v>18927999.999999996</v>
      </c>
      <c r="P88" t="s">
        <v>261</v>
      </c>
      <c r="Q88" s="59">
        <v>0.15</v>
      </c>
      <c r="R88" s="117">
        <f t="shared" si="22"/>
        <v>115439999.99999996</v>
      </c>
    </row>
    <row r="89" spans="1:19" s="18" customFormat="1" x14ac:dyDescent="0.35">
      <c r="D89" s="111"/>
      <c r="E89" s="174"/>
      <c r="F89" s="175"/>
      <c r="J89" s="145"/>
      <c r="K89" s="107"/>
      <c r="M89" t="s">
        <v>216</v>
      </c>
      <c r="N89" s="59">
        <v>0.03</v>
      </c>
      <c r="O89" s="31">
        <f t="shared" si="21"/>
        <v>8111999.9999999981</v>
      </c>
      <c r="P89" s="18" t="s">
        <v>220</v>
      </c>
      <c r="Q89" s="59">
        <v>0.1</v>
      </c>
      <c r="R89" s="117">
        <f t="shared" si="22"/>
        <v>76959999.999999985</v>
      </c>
    </row>
    <row r="90" spans="1:19" s="18" customFormat="1" x14ac:dyDescent="0.35">
      <c r="D90" s="111"/>
      <c r="E90" s="174"/>
      <c r="F90" s="175"/>
      <c r="J90" s="107"/>
      <c r="K90" s="107"/>
      <c r="L90" s="117"/>
      <c r="M90"/>
      <c r="N90" s="59"/>
      <c r="O90" s="31"/>
      <c r="P90" t="s">
        <v>180</v>
      </c>
      <c r="Q90" s="59">
        <v>0</v>
      </c>
      <c r="R90" s="117">
        <f>Q90*R$84</f>
        <v>0</v>
      </c>
    </row>
    <row r="91" spans="1:19" s="115" customFormat="1" x14ac:dyDescent="0.35">
      <c r="A91" s="115" t="s">
        <v>386</v>
      </c>
      <c r="B91" s="115">
        <v>1165.6261363636365</v>
      </c>
      <c r="C91" s="115">
        <f>B91*F91</f>
        <v>4079691477.272728</v>
      </c>
      <c r="D91" s="115">
        <f>'[2]GAP analysis Sc. 1'!$G$23</f>
        <v>3.0930543613260721</v>
      </c>
      <c r="E91" s="115">
        <f>'[1]Conversion factors selected IV '!$O$4</f>
        <v>1.1315675675675676</v>
      </c>
      <c r="F91" s="115">
        <f>D91*E91*1000000</f>
        <v>3500000</v>
      </c>
      <c r="G91" s="306">
        <f>'LCoP CONVENTIONAL'!$B$17</f>
        <v>1253</v>
      </c>
      <c r="H91" s="115">
        <f>G91*F91</f>
        <v>4385500000</v>
      </c>
      <c r="I91" s="306">
        <f>'LCoP CONVENTIONAL'!$C$17</f>
        <v>0.72067039106145248</v>
      </c>
      <c r="K91" s="115">
        <f>'Feedtstocks only CONVENTIONAL'!I15</f>
        <v>853.09425278075696</v>
      </c>
      <c r="L91" s="115">
        <f>H91*I91</f>
        <v>3160500000</v>
      </c>
      <c r="M91" s="306">
        <f>'LCoP CONVENTIONAL'!$F$17</f>
        <v>6.6241021548284124E-2</v>
      </c>
      <c r="O91" s="115">
        <f>M91*H91</f>
        <v>290500000</v>
      </c>
      <c r="P91" s="306">
        <f>'LCoP CONVENTIONAL'!$I$17</f>
        <v>0.21308858739026337</v>
      </c>
      <c r="R91" s="115">
        <f>P91*H91</f>
        <v>934500000</v>
      </c>
    </row>
    <row r="92" spans="1:19" s="18" customFormat="1" x14ac:dyDescent="0.35">
      <c r="D92" s="116"/>
      <c r="E92" s="174"/>
      <c r="F92" s="175"/>
      <c r="H92" s="192" t="s">
        <v>254</v>
      </c>
      <c r="I92" s="18" t="s">
        <v>268</v>
      </c>
      <c r="J92" s="154" t="s">
        <v>178</v>
      </c>
      <c r="K92" s="59">
        <f>'Feedtstocks only CONVENTIONAL'!J37</f>
        <v>0.42676656092472537</v>
      </c>
      <c r="L92" s="102">
        <f>K92*L91</f>
        <v>1348795715.8025944</v>
      </c>
      <c r="M92" t="s">
        <v>257</v>
      </c>
      <c r="N92" s="59">
        <v>0.5</v>
      </c>
      <c r="O92" s="102">
        <f>N92*O$91</f>
        <v>145250000</v>
      </c>
      <c r="P92" t="s">
        <v>259</v>
      </c>
      <c r="Q92" s="59">
        <v>0.25</v>
      </c>
      <c r="R92" s="102">
        <f>Q92*R$91</f>
        <v>233625000</v>
      </c>
      <c r="S92" s="102" t="s">
        <v>217</v>
      </c>
    </row>
    <row r="93" spans="1:19" s="18" customFormat="1" x14ac:dyDescent="0.35">
      <c r="D93" s="116"/>
      <c r="E93" s="174"/>
      <c r="F93" s="175"/>
      <c r="H93" s="191" t="s">
        <v>252</v>
      </c>
      <c r="I93" s="18" t="s">
        <v>269</v>
      </c>
      <c r="J93" s="154" t="s">
        <v>178</v>
      </c>
      <c r="K93" s="59">
        <f>'Feedtstocks only CONVENTIONAL'!J38</f>
        <v>0.28451104061648358</v>
      </c>
      <c r="L93" s="102">
        <f>K93*L91</f>
        <v>899197143.8683964</v>
      </c>
      <c r="M93" t="s">
        <v>258</v>
      </c>
      <c r="N93" s="59">
        <v>0.3</v>
      </c>
      <c r="O93" s="102">
        <f t="shared" ref="O93:O96" si="23">N93*O$91</f>
        <v>87150000</v>
      </c>
      <c r="P93" t="s">
        <v>260</v>
      </c>
      <c r="Q93" s="59">
        <v>0.15</v>
      </c>
      <c r="R93" s="102">
        <f t="shared" ref="R93:R97" si="24">Q93*R$91</f>
        <v>140175000</v>
      </c>
      <c r="S93" s="102" t="s">
        <v>177</v>
      </c>
    </row>
    <row r="94" spans="1:19" s="18" customFormat="1" x14ac:dyDescent="0.35">
      <c r="D94" s="116"/>
      <c r="E94" s="174"/>
      <c r="F94" s="175"/>
      <c r="H94" s="192" t="s">
        <v>254</v>
      </c>
      <c r="I94" s="18" t="s">
        <v>267</v>
      </c>
      <c r="J94" s="154" t="s">
        <v>178</v>
      </c>
      <c r="K94" s="59">
        <f>'Feedtstocks only CONVENTIONAL'!J39</f>
        <v>0.288722398458791</v>
      </c>
      <c r="L94" s="102">
        <f>K94*L91</f>
        <v>912507140.32900894</v>
      </c>
      <c r="M94" t="s">
        <v>213</v>
      </c>
      <c r="N94" s="59">
        <v>0.1</v>
      </c>
      <c r="O94" s="102">
        <f t="shared" si="23"/>
        <v>29050000</v>
      </c>
      <c r="P94" t="s">
        <v>218</v>
      </c>
      <c r="Q94" s="59">
        <v>0.2</v>
      </c>
      <c r="R94" s="102">
        <f t="shared" si="24"/>
        <v>186900000</v>
      </c>
      <c r="S94" s="102" t="s">
        <v>218</v>
      </c>
    </row>
    <row r="95" spans="1:19" s="18" customFormat="1" x14ac:dyDescent="0.35">
      <c r="D95" s="116"/>
      <c r="E95" s="174"/>
      <c r="F95" s="175"/>
      <c r="K95" s="102">
        <f>SUM(K92:K94)</f>
        <v>1</v>
      </c>
      <c r="L95" s="102">
        <f>SUM(L92:L94)</f>
        <v>3160500000</v>
      </c>
      <c r="M95" t="s">
        <v>211</v>
      </c>
      <c r="N95" s="59">
        <v>7.0000000000000007E-2</v>
      </c>
      <c r="O95" s="102">
        <f t="shared" si="23"/>
        <v>20335000.000000004</v>
      </c>
      <c r="P95" t="s">
        <v>261</v>
      </c>
      <c r="Q95" s="59">
        <v>0.2</v>
      </c>
      <c r="R95" s="102">
        <f t="shared" si="24"/>
        <v>186900000</v>
      </c>
      <c r="S95" s="102" t="s">
        <v>219</v>
      </c>
    </row>
    <row r="96" spans="1:19" s="18" customFormat="1" x14ac:dyDescent="0.35">
      <c r="D96" s="116"/>
      <c r="E96" s="174"/>
      <c r="F96" s="175"/>
      <c r="K96" s="59"/>
      <c r="L96" s="102"/>
      <c r="M96" t="s">
        <v>216</v>
      </c>
      <c r="N96" s="59">
        <v>0.03</v>
      </c>
      <c r="O96" s="102">
        <f t="shared" si="23"/>
        <v>8715000</v>
      </c>
      <c r="P96" s="18" t="s">
        <v>220</v>
      </c>
      <c r="Q96" s="59">
        <v>0.1</v>
      </c>
      <c r="R96" s="102">
        <f t="shared" si="24"/>
        <v>93450000</v>
      </c>
      <c r="S96" s="102" t="s">
        <v>220</v>
      </c>
    </row>
    <row r="97" spans="1:18" s="18" customFormat="1" x14ac:dyDescent="0.35">
      <c r="D97" s="116"/>
      <c r="E97" s="174"/>
      <c r="F97" s="175"/>
      <c r="K97" s="59" t="s">
        <v>284</v>
      </c>
      <c r="L97" s="102"/>
      <c r="M97"/>
      <c r="N97" s="59"/>
      <c r="P97" t="s">
        <v>180</v>
      </c>
      <c r="Q97" s="59">
        <v>0.1</v>
      </c>
      <c r="R97" s="102">
        <f t="shared" si="24"/>
        <v>93450000</v>
      </c>
    </row>
    <row r="98" spans="1:18" s="115" customFormat="1" x14ac:dyDescent="0.35">
      <c r="A98" s="115" t="s">
        <v>330</v>
      </c>
      <c r="B98" s="115">
        <v>1165.6261363636365</v>
      </c>
      <c r="C98" s="115">
        <f>B98*F98</f>
        <v>5823017821.7200422</v>
      </c>
      <c r="D98" s="115">
        <v>5.25</v>
      </c>
      <c r="E98" s="115">
        <f>'[1]Conversion factors selected IV '!$O$7</f>
        <v>0.95154545454545458</v>
      </c>
      <c r="F98" s="115">
        <f>D98*E98*1000000</f>
        <v>4995613.6363636367</v>
      </c>
      <c r="G98" s="306">
        <f>'LCoP CONVENTIONAL'!$B$24</f>
        <v>900</v>
      </c>
      <c r="H98" s="115">
        <f>G98*F98</f>
        <v>4496052272.727273</v>
      </c>
      <c r="I98" s="306">
        <f>'LCoP CONVENTIONAL'!$C$24</f>
        <v>0.66666666666666663</v>
      </c>
      <c r="K98" s="115">
        <f>'Feedtstocks only CONVENTIONAL'!I22</f>
        <v>466.0773333333334</v>
      </c>
      <c r="L98" s="115">
        <f>I98*H98</f>
        <v>2997368181.818182</v>
      </c>
      <c r="M98" s="306">
        <f>'LCoP CONVENTIONAL'!$F$24</f>
        <v>0.1111111111111111</v>
      </c>
      <c r="O98" s="115">
        <f>M98*H98</f>
        <v>499561363.63636363</v>
      </c>
      <c r="P98" s="306">
        <f>'LCoP CONVENTIONAL'!$I$24</f>
        <v>0.22222222222222221</v>
      </c>
      <c r="R98" s="115">
        <f>P98*H98</f>
        <v>999122727.27272725</v>
      </c>
    </row>
    <row r="99" spans="1:18" x14ac:dyDescent="0.35">
      <c r="H99" s="192" t="s">
        <v>254</v>
      </c>
      <c r="I99" s="18" t="s">
        <v>225</v>
      </c>
      <c r="J99" s="154" t="s">
        <v>178</v>
      </c>
      <c r="K99" s="107">
        <f>'Feedtstocks only CONVENTIONAL'!J$4</f>
        <v>0.76052615016678204</v>
      </c>
      <c r="L99" s="2">
        <f>K99*L$98</f>
        <v>2279576883.9505892</v>
      </c>
      <c r="M99" t="s">
        <v>257</v>
      </c>
      <c r="N99" s="59">
        <v>0.55000000000000004</v>
      </c>
      <c r="O99" s="2">
        <f>N99*O$98</f>
        <v>274758750</v>
      </c>
      <c r="P99" t="s">
        <v>259</v>
      </c>
      <c r="Q99" s="59">
        <v>0.4</v>
      </c>
      <c r="R99" s="2">
        <f>Q99*R$98</f>
        <v>399649090.90909094</v>
      </c>
    </row>
    <row r="100" spans="1:18" x14ac:dyDescent="0.35">
      <c r="F100" s="270" t="s">
        <v>366</v>
      </c>
      <c r="H100" s="192" t="s">
        <v>254</v>
      </c>
      <c r="I100" s="18" t="s">
        <v>226</v>
      </c>
      <c r="J100" s="154" t="s">
        <v>178</v>
      </c>
      <c r="K100" s="107">
        <f>'Feedtstocks only CONVENTIONAL'!J$5</f>
        <v>0.16011076845616465</v>
      </c>
      <c r="L100" s="2">
        <f t="shared" ref="L100:L102" si="25">K100*L$98</f>
        <v>479910922.93696618</v>
      </c>
      <c r="M100" t="s">
        <v>258</v>
      </c>
      <c r="N100" s="59">
        <v>0.25</v>
      </c>
      <c r="O100" s="2">
        <f>N100*O$98</f>
        <v>124890340.90909091</v>
      </c>
      <c r="P100" t="s">
        <v>260</v>
      </c>
      <c r="Q100" s="59">
        <v>0.2</v>
      </c>
      <c r="R100" s="2">
        <f t="shared" ref="R100:R103" si="26">Q100*R$98</f>
        <v>199824545.45454547</v>
      </c>
    </row>
    <row r="101" spans="1:18" x14ac:dyDescent="0.35">
      <c r="H101" s="192" t="s">
        <v>254</v>
      </c>
      <c r="I101" s="18" t="s">
        <v>228</v>
      </c>
      <c r="J101" s="154" t="s">
        <v>178</v>
      </c>
      <c r="K101" s="107">
        <f>'Feedtstocks only CONVENTIONAL'!J$6</f>
        <v>4.0027692114041162E-2</v>
      </c>
      <c r="L101" s="2">
        <f t="shared" si="25"/>
        <v>119977730.73424155</v>
      </c>
      <c r="M101" t="s">
        <v>213</v>
      </c>
      <c r="N101" s="59">
        <v>0.1</v>
      </c>
      <c r="O101" s="2">
        <f>N101*O$98</f>
        <v>49956136.363636367</v>
      </c>
      <c r="P101" t="s">
        <v>218</v>
      </c>
      <c r="Q101" s="59">
        <v>0.2</v>
      </c>
      <c r="R101" s="2">
        <f t="shared" si="26"/>
        <v>199824545.45454547</v>
      </c>
    </row>
    <row r="102" spans="1:18" x14ac:dyDescent="0.35">
      <c r="H102" s="191" t="s">
        <v>252</v>
      </c>
      <c r="I102" s="18" t="s">
        <v>227</v>
      </c>
      <c r="J102" s="154" t="s">
        <v>178</v>
      </c>
      <c r="K102" s="107">
        <f>'Feedtstocks only CONVENTIONAL'!J$7</f>
        <v>3.9335389263012145E-2</v>
      </c>
      <c r="L102" s="2">
        <f t="shared" si="25"/>
        <v>117902644.19638515</v>
      </c>
      <c r="M102" t="s">
        <v>211</v>
      </c>
      <c r="N102" s="59">
        <v>7.0000000000000007E-2</v>
      </c>
      <c r="O102" s="2">
        <f>N102*O$98</f>
        <v>34969295.454545461</v>
      </c>
      <c r="P102" t="s">
        <v>261</v>
      </c>
      <c r="Q102" s="59">
        <v>0.15</v>
      </c>
      <c r="R102" s="2">
        <f t="shared" si="26"/>
        <v>149868409.09090909</v>
      </c>
    </row>
    <row r="103" spans="1:18" x14ac:dyDescent="0.35">
      <c r="I103" s="18"/>
      <c r="J103"/>
      <c r="K103"/>
      <c r="L103"/>
      <c r="M103" t="s">
        <v>216</v>
      </c>
      <c r="N103" s="59">
        <v>0.03</v>
      </c>
      <c r="O103" s="2">
        <f>N103*O$98</f>
        <v>14986840.909090908</v>
      </c>
      <c r="P103" s="199" t="s">
        <v>220</v>
      </c>
      <c r="Q103" s="59">
        <v>0.05</v>
      </c>
      <c r="R103" s="2">
        <f t="shared" si="26"/>
        <v>49956136.363636367</v>
      </c>
    </row>
    <row r="104" spans="1:18" x14ac:dyDescent="0.35">
      <c r="I104" s="18"/>
      <c r="J104"/>
      <c r="K104"/>
      <c r="L104"/>
      <c r="M104"/>
      <c r="N104" s="59"/>
      <c r="O104" s="2"/>
      <c r="P104" t="s">
        <v>180</v>
      </c>
      <c r="Q104" s="59">
        <v>0</v>
      </c>
      <c r="R104" s="2">
        <f>Q104*R$98</f>
        <v>0</v>
      </c>
    </row>
    <row r="105" spans="1:18" x14ac:dyDescent="0.35">
      <c r="I105" s="18"/>
      <c r="J105" s="145" t="s">
        <v>281</v>
      </c>
      <c r="K105" s="107"/>
      <c r="L105" s="18"/>
      <c r="M105" s="145" t="s">
        <v>285</v>
      </c>
      <c r="N105" s="59"/>
      <c r="O105" s="90">
        <f>SUM(O106:O110)</f>
        <v>1060461363.6363636</v>
      </c>
      <c r="P105" s="140" t="s">
        <v>181</v>
      </c>
      <c r="Q105" s="59"/>
      <c r="R105" s="90">
        <f>SUM(R106:R111)</f>
        <v>2703222727.272727</v>
      </c>
    </row>
    <row r="106" spans="1:18" x14ac:dyDescent="0.35">
      <c r="I106" s="18"/>
      <c r="J106" s="154" t="s">
        <v>178</v>
      </c>
      <c r="K106" s="107"/>
      <c r="L106" s="117">
        <f>L85+L87+L92+L94+L99+L101+L86+L100</f>
        <v>8138041979.2528009</v>
      </c>
      <c r="M106" t="s">
        <v>257</v>
      </c>
      <c r="N106" s="59"/>
      <c r="O106" s="2">
        <f>O85+O92+O99</f>
        <v>541688750</v>
      </c>
      <c r="P106" t="s">
        <v>259</v>
      </c>
      <c r="Q106" s="59"/>
      <c r="R106" s="2">
        <f t="shared" ref="R106:R110" si="27">R85+R92+R99</f>
        <v>864154090.90909076</v>
      </c>
    </row>
    <row r="107" spans="1:18" x14ac:dyDescent="0.35">
      <c r="I107" s="18"/>
      <c r="J107" s="12"/>
      <c r="K107"/>
      <c r="L107" s="2"/>
      <c r="M107" t="s">
        <v>258</v>
      </c>
      <c r="N107" s="59"/>
      <c r="O107" s="2">
        <f>O86+O93+O100</f>
        <v>293160340.90909088</v>
      </c>
      <c r="P107" t="s">
        <v>260</v>
      </c>
      <c r="Q107"/>
      <c r="R107" s="2">
        <f t="shared" si="27"/>
        <v>493919545.4545455</v>
      </c>
    </row>
    <row r="108" spans="1:18" x14ac:dyDescent="0.35">
      <c r="I108" s="18"/>
      <c r="J108" s="145" t="s">
        <v>282</v>
      </c>
      <c r="K108" s="107"/>
      <c r="L108" s="117"/>
      <c r="M108" t="s">
        <v>213</v>
      </c>
      <c r="N108" s="59"/>
      <c r="O108" s="2">
        <f>O87+O94+O101</f>
        <v>119566136.36363637</v>
      </c>
      <c r="P108" t="s">
        <v>218</v>
      </c>
      <c r="Q108"/>
      <c r="R108" s="2">
        <f t="shared" si="27"/>
        <v>579124545.45454538</v>
      </c>
    </row>
    <row r="109" spans="1:18" x14ac:dyDescent="0.35">
      <c r="I109" s="18"/>
      <c r="J109" s="154" t="s">
        <v>178</v>
      </c>
      <c r="K109" s="107"/>
      <c r="L109" s="117">
        <f>L88+L93+L102</f>
        <v>1139826202.5653794</v>
      </c>
      <c r="M109" t="s">
        <v>211</v>
      </c>
      <c r="N109" s="59"/>
      <c r="O109" s="2">
        <f>O88+O95+O102</f>
        <v>74232295.454545468</v>
      </c>
      <c r="P109" t="s">
        <v>261</v>
      </c>
      <c r="Q109"/>
      <c r="R109" s="2">
        <f t="shared" si="27"/>
        <v>452208409.090909</v>
      </c>
    </row>
    <row r="110" spans="1:18" x14ac:dyDescent="0.35">
      <c r="I110" s="18"/>
      <c r="J110" s="12"/>
      <c r="K110"/>
      <c r="L110" s="2"/>
      <c r="M110" t="s">
        <v>216</v>
      </c>
      <c r="N110" s="59"/>
      <c r="O110" s="2">
        <f>O89+O96+O103</f>
        <v>31813840.909090906</v>
      </c>
      <c r="P110" s="102" t="s">
        <v>220</v>
      </c>
      <c r="Q110"/>
      <c r="R110" s="2">
        <f t="shared" si="27"/>
        <v>220366136.36363637</v>
      </c>
    </row>
    <row r="111" spans="1:18" x14ac:dyDescent="0.35">
      <c r="I111" s="18"/>
      <c r="J111" s="145" t="s">
        <v>283</v>
      </c>
      <c r="K111" s="107"/>
      <c r="L111" s="197">
        <f>L106+L109+L107+L110</f>
        <v>9277868181.8181801</v>
      </c>
      <c r="M111"/>
      <c r="N111" s="59"/>
      <c r="O111" s="2"/>
      <c r="P111" t="s">
        <v>180</v>
      </c>
      <c r="Q111"/>
      <c r="R111" s="2">
        <f>R90+R97+R104</f>
        <v>93450000</v>
      </c>
    </row>
    <row r="112" spans="1:18" x14ac:dyDescent="0.35">
      <c r="I112" s="18"/>
      <c r="J112"/>
      <c r="K112"/>
      <c r="L112"/>
      <c r="M112"/>
      <c r="N112" s="59"/>
      <c r="O112"/>
      <c r="P112"/>
      <c r="Q112"/>
    </row>
    <row r="113" spans="1:19" s="172" customFormat="1" ht="28" customHeight="1" x14ac:dyDescent="0.35">
      <c r="A113" s="189" t="s">
        <v>272</v>
      </c>
      <c r="B113" s="189"/>
      <c r="C113" s="189"/>
    </row>
    <row r="114" spans="1:19" x14ac:dyDescent="0.35">
      <c r="A114" t="s">
        <v>156</v>
      </c>
      <c r="I114"/>
      <c r="J114"/>
      <c r="K114"/>
      <c r="L114"/>
      <c r="M114"/>
      <c r="N114"/>
      <c r="O114"/>
      <c r="P114"/>
      <c r="Q114"/>
    </row>
    <row r="115" spans="1:19" s="195" customFormat="1" x14ac:dyDescent="0.35">
      <c r="A115" s="195" t="s">
        <v>329</v>
      </c>
      <c r="B115" s="195">
        <v>1018.9695817490494</v>
      </c>
      <c r="C115" s="195">
        <f>B115*F115</f>
        <v>4992950950.5703411</v>
      </c>
      <c r="D115" s="195">
        <f>'[2]GAP analysis Sc. 1'!$G$20</f>
        <v>3.1599312123817707</v>
      </c>
      <c r="E115" s="195">
        <f>'[1]Conversion factors selected IV '!$O$22</f>
        <v>1.5506666666666669</v>
      </c>
      <c r="F115" s="195">
        <f>D115*E115*1000000</f>
        <v>4899999.9999999991</v>
      </c>
      <c r="G115" s="307">
        <f>'LCoP CONVENTIONAL'!$B$53</f>
        <v>903.57</v>
      </c>
      <c r="H115" s="195">
        <f>G115*F115</f>
        <v>4427492999.999999</v>
      </c>
      <c r="I115" s="307">
        <f>'LCoP CONVENTIONAL'!$C$53</f>
        <v>0.7</v>
      </c>
      <c r="K115" s="195">
        <v>632.5</v>
      </c>
      <c r="L115" s="195">
        <f>I115*H115</f>
        <v>3099245099.999999</v>
      </c>
      <c r="M115" s="307">
        <f>'LCoP CONVENTIONAL'!$F$53</f>
        <v>0.1</v>
      </c>
      <c r="O115" s="195">
        <f>M115*H115</f>
        <v>442749299.99999994</v>
      </c>
      <c r="P115" s="307">
        <f>'LCoP CONVENTIONAL'!$I$53</f>
        <v>0.2</v>
      </c>
      <c r="R115" s="195">
        <f>P115*H115</f>
        <v>885498599.99999988</v>
      </c>
      <c r="S115" s="2">
        <f>L115+R115</f>
        <v>3984743699.999999</v>
      </c>
    </row>
    <row r="116" spans="1:19" x14ac:dyDescent="0.35">
      <c r="H116" s="192" t="s">
        <v>254</v>
      </c>
      <c r="I116" t="s">
        <v>235</v>
      </c>
      <c r="J116" s="147" t="s">
        <v>179</v>
      </c>
      <c r="K116" s="6">
        <f>1/6</f>
        <v>0.16666666666666666</v>
      </c>
      <c r="L116" s="31">
        <f>K116*L$115</f>
        <v>516540849.99999982</v>
      </c>
      <c r="M116" t="s">
        <v>257</v>
      </c>
      <c r="N116" s="59">
        <v>0.5</v>
      </c>
      <c r="O116">
        <f>N116*O$115</f>
        <v>221374649.99999997</v>
      </c>
      <c r="P116" t="s">
        <v>259</v>
      </c>
      <c r="Q116" s="59">
        <v>0.15</v>
      </c>
      <c r="R116">
        <f>Q116*R$115</f>
        <v>132824789.99999997</v>
      </c>
    </row>
    <row r="117" spans="1:19" x14ac:dyDescent="0.35">
      <c r="H117" s="192" t="s">
        <v>254</v>
      </c>
      <c r="I117" t="s">
        <v>236</v>
      </c>
      <c r="J117" s="147" t="s">
        <v>179</v>
      </c>
      <c r="K117" s="6">
        <f t="shared" ref="K117:K121" si="28">1/6</f>
        <v>0.16666666666666666</v>
      </c>
      <c r="L117" s="31">
        <f t="shared" ref="L117:L121" si="29">K117*L$115</f>
        <v>516540849.99999982</v>
      </c>
      <c r="M117" t="s">
        <v>258</v>
      </c>
      <c r="N117" s="59">
        <v>0.25</v>
      </c>
      <c r="O117">
        <f t="shared" ref="O117:O120" si="30">N117*O$115</f>
        <v>110687324.99999999</v>
      </c>
      <c r="P117" t="s">
        <v>260</v>
      </c>
      <c r="Q117" s="59">
        <v>0.4</v>
      </c>
      <c r="R117">
        <f t="shared" ref="R117:R121" si="31">Q117*R$115</f>
        <v>354199440</v>
      </c>
    </row>
    <row r="118" spans="1:19" x14ac:dyDescent="0.35">
      <c r="H118" s="192" t="s">
        <v>254</v>
      </c>
      <c r="I118" t="s">
        <v>237</v>
      </c>
      <c r="J118" s="147" t="s">
        <v>179</v>
      </c>
      <c r="K118" s="6">
        <f t="shared" si="28"/>
        <v>0.16666666666666666</v>
      </c>
      <c r="L118" s="31">
        <f t="shared" si="29"/>
        <v>516540849.99999982</v>
      </c>
      <c r="M118" t="s">
        <v>213</v>
      </c>
      <c r="N118" s="59">
        <v>0.15</v>
      </c>
      <c r="O118">
        <f t="shared" si="30"/>
        <v>66412394.999999985</v>
      </c>
      <c r="P118" t="s">
        <v>218</v>
      </c>
      <c r="Q118" s="59">
        <v>0.2</v>
      </c>
      <c r="R118">
        <f t="shared" si="31"/>
        <v>177099720</v>
      </c>
    </row>
    <row r="119" spans="1:19" x14ac:dyDescent="0.35">
      <c r="H119" s="192" t="s">
        <v>254</v>
      </c>
      <c r="I119" t="s">
        <v>238</v>
      </c>
      <c r="J119" s="147" t="s">
        <v>179</v>
      </c>
      <c r="K119" s="6">
        <f t="shared" si="28"/>
        <v>0.16666666666666666</v>
      </c>
      <c r="L119" s="31">
        <f t="shared" si="29"/>
        <v>516540849.99999982</v>
      </c>
      <c r="M119" t="s">
        <v>211</v>
      </c>
      <c r="N119" s="59">
        <v>7.0000000000000007E-2</v>
      </c>
      <c r="O119">
        <f t="shared" si="30"/>
        <v>30992451</v>
      </c>
      <c r="P119" t="s">
        <v>261</v>
      </c>
      <c r="Q119" s="59">
        <v>0.15</v>
      </c>
      <c r="R119">
        <f t="shared" si="31"/>
        <v>132824789.99999997</v>
      </c>
    </row>
    <row r="120" spans="1:19" x14ac:dyDescent="0.35">
      <c r="H120" s="192" t="s">
        <v>254</v>
      </c>
      <c r="I120" t="s">
        <v>239</v>
      </c>
      <c r="J120" s="147" t="s">
        <v>179</v>
      </c>
      <c r="K120" s="6">
        <f t="shared" si="28"/>
        <v>0.16666666666666666</v>
      </c>
      <c r="L120" s="31">
        <f t="shared" si="29"/>
        <v>516540849.99999982</v>
      </c>
      <c r="M120" t="s">
        <v>216</v>
      </c>
      <c r="N120" s="59">
        <v>0.03</v>
      </c>
      <c r="O120">
        <f t="shared" si="30"/>
        <v>13282478.999999998</v>
      </c>
      <c r="P120" s="102" t="s">
        <v>220</v>
      </c>
      <c r="Q120" s="59">
        <v>0.1</v>
      </c>
      <c r="R120">
        <f t="shared" si="31"/>
        <v>88549860</v>
      </c>
    </row>
    <row r="121" spans="1:19" x14ac:dyDescent="0.35">
      <c r="H121" s="192" t="s">
        <v>254</v>
      </c>
      <c r="I121" t="s">
        <v>240</v>
      </c>
      <c r="J121" s="147" t="s">
        <v>179</v>
      </c>
      <c r="K121" s="6">
        <f t="shared" si="28"/>
        <v>0.16666666666666666</v>
      </c>
      <c r="L121" s="31">
        <f t="shared" si="29"/>
        <v>516540849.99999982</v>
      </c>
      <c r="M121"/>
      <c r="N121"/>
      <c r="O121">
        <f>SUM(O116:O120)</f>
        <v>442749299.99999994</v>
      </c>
      <c r="P121" t="s">
        <v>180</v>
      </c>
      <c r="Q121" s="59">
        <v>0</v>
      </c>
      <c r="R121">
        <f t="shared" si="31"/>
        <v>0</v>
      </c>
    </row>
    <row r="122" spans="1:19" x14ac:dyDescent="0.35">
      <c r="I122"/>
      <c r="J122"/>
      <c r="K122" s="78" t="s">
        <v>156</v>
      </c>
      <c r="L122" s="90">
        <f>L115</f>
        <v>3099245099.999999</v>
      </c>
      <c r="M122"/>
      <c r="N122"/>
      <c r="O122"/>
      <c r="P122"/>
      <c r="Q122" s="59"/>
    </row>
    <row r="123" spans="1:19" x14ac:dyDescent="0.35">
      <c r="I123"/>
      <c r="J123"/>
      <c r="K123"/>
      <c r="L123"/>
      <c r="M123"/>
      <c r="N123"/>
      <c r="O123"/>
      <c r="P123"/>
      <c r="Q123"/>
    </row>
    <row r="124" spans="1:19" x14ac:dyDescent="0.35">
      <c r="I124"/>
      <c r="J124"/>
      <c r="K124"/>
      <c r="L124"/>
      <c r="M124"/>
      <c r="N124"/>
      <c r="O124"/>
      <c r="P124"/>
      <c r="Q124"/>
    </row>
    <row r="125" spans="1:19" x14ac:dyDescent="0.35">
      <c r="I125"/>
      <c r="J125"/>
      <c r="K125"/>
      <c r="L125"/>
      <c r="M125"/>
      <c r="N125"/>
      <c r="O125"/>
      <c r="P125"/>
      <c r="Q125"/>
    </row>
    <row r="126" spans="1:19" x14ac:dyDescent="0.35">
      <c r="I126"/>
      <c r="J126"/>
      <c r="K126"/>
      <c r="L126"/>
      <c r="M126"/>
      <c r="N126"/>
      <c r="O126"/>
      <c r="P126"/>
      <c r="Q126"/>
    </row>
    <row r="127" spans="1:19" x14ac:dyDescent="0.35">
      <c r="I127"/>
      <c r="J127"/>
      <c r="K127"/>
      <c r="L127"/>
      <c r="M127"/>
      <c r="N127"/>
      <c r="O127"/>
      <c r="P127"/>
      <c r="Q127"/>
    </row>
    <row r="128" spans="1:19" x14ac:dyDescent="0.35">
      <c r="I128"/>
      <c r="J128"/>
      <c r="K128"/>
      <c r="L128"/>
      <c r="M128"/>
      <c r="N128"/>
      <c r="O128"/>
      <c r="P128"/>
      <c r="Q128"/>
    </row>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sheetData>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3636-EC0F-4A67-93B5-E0952DCC9E07}">
  <sheetPr>
    <tabColor theme="5" tint="0.39997558519241921"/>
  </sheetPr>
  <dimension ref="A1:U290"/>
  <sheetViews>
    <sheetView topLeftCell="F1" zoomScale="80" zoomScaleNormal="80" workbookViewId="0">
      <pane ySplit="5" topLeftCell="A6" activePane="bottomLeft" state="frozen"/>
      <selection pane="bottomLeft" activeCell="I16" sqref="I16"/>
    </sheetView>
  </sheetViews>
  <sheetFormatPr baseColWidth="10" defaultRowHeight="14.5" x14ac:dyDescent="0.35"/>
  <cols>
    <col min="1" max="1" width="23.26953125" customWidth="1"/>
    <col min="2" max="2" width="15.1796875" customWidth="1"/>
    <col min="3" max="3" width="21.90625" customWidth="1"/>
    <col min="4" max="4" width="16.26953125" customWidth="1"/>
    <col min="5" max="5" width="13.1796875" customWidth="1"/>
    <col min="6" max="6" width="18.90625" style="1" customWidth="1"/>
    <col min="7" max="7" width="15.6328125" customWidth="1"/>
    <col min="8" max="8" width="20.36328125" customWidth="1"/>
    <col min="9" max="9" width="16.26953125" customWidth="1"/>
    <col min="10" max="10" width="13.26953125" customWidth="1"/>
    <col min="11" max="11" width="19.36328125" customWidth="1"/>
    <col min="12" max="12" width="23.54296875" customWidth="1"/>
    <col min="13" max="13" width="15.7265625" bestFit="1" customWidth="1"/>
    <col min="14" max="14" width="9" customWidth="1"/>
    <col min="15" max="15" width="20.54296875" customWidth="1"/>
    <col min="17" max="17" width="10.6328125" customWidth="1"/>
    <col min="18" max="18" width="20.81640625" customWidth="1"/>
    <col min="19" max="19" width="20.08984375" customWidth="1"/>
    <col min="20" max="20" width="18.7265625" customWidth="1"/>
  </cols>
  <sheetData>
    <row r="1" spans="1:20" s="46" customFormat="1" ht="24" customHeight="1" x14ac:dyDescent="0.35">
      <c r="A1" s="46" t="s">
        <v>289</v>
      </c>
      <c r="F1" s="224"/>
    </row>
    <row r="2" spans="1:20" s="46" customFormat="1" ht="13.5" customHeight="1" x14ac:dyDescent="0.35">
      <c r="A2" s="46" t="s">
        <v>286</v>
      </c>
      <c r="F2" s="224"/>
    </row>
    <row r="3" spans="1:20" s="46" customFormat="1" ht="17" customHeight="1" x14ac:dyDescent="0.35">
      <c r="A3" s="46" t="s">
        <v>287</v>
      </c>
      <c r="E3" s="46" t="s">
        <v>288</v>
      </c>
      <c r="F3" s="224"/>
    </row>
    <row r="4" spans="1:20" ht="16" customHeight="1" x14ac:dyDescent="0.35">
      <c r="A4" s="46" t="s">
        <v>392</v>
      </c>
      <c r="C4" s="2">
        <f>C6+C196+C225+C274+C283</f>
        <v>35019595745.043602</v>
      </c>
    </row>
    <row r="5" spans="1:20" s="47" customFormat="1" ht="37" customHeight="1" x14ac:dyDescent="0.35">
      <c r="B5" s="47" t="s">
        <v>358</v>
      </c>
      <c r="C5" s="47" t="s">
        <v>359</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20" s="190" customFormat="1" ht="37" customHeight="1" x14ac:dyDescent="0.35">
      <c r="A6" s="229" t="s">
        <v>322</v>
      </c>
      <c r="B6" s="229"/>
      <c r="C6" s="228">
        <f>C8+C44+C86+C120+C154</f>
        <v>8653241490.6713905</v>
      </c>
      <c r="D6" s="313">
        <f>D8+D44+D86+D120+D154</f>
        <v>5.4948489953888444</v>
      </c>
      <c r="E6" s="228"/>
      <c r="F6" s="198"/>
      <c r="I6" s="229"/>
      <c r="M6" s="229"/>
      <c r="P6" s="229"/>
    </row>
    <row r="7" spans="1:20" s="91" customFormat="1" ht="40" customHeight="1" x14ac:dyDescent="0.35">
      <c r="A7" s="91" t="s">
        <v>77</v>
      </c>
      <c r="D7" s="314"/>
      <c r="F7" s="169"/>
    </row>
    <row r="8" spans="1:20" s="200" customFormat="1" x14ac:dyDescent="0.35">
      <c r="A8" s="200" t="s">
        <v>156</v>
      </c>
      <c r="B8" s="204">
        <f>C8/1000000</f>
        <v>3061.5849813700174</v>
      </c>
      <c r="C8" s="207">
        <f>C9+C23+C16</f>
        <v>3061584981.3700175</v>
      </c>
      <c r="D8" s="315">
        <f>D9+D16+D23</f>
        <v>1.8575045380720341</v>
      </c>
      <c r="F8" s="207">
        <f>F9+F23+F16</f>
        <v>2040905.7036400095</v>
      </c>
      <c r="H8" s="207">
        <f>H9+H23+H16</f>
        <v>2711405526.230454</v>
      </c>
      <c r="L8" s="207">
        <f>L9+L16+L23</f>
        <v>1993896095.1613801</v>
      </c>
      <c r="M8" s="207"/>
      <c r="N8" s="207"/>
      <c r="O8" s="207">
        <f>O9+O16+O23</f>
        <v>265449091.4302091</v>
      </c>
      <c r="P8" s="218"/>
      <c r="Q8" s="207"/>
      <c r="R8" s="207">
        <f>R9+R16+R23</f>
        <v>452060339.63886458</v>
      </c>
    </row>
    <row r="9" spans="1:20" s="202" customFormat="1" ht="16" customHeight="1" x14ac:dyDescent="0.35">
      <c r="A9" s="202" t="s">
        <v>153</v>
      </c>
      <c r="B9" s="250">
        <v>1450</v>
      </c>
      <c r="C9" s="250">
        <f>B9*F9</f>
        <v>2464999999.9999971</v>
      </c>
      <c r="D9" s="316">
        <f>'[2]GAP analysis Sc. 1'!$C$36+'[2]GAP analysis Sc. 1'!$C$50</f>
        <v>1.5023406897869476</v>
      </c>
      <c r="E9" s="202">
        <f>'[1]Conversion factors selected IV '!$O$4</f>
        <v>1.1315675675675676</v>
      </c>
      <c r="F9" s="202">
        <f>D9*E9*1000000</f>
        <v>1699999.9999999979</v>
      </c>
      <c r="G9" s="202">
        <f>'LCoP 2030 MEDIUM'!E2</f>
        <v>1283.25</v>
      </c>
      <c r="H9" s="202">
        <f>G9*F9</f>
        <v>2181524999.9999971</v>
      </c>
      <c r="I9" s="202">
        <f>'LCoP 2030 MEDIUM'!H2</f>
        <v>0.77927138125852324</v>
      </c>
      <c r="L9" s="202">
        <f>I9*H9</f>
        <v>1699999999.9999976</v>
      </c>
      <c r="M9" s="256">
        <f>'LCoP 2030 MEDIUM'!F2</f>
        <v>6.4679524644457434E-2</v>
      </c>
      <c r="O9" s="202">
        <f>M9*H9</f>
        <v>141099999.99999982</v>
      </c>
      <c r="P9" s="256">
        <f>'LCoP 2030 MEDIUM'!G2</f>
        <v>0.15604909409701928</v>
      </c>
      <c r="R9" s="202">
        <f>P9*H9</f>
        <v>340424999.99999952</v>
      </c>
      <c r="S9" s="254">
        <f>SUM(S10:S15)</f>
        <v>0</v>
      </c>
      <c r="T9" s="202">
        <f>L9+O9+R9</f>
        <v>2181524999.9999971</v>
      </c>
    </row>
    <row r="10" spans="1:20" x14ac:dyDescent="0.35">
      <c r="C10" s="275">
        <f>C9/C8</f>
        <v>0.80513851975356343</v>
      </c>
      <c r="D10" s="252"/>
      <c r="E10" s="31"/>
      <c r="F10" s="31"/>
      <c r="G10" s="2"/>
      <c r="H10" s="205" t="s">
        <v>252</v>
      </c>
      <c r="I10" s="102" t="s">
        <v>265</v>
      </c>
      <c r="J10" s="150" t="s">
        <v>178</v>
      </c>
      <c r="K10" s="102">
        <f>'Feedstock MIX per IVC'!G4</f>
        <v>1000</v>
      </c>
      <c r="L10" s="102">
        <f>K10*F9</f>
        <v>1699999999.9999979</v>
      </c>
      <c r="M10" s="5" t="s">
        <v>211</v>
      </c>
      <c r="N10" s="174">
        <v>0.05</v>
      </c>
      <c r="O10" s="117">
        <f t="shared" ref="O10:O15" si="0">N10*O$9</f>
        <v>7054999.9999999916</v>
      </c>
      <c r="P10" s="18" t="s">
        <v>217</v>
      </c>
      <c r="Q10" s="107">
        <v>0.35</v>
      </c>
      <c r="R10" s="102">
        <f>Q10*R$9</f>
        <v>119148749.99999982</v>
      </c>
      <c r="S10" s="18"/>
      <c r="T10" s="255"/>
    </row>
    <row r="11" spans="1:20" x14ac:dyDescent="0.35">
      <c r="D11" s="252"/>
      <c r="E11" s="31"/>
      <c r="F11" s="31"/>
      <c r="G11" s="2"/>
      <c r="H11" s="24"/>
      <c r="I11" s="102"/>
      <c r="J11" s="107"/>
      <c r="K11" s="102"/>
      <c r="L11" s="102"/>
      <c r="M11" t="s">
        <v>212</v>
      </c>
      <c r="N11" s="174">
        <v>0.02</v>
      </c>
      <c r="O11" s="117">
        <f t="shared" si="0"/>
        <v>2821999.9999999963</v>
      </c>
      <c r="P11" s="18" t="s">
        <v>177</v>
      </c>
      <c r="Q11" s="107">
        <v>0.25</v>
      </c>
      <c r="R11" s="102">
        <f>Q11*R$9</f>
        <v>85106249.999999881</v>
      </c>
      <c r="S11" s="18"/>
    </row>
    <row r="12" spans="1:20" x14ac:dyDescent="0.35">
      <c r="D12" s="252"/>
      <c r="E12" s="31"/>
      <c r="F12" s="31"/>
      <c r="G12" s="2"/>
      <c r="H12" s="24"/>
      <c r="I12" s="102"/>
      <c r="J12" s="107"/>
      <c r="K12" s="102"/>
      <c r="L12" s="102"/>
      <c r="M12" s="5" t="s">
        <v>210</v>
      </c>
      <c r="N12" s="174">
        <v>0.45</v>
      </c>
      <c r="O12" s="117">
        <f t="shared" si="0"/>
        <v>63494999.999999918</v>
      </c>
      <c r="P12" s="18" t="s">
        <v>218</v>
      </c>
      <c r="Q12" s="107">
        <v>0.2</v>
      </c>
      <c r="R12" s="102">
        <f>Q12*R$9</f>
        <v>68084999.999999911</v>
      </c>
      <c r="S12" s="18"/>
    </row>
    <row r="13" spans="1:20" x14ac:dyDescent="0.35">
      <c r="D13" s="252"/>
      <c r="E13" s="31"/>
      <c r="F13" s="249"/>
      <c r="G13" s="2"/>
      <c r="H13" s="24"/>
      <c r="I13" s="100"/>
      <c r="J13" s="248"/>
      <c r="K13" s="100"/>
      <c r="L13" s="102"/>
      <c r="M13" t="s">
        <v>213</v>
      </c>
      <c r="N13" s="174">
        <v>0.15</v>
      </c>
      <c r="O13" s="117">
        <f t="shared" si="0"/>
        <v>21164999.999999974</v>
      </c>
      <c r="P13" s="18" t="s">
        <v>219</v>
      </c>
      <c r="Q13" s="107">
        <v>0.15</v>
      </c>
      <c r="R13" s="102">
        <f>Q13*R$9</f>
        <v>51063749.999999925</v>
      </c>
      <c r="S13" s="18"/>
    </row>
    <row r="14" spans="1:20" x14ac:dyDescent="0.35">
      <c r="D14" s="252"/>
      <c r="E14" s="31"/>
      <c r="F14" s="31"/>
      <c r="G14" s="2"/>
      <c r="H14" s="24"/>
      <c r="I14" s="102"/>
      <c r="J14" s="107"/>
      <c r="K14" s="102"/>
      <c r="L14" s="102"/>
      <c r="M14" t="s">
        <v>214</v>
      </c>
      <c r="N14" s="174">
        <v>0.3</v>
      </c>
      <c r="O14" s="117">
        <f t="shared" si="0"/>
        <v>42329999.999999948</v>
      </c>
      <c r="P14" s="18" t="s">
        <v>220</v>
      </c>
      <c r="Q14" s="107">
        <v>0.05</v>
      </c>
      <c r="R14" s="102">
        <f>Q14*R$9</f>
        <v>17021249.999999978</v>
      </c>
      <c r="S14" s="18"/>
    </row>
    <row r="15" spans="1:20" x14ac:dyDescent="0.35">
      <c r="D15" s="252"/>
      <c r="E15" s="31"/>
      <c r="F15" s="31"/>
      <c r="G15" s="2"/>
      <c r="H15" s="24"/>
      <c r="I15" s="102"/>
      <c r="J15" s="107"/>
      <c r="K15" s="102"/>
      <c r="L15" s="102"/>
      <c r="M15" t="s">
        <v>216</v>
      </c>
      <c r="N15" s="174">
        <v>0.03</v>
      </c>
      <c r="O15" s="117">
        <f t="shared" si="0"/>
        <v>4232999.9999999944</v>
      </c>
      <c r="P15" s="18"/>
      <c r="Q15" s="107"/>
      <c r="R15" s="102"/>
      <c r="S15" s="18"/>
    </row>
    <row r="16" spans="1:20" s="201" customFormat="1" x14ac:dyDescent="0.35">
      <c r="A16" s="201" t="s">
        <v>294</v>
      </c>
      <c r="B16" s="201">
        <v>1750</v>
      </c>
      <c r="C16" s="250">
        <f>B16*F16</f>
        <v>490000000.0000003</v>
      </c>
      <c r="D16" s="295">
        <f>'[2]GAP analysis Sc. 1'!$C$37+'[2]GAP analysis Sc. 1'!$C$51</f>
        <v>0.29425814464507521</v>
      </c>
      <c r="E16" s="208">
        <f>'[1]Conversion factors selected IV '!$O$7</f>
        <v>0.95154545454545458</v>
      </c>
      <c r="F16" s="202">
        <f>D16*E16*1000000</f>
        <v>280000.00000000017</v>
      </c>
      <c r="G16" s="208">
        <f>'LCoP 2030 MEDIUM'!E23</f>
        <v>1572.75</v>
      </c>
      <c r="H16" s="202">
        <f>G16*F16</f>
        <v>440370000.0000003</v>
      </c>
      <c r="I16" s="338">
        <f>'LCoP 2030 MEDIUM'!H23</f>
        <v>0.63582896200921957</v>
      </c>
      <c r="L16" s="202">
        <f>I16*H16</f>
        <v>280000000.00000024</v>
      </c>
      <c r="M16" s="338">
        <f>'LCoP 2030 MEDIUM'!F23</f>
        <v>0.17103799078048004</v>
      </c>
      <c r="N16" s="210"/>
      <c r="O16" s="202">
        <f>M16*H16</f>
        <v>75320000.000000045</v>
      </c>
      <c r="P16" s="338">
        <f>'LCoP 2030 MEDIUM'!G23</f>
        <v>0.19313304721030042</v>
      </c>
      <c r="Q16" s="208"/>
      <c r="R16" s="202">
        <f>P16*H16</f>
        <v>85050000.00000006</v>
      </c>
      <c r="S16" s="202">
        <f>L16+O16+R16</f>
        <v>440370000.00000036</v>
      </c>
    </row>
    <row r="17" spans="1:19" x14ac:dyDescent="0.35">
      <c r="C17" s="275">
        <f>C16/C8</f>
        <v>0.16004781934249362</v>
      </c>
      <c r="D17" s="243"/>
      <c r="F17" s="147"/>
      <c r="H17" s="205" t="s">
        <v>252</v>
      </c>
      <c r="I17" s="102" t="s">
        <v>265</v>
      </c>
      <c r="J17" s="150" t="s">
        <v>178</v>
      </c>
      <c r="K17" s="102">
        <v>1000</v>
      </c>
      <c r="L17" s="2">
        <f>K17*F16</f>
        <v>280000000.00000018</v>
      </c>
      <c r="M17" s="5" t="s">
        <v>211</v>
      </c>
      <c r="N17" s="174">
        <v>0.05</v>
      </c>
      <c r="O17" s="2">
        <f t="shared" ref="O17:O22" si="1">N17*O$16</f>
        <v>3766000.0000000023</v>
      </c>
      <c r="P17" s="18" t="s">
        <v>217</v>
      </c>
      <c r="Q17" s="107">
        <v>0.35</v>
      </c>
      <c r="R17" s="102">
        <f>Q17*R$16</f>
        <v>29767500.000000019</v>
      </c>
    </row>
    <row r="18" spans="1:19" x14ac:dyDescent="0.35">
      <c r="D18" s="243"/>
      <c r="F18" s="151"/>
      <c r="I18" s="216"/>
      <c r="J18" s="151"/>
      <c r="K18" s="6"/>
      <c r="L18" s="2"/>
      <c r="M18" t="s">
        <v>212</v>
      </c>
      <c r="N18" s="174">
        <v>0.02</v>
      </c>
      <c r="O18" s="2">
        <f t="shared" si="1"/>
        <v>1506400.0000000009</v>
      </c>
      <c r="P18" s="18" t="s">
        <v>177</v>
      </c>
      <c r="Q18" s="107">
        <v>0.25</v>
      </c>
      <c r="R18" s="102">
        <f>Q18*R$16</f>
        <v>21262500.000000015</v>
      </c>
    </row>
    <row r="19" spans="1:19" x14ac:dyDescent="0.35">
      <c r="D19" s="243"/>
      <c r="F19" s="240"/>
      <c r="I19" s="217"/>
      <c r="J19" s="240"/>
      <c r="K19" s="77"/>
      <c r="L19" s="2"/>
      <c r="M19" s="5" t="s">
        <v>210</v>
      </c>
      <c r="N19" s="174">
        <v>0.45</v>
      </c>
      <c r="O19" s="2">
        <f t="shared" si="1"/>
        <v>33894000.000000022</v>
      </c>
      <c r="P19" s="18" t="s">
        <v>218</v>
      </c>
      <c r="Q19" s="107">
        <v>0.2</v>
      </c>
      <c r="R19" s="102">
        <f>Q19*R$16</f>
        <v>17010000.000000011</v>
      </c>
      <c r="S19" s="2"/>
    </row>
    <row r="20" spans="1:19" x14ac:dyDescent="0.35">
      <c r="D20" s="243"/>
      <c r="F20" s="286"/>
      <c r="L20" s="2"/>
      <c r="M20" t="s">
        <v>213</v>
      </c>
      <c r="N20" s="174">
        <v>0.15</v>
      </c>
      <c r="O20" s="2">
        <f t="shared" si="1"/>
        <v>11298000.000000006</v>
      </c>
      <c r="P20" s="18" t="s">
        <v>219</v>
      </c>
      <c r="Q20" s="107">
        <v>0.15</v>
      </c>
      <c r="R20" s="102">
        <f>Q20*R$16</f>
        <v>12757500.000000009</v>
      </c>
    </row>
    <row r="21" spans="1:19" x14ac:dyDescent="0.35">
      <c r="D21" s="243"/>
      <c r="F21" s="31"/>
      <c r="M21" t="s">
        <v>214</v>
      </c>
      <c r="N21" s="174">
        <v>0.3</v>
      </c>
      <c r="O21" s="2">
        <f t="shared" si="1"/>
        <v>22596000.000000011</v>
      </c>
      <c r="P21" s="18" t="s">
        <v>220</v>
      </c>
      <c r="Q21" s="107">
        <v>0.05</v>
      </c>
      <c r="R21" s="102">
        <f>Q21*R$16</f>
        <v>4252500.0000000028</v>
      </c>
    </row>
    <row r="22" spans="1:19" x14ac:dyDescent="0.35">
      <c r="D22" s="243"/>
      <c r="F22" s="31"/>
      <c r="M22" t="s">
        <v>216</v>
      </c>
      <c r="N22" s="174">
        <v>0.03</v>
      </c>
      <c r="O22" s="2">
        <f t="shared" si="1"/>
        <v>2259600.0000000014</v>
      </c>
      <c r="P22" s="18"/>
      <c r="Q22" s="107"/>
      <c r="R22" s="102"/>
    </row>
    <row r="23" spans="1:19" s="201" customFormat="1" x14ac:dyDescent="0.35">
      <c r="A23" s="201" t="s">
        <v>295</v>
      </c>
      <c r="B23" s="201">
        <v>1750</v>
      </c>
      <c r="C23" s="250">
        <f>B23*F23</f>
        <v>106584981.37001999</v>
      </c>
      <c r="D23" s="295">
        <f>'[2]GAP analysis Sc. 1'!$C$38</f>
        <v>6.0905703640011424E-2</v>
      </c>
      <c r="E23" s="201">
        <f>'[1]Conversion factors selected IV '!$O$89</f>
        <v>1</v>
      </c>
      <c r="F23" s="202">
        <f>D23*E23*1000000</f>
        <v>60905.703640011423</v>
      </c>
      <c r="G23" s="208">
        <f>'LCoP 2030 MEDIUM'!E19</f>
        <v>1469.6575342026485</v>
      </c>
      <c r="H23" s="203">
        <f>G23*F23</f>
        <v>89510526.230456471</v>
      </c>
      <c r="I23" s="201">
        <f>'LCoP 2030 MEDIUM'!H19</f>
        <v>0.15524537444462094</v>
      </c>
      <c r="L23" s="202">
        <f>I23*H23</f>
        <v>13896095.16138228</v>
      </c>
      <c r="M23" s="201">
        <f>'LCoP 2030 MEDIUM'!F19</f>
        <v>0.5477466561192752</v>
      </c>
      <c r="N23" s="210"/>
      <c r="O23" s="202">
        <f>M23*H23</f>
        <v>49029091.430209205</v>
      </c>
      <c r="P23" s="257">
        <f>'LCoP 2030 MEDIUM'!G19</f>
        <v>0.29700796943610386</v>
      </c>
      <c r="Q23" s="208"/>
      <c r="R23" s="202">
        <f>P23*H23</f>
        <v>26585339.638864987</v>
      </c>
      <c r="S23" s="202">
        <f>L23+O23+R23</f>
        <v>89510526.230456471</v>
      </c>
    </row>
    <row r="24" spans="1:19" x14ac:dyDescent="0.35">
      <c r="C24" s="275">
        <f>C23/C8</f>
        <v>3.4813660903942854E-2</v>
      </c>
      <c r="D24" s="243"/>
      <c r="F24" s="147" t="s">
        <v>179</v>
      </c>
      <c r="G24" s="264">
        <f>SUMIF($J$24:$J$31,F24,$L$24:$L$31)/$L$23</f>
        <v>0.57076546090627278</v>
      </c>
      <c r="H24" s="192" t="s">
        <v>254</v>
      </c>
      <c r="I24" s="12" t="s">
        <v>4</v>
      </c>
      <c r="J24" s="147" t="s">
        <v>179</v>
      </c>
      <c r="K24" s="6">
        <f>'Feedstock MIX per IVC'!G84</f>
        <v>117.13777724189546</v>
      </c>
      <c r="L24" s="2">
        <f t="shared" ref="L24:L31" si="2">K24*F$23</f>
        <v>7134358.7457445599</v>
      </c>
      <c r="M24" s="5" t="s">
        <v>211</v>
      </c>
      <c r="N24" s="258">
        <v>0.15</v>
      </c>
      <c r="O24" s="2">
        <f t="shared" ref="O24:O29" si="3">N24*O$23</f>
        <v>7354363.7145313807</v>
      </c>
      <c r="P24" s="18" t="s">
        <v>217</v>
      </c>
      <c r="Q24" s="107">
        <v>0.15</v>
      </c>
      <c r="R24" s="2">
        <f>Q24*R$23</f>
        <v>3987800.9458297477</v>
      </c>
    </row>
    <row r="25" spans="1:19" x14ac:dyDescent="0.35">
      <c r="D25" s="243"/>
      <c r="F25" s="150" t="s">
        <v>178</v>
      </c>
      <c r="G25" s="264">
        <f t="shared" ref="G25:G28" si="4">SUMIF($J$24:$J$31,F25,$L$24:$L$31)/$L$23</f>
        <v>1.2837446808951257E-2</v>
      </c>
      <c r="H25" s="192" t="s">
        <v>254</v>
      </c>
      <c r="I25" s="12" t="s">
        <v>5</v>
      </c>
      <c r="J25" s="147" t="s">
        <v>179</v>
      </c>
      <c r="K25" s="6">
        <f>'Feedstock MIX per IVC'!G85</f>
        <v>6.0040707909944153</v>
      </c>
      <c r="L25" s="2">
        <f t="shared" si="2"/>
        <v>365682.15622995485</v>
      </c>
      <c r="M25" t="s">
        <v>212</v>
      </c>
      <c r="N25" s="77">
        <v>0.02</v>
      </c>
      <c r="O25" s="2">
        <f t="shared" si="3"/>
        <v>980581.82860418409</v>
      </c>
      <c r="P25" s="18" t="s">
        <v>177</v>
      </c>
      <c r="Q25" s="107">
        <v>0.25</v>
      </c>
      <c r="R25" s="2">
        <f>Q25*R$23</f>
        <v>6646334.9097162466</v>
      </c>
    </row>
    <row r="26" spans="1:19" x14ac:dyDescent="0.35">
      <c r="D26" s="243"/>
      <c r="F26" s="171" t="s">
        <v>222</v>
      </c>
      <c r="G26" s="264">
        <f t="shared" si="4"/>
        <v>0.21178827257932314</v>
      </c>
      <c r="H26" s="192" t="s">
        <v>254</v>
      </c>
      <c r="I26" s="12" t="s">
        <v>6</v>
      </c>
      <c r="J26" s="150" t="s">
        <v>178</v>
      </c>
      <c r="K26" s="6">
        <f>'Feedstock MIX per IVC'!G86</f>
        <v>2.9289602093879772</v>
      </c>
      <c r="L26" s="2">
        <f t="shared" si="2"/>
        <v>178390.38248636996</v>
      </c>
      <c r="M26" s="5" t="s">
        <v>210</v>
      </c>
      <c r="N26" s="258">
        <v>0.45</v>
      </c>
      <c r="O26" s="2">
        <f t="shared" si="3"/>
        <v>22063091.143594142</v>
      </c>
      <c r="P26" s="18" t="s">
        <v>218</v>
      </c>
      <c r="Q26" s="107">
        <v>0.2</v>
      </c>
      <c r="R26" s="2">
        <f>Q26*R$23</f>
        <v>5317067.9277729979</v>
      </c>
    </row>
    <row r="27" spans="1:19" x14ac:dyDescent="0.35">
      <c r="D27" s="243"/>
      <c r="F27" s="149" t="s">
        <v>176</v>
      </c>
      <c r="G27" s="264">
        <f t="shared" si="4"/>
        <v>0.17975682071551369</v>
      </c>
      <c r="H27" s="192" t="s">
        <v>254</v>
      </c>
      <c r="I27" s="12" t="s">
        <v>7</v>
      </c>
      <c r="J27" s="147" t="s">
        <v>179</v>
      </c>
      <c r="K27" s="6">
        <f>'Feedstock MIX per IVC'!G87</f>
        <v>4.8668637567806563</v>
      </c>
      <c r="L27" s="2">
        <f t="shared" si="2"/>
        <v>296419.76162679528</v>
      </c>
      <c r="M27" t="s">
        <v>213</v>
      </c>
      <c r="N27" s="77">
        <v>0.1</v>
      </c>
      <c r="O27" s="2">
        <f t="shared" si="3"/>
        <v>4902909.1430209205</v>
      </c>
      <c r="P27" s="18" t="s">
        <v>219</v>
      </c>
      <c r="Q27" s="107">
        <v>0.3</v>
      </c>
      <c r="R27" s="2">
        <f>Q27*R$23</f>
        <v>7975601.8916594954</v>
      </c>
      <c r="S27" s="2"/>
    </row>
    <row r="28" spans="1:19" x14ac:dyDescent="0.35">
      <c r="D28" s="243"/>
      <c r="F28" s="152" t="s">
        <v>180</v>
      </c>
      <c r="G28" s="264">
        <f t="shared" si="4"/>
        <v>2.4851998989939068E-2</v>
      </c>
      <c r="H28" s="192" t="s">
        <v>254</v>
      </c>
      <c r="I28" s="12" t="s">
        <v>8</v>
      </c>
      <c r="J28" s="147" t="s">
        <v>179</v>
      </c>
      <c r="K28" s="6">
        <f>'Feedstock MIX per IVC'!G88</f>
        <v>2.2157283787428326</v>
      </c>
      <c r="L28" s="2">
        <f t="shared" si="2"/>
        <v>134950.49598247395</v>
      </c>
      <c r="M28" t="s">
        <v>214</v>
      </c>
      <c r="N28" s="77">
        <v>0.25</v>
      </c>
      <c r="O28" s="2">
        <f t="shared" si="3"/>
        <v>12257272.857552301</v>
      </c>
      <c r="P28" s="18" t="s">
        <v>220</v>
      </c>
      <c r="Q28" s="107">
        <v>0.1</v>
      </c>
      <c r="R28" s="2">
        <f>Q28*R$23</f>
        <v>2658533.9638864989</v>
      </c>
    </row>
    <row r="29" spans="1:19" x14ac:dyDescent="0.35">
      <c r="D29" s="243"/>
      <c r="F29" s="31"/>
      <c r="G29" s="6">
        <f>SUM(G24:G28)</f>
        <v>1</v>
      </c>
      <c r="H29" s="192" t="s">
        <v>254</v>
      </c>
      <c r="I29" s="12" t="s">
        <v>9</v>
      </c>
      <c r="J29" s="171" t="s">
        <v>222</v>
      </c>
      <c r="K29" s="6">
        <f>'Feedstock MIX per IVC'!G89</f>
        <v>48.321090044736764</v>
      </c>
      <c r="L29" s="2">
        <f t="shared" si="2"/>
        <v>2943029.9898270438</v>
      </c>
      <c r="M29" t="s">
        <v>216</v>
      </c>
      <c r="N29" s="77">
        <v>0.03</v>
      </c>
      <c r="O29" s="2">
        <f t="shared" si="3"/>
        <v>1470872.7429062761</v>
      </c>
      <c r="P29" s="18"/>
      <c r="Q29" s="107">
        <f>SUM(Q24:Q28)</f>
        <v>1.0000000000000002</v>
      </c>
      <c r="R29" s="2"/>
    </row>
    <row r="30" spans="1:19" x14ac:dyDescent="0.35">
      <c r="D30" s="243"/>
      <c r="F30" s="31"/>
      <c r="G30" s="6"/>
      <c r="H30" s="192" t="s">
        <v>254</v>
      </c>
      <c r="I30" s="12" t="s">
        <v>10</v>
      </c>
      <c r="J30" s="149" t="s">
        <v>176</v>
      </c>
      <c r="K30" s="6">
        <f>'Feedstock MIX per IVC'!G90</f>
        <v>41.012872970559165</v>
      </c>
      <c r="L30" s="2">
        <f t="shared" si="2"/>
        <v>2497917.8865703116</v>
      </c>
      <c r="N30" s="77"/>
      <c r="Q30" s="6"/>
    </row>
    <row r="31" spans="1:19" x14ac:dyDescent="0.35">
      <c r="D31" s="243"/>
      <c r="F31" s="31"/>
      <c r="G31" s="6"/>
      <c r="H31" s="192" t="s">
        <v>254</v>
      </c>
      <c r="I31" s="12" t="s">
        <v>11</v>
      </c>
      <c r="J31" s="152" t="s">
        <v>180</v>
      </c>
      <c r="K31" s="6">
        <f>'Feedstock MIX per IVC'!G91</f>
        <v>5.6701708095512098</v>
      </c>
      <c r="L31" s="2">
        <f t="shared" si="2"/>
        <v>345345.74291476962</v>
      </c>
      <c r="N31" s="77"/>
      <c r="Q31" s="6"/>
    </row>
    <row r="32" spans="1:19" x14ac:dyDescent="0.35">
      <c r="D32" s="243"/>
      <c r="E32" s="6"/>
      <c r="F32" s="31"/>
      <c r="G32" s="6"/>
      <c r="H32" s="6"/>
      <c r="I32" s="6" t="s">
        <v>319</v>
      </c>
      <c r="J32" s="6"/>
      <c r="K32" s="6"/>
      <c r="L32" s="2">
        <f>SUM(L34:L42)</f>
        <v>1993896095.1613803</v>
      </c>
      <c r="S32" s="59">
        <f>SUM(S34:S42)</f>
        <v>0.16672546222451051</v>
      </c>
    </row>
    <row r="33" spans="1:20" x14ac:dyDescent="0.35">
      <c r="D33" s="243"/>
      <c r="E33" s="6"/>
      <c r="F33" s="31"/>
      <c r="G33" s="6"/>
      <c r="H33" s="6"/>
      <c r="I33" s="212" t="s">
        <v>281</v>
      </c>
      <c r="J33" s="6"/>
      <c r="K33" s="6"/>
      <c r="L33" s="2"/>
      <c r="M33" s="78" t="s">
        <v>181</v>
      </c>
      <c r="O33" s="90">
        <f>SUM(O34:O39)</f>
        <v>265449091.43020907</v>
      </c>
      <c r="P33" s="78" t="s">
        <v>181</v>
      </c>
      <c r="Q33" s="78"/>
      <c r="R33" s="90">
        <f>SUM(R34:R38)</f>
        <v>452060339.63886464</v>
      </c>
      <c r="S33" s="236" t="s">
        <v>349</v>
      </c>
    </row>
    <row r="34" spans="1:20" x14ac:dyDescent="0.35">
      <c r="D34" s="243"/>
      <c r="E34" s="6"/>
      <c r="F34" s="31"/>
      <c r="G34" s="6"/>
      <c r="H34" s="6"/>
      <c r="I34" s="6"/>
      <c r="J34" s="147" t="s">
        <v>179</v>
      </c>
      <c r="K34" s="6"/>
      <c r="L34" s="2">
        <f t="shared" ref="L34:L40" si="5">SUMIF($J$17:$J$31, J34, $L$17:$L$31)</f>
        <v>7931411.1595837837</v>
      </c>
      <c r="M34" s="5" t="s">
        <v>211</v>
      </c>
      <c r="O34" s="2">
        <f t="shared" ref="O34:O39" si="6">SUMIF($M$10:$M$29,M34,$O$10:$O$29)</f>
        <v>18175363.714531377</v>
      </c>
      <c r="P34" s="18" t="s">
        <v>217</v>
      </c>
      <c r="R34" s="2">
        <f>SUMIF($P$10:$P$29,P34,$R$10:$R$29)</f>
        <v>152904050.9458296</v>
      </c>
      <c r="S34" s="59">
        <f>R34/$H$8</f>
        <v>5.6392911154977722E-2</v>
      </c>
    </row>
    <row r="35" spans="1:20" x14ac:dyDescent="0.35">
      <c r="D35" s="243"/>
      <c r="E35" s="6"/>
      <c r="F35" s="251"/>
      <c r="G35" s="6"/>
      <c r="H35" s="6"/>
      <c r="I35" s="6"/>
      <c r="J35" s="171" t="s">
        <v>222</v>
      </c>
      <c r="K35" s="6"/>
      <c r="L35" s="2">
        <f t="shared" si="5"/>
        <v>2943029.9898270438</v>
      </c>
      <c r="M35" t="s">
        <v>212</v>
      </c>
      <c r="O35" s="2">
        <f t="shared" si="6"/>
        <v>5308981.8286041813</v>
      </c>
      <c r="P35" s="18" t="s">
        <v>177</v>
      </c>
      <c r="R35" s="2">
        <f>SUMIF($P$10:$P$29,P35,$R$10:$R$29)</f>
        <v>113015084.90971614</v>
      </c>
      <c r="S35" s="59">
        <f>R35/$H$8</f>
        <v>4.1681365556127628E-2</v>
      </c>
      <c r="T35" s="246">
        <f>L32+O33+R33</f>
        <v>2711405526.230454</v>
      </c>
    </row>
    <row r="36" spans="1:20" x14ac:dyDescent="0.35">
      <c r="D36" s="243"/>
      <c r="E36" s="6"/>
      <c r="F36" s="31"/>
      <c r="G36" s="6"/>
      <c r="H36" s="6"/>
      <c r="I36" s="6"/>
      <c r="J36" s="149" t="s">
        <v>176</v>
      </c>
      <c r="K36" s="6"/>
      <c r="L36" s="2">
        <f t="shared" si="5"/>
        <v>2497917.8865703116</v>
      </c>
      <c r="M36" s="5" t="s">
        <v>210</v>
      </c>
      <c r="O36" s="2">
        <f t="shared" si="6"/>
        <v>119452091.14359409</v>
      </c>
      <c r="P36" s="18" t="s">
        <v>218</v>
      </c>
      <c r="R36" s="2">
        <f>SUMIF($P$10:$P$29,P36,$R$10:$R$29)</f>
        <v>90412067.927772924</v>
      </c>
      <c r="S36" s="59">
        <f>R36/$H$8</f>
        <v>3.3345092444902101E-2</v>
      </c>
    </row>
    <row r="37" spans="1:20" x14ac:dyDescent="0.35">
      <c r="D37" s="243"/>
      <c r="E37" s="6"/>
      <c r="F37" s="31"/>
      <c r="G37" s="6"/>
      <c r="H37" s="6"/>
      <c r="I37" s="6"/>
      <c r="J37" s="150" t="s">
        <v>178</v>
      </c>
      <c r="K37" s="6"/>
      <c r="L37" s="2">
        <f t="shared" si="5"/>
        <v>280178390.38248652</v>
      </c>
      <c r="M37" t="s">
        <v>213</v>
      </c>
      <c r="O37" s="2">
        <f t="shared" si="6"/>
        <v>37365909.143020898</v>
      </c>
      <c r="P37" s="18" t="s">
        <v>219</v>
      </c>
      <c r="R37" s="2">
        <f>SUMIF($P$10:$P$29,P37,$R$10:$R$29)</f>
        <v>71796851.891659424</v>
      </c>
      <c r="S37" s="59">
        <f>R37/$H$8</f>
        <v>2.6479569801377289E-2</v>
      </c>
    </row>
    <row r="38" spans="1:20" x14ac:dyDescent="0.35">
      <c r="D38" s="243"/>
      <c r="E38" s="6"/>
      <c r="F38" s="31"/>
      <c r="G38" s="6"/>
      <c r="H38" s="6"/>
      <c r="I38" s="6"/>
      <c r="J38" s="152" t="s">
        <v>180</v>
      </c>
      <c r="K38" s="6"/>
      <c r="L38" s="2">
        <f t="shared" si="5"/>
        <v>345345.74291476962</v>
      </c>
      <c r="M38" t="s">
        <v>214</v>
      </c>
      <c r="O38" s="2">
        <f t="shared" si="6"/>
        <v>77183272.85755226</v>
      </c>
      <c r="P38" s="18" t="s">
        <v>220</v>
      </c>
      <c r="R38" s="2">
        <f>SUMIF($P$10:$P$29,P38,$R$10:$R$29)</f>
        <v>23932283.963886481</v>
      </c>
      <c r="S38" s="59">
        <f>R38/$H$8</f>
        <v>8.8265232671257653E-3</v>
      </c>
    </row>
    <row r="39" spans="1:20" x14ac:dyDescent="0.35">
      <c r="D39" s="243"/>
      <c r="E39" s="6"/>
      <c r="F39" s="31"/>
      <c r="G39" s="6"/>
      <c r="H39" s="6"/>
      <c r="J39" s="240" t="s">
        <v>177</v>
      </c>
      <c r="K39" s="6"/>
      <c r="L39" s="2">
        <f t="shared" si="5"/>
        <v>0</v>
      </c>
      <c r="M39" t="s">
        <v>216</v>
      </c>
      <c r="O39" s="2">
        <f t="shared" si="6"/>
        <v>7963472.7429062724</v>
      </c>
    </row>
    <row r="40" spans="1:20" x14ac:dyDescent="0.35">
      <c r="D40" s="243"/>
      <c r="E40" s="6"/>
      <c r="F40" s="31"/>
      <c r="G40" s="6"/>
      <c r="H40" s="6"/>
      <c r="J40" s="151" t="s">
        <v>77</v>
      </c>
      <c r="K40" s="6"/>
      <c r="L40" s="2">
        <f t="shared" si="5"/>
        <v>0</v>
      </c>
      <c r="O40" s="2"/>
    </row>
    <row r="41" spans="1:20" x14ac:dyDescent="0.35">
      <c r="D41" s="243"/>
      <c r="E41" s="6"/>
      <c r="F41" s="31"/>
      <c r="G41" s="6"/>
      <c r="H41" s="6"/>
      <c r="I41" s="212" t="s">
        <v>299</v>
      </c>
      <c r="J41" s="105"/>
      <c r="K41" s="6"/>
      <c r="L41" s="2"/>
      <c r="O41" s="2"/>
    </row>
    <row r="42" spans="1:20" x14ac:dyDescent="0.35">
      <c r="D42" s="243"/>
      <c r="E42" s="6"/>
      <c r="F42" s="31"/>
      <c r="G42" s="6"/>
      <c r="J42" s="150" t="s">
        <v>178</v>
      </c>
      <c r="L42" s="2">
        <f>L10</f>
        <v>1699999999.9999979</v>
      </c>
    </row>
    <row r="43" spans="1:20" s="91" customFormat="1" ht="41" customHeight="1" x14ac:dyDescent="0.35">
      <c r="A43" s="91" t="s">
        <v>78</v>
      </c>
      <c r="D43" s="314"/>
      <c r="F43" s="169"/>
    </row>
    <row r="44" spans="1:20" ht="17.5" customHeight="1" x14ac:dyDescent="0.35">
      <c r="B44" s="2">
        <f>C44/1000000</f>
        <v>615.78122436913156</v>
      </c>
      <c r="C44" s="2">
        <f>C45+C52+C59+C68</f>
        <v>615781224.36913157</v>
      </c>
      <c r="D44" s="243">
        <f>D45+D52+D59+D68</f>
        <v>0.39452384943875723</v>
      </c>
      <c r="F44" s="2">
        <f>F45+F52+F59+F68</f>
        <v>567056.6614571223</v>
      </c>
      <c r="H44" s="2">
        <f>H45+H52+H59+H68</f>
        <v>716455053.71717477</v>
      </c>
      <c r="L44" s="2">
        <f>L45+L52+L59+L68</f>
        <v>243507782.89206576</v>
      </c>
      <c r="O44" s="2">
        <f>O45+O52+O59+O68</f>
        <v>267251931.49719435</v>
      </c>
      <c r="R44" s="2">
        <f>R45+R52+R59+R68</f>
        <v>205695339.32791477</v>
      </c>
    </row>
    <row r="45" spans="1:20" s="201" customFormat="1" ht="17.5" customHeight="1" x14ac:dyDescent="0.35">
      <c r="A45" s="201" t="s">
        <v>297</v>
      </c>
      <c r="B45" s="201">
        <v>1000</v>
      </c>
      <c r="C45" s="250">
        <f>B45*F45</f>
        <v>250000000.00000045</v>
      </c>
      <c r="D45" s="295">
        <f>'[2]GAP analysis Sc. 1'!$C$40</f>
        <v>0.16122098022356002</v>
      </c>
      <c r="E45" s="210">
        <f>'[1]Conversion factors selected IV '!$O$17</f>
        <v>1.5506666666666669</v>
      </c>
      <c r="F45" s="202">
        <f>D45*E45*1000000</f>
        <v>250000.00000000044</v>
      </c>
      <c r="G45" s="208">
        <f>'LCoP 2030 MEDIUM'!E5</f>
        <v>1281.8786373112391</v>
      </c>
      <c r="H45" s="203">
        <f>G45*F45</f>
        <v>320469659.32781035</v>
      </c>
      <c r="I45" s="201">
        <f>'LCoP 2030 MEDIUM'!H5</f>
        <v>0.26514104176362585</v>
      </c>
      <c r="L45" s="202">
        <f>I45*H45</f>
        <v>84969659.327809915</v>
      </c>
      <c r="M45" s="201">
        <f>'LCoP 2030 MEDIUM'!F5</f>
        <v>0.43295830341951974</v>
      </c>
      <c r="O45" s="202">
        <f>M45*H45</f>
        <v>138750000.00000024</v>
      </c>
      <c r="P45" s="257">
        <f>'LCoP 2030 MEDIUM'!G5</f>
        <v>0.30190065481685435</v>
      </c>
      <c r="R45" s="202">
        <f>P45*H45</f>
        <v>96750000.000000179</v>
      </c>
      <c r="S45" s="203">
        <f>R45+O45+L45</f>
        <v>320469659.32781035</v>
      </c>
    </row>
    <row r="46" spans="1:20" ht="15" customHeight="1" x14ac:dyDescent="0.35">
      <c r="C46">
        <f>C45/$C$44</f>
        <v>0.40598834473416379</v>
      </c>
      <c r="D46" s="243"/>
      <c r="F46" s="147" t="s">
        <v>179</v>
      </c>
      <c r="G46" s="2">
        <f>SUMIF($J$46:$J$49,F46,$L$46:$L$49)/$L$45</f>
        <v>0.79850244841798834</v>
      </c>
      <c r="H46" s="192" t="s">
        <v>254</v>
      </c>
      <c r="I46" s="7" t="s">
        <v>4</v>
      </c>
      <c r="J46" s="147" t="s">
        <v>179</v>
      </c>
      <c r="K46" s="6">
        <f>'Feedstock MIX per IVC'!G13</f>
        <v>255.92003292567989</v>
      </c>
      <c r="L46">
        <f>K46*F$45</f>
        <v>63980008.231420085</v>
      </c>
      <c r="M46" s="5" t="s">
        <v>211</v>
      </c>
      <c r="N46" s="77">
        <v>0</v>
      </c>
      <c r="O46" s="2">
        <f t="shared" ref="O46:O51" si="7">N46*O$45</f>
        <v>0</v>
      </c>
      <c r="P46" s="18" t="s">
        <v>217</v>
      </c>
      <c r="Q46" s="77">
        <v>0.2</v>
      </c>
      <c r="R46" s="2">
        <f>Q46*R$45</f>
        <v>19350000.000000037</v>
      </c>
    </row>
    <row r="47" spans="1:20" ht="15" customHeight="1" x14ac:dyDescent="0.35">
      <c r="D47" s="243"/>
      <c r="F47" s="149" t="s">
        <v>176</v>
      </c>
      <c r="G47" s="2">
        <f>SUMIF($J$46:$J$49,F47,$L$46:$L$49)/$L$45</f>
        <v>0.20149755158201163</v>
      </c>
      <c r="H47" s="192" t="s">
        <v>254</v>
      </c>
      <c r="I47" s="7" t="s">
        <v>7</v>
      </c>
      <c r="J47" s="147" t="s">
        <v>179</v>
      </c>
      <c r="K47" s="6">
        <f>'Feedstock MIX per IVC'!G14</f>
        <v>10.633016625439506</v>
      </c>
      <c r="L47">
        <f>K47*F$45</f>
        <v>2658254.1563598812</v>
      </c>
      <c r="M47" t="s">
        <v>212</v>
      </c>
      <c r="N47" s="77">
        <v>0.02</v>
      </c>
      <c r="O47" s="2">
        <f t="shared" si="7"/>
        <v>2775000.0000000047</v>
      </c>
      <c r="P47" s="18" t="s">
        <v>177</v>
      </c>
      <c r="Q47" s="77">
        <v>0.5</v>
      </c>
      <c r="R47" s="2">
        <f>Q47*R$45</f>
        <v>48375000.000000089</v>
      </c>
    </row>
    <row r="48" spans="1:20" ht="15" customHeight="1" x14ac:dyDescent="0.35">
      <c r="D48" s="243"/>
      <c r="F48" s="31"/>
      <c r="H48" s="192" t="s">
        <v>254</v>
      </c>
      <c r="I48" s="7" t="s">
        <v>8</v>
      </c>
      <c r="J48" s="147" t="s">
        <v>179</v>
      </c>
      <c r="K48" s="6">
        <f>'Feedstock MIX per IVC'!G15</f>
        <v>4.8408745068744423</v>
      </c>
      <c r="L48">
        <f>K48*F$45</f>
        <v>1210218.6267186126</v>
      </c>
      <c r="M48" s="5" t="s">
        <v>210</v>
      </c>
      <c r="N48" s="77">
        <v>0.5</v>
      </c>
      <c r="O48" s="2">
        <f t="shared" si="7"/>
        <v>69375000.000000119</v>
      </c>
      <c r="P48" s="18" t="s">
        <v>218</v>
      </c>
      <c r="Q48" s="77">
        <v>0.15</v>
      </c>
      <c r="R48" s="2">
        <f>Q48*R$45</f>
        <v>14512500.000000026</v>
      </c>
    </row>
    <row r="49" spans="1:19" ht="15" customHeight="1" x14ac:dyDescent="0.35">
      <c r="D49" s="243"/>
      <c r="F49" s="31"/>
      <c r="H49" s="192" t="s">
        <v>254</v>
      </c>
      <c r="I49" s="7" t="s">
        <v>10</v>
      </c>
      <c r="J49" s="149" t="s">
        <v>176</v>
      </c>
      <c r="K49" s="6">
        <f>'Feedstock MIX per IVC'!G16</f>
        <v>68.484713253245218</v>
      </c>
      <c r="L49">
        <f>K49*F$45</f>
        <v>17121178.313311335</v>
      </c>
      <c r="M49" t="s">
        <v>213</v>
      </c>
      <c r="N49" s="77">
        <v>0.15</v>
      </c>
      <c r="O49" s="2">
        <f t="shared" si="7"/>
        <v>20812500.000000034</v>
      </c>
      <c r="P49" s="18" t="s">
        <v>219</v>
      </c>
      <c r="Q49" s="77">
        <v>0.1</v>
      </c>
      <c r="R49" s="2">
        <f>Q49*R$45</f>
        <v>9675000.0000000186</v>
      </c>
    </row>
    <row r="50" spans="1:19" ht="15" customHeight="1" x14ac:dyDescent="0.35">
      <c r="D50" s="243"/>
      <c r="F50" s="31"/>
      <c r="M50" t="s">
        <v>214</v>
      </c>
      <c r="N50" s="77">
        <v>0.3</v>
      </c>
      <c r="O50" s="2">
        <f t="shared" si="7"/>
        <v>41625000.000000067</v>
      </c>
      <c r="P50" s="18" t="s">
        <v>220</v>
      </c>
      <c r="Q50" s="77">
        <v>0.05</v>
      </c>
      <c r="R50" s="2">
        <f>Q50*R$45</f>
        <v>4837500.0000000093</v>
      </c>
    </row>
    <row r="51" spans="1:19" ht="15" customHeight="1" x14ac:dyDescent="0.35">
      <c r="D51" s="243"/>
      <c r="F51" s="31"/>
      <c r="M51" t="s">
        <v>216</v>
      </c>
      <c r="N51" s="77">
        <v>0.03</v>
      </c>
      <c r="O51" s="2">
        <f t="shared" si="7"/>
        <v>4162500.000000007</v>
      </c>
      <c r="Q51" s="77"/>
      <c r="R51" s="2"/>
    </row>
    <row r="52" spans="1:19" s="201" customFormat="1" ht="17.5" customHeight="1" x14ac:dyDescent="0.35">
      <c r="A52" s="201" t="s">
        <v>303</v>
      </c>
      <c r="B52" s="201">
        <v>1000</v>
      </c>
      <c r="C52" s="250">
        <f>B52*F52</f>
        <v>235849056.60377336</v>
      </c>
      <c r="D52" s="295">
        <f>'[2]GAP analysis Sc. 1'!$C$41</f>
        <v>0.15209526436184867</v>
      </c>
      <c r="E52" s="201">
        <f>'[1]Conversion factors selected IV '!$O$86</f>
        <v>1.5506666666666669</v>
      </c>
      <c r="F52" s="202">
        <f>D52*E52*1000000</f>
        <v>235849.05660377335</v>
      </c>
      <c r="G52" s="208">
        <f>'LCoP 2030 MEDIUM'!E17</f>
        <v>1166.3499999999999</v>
      </c>
      <c r="H52" s="203">
        <f>G52*F52</f>
        <v>275082547.16981101</v>
      </c>
      <c r="I52" s="201">
        <f>'LCoP 2030 MEDIUM'!H17</f>
        <v>0.50893814035238139</v>
      </c>
      <c r="L52" s="202">
        <f>I52*H52</f>
        <v>139999999.99999985</v>
      </c>
      <c r="M52" s="201">
        <f>'LCoP 2030 MEDIUM'!F17</f>
        <v>0.2383504093968363</v>
      </c>
      <c r="N52" s="210"/>
      <c r="O52" s="202">
        <f>M52*H52</f>
        <v>65566037.735848986</v>
      </c>
      <c r="P52" s="257">
        <f>'LCoP 2030 MEDIUM'!G17</f>
        <v>0.2527114502507824</v>
      </c>
      <c r="Q52" s="210"/>
      <c r="R52" s="202">
        <f>P52*H52</f>
        <v>69516509.433962196</v>
      </c>
      <c r="S52" s="203">
        <f>R52+O52+L52</f>
        <v>275082547.16981101</v>
      </c>
    </row>
    <row r="53" spans="1:19" ht="14.5" customHeight="1" x14ac:dyDescent="0.35">
      <c r="C53">
        <f>C52/$C$44</f>
        <v>0.38300787239071948</v>
      </c>
      <c r="D53" s="243"/>
      <c r="F53" s="190" t="s">
        <v>79</v>
      </c>
      <c r="G53">
        <v>1</v>
      </c>
      <c r="I53" s="16" t="s">
        <v>36</v>
      </c>
      <c r="J53" s="190" t="s">
        <v>79</v>
      </c>
      <c r="K53" s="6">
        <f>'Feedstock MIX per IVC'!G80</f>
        <v>593.6</v>
      </c>
      <c r="L53" s="31">
        <f>K53*F52</f>
        <v>139999999.99999988</v>
      </c>
      <c r="M53" s="5" t="s">
        <v>211</v>
      </c>
      <c r="N53" s="77">
        <v>0</v>
      </c>
      <c r="O53" s="2">
        <f t="shared" ref="O53:O58" si="8">N53*O$52</f>
        <v>0</v>
      </c>
      <c r="P53" s="18" t="s">
        <v>217</v>
      </c>
      <c r="Q53" s="77">
        <v>0.2</v>
      </c>
      <c r="R53" s="2">
        <f>Q53*R$52</f>
        <v>13903301.88679244</v>
      </c>
    </row>
    <row r="54" spans="1:19" ht="14.5" customHeight="1" x14ac:dyDescent="0.35">
      <c r="D54" s="243"/>
      <c r="F54" s="31"/>
      <c r="M54" t="s">
        <v>212</v>
      </c>
      <c r="N54" s="77">
        <v>0.02</v>
      </c>
      <c r="O54" s="2">
        <f t="shared" si="8"/>
        <v>1311320.7547169798</v>
      </c>
      <c r="P54" s="18" t="s">
        <v>177</v>
      </c>
      <c r="Q54" s="77">
        <v>0.5</v>
      </c>
      <c r="R54" s="2">
        <f>Q54*R$52</f>
        <v>34758254.716981098</v>
      </c>
    </row>
    <row r="55" spans="1:19" ht="14.5" customHeight="1" x14ac:dyDescent="0.35">
      <c r="D55" s="243"/>
      <c r="F55" s="31"/>
      <c r="M55" s="5" t="s">
        <v>210</v>
      </c>
      <c r="N55" s="77">
        <v>0.5</v>
      </c>
      <c r="O55" s="2">
        <f t="shared" si="8"/>
        <v>32783018.867924493</v>
      </c>
      <c r="P55" s="18" t="s">
        <v>218</v>
      </c>
      <c r="Q55" s="77">
        <v>0.15</v>
      </c>
      <c r="R55" s="2">
        <f>Q55*R$52</f>
        <v>10427476.415094329</v>
      </c>
    </row>
    <row r="56" spans="1:19" ht="14.5" customHeight="1" x14ac:dyDescent="0.35">
      <c r="D56" s="243"/>
      <c r="F56" s="31"/>
      <c r="M56" t="s">
        <v>213</v>
      </c>
      <c r="N56" s="77">
        <v>0.15</v>
      </c>
      <c r="O56" s="2">
        <f t="shared" si="8"/>
        <v>9834905.6603773478</v>
      </c>
      <c r="P56" s="18" t="s">
        <v>219</v>
      </c>
      <c r="Q56" s="77">
        <v>0.1</v>
      </c>
      <c r="R56" s="2">
        <f>Q56*R$52</f>
        <v>6951650.94339622</v>
      </c>
    </row>
    <row r="57" spans="1:19" ht="14.5" customHeight="1" x14ac:dyDescent="0.35">
      <c r="D57" s="243"/>
      <c r="F57" s="31"/>
      <c r="M57" t="s">
        <v>214</v>
      </c>
      <c r="N57" s="77">
        <v>0.3</v>
      </c>
      <c r="O57" s="2">
        <f t="shared" si="8"/>
        <v>19669811.320754696</v>
      </c>
      <c r="P57" s="18" t="s">
        <v>220</v>
      </c>
      <c r="Q57" s="77">
        <v>0.05</v>
      </c>
      <c r="R57" s="2">
        <f>Q57*R$52</f>
        <v>3475825.47169811</v>
      </c>
    </row>
    <row r="58" spans="1:19" ht="14.5" customHeight="1" x14ac:dyDescent="0.35">
      <c r="D58" s="243"/>
      <c r="F58" s="31"/>
      <c r="M58" t="s">
        <v>216</v>
      </c>
      <c r="N58" s="77">
        <v>0.03</v>
      </c>
      <c r="O58" s="2">
        <f t="shared" si="8"/>
        <v>1966981.1320754695</v>
      </c>
      <c r="Q58" s="77"/>
    </row>
    <row r="59" spans="1:19" s="201" customFormat="1" ht="17.5" customHeight="1" x14ac:dyDescent="0.35">
      <c r="A59" s="201" t="s">
        <v>295</v>
      </c>
      <c r="B59" s="201">
        <v>1750</v>
      </c>
      <c r="C59" s="250">
        <f>B59*F59</f>
        <v>106584981.37001999</v>
      </c>
      <c r="D59" s="295">
        <f>'[2]GAP analysis Sc. 1'!$C$42</f>
        <v>6.0905703640011424E-2</v>
      </c>
      <c r="E59" s="201">
        <f>'[1]Conversion factors selected IV '!$O$89</f>
        <v>1</v>
      </c>
      <c r="F59" s="202">
        <f>D59*E59*1000000</f>
        <v>60905.703640011423</v>
      </c>
      <c r="G59" s="208">
        <f>'LCoP 2030 MEDIUM'!E19</f>
        <v>1469.6575342026485</v>
      </c>
      <c r="H59" s="203">
        <f>G59*F59</f>
        <v>89510526.230456471</v>
      </c>
      <c r="I59" s="206">
        <f>'LCoP 2030 MEDIUM'!H19</f>
        <v>0.15524537444462094</v>
      </c>
      <c r="L59" s="202">
        <f>I59*H59</f>
        <v>13896095.16138228</v>
      </c>
      <c r="M59" s="201">
        <f>'LCoP 2030 MEDIUM'!F19</f>
        <v>0.5477466561192752</v>
      </c>
      <c r="N59" s="210"/>
      <c r="O59" s="202">
        <f>M59*H59</f>
        <v>49029091.430209205</v>
      </c>
      <c r="P59" s="257">
        <f>'LCoP 2030 MEDIUM'!G19</f>
        <v>0.29700796943610386</v>
      </c>
      <c r="Q59" s="210"/>
      <c r="R59" s="202">
        <f>P59*H59</f>
        <v>26585339.638864987</v>
      </c>
      <c r="S59" s="203">
        <f>R59+O59+L59</f>
        <v>89510526.230456471</v>
      </c>
    </row>
    <row r="60" spans="1:19" ht="17.5" customHeight="1" x14ac:dyDescent="0.35">
      <c r="C60">
        <f>C59/$C$44</f>
        <v>0.17308904063974409</v>
      </c>
      <c r="D60" s="243"/>
      <c r="F60" s="147" t="s">
        <v>179</v>
      </c>
      <c r="G60" s="2">
        <f>SUMIF($J$60:$J$67,F60,$L$60:$L$67)/$L$59</f>
        <v>0.57076546090627278</v>
      </c>
      <c r="H60" s="192" t="s">
        <v>254</v>
      </c>
      <c r="I60" s="5" t="s">
        <v>4</v>
      </c>
      <c r="J60" s="147" t="s">
        <v>179</v>
      </c>
      <c r="K60" s="6">
        <f>'Feedstock MIX per IVC'!G84</f>
        <v>117.13777724189546</v>
      </c>
      <c r="L60">
        <f t="shared" ref="L60:L67" si="9">K60*F$59</f>
        <v>7134358.7457445599</v>
      </c>
      <c r="M60" s="5" t="s">
        <v>211</v>
      </c>
      <c r="N60" s="258">
        <v>0.15</v>
      </c>
      <c r="O60" s="2">
        <f t="shared" ref="O60:O65" si="10">N60*O$59</f>
        <v>7354363.7145313807</v>
      </c>
      <c r="P60" s="18" t="s">
        <v>217</v>
      </c>
      <c r="Q60" s="174">
        <v>0.15</v>
      </c>
      <c r="R60" s="2">
        <f>Q60*R$59</f>
        <v>3987800.9458297477</v>
      </c>
    </row>
    <row r="61" spans="1:19" ht="17.5" customHeight="1" x14ac:dyDescent="0.35">
      <c r="D61" s="243"/>
      <c r="F61" s="150" t="s">
        <v>178</v>
      </c>
      <c r="G61" s="2">
        <f t="shared" ref="G61:G64" si="11">SUMIF($J$60:$J$67,F61,$L$60:$L$67)/$L$59</f>
        <v>1.2837446808951257E-2</v>
      </c>
      <c r="H61" s="192" t="s">
        <v>254</v>
      </c>
      <c r="I61" s="5" t="s">
        <v>5</v>
      </c>
      <c r="J61" s="147" t="s">
        <v>179</v>
      </c>
      <c r="K61" s="6">
        <f>'Feedstock MIX per IVC'!G85</f>
        <v>6.0040707909944153</v>
      </c>
      <c r="L61">
        <f t="shared" si="9"/>
        <v>365682.15622995485</v>
      </c>
      <c r="M61" t="s">
        <v>212</v>
      </c>
      <c r="N61" s="77">
        <v>0.02</v>
      </c>
      <c r="O61" s="2">
        <f t="shared" si="10"/>
        <v>980581.82860418409</v>
      </c>
      <c r="P61" s="18" t="s">
        <v>177</v>
      </c>
      <c r="Q61" s="174">
        <v>0.25</v>
      </c>
      <c r="R61" s="2">
        <f>Q61*R$59</f>
        <v>6646334.9097162466</v>
      </c>
    </row>
    <row r="62" spans="1:19" ht="17.5" customHeight="1" x14ac:dyDescent="0.35">
      <c r="D62" s="243"/>
      <c r="F62" s="171" t="s">
        <v>222</v>
      </c>
      <c r="G62" s="2">
        <f t="shared" si="11"/>
        <v>0.21178827257932314</v>
      </c>
      <c r="H62" s="192" t="s">
        <v>254</v>
      </c>
      <c r="I62" s="5" t="s">
        <v>6</v>
      </c>
      <c r="J62" s="150" t="s">
        <v>178</v>
      </c>
      <c r="K62" s="6">
        <f>'Feedstock MIX per IVC'!G86</f>
        <v>2.9289602093879772</v>
      </c>
      <c r="L62">
        <f t="shared" si="9"/>
        <v>178390.38248636996</v>
      </c>
      <c r="M62" s="5" t="s">
        <v>210</v>
      </c>
      <c r="N62" s="258">
        <v>0.45</v>
      </c>
      <c r="O62" s="2">
        <f t="shared" si="10"/>
        <v>22063091.143594142</v>
      </c>
      <c r="P62" s="18" t="s">
        <v>218</v>
      </c>
      <c r="Q62" s="174">
        <v>0.2</v>
      </c>
      <c r="R62" s="2">
        <f>Q62*R$59</f>
        <v>5317067.9277729979</v>
      </c>
    </row>
    <row r="63" spans="1:19" ht="17.5" customHeight="1" x14ac:dyDescent="0.35">
      <c r="D63" s="243"/>
      <c r="F63" s="149" t="s">
        <v>176</v>
      </c>
      <c r="G63" s="2">
        <f t="shared" si="11"/>
        <v>0.17975682071551369</v>
      </c>
      <c r="H63" s="192" t="s">
        <v>254</v>
      </c>
      <c r="I63" s="5" t="s">
        <v>7</v>
      </c>
      <c r="J63" s="147" t="s">
        <v>179</v>
      </c>
      <c r="K63" s="6">
        <f>'Feedstock MIX per IVC'!G87</f>
        <v>4.8668637567806563</v>
      </c>
      <c r="L63">
        <f t="shared" si="9"/>
        <v>296419.76162679528</v>
      </c>
      <c r="M63" t="s">
        <v>213</v>
      </c>
      <c r="N63" s="77">
        <v>0.1</v>
      </c>
      <c r="O63" s="2">
        <f t="shared" si="10"/>
        <v>4902909.1430209205</v>
      </c>
      <c r="P63" s="18" t="s">
        <v>219</v>
      </c>
      <c r="Q63" s="174">
        <v>0.3</v>
      </c>
      <c r="R63" s="2">
        <f>Q63*R$59</f>
        <v>7975601.8916594954</v>
      </c>
    </row>
    <row r="64" spans="1:19" ht="17.5" customHeight="1" x14ac:dyDescent="0.35">
      <c r="D64" s="243"/>
      <c r="F64" s="152" t="s">
        <v>180</v>
      </c>
      <c r="G64" s="2">
        <f t="shared" si="11"/>
        <v>2.4851998989939068E-2</v>
      </c>
      <c r="H64" s="192" t="s">
        <v>254</v>
      </c>
      <c r="I64" s="5" t="s">
        <v>8</v>
      </c>
      <c r="J64" s="147" t="s">
        <v>179</v>
      </c>
      <c r="K64" s="6">
        <f>'Feedstock MIX per IVC'!G88</f>
        <v>2.2157283787428326</v>
      </c>
      <c r="L64">
        <f t="shared" si="9"/>
        <v>134950.49598247395</v>
      </c>
      <c r="M64" t="s">
        <v>214</v>
      </c>
      <c r="N64" s="77">
        <v>0.25</v>
      </c>
      <c r="O64" s="2">
        <f t="shared" si="10"/>
        <v>12257272.857552301</v>
      </c>
      <c r="P64" s="18" t="s">
        <v>220</v>
      </c>
      <c r="Q64" s="174">
        <v>0.1</v>
      </c>
      <c r="R64" s="2">
        <f>Q64*R$59</f>
        <v>2658533.9638864989</v>
      </c>
    </row>
    <row r="65" spans="1:21" ht="17.5" customHeight="1" x14ac:dyDescent="0.35">
      <c r="D65" s="243"/>
      <c r="F65" s="31"/>
      <c r="G65" s="2">
        <f>SUM(G60:G64)</f>
        <v>1</v>
      </c>
      <c r="H65" s="192" t="s">
        <v>254</v>
      </c>
      <c r="I65" s="5" t="s">
        <v>9</v>
      </c>
      <c r="J65" s="171" t="s">
        <v>222</v>
      </c>
      <c r="K65" s="6">
        <f>'Feedstock MIX per IVC'!G89</f>
        <v>48.321090044736764</v>
      </c>
      <c r="L65">
        <f t="shared" si="9"/>
        <v>2943029.9898270438</v>
      </c>
      <c r="M65" t="s">
        <v>216</v>
      </c>
      <c r="N65" s="77">
        <v>0.03</v>
      </c>
      <c r="O65" s="2">
        <f t="shared" si="10"/>
        <v>1470872.7429062761</v>
      </c>
      <c r="Q65" s="77"/>
      <c r="R65" s="2"/>
    </row>
    <row r="66" spans="1:21" ht="17.5" customHeight="1" x14ac:dyDescent="0.35">
      <c r="D66" s="243"/>
      <c r="F66" s="31"/>
      <c r="H66" s="192" t="s">
        <v>254</v>
      </c>
      <c r="I66" s="5" t="s">
        <v>10</v>
      </c>
      <c r="J66" s="149" t="s">
        <v>176</v>
      </c>
      <c r="K66" s="6">
        <f>'Feedstock MIX per IVC'!G90</f>
        <v>41.012872970559165</v>
      </c>
      <c r="L66">
        <f t="shared" si="9"/>
        <v>2497917.8865703116</v>
      </c>
      <c r="N66" s="77"/>
      <c r="O66" s="2"/>
      <c r="Q66" s="77"/>
    </row>
    <row r="67" spans="1:21" ht="17.5" customHeight="1" x14ac:dyDescent="0.35">
      <c r="D67" s="243"/>
      <c r="F67" s="31"/>
      <c r="H67" s="192" t="s">
        <v>254</v>
      </c>
      <c r="I67" s="5" t="s">
        <v>11</v>
      </c>
      <c r="J67" s="152" t="s">
        <v>180</v>
      </c>
      <c r="K67" s="6">
        <f>'Feedstock MIX per IVC'!G91</f>
        <v>5.6701708095512098</v>
      </c>
      <c r="L67">
        <f t="shared" si="9"/>
        <v>345345.74291476962</v>
      </c>
      <c r="N67" s="77"/>
      <c r="Q67" s="77"/>
    </row>
    <row r="68" spans="1:21" s="201" customFormat="1" x14ac:dyDescent="0.35">
      <c r="A68" s="201" t="s">
        <v>298</v>
      </c>
      <c r="B68" s="201">
        <v>1150</v>
      </c>
      <c r="C68" s="250">
        <f>B68*F68</f>
        <v>23347186.395337712</v>
      </c>
      <c r="D68" s="295">
        <f>'[2]GAP analysis Sc. 1'!$C$43</f>
        <v>2.030190121333714E-2</v>
      </c>
      <c r="E68" s="208">
        <f>'[1]Conversion factors selected IV '!$O$125</f>
        <v>1</v>
      </c>
      <c r="F68" s="202">
        <f>D68*E68*1000000</f>
        <v>20301.90121333714</v>
      </c>
      <c r="G68" s="208">
        <f>'LCoP 2030 MEDIUM'!$E$21</f>
        <v>1546.2749354959019</v>
      </c>
      <c r="H68" s="203">
        <f>G68*F68</f>
        <v>31392320.989097059</v>
      </c>
      <c r="I68" s="201">
        <f>'LCoP 2030 MEDIUM'!H$21</f>
        <v>0.14787146208418117</v>
      </c>
      <c r="L68" s="202">
        <f>I68*H68</f>
        <v>4642028.4028737107</v>
      </c>
      <c r="M68" s="201">
        <f>'LCoP 2030 MEDIUM'!F21</f>
        <v>0.44300013165531615</v>
      </c>
      <c r="N68" s="210"/>
      <c r="O68" s="202">
        <f>M68*H68</f>
        <v>13906802.331135942</v>
      </c>
      <c r="P68" s="257">
        <f>'LCoP 2030 MEDIUM'!G21</f>
        <v>0.40912840626050273</v>
      </c>
      <c r="Q68" s="210"/>
      <c r="R68" s="202">
        <f>P68*H68</f>
        <v>12843490.255087409</v>
      </c>
      <c r="S68" s="202">
        <f>L68+O68+R68</f>
        <v>31392320.989097062</v>
      </c>
    </row>
    <row r="69" spans="1:21" x14ac:dyDescent="0.35">
      <c r="C69">
        <f>C68/$C$44</f>
        <v>3.7914742235372514E-2</v>
      </c>
      <c r="D69" s="243"/>
      <c r="E69" s="6"/>
      <c r="F69" s="147" t="s">
        <v>179</v>
      </c>
      <c r="G69" s="2">
        <f>SUMIF($J$69:$J$76,F69,$L$69:$L$76)/$L$68</f>
        <v>0.56953630835704905</v>
      </c>
      <c r="H69" s="192" t="s">
        <v>254</v>
      </c>
      <c r="I69" s="5" t="s">
        <v>4</v>
      </c>
      <c r="J69" s="147" t="s">
        <v>179</v>
      </c>
      <c r="K69" s="6">
        <f>'Feedstock MIX per IVC'!G84</f>
        <v>117.13777724189546</v>
      </c>
      <c r="L69" s="2">
        <f t="shared" ref="L69:L76" si="12">K69*F$68</f>
        <v>2378119.5819148533</v>
      </c>
      <c r="M69" s="5" t="s">
        <v>211</v>
      </c>
      <c r="N69" s="258">
        <v>0.15</v>
      </c>
      <c r="O69" s="2">
        <f t="shared" ref="O69:O74" si="13">N69*O$68</f>
        <v>2086020.3496703911</v>
      </c>
      <c r="P69" s="18" t="s">
        <v>217</v>
      </c>
      <c r="Q69" s="174">
        <v>0.15</v>
      </c>
      <c r="R69" s="2">
        <f>Q69*R$68</f>
        <v>1926523.5382631114</v>
      </c>
    </row>
    <row r="70" spans="1:21" x14ac:dyDescent="0.35">
      <c r="D70" s="243"/>
      <c r="E70" s="6"/>
      <c r="F70" s="150" t="s">
        <v>178</v>
      </c>
      <c r="G70" s="2">
        <f t="shared" ref="G70:G73" si="14">SUMIF($J$69:$J$76,F70,$L$69:$L$76)/$L$68</f>
        <v>1.2809801161918422E-2</v>
      </c>
      <c r="H70" s="192" t="s">
        <v>254</v>
      </c>
      <c r="I70" s="5" t="s">
        <v>5</v>
      </c>
      <c r="J70" s="147" t="s">
        <v>179</v>
      </c>
      <c r="K70" s="6">
        <f>'Feedstock MIX per IVC'!G85</f>
        <v>6.0040707909944153</v>
      </c>
      <c r="L70" s="2">
        <f t="shared" si="12"/>
        <v>121894.0520766516</v>
      </c>
      <c r="M70" t="s">
        <v>212</v>
      </c>
      <c r="N70" s="77">
        <v>0.02</v>
      </c>
      <c r="O70" s="2">
        <f t="shared" si="13"/>
        <v>278136.04662271886</v>
      </c>
      <c r="P70" s="18" t="s">
        <v>177</v>
      </c>
      <c r="Q70" s="174">
        <v>0.25</v>
      </c>
      <c r="R70" s="2">
        <f>Q70*R$68</f>
        <v>3210872.5637718523</v>
      </c>
    </row>
    <row r="71" spans="1:21" x14ac:dyDescent="0.35">
      <c r="D71" s="243"/>
      <c r="E71" s="6"/>
      <c r="F71" s="171" t="s">
        <v>222</v>
      </c>
      <c r="G71" s="2">
        <f t="shared" si="14"/>
        <v>0.21133218314685601</v>
      </c>
      <c r="H71" s="192" t="s">
        <v>254</v>
      </c>
      <c r="I71" s="5" t="s">
        <v>6</v>
      </c>
      <c r="J71" s="150" t="s">
        <v>178</v>
      </c>
      <c r="K71" s="6">
        <f>'Feedstock MIX per IVC'!G86</f>
        <v>2.9289602093879772</v>
      </c>
      <c r="L71" s="2">
        <f t="shared" si="12"/>
        <v>59463.460828789975</v>
      </c>
      <c r="M71" s="5" t="s">
        <v>210</v>
      </c>
      <c r="N71" s="258">
        <v>0.45</v>
      </c>
      <c r="O71" s="2">
        <f t="shared" si="13"/>
        <v>6258061.0490111737</v>
      </c>
      <c r="P71" s="18" t="s">
        <v>218</v>
      </c>
      <c r="Q71" s="174">
        <v>0.2</v>
      </c>
      <c r="R71" s="2">
        <f>Q71*R$68</f>
        <v>2568698.0510174818</v>
      </c>
    </row>
    <row r="72" spans="1:21" x14ac:dyDescent="0.35">
      <c r="D72" s="243"/>
      <c r="E72" s="6"/>
      <c r="F72" s="149" t="s">
        <v>176</v>
      </c>
      <c r="G72" s="2">
        <f t="shared" si="14"/>
        <v>0.17936971152696532</v>
      </c>
      <c r="H72" s="192" t="s">
        <v>254</v>
      </c>
      <c r="I72" s="5" t="s">
        <v>7</v>
      </c>
      <c r="J72" s="147" t="s">
        <v>179</v>
      </c>
      <c r="K72" s="6">
        <f>'Feedstock MIX per IVC'!G87</f>
        <v>4.8668637567806563</v>
      </c>
      <c r="L72" s="2">
        <f t="shared" si="12"/>
        <v>98806.587208931756</v>
      </c>
      <c r="M72" t="s">
        <v>213</v>
      </c>
      <c r="N72" s="77">
        <v>0.1</v>
      </c>
      <c r="O72" s="2">
        <f t="shared" si="13"/>
        <v>1390680.2331135944</v>
      </c>
      <c r="P72" s="18" t="s">
        <v>219</v>
      </c>
      <c r="Q72" s="174">
        <v>0.3</v>
      </c>
      <c r="R72" s="2">
        <f>Q72*R$68</f>
        <v>3853047.0765262228</v>
      </c>
    </row>
    <row r="73" spans="1:21" x14ac:dyDescent="0.35">
      <c r="D73" s="243"/>
      <c r="E73" s="6"/>
      <c r="F73" s="152" t="s">
        <v>180</v>
      </c>
      <c r="G73" s="2">
        <f t="shared" si="14"/>
        <v>2.4798479812616587E-2</v>
      </c>
      <c r="H73" s="192" t="s">
        <v>254</v>
      </c>
      <c r="I73" s="5" t="s">
        <v>8</v>
      </c>
      <c r="J73" s="147" t="s">
        <v>179</v>
      </c>
      <c r="K73" s="6">
        <f>'Feedstock MIX per IVC'!G88</f>
        <v>2.2157283787428326</v>
      </c>
      <c r="L73" s="2">
        <f t="shared" si="12"/>
        <v>44983.498660824647</v>
      </c>
      <c r="M73" t="s">
        <v>214</v>
      </c>
      <c r="N73" s="77">
        <v>0.25</v>
      </c>
      <c r="O73" s="2">
        <f t="shared" si="13"/>
        <v>3476700.5827839854</v>
      </c>
      <c r="P73" s="18" t="s">
        <v>220</v>
      </c>
      <c r="Q73" s="174">
        <v>0.1</v>
      </c>
      <c r="R73" s="2">
        <f>Q73*R$68</f>
        <v>1284349.0255087409</v>
      </c>
    </row>
    <row r="74" spans="1:21" x14ac:dyDescent="0.35">
      <c r="D74" s="243"/>
      <c r="E74" s="6"/>
      <c r="F74" s="31"/>
      <c r="G74" s="2">
        <f>SUM(G69:G73)</f>
        <v>0.99784648400540543</v>
      </c>
      <c r="H74" s="192" t="s">
        <v>254</v>
      </c>
      <c r="I74" s="5" t="s">
        <v>9</v>
      </c>
      <c r="J74" s="171" t="s">
        <v>222</v>
      </c>
      <c r="K74" s="6">
        <f>'Feedstock MIX per IVC'!G89</f>
        <v>48.321090044736764</v>
      </c>
      <c r="L74" s="2">
        <f t="shared" si="12"/>
        <v>981009.99660901446</v>
      </c>
      <c r="M74" t="s">
        <v>216</v>
      </c>
      <c r="N74" s="77">
        <v>0.03</v>
      </c>
      <c r="O74" s="2">
        <f t="shared" si="13"/>
        <v>417204.06993407826</v>
      </c>
      <c r="Q74" s="34"/>
      <c r="R74" s="2"/>
    </row>
    <row r="75" spans="1:21" x14ac:dyDescent="0.35">
      <c r="D75" s="243"/>
      <c r="E75" s="6"/>
      <c r="F75" s="31"/>
      <c r="G75" s="6"/>
      <c r="H75" s="192" t="s">
        <v>254</v>
      </c>
      <c r="I75" s="5" t="s">
        <v>10</v>
      </c>
      <c r="J75" s="149" t="s">
        <v>176</v>
      </c>
      <c r="K75" s="6">
        <f>'Feedstock MIX per IVC'!G90</f>
        <v>41.012872970559165</v>
      </c>
      <c r="L75" s="2">
        <f t="shared" si="12"/>
        <v>832639.29552343709</v>
      </c>
      <c r="M75" s="2"/>
      <c r="R75" s="2"/>
    </row>
    <row r="76" spans="1:21" x14ac:dyDescent="0.35">
      <c r="D76" s="243"/>
      <c r="E76" s="6"/>
      <c r="F76" s="31"/>
      <c r="G76" s="6"/>
      <c r="H76" s="192" t="s">
        <v>254</v>
      </c>
      <c r="I76" s="5" t="s">
        <v>11</v>
      </c>
      <c r="J76" s="152" t="s">
        <v>180</v>
      </c>
      <c r="K76" s="6">
        <f>'Feedstock MIX per IVC'!G91</f>
        <v>5.6701708095512098</v>
      </c>
      <c r="L76" s="2">
        <f t="shared" si="12"/>
        <v>115115.24763825654</v>
      </c>
    </row>
    <row r="77" spans="1:21" s="78" customFormat="1" x14ac:dyDescent="0.35">
      <c r="D77" s="317"/>
      <c r="E77" s="90"/>
      <c r="F77" s="213"/>
      <c r="G77" s="6"/>
      <c r="L77" s="90"/>
    </row>
    <row r="78" spans="1:21" s="78" customFormat="1" x14ac:dyDescent="0.35">
      <c r="D78" s="317"/>
      <c r="F78" s="213"/>
      <c r="I78" s="78" t="s">
        <v>281</v>
      </c>
      <c r="L78" s="213">
        <f>SUM(L79:L84)</f>
        <v>243497786.20965281</v>
      </c>
      <c r="M78" s="78" t="s">
        <v>181</v>
      </c>
      <c r="O78" s="90">
        <f>SUM(O79:O84)</f>
        <v>267251931.49719438</v>
      </c>
      <c r="P78" s="78" t="s">
        <v>181</v>
      </c>
      <c r="R78" s="90">
        <f>SUM(R79:R83)</f>
        <v>205695339.3279148</v>
      </c>
      <c r="S78" s="90">
        <f>SUM(S79:S83)</f>
        <v>0.2871015261330187</v>
      </c>
      <c r="T78" s="90"/>
      <c r="U78" s="236" t="s">
        <v>348</v>
      </c>
    </row>
    <row r="79" spans="1:21" x14ac:dyDescent="0.35">
      <c r="D79" s="243"/>
      <c r="E79" s="2"/>
      <c r="G79" s="2"/>
      <c r="H79" s="6"/>
      <c r="J79" s="147" t="s">
        <v>179</v>
      </c>
      <c r="L79" s="2">
        <f t="shared" ref="L79:L84" si="15">SUMIF($J$46:$J$76, J79, $L$46:$L$76)</f>
        <v>78423695.893943608</v>
      </c>
      <c r="M79" s="5" t="s">
        <v>211</v>
      </c>
      <c r="O79" s="2">
        <f t="shared" ref="O79:O84" si="16">SUMIF($M$46:$M$74, M79, $O$46:$O$74)</f>
        <v>9440384.0642017722</v>
      </c>
      <c r="P79" s="18" t="s">
        <v>217</v>
      </c>
      <c r="R79" s="2">
        <f>SUMIF($P$46:$P$73, P79, $R$46:$R$73)</f>
        <v>39167626.370885335</v>
      </c>
      <c r="S79">
        <f>R79/$H$44</f>
        <v>5.4668644135696207E-2</v>
      </c>
    </row>
    <row r="80" spans="1:21" x14ac:dyDescent="0.35">
      <c r="D80" s="243"/>
      <c r="E80" s="2"/>
      <c r="G80" s="2"/>
      <c r="H80" s="6"/>
      <c r="J80" s="171" t="s">
        <v>222</v>
      </c>
      <c r="L80" s="2">
        <f t="shared" si="15"/>
        <v>3924039.9864360583</v>
      </c>
      <c r="M80" t="s">
        <v>212</v>
      </c>
      <c r="O80" s="2">
        <f t="shared" si="16"/>
        <v>5345038.6299438877</v>
      </c>
      <c r="P80" s="18" t="s">
        <v>177</v>
      </c>
      <c r="R80" s="2">
        <f>SUMIF($P$46:$P$73, P80, $R$46:$R$73)</f>
        <v>92990462.190469295</v>
      </c>
      <c r="S80">
        <f>R80/$H$44</f>
        <v>0.12979245761197167</v>
      </c>
    </row>
    <row r="81" spans="1:19" x14ac:dyDescent="0.35">
      <c r="D81" s="318"/>
      <c r="E81" s="1"/>
      <c r="G81" s="2"/>
      <c r="H81" s="6"/>
      <c r="J81" s="149" t="s">
        <v>176</v>
      </c>
      <c r="L81" s="2">
        <f t="shared" si="15"/>
        <v>20451735.495405085</v>
      </c>
      <c r="M81" s="5" t="s">
        <v>210</v>
      </c>
      <c r="O81" s="2">
        <f t="shared" si="16"/>
        <v>130479171.06052993</v>
      </c>
      <c r="P81" s="18" t="s">
        <v>218</v>
      </c>
      <c r="R81" s="2">
        <f>SUMIF($P$46:$P$73, P81, $R$46:$R$73)</f>
        <v>32825742.393884834</v>
      </c>
      <c r="S81">
        <f>R81/$H$44</f>
        <v>4.5816890010860339E-2</v>
      </c>
    </row>
    <row r="82" spans="1:19" x14ac:dyDescent="0.35">
      <c r="D82" s="318"/>
      <c r="E82" s="1"/>
      <c r="G82" s="2"/>
      <c r="H82" s="6"/>
      <c r="J82" s="150" t="s">
        <v>178</v>
      </c>
      <c r="L82" s="2">
        <f t="shared" si="15"/>
        <v>237853.84331515993</v>
      </c>
      <c r="M82" t="s">
        <v>213</v>
      </c>
      <c r="O82" s="2">
        <f t="shared" si="16"/>
        <v>36940995.036511898</v>
      </c>
      <c r="P82" s="18" t="s">
        <v>219</v>
      </c>
      <c r="R82" s="2">
        <f>SUMIF($P$46:$P$73, P82, $R$46:$R$73)</f>
        <v>28455299.911581956</v>
      </c>
      <c r="S82">
        <f>R82/$H$44</f>
        <v>3.971679697693202E-2</v>
      </c>
    </row>
    <row r="83" spans="1:19" s="78" customFormat="1" x14ac:dyDescent="0.35">
      <c r="D83" s="317"/>
      <c r="E83" s="90"/>
      <c r="F83" s="213"/>
      <c r="G83" s="1"/>
      <c r="H83" s="6"/>
      <c r="J83" s="152" t="s">
        <v>180</v>
      </c>
      <c r="L83" s="2">
        <f t="shared" si="15"/>
        <v>460460.99055302615</v>
      </c>
      <c r="M83" t="s">
        <v>214</v>
      </c>
      <c r="O83" s="2">
        <f t="shared" si="16"/>
        <v>77028784.761091053</v>
      </c>
      <c r="P83" s="18" t="s">
        <v>220</v>
      </c>
      <c r="R83" s="2">
        <f>SUMIF($P$46:$P$73, P83, $R$46:$R$73)</f>
        <v>12256208.461093359</v>
      </c>
      <c r="S83">
        <f>R83/$H$44</f>
        <v>1.7106737397558473E-2</v>
      </c>
    </row>
    <row r="84" spans="1:19" s="78" customFormat="1" x14ac:dyDescent="0.35">
      <c r="D84" s="317"/>
      <c r="E84" s="90"/>
      <c r="F84" s="213"/>
      <c r="G84" s="1"/>
      <c r="H84" s="6"/>
      <c r="J84" s="190" t="s">
        <v>79</v>
      </c>
      <c r="L84" s="2">
        <f t="shared" si="15"/>
        <v>139999999.99999988</v>
      </c>
      <c r="M84" t="s">
        <v>216</v>
      </c>
      <c r="O84" s="2">
        <f t="shared" si="16"/>
        <v>8017557.9449158311</v>
      </c>
    </row>
    <row r="85" spans="1:19" s="91" customFormat="1" ht="32.5" customHeight="1" x14ac:dyDescent="0.35">
      <c r="A85" s="91" t="s">
        <v>79</v>
      </c>
      <c r="D85" s="319"/>
      <c r="E85" s="92"/>
      <c r="F85" s="169"/>
    </row>
    <row r="86" spans="1:19" ht="16.5" customHeight="1" x14ac:dyDescent="0.35">
      <c r="B86" s="2">
        <f>C86/1000000</f>
        <v>1993.2809121415648</v>
      </c>
      <c r="C86" s="102">
        <f>C87+C97</f>
        <v>1993280912.1415648</v>
      </c>
      <c r="D86" s="320">
        <f>D87+D97</f>
        <v>1.8685013186834418</v>
      </c>
      <c r="E86" s="102"/>
      <c r="F86" s="102">
        <f>F87</f>
        <v>1438357.578150247</v>
      </c>
    </row>
    <row r="87" spans="1:19" s="202" customFormat="1" x14ac:dyDescent="0.35">
      <c r="A87" s="202" t="s">
        <v>58</v>
      </c>
      <c r="B87" s="202">
        <v>1275</v>
      </c>
      <c r="C87" s="250">
        <f>B87*F87</f>
        <v>1833905912.1415648</v>
      </c>
      <c r="D87" s="316">
        <f>'[2]GAP analysis Sc. 1'!$D$45+'[2]GAP analysis Sc. 1'!$D$57+'[2]GAP analysis Sc. 1'!$E$55</f>
        <v>1.7191032103429431</v>
      </c>
      <c r="E87" s="202">
        <f>'[1]Conversion factors selected IV '!$O$29</f>
        <v>0.83669064748201449</v>
      </c>
      <c r="F87" s="202">
        <f>D87*E87*1000000</f>
        <v>1438357.578150247</v>
      </c>
      <c r="G87" s="202">
        <f>'LCoP 2030 MEDIUM'!E9</f>
        <v>917.57099378146563</v>
      </c>
      <c r="H87" s="202">
        <f>G87*F87</f>
        <v>1319795192.3964243</v>
      </c>
      <c r="I87" s="256">
        <f>'LCoP 2030 MEDIUM'!H9</f>
        <v>-1.9403410024069152E-2</v>
      </c>
      <c r="L87" s="202">
        <f>I87*H87</f>
        <v>-25608527.265863054</v>
      </c>
      <c r="M87" s="256">
        <f>'LCoP 2030 MEDIUM'!F9</f>
        <v>0.65934952619490772</v>
      </c>
      <c r="O87" s="202">
        <f>M87*H87</f>
        <v>870206334.78089941</v>
      </c>
      <c r="P87" s="257">
        <f>'LCoP 2030 MEDIUM'!G9</f>
        <v>0.36005388382916148</v>
      </c>
      <c r="R87" s="202">
        <f>P87*H87</f>
        <v>475197384.88138795</v>
      </c>
      <c r="S87" s="202">
        <f>L87+O87+R87</f>
        <v>1319795192.3964243</v>
      </c>
    </row>
    <row r="88" spans="1:19" x14ac:dyDescent="0.35">
      <c r="C88">
        <f>C87/C86</f>
        <v>0.92004388391560488</v>
      </c>
      <c r="D88" s="243"/>
      <c r="E88" s="2"/>
      <c r="G88" s="150" t="s">
        <v>178</v>
      </c>
      <c r="H88" s="243">
        <f>SUMIF($J$88:$J$96,G88,$L$88:$L$96)/$L$87</f>
        <v>-0.22009679420925191</v>
      </c>
      <c r="I88" s="5" t="s">
        <v>19</v>
      </c>
      <c r="J88" s="147" t="s">
        <v>179</v>
      </c>
      <c r="K88" s="77">
        <f>'Feedstock MIX per IVC'!G20</f>
        <v>0.84774671077551111</v>
      </c>
      <c r="L88" s="2">
        <f t="shared" ref="L88:L96" si="17">K88*F$87</f>
        <v>1219362.905795902</v>
      </c>
      <c r="M88" s="5" t="s">
        <v>211</v>
      </c>
      <c r="N88" s="77">
        <v>0.05</v>
      </c>
      <c r="O88" s="2">
        <f t="shared" ref="O88:O93" si="18">N88*O$87</f>
        <v>43510316.739044972</v>
      </c>
      <c r="P88" s="18" t="s">
        <v>217</v>
      </c>
      <c r="Q88" s="77">
        <v>0.2</v>
      </c>
      <c r="R88" s="2">
        <f>Q88*R$87</f>
        <v>95039476.97627759</v>
      </c>
    </row>
    <row r="89" spans="1:19" x14ac:dyDescent="0.35">
      <c r="D89" s="243"/>
      <c r="E89" s="2"/>
      <c r="G89" s="147" t="s">
        <v>179</v>
      </c>
      <c r="H89" s="243">
        <f t="shared" ref="H89:H92" si="19">SUMIF($J$88:$J$96,G89,$L$88:$L$96)/$L$87</f>
        <v>-1.0327496846699282</v>
      </c>
      <c r="I89" s="5" t="s">
        <v>7</v>
      </c>
      <c r="J89" s="147" t="s">
        <v>179</v>
      </c>
      <c r="K89" s="77">
        <f>'Feedstock MIX per IVC'!G21</f>
        <v>0.68717839699555039</v>
      </c>
      <c r="L89" s="2">
        <f t="shared" si="17"/>
        <v>988408.25485968881</v>
      </c>
      <c r="M89" t="s">
        <v>212</v>
      </c>
      <c r="N89" s="77">
        <v>0.02</v>
      </c>
      <c r="O89" s="2">
        <f t="shared" si="18"/>
        <v>17404126.695617989</v>
      </c>
      <c r="P89" s="18" t="s">
        <v>177</v>
      </c>
      <c r="Q89" s="77">
        <v>0.5</v>
      </c>
      <c r="R89" s="2">
        <f>Q89*R$87</f>
        <v>237598692.44069397</v>
      </c>
    </row>
    <row r="90" spans="1:19" x14ac:dyDescent="0.35">
      <c r="D90" s="243"/>
      <c r="E90" s="2"/>
      <c r="G90" s="152" t="s">
        <v>180</v>
      </c>
      <c r="H90" s="243">
        <f t="shared" si="19"/>
        <v>2.3767118379834078</v>
      </c>
      <c r="I90" s="5" t="s">
        <v>8</v>
      </c>
      <c r="J90" s="147" t="s">
        <v>179</v>
      </c>
      <c r="K90" s="77">
        <f>'Feedstock MIX per IVC'!G22</f>
        <v>0.31285048268727833</v>
      </c>
      <c r="L90" s="2">
        <f t="shared" si="17"/>
        <v>449990.86260120943</v>
      </c>
      <c r="M90" s="5" t="s">
        <v>210</v>
      </c>
      <c r="N90" s="77">
        <v>0.4</v>
      </c>
      <c r="O90" s="2">
        <f t="shared" si="18"/>
        <v>348082533.91235977</v>
      </c>
      <c r="P90" s="18" t="s">
        <v>218</v>
      </c>
      <c r="Q90" s="77">
        <v>0.15</v>
      </c>
      <c r="R90" s="2">
        <f>Q90*R$87</f>
        <v>71279607.732208192</v>
      </c>
    </row>
    <row r="91" spans="1:19" x14ac:dyDescent="0.35">
      <c r="D91" s="243"/>
      <c r="E91" s="2"/>
      <c r="G91" s="151" t="s">
        <v>77</v>
      </c>
      <c r="H91" s="243">
        <f t="shared" si="19"/>
        <v>0</v>
      </c>
      <c r="I91" s="5" t="s">
        <v>20</v>
      </c>
      <c r="J91" s="150" t="s">
        <v>178</v>
      </c>
      <c r="K91" s="77">
        <f>'Feedstock MIX per IVC'!G23</f>
        <v>3.9186046927810039</v>
      </c>
      <c r="L91" s="2">
        <f t="shared" si="17"/>
        <v>5636354.7556366771</v>
      </c>
      <c r="M91" t="s">
        <v>213</v>
      </c>
      <c r="N91" s="77">
        <v>0.3</v>
      </c>
      <c r="O91" s="2">
        <f t="shared" si="18"/>
        <v>261061900.43426982</v>
      </c>
      <c r="P91" s="18" t="s">
        <v>219</v>
      </c>
      <c r="Q91" s="77">
        <v>0.1</v>
      </c>
      <c r="R91" s="2">
        <f>Q91*R$87</f>
        <v>47519738.488138795</v>
      </c>
    </row>
    <row r="92" spans="1:19" x14ac:dyDescent="0.35">
      <c r="D92" s="243"/>
      <c r="E92" s="2"/>
      <c r="G92" s="239" t="s">
        <v>259</v>
      </c>
      <c r="H92" s="243">
        <f t="shared" si="19"/>
        <v>-0.12386535910422779</v>
      </c>
      <c r="I92" s="5" t="s">
        <v>4</v>
      </c>
      <c r="J92" s="147" t="s">
        <v>179</v>
      </c>
      <c r="K92" s="77">
        <f>'Feedstock MIX per IVC'!G24</f>
        <v>16.539306217594486</v>
      </c>
      <c r="L92" s="2">
        <f t="shared" si="17"/>
        <v>23789436.435424529</v>
      </c>
      <c r="M92" t="s">
        <v>214</v>
      </c>
      <c r="N92" s="77">
        <v>0.2</v>
      </c>
      <c r="O92" s="2">
        <f t="shared" si="18"/>
        <v>174041266.95617989</v>
      </c>
      <c r="P92" s="18" t="s">
        <v>220</v>
      </c>
      <c r="Q92" s="77">
        <v>0.05</v>
      </c>
      <c r="R92" s="2">
        <f>Q92*R$87</f>
        <v>23759869.244069397</v>
      </c>
    </row>
    <row r="93" spans="1:19" x14ac:dyDescent="0.35">
      <c r="D93" s="243"/>
      <c r="E93" s="2"/>
      <c r="G93" s="2"/>
      <c r="H93" s="243">
        <f>SUM(H88:H92)</f>
        <v>0.99999999999999978</v>
      </c>
      <c r="I93" s="5" t="s">
        <v>21</v>
      </c>
      <c r="J93" s="147" t="s">
        <v>179</v>
      </c>
      <c r="K93" s="77">
        <f>'Feedstock MIX per IVC'!G25</f>
        <v>0</v>
      </c>
      <c r="L93" s="2">
        <f t="shared" si="17"/>
        <v>0</v>
      </c>
      <c r="M93" t="s">
        <v>216</v>
      </c>
      <c r="N93" s="77">
        <v>0.03</v>
      </c>
      <c r="O93" s="2">
        <f t="shared" si="18"/>
        <v>26106190.043426983</v>
      </c>
      <c r="R93" s="2"/>
    </row>
    <row r="94" spans="1:19" x14ac:dyDescent="0.35">
      <c r="D94" s="243"/>
      <c r="E94" s="2"/>
      <c r="G94" s="2"/>
      <c r="I94" s="5" t="s">
        <v>22</v>
      </c>
      <c r="J94" s="152" t="s">
        <v>180</v>
      </c>
      <c r="K94" s="77">
        <f>'Feedstock MIX per IVC'!G26</f>
        <v>0</v>
      </c>
      <c r="L94" s="2">
        <f t="shared" si="17"/>
        <v>0</v>
      </c>
      <c r="N94" s="77">
        <f>SUM(N88:N93)</f>
        <v>1</v>
      </c>
      <c r="O94" s="2">
        <f>SUM(O88:O93)</f>
        <v>870206334.78089941</v>
      </c>
    </row>
    <row r="95" spans="1:19" x14ac:dyDescent="0.35">
      <c r="D95" s="243"/>
      <c r="E95" s="2"/>
      <c r="G95" s="2"/>
      <c r="I95" s="12" t="s">
        <v>23</v>
      </c>
      <c r="J95" s="152" t="s">
        <v>180</v>
      </c>
      <c r="K95" s="77">
        <f>'Feedstock MIX per IVC'!G27</f>
        <v>-42.314992343120878</v>
      </c>
      <c r="L95" s="2">
        <f t="shared" si="17"/>
        <v>-60864089.906097591</v>
      </c>
      <c r="M95" s="2"/>
    </row>
    <row r="96" spans="1:19" s="78" customFormat="1" x14ac:dyDescent="0.35">
      <c r="D96" s="317"/>
      <c r="E96" s="93"/>
      <c r="F96" s="213"/>
      <c r="G96" s="220"/>
      <c r="I96" s="13" t="s">
        <v>24</v>
      </c>
      <c r="J96" s="239" t="s">
        <v>259</v>
      </c>
      <c r="K96" s="77">
        <f>'Feedstock MIX per IVC'!G28</f>
        <v>2.2052996237526661</v>
      </c>
      <c r="L96" s="2">
        <f t="shared" si="17"/>
        <v>3172009.4259165358</v>
      </c>
    </row>
    <row r="97" spans="1:18" s="202" customFormat="1" x14ac:dyDescent="0.35">
      <c r="A97" s="202" t="s">
        <v>59</v>
      </c>
      <c r="B97" s="202">
        <v>1275</v>
      </c>
      <c r="C97" s="203">
        <f>B97*F97</f>
        <v>159374999.99999997</v>
      </c>
      <c r="D97" s="316">
        <f>'[2]GAP analysis Sc. 1'!$K$13</f>
        <v>0.14939810834049866</v>
      </c>
      <c r="E97" s="202">
        <f>'[1]Conversion factors selected IV '!$O$52</f>
        <v>0.83669064748201449</v>
      </c>
      <c r="F97" s="202">
        <f>D97*E97*1000000</f>
        <v>124999.99999999997</v>
      </c>
      <c r="G97" s="202">
        <f>'LCoP 2030 MEDIUM'!E13</f>
        <v>1303.9013174166969</v>
      </c>
      <c r="H97" s="202">
        <f>G97*F97</f>
        <v>162987664.67708707</v>
      </c>
      <c r="I97" s="202">
        <f>'LCoP 2030 MEDIUM'!H13</f>
        <v>0.17938575127763864</v>
      </c>
      <c r="L97" s="202">
        <f>I97*H97</f>
        <v>29237664.67708711</v>
      </c>
      <c r="M97" s="202">
        <f>'LCoP 2030 MEDIUM'!F13</f>
        <v>0.61354336353073746</v>
      </c>
      <c r="O97" s="202">
        <f>M97*H97</f>
        <v>99999999.99999997</v>
      </c>
      <c r="P97" s="202">
        <f>'LCoP 2030 MEDIUM'!G13</f>
        <v>0.20707088519162389</v>
      </c>
      <c r="R97" s="202">
        <v>299326405.695804</v>
      </c>
    </row>
    <row r="98" spans="1:18" s="78" customFormat="1" x14ac:dyDescent="0.35">
      <c r="C98" s="78">
        <f>C97/C86</f>
        <v>7.9956116084395137E-2</v>
      </c>
      <c r="D98" s="317"/>
      <c r="E98" s="93"/>
      <c r="F98" s="213"/>
      <c r="G98" s="152" t="s">
        <v>180</v>
      </c>
      <c r="H98" s="2">
        <f>(SUMIF($J$98:$J$107,G98,$L$98:$L$107)/$L$97)</f>
        <v>2.615127452855431E-2</v>
      </c>
      <c r="I98" s="5" t="s">
        <v>4</v>
      </c>
      <c r="J98" s="147" t="s">
        <v>179</v>
      </c>
      <c r="K98" s="6">
        <f>'Feedstock MIX per IVC'!G45</f>
        <v>117.54871891316374</v>
      </c>
      <c r="L98" s="2">
        <f t="shared" ref="L98:L107" si="20">K98*$F$97</f>
        <v>14693589.864145463</v>
      </c>
      <c r="M98" s="5" t="s">
        <v>211</v>
      </c>
      <c r="N98" s="34">
        <v>0</v>
      </c>
      <c r="O98" s="2">
        <f t="shared" ref="O98:O103" ca="1" si="21">N98*O$101</f>
        <v>0</v>
      </c>
      <c r="P98" s="18" t="s">
        <v>217</v>
      </c>
      <c r="Q98" s="34">
        <v>0.25</v>
      </c>
      <c r="R98" s="102">
        <f ca="1">Q98*R$101</f>
        <v>0</v>
      </c>
    </row>
    <row r="99" spans="1:18" s="78" customFormat="1" x14ac:dyDescent="0.35">
      <c r="C99" s="78" t="s">
        <v>391</v>
      </c>
      <c r="D99" s="317"/>
      <c r="E99" s="93"/>
      <c r="F99" s="213"/>
      <c r="G99" s="150" t="s">
        <v>178</v>
      </c>
      <c r="H99" s="2">
        <f t="shared" ref="H99:H102" si="22">(SUMIF($J$98:$J$107,G99,$L$98:$L$107)/$L$97)</f>
        <v>1.2566135125191441E-2</v>
      </c>
      <c r="I99" s="5" t="s">
        <v>5</v>
      </c>
      <c r="J99" s="147" t="s">
        <v>179</v>
      </c>
      <c r="K99" s="6">
        <f>'Feedstock MIX per IVC'!G46</f>
        <v>6.0251342168452338</v>
      </c>
      <c r="L99" s="2">
        <f t="shared" si="20"/>
        <v>753141.77710565401</v>
      </c>
      <c r="M99" t="s">
        <v>212</v>
      </c>
      <c r="N99" s="34">
        <v>0.02</v>
      </c>
      <c r="O99" s="2">
        <f t="shared" ca="1" si="21"/>
        <v>0</v>
      </c>
      <c r="P99" s="18" t="s">
        <v>177</v>
      </c>
      <c r="Q99" s="34">
        <v>0.15</v>
      </c>
      <c r="R99" s="102">
        <f ca="1">Q99*R$101</f>
        <v>0</v>
      </c>
    </row>
    <row r="100" spans="1:18" s="78" customFormat="1" x14ac:dyDescent="0.35">
      <c r="D100" s="317"/>
      <c r="E100" s="93"/>
      <c r="F100" s="213"/>
      <c r="G100" s="147" t="s">
        <v>179</v>
      </c>
      <c r="H100" s="2">
        <f t="shared" si="22"/>
        <v>0.5587026776647912</v>
      </c>
      <c r="I100" s="5" t="s">
        <v>22</v>
      </c>
      <c r="J100" s="152" t="s">
        <v>180</v>
      </c>
      <c r="K100" s="6">
        <f>'Feedstock MIX per IVC'!G47</f>
        <v>0</v>
      </c>
      <c r="L100" s="2">
        <f t="shared" si="20"/>
        <v>0</v>
      </c>
      <c r="M100" s="5" t="s">
        <v>210</v>
      </c>
      <c r="N100" s="34">
        <v>0.55000000000000004</v>
      </c>
      <c r="O100" s="2">
        <f t="shared" ca="1" si="21"/>
        <v>0</v>
      </c>
      <c r="P100" s="18" t="s">
        <v>218</v>
      </c>
      <c r="Q100" s="34">
        <v>0.3</v>
      </c>
      <c r="R100" s="102">
        <f ca="1">Q100*R$101</f>
        <v>0</v>
      </c>
    </row>
    <row r="101" spans="1:18" s="78" customFormat="1" x14ac:dyDescent="0.35">
      <c r="D101" s="317"/>
      <c r="E101" s="93"/>
      <c r="F101" s="213"/>
      <c r="G101" s="171" t="s">
        <v>222</v>
      </c>
      <c r="H101" s="2">
        <f t="shared" si="22"/>
        <v>0.19327430060779435</v>
      </c>
      <c r="I101" s="5" t="s">
        <v>6</v>
      </c>
      <c r="J101" s="150" t="s">
        <v>178</v>
      </c>
      <c r="K101" s="6">
        <f>'Feedstock MIX per IVC'!G48</f>
        <v>2.9392355606185081</v>
      </c>
      <c r="L101" s="2">
        <f t="shared" si="20"/>
        <v>367404.4450773134</v>
      </c>
      <c r="M101" t="s">
        <v>213</v>
      </c>
      <c r="N101" s="34">
        <v>0.1</v>
      </c>
      <c r="O101" s="2">
        <f t="shared" ca="1" si="21"/>
        <v>0</v>
      </c>
      <c r="P101" s="18" t="s">
        <v>219</v>
      </c>
      <c r="Q101" s="34">
        <v>0.3</v>
      </c>
      <c r="R101" s="102">
        <f ca="1">Q101*R$101</f>
        <v>0</v>
      </c>
    </row>
    <row r="102" spans="1:18" s="78" customFormat="1" x14ac:dyDescent="0.35">
      <c r="D102" s="317"/>
      <c r="E102" s="93"/>
      <c r="F102" s="213"/>
      <c r="G102" s="149" t="s">
        <v>176</v>
      </c>
      <c r="H102" s="2">
        <f t="shared" si="22"/>
        <v>0.15928808552421281</v>
      </c>
      <c r="I102" s="5" t="s">
        <v>7</v>
      </c>
      <c r="J102" s="147" t="s">
        <v>179</v>
      </c>
      <c r="K102" s="6">
        <f>'Feedstock MIX per IVC'!G49</f>
        <v>4.8839376433878465</v>
      </c>
      <c r="L102" s="2">
        <f t="shared" si="20"/>
        <v>610492.20542348071</v>
      </c>
      <c r="M102" t="s">
        <v>214</v>
      </c>
      <c r="N102" s="34">
        <v>0.3</v>
      </c>
      <c r="O102" s="2">
        <f t="shared" ca="1" si="21"/>
        <v>0</v>
      </c>
      <c r="P102" s="18" t="s">
        <v>220</v>
      </c>
      <c r="Q102" s="223">
        <v>0</v>
      </c>
      <c r="R102" s="102">
        <f ca="1">Q102*R$101</f>
        <v>0</v>
      </c>
    </row>
    <row r="103" spans="1:18" s="78" customFormat="1" x14ac:dyDescent="0.35">
      <c r="D103" s="317"/>
      <c r="E103" s="93"/>
      <c r="F103" s="213"/>
      <c r="G103" s="151" t="s">
        <v>77</v>
      </c>
      <c r="H103" s="2">
        <f>(SUMIF($J$98:$J$107,G103,$L$98:$L$107)/$L$97)</f>
        <v>5.0017526549455731E-2</v>
      </c>
      <c r="I103" s="5" t="s">
        <v>8</v>
      </c>
      <c r="J103" s="147" t="s">
        <v>179</v>
      </c>
      <c r="K103" s="6">
        <f>'Feedstock MIX per IVC'!G50</f>
        <v>2.2235015766340371</v>
      </c>
      <c r="L103" s="2">
        <f t="shared" si="20"/>
        <v>277937.69707925461</v>
      </c>
      <c r="M103" t="s">
        <v>216</v>
      </c>
      <c r="N103" s="34">
        <v>0.03</v>
      </c>
      <c r="O103" s="2">
        <f t="shared" ca="1" si="21"/>
        <v>0</v>
      </c>
      <c r="P103"/>
      <c r="Q103"/>
      <c r="R103" s="102"/>
    </row>
    <row r="104" spans="1:18" s="78" customFormat="1" x14ac:dyDescent="0.35">
      <c r="D104" s="317"/>
      <c r="E104" s="93"/>
      <c r="F104" s="213"/>
      <c r="G104" s="220"/>
      <c r="I104" s="5" t="s">
        <v>9</v>
      </c>
      <c r="J104" s="171" t="s">
        <v>222</v>
      </c>
      <c r="K104" s="6">
        <f>'Feedstock MIX per IVC'!G51</f>
        <v>45.207113534953805</v>
      </c>
      <c r="L104" s="2">
        <f t="shared" si="20"/>
        <v>5650889.1918692244</v>
      </c>
      <c r="M104"/>
      <c r="N104" s="118"/>
      <c r="O104" s="2"/>
      <c r="P104" s="18"/>
      <c r="Q104" s="118"/>
      <c r="R104" s="2"/>
    </row>
    <row r="105" spans="1:18" s="78" customFormat="1" x14ac:dyDescent="0.35">
      <c r="D105" s="317"/>
      <c r="E105" s="93"/>
      <c r="F105" s="213"/>
      <c r="G105" s="220"/>
      <c r="H105" s="2">
        <f>SUM(H98:H103)</f>
        <v>0.99999999999999978</v>
      </c>
      <c r="I105" s="5" t="s">
        <v>10</v>
      </c>
      <c r="J105" s="149" t="s">
        <v>176</v>
      </c>
      <c r="K105" s="6">
        <f>'Feedstock MIX per IVC'!G52</f>
        <v>37.257693052896869</v>
      </c>
      <c r="L105" s="2">
        <f t="shared" si="20"/>
        <v>4657211.6316121072</v>
      </c>
    </row>
    <row r="106" spans="1:18" s="78" customFormat="1" x14ac:dyDescent="0.35">
      <c r="D106" s="317"/>
      <c r="E106" s="93"/>
      <c r="F106" s="213"/>
      <c r="G106" s="220"/>
      <c r="I106" s="5" t="s">
        <v>11</v>
      </c>
      <c r="J106" s="152" t="s">
        <v>180</v>
      </c>
      <c r="K106" s="6">
        <f>'Feedstock MIX per IVC'!G53</f>
        <v>6.1168175643545624</v>
      </c>
      <c r="L106" s="2">
        <f t="shared" si="20"/>
        <v>764602.19554432016</v>
      </c>
    </row>
    <row r="107" spans="1:18" s="78" customFormat="1" x14ac:dyDescent="0.35">
      <c r="D107" s="317"/>
      <c r="E107" s="93"/>
      <c r="F107" s="213"/>
      <c r="G107" s="220"/>
      <c r="I107" s="235" t="s">
        <v>32</v>
      </c>
      <c r="J107" s="151" t="s">
        <v>77</v>
      </c>
      <c r="K107" s="6">
        <f>'Feedstock MIX per IVC'!G54</f>
        <v>11.699165353842311</v>
      </c>
      <c r="L107" s="2">
        <f t="shared" si="20"/>
        <v>1462395.6692302886</v>
      </c>
    </row>
    <row r="108" spans="1:18" s="78" customFormat="1" x14ac:dyDescent="0.35">
      <c r="D108" s="317"/>
      <c r="E108" s="93"/>
      <c r="F108" s="213"/>
      <c r="G108" s="220"/>
      <c r="I108" s="14"/>
      <c r="J108"/>
      <c r="K108" s="6"/>
      <c r="L108" s="2">
        <f>SUM(L98:L107)</f>
        <v>29237664.677087106</v>
      </c>
    </row>
    <row r="109" spans="1:18" s="78" customFormat="1" x14ac:dyDescent="0.35">
      <c r="D109" s="317"/>
      <c r="E109" s="93"/>
      <c r="F109" s="213"/>
      <c r="G109" s="220"/>
      <c r="I109" s="14"/>
      <c r="J109"/>
      <c r="K109" s="6"/>
      <c r="L109" s="2"/>
    </row>
    <row r="110" spans="1:18" s="78" customFormat="1" x14ac:dyDescent="0.35">
      <c r="D110" s="317"/>
      <c r="E110" s="93"/>
      <c r="F110" s="213"/>
      <c r="G110" s="220"/>
      <c r="I110" s="14"/>
      <c r="J110"/>
      <c r="K110" s="6"/>
      <c r="L110" s="2"/>
    </row>
    <row r="111" spans="1:18" s="78" customFormat="1" x14ac:dyDescent="0.35">
      <c r="D111" s="317"/>
      <c r="E111" s="93"/>
      <c r="F111" s="213"/>
      <c r="G111" s="220"/>
      <c r="I111" s="145" t="s">
        <v>181</v>
      </c>
      <c r="J111"/>
      <c r="K111" s="6"/>
      <c r="L111" s="2">
        <f>SUM(L112:L115)</f>
        <v>-25608527.265863046</v>
      </c>
      <c r="O111" s="2">
        <f>SUM(O112:O117)</f>
        <v>870206334.78089941</v>
      </c>
      <c r="R111" s="2">
        <f>SUM(R112:R117)</f>
        <v>475197384.88138795</v>
      </c>
    </row>
    <row r="112" spans="1:18" s="78" customFormat="1" x14ac:dyDescent="0.35">
      <c r="D112" s="317"/>
      <c r="E112" s="93"/>
      <c r="F112" s="213"/>
      <c r="G112" s="220"/>
      <c r="I112" s="14"/>
      <c r="J112" s="150" t="s">
        <v>178</v>
      </c>
      <c r="K112" s="6"/>
      <c r="L112" s="2">
        <f>SUMIF($J$88:$J$96, J112, $L$88:$L$96)</f>
        <v>5636354.7556366771</v>
      </c>
      <c r="M112" s="5" t="s">
        <v>211</v>
      </c>
      <c r="O112" s="1">
        <f t="shared" ref="O112:O117" si="23">SUMIF($M$88:$M$93, M112, $O$88:$O$93)</f>
        <v>43510316.739044972</v>
      </c>
      <c r="P112" s="18" t="s">
        <v>217</v>
      </c>
      <c r="R112">
        <f>SUMIF($P$88:$P$92, P112, $R$88:$R$92)</f>
        <v>95039476.97627759</v>
      </c>
    </row>
    <row r="113" spans="1:19" s="78" customFormat="1" x14ac:dyDescent="0.35">
      <c r="D113" s="317"/>
      <c r="E113" s="93"/>
      <c r="F113" s="213"/>
      <c r="G113" s="220"/>
      <c r="I113" s="14"/>
      <c r="J113" s="147" t="s">
        <v>179</v>
      </c>
      <c r="K113" s="6"/>
      <c r="L113" s="2">
        <f>SUMIF($J$88:$J$96, J113, $L$88:$L$96)</f>
        <v>26447198.45868133</v>
      </c>
      <c r="M113" t="s">
        <v>212</v>
      </c>
      <c r="O113" s="1">
        <f t="shared" si="23"/>
        <v>17404126.695617989</v>
      </c>
      <c r="P113" s="18" t="s">
        <v>177</v>
      </c>
      <c r="R113">
        <f>SUMIF($P$88:$P$92, P113, $R$88:$R$92)</f>
        <v>237598692.44069397</v>
      </c>
    </row>
    <row r="114" spans="1:19" s="78" customFormat="1" x14ac:dyDescent="0.35">
      <c r="D114" s="317"/>
      <c r="E114" s="93"/>
      <c r="F114" s="213"/>
      <c r="G114" s="220"/>
      <c r="I114" s="14"/>
      <c r="J114" s="152" t="s">
        <v>180</v>
      </c>
      <c r="K114" s="6"/>
      <c r="L114" s="2">
        <f>SUMIF($J$88:$J$96, J114, $L$88:$L$96)</f>
        <v>-60864089.906097591</v>
      </c>
      <c r="M114" s="5" t="s">
        <v>210</v>
      </c>
      <c r="O114" s="1">
        <f t="shared" si="23"/>
        <v>348082533.91235977</v>
      </c>
      <c r="P114" s="18" t="s">
        <v>218</v>
      </c>
      <c r="R114">
        <f>SUMIF($P$88:$P$92, P114, $R$88:$R$92)</f>
        <v>71279607.732208192</v>
      </c>
    </row>
    <row r="115" spans="1:19" s="78" customFormat="1" x14ac:dyDescent="0.35">
      <c r="D115" s="317"/>
      <c r="E115" s="93"/>
      <c r="F115" s="213"/>
      <c r="G115" s="220"/>
      <c r="I115" s="14"/>
      <c r="J115" s="239" t="s">
        <v>259</v>
      </c>
      <c r="K115" s="6"/>
      <c r="L115" s="2">
        <f>SUMIF($J$88:$J$96, J115, $L$88:$L$96)</f>
        <v>3172009.4259165358</v>
      </c>
      <c r="M115" t="s">
        <v>213</v>
      </c>
      <c r="O115" s="1">
        <f t="shared" si="23"/>
        <v>261061900.43426982</v>
      </c>
      <c r="P115" s="18" t="s">
        <v>219</v>
      </c>
      <c r="R115">
        <f>SUMIF($P$88:$P$92, P115, $R$88:$R$92)</f>
        <v>47519738.488138795</v>
      </c>
    </row>
    <row r="116" spans="1:19" s="78" customFormat="1" x14ac:dyDescent="0.35">
      <c r="D116" s="317"/>
      <c r="E116" s="93"/>
      <c r="F116" s="213"/>
      <c r="G116" s="220"/>
      <c r="I116" s="14"/>
      <c r="K116" s="6"/>
      <c r="L116" s="2"/>
      <c r="M116" t="s">
        <v>214</v>
      </c>
      <c r="O116" s="1">
        <f t="shared" si="23"/>
        <v>174041266.95617989</v>
      </c>
      <c r="P116" s="18" t="s">
        <v>220</v>
      </c>
      <c r="R116">
        <f>SUMIF($P$88:$P$92, P116, $R$88:$R$92)</f>
        <v>23759869.244069397</v>
      </c>
    </row>
    <row r="117" spans="1:19" s="78" customFormat="1" x14ac:dyDescent="0.35">
      <c r="D117" s="317"/>
      <c r="E117" s="93"/>
      <c r="F117" s="213"/>
      <c r="G117" s="220"/>
      <c r="I117" s="14"/>
      <c r="K117" s="6"/>
      <c r="L117" s="2"/>
      <c r="M117" t="s">
        <v>216</v>
      </c>
      <c r="O117" s="1">
        <f t="shared" si="23"/>
        <v>26106190.043426983</v>
      </c>
    </row>
    <row r="118" spans="1:19" s="78" customFormat="1" x14ac:dyDescent="0.35">
      <c r="D118" s="317"/>
      <c r="E118" s="93"/>
      <c r="F118" s="213"/>
      <c r="G118" s="220"/>
      <c r="I118" s="14"/>
      <c r="J118" s="14"/>
      <c r="K118" s="6"/>
      <c r="L118" s="2"/>
    </row>
    <row r="119" spans="1:19" s="91" customFormat="1" ht="26" customHeight="1" x14ac:dyDescent="0.35">
      <c r="A119" s="91" t="s">
        <v>80</v>
      </c>
      <c r="D119" s="314"/>
      <c r="E119" s="92"/>
      <c r="F119" s="169"/>
      <c r="I119" s="94"/>
    </row>
    <row r="120" spans="1:19" ht="16" customHeight="1" x14ac:dyDescent="0.35">
      <c r="B120" s="2">
        <f>C120/1000000</f>
        <v>2094.4</v>
      </c>
      <c r="C120" s="2">
        <f>C121+C128</f>
        <v>2094400000</v>
      </c>
      <c r="D120" s="243">
        <f>D121+D128</f>
        <v>0.90379287283844456</v>
      </c>
      <c r="E120" s="2"/>
      <c r="F120" s="2">
        <f>F121+F128</f>
        <v>880000</v>
      </c>
      <c r="I120" s="6"/>
      <c r="L120" s="2">
        <f>L121+L128</f>
        <v>1405910766.2716155</v>
      </c>
      <c r="O120" s="2">
        <f>O121+O128</f>
        <v>385573023.25581396</v>
      </c>
      <c r="R120" s="2">
        <f>R121+R128</f>
        <v>388486744.18604648</v>
      </c>
    </row>
    <row r="121" spans="1:19" s="202" customFormat="1" x14ac:dyDescent="0.35">
      <c r="A121" s="202" t="s">
        <v>74</v>
      </c>
      <c r="B121" s="202">
        <v>2380</v>
      </c>
      <c r="C121" s="250">
        <f>B121*F121</f>
        <v>1972632558.139535</v>
      </c>
      <c r="D121" s="316">
        <f>'[2]GAP analysis Sc. 1'!$C$60</f>
        <v>0.85124677558039541</v>
      </c>
      <c r="E121" s="202">
        <f>'[1]Conversion factors selected IV '!$O$78</f>
        <v>0.97367441860465131</v>
      </c>
      <c r="F121" s="202">
        <f>D121*E121*1000000</f>
        <v>828837.20930232562</v>
      </c>
      <c r="G121" s="202">
        <f>'LCoP 2030 MEDIUM'!E4</f>
        <v>2458.9116359684313</v>
      </c>
      <c r="H121" s="202">
        <f>G121*F121</f>
        <v>2038037458.2770905</v>
      </c>
      <c r="I121" s="259">
        <f>'LCoP 2030 MEDIUM'!H4</f>
        <v>0.67444946443359</v>
      </c>
      <c r="K121" s="202">
        <f>I121*G121</f>
        <v>1658.411635968431</v>
      </c>
      <c r="L121" s="202">
        <f>I121*H121</f>
        <v>1374553272.2305787</v>
      </c>
      <c r="M121" s="259">
        <f>'LCoP 2030 MEDIUM'!F4</f>
        <v>0.15291318097810136</v>
      </c>
      <c r="O121" s="202">
        <f>M121*H121</f>
        <v>311642790.69767445</v>
      </c>
      <c r="P121" s="260">
        <f>'LCoP 2030 MEDIUM'!G4</f>
        <v>0.17263735458830856</v>
      </c>
      <c r="R121" s="202">
        <f>P121*H121</f>
        <v>351841395.3488372</v>
      </c>
      <c r="S121" s="202">
        <f>SUM(L121,O121,R121)</f>
        <v>2038037458.2770903</v>
      </c>
    </row>
    <row r="122" spans="1:19" x14ac:dyDescent="0.35">
      <c r="C122">
        <f>C121/C120</f>
        <v>0.94186046511627908</v>
      </c>
      <c r="D122" s="243"/>
      <c r="E122" s="2"/>
      <c r="G122" s="147" t="s">
        <v>179</v>
      </c>
      <c r="H122" s="2">
        <f>SUMIF($J$122:$J$125,G122,$L$122:$L$125)/$L$121</f>
        <v>0.29874171376653974</v>
      </c>
      <c r="I122" s="4" t="s">
        <v>1</v>
      </c>
      <c r="J122" s="147" t="s">
        <v>179</v>
      </c>
      <c r="K122" s="77">
        <f>'Feedstock MIX per IVC'!G9</f>
        <v>353.01401558416768</v>
      </c>
      <c r="L122" s="2">
        <f>K122*F$121</f>
        <v>292591151.52138925</v>
      </c>
      <c r="M122" s="5" t="s">
        <v>210</v>
      </c>
      <c r="N122" s="174">
        <v>0.45</v>
      </c>
      <c r="O122" s="2">
        <f t="shared" ref="O122:O127" si="24">N122*$O$121</f>
        <v>140239255.81395352</v>
      </c>
      <c r="P122" s="18" t="s">
        <v>217</v>
      </c>
      <c r="Q122" s="174">
        <v>0.35</v>
      </c>
      <c r="R122" s="2">
        <f t="shared" ref="R122:R127" si="25">Q122*$R$121</f>
        <v>123144488.37209301</v>
      </c>
    </row>
    <row r="123" spans="1:19" x14ac:dyDescent="0.35">
      <c r="D123" s="243"/>
      <c r="E123" s="2"/>
      <c r="G123" s="151" t="s">
        <v>77</v>
      </c>
      <c r="H123" s="2">
        <f>SUMIF($J$122:$J$125,G123,$L$122:$L$125)/$L$121/2</f>
        <v>0.29803477164922065</v>
      </c>
      <c r="I123" s="215" t="s">
        <v>132</v>
      </c>
      <c r="J123" s="147" t="s">
        <v>179</v>
      </c>
      <c r="K123" s="77">
        <f>'Feedstock MIX per IVC'!G10</f>
        <v>142.4227186754122</v>
      </c>
      <c r="L123" s="2">
        <f>K123*F$121</f>
        <v>118045248.68817887</v>
      </c>
      <c r="M123" t="s">
        <v>213</v>
      </c>
      <c r="N123" s="174">
        <v>0.15</v>
      </c>
      <c r="O123" s="2">
        <f t="shared" si="24"/>
        <v>46746418.604651168</v>
      </c>
      <c r="P123" s="18" t="s">
        <v>177</v>
      </c>
      <c r="Q123" s="174">
        <v>0.25</v>
      </c>
      <c r="R123" s="2">
        <f t="shared" si="25"/>
        <v>87960348.837209299</v>
      </c>
    </row>
    <row r="124" spans="1:19" x14ac:dyDescent="0.35">
      <c r="D124" s="243"/>
      <c r="E124" s="2"/>
      <c r="G124" s="242" t="s">
        <v>177</v>
      </c>
      <c r="H124" s="2">
        <f t="shared" ref="H124" si="26">SUMIF($J$122:$J$125,G124,$L$122:$L$125)/$L$121</f>
        <v>0.10518874293501904</v>
      </c>
      <c r="I124" s="216" t="s">
        <v>300</v>
      </c>
      <c r="J124" s="151" t="s">
        <v>77</v>
      </c>
      <c r="K124" s="77">
        <f>'Feedstock MIX per IVC'!G11*0.85</f>
        <v>988.52866645252345</v>
      </c>
      <c r="L124" s="2">
        <f>K124*F$121</f>
        <v>819329341.21785903</v>
      </c>
      <c r="M124" s="5" t="s">
        <v>214</v>
      </c>
      <c r="N124" s="174">
        <v>0.3</v>
      </c>
      <c r="O124" s="2">
        <f t="shared" si="24"/>
        <v>93492837.209302336</v>
      </c>
      <c r="P124" s="18" t="s">
        <v>218</v>
      </c>
      <c r="Q124" s="174">
        <v>0.2</v>
      </c>
      <c r="R124" s="2">
        <f t="shared" si="25"/>
        <v>70368279.069767445</v>
      </c>
    </row>
    <row r="125" spans="1:19" x14ac:dyDescent="0.35">
      <c r="D125" s="243"/>
      <c r="E125" s="2"/>
      <c r="G125" s="282" t="s">
        <v>78</v>
      </c>
      <c r="H125" s="2">
        <f>H123</f>
        <v>0.29803477164922065</v>
      </c>
      <c r="I125" s="217" t="s">
        <v>301</v>
      </c>
      <c r="J125" s="242" t="s">
        <v>177</v>
      </c>
      <c r="K125" s="77">
        <f>'Feedstock MIX per IVC'!G11*0.15</f>
        <v>174.44623525632767</v>
      </c>
      <c r="L125" s="2">
        <f>K125*F$121</f>
        <v>144587530.80315158</v>
      </c>
      <c r="M125" t="s">
        <v>211</v>
      </c>
      <c r="N125" s="174">
        <v>0.05</v>
      </c>
      <c r="O125" s="2">
        <f t="shared" si="24"/>
        <v>15582139.534883723</v>
      </c>
      <c r="P125" s="18" t="s">
        <v>219</v>
      </c>
      <c r="Q125" s="174">
        <v>0.15</v>
      </c>
      <c r="R125" s="2">
        <f t="shared" si="25"/>
        <v>52776209.302325577</v>
      </c>
    </row>
    <row r="126" spans="1:19" x14ac:dyDescent="0.35">
      <c r="D126" s="243"/>
      <c r="E126" s="2"/>
      <c r="G126" s="2"/>
      <c r="H126" s="2">
        <f>SUM(H122:H125)</f>
        <v>1</v>
      </c>
      <c r="L126" s="2"/>
      <c r="M126" t="s">
        <v>216</v>
      </c>
      <c r="N126" s="174">
        <v>0.03</v>
      </c>
      <c r="O126" s="2">
        <f t="shared" si="24"/>
        <v>9349283.7209302336</v>
      </c>
      <c r="P126" s="102" t="s">
        <v>220</v>
      </c>
      <c r="Q126" s="174">
        <v>0.05</v>
      </c>
      <c r="R126" s="2">
        <f t="shared" si="25"/>
        <v>17592069.767441861</v>
      </c>
    </row>
    <row r="127" spans="1:19" x14ac:dyDescent="0.35">
      <c r="D127" s="243"/>
      <c r="E127" s="2"/>
      <c r="G127" s="2"/>
      <c r="M127" t="s">
        <v>212</v>
      </c>
      <c r="N127" s="174">
        <v>0.02</v>
      </c>
      <c r="O127" s="2">
        <f t="shared" si="24"/>
        <v>6232855.8139534891</v>
      </c>
      <c r="P127" t="s">
        <v>262</v>
      </c>
      <c r="Q127" s="118">
        <v>0</v>
      </c>
      <c r="R127" s="2">
        <f t="shared" si="25"/>
        <v>0</v>
      </c>
    </row>
    <row r="128" spans="1:19" s="202" customFormat="1" x14ac:dyDescent="0.35">
      <c r="A128" s="202" t="s">
        <v>304</v>
      </c>
      <c r="B128" s="202">
        <v>2380</v>
      </c>
      <c r="C128" s="250">
        <f>B128*F128</f>
        <v>121767441.86046514</v>
      </c>
      <c r="D128" s="316">
        <f>'[2]GAP analysis Sc. 1'!$C$61</f>
        <v>5.2546097258049103E-2</v>
      </c>
      <c r="E128" s="202">
        <f>'[1]Conversion factors selected IV '!$O$76</f>
        <v>0.97367441860465131</v>
      </c>
      <c r="F128" s="202">
        <f>D128*E128*1000000</f>
        <v>51162.790697674427</v>
      </c>
      <c r="G128" s="202">
        <f>'LCoP 2030 MEDIUM'!E16</f>
        <v>2774.1464744384461</v>
      </c>
      <c r="H128" s="202">
        <f>G128*F128</f>
        <v>141933075.43638563</v>
      </c>
      <c r="I128" s="256">
        <f>'LCoP 2030 MEDIUM'!H16</f>
        <v>0.22093154780607291</v>
      </c>
      <c r="L128" s="202">
        <f>I128*H128</f>
        <v>31357494.041036785</v>
      </c>
      <c r="M128" s="254">
        <f>'LCoP 2030 MEDIUM'!F16</f>
        <v>0.52088093159987259</v>
      </c>
      <c r="O128" s="202">
        <f>M128*H128</f>
        <v>73930232.558139533</v>
      </c>
      <c r="P128" s="254">
        <f>'LCoP 2030 MEDIUM'!G16</f>
        <v>0.25818752059405448</v>
      </c>
      <c r="R128" s="202">
        <f>P128*H128</f>
        <v>36645348.837209299</v>
      </c>
    </row>
    <row r="129" spans="1:18" s="78" customFormat="1" x14ac:dyDescent="0.35">
      <c r="C129" s="78">
        <f>C128/C120</f>
        <v>5.8139534883720943E-2</v>
      </c>
      <c r="D129" s="317"/>
      <c r="F129" s="213"/>
      <c r="G129" s="150" t="s">
        <v>178</v>
      </c>
      <c r="H129" s="2">
        <f>SUMIF($J$129:$J$138,G129,$L$129:$L$138)/$L$128</f>
        <v>1.3196162025672963E-2</v>
      </c>
      <c r="I129" s="5" t="s">
        <v>4</v>
      </c>
      <c r="J129" s="147" t="s">
        <v>179</v>
      </c>
      <c r="K129" s="6">
        <f>'Feedstock MIX per IVC'!G69</f>
        <v>323.45827750709032</v>
      </c>
      <c r="L129" s="2">
        <f t="shared" ref="L129:L138" si="27">K129*F$128</f>
        <v>16549028.151525553</v>
      </c>
      <c r="M129" s="5" t="s">
        <v>211</v>
      </c>
      <c r="N129" s="262">
        <v>0</v>
      </c>
      <c r="O129" s="2">
        <f t="shared" ref="O129:O134" si="28">N129*O$128</f>
        <v>0</v>
      </c>
      <c r="P129" s="18" t="s">
        <v>217</v>
      </c>
      <c r="Q129" s="262">
        <v>0.25</v>
      </c>
      <c r="R129" s="2">
        <f>Q129*R$128</f>
        <v>9161337.2093023248</v>
      </c>
    </row>
    <row r="130" spans="1:18" x14ac:dyDescent="0.35">
      <c r="D130" s="243"/>
      <c r="G130" s="147" t="s">
        <v>179</v>
      </c>
      <c r="H130" s="2">
        <f t="shared" ref="H130:H134" si="29">SUMIF($J$129:$J$138,G130,$L$129:$L$138)/$L$128</f>
        <v>0.5867142908452212</v>
      </c>
      <c r="I130" s="5" t="s">
        <v>5</v>
      </c>
      <c r="J130" s="147" t="s">
        <v>179</v>
      </c>
      <c r="K130" s="6">
        <f>'Feedstock MIX per IVC'!G70</f>
        <v>16.579334539319635</v>
      </c>
      <c r="L130" s="2">
        <f t="shared" si="27"/>
        <v>848245.02294193499</v>
      </c>
      <c r="M130" t="s">
        <v>212</v>
      </c>
      <c r="N130" s="262">
        <v>0.02</v>
      </c>
      <c r="O130" s="2">
        <f t="shared" si="28"/>
        <v>1478604.6511627906</v>
      </c>
      <c r="P130" s="18" t="s">
        <v>177</v>
      </c>
      <c r="Q130" s="262">
        <v>0.15</v>
      </c>
      <c r="R130" s="2">
        <f>Q130*R$128</f>
        <v>5496802.3255813951</v>
      </c>
    </row>
    <row r="131" spans="1:18" x14ac:dyDescent="0.35">
      <c r="D131" s="243"/>
      <c r="G131" s="171" t="s">
        <v>222</v>
      </c>
      <c r="H131" s="2">
        <f t="shared" si="29"/>
        <v>0.20296447243401905</v>
      </c>
      <c r="I131" s="5" t="s">
        <v>22</v>
      </c>
      <c r="J131" s="152" t="s">
        <v>180</v>
      </c>
      <c r="K131" s="6">
        <f>'Feedstock MIX per IVC'!G71</f>
        <v>0</v>
      </c>
      <c r="L131" s="2">
        <f t="shared" si="27"/>
        <v>0</v>
      </c>
      <c r="M131" s="5" t="s">
        <v>210</v>
      </c>
      <c r="N131" s="262">
        <v>0.55000000000000004</v>
      </c>
      <c r="O131" s="2">
        <f t="shared" si="28"/>
        <v>40661627.906976745</v>
      </c>
      <c r="P131" s="18" t="s">
        <v>218</v>
      </c>
      <c r="Q131" s="262">
        <v>0.3</v>
      </c>
      <c r="R131" s="2">
        <f>Q131*R$128</f>
        <v>10993604.65116279</v>
      </c>
    </row>
    <row r="132" spans="1:18" x14ac:dyDescent="0.35">
      <c r="D132" s="243"/>
      <c r="G132" s="149" t="s">
        <v>176</v>
      </c>
      <c r="H132" s="2">
        <f t="shared" si="29"/>
        <v>0.16727429431527308</v>
      </c>
      <c r="I132" s="5" t="s">
        <v>6</v>
      </c>
      <c r="J132" s="150" t="s">
        <v>178</v>
      </c>
      <c r="K132" s="6">
        <f>'Feedstock MIX per IVC'!G72</f>
        <v>8.0878811816534633</v>
      </c>
      <c r="L132" s="2">
        <f t="shared" si="27"/>
        <v>413798.57208459586</v>
      </c>
      <c r="M132" t="s">
        <v>213</v>
      </c>
      <c r="N132" s="262">
        <v>0.1</v>
      </c>
      <c r="O132" s="2">
        <f t="shared" si="28"/>
        <v>7393023.2558139535</v>
      </c>
      <c r="P132" s="18" t="s">
        <v>219</v>
      </c>
      <c r="Q132" s="262">
        <v>0.3</v>
      </c>
      <c r="R132" s="2">
        <f>Q132*R$128</f>
        <v>10993604.65116279</v>
      </c>
    </row>
    <row r="133" spans="1:18" s="78" customFormat="1" x14ac:dyDescent="0.35">
      <c r="D133" s="317"/>
      <c r="F133" s="213"/>
      <c r="G133" s="152" t="s">
        <v>180</v>
      </c>
      <c r="H133" s="2">
        <f t="shared" si="29"/>
        <v>2.7462418032163215E-2</v>
      </c>
      <c r="I133" s="5" t="s">
        <v>7</v>
      </c>
      <c r="J133" s="147" t="s">
        <v>179</v>
      </c>
      <c r="K133" s="6">
        <f>'Feedstock MIX per IVC'!G73</f>
        <v>13.439109096112505</v>
      </c>
      <c r="L133" s="2">
        <f t="shared" si="27"/>
        <v>687582.32584761665</v>
      </c>
      <c r="M133" t="s">
        <v>214</v>
      </c>
      <c r="N133" s="262">
        <v>0.3</v>
      </c>
      <c r="O133" s="2">
        <f t="shared" si="28"/>
        <v>22179069.767441858</v>
      </c>
      <c r="P133" s="18" t="s">
        <v>220</v>
      </c>
      <c r="Q133" s="263">
        <v>0</v>
      </c>
      <c r="R133" s="2">
        <f>Q133*R$128</f>
        <v>0</v>
      </c>
    </row>
    <row r="134" spans="1:18" x14ac:dyDescent="0.35">
      <c r="D134" s="243"/>
      <c r="G134" s="242" t="s">
        <v>177</v>
      </c>
      <c r="H134" s="2">
        <f t="shared" si="29"/>
        <v>0</v>
      </c>
      <c r="I134" s="5" t="s">
        <v>8</v>
      </c>
      <c r="J134" s="147" t="s">
        <v>179</v>
      </c>
      <c r="K134" s="6">
        <f>'Feedstock MIX per IVC'!G74</f>
        <v>6.1183992191666858</v>
      </c>
      <c r="L134" s="2">
        <f t="shared" si="27"/>
        <v>313034.37865503976</v>
      </c>
      <c r="M134" t="s">
        <v>216</v>
      </c>
      <c r="N134" s="262">
        <v>0.03</v>
      </c>
      <c r="O134" s="2">
        <f t="shared" si="28"/>
        <v>2217906.9767441861</v>
      </c>
    </row>
    <row r="135" spans="1:18" x14ac:dyDescent="0.35">
      <c r="D135" s="243"/>
      <c r="G135" s="151" t="s">
        <v>77</v>
      </c>
      <c r="H135" s="276">
        <f>SUMIF($J$129:$J$138,G135,$L$129:$L$138)/$L$128/2</f>
        <v>1.1941811738251616E-3</v>
      </c>
      <c r="I135" s="5" t="s">
        <v>9</v>
      </c>
      <c r="J135" s="171" t="s">
        <v>222</v>
      </c>
      <c r="K135" s="6">
        <f>'Feedstock MIX per IVC'!G75</f>
        <v>124.39620959106945</v>
      </c>
      <c r="L135" s="2">
        <f t="shared" si="27"/>
        <v>6364457.2348919269</v>
      </c>
      <c r="N135" s="34"/>
    </row>
    <row r="136" spans="1:18" x14ac:dyDescent="0.35">
      <c r="D136" s="243"/>
      <c r="G136" s="282" t="s">
        <v>78</v>
      </c>
      <c r="H136" s="276">
        <f>H135</f>
        <v>1.1941811738251616E-3</v>
      </c>
      <c r="I136" s="5" t="s">
        <v>10</v>
      </c>
      <c r="J136" s="149" t="s">
        <v>176</v>
      </c>
      <c r="K136" s="6">
        <f>'Feedstock MIX per IVC'!G76</f>
        <v>102.5218252500099</v>
      </c>
      <c r="L136" s="2">
        <f t="shared" si="27"/>
        <v>5245302.6872098092</v>
      </c>
    </row>
    <row r="137" spans="1:18" x14ac:dyDescent="0.35">
      <c r="D137" s="243"/>
      <c r="F137" s="31"/>
      <c r="H137" s="2">
        <f>SUM(H129:H136)</f>
        <v>0.99999999999999989</v>
      </c>
      <c r="I137" s="5" t="s">
        <v>11</v>
      </c>
      <c r="J137" s="152" t="s">
        <v>180</v>
      </c>
      <c r="K137" s="6">
        <f>'Feedstock MIX per IVC'!G77</f>
        <v>16.831619191467645</v>
      </c>
      <c r="L137" s="2">
        <f t="shared" si="27"/>
        <v>861152.60979601915</v>
      </c>
    </row>
    <row r="138" spans="1:18" x14ac:dyDescent="0.35">
      <c r="D138" s="243"/>
      <c r="F138" s="31"/>
      <c r="I138" s="13" t="s">
        <v>32</v>
      </c>
      <c r="J138" s="151" t="s">
        <v>77</v>
      </c>
      <c r="K138" s="6">
        <f>'Feedstock MIX per IVC'!G78</f>
        <v>1.4638188625564137</v>
      </c>
      <c r="L138" s="2">
        <f t="shared" si="27"/>
        <v>74893.058084281642</v>
      </c>
    </row>
    <row r="139" spans="1:18" x14ac:dyDescent="0.35">
      <c r="A139" s="78"/>
      <c r="B139" s="78"/>
      <c r="C139" s="78"/>
      <c r="D139" s="317"/>
      <c r="E139" s="90"/>
      <c r="F139" s="220"/>
      <c r="G139" s="220"/>
      <c r="L139" s="2">
        <f>SUM(L129:L138)</f>
        <v>31357494.041036773</v>
      </c>
    </row>
    <row r="140" spans="1:18" x14ac:dyDescent="0.35">
      <c r="A140" s="78"/>
      <c r="B140" s="78"/>
      <c r="C140" s="78"/>
      <c r="D140" s="317"/>
      <c r="E140" s="90"/>
      <c r="F140" s="220"/>
      <c r="G140" s="220"/>
      <c r="L140" s="2"/>
    </row>
    <row r="141" spans="1:18" x14ac:dyDescent="0.35">
      <c r="A141" s="78"/>
      <c r="B141" s="78"/>
      <c r="C141" s="78"/>
      <c r="D141" s="317"/>
      <c r="E141" s="90"/>
      <c r="F141" s="220"/>
      <c r="G141" s="220"/>
      <c r="L141" s="2"/>
    </row>
    <row r="142" spans="1:18" x14ac:dyDescent="0.35">
      <c r="A142" s="78"/>
      <c r="B142" s="78"/>
      <c r="C142" s="78"/>
      <c r="D142" s="317"/>
      <c r="E142" s="90"/>
      <c r="F142" s="220"/>
      <c r="G142" s="220"/>
      <c r="I142" t="s">
        <v>181</v>
      </c>
      <c r="L142" s="90">
        <f>SUM(L143:L149)</f>
        <v>1405910766.2716155</v>
      </c>
      <c r="O142" s="90">
        <f>SUM(O143:O149)</f>
        <v>385573023.25581396</v>
      </c>
      <c r="R142" s="90">
        <f>SUM(R143:R149)</f>
        <v>388486744.18604648</v>
      </c>
    </row>
    <row r="143" spans="1:18" x14ac:dyDescent="0.35">
      <c r="A143" s="78"/>
      <c r="B143" s="78"/>
      <c r="C143" s="78"/>
      <c r="D143" s="317"/>
      <c r="E143" s="90"/>
      <c r="F143" s="220"/>
      <c r="G143" s="220"/>
      <c r="J143" s="150" t="s">
        <v>178</v>
      </c>
      <c r="L143" s="2">
        <f t="shared" ref="L143:L149" si="30">SUMIF($J$122:$J$138,J143, $L$122:$L$138)</f>
        <v>413798.57208459586</v>
      </c>
      <c r="M143" s="5" t="s">
        <v>211</v>
      </c>
      <c r="O143">
        <f t="shared" ref="O143:O148" si="31">SUMIF($M$122:$M$134, M143, $O$122:$O$134)</f>
        <v>15582139.534883723</v>
      </c>
      <c r="P143" s="18" t="s">
        <v>217</v>
      </c>
      <c r="R143">
        <f>SUMIF($P$122:$P$133, P143, $R$122:$R$133)</f>
        <v>132305825.58139533</v>
      </c>
    </row>
    <row r="144" spans="1:18" x14ac:dyDescent="0.35">
      <c r="A144" s="78"/>
      <c r="B144" s="78"/>
      <c r="C144" s="78"/>
      <c r="D144" s="317"/>
      <c r="E144" s="90"/>
      <c r="F144" s="220"/>
      <c r="G144" s="220"/>
      <c r="J144" s="147" t="s">
        <v>179</v>
      </c>
      <c r="L144" s="2">
        <f t="shared" si="30"/>
        <v>429034290.08853829</v>
      </c>
      <c r="M144" t="s">
        <v>212</v>
      </c>
      <c r="O144">
        <f t="shared" si="31"/>
        <v>7711460.4651162792</v>
      </c>
      <c r="P144" s="18" t="s">
        <v>177</v>
      </c>
      <c r="R144">
        <f>SUMIF($P$122:$P$133, P144, $R$122:$R$133)</f>
        <v>93457151.162790701</v>
      </c>
    </row>
    <row r="145" spans="1:18" x14ac:dyDescent="0.35">
      <c r="A145" s="78"/>
      <c r="B145" s="78"/>
      <c r="C145" s="78"/>
      <c r="D145" s="317"/>
      <c r="E145" s="90"/>
      <c r="F145" s="220"/>
      <c r="G145" s="220"/>
      <c r="J145" s="171" t="s">
        <v>222</v>
      </c>
      <c r="L145" s="2">
        <f t="shared" si="30"/>
        <v>6364457.2348919269</v>
      </c>
      <c r="M145" s="5" t="s">
        <v>210</v>
      </c>
      <c r="O145">
        <f t="shared" si="31"/>
        <v>180900883.72093028</v>
      </c>
      <c r="P145" s="18" t="s">
        <v>218</v>
      </c>
      <c r="R145">
        <f>SUMIF($P$122:$P$133, P145, $R$122:$R$133)</f>
        <v>81361883.720930234</v>
      </c>
    </row>
    <row r="146" spans="1:18" x14ac:dyDescent="0.35">
      <c r="A146" s="78"/>
      <c r="B146" s="78"/>
      <c r="C146" s="78"/>
      <c r="D146" s="317"/>
      <c r="E146" s="90"/>
      <c r="F146" s="220"/>
      <c r="G146" s="220"/>
      <c r="J146" s="149" t="s">
        <v>176</v>
      </c>
      <c r="L146" s="2">
        <f t="shared" si="30"/>
        <v>5245302.6872098092</v>
      </c>
      <c r="M146" t="s">
        <v>213</v>
      </c>
      <c r="O146">
        <f t="shared" si="31"/>
        <v>54139441.860465124</v>
      </c>
      <c r="P146" s="18" t="s">
        <v>219</v>
      </c>
      <c r="R146">
        <f>SUMIF($P$122:$P$133, P146, $R$122:$R$133)</f>
        <v>63769813.953488365</v>
      </c>
    </row>
    <row r="147" spans="1:18" x14ac:dyDescent="0.35">
      <c r="A147" s="78"/>
      <c r="B147" s="78"/>
      <c r="C147" s="78"/>
      <c r="D147" s="317"/>
      <c r="E147" s="90"/>
      <c r="F147" s="220"/>
      <c r="G147" s="220"/>
      <c r="J147" s="152" t="s">
        <v>180</v>
      </c>
      <c r="L147" s="2">
        <f t="shared" si="30"/>
        <v>861152.60979601915</v>
      </c>
      <c r="M147" t="s">
        <v>214</v>
      </c>
      <c r="O147">
        <f t="shared" si="31"/>
        <v>115671906.97674419</v>
      </c>
      <c r="P147" s="18" t="s">
        <v>220</v>
      </c>
      <c r="R147">
        <f>SUMIF($P$122:$P$133, P147, $R$122:$R$133)</f>
        <v>17592069.767441861</v>
      </c>
    </row>
    <row r="148" spans="1:18" x14ac:dyDescent="0.35">
      <c r="A148" s="78"/>
      <c r="B148" s="78"/>
      <c r="C148" s="78"/>
      <c r="D148" s="317"/>
      <c r="E148" s="90"/>
      <c r="F148" s="220"/>
      <c r="G148" s="220"/>
      <c r="J148" s="242" t="s">
        <v>177</v>
      </c>
      <c r="L148" s="2">
        <f t="shared" si="30"/>
        <v>144587530.80315158</v>
      </c>
      <c r="M148" t="s">
        <v>216</v>
      </c>
      <c r="O148">
        <f t="shared" si="31"/>
        <v>11567190.69767442</v>
      </c>
    </row>
    <row r="149" spans="1:18" x14ac:dyDescent="0.35">
      <c r="A149" s="78"/>
      <c r="B149" s="78"/>
      <c r="C149" s="78"/>
      <c r="D149" s="317"/>
      <c r="E149" s="90"/>
      <c r="F149" s="220"/>
      <c r="G149" s="220"/>
      <c r="J149" s="151" t="s">
        <v>77</v>
      </c>
      <c r="L149" s="2">
        <f t="shared" si="30"/>
        <v>819404234.27594328</v>
      </c>
    </row>
    <row r="150" spans="1:18" x14ac:dyDescent="0.35">
      <c r="A150" s="78"/>
      <c r="B150" s="78"/>
      <c r="C150" s="78"/>
      <c r="D150" s="317"/>
      <c r="E150" s="90"/>
      <c r="F150" s="220"/>
      <c r="G150" s="220"/>
      <c r="L150" s="2"/>
    </row>
    <row r="151" spans="1:18" x14ac:dyDescent="0.35">
      <c r="A151" s="78"/>
      <c r="B151" s="78"/>
      <c r="C151" s="78"/>
      <c r="D151" s="317"/>
      <c r="E151" s="90"/>
      <c r="F151" s="220"/>
      <c r="G151" s="220"/>
      <c r="L151" s="2"/>
    </row>
    <row r="152" spans="1:18" x14ac:dyDescent="0.35">
      <c r="A152" s="78"/>
      <c r="B152" s="78"/>
      <c r="C152" s="78"/>
      <c r="D152" s="317"/>
      <c r="E152" s="90"/>
      <c r="F152" s="220"/>
      <c r="G152" s="220"/>
      <c r="L152" s="2"/>
    </row>
    <row r="153" spans="1:18" s="91" customFormat="1" ht="34" customHeight="1" x14ac:dyDescent="0.35">
      <c r="A153" s="91" t="s">
        <v>81</v>
      </c>
      <c r="D153" s="314"/>
      <c r="F153" s="169"/>
    </row>
    <row r="154" spans="1:18" ht="19" customHeight="1" x14ac:dyDescent="0.35">
      <c r="B154" s="2">
        <f>C154/1000000</f>
        <v>888.19437279067552</v>
      </c>
      <c r="C154" s="2">
        <f>C155+C166+C173</f>
        <v>888194372.79067552</v>
      </c>
      <c r="D154" s="243">
        <f>D155+D166+D173</f>
        <v>0.47052641635616693</v>
      </c>
      <c r="E154" s="2"/>
      <c r="F154" s="2">
        <f>F155+F166</f>
        <v>900000.00000000012</v>
      </c>
      <c r="L154" s="90">
        <f>L155+L166</f>
        <v>254838376.62846607</v>
      </c>
      <c r="O154" s="90">
        <f>O155+O166</f>
        <v>240317411.86586419</v>
      </c>
      <c r="P154" s="78"/>
      <c r="Q154" s="78"/>
      <c r="R154" s="90">
        <f>R155+R166</f>
        <v>176642411.86586416</v>
      </c>
    </row>
    <row r="155" spans="1:18" s="202" customFormat="1" x14ac:dyDescent="0.35">
      <c r="A155" s="202" t="s">
        <v>309</v>
      </c>
      <c r="B155" s="202">
        <v>935</v>
      </c>
      <c r="C155" s="250">
        <f>B155*F155</f>
        <v>420750000.00000006</v>
      </c>
      <c r="D155" s="316">
        <f>'[2]GAP analysis Sc. 1'!$C$54</f>
        <v>0.21496130696474633</v>
      </c>
      <c r="E155" s="202">
        <f>'[1]Conversion factors selected IV '!$O$49</f>
        <v>2.0934000000000004</v>
      </c>
      <c r="F155" s="202">
        <f>D155*E155*1000000</f>
        <v>450000.00000000006</v>
      </c>
      <c r="G155" s="202">
        <f>'LCoP 2030 MEDIUM'!E10</f>
        <v>556.88488968932074</v>
      </c>
      <c r="H155" s="202">
        <f>G155*F155</f>
        <v>250598200.36019436</v>
      </c>
      <c r="I155" s="256">
        <f>'LCoP 2030 MEDIUM'!H10</f>
        <v>0.24490678812529498</v>
      </c>
      <c r="L155" s="202">
        <f>I155*H155</f>
        <v>61373200.36019434</v>
      </c>
      <c r="M155" s="256">
        <f>'LCoP 2030 MEDIUM'!F10</f>
        <v>0.50459261007560552</v>
      </c>
      <c r="O155" s="202">
        <f>M155*H155</f>
        <v>126450000.00000001</v>
      </c>
      <c r="P155" s="256">
        <f>'LCoP 2030 MEDIUM'!G10</f>
        <v>0.2505006017990995</v>
      </c>
      <c r="R155" s="202">
        <f>P155*H155</f>
        <v>62775000</v>
      </c>
    </row>
    <row r="156" spans="1:18" x14ac:dyDescent="0.35">
      <c r="C156">
        <f>C155/$C$154</f>
        <v>0.47371387715283347</v>
      </c>
      <c r="D156" s="243"/>
      <c r="E156" s="2"/>
      <c r="G156" s="150" t="s">
        <v>178</v>
      </c>
      <c r="H156" s="2">
        <f>SUMIF($J$156:$J$165,G156,$L$156:$L$165)/$L$155</f>
        <v>1.2093071156756766E-2</v>
      </c>
      <c r="I156" s="5" t="s">
        <v>4</v>
      </c>
      <c r="J156" s="147" t="s">
        <v>179</v>
      </c>
      <c r="K156" s="6">
        <f>'Feedstock MIX per IVC'!G30</f>
        <v>65.960869534015274</v>
      </c>
      <c r="L156" s="2">
        <f t="shared" ref="L156:L165" si="32">K156*F$155</f>
        <v>29682391.290306877</v>
      </c>
      <c r="M156" s="5" t="s">
        <v>211</v>
      </c>
      <c r="N156" s="262">
        <v>0</v>
      </c>
      <c r="O156" s="2">
        <f t="shared" ref="O156:O161" si="33">N156*O$155</f>
        <v>0</v>
      </c>
      <c r="P156" s="18" t="s">
        <v>217</v>
      </c>
      <c r="Q156" s="262">
        <v>0.25</v>
      </c>
      <c r="R156" s="2">
        <f>Q156*R$155</f>
        <v>15693750</v>
      </c>
    </row>
    <row r="157" spans="1:18" x14ac:dyDescent="0.35">
      <c r="D157" s="243"/>
      <c r="E157" s="2"/>
      <c r="G157" s="147" t="s">
        <v>179</v>
      </c>
      <c r="H157" s="2">
        <f t="shared" ref="H157:H161" si="34">SUMIF($J$156:$J$165,G157,$L$156:$L$165)/$L$155</f>
        <v>0.53766979020671057</v>
      </c>
      <c r="I157" s="5" t="s">
        <v>5</v>
      </c>
      <c r="J157" s="147" t="s">
        <v>179</v>
      </c>
      <c r="K157" s="6">
        <f>'Feedstock MIX per IVC'!G31</f>
        <v>3.3809223586336699</v>
      </c>
      <c r="L157" s="2">
        <f t="shared" si="32"/>
        <v>1521415.0613851517</v>
      </c>
      <c r="M157" t="s">
        <v>212</v>
      </c>
      <c r="N157" s="262">
        <v>0.02</v>
      </c>
      <c r="O157" s="2">
        <f t="shared" si="33"/>
        <v>2529000.0000000005</v>
      </c>
      <c r="P157" s="18" t="s">
        <v>177</v>
      </c>
      <c r="Q157" s="262">
        <v>0.15</v>
      </c>
      <c r="R157" s="2">
        <f>Q157*R$155</f>
        <v>9416250</v>
      </c>
    </row>
    <row r="158" spans="1:18" x14ac:dyDescent="0.35">
      <c r="D158" s="243"/>
      <c r="E158" s="2"/>
      <c r="G158" s="171" t="s">
        <v>222</v>
      </c>
      <c r="H158" s="2">
        <f t="shared" si="34"/>
        <v>0.1859983078915719</v>
      </c>
      <c r="I158" s="5" t="s">
        <v>22</v>
      </c>
      <c r="J158" s="152" t="s">
        <v>180</v>
      </c>
      <c r="K158" s="6">
        <f>'Feedstock MIX per IVC'!G32</f>
        <v>0</v>
      </c>
      <c r="L158" s="2">
        <f t="shared" si="32"/>
        <v>0</v>
      </c>
      <c r="M158" s="5" t="s">
        <v>210</v>
      </c>
      <c r="N158" s="262">
        <v>0.55000000000000004</v>
      </c>
      <c r="O158" s="2">
        <f t="shared" si="33"/>
        <v>69547500.000000015</v>
      </c>
      <c r="P158" s="18" t="s">
        <v>218</v>
      </c>
      <c r="Q158" s="262">
        <v>0.3</v>
      </c>
      <c r="R158" s="2">
        <f>Q158*R$155</f>
        <v>18832500</v>
      </c>
    </row>
    <row r="159" spans="1:18" x14ac:dyDescent="0.35">
      <c r="D159" s="243"/>
      <c r="E159" s="2"/>
      <c r="G159" s="149" t="s">
        <v>176</v>
      </c>
      <c r="H159" s="2">
        <f t="shared" si="34"/>
        <v>0.15329153582044711</v>
      </c>
      <c r="I159" s="5" t="s">
        <v>6</v>
      </c>
      <c r="J159" s="150" t="s">
        <v>178</v>
      </c>
      <c r="K159" s="6">
        <f>'Feedstock MIX per IVC'!G33</f>
        <v>1.649312175719378</v>
      </c>
      <c r="L159" s="2">
        <f t="shared" si="32"/>
        <v>742190.47907372017</v>
      </c>
      <c r="M159" t="s">
        <v>213</v>
      </c>
      <c r="N159" s="262">
        <v>0.1</v>
      </c>
      <c r="O159" s="2">
        <f t="shared" si="33"/>
        <v>12645000.000000002</v>
      </c>
      <c r="P159" s="18" t="s">
        <v>219</v>
      </c>
      <c r="Q159" s="262">
        <v>0.3</v>
      </c>
      <c r="R159" s="2">
        <f>Q159*R$155</f>
        <v>18832500</v>
      </c>
    </row>
    <row r="160" spans="1:18" x14ac:dyDescent="0.35">
      <c r="D160" s="243"/>
      <c r="E160" s="2"/>
      <c r="G160" s="152" t="s">
        <v>180</v>
      </c>
      <c r="H160" s="2">
        <f t="shared" si="34"/>
        <v>2.5166785217811349E-2</v>
      </c>
      <c r="I160" s="5" t="s">
        <v>7</v>
      </c>
      <c r="J160" s="147" t="s">
        <v>179</v>
      </c>
      <c r="K160" s="6">
        <f>'Feedstock MIX per IVC'!G34</f>
        <v>2.7405553772623534</v>
      </c>
      <c r="L160" s="2">
        <f t="shared" si="32"/>
        <v>1233249.9197680592</v>
      </c>
      <c r="M160" t="s">
        <v>214</v>
      </c>
      <c r="N160" s="262">
        <v>0.3</v>
      </c>
      <c r="O160" s="2">
        <f t="shared" si="33"/>
        <v>37935000</v>
      </c>
      <c r="P160" s="18" t="s">
        <v>220</v>
      </c>
      <c r="Q160" s="263">
        <v>0</v>
      </c>
      <c r="R160" s="2">
        <f>Q160*R$155</f>
        <v>0</v>
      </c>
    </row>
    <row r="161" spans="1:19" x14ac:dyDescent="0.35">
      <c r="D161" s="243"/>
      <c r="E161" s="2"/>
      <c r="G161" s="242" t="s">
        <v>177</v>
      </c>
      <c r="H161" s="2">
        <f t="shared" si="34"/>
        <v>0</v>
      </c>
      <c r="I161" s="5" t="s">
        <v>8</v>
      </c>
      <c r="J161" s="147" t="s">
        <v>179</v>
      </c>
      <c r="K161" s="6">
        <f>'Feedstock MIX per IVC'!G35</f>
        <v>1.2476877567111517</v>
      </c>
      <c r="L161" s="2">
        <f t="shared" si="32"/>
        <v>561459.49052001839</v>
      </c>
      <c r="M161" t="s">
        <v>216</v>
      </c>
      <c r="N161" s="262">
        <v>0.03</v>
      </c>
      <c r="O161" s="2">
        <f t="shared" si="33"/>
        <v>3793500.0000000005</v>
      </c>
    </row>
    <row r="162" spans="1:19" x14ac:dyDescent="0.35">
      <c r="D162" s="243"/>
      <c r="E162" s="2"/>
      <c r="G162" s="151" t="s">
        <v>77</v>
      </c>
      <c r="H162" s="2">
        <f>SUMIF($J$156:$J$165,G162,$L$156:$L$165)/$L$155/2</f>
        <v>4.2890254853351184E-2</v>
      </c>
      <c r="I162" s="5" t="s">
        <v>9</v>
      </c>
      <c r="J162" s="171" t="s">
        <v>222</v>
      </c>
      <c r="K162" s="6">
        <f>'Feedstock MIX per IVC'!G36</f>
        <v>25.367358704192348</v>
      </c>
      <c r="L162" s="2">
        <f t="shared" si="32"/>
        <v>11415311.416886559</v>
      </c>
      <c r="M162" s="2"/>
    </row>
    <row r="163" spans="1:19" x14ac:dyDescent="0.35">
      <c r="D163" s="243"/>
      <c r="E163" s="2"/>
      <c r="G163" s="282" t="s">
        <v>78</v>
      </c>
      <c r="H163" s="2">
        <f>H162</f>
        <v>4.2890254853351184E-2</v>
      </c>
      <c r="I163" s="5" t="s">
        <v>10</v>
      </c>
      <c r="J163" s="149" t="s">
        <v>176</v>
      </c>
      <c r="K163" s="6">
        <f>'Feedstock MIX per IVC'!G37</f>
        <v>20.90664920317824</v>
      </c>
      <c r="L163" s="2">
        <f t="shared" si="32"/>
        <v>9407992.1414302085</v>
      </c>
    </row>
    <row r="164" spans="1:19" s="31" customFormat="1" x14ac:dyDescent="0.35">
      <c r="D164" s="252"/>
      <c r="H164" s="2">
        <f>SUM(H156:H163)</f>
        <v>1</v>
      </c>
      <c r="I164" s="5" t="s">
        <v>11</v>
      </c>
      <c r="J164" s="152" t="s">
        <v>180</v>
      </c>
      <c r="K164" s="6">
        <f>'Feedstock MIX per IVC'!G38</f>
        <v>3.4323692257660285</v>
      </c>
      <c r="L164" s="2">
        <f t="shared" si="32"/>
        <v>1544566.1515947131</v>
      </c>
    </row>
    <row r="165" spans="1:19" x14ac:dyDescent="0.35">
      <c r="D165" s="243"/>
      <c r="E165" s="2"/>
      <c r="I165" s="13" t="s">
        <v>25</v>
      </c>
      <c r="J165" s="151" t="s">
        <v>77</v>
      </c>
      <c r="K165" s="6">
        <f>'Feedstock MIX per IVC'!G39</f>
        <v>11.699165353842311</v>
      </c>
      <c r="L165" s="2">
        <f t="shared" si="32"/>
        <v>5264624.4092290401</v>
      </c>
    </row>
    <row r="166" spans="1:19" s="202" customFormat="1" x14ac:dyDescent="0.35">
      <c r="A166" s="202" t="s">
        <v>27</v>
      </c>
      <c r="B166" s="202">
        <v>935</v>
      </c>
      <c r="C166" s="250">
        <f>B166*F166</f>
        <v>420750000.00000006</v>
      </c>
      <c r="D166" s="316">
        <f>'[2]GAP analysis Sc. 1'!$C$55</f>
        <v>0.21496130696474633</v>
      </c>
      <c r="E166" s="202">
        <f>'[1]Conversion factors selected IV '!$O$49</f>
        <v>2.0934000000000004</v>
      </c>
      <c r="F166" s="202">
        <f>D166*E166*1000000</f>
        <v>450000.00000000006</v>
      </c>
      <c r="G166" s="202">
        <f>'LCoP 2030 MEDIUM'!E11</f>
        <v>936</v>
      </c>
      <c r="H166" s="202">
        <f>G166*F166</f>
        <v>421200000.00000006</v>
      </c>
      <c r="I166" s="256">
        <f>'LCoP 2030 MEDIUM'!H11</f>
        <v>0.45931903197595364</v>
      </c>
      <c r="L166" s="202">
        <f>I166*H166</f>
        <v>193465176.26827171</v>
      </c>
      <c r="M166" s="256">
        <f>'LCoP 2030 MEDIUM'!F11</f>
        <v>0.27034048401202315</v>
      </c>
      <c r="O166" s="202">
        <f>M166*H166</f>
        <v>113867411.86586417</v>
      </c>
      <c r="P166" s="256">
        <f>'LCoP 2030 MEDIUM'!G11</f>
        <v>0.27034048401202315</v>
      </c>
      <c r="R166" s="202">
        <f>P166*H166</f>
        <v>113867411.86586417</v>
      </c>
      <c r="S166" s="209"/>
    </row>
    <row r="167" spans="1:19" x14ac:dyDescent="0.35">
      <c r="C167">
        <f>C166/$C$154</f>
        <v>0.47371387715283347</v>
      </c>
      <c r="D167" s="243"/>
      <c r="I167" s="13" t="s">
        <v>28</v>
      </c>
      <c r="J167" s="190" t="s">
        <v>79</v>
      </c>
      <c r="L167" s="2">
        <f>L166</f>
        <v>193465176.26827171</v>
      </c>
      <c r="M167" s="5" t="s">
        <v>211</v>
      </c>
      <c r="N167" s="77">
        <v>0</v>
      </c>
      <c r="O167" s="2">
        <f t="shared" ref="O167:O172" si="35">N167*O$166</f>
        <v>0</v>
      </c>
      <c r="P167" s="18" t="s">
        <v>217</v>
      </c>
      <c r="Q167" s="77">
        <v>0.25</v>
      </c>
      <c r="R167" s="2">
        <f t="shared" ref="R167:R172" si="36">Q167*R$166</f>
        <v>28466852.966466043</v>
      </c>
    </row>
    <row r="168" spans="1:19" x14ac:dyDescent="0.35">
      <c r="D168" s="243"/>
      <c r="M168" t="s">
        <v>212</v>
      </c>
      <c r="N168" s="77">
        <v>0.02</v>
      </c>
      <c r="O168" s="2">
        <f t="shared" si="35"/>
        <v>2277348.2373172836</v>
      </c>
      <c r="P168" s="18" t="s">
        <v>177</v>
      </c>
      <c r="Q168" s="77">
        <v>0.15</v>
      </c>
      <c r="R168" s="2">
        <f t="shared" si="36"/>
        <v>17080111.779879626</v>
      </c>
    </row>
    <row r="169" spans="1:19" x14ac:dyDescent="0.35">
      <c r="D169" s="243"/>
      <c r="M169" s="5" t="s">
        <v>210</v>
      </c>
      <c r="N169" s="77">
        <v>0.55000000000000004</v>
      </c>
      <c r="O169" s="2">
        <f t="shared" si="35"/>
        <v>62627076.526225299</v>
      </c>
      <c r="P169" s="18" t="s">
        <v>218</v>
      </c>
      <c r="Q169" s="77">
        <v>0.3</v>
      </c>
      <c r="R169" s="2">
        <f t="shared" si="36"/>
        <v>34160223.559759252</v>
      </c>
    </row>
    <row r="170" spans="1:19" x14ac:dyDescent="0.35">
      <c r="D170" s="243"/>
      <c r="M170" t="s">
        <v>213</v>
      </c>
      <c r="N170" s="77">
        <v>0.1</v>
      </c>
      <c r="O170" s="2">
        <f t="shared" si="35"/>
        <v>11386741.186586417</v>
      </c>
      <c r="P170" s="18" t="s">
        <v>219</v>
      </c>
      <c r="Q170" s="77">
        <v>0.3</v>
      </c>
      <c r="R170" s="2">
        <f t="shared" si="36"/>
        <v>34160223.559759252</v>
      </c>
    </row>
    <row r="171" spans="1:19" x14ac:dyDescent="0.35">
      <c r="D171" s="243"/>
      <c r="M171" t="s">
        <v>214</v>
      </c>
      <c r="N171" s="77">
        <v>0.3</v>
      </c>
      <c r="O171" s="2">
        <f t="shared" si="35"/>
        <v>34160223.559759252</v>
      </c>
      <c r="P171" s="18" t="s">
        <v>220</v>
      </c>
      <c r="Q171" s="261">
        <v>0</v>
      </c>
      <c r="R171" s="2">
        <f t="shared" si="36"/>
        <v>0</v>
      </c>
    </row>
    <row r="172" spans="1:19" x14ac:dyDescent="0.35">
      <c r="D172" s="243"/>
      <c r="M172" t="s">
        <v>216</v>
      </c>
      <c r="N172" s="77">
        <v>0.03</v>
      </c>
      <c r="O172" s="2">
        <f t="shared" si="35"/>
        <v>3416022.355975925</v>
      </c>
      <c r="R172" s="2">
        <f t="shared" si="36"/>
        <v>0</v>
      </c>
    </row>
    <row r="173" spans="1:19" s="201" customFormat="1" x14ac:dyDescent="0.35">
      <c r="A173" s="201" t="s">
        <v>296</v>
      </c>
      <c r="B173" s="201">
        <v>1150</v>
      </c>
      <c r="C173" s="250">
        <f>B173*F173</f>
        <v>46694372.790675424</v>
      </c>
      <c r="D173" s="295">
        <f>'[2]GAP analysis Sc. 1'!$C$52</f>
        <v>4.0603802426674281E-2</v>
      </c>
      <c r="E173" s="208">
        <f>'[1]Conversion factors selected IV '!$O$125</f>
        <v>1</v>
      </c>
      <c r="F173" s="202">
        <f>D173*E173*1000000</f>
        <v>40603.80242667428</v>
      </c>
      <c r="G173" s="208">
        <f>'LCoP 2030 MEDIUM'!E22</f>
        <v>2000.2988837360667</v>
      </c>
      <c r="H173" s="203">
        <f>G173*F173</f>
        <v>81219740.669516355</v>
      </c>
      <c r="I173" s="201">
        <f>'LCoP 2030 MEDIUM'!H22</f>
        <v>0.34128593945970692</v>
      </c>
      <c r="L173" s="202">
        <f>I173*H173</f>
        <v>27719155.497069653</v>
      </c>
      <c r="M173" s="201">
        <f>'LCoP 2030 MEDIUM'!F22</f>
        <v>0.3424488238080643</v>
      </c>
      <c r="N173" s="210"/>
      <c r="O173" s="202">
        <f>M173*H173</f>
        <v>27813604.66227188</v>
      </c>
      <c r="P173" s="257">
        <f>'LCoP 2030 MEDIUM'!G22</f>
        <v>0.31626523673222873</v>
      </c>
      <c r="Q173" s="208"/>
      <c r="R173" s="202">
        <f>P173*H173</f>
        <v>25686980.510174815</v>
      </c>
      <c r="S173" s="203">
        <f>R173+O173+L173</f>
        <v>81219740.669516355</v>
      </c>
    </row>
    <row r="174" spans="1:19" x14ac:dyDescent="0.35">
      <c r="C174">
        <f>C173/$C$154</f>
        <v>5.2572245694333039E-2</v>
      </c>
      <c r="D174" s="243"/>
      <c r="E174" s="6"/>
      <c r="F174" s="147" t="s">
        <v>179</v>
      </c>
      <c r="G174" s="264">
        <f>(L174+L175+L177+L178)/L173</f>
        <v>0.60302155173421346</v>
      </c>
      <c r="H174" s="192" t="s">
        <v>254</v>
      </c>
      <c r="I174" s="5" t="s">
        <v>4</v>
      </c>
      <c r="J174" s="147" t="s">
        <v>179</v>
      </c>
      <c r="K174" s="6">
        <f>'Feedstock MIX per IVC'!G111</f>
        <v>356.95683971806557</v>
      </c>
      <c r="L174" s="2">
        <f t="shared" ref="L174:L181" si="37">K174*F$173</f>
        <v>14493804.994762372</v>
      </c>
      <c r="M174" s="5" t="s">
        <v>211</v>
      </c>
      <c r="N174" s="258">
        <v>0.15</v>
      </c>
      <c r="O174" s="2">
        <f t="shared" ref="O174:O179" si="38">N174*$O$173</f>
        <v>4172040.6993407817</v>
      </c>
      <c r="P174" s="18" t="s">
        <v>217</v>
      </c>
      <c r="Q174" s="107">
        <v>0.15</v>
      </c>
      <c r="R174" s="2">
        <f>Q174*$R$173</f>
        <v>3853047.0765262218</v>
      </c>
    </row>
    <row r="175" spans="1:19" x14ac:dyDescent="0.35">
      <c r="D175" s="243"/>
      <c r="E175" s="6"/>
      <c r="F175" s="150" t="s">
        <v>178</v>
      </c>
      <c r="G175" s="264">
        <f>L176/L173</f>
        <v>1.3074314031426787E-2</v>
      </c>
      <c r="H175" s="192" t="s">
        <v>254</v>
      </c>
      <c r="I175" s="5" t="s">
        <v>5</v>
      </c>
      <c r="J175" s="147" t="s">
        <v>179</v>
      </c>
      <c r="K175" s="6">
        <f>'Feedstock MIX per IVC'!G112</f>
        <v>18.296353110500878</v>
      </c>
      <c r="L175" s="2">
        <f t="shared" si="37"/>
        <v>742901.506827445</v>
      </c>
      <c r="M175" t="s">
        <v>212</v>
      </c>
      <c r="N175" s="77">
        <v>0.02</v>
      </c>
      <c r="O175" s="2">
        <f t="shared" si="38"/>
        <v>556272.0932454376</v>
      </c>
      <c r="P175" s="18" t="s">
        <v>177</v>
      </c>
      <c r="Q175" s="107">
        <v>0.25</v>
      </c>
      <c r="R175" s="2">
        <f>Q175*$R$173</f>
        <v>6421745.1275437037</v>
      </c>
    </row>
    <row r="176" spans="1:19" x14ac:dyDescent="0.35">
      <c r="D176" s="243"/>
      <c r="E176" s="6"/>
      <c r="F176" s="171" t="s">
        <v>222</v>
      </c>
      <c r="G176" s="264">
        <f>L179/L173</f>
        <v>0.19526167432972821</v>
      </c>
      <c r="H176" s="192" t="s">
        <v>254</v>
      </c>
      <c r="I176" s="5" t="s">
        <v>6</v>
      </c>
      <c r="J176" s="150" t="s">
        <v>178</v>
      </c>
      <c r="K176" s="6">
        <f>'Feedstock MIX per IVC'!G113</f>
        <v>8.9254927370190735</v>
      </c>
      <c r="L176" s="2">
        <f t="shared" si="37"/>
        <v>362408.94365463872</v>
      </c>
      <c r="M176" s="5" t="s">
        <v>210</v>
      </c>
      <c r="N176" s="258">
        <v>0.45</v>
      </c>
      <c r="O176" s="2">
        <f t="shared" si="38"/>
        <v>12516122.098022345</v>
      </c>
      <c r="P176" s="18" t="s">
        <v>218</v>
      </c>
      <c r="Q176" s="107">
        <v>0.2</v>
      </c>
      <c r="R176" s="2">
        <f>Q176*$R$173</f>
        <v>5137396.1020349637</v>
      </c>
      <c r="S176" s="2"/>
    </row>
    <row r="177" spans="4:18" x14ac:dyDescent="0.35">
      <c r="D177" s="243"/>
      <c r="E177" s="6"/>
      <c r="F177" s="149" t="s">
        <v>176</v>
      </c>
      <c r="G177" s="264">
        <f>L180/L173</f>
        <v>0.16572975149959623</v>
      </c>
      <c r="H177" s="192" t="s">
        <v>254</v>
      </c>
      <c r="I177" s="5" t="s">
        <v>7</v>
      </c>
      <c r="J177" s="147" t="s">
        <v>179</v>
      </c>
      <c r="K177" s="6">
        <f>'Feedstock MIX per IVC'!G114</f>
        <v>29.661828094471769</v>
      </c>
      <c r="L177" s="2">
        <f t="shared" si="37"/>
        <v>1204383.0075619081</v>
      </c>
      <c r="M177" t="s">
        <v>213</v>
      </c>
      <c r="N177" s="77">
        <v>0.1</v>
      </c>
      <c r="O177" s="2">
        <f t="shared" si="38"/>
        <v>2781360.4662271882</v>
      </c>
      <c r="P177" s="18" t="s">
        <v>219</v>
      </c>
      <c r="Q177" s="107">
        <v>0.3</v>
      </c>
      <c r="R177" s="2">
        <f>Q177*$R$173</f>
        <v>7706094.1530524436</v>
      </c>
    </row>
    <row r="178" spans="4:18" x14ac:dyDescent="0.35">
      <c r="D178" s="243"/>
      <c r="E178" s="6"/>
      <c r="F178" s="152" t="s">
        <v>180</v>
      </c>
      <c r="G178" s="264">
        <f>L181/L173</f>
        <v>2.2912708405035558E-2</v>
      </c>
      <c r="H178" s="192" t="s">
        <v>254</v>
      </c>
      <c r="I178" s="5" t="s">
        <v>8</v>
      </c>
      <c r="J178" s="147" t="s">
        <v>179</v>
      </c>
      <c r="K178" s="6">
        <f>'Feedstock MIX per IVC'!G115</f>
        <v>6.7520437759066034</v>
      </c>
      <c r="L178" s="2">
        <f t="shared" si="37"/>
        <v>274158.65145316749</v>
      </c>
      <c r="M178" t="s">
        <v>214</v>
      </c>
      <c r="N178" s="77">
        <v>0.25</v>
      </c>
      <c r="O178" s="2">
        <f t="shared" si="38"/>
        <v>6953401.1655679699</v>
      </c>
      <c r="P178" s="18" t="s">
        <v>220</v>
      </c>
      <c r="Q178" s="107">
        <v>0.1</v>
      </c>
      <c r="R178" s="2">
        <f>Q178*$R$173</f>
        <v>2568698.0510174818</v>
      </c>
    </row>
    <row r="179" spans="4:18" x14ac:dyDescent="0.35">
      <c r="D179" s="243"/>
      <c r="E179" s="6"/>
      <c r="F179" s="31"/>
      <c r="G179" s="6"/>
      <c r="H179" s="192" t="s">
        <v>254</v>
      </c>
      <c r="I179" s="5" t="s">
        <v>9</v>
      </c>
      <c r="J179" s="171" t="s">
        <v>222</v>
      </c>
      <c r="K179" s="6">
        <f>'Feedstock MIX per IVC'!G116</f>
        <v>133.30004555948256</v>
      </c>
      <c r="L179" s="2">
        <f t="shared" si="37"/>
        <v>5412488.7133639101</v>
      </c>
      <c r="M179" t="s">
        <v>216</v>
      </c>
      <c r="N179" s="77">
        <v>0.03</v>
      </c>
      <c r="O179" s="2">
        <f t="shared" si="38"/>
        <v>834408.1398681564</v>
      </c>
      <c r="Q179" s="34"/>
      <c r="R179" s="2"/>
    </row>
    <row r="180" spans="4:18" x14ac:dyDescent="0.35">
      <c r="D180" s="243"/>
      <c r="F180" s="6"/>
      <c r="G180" s="6"/>
      <c r="H180" s="192" t="s">
        <v>254</v>
      </c>
      <c r="I180" s="5" t="s">
        <v>10</v>
      </c>
      <c r="J180" s="149" t="s">
        <v>176</v>
      </c>
      <c r="K180" s="6">
        <f>'Feedstock MIX per IVC'!G117</f>
        <v>113.13937310684256</v>
      </c>
      <c r="L180" s="2">
        <f t="shared" si="37"/>
        <v>4593888.7523080204</v>
      </c>
    </row>
    <row r="181" spans="4:18" x14ac:dyDescent="0.35">
      <c r="D181" s="243"/>
      <c r="E181" s="6"/>
      <c r="F181" s="31"/>
      <c r="G181" s="6"/>
      <c r="H181" s="192" t="s">
        <v>254</v>
      </c>
      <c r="I181" s="5" t="s">
        <v>11</v>
      </c>
      <c r="J181" s="152" t="s">
        <v>180</v>
      </c>
      <c r="K181" s="6">
        <f>'Feedstock MIX per IVC'!G118</f>
        <v>15.641907633777638</v>
      </c>
      <c r="L181" s="2">
        <f t="shared" si="37"/>
        <v>635120.92713819537</v>
      </c>
    </row>
    <row r="182" spans="4:18" x14ac:dyDescent="0.35">
      <c r="D182" s="243"/>
      <c r="L182" s="2">
        <f>SUM(L174:L181)</f>
        <v>27719155.497069657</v>
      </c>
      <c r="N182" s="77"/>
      <c r="O182" s="2"/>
      <c r="R182" s="2"/>
    </row>
    <row r="183" spans="4:18" x14ac:dyDescent="0.35">
      <c r="D183" s="243"/>
      <c r="N183" s="77"/>
      <c r="O183" s="2"/>
      <c r="R183" s="2"/>
    </row>
    <row r="184" spans="4:18" x14ac:dyDescent="0.35">
      <c r="D184" s="243"/>
    </row>
    <row r="185" spans="4:18" x14ac:dyDescent="0.35">
      <c r="D185" s="243"/>
    </row>
    <row r="186" spans="4:18" x14ac:dyDescent="0.35">
      <c r="D186" s="243"/>
      <c r="I186" s="78" t="s">
        <v>181</v>
      </c>
      <c r="L186" s="213">
        <f>SUM(L187:L193)</f>
        <v>254838376.62846604</v>
      </c>
      <c r="O186" s="213">
        <f>SUM(O187:O193)</f>
        <v>240317411.86586419</v>
      </c>
      <c r="R186" s="213">
        <f>SUM(R187:R193)</f>
        <v>176642411.86586419</v>
      </c>
    </row>
    <row r="187" spans="4:18" x14ac:dyDescent="0.35">
      <c r="D187" s="243"/>
      <c r="J187" s="150" t="s">
        <v>178</v>
      </c>
      <c r="L187">
        <f t="shared" ref="L187:L193" si="39">SUMIF($J$156:$J$168, J187, $L$156:$L$168)</f>
        <v>742190.47907372017</v>
      </c>
      <c r="M187" s="5" t="s">
        <v>211</v>
      </c>
      <c r="O187">
        <f t="shared" ref="O187:O192" si="40">SUMIF($M$156:$M$172, M187, $O$156:$O$172)</f>
        <v>0</v>
      </c>
      <c r="P187" s="18" t="s">
        <v>217</v>
      </c>
      <c r="R187">
        <f>SUMIF($P$156:$P$171, P187, $R$156:$R$171)</f>
        <v>44160602.966466039</v>
      </c>
    </row>
    <row r="188" spans="4:18" x14ac:dyDescent="0.35">
      <c r="D188" s="243"/>
      <c r="J188" s="147" t="s">
        <v>179</v>
      </c>
      <c r="L188">
        <f t="shared" si="39"/>
        <v>32998515.761980105</v>
      </c>
      <c r="M188" t="s">
        <v>212</v>
      </c>
      <c r="O188">
        <f t="shared" si="40"/>
        <v>4806348.2373172846</v>
      </c>
      <c r="P188" s="18" t="s">
        <v>177</v>
      </c>
      <c r="R188">
        <f>SUMIF($P$156:$P$171, P188, $R$156:$R$171)</f>
        <v>26496361.779879626</v>
      </c>
    </row>
    <row r="189" spans="4:18" x14ac:dyDescent="0.35">
      <c r="D189" s="243"/>
      <c r="J189" s="190" t="s">
        <v>79</v>
      </c>
      <c r="L189">
        <f t="shared" si="39"/>
        <v>193465176.26827171</v>
      </c>
      <c r="M189" s="5" t="s">
        <v>210</v>
      </c>
      <c r="O189">
        <f t="shared" si="40"/>
        <v>132174576.52622531</v>
      </c>
      <c r="P189" s="18" t="s">
        <v>218</v>
      </c>
      <c r="R189">
        <f>SUMIF($P$156:$P$171, P189, $R$156:$R$171)</f>
        <v>52992723.559759252</v>
      </c>
    </row>
    <row r="190" spans="4:18" x14ac:dyDescent="0.35">
      <c r="D190" s="243"/>
      <c r="J190" s="171" t="s">
        <v>222</v>
      </c>
      <c r="L190">
        <f t="shared" si="39"/>
        <v>11415311.416886559</v>
      </c>
      <c r="M190" t="s">
        <v>213</v>
      </c>
      <c r="O190">
        <f t="shared" si="40"/>
        <v>24031741.186586417</v>
      </c>
      <c r="P190" s="18" t="s">
        <v>219</v>
      </c>
      <c r="R190">
        <f>SUMIF($P$156:$P$171, P190, $R$156:$R$171)</f>
        <v>52992723.559759252</v>
      </c>
    </row>
    <row r="191" spans="4:18" x14ac:dyDescent="0.35">
      <c r="D191" s="243"/>
      <c r="J191" s="149" t="s">
        <v>176</v>
      </c>
      <c r="L191">
        <f t="shared" si="39"/>
        <v>9407992.1414302085</v>
      </c>
      <c r="M191" t="s">
        <v>214</v>
      </c>
      <c r="O191">
        <f t="shared" si="40"/>
        <v>72095223.559759259</v>
      </c>
      <c r="P191" s="18" t="s">
        <v>220</v>
      </c>
      <c r="R191">
        <f>SUMIF($P$156:$P$171, P191, $R$156:$R$171)</f>
        <v>0</v>
      </c>
    </row>
    <row r="192" spans="4:18" x14ac:dyDescent="0.35">
      <c r="D192" s="243"/>
      <c r="J192" s="152" t="s">
        <v>180</v>
      </c>
      <c r="L192">
        <f t="shared" si="39"/>
        <v>1544566.1515947131</v>
      </c>
      <c r="M192" t="s">
        <v>216</v>
      </c>
      <c r="O192">
        <f t="shared" si="40"/>
        <v>7209522.3559759259</v>
      </c>
    </row>
    <row r="193" spans="1:18" x14ac:dyDescent="0.35">
      <c r="D193" s="243"/>
      <c r="J193" s="151" t="s">
        <v>77</v>
      </c>
      <c r="L193">
        <f t="shared" si="39"/>
        <v>5264624.4092290401</v>
      </c>
    </row>
    <row r="194" spans="1:18" x14ac:dyDescent="0.35">
      <c r="D194" s="243"/>
    </row>
    <row r="195" spans="1:18" s="190" customFormat="1" ht="32.5" customHeight="1" x14ac:dyDescent="0.35">
      <c r="A195" s="229" t="s">
        <v>350</v>
      </c>
      <c r="B195" s="229"/>
      <c r="C195" s="229"/>
      <c r="D195" s="313"/>
      <c r="F195" s="198"/>
    </row>
    <row r="196" spans="1:18" ht="16.5" customHeight="1" x14ac:dyDescent="0.35">
      <c r="B196" s="2">
        <f>C196/1000000</f>
        <v>320.71751059921849</v>
      </c>
      <c r="C196" s="2">
        <f>C197+C205</f>
        <v>320717510.59921849</v>
      </c>
      <c r="D196" s="243">
        <f>D197+D205</f>
        <v>0.23182804760937911</v>
      </c>
      <c r="F196" s="2">
        <f>F197+F205</f>
        <v>297558.83486547437</v>
      </c>
      <c r="H196" s="2">
        <f>H197+H205</f>
        <v>306180565.92827994</v>
      </c>
      <c r="L196" s="2">
        <f>L197+L205</f>
        <v>262435307.6826238</v>
      </c>
      <c r="O196" s="2">
        <f>O197+O205</f>
        <v>25835853.58733204</v>
      </c>
      <c r="R196" s="2">
        <f>R197+R205</f>
        <v>17909404.658324067</v>
      </c>
    </row>
    <row r="197" spans="1:18" s="202" customFormat="1" x14ac:dyDescent="0.35">
      <c r="A197" s="202" t="s">
        <v>351</v>
      </c>
      <c r="B197" s="202">
        <v>935</v>
      </c>
      <c r="C197" s="250">
        <f>B197*F197</f>
        <v>161342510.59921855</v>
      </c>
      <c r="D197" s="316">
        <f>'[2]GAP analysis Sc. 1'!$C$68</f>
        <v>8.2429939268880453E-2</v>
      </c>
      <c r="E197" s="202">
        <f>'[1]Conversion factors selected IV '!$O$50</f>
        <v>2.0934000000000004</v>
      </c>
      <c r="F197" s="202">
        <f>D197*E197*1000000</f>
        <v>172558.83486547437</v>
      </c>
      <c r="G197" s="202">
        <f>'LCoP 2030 MEDIUM'!$E$12</f>
        <v>370.61968567880001</v>
      </c>
      <c r="H197" s="202">
        <f>G197*F197</f>
        <v>63953701.13894207</v>
      </c>
      <c r="I197" s="253">
        <f>'LCoP 2030 MEDIUM'!H12</f>
        <v>0.78751803251959696</v>
      </c>
      <c r="L197" s="202">
        <f>I197*H197</f>
        <v>50364692.893285967</v>
      </c>
      <c r="M197" s="253">
        <f>'LCoP 2030 MEDIUM'!F12</f>
        <v>0.1537964717001013</v>
      </c>
      <c r="O197" s="202">
        <f>M197*H197</f>
        <v>9835853.5873320401</v>
      </c>
      <c r="P197" s="253">
        <f>'LCoP 2030 MEDIUM'!G12</f>
        <v>5.8685495780301807E-2</v>
      </c>
      <c r="R197" s="202">
        <f>P197*H197</f>
        <v>3753154.6583240675</v>
      </c>
    </row>
    <row r="198" spans="1:18" x14ac:dyDescent="0.35">
      <c r="C198">
        <f>C197/C196</f>
        <v>0.50306735761876953</v>
      </c>
      <c r="D198" s="243"/>
      <c r="E198" s="1"/>
      <c r="I198" s="285" t="s">
        <v>30</v>
      </c>
      <c r="J198" s="242" t="s">
        <v>177</v>
      </c>
      <c r="L198" s="2">
        <f>L197</f>
        <v>50364692.893285967</v>
      </c>
      <c r="M198" s="5" t="s">
        <v>211</v>
      </c>
      <c r="N198" s="77">
        <v>0.2</v>
      </c>
      <c r="O198" s="2">
        <f t="shared" ref="O198:O203" si="41">N198*$O$197</f>
        <v>1967170.7174664082</v>
      </c>
      <c r="P198" s="18" t="s">
        <v>217</v>
      </c>
      <c r="Q198" s="77">
        <v>0.35</v>
      </c>
      <c r="R198" s="2">
        <f>Q198*$R$197</f>
        <v>1313604.1304134235</v>
      </c>
    </row>
    <row r="199" spans="1:18" x14ac:dyDescent="0.35">
      <c r="D199" s="243"/>
      <c r="E199" s="1"/>
      <c r="I199" s="276"/>
      <c r="M199" t="s">
        <v>212</v>
      </c>
      <c r="N199" s="77">
        <v>7.0000000000000007E-2</v>
      </c>
      <c r="O199" s="2">
        <f t="shared" si="41"/>
        <v>688509.75111324282</v>
      </c>
      <c r="P199" s="18" t="s">
        <v>177</v>
      </c>
      <c r="Q199" s="77">
        <v>0.15</v>
      </c>
      <c r="R199" s="2">
        <f>Q199*$R$197</f>
        <v>562973.1987486101</v>
      </c>
    </row>
    <row r="200" spans="1:18" x14ac:dyDescent="0.35">
      <c r="D200" s="243"/>
      <c r="E200" s="1"/>
      <c r="I200" s="276"/>
      <c r="M200" s="5" t="s">
        <v>210</v>
      </c>
      <c r="N200" s="77">
        <v>0.4</v>
      </c>
      <c r="O200" s="2">
        <f t="shared" si="41"/>
        <v>3934341.4349328163</v>
      </c>
      <c r="P200" s="18" t="s">
        <v>218</v>
      </c>
      <c r="Q200" s="77">
        <v>0.12</v>
      </c>
      <c r="R200" s="2">
        <f>Q200*$R$197</f>
        <v>450378.55899888807</v>
      </c>
    </row>
    <row r="201" spans="1:18" x14ac:dyDescent="0.35">
      <c r="D201" s="243"/>
      <c r="E201" s="1"/>
      <c r="I201" s="276"/>
      <c r="M201" t="s">
        <v>213</v>
      </c>
      <c r="N201" s="77">
        <v>0.15</v>
      </c>
      <c r="O201" s="2">
        <f t="shared" si="41"/>
        <v>1475378.0380998061</v>
      </c>
      <c r="P201" s="18" t="s">
        <v>219</v>
      </c>
      <c r="Q201" s="77">
        <v>0.3</v>
      </c>
      <c r="R201" s="2">
        <f>Q201*$R$197</f>
        <v>1125946.3974972202</v>
      </c>
    </row>
    <row r="202" spans="1:18" x14ac:dyDescent="0.35">
      <c r="D202" s="243"/>
      <c r="E202" s="1"/>
      <c r="I202" s="276"/>
      <c r="M202" t="s">
        <v>214</v>
      </c>
      <c r="N202" s="77">
        <v>0.15</v>
      </c>
      <c r="O202" s="2">
        <f t="shared" si="41"/>
        <v>1475378.0380998061</v>
      </c>
      <c r="P202" s="18" t="s">
        <v>220</v>
      </c>
      <c r="Q202" s="77">
        <v>0.08</v>
      </c>
      <c r="R202" s="2">
        <f>Q202*$R$197</f>
        <v>300252.37266592542</v>
      </c>
    </row>
    <row r="203" spans="1:18" x14ac:dyDescent="0.35">
      <c r="D203" s="243"/>
      <c r="E203" s="1"/>
      <c r="I203" s="276"/>
      <c r="M203" t="s">
        <v>216</v>
      </c>
      <c r="N203" s="77">
        <v>0.03</v>
      </c>
      <c r="O203" s="2">
        <f t="shared" si="41"/>
        <v>295075.6076199612</v>
      </c>
      <c r="Q203" s="77">
        <f>SUM(Q198:Q202)</f>
        <v>0.99999999999999989</v>
      </c>
    </row>
    <row r="204" spans="1:18" x14ac:dyDescent="0.35">
      <c r="D204" s="243"/>
      <c r="E204" s="1"/>
      <c r="I204" s="276"/>
      <c r="O204" s="2">
        <f>SUM(O198:O203)</f>
        <v>9835853.5873320401</v>
      </c>
      <c r="R204" s="2">
        <f>SUM(R198:R203)</f>
        <v>3753154.658324067</v>
      </c>
    </row>
    <row r="205" spans="1:18" s="202" customFormat="1" x14ac:dyDescent="0.35">
      <c r="A205" s="202" t="s">
        <v>352</v>
      </c>
      <c r="B205" s="202">
        <v>1275</v>
      </c>
      <c r="C205" s="250">
        <f>B205*F205</f>
        <v>159374999.99999997</v>
      </c>
      <c r="D205" s="316">
        <f>'[2]GAP analysis Sc. 1'!$C$66</f>
        <v>0.14939810834049866</v>
      </c>
      <c r="E205" s="202">
        <f>'[1]Conversion factors selected IV '!$O$62</f>
        <v>0.83669064748201449</v>
      </c>
      <c r="F205" s="202">
        <f>D205*E205*1000000</f>
        <v>124999.99999999997</v>
      </c>
      <c r="G205" s="202">
        <f>'LCoP 2030 MEDIUM'!$E$14</f>
        <v>1937.8149183147032</v>
      </c>
      <c r="H205" s="202">
        <f>G205*F205</f>
        <v>242226864.78933784</v>
      </c>
      <c r="I205" s="253">
        <f>'LCoP 2030 MEDIUM'!$H$14</f>
        <v>0.87550410634168685</v>
      </c>
      <c r="L205" s="202">
        <f>I205*H205</f>
        <v>212070614.78933784</v>
      </c>
      <c r="M205" s="253">
        <f>'LCoP 2030 MEDIUM'!$F$14</f>
        <v>6.6053779847726757E-2</v>
      </c>
      <c r="O205" s="202">
        <f>M205*H205</f>
        <v>15999999.999999998</v>
      </c>
      <c r="P205" s="253">
        <f>'LCoP 2030 MEDIUM'!$G$14</f>
        <v>5.8442113810586366E-2</v>
      </c>
      <c r="R205" s="202">
        <f>P205*H205</f>
        <v>14156249.999999998</v>
      </c>
    </row>
    <row r="206" spans="1:18" x14ac:dyDescent="0.35">
      <c r="D206" s="243"/>
      <c r="E206" s="1"/>
      <c r="I206" s="15" t="s">
        <v>30</v>
      </c>
      <c r="J206" s="242" t="s">
        <v>177</v>
      </c>
      <c r="L206" s="2">
        <f>L205</f>
        <v>212070614.78933784</v>
      </c>
      <c r="M206" s="5" t="s">
        <v>211</v>
      </c>
      <c r="N206" s="77">
        <v>0.2</v>
      </c>
      <c r="O206" s="2">
        <f t="shared" ref="O206:O211" si="42">N206*$O$205</f>
        <v>3200000</v>
      </c>
      <c r="P206" s="18" t="s">
        <v>217</v>
      </c>
      <c r="Q206" s="77">
        <v>0.35</v>
      </c>
      <c r="R206" s="2">
        <f>Q206*$R$205</f>
        <v>4954687.4999999991</v>
      </c>
    </row>
    <row r="207" spans="1:18" x14ac:dyDescent="0.35">
      <c r="D207" s="243"/>
      <c r="M207" t="s">
        <v>212</v>
      </c>
      <c r="N207" s="77">
        <v>7.0000000000000007E-2</v>
      </c>
      <c r="O207" s="2">
        <f t="shared" si="42"/>
        <v>1120000</v>
      </c>
      <c r="P207" s="18" t="s">
        <v>177</v>
      </c>
      <c r="Q207" s="77">
        <v>0.15</v>
      </c>
      <c r="R207" s="2">
        <f>Q207*$R$205</f>
        <v>2123437.4999999995</v>
      </c>
    </row>
    <row r="208" spans="1:18" x14ac:dyDescent="0.35">
      <c r="D208" s="243"/>
      <c r="M208" s="5" t="s">
        <v>210</v>
      </c>
      <c r="N208" s="77">
        <v>0.4</v>
      </c>
      <c r="O208" s="2">
        <f t="shared" si="42"/>
        <v>6400000</v>
      </c>
      <c r="P208" s="18" t="s">
        <v>218</v>
      </c>
      <c r="Q208" s="77">
        <v>0.12</v>
      </c>
      <c r="R208" s="2">
        <f>Q208*$R$205</f>
        <v>1698749.9999999998</v>
      </c>
    </row>
    <row r="209" spans="1:19" x14ac:dyDescent="0.35">
      <c r="D209" s="243"/>
      <c r="M209" t="s">
        <v>213</v>
      </c>
      <c r="N209" s="77">
        <v>0.15</v>
      </c>
      <c r="O209" s="2">
        <f t="shared" si="42"/>
        <v>2399999.9999999995</v>
      </c>
      <c r="P209" s="18" t="s">
        <v>219</v>
      </c>
      <c r="Q209" s="77">
        <v>0.3</v>
      </c>
      <c r="R209" s="2">
        <f>Q209*$R$205</f>
        <v>4246874.9999999991</v>
      </c>
    </row>
    <row r="210" spans="1:19" x14ac:dyDescent="0.35">
      <c r="D210" s="243"/>
      <c r="M210" t="s">
        <v>214</v>
      </c>
      <c r="N210" s="77">
        <v>0.15</v>
      </c>
      <c r="O210" s="2">
        <f t="shared" si="42"/>
        <v>2399999.9999999995</v>
      </c>
      <c r="P210" s="18" t="s">
        <v>220</v>
      </c>
      <c r="Q210" s="77">
        <v>0.08</v>
      </c>
      <c r="R210" s="2">
        <f>Q210*$R$205</f>
        <v>1132499.9999999998</v>
      </c>
    </row>
    <row r="211" spans="1:19" x14ac:dyDescent="0.35">
      <c r="D211" s="243"/>
      <c r="M211" t="s">
        <v>216</v>
      </c>
      <c r="N211" s="77">
        <v>0.03</v>
      </c>
      <c r="O211" s="2">
        <f t="shared" si="42"/>
        <v>479999.99999999994</v>
      </c>
      <c r="Q211" s="77">
        <f>SUM(Q206:Q210)</f>
        <v>0.99999999999999989</v>
      </c>
    </row>
    <row r="212" spans="1:19" x14ac:dyDescent="0.35">
      <c r="D212" s="243"/>
      <c r="O212" s="2">
        <f>SUM(O206:O211)</f>
        <v>16000000</v>
      </c>
      <c r="R212" s="2">
        <f>SUM(R206:R211)</f>
        <v>14156249.999999996</v>
      </c>
    </row>
    <row r="213" spans="1:19" x14ac:dyDescent="0.35">
      <c r="D213" s="243"/>
    </row>
    <row r="214" spans="1:19" x14ac:dyDescent="0.35">
      <c r="D214" s="243"/>
      <c r="I214" s="78" t="s">
        <v>181</v>
      </c>
      <c r="J214" s="78"/>
      <c r="K214" s="78"/>
      <c r="L214" s="90">
        <f>SUM(L215:L220)</f>
        <v>262435307.6826238</v>
      </c>
      <c r="M214" s="78"/>
      <c r="N214" s="78"/>
      <c r="O214" s="90">
        <f>SUM(O215:O220)</f>
        <v>25835853.587332044</v>
      </c>
      <c r="P214" s="78"/>
      <c r="Q214" s="78"/>
      <c r="R214" s="90">
        <f>SUM(R215:R220)</f>
        <v>17909404.658324067</v>
      </c>
      <c r="S214" s="90">
        <f>L214+O214+R214</f>
        <v>306180565.92827994</v>
      </c>
    </row>
    <row r="215" spans="1:19" x14ac:dyDescent="0.35">
      <c r="D215" s="243"/>
      <c r="J215" s="242" t="s">
        <v>177</v>
      </c>
      <c r="L215" s="2">
        <f>L198+L206</f>
        <v>262435307.6826238</v>
      </c>
      <c r="M215" s="5" t="s">
        <v>211</v>
      </c>
      <c r="O215">
        <f t="shared" ref="O215:O220" si="43">SUMIF($M$198:$M$211, M215, $O$198:$O$211)</f>
        <v>5167170.7174664084</v>
      </c>
      <c r="P215" s="18" t="s">
        <v>217</v>
      </c>
      <c r="R215">
        <f>SUMIF($P$198:$P$210, P215, $R$198:$R$210)</f>
        <v>6268291.6304134224</v>
      </c>
    </row>
    <row r="216" spans="1:19" x14ac:dyDescent="0.35">
      <c r="D216" s="243"/>
      <c r="M216" t="s">
        <v>212</v>
      </c>
      <c r="O216">
        <f t="shared" si="43"/>
        <v>1808509.7511132429</v>
      </c>
      <c r="P216" s="18" t="s">
        <v>177</v>
      </c>
      <c r="R216">
        <f>SUMIF($P$198:$P$210, P216, $R$198:$R$210)</f>
        <v>2686410.6987486095</v>
      </c>
    </row>
    <row r="217" spans="1:19" x14ac:dyDescent="0.35">
      <c r="D217" s="243"/>
      <c r="M217" s="5" t="s">
        <v>210</v>
      </c>
      <c r="O217">
        <f t="shared" si="43"/>
        <v>10334341.434932817</v>
      </c>
      <c r="P217" s="18" t="s">
        <v>218</v>
      </c>
      <c r="R217">
        <f>SUMIF($P$198:$P$210, P217, $R$198:$R$210)</f>
        <v>2149128.5589988879</v>
      </c>
    </row>
    <row r="218" spans="1:19" x14ac:dyDescent="0.35">
      <c r="D218" s="243"/>
      <c r="M218" t="s">
        <v>213</v>
      </c>
      <c r="O218">
        <f t="shared" si="43"/>
        <v>3875378.0380998058</v>
      </c>
      <c r="P218" s="18" t="s">
        <v>219</v>
      </c>
      <c r="R218">
        <f>SUMIF($P$198:$P$210, P218, $R$198:$R$210)</f>
        <v>5372821.397497219</v>
      </c>
    </row>
    <row r="219" spans="1:19" x14ac:dyDescent="0.35">
      <c r="D219" s="243"/>
      <c r="M219" t="s">
        <v>214</v>
      </c>
      <c r="O219">
        <f t="shared" si="43"/>
        <v>3875378.0380998058</v>
      </c>
      <c r="P219" s="18" t="s">
        <v>220</v>
      </c>
      <c r="R219">
        <f>SUMIF($P$198:$P$210, P219, $R$198:$R$210)</f>
        <v>1432752.3726659252</v>
      </c>
    </row>
    <row r="220" spans="1:19" x14ac:dyDescent="0.35">
      <c r="D220" s="243"/>
      <c r="M220" t="s">
        <v>216</v>
      </c>
      <c r="O220">
        <f t="shared" si="43"/>
        <v>775075.60761996114</v>
      </c>
    </row>
    <row r="221" spans="1:19" x14ac:dyDescent="0.35">
      <c r="D221" s="243"/>
      <c r="J221">
        <v>3</v>
      </c>
    </row>
    <row r="222" spans="1:19" s="190" customFormat="1" ht="32.5" customHeight="1" x14ac:dyDescent="0.35">
      <c r="A222" s="229" t="s">
        <v>323</v>
      </c>
      <c r="B222" s="229"/>
      <c r="C222" s="229"/>
      <c r="D222" s="313"/>
      <c r="F222" s="198"/>
    </row>
    <row r="223" spans="1:19" x14ac:dyDescent="0.35">
      <c r="C223" s="243">
        <f>C225+C274+C283</f>
        <v>26045636743.772991</v>
      </c>
      <c r="D223" s="243">
        <f>D225+D274+D283</f>
        <v>18.904987882608729</v>
      </c>
    </row>
    <row r="224" spans="1:19" s="151" customFormat="1" ht="29.5" customHeight="1" x14ac:dyDescent="0.35">
      <c r="A224" s="151" t="s">
        <v>224</v>
      </c>
      <c r="D224" s="321"/>
      <c r="F224" s="230"/>
    </row>
    <row r="225" spans="1:19" ht="17.5" customHeight="1" x14ac:dyDescent="0.35">
      <c r="B225" s="2">
        <f>C225/1000000</f>
        <v>20642.403242707165</v>
      </c>
      <c r="C225" s="2">
        <f>C226+C234+C241+C249+C257+C264</f>
        <v>20642403242.707165</v>
      </c>
      <c r="D225" s="243">
        <f>D226+D234+D241+D249+D257+D264</f>
        <v>15.624461570486044</v>
      </c>
      <c r="E225" s="2">
        <f>E226+E234+E241+E249+E257+E264</f>
        <v>6.2493390663390667</v>
      </c>
      <c r="F225" s="2">
        <f>F226+F234+F241+F249+F257+F264</f>
        <v>17709283.104361881</v>
      </c>
    </row>
    <row r="226" spans="1:19" s="114" customFormat="1" x14ac:dyDescent="0.35">
      <c r="A226" s="114" t="s">
        <v>373</v>
      </c>
      <c r="B226" s="114">
        <v>1165.6261363636365</v>
      </c>
      <c r="C226" s="280">
        <f>B226*F226</f>
        <v>5074750920.9871206</v>
      </c>
      <c r="D226" s="322">
        <f>'[2]GAP analysis Sc. 1'!$H$18+'[2]GAP analysis Sc. 1'!$J$18</f>
        <v>3.8474675245040357</v>
      </c>
      <c r="E226" s="114">
        <f>'[1]Conversion factors selected IV '!$O$4</f>
        <v>1.1315675675675676</v>
      </c>
      <c r="F226" s="114">
        <f>D226*E226*1000000</f>
        <v>4353669.4679982429</v>
      </c>
      <c r="G226" s="301">
        <f>'LCoP CONVENTIONAL'!$B$3</f>
        <v>800</v>
      </c>
      <c r="H226" s="114">
        <f>G226*F226</f>
        <v>3482935574.3985944</v>
      </c>
      <c r="I226" s="308">
        <f>'LCoP CONVENTIONAL'!$C$3</f>
        <v>0.75</v>
      </c>
      <c r="K226" s="114">
        <f>I226*G226</f>
        <v>600</v>
      </c>
      <c r="L226" s="114">
        <f>I226*H226</f>
        <v>2612201680.7989459</v>
      </c>
      <c r="M226" s="309">
        <f>'LCoP CONVENTIONAL'!$F$3</f>
        <v>6.5000000000000002E-2</v>
      </c>
      <c r="O226" s="114">
        <f>M226*H226</f>
        <v>226390812.33590865</v>
      </c>
      <c r="P226" s="309">
        <f>'LCoP CONVENTIONAL'!$I$3</f>
        <v>0.185</v>
      </c>
      <c r="R226" s="114">
        <f>P226*H226</f>
        <v>644343081.26373994</v>
      </c>
      <c r="S226" s="269">
        <f>SUM(L226,O226,R226)</f>
        <v>3482935574.3985944</v>
      </c>
    </row>
    <row r="227" spans="1:19" x14ac:dyDescent="0.35">
      <c r="C227" s="262">
        <f>C226/$C$225</f>
        <v>0.24584109036722743</v>
      </c>
      <c r="D227" s="243"/>
      <c r="E227" s="192" t="s">
        <v>254</v>
      </c>
      <c r="F227" s="154" t="s">
        <v>178</v>
      </c>
      <c r="G227">
        <f>(L227+L229)/L226</f>
        <v>0.80055384228082327</v>
      </c>
      <c r="H227" s="192" t="s">
        <v>254</v>
      </c>
      <c r="I227" s="18" t="s">
        <v>225</v>
      </c>
      <c r="J227" s="154" t="s">
        <v>178</v>
      </c>
      <c r="K227" s="107">
        <f>'Feedtstocks only CONVENTIONAL'!$J$4</f>
        <v>0.76052615016678204</v>
      </c>
      <c r="L227" s="2">
        <f>K227*L$226</f>
        <v>1986647687.7572196</v>
      </c>
      <c r="M227" t="str">
        <f>'LCoP CONVENTIONAL'!$F$4</f>
        <v>Machinery and equipment</v>
      </c>
      <c r="N227" s="59">
        <f>'LCoP CONVENTIONAL'!$G$4</f>
        <v>0.45</v>
      </c>
      <c r="O227" s="2">
        <f>N227*$O$226</f>
        <v>101875865.55115889</v>
      </c>
      <c r="P227" t="str">
        <f>'LCoP CONVENTIONAL'!$I$4</f>
        <v>Chemical and chemical products</v>
      </c>
      <c r="Q227" s="59">
        <f>'LCoP CONVENTIONAL'!$J$4</f>
        <v>0.3</v>
      </c>
      <c r="R227" s="2">
        <f t="shared" ref="R227:R232" si="44">Q227*$R$226</f>
        <v>193302924.37912199</v>
      </c>
    </row>
    <row r="228" spans="1:19" x14ac:dyDescent="0.35">
      <c r="C228" s="262"/>
      <c r="D228" s="243"/>
      <c r="E228" s="191" t="s">
        <v>252</v>
      </c>
      <c r="F228" s="154" t="s">
        <v>178</v>
      </c>
      <c r="G228">
        <f>(L228+L230)/L226</f>
        <v>0.19944615771917679</v>
      </c>
      <c r="H228" s="191" t="s">
        <v>252</v>
      </c>
      <c r="I228" s="18" t="s">
        <v>226</v>
      </c>
      <c r="J228" s="154" t="s">
        <v>178</v>
      </c>
      <c r="K228" s="107">
        <f>'Feedtstocks only CONVENTIONAL'!$J$5</f>
        <v>0.16011076845616465</v>
      </c>
      <c r="L228" s="2">
        <f>K228*L$226</f>
        <v>418241618.47520417</v>
      </c>
      <c r="M228" t="str">
        <f>'LCoP CONVENTIONAL'!$F$5</f>
        <v>Architectural and engineering services</v>
      </c>
      <c r="N228" s="59">
        <f>'LCoP CONVENTIONAL'!$G$5</f>
        <v>0.3</v>
      </c>
      <c r="O228" s="2">
        <f>N228*$O$226</f>
        <v>67917243.700772598</v>
      </c>
      <c r="P228" t="str">
        <f>'LCoP CONVENTIONAL'!$I$5</f>
        <v>Electricity, gas, steam &amp; AC</v>
      </c>
      <c r="Q228" s="59">
        <f>'LCoP CONVENTIONAL'!$J$5</f>
        <v>0.2</v>
      </c>
      <c r="R228" s="2">
        <f t="shared" si="44"/>
        <v>128868616.252748</v>
      </c>
    </row>
    <row r="229" spans="1:19" x14ac:dyDescent="0.35">
      <c r="C229" s="262"/>
      <c r="D229" s="243"/>
      <c r="H229" s="192" t="s">
        <v>254</v>
      </c>
      <c r="I229" s="18" t="s">
        <v>228</v>
      </c>
      <c r="J229" s="154" t="s">
        <v>178</v>
      </c>
      <c r="K229" s="107">
        <f>'Feedtstocks only CONVENTIONAL'!$J$6</f>
        <v>4.0027692114041162E-2</v>
      </c>
      <c r="L229" s="2">
        <f>K229*L$226</f>
        <v>104560404.61880104</v>
      </c>
      <c r="M229" t="str">
        <f>'LCoP CONVENTIONAL'!$F$6</f>
        <v>Constructions and construction works</v>
      </c>
      <c r="N229" s="59">
        <f>'LCoP CONVENTIONAL'!$G$6</f>
        <v>0.15</v>
      </c>
      <c r="O229" s="2">
        <f>N229*$O$226</f>
        <v>33958621.850386299</v>
      </c>
      <c r="P229" t="str">
        <f>'LCoP CONVENTIONAL'!$I$6</f>
        <v>Legal and accounting services; services of head offices; management consultancy services</v>
      </c>
      <c r="Q229" s="59">
        <f>'LCoP CONVENTIONAL'!$J$6</f>
        <v>0.25</v>
      </c>
      <c r="R229" s="2">
        <f t="shared" si="44"/>
        <v>161085770.31593499</v>
      </c>
    </row>
    <row r="230" spans="1:19" x14ac:dyDescent="0.35">
      <c r="C230" s="262"/>
      <c r="D230" s="243"/>
      <c r="H230" s="191" t="s">
        <v>252</v>
      </c>
      <c r="I230" s="18" t="s">
        <v>227</v>
      </c>
      <c r="J230" s="154" t="s">
        <v>178</v>
      </c>
      <c r="K230" s="107">
        <f>'Feedtstocks only CONVENTIONAL'!$J$7</f>
        <v>3.9335389263012145E-2</v>
      </c>
      <c r="L230" s="2">
        <f>K230*L$226</f>
        <v>102751969.94772114</v>
      </c>
      <c r="M230" t="str">
        <f>'LCoP CONVENTIONAL'!$F$7</f>
        <v>Fabricated metal products</v>
      </c>
      <c r="N230" s="59">
        <f>'LCoP CONVENTIONAL'!$G$7</f>
        <v>7.0000000000000007E-2</v>
      </c>
      <c r="O230" s="2">
        <f>N230*$O$226</f>
        <v>15847356.863513608</v>
      </c>
      <c r="P230" t="str">
        <f>'LCoP CONVENTIONAL'!$I$7</f>
        <v>Repair and installation services</v>
      </c>
      <c r="Q230" s="59">
        <f>'LCoP CONVENTIONAL'!$J$7</f>
        <v>0.15</v>
      </c>
      <c r="R230" s="2">
        <f t="shared" si="44"/>
        <v>96651462.189560995</v>
      </c>
    </row>
    <row r="231" spans="1:19" x14ac:dyDescent="0.35">
      <c r="C231" s="262"/>
      <c r="D231" s="243"/>
      <c r="K231" s="2">
        <f>SUM(K227:K230)</f>
        <v>1</v>
      </c>
      <c r="L231" s="2">
        <f>SUM(L227:L230)</f>
        <v>2612201680.7989459</v>
      </c>
      <c r="M231" t="str">
        <f>'LCoP CONVENTIONAL'!$F$8</f>
        <v>Computer, electronic and optical products</v>
      </c>
      <c r="N231" s="59">
        <f>'LCoP CONVENTIONAL'!$G$8</f>
        <v>0.03</v>
      </c>
      <c r="O231" s="2">
        <f>N231*$O$226</f>
        <v>6791724.3700772589</v>
      </c>
      <c r="P231" s="102" t="str">
        <f>'LCoP CONVENTIONAL'!$I$8</f>
        <v>Land transport services and transport services via pipelines</v>
      </c>
      <c r="Q231" s="59">
        <f>'LCoP CONVENTIONAL'!$J$8</f>
        <v>0.1</v>
      </c>
      <c r="R231" s="2">
        <f t="shared" si="44"/>
        <v>64434308.126373999</v>
      </c>
    </row>
    <row r="232" spans="1:19" x14ac:dyDescent="0.35">
      <c r="C232" s="262"/>
      <c r="D232" s="243"/>
      <c r="O232" s="2">
        <f>SUM(O227:O231)</f>
        <v>226390812.33590865</v>
      </c>
      <c r="P232" t="str">
        <f>'LCoP CONVENTIONAL'!$I$9</f>
        <v>Waste management services</v>
      </c>
      <c r="Q232" s="59">
        <f>'LCoP CONVENTIONAL'!$J$9</f>
        <v>0</v>
      </c>
      <c r="R232" s="2">
        <f t="shared" si="44"/>
        <v>0</v>
      </c>
    </row>
    <row r="233" spans="1:19" s="117" customFormat="1" x14ac:dyDescent="0.35">
      <c r="C233" s="281"/>
      <c r="D233" s="323"/>
    </row>
    <row r="234" spans="1:19" s="114" customFormat="1" x14ac:dyDescent="0.35">
      <c r="A234" s="114" t="s">
        <v>330</v>
      </c>
      <c r="B234" s="114">
        <v>1165.6261363636365</v>
      </c>
      <c r="C234" s="280">
        <v>5823017821.7200422</v>
      </c>
      <c r="D234" s="322">
        <f>'[2]GAP analysis Sc. 1'!$H$19</f>
        <v>3.9442817119799067</v>
      </c>
      <c r="E234" s="114">
        <v>0.95154545454545458</v>
      </c>
      <c r="F234" s="114">
        <v>4995613.6363636367</v>
      </c>
      <c r="G234" s="301">
        <f>'LCoP CONVENTIONAL'!$B$24</f>
        <v>900</v>
      </c>
      <c r="H234" s="114">
        <v>3326203260.0000005</v>
      </c>
      <c r="I234" s="308">
        <f>'LCoP CONVENTIONAL'!$C$24</f>
        <v>0.66666666666666663</v>
      </c>
      <c r="K234" s="115">
        <f>I234*G234</f>
        <v>600</v>
      </c>
      <c r="L234" s="114">
        <f>I234*H234</f>
        <v>2217468840</v>
      </c>
      <c r="M234" s="308">
        <f>'LCoP CONVENTIONAL'!$F$24</f>
        <v>0.1111111111111111</v>
      </c>
      <c r="O234" s="114">
        <f>M234*H234</f>
        <v>369578140.00000006</v>
      </c>
      <c r="P234" s="309">
        <f>'LCoP CONVENTIONAL'!$I$24</f>
        <v>0.22222222222222221</v>
      </c>
      <c r="R234" s="114">
        <f>P234*H234</f>
        <v>739156280.00000012</v>
      </c>
      <c r="S234" s="114">
        <f>SUM(L234,O234,R234)</f>
        <v>3326203260</v>
      </c>
    </row>
    <row r="235" spans="1:19" x14ac:dyDescent="0.35">
      <c r="C235" s="262">
        <f>C234/$C$225</f>
        <v>0.2820901109844019</v>
      </c>
      <c r="D235" s="243"/>
      <c r="E235" s="192" t="s">
        <v>254</v>
      </c>
      <c r="F235" s="154" t="s">
        <v>178</v>
      </c>
      <c r="G235">
        <f>SUM(L235:L237)/L234</f>
        <v>0.96066461073698783</v>
      </c>
      <c r="I235" s="18" t="s">
        <v>225</v>
      </c>
      <c r="J235" s="154" t="s">
        <v>178</v>
      </c>
      <c r="K235" s="107">
        <f>'Feedtstocks only CONVENTIONAL'!J$4</f>
        <v>0.76052615016678204</v>
      </c>
      <c r="L235" s="2">
        <f>K235*$L$234</f>
        <v>1686443040</v>
      </c>
      <c r="M235" t="str">
        <f>'LCoP CONVENTIONAL'!$F$25</f>
        <v>Machinery and equipment</v>
      </c>
      <c r="N235" s="59">
        <f>'LCoP CONVENTIONAL'!$G$25</f>
        <v>0.55000000000000004</v>
      </c>
      <c r="O235" s="2">
        <f>N235*$O$234</f>
        <v>203267977.00000006</v>
      </c>
      <c r="P235" t="str">
        <f>'LCoP CONVENTIONAL'!$I$25</f>
        <v>Chemical and chemical products</v>
      </c>
      <c r="Q235" s="59">
        <f>'LCoP CONVENTIONAL'!$J$25</f>
        <v>0.4</v>
      </c>
      <c r="R235" s="2">
        <f t="shared" ref="R235:R240" si="45">Q235*$R$234</f>
        <v>295662512.00000006</v>
      </c>
    </row>
    <row r="236" spans="1:19" x14ac:dyDescent="0.35">
      <c r="C236" s="262"/>
      <c r="D236" s="243"/>
      <c r="E236" s="191" t="s">
        <v>252</v>
      </c>
      <c r="F236" s="154" t="s">
        <v>178</v>
      </c>
      <c r="G236">
        <f>L238/L234</f>
        <v>3.9335389263012145E-2</v>
      </c>
      <c r="I236" s="18" t="s">
        <v>226</v>
      </c>
      <c r="J236" s="154" t="s">
        <v>178</v>
      </c>
      <c r="K236" s="107">
        <f>'Feedtstocks only CONVENTIONAL'!J$5</f>
        <v>0.16011076845616465</v>
      </c>
      <c r="L236" s="2">
        <f>K236*$L$234</f>
        <v>355040640</v>
      </c>
      <c r="M236" t="str">
        <f>'LCoP CONVENTIONAL'!$F$26</f>
        <v>Architectural and engineering services</v>
      </c>
      <c r="N236" s="59">
        <f>'LCoP CONVENTIONAL'!$G$26</f>
        <v>0.25</v>
      </c>
      <c r="O236" s="2">
        <f>N236*$O$234</f>
        <v>92394535.000000015</v>
      </c>
      <c r="P236" t="str">
        <f>'LCoP CONVENTIONAL'!$I$26</f>
        <v>Electricity, gas, steam &amp; AC</v>
      </c>
      <c r="Q236" s="59">
        <f>'LCoP CONVENTIONAL'!$J$26</f>
        <v>0.2</v>
      </c>
      <c r="R236" s="2">
        <f t="shared" si="45"/>
        <v>147831256.00000003</v>
      </c>
    </row>
    <row r="237" spans="1:19" x14ac:dyDescent="0.35">
      <c r="C237" s="262"/>
      <c r="D237" s="322"/>
      <c r="I237" s="18" t="s">
        <v>228</v>
      </c>
      <c r="J237" s="154" t="s">
        <v>178</v>
      </c>
      <c r="K237" s="107">
        <f>'Feedtstocks only CONVENTIONAL'!J$6</f>
        <v>4.0027692114041162E-2</v>
      </c>
      <c r="L237" s="2">
        <f>K237*$L$234</f>
        <v>88760160</v>
      </c>
      <c r="M237" t="str">
        <f>'LCoP CONVENTIONAL'!$F$27</f>
        <v>Constructions and construction works</v>
      </c>
      <c r="N237" s="59">
        <f>'LCoP CONVENTIONAL'!$G$27</f>
        <v>0.1</v>
      </c>
      <c r="O237" s="2">
        <f>N237*$O$234</f>
        <v>36957814.000000007</v>
      </c>
      <c r="P237" t="str">
        <f>'LCoP CONVENTIONAL'!$I$27</f>
        <v>Legal and accounting services; services of head offices; management consultancy services</v>
      </c>
      <c r="Q237" s="59">
        <f>'LCoP CONVENTIONAL'!$J$27</f>
        <v>0.2</v>
      </c>
      <c r="R237" s="2">
        <f t="shared" si="45"/>
        <v>147831256.00000003</v>
      </c>
    </row>
    <row r="238" spans="1:19" x14ac:dyDescent="0.35">
      <c r="C238" s="262"/>
      <c r="D238" s="243"/>
      <c r="H238" s="191" t="s">
        <v>252</v>
      </c>
      <c r="I238" s="18" t="s">
        <v>227</v>
      </c>
      <c r="J238" s="154" t="s">
        <v>178</v>
      </c>
      <c r="K238" s="107">
        <f>'Feedtstocks only CONVENTIONAL'!J$7</f>
        <v>3.9335389263012145E-2</v>
      </c>
      <c r="L238" s="2">
        <f>K238*$L$234</f>
        <v>87225000</v>
      </c>
      <c r="M238" t="str">
        <f>'LCoP CONVENTIONAL'!$F$28</f>
        <v>Fabricated metal products</v>
      </c>
      <c r="N238" s="59">
        <f>'LCoP CONVENTIONAL'!$G$28</f>
        <v>7.0000000000000007E-2</v>
      </c>
      <c r="O238" s="2">
        <f>N238*$O$234</f>
        <v>25870469.800000008</v>
      </c>
      <c r="P238" t="str">
        <f>'LCoP CONVENTIONAL'!$I$28</f>
        <v>Repair and installation services</v>
      </c>
      <c r="Q238" s="59">
        <f>'LCoP CONVENTIONAL'!$J$28</f>
        <v>0.15</v>
      </c>
      <c r="R238" s="2">
        <f t="shared" si="45"/>
        <v>110873442.00000001</v>
      </c>
    </row>
    <row r="239" spans="1:19" x14ac:dyDescent="0.35">
      <c r="C239" s="262"/>
      <c r="D239" s="243"/>
      <c r="L239" s="2">
        <f>SUM(L235:L238)</f>
        <v>2217468840</v>
      </c>
      <c r="M239" t="str">
        <f>'LCoP CONVENTIONAL'!$F$29</f>
        <v>Computer, electronic and optical products</v>
      </c>
      <c r="N239" s="59">
        <f>'LCoP CONVENTIONAL'!$G$29</f>
        <v>0.03</v>
      </c>
      <c r="O239" s="2">
        <f>N239*$O$234</f>
        <v>11087344.200000001</v>
      </c>
      <c r="P239" s="299" t="str">
        <f>'LCoP CONVENTIONAL'!$I$29</f>
        <v>Land transport services and transport services via pipelines</v>
      </c>
      <c r="Q239" s="59">
        <f>'LCoP CONVENTIONAL'!$J$29</f>
        <v>0.05</v>
      </c>
      <c r="R239" s="2">
        <f t="shared" si="45"/>
        <v>36957814.000000007</v>
      </c>
    </row>
    <row r="240" spans="1:19" x14ac:dyDescent="0.35">
      <c r="C240" s="262"/>
      <c r="D240" s="243"/>
      <c r="P240" t="str">
        <f>'LCoP CONVENTIONAL'!$I$30</f>
        <v>Waste management services</v>
      </c>
      <c r="Q240" s="59">
        <f>'LCoP CONVENTIONAL'!$J$30</f>
        <v>0</v>
      </c>
      <c r="R240" s="2">
        <f t="shared" si="45"/>
        <v>0</v>
      </c>
    </row>
    <row r="241" spans="1:19" s="114" customFormat="1" x14ac:dyDescent="0.35">
      <c r="A241" s="114" t="s">
        <v>244</v>
      </c>
      <c r="B241" s="114">
        <v>1165.6261363636365</v>
      </c>
      <c r="C241" s="280">
        <f>B241*F241</f>
        <v>3730003636.3636365</v>
      </c>
      <c r="D241" s="322">
        <f>'[2]GAP analysis Sc. 1'!$K$21</f>
        <v>2.8279354160695518</v>
      </c>
      <c r="E241" s="114">
        <f>'[1]Conversion factors selected IV '!$O$4</f>
        <v>1.1315675675675676</v>
      </c>
      <c r="F241" s="114">
        <f>D241*E241*1000000</f>
        <v>3199999.9999999995</v>
      </c>
      <c r="G241" s="301">
        <f>'LCoP CONVENTIONAL'!$B$10</f>
        <v>1253</v>
      </c>
      <c r="H241" s="114">
        <f>G241*F241</f>
        <v>4009599999.9999995</v>
      </c>
      <c r="I241" s="308">
        <f>'LCoP CONVENTIONAL'!$C$10</f>
        <v>0.72067039106145248</v>
      </c>
      <c r="K241" s="114">
        <f>I241*G241</f>
        <v>903</v>
      </c>
      <c r="L241" s="114">
        <f>I241*H241</f>
        <v>2889599999.9999995</v>
      </c>
      <c r="M241" s="308">
        <f>'LCoP CONVENTIONAL'!$F$10</f>
        <v>6.6241021548284124E-2</v>
      </c>
      <c r="O241" s="114">
        <f>M241*H241</f>
        <v>265600000</v>
      </c>
      <c r="P241" s="308">
        <f>'LCoP CONVENTIONAL'!$I$10</f>
        <v>0.21308858739026337</v>
      </c>
      <c r="R241" s="114">
        <f>P241*H241</f>
        <v>854399999.99999988</v>
      </c>
      <c r="S241" s="114">
        <f>SUM(L241,O241,R241)</f>
        <v>4009599999.9999995</v>
      </c>
    </row>
    <row r="242" spans="1:19" x14ac:dyDescent="0.35">
      <c r="C242" s="262">
        <f>C241/$C$225</f>
        <v>0.1806961908701897</v>
      </c>
      <c r="D242" s="243"/>
      <c r="I242" t="s">
        <v>273</v>
      </c>
      <c r="J242" s="147" t="s">
        <v>179</v>
      </c>
      <c r="L242" s="2">
        <f>L241</f>
        <v>2889599999.9999995</v>
      </c>
      <c r="M242" t="str">
        <f>'LCoP CONVENTIONAL'!$F$11</f>
        <v>Machinery and equipment</v>
      </c>
      <c r="N242" s="59">
        <f>'LCoP CONVENTIONAL'!$G$11</f>
        <v>0.48</v>
      </c>
      <c r="O242" s="2">
        <f>N242*$O$241</f>
        <v>127488000</v>
      </c>
      <c r="P242" t="str">
        <f>'LCoP CONVENTIONAL'!$I$11</f>
        <v>Chemical and chemical products</v>
      </c>
      <c r="Q242" s="59">
        <f>'LCoP CONVENTIONAL'!$J$11</f>
        <v>0.25</v>
      </c>
      <c r="R242" s="2">
        <f t="shared" ref="R242:R247" si="46">Q242*$R$241</f>
        <v>213599999.99999997</v>
      </c>
    </row>
    <row r="243" spans="1:19" x14ac:dyDescent="0.35">
      <c r="C243" s="262"/>
      <c r="D243" s="243"/>
      <c r="M243" t="str">
        <f>'LCoP CONVENTIONAL'!$F$12</f>
        <v>Architectural and engineering services</v>
      </c>
      <c r="N243" s="59">
        <f>'LCoP CONVENTIONAL'!$G$12</f>
        <v>0.3</v>
      </c>
      <c r="O243" s="2">
        <f>N243*$O$241</f>
        <v>79680000</v>
      </c>
      <c r="P243" t="str">
        <f>'LCoP CONVENTIONAL'!$I$12</f>
        <v>Electricity, gas, steam &amp; AC</v>
      </c>
      <c r="Q243" s="59">
        <f>'LCoP CONVENTIONAL'!$J$12</f>
        <v>0.15</v>
      </c>
      <c r="R243" s="2">
        <f t="shared" si="46"/>
        <v>128159999.99999997</v>
      </c>
    </row>
    <row r="244" spans="1:19" x14ac:dyDescent="0.35">
      <c r="C244" s="262"/>
      <c r="D244" s="243"/>
      <c r="M244" t="str">
        <f>'LCoP CONVENTIONAL'!$F$13</f>
        <v>Constructions and construction works</v>
      </c>
      <c r="N244" s="59">
        <f>'LCoP CONVENTIONAL'!$G$13</f>
        <v>0.12</v>
      </c>
      <c r="O244" s="2">
        <f>N244*$O$241</f>
        <v>31872000</v>
      </c>
      <c r="P244" t="str">
        <f>'LCoP CONVENTIONAL'!$I$13</f>
        <v>Legal and accounting services; services of head offices; management consultancy services</v>
      </c>
      <c r="Q244" s="59">
        <f>'LCoP CONVENTIONAL'!$J$13</f>
        <v>0.2</v>
      </c>
      <c r="R244" s="2">
        <f t="shared" si="46"/>
        <v>170880000</v>
      </c>
    </row>
    <row r="245" spans="1:19" x14ac:dyDescent="0.35">
      <c r="C245" s="262"/>
      <c r="D245" s="243"/>
      <c r="M245" t="str">
        <f>'LCoP CONVENTIONAL'!$F$14</f>
        <v>Fabricated metal products</v>
      </c>
      <c r="N245" s="59">
        <f>'LCoP CONVENTIONAL'!$G$14</f>
        <v>7.0000000000000007E-2</v>
      </c>
      <c r="O245" s="2">
        <f>N245*$O$241</f>
        <v>18592000</v>
      </c>
      <c r="P245" t="str">
        <f>'LCoP CONVENTIONAL'!$I$14</f>
        <v>Repair and installation services</v>
      </c>
      <c r="Q245" s="59">
        <f>'LCoP CONVENTIONAL'!$J$14</f>
        <v>0.15</v>
      </c>
      <c r="R245" s="2">
        <f t="shared" si="46"/>
        <v>128159999.99999997</v>
      </c>
    </row>
    <row r="246" spans="1:19" x14ac:dyDescent="0.35">
      <c r="C246" s="262"/>
      <c r="D246" s="243"/>
      <c r="M246" t="str">
        <f>'LCoP CONVENTIONAL'!$F$15</f>
        <v>Computer, electronic and optical products</v>
      </c>
      <c r="N246" s="59">
        <f>'LCoP CONVENTIONAL'!$G$15</f>
        <v>0.03</v>
      </c>
      <c r="O246" s="2">
        <f>N246*$O$241</f>
        <v>7968000</v>
      </c>
      <c r="P246" s="102" t="str">
        <f>'LCoP CONVENTIONAL'!$I$15</f>
        <v>Land transport services and transport services via pipelines</v>
      </c>
      <c r="Q246" s="59">
        <f>'LCoP CONVENTIONAL'!$J$15</f>
        <v>0.25</v>
      </c>
      <c r="R246" s="2">
        <f t="shared" si="46"/>
        <v>213599999.99999997</v>
      </c>
    </row>
    <row r="247" spans="1:19" x14ac:dyDescent="0.35">
      <c r="C247" s="262"/>
      <c r="D247" s="243"/>
      <c r="H247" s="2"/>
      <c r="P247" t="str">
        <f>'LCoP CONVENTIONAL'!$I$16</f>
        <v>Waste management services</v>
      </c>
      <c r="Q247" s="59">
        <f>'LCoP CONVENTIONAL'!$J$16</f>
        <v>0</v>
      </c>
      <c r="R247" s="2">
        <f t="shared" si="46"/>
        <v>0</v>
      </c>
    </row>
    <row r="248" spans="1:19" x14ac:dyDescent="0.35">
      <c r="C248" s="262"/>
      <c r="D248" s="243"/>
    </row>
    <row r="249" spans="1:19" s="114" customFormat="1" x14ac:dyDescent="0.35">
      <c r="A249" s="114" t="s">
        <v>324</v>
      </c>
      <c r="B249" s="114">
        <v>1165.6261363636365</v>
      </c>
      <c r="C249" s="280">
        <f>B249*F249</f>
        <v>1876658079.5454547</v>
      </c>
      <c r="D249" s="322">
        <f>'[2]GAP analysis Sc. 1'!$K$22</f>
        <v>1.6919843317091812</v>
      </c>
      <c r="E249" s="114">
        <f>'[1]Conversion factors selected IV '!$O$7</f>
        <v>0.95154545454545458</v>
      </c>
      <c r="F249" s="114">
        <f>D249*E249*1000000</f>
        <v>1610000</v>
      </c>
      <c r="G249" s="301">
        <f>'LCoP CONVENTIONAL'!$B$31</f>
        <v>1203</v>
      </c>
      <c r="H249" s="114">
        <f>G249*F249</f>
        <v>1936830000</v>
      </c>
      <c r="I249" s="308">
        <f>'LCoP CONVENTIONAL'!$C$31</f>
        <v>0.75062344139650872</v>
      </c>
      <c r="K249" s="114">
        <f>I249*G249</f>
        <v>903</v>
      </c>
      <c r="L249" s="114">
        <f>I249*H249</f>
        <v>1453830000</v>
      </c>
      <c r="M249" s="308">
        <f>'LCoP CONVENTIONAL'!$F$31</f>
        <v>8.3125519534497094E-2</v>
      </c>
      <c r="O249" s="114">
        <f>M249*H249</f>
        <v>161000000</v>
      </c>
      <c r="P249" s="308">
        <f>'LCoP CONVENTIONAL'!$I$31</f>
        <v>0.16625103906899419</v>
      </c>
      <c r="R249" s="114">
        <f>P249*H249</f>
        <v>322000000</v>
      </c>
      <c r="S249" s="114">
        <f>SUM(L249,O249,R249)</f>
        <v>1936830000</v>
      </c>
    </row>
    <row r="250" spans="1:19" x14ac:dyDescent="0.35">
      <c r="C250" s="262">
        <f>C249/$C$225</f>
        <v>9.0912771031564199E-2</v>
      </c>
      <c r="D250" s="243"/>
      <c r="I250" t="s">
        <v>273</v>
      </c>
      <c r="J250" s="147" t="s">
        <v>179</v>
      </c>
      <c r="L250" s="2">
        <f>L249</f>
        <v>1453830000</v>
      </c>
      <c r="M250" t="str">
        <f>'LCoP CONVENTIONAL'!$F$32</f>
        <v>Machinery and equipment</v>
      </c>
      <c r="N250" s="59">
        <f>'LCoP CONVENTIONAL'!$G$32</f>
        <v>0.57999999999999996</v>
      </c>
      <c r="O250" s="2">
        <f>N250*$O$249</f>
        <v>93380000</v>
      </c>
      <c r="P250" t="str">
        <f>'LCoP CONVENTIONAL'!$I$32</f>
        <v>Chemical and chemical products</v>
      </c>
      <c r="Q250" s="59">
        <f>'LCoP CONVENTIONAL'!$J$32</f>
        <v>0.35</v>
      </c>
      <c r="R250" s="2">
        <f t="shared" ref="R250:R255" si="47">Q250*$R$249</f>
        <v>112700000</v>
      </c>
    </row>
    <row r="251" spans="1:19" x14ac:dyDescent="0.35">
      <c r="C251" s="262"/>
      <c r="D251" s="243"/>
      <c r="M251" t="str">
        <f>'LCoP CONVENTIONAL'!$F$33</f>
        <v>Architectural and engineering services</v>
      </c>
      <c r="N251" s="59">
        <f>'LCoP CONVENTIONAL'!$G$33</f>
        <v>0.25</v>
      </c>
      <c r="O251" s="2">
        <f>N251*$O$249</f>
        <v>40250000</v>
      </c>
      <c r="P251" t="str">
        <f>'LCoP CONVENTIONAL'!$I$33</f>
        <v>Electricity, gas, steam &amp; AC</v>
      </c>
      <c r="Q251" s="59">
        <f>'LCoP CONVENTIONAL'!$J$33</f>
        <v>0.15</v>
      </c>
      <c r="R251" s="2">
        <f t="shared" si="47"/>
        <v>48300000</v>
      </c>
    </row>
    <row r="252" spans="1:19" x14ac:dyDescent="0.35">
      <c r="C252" s="262"/>
      <c r="D252" s="243"/>
      <c r="M252" t="str">
        <f>'LCoP CONVENTIONAL'!$F$34</f>
        <v>Constructions and construction works</v>
      </c>
      <c r="N252" s="59">
        <f>'LCoP CONVENTIONAL'!$G$34</f>
        <v>0.08</v>
      </c>
      <c r="O252" s="2">
        <f>N252*$O$249</f>
        <v>12880000</v>
      </c>
      <c r="P252" t="str">
        <f>'LCoP CONVENTIONAL'!$I$34</f>
        <v>Legal and accounting services; services of head offices; management consultancy services</v>
      </c>
      <c r="Q252" s="59">
        <f>'LCoP CONVENTIONAL'!$J$34</f>
        <v>0.18</v>
      </c>
      <c r="R252" s="2">
        <f t="shared" si="47"/>
        <v>57960000</v>
      </c>
    </row>
    <row r="253" spans="1:19" x14ac:dyDescent="0.35">
      <c r="C253" s="262"/>
      <c r="D253" s="243"/>
      <c r="M253" t="str">
        <f>'LCoP CONVENTIONAL'!$F$35</f>
        <v>Fabricated metal products</v>
      </c>
      <c r="N253" s="59">
        <f>'LCoP CONVENTIONAL'!$G$35</f>
        <v>0.06</v>
      </c>
      <c r="O253" s="2">
        <f>N253*$O$249</f>
        <v>9660000</v>
      </c>
      <c r="P253" t="str">
        <f>'LCoP CONVENTIONAL'!$I$35</f>
        <v>Repair and installation services</v>
      </c>
      <c r="Q253" s="59">
        <f>'LCoP CONVENTIONAL'!$J$35</f>
        <v>0.15</v>
      </c>
      <c r="R253" s="2">
        <f t="shared" si="47"/>
        <v>48300000</v>
      </c>
    </row>
    <row r="254" spans="1:19" x14ac:dyDescent="0.35">
      <c r="C254" s="262"/>
      <c r="D254" s="243"/>
      <c r="M254" t="str">
        <f>'LCoP CONVENTIONAL'!$F$36</f>
        <v>Computer, electronic and optical products</v>
      </c>
      <c r="N254" s="59">
        <f>'LCoP CONVENTIONAL'!$G$36</f>
        <v>0.03</v>
      </c>
      <c r="O254" s="2">
        <f>N254*$O$249</f>
        <v>4830000</v>
      </c>
      <c r="P254" s="299" t="str">
        <f>'LCoP CONVENTIONAL'!$I$36</f>
        <v>Land transport services and transport services via pipelines</v>
      </c>
      <c r="Q254" s="59">
        <f>'LCoP CONVENTIONAL'!$J$36</f>
        <v>0.17</v>
      </c>
      <c r="R254" s="2">
        <f t="shared" si="47"/>
        <v>54740000.000000007</v>
      </c>
    </row>
    <row r="255" spans="1:19" x14ac:dyDescent="0.35">
      <c r="C255" s="262"/>
      <c r="D255" s="243"/>
      <c r="P255" t="str">
        <f>'LCoP CONVENTIONAL'!$I$37</f>
        <v>Waste management services</v>
      </c>
      <c r="Q255" s="59">
        <f>'LCoP CONVENTIONAL'!$J$37</f>
        <v>0</v>
      </c>
      <c r="R255" s="2">
        <f t="shared" si="47"/>
        <v>0</v>
      </c>
    </row>
    <row r="256" spans="1:19" x14ac:dyDescent="0.35">
      <c r="C256" s="262"/>
      <c r="D256" s="243"/>
      <c r="N256" t="s">
        <v>319</v>
      </c>
      <c r="O256" s="2">
        <f>SUM(O250:O255)</f>
        <v>161000000</v>
      </c>
      <c r="Q256" t="s">
        <v>319</v>
      </c>
      <c r="R256" s="2">
        <f>SUM(R250:R255)</f>
        <v>322000000</v>
      </c>
    </row>
    <row r="257" spans="1:19" s="114" customFormat="1" x14ac:dyDescent="0.35">
      <c r="A257" s="114" t="s">
        <v>331</v>
      </c>
      <c r="B257" s="114">
        <v>1165.6261363636365</v>
      </c>
      <c r="C257" s="280">
        <f>B257*F257</f>
        <v>2914065340.9090915</v>
      </c>
      <c r="D257" s="322">
        <f>'[2]GAP analysis Sc. 1'!$H$23+'[2]GAP analysis Sc. 1'!$J$23</f>
        <v>2.2093245438043372</v>
      </c>
      <c r="E257" s="114">
        <f>'[1]Conversion factors selected IV '!$O$4</f>
        <v>1.1315675675675676</v>
      </c>
      <c r="F257" s="114">
        <f>D257*E257*1000000</f>
        <v>2500000</v>
      </c>
      <c r="G257" s="301">
        <f>'LCoP CONVENTIONAL'!$B$17</f>
        <v>1253</v>
      </c>
      <c r="H257" s="114">
        <f>G257*F257</f>
        <v>3132500000</v>
      </c>
      <c r="I257" s="309">
        <f>'LCoP CONVENTIONAL'!$C$17</f>
        <v>0.72067039106145248</v>
      </c>
      <c r="K257" s="114">
        <f>I257*G257</f>
        <v>903</v>
      </c>
      <c r="L257" s="114">
        <f>I257*H257</f>
        <v>2257500000</v>
      </c>
      <c r="M257" s="309">
        <f>'LCoP CONVENTIONAL'!$F$17</f>
        <v>6.6241021548284124E-2</v>
      </c>
      <c r="O257" s="114">
        <f>M257*H257</f>
        <v>207500000.00000003</v>
      </c>
      <c r="P257" s="309">
        <f>'LCoP CONVENTIONAL'!$I$17</f>
        <v>0.21308858739026337</v>
      </c>
      <c r="R257" s="114">
        <f>P257*H257</f>
        <v>667500000</v>
      </c>
      <c r="S257" s="114">
        <f>SUM(L257,O257,R257)</f>
        <v>3132500000</v>
      </c>
    </row>
    <row r="258" spans="1:19" x14ac:dyDescent="0.35">
      <c r="C258" s="262">
        <f>C257/$C$225</f>
        <v>0.14116889911733571</v>
      </c>
      <c r="D258" s="243"/>
      <c r="E258" s="192" t="s">
        <v>254</v>
      </c>
      <c r="F258" s="1">
        <f>(L258+L260)/L257</f>
        <v>0.71548895938351631</v>
      </c>
      <c r="H258" s="192" t="s">
        <v>254</v>
      </c>
      <c r="I258" s="18" t="s">
        <v>268</v>
      </c>
      <c r="J258" s="154" t="s">
        <v>178</v>
      </c>
      <c r="K258" s="59">
        <f>'Feedtstocks only CONVENTIONAL'!J37</f>
        <v>0.42676656092472537</v>
      </c>
      <c r="L258" s="102">
        <f>K258*L257</f>
        <v>963425511.2875675</v>
      </c>
      <c r="M258" t="str">
        <f>'LCoP CONVENTIONAL'!$F$18</f>
        <v>Machinery and equipment</v>
      </c>
      <c r="N258" s="59">
        <f>'LCoP CONVENTIONAL'!$G$18</f>
        <v>0.5</v>
      </c>
      <c r="O258" s="2">
        <f>N258*$O$257</f>
        <v>103750000.00000001</v>
      </c>
      <c r="P258" t="str">
        <f>'LCoP CONVENTIONAL'!$I$18</f>
        <v>Chemical and chemical products</v>
      </c>
      <c r="Q258" s="59">
        <f>'LCoP CONVENTIONAL'!$J$18</f>
        <v>0.25</v>
      </c>
      <c r="R258" s="2">
        <f t="shared" ref="R258:R263" si="48">Q258*$R$257</f>
        <v>166875000</v>
      </c>
    </row>
    <row r="259" spans="1:19" x14ac:dyDescent="0.35">
      <c r="C259" s="262"/>
      <c r="D259" s="243"/>
      <c r="E259" s="191" t="s">
        <v>252</v>
      </c>
      <c r="F259" s="1">
        <f>L259/L257</f>
        <v>0.28451104061648358</v>
      </c>
      <c r="H259" s="191" t="s">
        <v>252</v>
      </c>
      <c r="I259" s="18" t="s">
        <v>269</v>
      </c>
      <c r="J259" s="154" t="s">
        <v>178</v>
      </c>
      <c r="K259" s="59">
        <f>'Feedtstocks only CONVENTIONAL'!J38</f>
        <v>0.28451104061648358</v>
      </c>
      <c r="L259" s="102">
        <f>K259*L257</f>
        <v>642283674.19171166</v>
      </c>
      <c r="M259" t="str">
        <f>'LCoP CONVENTIONAL'!$F$19</f>
        <v>Architectural and engineering services</v>
      </c>
      <c r="N259" s="59">
        <f>'LCoP CONVENTIONAL'!$G$19</f>
        <v>0.3</v>
      </c>
      <c r="O259" s="2">
        <f>N259*$O$257</f>
        <v>62250000.000000007</v>
      </c>
      <c r="P259" t="str">
        <f>'LCoP CONVENTIONAL'!$I$19</f>
        <v>Electricity, gas, steam &amp; AC</v>
      </c>
      <c r="Q259" s="59">
        <f>'LCoP CONVENTIONAL'!$J$19</f>
        <v>0.15</v>
      </c>
      <c r="R259" s="2">
        <f t="shared" si="48"/>
        <v>100125000</v>
      </c>
    </row>
    <row r="260" spans="1:19" x14ac:dyDescent="0.35">
      <c r="C260" s="262"/>
      <c r="D260" s="243"/>
      <c r="H260" s="192" t="s">
        <v>254</v>
      </c>
      <c r="I260" s="18" t="s">
        <v>267</v>
      </c>
      <c r="J260" s="154" t="s">
        <v>178</v>
      </c>
      <c r="K260" s="59">
        <f>'Feedtstocks only CONVENTIONAL'!J39</f>
        <v>0.288722398458791</v>
      </c>
      <c r="L260" s="102">
        <f>K260*L257</f>
        <v>651790814.52072072</v>
      </c>
      <c r="M260" t="str">
        <f>'LCoP CONVENTIONAL'!$F$20</f>
        <v>Constructions and construction works</v>
      </c>
      <c r="N260" s="59">
        <f>'LCoP CONVENTIONAL'!$G$20</f>
        <v>0.1</v>
      </c>
      <c r="O260" s="2">
        <f>N260*$O$257</f>
        <v>20750000.000000004</v>
      </c>
      <c r="P260" t="str">
        <f>'LCoP CONVENTIONAL'!$I$20</f>
        <v>Legal and accounting services; services of head offices; management consultancy services</v>
      </c>
      <c r="Q260" s="59">
        <f>'LCoP CONVENTIONAL'!$J$20</f>
        <v>0.2</v>
      </c>
      <c r="R260" s="2">
        <f t="shared" si="48"/>
        <v>133500000</v>
      </c>
    </row>
    <row r="261" spans="1:19" x14ac:dyDescent="0.35">
      <c r="C261" s="262"/>
      <c r="D261" s="243"/>
      <c r="H261" s="18"/>
      <c r="I261" s="18"/>
      <c r="J261" s="18"/>
      <c r="K261" s="61">
        <f>SUM(K258:K260)</f>
        <v>1</v>
      </c>
      <c r="L261" s="102">
        <f>SUM(L258:L260)</f>
        <v>2257500000</v>
      </c>
      <c r="M261" t="str">
        <f>'LCoP CONVENTIONAL'!$F$21</f>
        <v>Fabricated metal products</v>
      </c>
      <c r="N261" s="59">
        <f>'LCoP CONVENTIONAL'!$G$21</f>
        <v>7.0000000000000007E-2</v>
      </c>
      <c r="O261" s="2">
        <f>N261*$O$257</f>
        <v>14525000.000000004</v>
      </c>
      <c r="P261" t="str">
        <f>'LCoP CONVENTIONAL'!$I$21</f>
        <v>Repair and installation services</v>
      </c>
      <c r="Q261" s="59">
        <f>'LCoP CONVENTIONAL'!$J$21</f>
        <v>0.2</v>
      </c>
      <c r="R261" s="2">
        <f t="shared" si="48"/>
        <v>133500000</v>
      </c>
    </row>
    <row r="262" spans="1:19" x14ac:dyDescent="0.35">
      <c r="C262" s="262"/>
      <c r="D262" s="243"/>
      <c r="M262" t="str">
        <f>'LCoP CONVENTIONAL'!$F$22</f>
        <v>Computer, electronic and optical products</v>
      </c>
      <c r="N262" s="59">
        <f>'LCoP CONVENTIONAL'!$G$22</f>
        <v>0.03</v>
      </c>
      <c r="O262" s="2">
        <f>N262*$O$257</f>
        <v>6225000.0000000009</v>
      </c>
      <c r="P262" s="102" t="str">
        <f>'LCoP CONVENTIONAL'!$I$22</f>
        <v>Land transport services and transport services via pipelines</v>
      </c>
      <c r="Q262" s="59">
        <f>'LCoP CONVENTIONAL'!$J$22</f>
        <v>0.1</v>
      </c>
      <c r="R262" s="2">
        <f t="shared" si="48"/>
        <v>66750000</v>
      </c>
    </row>
    <row r="263" spans="1:19" x14ac:dyDescent="0.35">
      <c r="C263" s="262"/>
      <c r="D263" s="243"/>
      <c r="P263" t="str">
        <f>'LCoP CONVENTIONAL'!$I$23</f>
        <v>Waste management services</v>
      </c>
      <c r="Q263" s="59">
        <f>'LCoP CONVENTIONAL'!$J$23</f>
        <v>0.1</v>
      </c>
      <c r="R263" s="2">
        <f t="shared" si="48"/>
        <v>66750000</v>
      </c>
    </row>
    <row r="264" spans="1:19" s="114" customFormat="1" x14ac:dyDescent="0.35">
      <c r="A264" s="114" t="s">
        <v>325</v>
      </c>
      <c r="B264" s="114">
        <v>1165.6261363636365</v>
      </c>
      <c r="C264" s="280">
        <f>B264*F264</f>
        <v>1223907443.1818182</v>
      </c>
      <c r="D264" s="322">
        <f>'[2]GAP analysis Sc. 1'!$H$24+'[2]GAP analysis Sc. 1'!$J$24</f>
        <v>1.1034680424190313</v>
      </c>
      <c r="E264" s="114">
        <f>'[1]Conversion factors selected IV '!$O$7</f>
        <v>0.95154545454545458</v>
      </c>
      <c r="F264" s="114">
        <f>D264*E264*1000000</f>
        <v>1050000</v>
      </c>
      <c r="G264" s="301">
        <f>'LCoP CONVENTIONAL'!$B$38</f>
        <v>2016</v>
      </c>
      <c r="H264" s="114">
        <f>G264*F264</f>
        <v>2116800000</v>
      </c>
      <c r="I264" s="309">
        <f>'LCoP CONVENTIONAL'!$C$38</f>
        <v>0.66567460317460314</v>
      </c>
      <c r="K264" s="114">
        <f>I264*G264</f>
        <v>1342</v>
      </c>
      <c r="L264" s="114">
        <f>I264*H264</f>
        <v>1409100000</v>
      </c>
      <c r="M264" s="309">
        <f>'LCoP CONVENTIONAL'!$F$38</f>
        <v>0.13343253968253968</v>
      </c>
      <c r="O264" s="114">
        <f>M264*H264</f>
        <v>282450000</v>
      </c>
      <c r="P264" s="309">
        <f>'LCoP CONVENTIONAL'!$I$38</f>
        <v>0.20089285714285715</v>
      </c>
      <c r="R264" s="114">
        <f>P264*H264</f>
        <v>425250000</v>
      </c>
      <c r="S264" s="114">
        <f>SUM(L264,O264,R264)</f>
        <v>2116800000</v>
      </c>
    </row>
    <row r="265" spans="1:19" x14ac:dyDescent="0.35">
      <c r="C265" s="262">
        <f>C264/$C$225</f>
        <v>5.9290937629280997E-2</v>
      </c>
      <c r="D265" s="243"/>
      <c r="H265" s="192" t="s">
        <v>254</v>
      </c>
      <c r="I265" s="18" t="s">
        <v>268</v>
      </c>
      <c r="J265" s="154" t="s">
        <v>178</v>
      </c>
      <c r="K265" s="59">
        <f>'Feedtstocks only CONVENTIONAL'!J37</f>
        <v>0.42676656092472537</v>
      </c>
      <c r="L265" s="102">
        <f>K265*L264</f>
        <v>601356760.99903047</v>
      </c>
      <c r="M265" t="str">
        <f>'LCoP CONVENTIONAL'!$F$39</f>
        <v>Machinery and equipment</v>
      </c>
      <c r="N265" s="59">
        <f>'LCoP CONVENTIONAL'!$G$39</f>
        <v>0.6</v>
      </c>
      <c r="O265" s="2">
        <f>N265*$O$264</f>
        <v>169470000</v>
      </c>
      <c r="P265" t="str">
        <f>'LCoP CONVENTIONAL'!$I$39</f>
        <v>Chemical and chemical products</v>
      </c>
      <c r="Q265" s="59">
        <f>'LCoP CONVENTIONAL'!$J$39</f>
        <v>0.15</v>
      </c>
      <c r="R265" s="2">
        <f t="shared" ref="R265:R270" si="49">Q265*$R$264</f>
        <v>63787500</v>
      </c>
    </row>
    <row r="266" spans="1:19" x14ac:dyDescent="0.35">
      <c r="D266" s="243"/>
      <c r="H266" s="191" t="s">
        <v>252</v>
      </c>
      <c r="I266" s="18" t="s">
        <v>269</v>
      </c>
      <c r="J266" s="154" t="s">
        <v>178</v>
      </c>
      <c r="K266" s="59">
        <f>'Feedtstocks only CONVENTIONAL'!J38</f>
        <v>0.28451104061648358</v>
      </c>
      <c r="L266" s="102">
        <f>K266*L264</f>
        <v>400904507.33268702</v>
      </c>
      <c r="M266" t="str">
        <f>'LCoP CONVENTIONAL'!$F$40</f>
        <v>Architectural and engineering services</v>
      </c>
      <c r="N266" s="59">
        <f>'LCoP CONVENTIONAL'!$G$40</f>
        <v>0.25</v>
      </c>
      <c r="O266" s="2">
        <f>N266*$O$264</f>
        <v>70612500</v>
      </c>
      <c r="P266" t="str">
        <f>'LCoP CONVENTIONAL'!$I$40</f>
        <v>Electricity, gas, steam &amp; AC</v>
      </c>
      <c r="Q266" s="59">
        <f>'LCoP CONVENTIONAL'!$J$40</f>
        <v>0.4</v>
      </c>
      <c r="R266" s="2">
        <f t="shared" si="49"/>
        <v>170100000</v>
      </c>
    </row>
    <row r="267" spans="1:19" x14ac:dyDescent="0.35">
      <c r="D267" s="243"/>
      <c r="H267" s="192" t="s">
        <v>254</v>
      </c>
      <c r="I267" s="18" t="s">
        <v>267</v>
      </c>
      <c r="J267" s="154" t="s">
        <v>178</v>
      </c>
      <c r="K267" s="59">
        <f>'Feedtstocks only CONVENTIONAL'!J39</f>
        <v>0.288722398458791</v>
      </c>
      <c r="L267" s="102">
        <f>K267*L264</f>
        <v>406838731.66828239</v>
      </c>
      <c r="M267" t="str">
        <f>'LCoP CONVENTIONAL'!$F$41</f>
        <v>Constructions and construction works</v>
      </c>
      <c r="N267" s="59">
        <f>'LCoP CONVENTIONAL'!$G$41</f>
        <v>7.0000000000000007E-2</v>
      </c>
      <c r="O267" s="2">
        <f>N267*$O$264</f>
        <v>19771500.000000004</v>
      </c>
      <c r="P267" t="str">
        <f>'LCoP CONVENTIONAL'!$I$41</f>
        <v>Legal and accounting services; services of head offices; management consultancy services</v>
      </c>
      <c r="Q267" s="59">
        <f>'LCoP CONVENTIONAL'!$J$41</f>
        <v>0.2</v>
      </c>
      <c r="R267" s="2">
        <f t="shared" si="49"/>
        <v>85050000</v>
      </c>
    </row>
    <row r="268" spans="1:19" x14ac:dyDescent="0.35">
      <c r="D268" s="243"/>
      <c r="H268" s="18"/>
      <c r="I268" s="18"/>
      <c r="J268" s="18"/>
      <c r="K268" s="61">
        <f>SUM(K265:K267)</f>
        <v>1</v>
      </c>
      <c r="L268" s="102">
        <f>SUM(L265:L267)</f>
        <v>1409100000</v>
      </c>
      <c r="M268" t="str">
        <f>'LCoP CONVENTIONAL'!$F$42</f>
        <v>Fabricated metal products</v>
      </c>
      <c r="N268" s="59">
        <f>'LCoP CONVENTIONAL'!$G$42</f>
        <v>0.05</v>
      </c>
      <c r="O268" s="2">
        <f>N268*$O$264</f>
        <v>14122500</v>
      </c>
      <c r="P268" t="str">
        <f>'LCoP CONVENTIONAL'!$I$42</f>
        <v>Repair and installation services</v>
      </c>
      <c r="Q268" s="59">
        <f>'LCoP CONVENTIONAL'!$J$42</f>
        <v>0.15</v>
      </c>
      <c r="R268" s="2">
        <f t="shared" si="49"/>
        <v>63787500</v>
      </c>
    </row>
    <row r="269" spans="1:19" x14ac:dyDescent="0.35">
      <c r="D269" s="243"/>
      <c r="M269" t="str">
        <f>'LCoP CONVENTIONAL'!$F$43</f>
        <v>Computer, electronic and optical products</v>
      </c>
      <c r="N269" s="59">
        <f>'LCoP CONVENTIONAL'!$G$43</f>
        <v>0.03</v>
      </c>
      <c r="O269" s="2">
        <f>N269*$O$264</f>
        <v>8473500</v>
      </c>
      <c r="P269" s="299" t="str">
        <f>'LCoP CONVENTIONAL'!$I$43</f>
        <v>Land transport services and transport services via pipelines</v>
      </c>
      <c r="Q269" s="59">
        <f>'LCoP CONVENTIONAL'!$J$43</f>
        <v>0.1</v>
      </c>
      <c r="R269" s="2">
        <f t="shared" si="49"/>
        <v>42525000</v>
      </c>
    </row>
    <row r="270" spans="1:19" x14ac:dyDescent="0.35">
      <c r="D270" s="243"/>
      <c r="P270" t="str">
        <f>'LCoP CONVENTIONAL'!$I$44</f>
        <v>Waste management services</v>
      </c>
      <c r="Q270" s="59">
        <f>'LCoP CONVENTIONAL'!$J$44</f>
        <v>0</v>
      </c>
      <c r="R270" s="2">
        <f t="shared" si="49"/>
        <v>0</v>
      </c>
    </row>
    <row r="271" spans="1:19" x14ac:dyDescent="0.35">
      <c r="D271" s="243"/>
      <c r="Q271" s="59"/>
    </row>
    <row r="272" spans="1:19" x14ac:dyDescent="0.35">
      <c r="D272" s="243"/>
    </row>
    <row r="273" spans="1:19" s="151" customFormat="1" ht="29" customHeight="1" x14ac:dyDescent="0.35">
      <c r="A273" s="151" t="s">
        <v>328</v>
      </c>
      <c r="D273" s="321"/>
    </row>
    <row r="274" spans="1:19" x14ac:dyDescent="0.35">
      <c r="B274" s="2">
        <f>C274/1000000</f>
        <v>4436.2567568797785</v>
      </c>
      <c r="C274" s="2">
        <f>C275</f>
        <v>4436256756.8797789</v>
      </c>
      <c r="D274" s="243">
        <f>D275</f>
        <v>2.8076114368002423</v>
      </c>
      <c r="E274" s="6"/>
      <c r="F274" s="2">
        <f>F275</f>
        <v>4353669.4679982429</v>
      </c>
    </row>
    <row r="275" spans="1:19" s="114" customFormat="1" x14ac:dyDescent="0.35">
      <c r="A275" s="114" t="s">
        <v>329</v>
      </c>
      <c r="B275" s="114">
        <v>1018.96958174905</v>
      </c>
      <c r="C275" s="114">
        <f>B275*F275</f>
        <v>4436256756.8797789</v>
      </c>
      <c r="D275" s="322">
        <f>'[2]GAP analysis Sc. 1'!$H$20</f>
        <v>2.8076114368002423</v>
      </c>
      <c r="E275" s="114">
        <f>'[1]Conversion factors selected IV '!$O$17</f>
        <v>1.5506666666666669</v>
      </c>
      <c r="F275" s="114">
        <f>D275*E275*1000000</f>
        <v>4353669.4679982429</v>
      </c>
      <c r="G275" s="301">
        <f>'LCoP CONVENTIONAL'!$B$53</f>
        <v>903.57</v>
      </c>
      <c r="H275" s="114">
        <f>G275*F275</f>
        <v>3933845121.1991725</v>
      </c>
      <c r="I275" s="308">
        <f>'LCoP CONVENTIONAL'!$C$53</f>
        <v>0.7</v>
      </c>
      <c r="K275" s="114">
        <f>I275*G275</f>
        <v>632.49900000000002</v>
      </c>
      <c r="L275" s="114">
        <f>I275*H275</f>
        <v>2753691584.8394208</v>
      </c>
      <c r="M275" s="308">
        <f>'LCoP CONVENTIONAL'!$F$53</f>
        <v>0.1</v>
      </c>
      <c r="O275" s="114">
        <f>M275*H275</f>
        <v>393384512.11991727</v>
      </c>
      <c r="P275" s="308">
        <f>'LCoP CONVENTIONAL'!$I$53</f>
        <v>0.2</v>
      </c>
      <c r="R275" s="114">
        <f>P275*H275</f>
        <v>786769024.23983455</v>
      </c>
      <c r="S275" s="114">
        <f>SUM(L275,O275,R275)</f>
        <v>3933845121.199173</v>
      </c>
    </row>
    <row r="276" spans="1:19" x14ac:dyDescent="0.35">
      <c r="D276" s="243"/>
      <c r="E276" s="6"/>
      <c r="I276" t="s">
        <v>362</v>
      </c>
      <c r="J276" s="147" t="s">
        <v>179</v>
      </c>
      <c r="L276" s="2">
        <f>L275</f>
        <v>2753691584.8394208</v>
      </c>
      <c r="M276" t="str">
        <f>'LCoP CONVENTIONAL'!$F$54</f>
        <v>Machinery and equipment</v>
      </c>
      <c r="N276" s="59">
        <f>'LCoP CONVENTIONAL'!$G$54</f>
        <v>0.5</v>
      </c>
      <c r="O276" s="2">
        <f>N276*$O$275</f>
        <v>196692256.05995864</v>
      </c>
      <c r="P276" t="str">
        <f>'LCoP CONVENTIONAL'!$I$54</f>
        <v>Chemical and chemical products</v>
      </c>
      <c r="Q276" s="59">
        <f>'LCoP CONVENTIONAL'!$J$54</f>
        <v>0.15</v>
      </c>
      <c r="R276" s="2">
        <f t="shared" ref="R276:R281" si="50">Q276*$R$275</f>
        <v>118015353.63597518</v>
      </c>
    </row>
    <row r="277" spans="1:19" x14ac:dyDescent="0.35">
      <c r="D277" s="243"/>
      <c r="E277" s="6"/>
      <c r="M277" t="str">
        <f>'LCoP CONVENTIONAL'!$F$55</f>
        <v>Architectural and engineering services</v>
      </c>
      <c r="N277" s="59">
        <f>'LCoP CONVENTIONAL'!$G$55</f>
        <v>0.25</v>
      </c>
      <c r="O277" s="2">
        <f>N277*$O$275</f>
        <v>98346128.029979318</v>
      </c>
      <c r="P277" t="str">
        <f>'LCoP CONVENTIONAL'!$I$55</f>
        <v>Electricity, gas, steam &amp; AC</v>
      </c>
      <c r="Q277" s="59">
        <f>'LCoP CONVENTIONAL'!$J$55</f>
        <v>0.4</v>
      </c>
      <c r="R277" s="2">
        <f t="shared" si="50"/>
        <v>314707609.69593382</v>
      </c>
    </row>
    <row r="278" spans="1:19" x14ac:dyDescent="0.35">
      <c r="D278" s="243"/>
      <c r="E278" s="6"/>
      <c r="M278" t="str">
        <f>'LCoP CONVENTIONAL'!$F$56</f>
        <v>Constructions and construction works</v>
      </c>
      <c r="N278" s="59">
        <f>'LCoP CONVENTIONAL'!$G$56</f>
        <v>0.15</v>
      </c>
      <c r="O278" s="2">
        <f>N278*$O$275</f>
        <v>59007676.817987591</v>
      </c>
      <c r="P278" t="str">
        <f>'LCoP CONVENTIONAL'!$I$56</f>
        <v>Legal and accounting services; services of head offices; management consultancy services</v>
      </c>
      <c r="Q278" s="59">
        <f>'LCoP CONVENTIONAL'!$J$56</f>
        <v>0.2</v>
      </c>
      <c r="R278" s="2">
        <f t="shared" si="50"/>
        <v>157353804.84796691</v>
      </c>
    </row>
    <row r="279" spans="1:19" x14ac:dyDescent="0.35">
      <c r="D279" s="243"/>
      <c r="E279" s="6"/>
      <c r="M279" t="str">
        <f>'LCoP CONVENTIONAL'!$F$57</f>
        <v>Fabricated metal products</v>
      </c>
      <c r="N279" s="59">
        <f>'LCoP CONVENTIONAL'!$G$57</f>
        <v>7.0000000000000007E-2</v>
      </c>
      <c r="O279" s="2">
        <f>N279*$O$275</f>
        <v>27536915.848394211</v>
      </c>
      <c r="P279" t="str">
        <f>'LCoP CONVENTIONAL'!$I$57</f>
        <v>Repair and installation services</v>
      </c>
      <c r="Q279" s="59">
        <f>'LCoP CONVENTIONAL'!$J$57</f>
        <v>0.15</v>
      </c>
      <c r="R279" s="2">
        <f t="shared" si="50"/>
        <v>118015353.63597518</v>
      </c>
    </row>
    <row r="280" spans="1:19" x14ac:dyDescent="0.35">
      <c r="D280" s="243"/>
      <c r="E280" s="6"/>
      <c r="M280" t="str">
        <f>'LCoP CONVENTIONAL'!$F$58</f>
        <v>Computer, electronic and optical products</v>
      </c>
      <c r="N280" s="59">
        <f>'LCoP CONVENTIONAL'!$G$58</f>
        <v>0.03</v>
      </c>
      <c r="O280" s="2">
        <f>N280*$O$275</f>
        <v>11801535.363597518</v>
      </c>
      <c r="P280" s="102" t="str">
        <f>'LCoP CONVENTIONAL'!$I$58</f>
        <v>Land transport services and transport services via pipelines</v>
      </c>
      <c r="Q280" s="59">
        <f>'LCoP CONVENTIONAL'!$J$58</f>
        <v>0.1</v>
      </c>
      <c r="R280" s="2">
        <f t="shared" si="50"/>
        <v>78676902.423983455</v>
      </c>
    </row>
    <row r="281" spans="1:19" x14ac:dyDescent="0.35">
      <c r="D281" s="243"/>
      <c r="E281" s="6"/>
      <c r="N281" s="59"/>
      <c r="P281" t="str">
        <f>'LCoP CONVENTIONAL'!$I$59</f>
        <v>Waste management services</v>
      </c>
      <c r="Q281" s="59">
        <f>'LCoP CONVENTIONAL'!$J$59</f>
        <v>0</v>
      </c>
      <c r="R281" s="2">
        <f t="shared" si="50"/>
        <v>0</v>
      </c>
    </row>
    <row r="282" spans="1:19" s="151" customFormat="1" ht="28" customHeight="1" x14ac:dyDescent="0.35">
      <c r="A282" s="151" t="s">
        <v>327</v>
      </c>
      <c r="D282" s="321"/>
      <c r="E282" s="179"/>
    </row>
    <row r="283" spans="1:19" ht="17.5" customHeight="1" x14ac:dyDescent="0.35">
      <c r="B283" s="2">
        <f>C283/1000000</f>
        <v>966.97674418604663</v>
      </c>
      <c r="C283" s="2">
        <f>C284</f>
        <v>966976744.1860466</v>
      </c>
      <c r="D283" s="243">
        <f>D284</f>
        <v>0.47291487532244192</v>
      </c>
      <c r="E283" s="6"/>
      <c r="F283" s="2">
        <f>F284</f>
        <v>460465.1162790698</v>
      </c>
    </row>
    <row r="284" spans="1:19" s="114" customFormat="1" x14ac:dyDescent="0.35">
      <c r="A284" s="114" t="s">
        <v>326</v>
      </c>
      <c r="B284" s="114">
        <f>2100</f>
        <v>2100</v>
      </c>
      <c r="C284" s="114">
        <f>B284*F284</f>
        <v>966976744.1860466</v>
      </c>
      <c r="D284" s="322">
        <f>'[2]GAP analysis Sc. 1'!$I$24</f>
        <v>0.47291487532244192</v>
      </c>
      <c r="E284" s="114">
        <f>'[1]Conversion factors selected IV '!$O$12</f>
        <v>0.97367441860465131</v>
      </c>
      <c r="F284" s="114">
        <f>D284*E284*1000000</f>
        <v>460465.1162790698</v>
      </c>
      <c r="G284" s="301">
        <f>'LCoP CONVENTIONAL'!$B$45</f>
        <v>2903</v>
      </c>
      <c r="H284" s="114">
        <f>G284*F284</f>
        <v>1336730232.5581396</v>
      </c>
      <c r="I284" s="309">
        <f>'LCoP CONVENTIONAL'!$C$45</f>
        <v>0.67550809507406129</v>
      </c>
      <c r="K284" s="114">
        <f>I284*G284</f>
        <v>1961</v>
      </c>
      <c r="L284" s="114">
        <f>I284*H284</f>
        <v>902972093.02325583</v>
      </c>
      <c r="M284" s="309">
        <f>'LCoP CONVENTIONAL'!$F$45</f>
        <v>0.12952118498105408</v>
      </c>
      <c r="O284" s="114">
        <f>M284*H284</f>
        <v>173134883.72093025</v>
      </c>
      <c r="P284" s="309">
        <f>'LCoP CONVENTIONAL'!$I$45</f>
        <v>0.1949707199448846</v>
      </c>
      <c r="R284" s="114">
        <f>P284*H284</f>
        <v>260623255.81395349</v>
      </c>
      <c r="S284" s="114">
        <f>SUM(L284,O284,R284)</f>
        <v>1336730232.5581396</v>
      </c>
    </row>
    <row r="285" spans="1:19" x14ac:dyDescent="0.35">
      <c r="D285" s="243"/>
      <c r="H285" s="192" t="s">
        <v>254</v>
      </c>
      <c r="I285" s="18" t="s">
        <v>268</v>
      </c>
      <c r="J285" s="154" t="s">
        <v>178</v>
      </c>
      <c r="K285" s="59">
        <f>'Feedtstocks only CONVENTIONAL'!J37</f>
        <v>0.42676656092472537</v>
      </c>
      <c r="L285" s="102">
        <f>K285*L284</f>
        <v>385358294.75053608</v>
      </c>
      <c r="M285" t="str">
        <f>'LCoP CONVENTIONAL'!$F$46</f>
        <v>Machinery and equipment</v>
      </c>
      <c r="N285" s="59">
        <f>'LCoP CONVENTIONAL'!$G$46</f>
        <v>0.6</v>
      </c>
      <c r="O285" s="2">
        <f>N285*$O$284</f>
        <v>103880930.23255815</v>
      </c>
      <c r="P285" t="str">
        <f>'LCoP CONVENTIONAL'!$I$46</f>
        <v>Chemical and chemical products</v>
      </c>
      <c r="Q285" s="59">
        <f>'LCoP CONVENTIONAL'!$J$46</f>
        <v>0.15</v>
      </c>
      <c r="R285" s="2">
        <f t="shared" ref="R285:R290" si="51">Q285*$R$284</f>
        <v>39093488.372093022</v>
      </c>
    </row>
    <row r="286" spans="1:19" x14ac:dyDescent="0.35">
      <c r="D286" s="243"/>
      <c r="H286" s="191" t="s">
        <v>252</v>
      </c>
      <c r="I286" s="18" t="s">
        <v>269</v>
      </c>
      <c r="J286" s="154" t="s">
        <v>178</v>
      </c>
      <c r="K286" s="59">
        <f>'Feedtstocks only CONVENTIONAL'!J38</f>
        <v>0.28451104061648358</v>
      </c>
      <c r="L286" s="102">
        <f>K286*L284</f>
        <v>256905529.83369073</v>
      </c>
      <c r="M286" t="str">
        <f>'LCoP CONVENTIONAL'!$F$47</f>
        <v>Architectural and engineering services</v>
      </c>
      <c r="N286" s="59">
        <f>'LCoP CONVENTIONAL'!$G$47</f>
        <v>0.25</v>
      </c>
      <c r="O286" s="2">
        <f>N286*$O$284</f>
        <v>43283720.930232562</v>
      </c>
      <c r="P286" t="str">
        <f>'LCoP CONVENTIONAL'!$I$47</f>
        <v>Electricity, gas, steam &amp; AC</v>
      </c>
      <c r="Q286" s="59">
        <f>'LCoP CONVENTIONAL'!$J$47</f>
        <v>0.4</v>
      </c>
      <c r="R286" s="2">
        <f t="shared" si="51"/>
        <v>104249302.3255814</v>
      </c>
    </row>
    <row r="287" spans="1:19" x14ac:dyDescent="0.35">
      <c r="D287" s="243"/>
      <c r="H287" s="192" t="s">
        <v>254</v>
      </c>
      <c r="I287" s="18" t="s">
        <v>267</v>
      </c>
      <c r="J287" s="154" t="s">
        <v>178</v>
      </c>
      <c r="K287" s="59">
        <f>'Feedtstocks only CONVENTIONAL'!J39</f>
        <v>0.288722398458791</v>
      </c>
      <c r="L287" s="102">
        <f>K287*L284</f>
        <v>260708268.43902895</v>
      </c>
      <c r="M287" t="str">
        <f>'LCoP CONVENTIONAL'!$F$48</f>
        <v>Constructions and construction works</v>
      </c>
      <c r="N287" s="59">
        <f>'LCoP CONVENTIONAL'!$G$48</f>
        <v>7.0000000000000007E-2</v>
      </c>
      <c r="O287" s="2">
        <f>N287*$O$284</f>
        <v>12119441.860465119</v>
      </c>
      <c r="P287" t="str">
        <f>'LCoP CONVENTIONAL'!$I$48</f>
        <v>Legal and accounting services; services of head offices; management consultancy services</v>
      </c>
      <c r="Q287" s="59">
        <f>'LCoP CONVENTIONAL'!$J$48</f>
        <v>0.2</v>
      </c>
      <c r="R287" s="2">
        <f t="shared" si="51"/>
        <v>52124651.162790701</v>
      </c>
    </row>
    <row r="288" spans="1:19" x14ac:dyDescent="0.35">
      <c r="D288" s="243"/>
      <c r="H288" s="18"/>
      <c r="I288" s="18"/>
      <c r="J288" s="18"/>
      <c r="K288" s="61">
        <f>SUM(K285:K287)</f>
        <v>1</v>
      </c>
      <c r="L288" s="102">
        <f>SUM(L285:L287)</f>
        <v>902972093.02325583</v>
      </c>
      <c r="M288" t="str">
        <f>'LCoP CONVENTIONAL'!$F$49</f>
        <v>Fabricated metal products</v>
      </c>
      <c r="N288" s="59">
        <f>'LCoP CONVENTIONAL'!$G$49</f>
        <v>0.05</v>
      </c>
      <c r="O288" s="2">
        <f>N288*$O$284</f>
        <v>8656744.1860465128</v>
      </c>
      <c r="P288" t="str">
        <f>'LCoP CONVENTIONAL'!$I$49</f>
        <v>Repair and installation services</v>
      </c>
      <c r="Q288" s="59">
        <f>'LCoP CONVENTIONAL'!$J$49</f>
        <v>0.15</v>
      </c>
      <c r="R288" s="2">
        <f t="shared" si="51"/>
        <v>39093488.372093022</v>
      </c>
    </row>
    <row r="289" spans="13:18" x14ac:dyDescent="0.35">
      <c r="M289" t="str">
        <f>'LCoP CONVENTIONAL'!$F$50</f>
        <v>Computer, electronic and optical products</v>
      </c>
      <c r="N289" s="59">
        <f>'LCoP CONVENTIONAL'!$G$50</f>
        <v>0.03</v>
      </c>
      <c r="O289" s="2">
        <f>N289*$O$284</f>
        <v>5194046.5116279069</v>
      </c>
      <c r="P289" s="299" t="str">
        <f>'LCoP CONVENTIONAL'!$I$50</f>
        <v>Land transport services and transport services via pipelines</v>
      </c>
      <c r="Q289" s="59">
        <f>'LCoP CONVENTIONAL'!$J$50</f>
        <v>0.1</v>
      </c>
      <c r="R289" s="2">
        <f t="shared" si="51"/>
        <v>26062325.58139535</v>
      </c>
    </row>
    <row r="290" spans="13:18" x14ac:dyDescent="0.35">
      <c r="P290" t="str">
        <f>'LCoP CONVENTIONAL'!$I$51</f>
        <v>Waste management services</v>
      </c>
      <c r="Q290" s="59">
        <f>'LCoP CONVENTIONAL'!$J$51</f>
        <v>0</v>
      </c>
      <c r="R290" s="2">
        <f t="shared" si="51"/>
        <v>0</v>
      </c>
    </row>
  </sheetData>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090A-371B-41E7-8CB1-C0C9E0A58BC5}">
  <dimension ref="A1:H119"/>
  <sheetViews>
    <sheetView topLeftCell="A4" workbookViewId="0">
      <selection activeCell="H11" sqref="H11"/>
    </sheetView>
  </sheetViews>
  <sheetFormatPr baseColWidth="10" defaultRowHeight="14.5" x14ac:dyDescent="0.35"/>
  <cols>
    <col min="4" max="4" width="37.90625" customWidth="1"/>
    <col min="5" max="5" width="40" customWidth="1"/>
    <col min="7" max="7" width="19.36328125" customWidth="1"/>
    <col min="8" max="8" width="10.90625" customWidth="1"/>
  </cols>
  <sheetData>
    <row r="1" spans="1:8" x14ac:dyDescent="0.35">
      <c r="B1" t="s">
        <v>421</v>
      </c>
    </row>
    <row r="2" spans="1:8" x14ac:dyDescent="0.35">
      <c r="A2" s="33" t="s">
        <v>152</v>
      </c>
    </row>
    <row r="3" spans="1:8" x14ac:dyDescent="0.35">
      <c r="A3" s="80" t="s">
        <v>62</v>
      </c>
    </row>
    <row r="4" spans="1:8" x14ac:dyDescent="0.35">
      <c r="A4" t="s">
        <v>384</v>
      </c>
    </row>
    <row r="5" spans="1:8" x14ac:dyDescent="0.35">
      <c r="A5" s="80" t="s">
        <v>63</v>
      </c>
    </row>
    <row r="6" spans="1:8" x14ac:dyDescent="0.35">
      <c r="A6" t="s">
        <v>132</v>
      </c>
    </row>
    <row r="7" spans="1:8" x14ac:dyDescent="0.35">
      <c r="A7" t="s">
        <v>131</v>
      </c>
    </row>
    <row r="8" spans="1:8" x14ac:dyDescent="0.35">
      <c r="A8" s="80" t="s">
        <v>74</v>
      </c>
      <c r="G8" s="78" t="s">
        <v>422</v>
      </c>
    </row>
    <row r="9" spans="1:8" x14ac:dyDescent="0.35">
      <c r="A9" t="s">
        <v>66</v>
      </c>
      <c r="D9" s="78" t="s">
        <v>422</v>
      </c>
      <c r="E9" s="78" t="s">
        <v>40</v>
      </c>
      <c r="G9" t="s">
        <v>78</v>
      </c>
      <c r="H9" t="s">
        <v>432</v>
      </c>
    </row>
    <row r="10" spans="1:8" x14ac:dyDescent="0.35">
      <c r="A10" t="s">
        <v>132</v>
      </c>
      <c r="D10" t="str" cm="1">
        <f t="array" ref="D10:D35">_xlfn._xlws.SORT(_xlfn.UNIQUE(_xlfn._xlws.FILTER(A2:A119,(A2:A119&lt;&gt;"")*(UPPER(LEFT(TRIM(A2:A119),3))&lt;&gt;"IVC"))))</f>
        <v>Agroprocessing residues</v>
      </c>
      <c r="E10" s="329" t="s">
        <v>178</v>
      </c>
      <c r="G10" t="str" cm="1">
        <f t="array" ref="G10:G18">_xlfn._xlws.SORT(_xlfn.UNIQUE(_xlfn._xlws.FILTER(E10:E35,E10:E35&lt;&gt;"")))</f>
        <v>Advanced biodiesel</v>
      </c>
      <c r="H10" t="s">
        <v>432</v>
      </c>
    </row>
    <row r="11" spans="1:8" x14ac:dyDescent="0.35">
      <c r="A11" t="s">
        <v>131</v>
      </c>
      <c r="D11" t="str">
        <v>Agroprocessing residues - maize cobs</v>
      </c>
      <c r="E11" s="329" t="s">
        <v>178</v>
      </c>
      <c r="G11" t="str">
        <v>Advanced biogas</v>
      </c>
      <c r="H11" t="s">
        <v>431</v>
      </c>
    </row>
    <row r="12" spans="1:8" x14ac:dyDescent="0.35">
      <c r="A12" s="80" t="s">
        <v>75</v>
      </c>
      <c r="D12" t="str">
        <v>Biowastes - Post consumer wood</v>
      </c>
      <c r="E12" s="330" t="s">
        <v>180</v>
      </c>
      <c r="G12" t="str">
        <v>Advanced bio-HFO</v>
      </c>
      <c r="H12" t="s">
        <v>430</v>
      </c>
    </row>
    <row r="13" spans="1:8" x14ac:dyDescent="0.35">
      <c r="A13" s="7" t="s">
        <v>4</v>
      </c>
      <c r="D13" t="str">
        <v>Biowastes (post consumer woods excluded)</v>
      </c>
      <c r="E13" s="330" t="s">
        <v>180</v>
      </c>
      <c r="G13" t="str">
        <v>Chemicals and chemical products</v>
      </c>
      <c r="H13" t="s">
        <v>429</v>
      </c>
    </row>
    <row r="14" spans="1:8" x14ac:dyDescent="0.35">
      <c r="A14" s="7" t="s">
        <v>7</v>
      </c>
      <c r="D14" t="str">
        <v>e-biofuel feedstocks (biogenic CO2 and hydrogen from electrolysis)</v>
      </c>
      <c r="E14" s="331" t="s">
        <v>177</v>
      </c>
      <c r="G14" t="str">
        <v>Food, beverages and tobacco products</v>
      </c>
      <c r="H14" t="s">
        <v>428</v>
      </c>
    </row>
    <row r="15" spans="1:8" x14ac:dyDescent="0.35">
      <c r="A15" s="7" t="s">
        <v>8</v>
      </c>
      <c r="D15" t="str">
        <v>Feedstock</v>
      </c>
      <c r="G15" t="str">
        <v>Paper and paper products</v>
      </c>
      <c r="H15" t="s">
        <v>427</v>
      </c>
    </row>
    <row r="16" spans="1:8" x14ac:dyDescent="0.35">
      <c r="A16" s="7" t="s">
        <v>10</v>
      </c>
      <c r="D16" t="str">
        <v>FPBO, biocrude</v>
      </c>
      <c r="E16" s="331" t="s">
        <v>177</v>
      </c>
      <c r="G16" t="str">
        <v>Products of agriculture, hunting and related services</v>
      </c>
      <c r="H16" t="s">
        <v>424</v>
      </c>
    </row>
    <row r="17" spans="1:8" x14ac:dyDescent="0.35">
      <c r="A17" s="80" t="s">
        <v>17</v>
      </c>
      <c r="D17" t="str">
        <v xml:space="preserve">HEFA (with imported POME ) </v>
      </c>
      <c r="E17" s="332" t="s">
        <v>77</v>
      </c>
      <c r="G17" t="str">
        <v>Products of forestry, logging and related services</v>
      </c>
      <c r="H17" t="s">
        <v>425</v>
      </c>
    </row>
    <row r="18" spans="1:8" x14ac:dyDescent="0.35">
      <c r="A18" s="35" t="s">
        <v>16</v>
      </c>
      <c r="D18" t="str">
        <v>Imported POME</v>
      </c>
      <c r="E18" s="329" t="s">
        <v>178</v>
      </c>
      <c r="G18" t="str">
        <v>Sewerage services; sewage sludge; waste collection, treatment and disposal services; materials recovery services; remediation services and other waste management services</v>
      </c>
      <c r="H18" t="s">
        <v>426</v>
      </c>
    </row>
    <row r="19" spans="1:8" x14ac:dyDescent="0.35">
      <c r="A19" s="79" t="s">
        <v>206</v>
      </c>
      <c r="D19" t="str">
        <v>Intermediate Bioenergy carrier (biomethane)</v>
      </c>
      <c r="E19" s="333" t="s">
        <v>79</v>
      </c>
    </row>
    <row r="20" spans="1:8" x14ac:dyDescent="0.35">
      <c r="A20" s="5" t="s">
        <v>19</v>
      </c>
      <c r="D20" t="str">
        <v>Intermediate Bioenergy carrier (crude glycerine)</v>
      </c>
      <c r="E20" s="331" t="s">
        <v>177</v>
      </c>
    </row>
    <row r="21" spans="1:8" x14ac:dyDescent="0.35">
      <c r="A21" s="5" t="s">
        <v>7</v>
      </c>
      <c r="D21" t="str">
        <v>Intermediate Bioenergy carrier (ethanol, methanol)</v>
      </c>
      <c r="E21" s="241" t="s">
        <v>81</v>
      </c>
    </row>
    <row r="22" spans="1:8" x14ac:dyDescent="0.35">
      <c r="A22" s="5" t="s">
        <v>8</v>
      </c>
      <c r="D22" t="str">
        <v>Intermediate Bioenergy carrier (FPBO with lower quality)</v>
      </c>
      <c r="E22" s="332" t="s">
        <v>77</v>
      </c>
    </row>
    <row r="23" spans="1:8" x14ac:dyDescent="0.35">
      <c r="A23" s="5" t="s">
        <v>20</v>
      </c>
      <c r="D23" t="str">
        <v>Intermediate Bioenergy carriers (FPBO with lower quality )</v>
      </c>
      <c r="E23" s="332" t="s">
        <v>77</v>
      </c>
    </row>
    <row r="24" spans="1:8" x14ac:dyDescent="0.35">
      <c r="A24" s="5" t="s">
        <v>4</v>
      </c>
      <c r="D24" t="str">
        <v>Intermediate Bioenergy carriers (Syngas)</v>
      </c>
      <c r="E24" s="333" t="s">
        <v>79</v>
      </c>
    </row>
    <row r="25" spans="1:8" x14ac:dyDescent="0.35">
      <c r="A25" s="5" t="s">
        <v>21</v>
      </c>
      <c r="D25" t="str">
        <v>Lignocrops abandoned degraded</v>
      </c>
      <c r="E25" s="43" t="s">
        <v>179</v>
      </c>
    </row>
    <row r="26" spans="1:8" x14ac:dyDescent="0.35">
      <c r="A26" s="5" t="s">
        <v>22</v>
      </c>
      <c r="D26" t="str">
        <v>Lignocrops inter &amp; cover cropping</v>
      </c>
      <c r="E26" s="43" t="s">
        <v>179</v>
      </c>
    </row>
    <row r="27" spans="1:8" x14ac:dyDescent="0.35">
      <c r="A27" s="12" t="s">
        <v>23</v>
      </c>
      <c r="D27" t="str">
        <v xml:space="preserve">Manure </v>
      </c>
      <c r="E27" s="43" t="s">
        <v>179</v>
      </c>
    </row>
    <row r="28" spans="1:8" x14ac:dyDescent="0.35">
      <c r="A28" s="13" t="s">
        <v>24</v>
      </c>
      <c r="D28" t="str">
        <v>Oil crops abandoned</v>
      </c>
      <c r="E28" s="43" t="s">
        <v>179</v>
      </c>
    </row>
    <row r="29" spans="1:8" x14ac:dyDescent="0.35">
      <c r="A29" s="81" t="s">
        <v>26</v>
      </c>
      <c r="D29" t="str">
        <v>Primary forestry residues</v>
      </c>
      <c r="E29" s="334" t="s">
        <v>222</v>
      </c>
    </row>
    <row r="30" spans="1:8" x14ac:dyDescent="0.35">
      <c r="A30" s="5" t="s">
        <v>4</v>
      </c>
      <c r="D30" t="str">
        <v>Prunings &amp; damaged crops</v>
      </c>
      <c r="E30" s="43" t="s">
        <v>179</v>
      </c>
    </row>
    <row r="31" spans="1:8" x14ac:dyDescent="0.35">
      <c r="A31" s="5" t="s">
        <v>5</v>
      </c>
      <c r="D31" t="str">
        <v>Prunings &amp; damaged crops (olive stones excluded)</v>
      </c>
      <c r="E31" s="43" t="s">
        <v>179</v>
      </c>
    </row>
    <row r="32" spans="1:8" x14ac:dyDescent="0.35">
      <c r="A32" s="5" t="s">
        <v>22</v>
      </c>
      <c r="D32" t="str">
        <v>Secondary forest residues</v>
      </c>
      <c r="E32" s="335" t="s">
        <v>176</v>
      </c>
    </row>
    <row r="33" spans="1:5" x14ac:dyDescent="0.35">
      <c r="A33" s="5" t="s">
        <v>6</v>
      </c>
      <c r="D33" t="str">
        <v>Sewage sludge</v>
      </c>
      <c r="E33" s="330" t="s">
        <v>180</v>
      </c>
    </row>
    <row r="34" spans="1:5" x14ac:dyDescent="0.35">
      <c r="A34" s="5" t="s">
        <v>7</v>
      </c>
      <c r="D34" t="str">
        <v>Straw</v>
      </c>
      <c r="E34" s="43" t="s">
        <v>179</v>
      </c>
    </row>
    <row r="35" spans="1:5" x14ac:dyDescent="0.35">
      <c r="A35" s="5" t="s">
        <v>8</v>
      </c>
      <c r="D35" t="str">
        <v>Tall oil</v>
      </c>
      <c r="E35" s="43" t="s">
        <v>179</v>
      </c>
    </row>
    <row r="36" spans="1:5" x14ac:dyDescent="0.35">
      <c r="A36" s="5" t="s">
        <v>9</v>
      </c>
    </row>
    <row r="37" spans="1:5" x14ac:dyDescent="0.35">
      <c r="A37" s="5" t="s">
        <v>10</v>
      </c>
    </row>
    <row r="38" spans="1:5" x14ac:dyDescent="0.35">
      <c r="A38" s="5" t="s">
        <v>11</v>
      </c>
    </row>
    <row r="39" spans="1:5" x14ac:dyDescent="0.35">
      <c r="A39" s="13" t="s">
        <v>25</v>
      </c>
      <c r="B39" t="s">
        <v>423</v>
      </c>
    </row>
    <row r="40" spans="1:5" x14ac:dyDescent="0.35">
      <c r="A40" s="81" t="s">
        <v>27</v>
      </c>
    </row>
    <row r="41" spans="1:5" x14ac:dyDescent="0.35">
      <c r="A41" s="13" t="s">
        <v>28</v>
      </c>
    </row>
    <row r="42" spans="1:5" x14ac:dyDescent="0.35">
      <c r="A42" s="81" t="s">
        <v>29</v>
      </c>
    </row>
    <row r="43" spans="1:5" x14ac:dyDescent="0.35">
      <c r="A43" s="15" t="s">
        <v>30</v>
      </c>
    </row>
    <row r="44" spans="1:5" x14ac:dyDescent="0.35">
      <c r="A44" s="81" t="s">
        <v>31</v>
      </c>
    </row>
    <row r="45" spans="1:5" x14ac:dyDescent="0.35">
      <c r="A45" s="5" t="s">
        <v>4</v>
      </c>
    </row>
    <row r="46" spans="1:5" x14ac:dyDescent="0.35">
      <c r="A46" s="5" t="s">
        <v>5</v>
      </c>
    </row>
    <row r="47" spans="1:5" x14ac:dyDescent="0.35">
      <c r="A47" s="5" t="s">
        <v>22</v>
      </c>
    </row>
    <row r="48" spans="1:5" x14ac:dyDescent="0.35">
      <c r="A48" s="5" t="s">
        <v>6</v>
      </c>
    </row>
    <row r="49" spans="1:2" x14ac:dyDescent="0.35">
      <c r="A49" s="5" t="s">
        <v>7</v>
      </c>
    </row>
    <row r="50" spans="1:2" x14ac:dyDescent="0.35">
      <c r="A50" s="5" t="s">
        <v>8</v>
      </c>
    </row>
    <row r="51" spans="1:2" x14ac:dyDescent="0.35">
      <c r="A51" s="5" t="s">
        <v>9</v>
      </c>
    </row>
    <row r="52" spans="1:2" x14ac:dyDescent="0.35">
      <c r="A52" s="5" t="s">
        <v>10</v>
      </c>
    </row>
    <row r="53" spans="1:2" x14ac:dyDescent="0.35">
      <c r="A53" s="5" t="s">
        <v>11</v>
      </c>
    </row>
    <row r="54" spans="1:2" x14ac:dyDescent="0.35">
      <c r="A54" s="13" t="s">
        <v>32</v>
      </c>
      <c r="B54" t="s">
        <v>423</v>
      </c>
    </row>
    <row r="55" spans="1:2" x14ac:dyDescent="0.35">
      <c r="A55" s="81" t="s">
        <v>33</v>
      </c>
    </row>
    <row r="56" spans="1:2" x14ac:dyDescent="0.35">
      <c r="A56" s="15" t="s">
        <v>30</v>
      </c>
    </row>
    <row r="57" spans="1:2" x14ac:dyDescent="0.35">
      <c r="A57" s="81" t="s">
        <v>306</v>
      </c>
    </row>
    <row r="58" spans="1:2" x14ac:dyDescent="0.35">
      <c r="A58" s="5" t="s">
        <v>4</v>
      </c>
    </row>
    <row r="59" spans="1:2" x14ac:dyDescent="0.35">
      <c r="A59" s="5" t="s">
        <v>5</v>
      </c>
    </row>
    <row r="60" spans="1:2" x14ac:dyDescent="0.35">
      <c r="A60" s="5" t="s">
        <v>22</v>
      </c>
    </row>
    <row r="61" spans="1:2" x14ac:dyDescent="0.35">
      <c r="A61" s="5" t="s">
        <v>6</v>
      </c>
    </row>
    <row r="62" spans="1:2" x14ac:dyDescent="0.35">
      <c r="A62" s="5" t="s">
        <v>7</v>
      </c>
    </row>
    <row r="63" spans="1:2" x14ac:dyDescent="0.35">
      <c r="A63" s="5" t="s">
        <v>8</v>
      </c>
    </row>
    <row r="64" spans="1:2" x14ac:dyDescent="0.35">
      <c r="A64" s="5" t="s">
        <v>9</v>
      </c>
    </row>
    <row r="65" spans="1:2" x14ac:dyDescent="0.35">
      <c r="A65" s="5" t="s">
        <v>10</v>
      </c>
    </row>
    <row r="66" spans="1:2" x14ac:dyDescent="0.35">
      <c r="A66" s="5" t="s">
        <v>11</v>
      </c>
    </row>
    <row r="67" spans="1:2" x14ac:dyDescent="0.35">
      <c r="A67" s="13" t="s">
        <v>32</v>
      </c>
      <c r="B67" t="s">
        <v>423</v>
      </c>
    </row>
    <row r="68" spans="1:2" x14ac:dyDescent="0.35">
      <c r="A68" s="81" t="s">
        <v>305</v>
      </c>
    </row>
    <row r="69" spans="1:2" x14ac:dyDescent="0.35">
      <c r="A69" s="5" t="s">
        <v>4</v>
      </c>
    </row>
    <row r="70" spans="1:2" x14ac:dyDescent="0.35">
      <c r="A70" s="5" t="s">
        <v>5</v>
      </c>
    </row>
    <row r="71" spans="1:2" x14ac:dyDescent="0.35">
      <c r="A71" s="5" t="s">
        <v>22</v>
      </c>
    </row>
    <row r="72" spans="1:2" x14ac:dyDescent="0.35">
      <c r="A72" s="5" t="s">
        <v>6</v>
      </c>
    </row>
    <row r="73" spans="1:2" x14ac:dyDescent="0.35">
      <c r="A73" s="5" t="s">
        <v>7</v>
      </c>
    </row>
    <row r="74" spans="1:2" x14ac:dyDescent="0.35">
      <c r="A74" s="5" t="s">
        <v>8</v>
      </c>
    </row>
    <row r="75" spans="1:2" x14ac:dyDescent="0.35">
      <c r="A75" s="5" t="s">
        <v>9</v>
      </c>
    </row>
    <row r="76" spans="1:2" x14ac:dyDescent="0.35">
      <c r="A76" s="5" t="s">
        <v>10</v>
      </c>
    </row>
    <row r="77" spans="1:2" x14ac:dyDescent="0.35">
      <c r="A77" s="5" t="s">
        <v>11</v>
      </c>
    </row>
    <row r="78" spans="1:2" x14ac:dyDescent="0.35">
      <c r="A78" s="13" t="s">
        <v>32</v>
      </c>
      <c r="B78" t="s">
        <v>423</v>
      </c>
    </row>
    <row r="79" spans="1:2" x14ac:dyDescent="0.35">
      <c r="A79" s="81" t="s">
        <v>139</v>
      </c>
    </row>
    <row r="80" spans="1:2" x14ac:dyDescent="0.35">
      <c r="A80" s="16" t="s">
        <v>36</v>
      </c>
    </row>
    <row r="81" spans="1:1" x14ac:dyDescent="0.35">
      <c r="A81" s="81" t="s">
        <v>188</v>
      </c>
    </row>
    <row r="82" spans="1:1" x14ac:dyDescent="0.35">
      <c r="A82" s="16" t="s">
        <v>36</v>
      </c>
    </row>
    <row r="83" spans="1:1" x14ac:dyDescent="0.35">
      <c r="A83" s="82" t="s">
        <v>193</v>
      </c>
    </row>
    <row r="84" spans="1:1" x14ac:dyDescent="0.35">
      <c r="A84" s="5" t="s">
        <v>4</v>
      </c>
    </row>
    <row r="85" spans="1:1" x14ac:dyDescent="0.35">
      <c r="A85" s="5" t="s">
        <v>5</v>
      </c>
    </row>
    <row r="86" spans="1:1" x14ac:dyDescent="0.35">
      <c r="A86" s="5" t="s">
        <v>6</v>
      </c>
    </row>
    <row r="87" spans="1:1" x14ac:dyDescent="0.35">
      <c r="A87" s="5" t="s">
        <v>7</v>
      </c>
    </row>
    <row r="88" spans="1:1" x14ac:dyDescent="0.35">
      <c r="A88" s="5" t="s">
        <v>8</v>
      </c>
    </row>
    <row r="89" spans="1:1" x14ac:dyDescent="0.35">
      <c r="A89" s="5" t="s">
        <v>9</v>
      </c>
    </row>
    <row r="90" spans="1:1" x14ac:dyDescent="0.35">
      <c r="A90" s="5" t="s">
        <v>10</v>
      </c>
    </row>
    <row r="91" spans="1:1" x14ac:dyDescent="0.35">
      <c r="A91" s="5" t="s">
        <v>11</v>
      </c>
    </row>
    <row r="92" spans="1:1" x14ac:dyDescent="0.35">
      <c r="A92" s="82" t="s">
        <v>196</v>
      </c>
    </row>
    <row r="93" spans="1:1" x14ac:dyDescent="0.35">
      <c r="A93" s="5" t="s">
        <v>4</v>
      </c>
    </row>
    <row r="94" spans="1:1" x14ac:dyDescent="0.35">
      <c r="A94" s="5" t="s">
        <v>5</v>
      </c>
    </row>
    <row r="95" spans="1:1" x14ac:dyDescent="0.35">
      <c r="A95" s="5" t="s">
        <v>6</v>
      </c>
    </row>
    <row r="96" spans="1:1" x14ac:dyDescent="0.35">
      <c r="A96" s="5" t="s">
        <v>7</v>
      </c>
    </row>
    <row r="97" spans="1:1" x14ac:dyDescent="0.35">
      <c r="A97" s="5" t="s">
        <v>8</v>
      </c>
    </row>
    <row r="98" spans="1:1" x14ac:dyDescent="0.35">
      <c r="A98" s="5" t="s">
        <v>9</v>
      </c>
    </row>
    <row r="99" spans="1:1" x14ac:dyDescent="0.35">
      <c r="A99" s="5" t="s">
        <v>10</v>
      </c>
    </row>
    <row r="100" spans="1:1" x14ac:dyDescent="0.35">
      <c r="A100" s="5" t="s">
        <v>11</v>
      </c>
    </row>
    <row r="101" spans="1:1" x14ac:dyDescent="0.35">
      <c r="A101" s="85" t="s">
        <v>194</v>
      </c>
    </row>
    <row r="102" spans="1:1" x14ac:dyDescent="0.35">
      <c r="A102" s="5" t="s">
        <v>4</v>
      </c>
    </row>
    <row r="103" spans="1:1" x14ac:dyDescent="0.35">
      <c r="A103" s="5" t="s">
        <v>5</v>
      </c>
    </row>
    <row r="104" spans="1:1" x14ac:dyDescent="0.35">
      <c r="A104" s="5" t="s">
        <v>6</v>
      </c>
    </row>
    <row r="105" spans="1:1" x14ac:dyDescent="0.35">
      <c r="A105" s="5" t="s">
        <v>7</v>
      </c>
    </row>
    <row r="106" spans="1:1" x14ac:dyDescent="0.35">
      <c r="A106" s="5" t="s">
        <v>8</v>
      </c>
    </row>
    <row r="107" spans="1:1" x14ac:dyDescent="0.35">
      <c r="A107" s="5" t="s">
        <v>9</v>
      </c>
    </row>
    <row r="108" spans="1:1" x14ac:dyDescent="0.35">
      <c r="A108" s="5" t="s">
        <v>10</v>
      </c>
    </row>
    <row r="109" spans="1:1" x14ac:dyDescent="0.35">
      <c r="A109" s="5" t="s">
        <v>11</v>
      </c>
    </row>
    <row r="110" spans="1:1" x14ac:dyDescent="0.35">
      <c r="A110" s="85" t="s">
        <v>195</v>
      </c>
    </row>
    <row r="111" spans="1:1" x14ac:dyDescent="0.35">
      <c r="A111" s="5" t="s">
        <v>4</v>
      </c>
    </row>
    <row r="112" spans="1:1" x14ac:dyDescent="0.35">
      <c r="A112" s="5" t="s">
        <v>5</v>
      </c>
    </row>
    <row r="113" spans="1:1" x14ac:dyDescent="0.35">
      <c r="A113" s="5" t="s">
        <v>6</v>
      </c>
    </row>
    <row r="114" spans="1:1" x14ac:dyDescent="0.35">
      <c r="A114" s="5" t="s">
        <v>7</v>
      </c>
    </row>
    <row r="115" spans="1:1" x14ac:dyDescent="0.35">
      <c r="A115" s="5" t="s">
        <v>8</v>
      </c>
    </row>
    <row r="116" spans="1:1" x14ac:dyDescent="0.35">
      <c r="A116" s="5" t="s">
        <v>9</v>
      </c>
    </row>
    <row r="117" spans="1:1" x14ac:dyDescent="0.35">
      <c r="A117" s="5" t="s">
        <v>10</v>
      </c>
    </row>
    <row r="118" spans="1:1" x14ac:dyDescent="0.35">
      <c r="A118" s="5" t="s">
        <v>11</v>
      </c>
    </row>
    <row r="119" spans="1:1" x14ac:dyDescent="0.35">
      <c r="A119" s="85" t="s">
        <v>418</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E0B6-AD04-48A8-83DE-0DE3D8AD46D0}">
  <sheetPr>
    <tabColor theme="5" tint="0.59999389629810485"/>
  </sheetPr>
  <dimension ref="A1:T281"/>
  <sheetViews>
    <sheetView topLeftCell="A114" zoomScale="77" zoomScaleNormal="77" workbookViewId="0">
      <selection activeCell="I132" sqref="I132"/>
    </sheetView>
  </sheetViews>
  <sheetFormatPr baseColWidth="10" defaultRowHeight="14.5" x14ac:dyDescent="0.35"/>
  <cols>
    <col min="1" max="1" width="20.26953125" customWidth="1"/>
    <col min="2" max="2" width="15.7265625" customWidth="1"/>
    <col min="3" max="3" width="25.6328125" customWidth="1"/>
    <col min="4" max="4" width="17" customWidth="1"/>
    <col min="5" max="5" width="17.6328125" customWidth="1"/>
    <col min="6" max="6" width="23" style="1" customWidth="1"/>
    <col min="7" max="7" width="18.1796875" customWidth="1"/>
    <col min="8" max="8" width="22" customWidth="1"/>
    <col min="10" max="10" width="13.26953125" customWidth="1"/>
    <col min="11" max="11" width="10.453125" customWidth="1"/>
    <col min="12" max="12" width="19" customWidth="1"/>
    <col min="13" max="13" width="15.7265625" bestFit="1" customWidth="1"/>
    <col min="14" max="14" width="14.7265625" bestFit="1" customWidth="1"/>
    <col min="15" max="15" width="22.81640625" customWidth="1"/>
    <col min="16" max="17" width="14.7265625" bestFit="1" customWidth="1"/>
    <col min="18" max="18" width="20.54296875" customWidth="1"/>
    <col min="19" max="19" width="19.1796875" customWidth="1"/>
  </cols>
  <sheetData>
    <row r="1" spans="1:19" s="46" customFormat="1" ht="24" customHeight="1" x14ac:dyDescent="0.35">
      <c r="A1" s="46" t="s">
        <v>311</v>
      </c>
      <c r="F1" s="224"/>
    </row>
    <row r="2" spans="1:19" s="46" customFormat="1" ht="24" customHeight="1" x14ac:dyDescent="0.35">
      <c r="A2" s="46" t="s">
        <v>286</v>
      </c>
      <c r="F2" s="224"/>
    </row>
    <row r="3" spans="1:19" s="46" customFormat="1" ht="24" customHeight="1" x14ac:dyDescent="0.35">
      <c r="A3" s="46" t="s">
        <v>313</v>
      </c>
      <c r="E3" s="46" t="s">
        <v>312</v>
      </c>
      <c r="F3" s="224"/>
    </row>
    <row r="4" spans="1:19" ht="19" customHeight="1" x14ac:dyDescent="0.35">
      <c r="C4" s="327">
        <f>C6+C201+C226</f>
        <v>55490742496.787514</v>
      </c>
    </row>
    <row r="5" spans="1:19" s="47" customFormat="1" ht="37" customHeight="1" x14ac:dyDescent="0.35">
      <c r="B5" s="47" t="s">
        <v>360</v>
      </c>
      <c r="C5" s="47" t="s">
        <v>361</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77" customFormat="1" ht="37" customHeight="1" x14ac:dyDescent="0.35">
      <c r="A6" s="177" t="s">
        <v>344</v>
      </c>
      <c r="C6" s="234">
        <f>C8+C48+C90+C123+C162</f>
        <v>37743027532.940887</v>
      </c>
      <c r="D6" s="234">
        <f>D8+D48+D90+D123+D162</f>
        <v>24.505633566296034</v>
      </c>
      <c r="F6" s="233"/>
      <c r="I6" s="184"/>
      <c r="M6" s="184"/>
      <c r="P6" s="184"/>
    </row>
    <row r="7" spans="1:19" s="91" customFormat="1" ht="40" customHeight="1" x14ac:dyDescent="0.35">
      <c r="A7" s="91" t="s">
        <v>77</v>
      </c>
      <c r="F7" s="169"/>
    </row>
    <row r="8" spans="1:19" s="200" customFormat="1" x14ac:dyDescent="0.35">
      <c r="A8" s="200" t="s">
        <v>156</v>
      </c>
      <c r="B8" s="276">
        <f>C8/1000000</f>
        <v>10212.747443181835</v>
      </c>
      <c r="C8" s="204">
        <f>C28+C9+C16</f>
        <v>10212747443.181835</v>
      </c>
      <c r="D8" s="204">
        <f>D28+D9+D16</f>
        <v>6.0684374999999999</v>
      </c>
      <c r="F8" s="204">
        <f>F28+F9+F16</f>
        <v>5835855.6818181919</v>
      </c>
      <c r="H8" s="204">
        <f>H28+H9+H16</f>
        <v>13293408961.465921</v>
      </c>
      <c r="L8" s="207">
        <f>L28+L9+L16</f>
        <v>1847311259.761354</v>
      </c>
      <c r="M8" s="207"/>
      <c r="N8" s="207"/>
      <c r="O8" s="207">
        <f>O9+O16+O28</f>
        <v>7621011460.2272873</v>
      </c>
      <c r="P8" s="218"/>
      <c r="Q8" s="207"/>
      <c r="R8" s="207">
        <f>R9+R16+R28</f>
        <v>3825086241.4772797</v>
      </c>
    </row>
    <row r="9" spans="1:19" s="201" customFormat="1" x14ac:dyDescent="0.35">
      <c r="A9" s="201" t="s">
        <v>294</v>
      </c>
      <c r="B9" s="201">
        <v>1750</v>
      </c>
      <c r="C9" s="202">
        <f>B9*F9</f>
        <v>0</v>
      </c>
      <c r="D9" s="203">
        <f>'[2]GAP analysis Sc. 2'!$C$38</f>
        <v>0</v>
      </c>
      <c r="E9" s="208">
        <f>'[1]Conversion factors selected IV '!$O$7</f>
        <v>0.95154545454545458</v>
      </c>
      <c r="F9" s="202">
        <f>D9*E9*1000000</f>
        <v>0</v>
      </c>
      <c r="G9" s="208">
        <f>'LCoP 2030 HIGH'!E3</f>
        <v>2245.1728622062474</v>
      </c>
      <c r="H9" s="202">
        <f>G9*F9</f>
        <v>0</v>
      </c>
      <c r="I9" s="201">
        <f>'LCoP 2030 HIGH'!H3</f>
        <v>0.74489714817006125</v>
      </c>
      <c r="L9" s="202">
        <f>I9*H9</f>
        <v>0</v>
      </c>
      <c r="M9" s="267">
        <f>'LCoP 2030 HIGH'!F3</f>
        <v>0.11981260085945622</v>
      </c>
      <c r="O9" s="202">
        <f>M9*H9</f>
        <v>0</v>
      </c>
      <c r="P9" s="268">
        <f>'LCoP 2030 HIGH'!G3</f>
        <v>0.13529025097048261</v>
      </c>
      <c r="R9" s="202">
        <f>P9*H9</f>
        <v>0</v>
      </c>
      <c r="S9" s="202">
        <f>L9+O9+R9</f>
        <v>0</v>
      </c>
    </row>
    <row r="10" spans="1:19" x14ac:dyDescent="0.35">
      <c r="C10">
        <f>C9/C8</f>
        <v>0</v>
      </c>
      <c r="F10" s="147" t="s">
        <v>179</v>
      </c>
      <c r="G10" s="276" t="e">
        <f>(SUMIF($J$10:$J$12,F10,$L$10:$L$12)/$L$9)</f>
        <v>#DIV/0!</v>
      </c>
      <c r="I10" s="102" t="s">
        <v>132</v>
      </c>
      <c r="J10" s="147" t="s">
        <v>179</v>
      </c>
      <c r="K10" s="2">
        <f>'Feedstock MIX per IVC'!J6</f>
        <v>179.86731245421893</v>
      </c>
      <c r="L10" s="1">
        <f>K10*F$9</f>
        <v>0</v>
      </c>
      <c r="M10" s="5" t="s">
        <v>211</v>
      </c>
      <c r="N10" s="265">
        <v>0.05</v>
      </c>
      <c r="O10" s="2">
        <f t="shared" ref="O10:O15" si="0">N10*O$9</f>
        <v>0</v>
      </c>
      <c r="P10" s="18" t="s">
        <v>217</v>
      </c>
      <c r="Q10" s="265">
        <v>0.35</v>
      </c>
      <c r="R10" s="102">
        <f>Q10*R$9</f>
        <v>0</v>
      </c>
    </row>
    <row r="11" spans="1:19" x14ac:dyDescent="0.35">
      <c r="F11" s="151" t="s">
        <v>77</v>
      </c>
      <c r="G11" s="276" t="e">
        <f>(SUMIF($J$10:$J$12,F11,$L$10:$L$12)/$L$9)/2</f>
        <v>#DIV/0!</v>
      </c>
      <c r="I11" s="216" t="s">
        <v>300</v>
      </c>
      <c r="J11" s="151" t="s">
        <v>77</v>
      </c>
      <c r="K11" s="6">
        <f>'Feedstock MIX per IVC'!J7*0.85</f>
        <v>1268.6722172892244</v>
      </c>
      <c r="L11" s="1">
        <f>K11*F$9</f>
        <v>0</v>
      </c>
      <c r="M11" t="s">
        <v>212</v>
      </c>
      <c r="N11" s="265">
        <v>0.02</v>
      </c>
      <c r="O11" s="2">
        <f t="shared" si="0"/>
        <v>0</v>
      </c>
      <c r="P11" s="18" t="s">
        <v>177</v>
      </c>
      <c r="Q11" s="265">
        <v>0.25</v>
      </c>
      <c r="R11" s="102">
        <f>Q11*R$9</f>
        <v>0</v>
      </c>
    </row>
    <row r="12" spans="1:19" x14ac:dyDescent="0.35">
      <c r="F12" s="240" t="s">
        <v>177</v>
      </c>
      <c r="G12" s="276" t="e">
        <f t="shared" ref="G12" si="1">(SUMIF($J$10:$J$12,F12,$L$10:$L$12)/$L$9)</f>
        <v>#DIV/0!</v>
      </c>
      <c r="I12" s="217" t="s">
        <v>316</v>
      </c>
      <c r="J12" s="240" t="s">
        <v>177</v>
      </c>
      <c r="K12" s="77">
        <f>'Feedstock MIX per IVC'!J7*0.15</f>
        <v>223.88333246280428</v>
      </c>
      <c r="L12" s="1">
        <f>K12*F$9</f>
        <v>0</v>
      </c>
      <c r="M12" s="5" t="s">
        <v>210</v>
      </c>
      <c r="N12" s="265">
        <v>0.45</v>
      </c>
      <c r="O12" s="2">
        <f t="shared" si="0"/>
        <v>0</v>
      </c>
      <c r="P12" s="18" t="s">
        <v>218</v>
      </c>
      <c r="Q12" s="265">
        <v>0.2</v>
      </c>
      <c r="R12" s="102">
        <f>Q12*R$9</f>
        <v>0</v>
      </c>
      <c r="S12" s="2"/>
    </row>
    <row r="13" spans="1:19" x14ac:dyDescent="0.35">
      <c r="F13" s="190" t="s">
        <v>78</v>
      </c>
      <c r="G13" s="276" t="e">
        <f>G11</f>
        <v>#DIV/0!</v>
      </c>
      <c r="L13" s="2"/>
      <c r="M13" t="s">
        <v>213</v>
      </c>
      <c r="N13" s="265">
        <v>0.15</v>
      </c>
      <c r="O13" s="2">
        <f t="shared" si="0"/>
        <v>0</v>
      </c>
      <c r="P13" s="18" t="s">
        <v>219</v>
      </c>
      <c r="Q13" s="265">
        <v>0.15</v>
      </c>
      <c r="R13" s="102">
        <f>Q13*R$9</f>
        <v>0</v>
      </c>
    </row>
    <row r="14" spans="1:19" x14ac:dyDescent="0.35">
      <c r="F14"/>
      <c r="G14" s="2" t="e">
        <f>SUM(G10:G13)</f>
        <v>#DIV/0!</v>
      </c>
      <c r="M14" t="s">
        <v>214</v>
      </c>
      <c r="N14" s="265">
        <v>0.3</v>
      </c>
      <c r="O14" s="2">
        <f t="shared" si="0"/>
        <v>0</v>
      </c>
      <c r="P14" s="18" t="s">
        <v>220</v>
      </c>
      <c r="Q14" s="265">
        <v>0.05</v>
      </c>
      <c r="R14" s="102">
        <f>Q14*R$9</f>
        <v>0</v>
      </c>
    </row>
    <row r="15" spans="1:19" x14ac:dyDescent="0.35">
      <c r="F15" s="31"/>
      <c r="I15" t="s">
        <v>320</v>
      </c>
      <c r="L15" s="2">
        <f>SUM(L10:L12)</f>
        <v>0</v>
      </c>
      <c r="M15" t="s">
        <v>216</v>
      </c>
      <c r="N15" s="265">
        <v>0.03</v>
      </c>
      <c r="O15" s="2">
        <f t="shared" si="0"/>
        <v>0</v>
      </c>
      <c r="P15" s="18"/>
      <c r="Q15" s="265"/>
      <c r="R15" s="102"/>
    </row>
    <row r="16" spans="1:19" s="201" customFormat="1" x14ac:dyDescent="0.35">
      <c r="A16" s="201" t="s">
        <v>315</v>
      </c>
      <c r="B16" s="201">
        <v>1750</v>
      </c>
      <c r="C16" s="202">
        <f>B16*F16</f>
        <v>7992981818.1818361</v>
      </c>
      <c r="D16" s="208">
        <f>'[2]GAP analysis Sc. 2'!$C$39</f>
        <v>4.8</v>
      </c>
      <c r="E16" s="210">
        <f>'[1]Conversion factors selected IV '!$O$64</f>
        <v>0.95154545454545658</v>
      </c>
      <c r="F16" s="202">
        <f>D16*E16*1000000</f>
        <v>4567418.1818181919</v>
      </c>
      <c r="G16" s="203">
        <f>'LCoP 2030 HIGH'!E15</f>
        <v>2502.2770558784428</v>
      </c>
      <c r="H16" s="202">
        <f>G16*F16</f>
        <v>11428945720.965694</v>
      </c>
      <c r="I16" s="201">
        <f>'LCoP 2030 HIGH'!H15</f>
        <v>0.13628668938848684</v>
      </c>
      <c r="L16" s="202">
        <f>I16*H16</f>
        <v>1557613175.5111275</v>
      </c>
      <c r="M16" s="267">
        <f>'LCoP 2030 HIGH'!F15</f>
        <v>0.57747402375182721</v>
      </c>
      <c r="O16" s="202">
        <f>M16*H16</f>
        <v>6599919272.7272873</v>
      </c>
      <c r="P16" s="267">
        <f>'LCoP 2030 HIGH'!G15</f>
        <v>0.28623928685968597</v>
      </c>
      <c r="R16" s="202">
        <f>P16*H16</f>
        <v>3271413272.7272797</v>
      </c>
      <c r="S16" s="202">
        <f>L16+O16+R16</f>
        <v>11428945720.965694</v>
      </c>
    </row>
    <row r="17" spans="1:19" x14ac:dyDescent="0.35">
      <c r="C17">
        <f>C16/C8</f>
        <v>0.78264755519025941</v>
      </c>
      <c r="F17" s="147" t="s">
        <v>179</v>
      </c>
      <c r="G17" s="276">
        <f>(SUMIF($J$17:$J$26,F17,$L$17:$L$26)/$L$16)</f>
        <v>0.59771744897730239</v>
      </c>
      <c r="I17" s="5" t="s">
        <v>4</v>
      </c>
      <c r="J17" s="147" t="s">
        <v>179</v>
      </c>
      <c r="K17" s="6">
        <f>'Feedstock MIX per IVC'!J58</f>
        <v>181.54132056980592</v>
      </c>
      <c r="L17" s="2">
        <f t="shared" ref="L17:L26" si="2">K17*F$16</f>
        <v>829175128.32181644</v>
      </c>
      <c r="M17" s="5" t="s">
        <v>211</v>
      </c>
      <c r="N17" s="262">
        <v>0</v>
      </c>
      <c r="O17" s="2">
        <f t="shared" ref="O17:O22" si="3">N17*O$16</f>
        <v>0</v>
      </c>
      <c r="P17" s="18" t="s">
        <v>217</v>
      </c>
      <c r="Q17" s="262">
        <v>0.25</v>
      </c>
      <c r="R17" s="102">
        <f>Q17*R$16</f>
        <v>817853318.18181992</v>
      </c>
    </row>
    <row r="18" spans="1:19" x14ac:dyDescent="0.35">
      <c r="F18" s="171" t="s">
        <v>222</v>
      </c>
      <c r="G18" s="276">
        <f>(SUMIF($J$17:$J$26,F18,$L$17:$L$26)/$L$16)</f>
        <v>0.12919991412226317</v>
      </c>
      <c r="I18" s="5" t="s">
        <v>5</v>
      </c>
      <c r="J18" s="147" t="s">
        <v>179</v>
      </c>
      <c r="K18" s="6">
        <f>'Feedstock MIX per IVC'!J59</f>
        <v>8.4731123300720981</v>
      </c>
      <c r="L18" s="2">
        <f t="shared" si="2"/>
        <v>38700247.312959209</v>
      </c>
      <c r="M18" t="s">
        <v>212</v>
      </c>
      <c r="N18" s="262">
        <v>0.02</v>
      </c>
      <c r="O18" s="2">
        <f t="shared" si="3"/>
        <v>131998385.45454575</v>
      </c>
      <c r="P18" s="18" t="s">
        <v>177</v>
      </c>
      <c r="Q18" s="262">
        <v>0.15</v>
      </c>
      <c r="R18" s="102">
        <f>Q18*R$16</f>
        <v>490711990.90909195</v>
      </c>
    </row>
    <row r="19" spans="1:19" x14ac:dyDescent="0.35">
      <c r="F19" s="149" t="s">
        <v>176</v>
      </c>
      <c r="G19" s="276">
        <f t="shared" ref="G19:G23" si="4">(SUMIF($J$17:$J$26,F19,$L$17:$L$26)/$L$16)</f>
        <v>0.1491890105485317</v>
      </c>
      <c r="I19" s="5" t="s">
        <v>22</v>
      </c>
      <c r="J19" s="152" t="s">
        <v>180</v>
      </c>
      <c r="K19" s="6">
        <f>'Feedstock MIX per IVC'!J60</f>
        <v>0</v>
      </c>
      <c r="L19" s="2">
        <f t="shared" si="2"/>
        <v>0</v>
      </c>
      <c r="M19" s="5" t="s">
        <v>210</v>
      </c>
      <c r="N19" s="262">
        <v>0.55000000000000004</v>
      </c>
      <c r="O19" s="2">
        <f t="shared" si="3"/>
        <v>3629955600.0000081</v>
      </c>
      <c r="P19" s="18" t="s">
        <v>218</v>
      </c>
      <c r="Q19" s="262">
        <v>0.3</v>
      </c>
      <c r="R19" s="102">
        <f>Q19*R$16</f>
        <v>981423981.8181839</v>
      </c>
    </row>
    <row r="20" spans="1:19" x14ac:dyDescent="0.35">
      <c r="F20" s="150" t="s">
        <v>178</v>
      </c>
      <c r="G20" s="276">
        <f>(SUMIF($J$17:$J$26,F20,$L$17:$L$26)/$L$16)</f>
        <v>1.2600306201480688E-2</v>
      </c>
      <c r="I20" s="5" t="s">
        <v>6</v>
      </c>
      <c r="J20" s="150" t="s">
        <v>178</v>
      </c>
      <c r="K20" s="6">
        <f>'Feedstock MIX per IVC'!J61</f>
        <v>4.2970453270578419</v>
      </c>
      <c r="L20" s="2">
        <f t="shared" si="2"/>
        <v>19626402.954900887</v>
      </c>
      <c r="M20" t="s">
        <v>213</v>
      </c>
      <c r="N20" s="262">
        <v>0.1</v>
      </c>
      <c r="O20" s="2">
        <f t="shared" si="3"/>
        <v>659991927.2727288</v>
      </c>
      <c r="P20" s="18" t="s">
        <v>219</v>
      </c>
      <c r="Q20" s="262">
        <v>0.3</v>
      </c>
      <c r="R20" s="102">
        <f>Q20*R$16</f>
        <v>981423981.8181839</v>
      </c>
    </row>
    <row r="21" spans="1:19" x14ac:dyDescent="0.35">
      <c r="F21" s="152" t="s">
        <v>180</v>
      </c>
      <c r="G21" s="276">
        <f t="shared" si="4"/>
        <v>2.330878902955873E-2</v>
      </c>
      <c r="I21" s="5" t="s">
        <v>7</v>
      </c>
      <c r="J21" s="147" t="s">
        <v>179</v>
      </c>
      <c r="K21" s="6">
        <f>'Feedstock MIX per IVC'!J62</f>
        <v>8.1190082289891219</v>
      </c>
      <c r="L21" s="2">
        <f t="shared" si="2"/>
        <v>37082905.803416431</v>
      </c>
      <c r="M21" t="s">
        <v>214</v>
      </c>
      <c r="N21" s="262">
        <v>0.3</v>
      </c>
      <c r="O21" s="2">
        <f t="shared" si="3"/>
        <v>1979975781.818186</v>
      </c>
      <c r="P21" s="18" t="s">
        <v>220</v>
      </c>
      <c r="Q21" s="262">
        <v>0</v>
      </c>
      <c r="R21" s="102">
        <f>Q21*R$16</f>
        <v>0</v>
      </c>
    </row>
    <row r="22" spans="1:19" x14ac:dyDescent="0.35">
      <c r="F22" s="151" t="s">
        <v>77</v>
      </c>
      <c r="G22" s="276">
        <f>(SUMIF($J$17:$J$26,F22,$L$17:$L$26)/$L$16)/2</f>
        <v>4.399226556043169E-2</v>
      </c>
      <c r="I22" s="5" t="s">
        <v>8</v>
      </c>
      <c r="J22" s="147" t="s">
        <v>179</v>
      </c>
      <c r="K22" s="6">
        <f>'Feedstock MIX per IVC'!J63</f>
        <v>5.7043807430355322</v>
      </c>
      <c r="L22" s="2">
        <f t="shared" si="2"/>
        <v>26054292.321754057</v>
      </c>
      <c r="M22" t="s">
        <v>216</v>
      </c>
      <c r="N22" s="262">
        <v>0.03</v>
      </c>
      <c r="O22" s="2">
        <f t="shared" si="3"/>
        <v>197997578.1818186</v>
      </c>
      <c r="R22" s="102"/>
    </row>
    <row r="23" spans="1:19" x14ac:dyDescent="0.35">
      <c r="F23" s="239" t="s">
        <v>177</v>
      </c>
      <c r="G23" s="276">
        <f t="shared" si="4"/>
        <v>0</v>
      </c>
      <c r="I23" s="5" t="s">
        <v>9</v>
      </c>
      <c r="J23" s="171" t="s">
        <v>222</v>
      </c>
      <c r="K23" s="6">
        <f>'Feedstock MIX per IVC'!J64</f>
        <v>44.060666332863036</v>
      </c>
      <c r="L23" s="2">
        <f t="shared" si="2"/>
        <v>201243488.51174331</v>
      </c>
      <c r="N23" s="118"/>
      <c r="O23" s="2"/>
      <c r="P23" s="18"/>
      <c r="Q23" s="118"/>
      <c r="R23" s="2"/>
    </row>
    <row r="24" spans="1:19" x14ac:dyDescent="0.35">
      <c r="F24" s="190" t="s">
        <v>78</v>
      </c>
      <c r="G24" s="276">
        <f>G22</f>
        <v>4.399226556043169E-2</v>
      </c>
      <c r="I24" s="5" t="s">
        <v>10</v>
      </c>
      <c r="J24" s="149" t="s">
        <v>176</v>
      </c>
      <c r="K24" s="6">
        <f>'Feedstock MIX per IVC'!J65</f>
        <v>50.877489036783686</v>
      </c>
      <c r="L24" s="2">
        <f t="shared" si="2"/>
        <v>232378768.47186154</v>
      </c>
      <c r="N24" s="118"/>
      <c r="O24" s="2"/>
      <c r="P24" s="18"/>
      <c r="Q24" s="118"/>
      <c r="R24" s="102"/>
    </row>
    <row r="25" spans="1:19" x14ac:dyDescent="0.35">
      <c r="F25" s="31"/>
      <c r="G25" s="276">
        <f>SUM(G17:G24)</f>
        <v>1</v>
      </c>
      <c r="I25" s="5" t="s">
        <v>11</v>
      </c>
      <c r="J25" s="152" t="s">
        <v>180</v>
      </c>
      <c r="K25" s="6">
        <f>'Feedstock MIX per IVC'!J66</f>
        <v>7.9489276988421569</v>
      </c>
      <c r="L25" s="2">
        <f t="shared" si="2"/>
        <v>36306076.897649907</v>
      </c>
      <c r="M25" s="2"/>
      <c r="N25" s="118"/>
      <c r="O25" s="2"/>
      <c r="P25" s="18"/>
      <c r="Q25" s="118"/>
      <c r="R25" s="102"/>
    </row>
    <row r="26" spans="1:19" x14ac:dyDescent="0.35">
      <c r="F26" s="31"/>
      <c r="H26" s="276"/>
      <c r="I26" s="13" t="s">
        <v>32</v>
      </c>
      <c r="J26" s="151" t="s">
        <v>77</v>
      </c>
      <c r="K26" s="6">
        <f>'Feedstock MIX per IVC'!J67</f>
        <v>30.005105610993251</v>
      </c>
      <c r="L26" s="2">
        <f t="shared" si="2"/>
        <v>137045864.91502562</v>
      </c>
      <c r="M26" s="2"/>
      <c r="N26" s="118"/>
      <c r="O26" s="2"/>
      <c r="P26" s="18"/>
      <c r="Q26" s="118"/>
      <c r="R26" s="102"/>
    </row>
    <row r="27" spans="1:19" x14ac:dyDescent="0.35">
      <c r="F27" s="31"/>
      <c r="H27" s="276"/>
      <c r="I27" t="s">
        <v>320</v>
      </c>
      <c r="K27" s="6"/>
      <c r="L27" s="2">
        <f>SUM(L17:L26)</f>
        <v>1557613175.5111275</v>
      </c>
      <c r="M27" s="2"/>
      <c r="N27" s="118"/>
      <c r="O27" s="2"/>
      <c r="P27" s="18"/>
      <c r="Q27" s="118"/>
      <c r="R27" s="102"/>
    </row>
    <row r="28" spans="1:19" s="201" customFormat="1" x14ac:dyDescent="0.35">
      <c r="A28" s="201" t="s">
        <v>295</v>
      </c>
      <c r="B28" s="201">
        <v>1750</v>
      </c>
      <c r="C28" s="202">
        <f>B28*F28</f>
        <v>2219765625</v>
      </c>
      <c r="D28" s="203">
        <f>'[2]GAP analysis Sc. 2'!$C$40</f>
        <v>1.2684375000000001</v>
      </c>
      <c r="E28" s="201">
        <f>'[1]Conversion factors selected IV '!$O$89</f>
        <v>1</v>
      </c>
      <c r="F28" s="202">
        <f>D28*E28*1000000</f>
        <v>1268437.5</v>
      </c>
      <c r="G28" s="208">
        <f>'LCoP 2030 HIGH'!E19</f>
        <v>1469.8897190442781</v>
      </c>
      <c r="H28" s="277">
        <f>G28*F28</f>
        <v>1864463240.5002265</v>
      </c>
      <c r="I28" s="201">
        <f>'LCoP 2030 HIGH'!H19</f>
        <v>0.15537881249538701</v>
      </c>
      <c r="L28" s="202">
        <f>I28*H28</f>
        <v>289698084.25022638</v>
      </c>
      <c r="M28" s="267">
        <f>'LCoP 2030 HIGH'!F19</f>
        <v>0.5476601336618715</v>
      </c>
      <c r="O28" s="202">
        <f>M28*H28</f>
        <v>1021092187.5000001</v>
      </c>
      <c r="P28" s="268">
        <f>'LCoP 2030 HIGH'!G19</f>
        <v>0.29696105384274146</v>
      </c>
      <c r="R28" s="202">
        <f>P28*H28</f>
        <v>553672968.75</v>
      </c>
      <c r="S28" s="202">
        <f>L28+O28+R28</f>
        <v>1864463240.5002265</v>
      </c>
    </row>
    <row r="29" spans="1:19" x14ac:dyDescent="0.35">
      <c r="C29" s="262">
        <f>C28/C8</f>
        <v>0.21735244480974067</v>
      </c>
      <c r="D29" s="2"/>
      <c r="F29" s="147" t="s">
        <v>179</v>
      </c>
      <c r="G29" s="276">
        <f>(SUMIF($J$29:$J$36,F29,$L$29:$L$36)/$L$28)</f>
        <v>0.63900608381491464</v>
      </c>
      <c r="I29" s="12" t="s">
        <v>4</v>
      </c>
      <c r="J29" s="147" t="s">
        <v>179</v>
      </c>
      <c r="K29" s="6">
        <f>'Feedstock MIX per IVC'!J84</f>
        <v>129.97872230767516</v>
      </c>
      <c r="L29" s="2">
        <f t="shared" ref="L29:L36" si="5">K29*F$28</f>
        <v>164869885.5771417</v>
      </c>
      <c r="M29" s="5" t="s">
        <v>211</v>
      </c>
      <c r="N29" s="266">
        <v>0.15</v>
      </c>
      <c r="O29" s="2">
        <f t="shared" ref="O29:O34" si="6">N29*O$28</f>
        <v>153163828.125</v>
      </c>
      <c r="P29" s="18" t="s">
        <v>217</v>
      </c>
      <c r="Q29" s="265">
        <v>0.15</v>
      </c>
      <c r="R29" s="2">
        <f>Q29*R$28</f>
        <v>83050945.3125</v>
      </c>
    </row>
    <row r="30" spans="1:19" x14ac:dyDescent="0.35">
      <c r="D30" s="2"/>
      <c r="F30" s="171" t="s">
        <v>222</v>
      </c>
      <c r="G30" s="276">
        <f>(SUMIF($J$29:$J$36,F30,$L$29:$L$36)/$L$28)</f>
        <v>0.14815699121662482</v>
      </c>
      <c r="I30" s="12" t="s">
        <v>5</v>
      </c>
      <c r="J30" s="147" t="s">
        <v>179</v>
      </c>
      <c r="K30" s="6">
        <f>'Feedstock MIX per IVC'!J85</f>
        <v>6.0665214463321062</v>
      </c>
      <c r="L30" s="2">
        <f t="shared" si="5"/>
        <v>7695003.2970818812</v>
      </c>
      <c r="M30" t="s">
        <v>212</v>
      </c>
      <c r="N30" s="262">
        <v>0.02</v>
      </c>
      <c r="O30" s="2">
        <f t="shared" si="6"/>
        <v>20421843.750000004</v>
      </c>
      <c r="P30" s="18" t="s">
        <v>177</v>
      </c>
      <c r="Q30" s="265">
        <v>0.25</v>
      </c>
      <c r="R30" s="2">
        <f>Q30*R$28</f>
        <v>138418242.1875</v>
      </c>
    </row>
    <row r="31" spans="1:19" x14ac:dyDescent="0.35">
      <c r="D31" s="2"/>
      <c r="F31" s="149" t="s">
        <v>176</v>
      </c>
      <c r="G31" s="276">
        <f t="shared" ref="G31:G35" si="7">(SUMIF($J$29:$J$36,F31,$L$29:$L$36)/$L$28)</f>
        <v>0.17618585827781899</v>
      </c>
      <c r="I31" s="12" t="s">
        <v>6</v>
      </c>
      <c r="J31" s="150" t="s">
        <v>178</v>
      </c>
      <c r="K31" s="6">
        <f>'Feedstock MIX per IVC'!J86</f>
        <v>3.0765693427595271</v>
      </c>
      <c r="L31" s="2">
        <f t="shared" si="5"/>
        <v>3902435.9257065374</v>
      </c>
      <c r="M31" s="5" t="s">
        <v>210</v>
      </c>
      <c r="N31" s="266">
        <v>0.45</v>
      </c>
      <c r="O31" s="2">
        <f t="shared" si="6"/>
        <v>459491484.37500006</v>
      </c>
      <c r="P31" s="18" t="s">
        <v>218</v>
      </c>
      <c r="Q31" s="265">
        <v>0.2</v>
      </c>
      <c r="R31" s="2">
        <f>Q31*R$28</f>
        <v>110734593.75</v>
      </c>
    </row>
    <row r="32" spans="1:19" x14ac:dyDescent="0.35">
      <c r="D32" s="2"/>
      <c r="F32" s="150" t="s">
        <v>178</v>
      </c>
      <c r="G32" s="276">
        <f t="shared" si="7"/>
        <v>1.3470699800471629E-2</v>
      </c>
      <c r="I32" s="12" t="s">
        <v>7</v>
      </c>
      <c r="J32" s="147" t="s">
        <v>179</v>
      </c>
      <c r="K32" s="6">
        <f>'Feedstock MIX per IVC'!J87</f>
        <v>5.8129923958756571</v>
      </c>
      <c r="L32" s="2">
        <f t="shared" si="5"/>
        <v>7373417.5421435283</v>
      </c>
      <c r="M32" t="s">
        <v>213</v>
      </c>
      <c r="N32" s="262">
        <v>0.1</v>
      </c>
      <c r="O32" s="2">
        <f t="shared" si="6"/>
        <v>102109218.75000001</v>
      </c>
      <c r="P32" s="18" t="s">
        <v>219</v>
      </c>
      <c r="Q32" s="265">
        <v>0.3</v>
      </c>
      <c r="R32" s="2">
        <f>Q32*R$28</f>
        <v>166101890.625</v>
      </c>
      <c r="S32" s="2"/>
    </row>
    <row r="33" spans="1:19" x14ac:dyDescent="0.35">
      <c r="D33" s="2"/>
      <c r="F33" s="152" t="s">
        <v>180</v>
      </c>
      <c r="G33" s="276">
        <f t="shared" si="7"/>
        <v>2.3180366890169626E-2</v>
      </c>
      <c r="I33" s="12" t="s">
        <v>8</v>
      </c>
      <c r="J33" s="147" t="s">
        <v>179</v>
      </c>
      <c r="K33" s="6">
        <f>'Feedstock MIX per IVC'!J88</f>
        <v>4.0841838001898028</v>
      </c>
      <c r="L33" s="2">
        <f t="shared" si="5"/>
        <v>5180531.8890532525</v>
      </c>
      <c r="M33" t="s">
        <v>214</v>
      </c>
      <c r="N33" s="262">
        <v>0.25</v>
      </c>
      <c r="O33" s="2">
        <f t="shared" si="6"/>
        <v>255273046.87500003</v>
      </c>
      <c r="P33" s="18" t="s">
        <v>220</v>
      </c>
      <c r="Q33" s="265">
        <v>0.1</v>
      </c>
      <c r="R33" s="2">
        <f>Q33*R$28</f>
        <v>55367296.875</v>
      </c>
    </row>
    <row r="34" spans="1:19" x14ac:dyDescent="0.35">
      <c r="D34" s="2"/>
      <c r="F34" s="151" t="s">
        <v>77</v>
      </c>
      <c r="G34" s="276">
        <f t="shared" si="7"/>
        <v>0</v>
      </c>
      <c r="I34" s="12" t="s">
        <v>9</v>
      </c>
      <c r="J34" s="171" t="s">
        <v>222</v>
      </c>
      <c r="K34" s="6">
        <f>'Feedstock MIX per IVC'!J89</f>
        <v>33.837533598410502</v>
      </c>
      <c r="L34" s="2">
        <f t="shared" si="5"/>
        <v>42920796.523733824</v>
      </c>
      <c r="M34" t="s">
        <v>216</v>
      </c>
      <c r="N34" s="262">
        <v>0.03</v>
      </c>
      <c r="O34" s="2">
        <f t="shared" si="6"/>
        <v>30632765.625000004</v>
      </c>
      <c r="P34" s="18"/>
      <c r="Q34" s="265">
        <f>SUM(Q29:Q33)</f>
        <v>1.0000000000000002</v>
      </c>
      <c r="R34" s="2"/>
    </row>
    <row r="35" spans="1:19" x14ac:dyDescent="0.35">
      <c r="D35" s="2"/>
      <c r="F35" s="239" t="s">
        <v>177</v>
      </c>
      <c r="G35" s="276">
        <f t="shared" si="7"/>
        <v>0</v>
      </c>
      <c r="I35" s="12" t="s">
        <v>10</v>
      </c>
      <c r="J35" s="149" t="s">
        <v>176</v>
      </c>
      <c r="K35" s="6">
        <f>'Feedstock MIX per IVC'!J90</f>
        <v>40.239038671646064</v>
      </c>
      <c r="L35" s="2">
        <f t="shared" si="5"/>
        <v>51040705.615066051</v>
      </c>
    </row>
    <row r="36" spans="1:19" x14ac:dyDescent="0.35">
      <c r="D36" s="2"/>
      <c r="F36" s="31"/>
      <c r="G36" s="276">
        <f>SUM(G29:G35)</f>
        <v>0.99999999999999978</v>
      </c>
      <c r="I36" s="12" t="s">
        <v>11</v>
      </c>
      <c r="J36" s="152" t="s">
        <v>180</v>
      </c>
      <c r="K36" s="6">
        <f>'Feedstock MIX per IVC'!J91</f>
        <v>5.2941574813891252</v>
      </c>
      <c r="L36" s="2">
        <f t="shared" si="5"/>
        <v>6715307.8802995188</v>
      </c>
      <c r="M36" s="2"/>
    </row>
    <row r="37" spans="1:19" x14ac:dyDescent="0.35">
      <c r="D37" s="2"/>
      <c r="F37" s="31"/>
      <c r="G37" s="6"/>
      <c r="H37" s="2"/>
      <c r="I37" s="105" t="s">
        <v>319</v>
      </c>
      <c r="J37" s="237"/>
      <c r="K37" s="6"/>
      <c r="L37" s="2">
        <f>SUM(L29:L36)</f>
        <v>289698084.25022632</v>
      </c>
      <c r="M37" s="2"/>
    </row>
    <row r="38" spans="1:19" x14ac:dyDescent="0.35">
      <c r="D38" s="6"/>
      <c r="E38" s="6"/>
      <c r="F38" s="31"/>
      <c r="G38" s="6"/>
      <c r="H38" s="6"/>
      <c r="I38" s="212" t="s">
        <v>281</v>
      </c>
      <c r="J38" s="6"/>
      <c r="K38" s="6"/>
      <c r="L38" s="2"/>
      <c r="M38" s="78" t="s">
        <v>181</v>
      </c>
      <c r="O38" s="90">
        <f>SUM(O39:O44)</f>
        <v>7621011460.2272882</v>
      </c>
      <c r="P38" s="78" t="s">
        <v>181</v>
      </c>
      <c r="Q38" s="78"/>
      <c r="R38" s="90">
        <f>SUM(R39:R43)</f>
        <v>3825086241.4772797</v>
      </c>
      <c r="S38" s="247">
        <f>SUM(S39:S43)</f>
        <v>0.28774306519608278</v>
      </c>
    </row>
    <row r="39" spans="1:19" x14ac:dyDescent="0.35">
      <c r="D39" s="6"/>
      <c r="E39" s="6"/>
      <c r="F39" s="31"/>
      <c r="G39" s="6"/>
      <c r="H39" s="6"/>
      <c r="I39" s="6"/>
      <c r="J39" s="147" t="s">
        <v>179</v>
      </c>
      <c r="K39" s="6"/>
      <c r="L39" s="2">
        <f t="shared" ref="L39:L45" si="8">SUMIF($J$10:$J$36,J39,$L$10:$L$36)</f>
        <v>1116131412.0653667</v>
      </c>
      <c r="M39" s="5" t="s">
        <v>211</v>
      </c>
      <c r="O39" s="2">
        <f t="shared" ref="O39:O44" si="9">SUMIF($M$10:$M$36,M39,$O$10:$O$36)</f>
        <v>153163828.125</v>
      </c>
      <c r="P39" s="18" t="s">
        <v>217</v>
      </c>
      <c r="R39" s="2">
        <f>SUMIF($P$10:$P$36,P39,$R$10:$R$36)</f>
        <v>900904263.49431992</v>
      </c>
      <c r="S39" s="59">
        <f>R39/$H$8</f>
        <v>6.7770747601747852E-2</v>
      </c>
    </row>
    <row r="40" spans="1:19" x14ac:dyDescent="0.35">
      <c r="D40" s="6"/>
      <c r="E40" s="6"/>
      <c r="F40" s="31"/>
      <c r="G40" s="6"/>
      <c r="H40" s="6"/>
      <c r="I40" s="6"/>
      <c r="J40" s="171" t="s">
        <v>222</v>
      </c>
      <c r="K40" s="6"/>
      <c r="L40" s="2">
        <f t="shared" si="8"/>
        <v>244164285.03547713</v>
      </c>
      <c r="M40" t="s">
        <v>212</v>
      </c>
      <c r="O40" s="2">
        <f t="shared" si="9"/>
        <v>152420229.20454577</v>
      </c>
      <c r="P40" s="18" t="s">
        <v>177</v>
      </c>
      <c r="R40" s="2">
        <f>SUMIF($P$10:$P$36,P40,$R$10:$R$36)</f>
        <v>629130233.09659195</v>
      </c>
      <c r="S40" s="59">
        <f>R40/$H$8</f>
        <v>4.7326478476685266E-2</v>
      </c>
    </row>
    <row r="41" spans="1:19" x14ac:dyDescent="0.35">
      <c r="D41" s="6"/>
      <c r="E41" s="6"/>
      <c r="F41" s="31"/>
      <c r="G41" s="6"/>
      <c r="H41" s="6"/>
      <c r="I41" s="6"/>
      <c r="J41" s="149" t="s">
        <v>176</v>
      </c>
      <c r="K41" s="6"/>
      <c r="L41" s="2">
        <f t="shared" si="8"/>
        <v>283419474.08692759</v>
      </c>
      <c r="M41" s="5" t="s">
        <v>210</v>
      </c>
      <c r="O41" s="2">
        <f t="shared" si="9"/>
        <v>4089447084.3750081</v>
      </c>
      <c r="P41" s="18" t="s">
        <v>218</v>
      </c>
      <c r="R41" s="2">
        <f>SUMIF($P$10:$P$36,P41,$R$10:$R$36)</f>
        <v>1092158575.5681839</v>
      </c>
      <c r="S41" s="59">
        <f>R41/$H$8</f>
        <v>8.2157900861551988E-2</v>
      </c>
    </row>
    <row r="42" spans="1:19" x14ac:dyDescent="0.35">
      <c r="D42" s="6"/>
      <c r="E42" s="6"/>
      <c r="F42" s="31"/>
      <c r="G42" s="6"/>
      <c r="H42" s="6"/>
      <c r="I42" s="6"/>
      <c r="J42" s="150" t="s">
        <v>178</v>
      </c>
      <c r="K42" s="6"/>
      <c r="L42" s="2">
        <f t="shared" si="8"/>
        <v>23528838.880607426</v>
      </c>
      <c r="M42" t="s">
        <v>213</v>
      </c>
      <c r="O42" s="2">
        <f t="shared" si="9"/>
        <v>762101146.0227288</v>
      </c>
      <c r="P42" s="18" t="s">
        <v>219</v>
      </c>
      <c r="R42" s="2">
        <f>SUMIF($P$10:$P$36,P42,$R$10:$R$36)</f>
        <v>1147525872.4431839</v>
      </c>
      <c r="S42" s="59">
        <f>R42/$H$8</f>
        <v>8.6322919558824832E-2</v>
      </c>
    </row>
    <row r="43" spans="1:19" x14ac:dyDescent="0.35">
      <c r="D43" s="6"/>
      <c r="E43" s="6"/>
      <c r="F43" s="31"/>
      <c r="G43" s="6"/>
      <c r="H43" s="6"/>
      <c r="I43" s="6"/>
      <c r="J43" s="152" t="s">
        <v>180</v>
      </c>
      <c r="K43" s="6"/>
      <c r="L43" s="2">
        <f t="shared" si="8"/>
        <v>43021384.777949423</v>
      </c>
      <c r="M43" t="s">
        <v>214</v>
      </c>
      <c r="O43" s="2">
        <f t="shared" si="9"/>
        <v>2235248828.6931863</v>
      </c>
      <c r="P43" s="18" t="s">
        <v>220</v>
      </c>
      <c r="R43" s="2">
        <f>SUMIF($P$10:$P$36,P43,$R$10:$R$36)</f>
        <v>55367296.875</v>
      </c>
      <c r="S43" s="59">
        <f>R43/$H$8</f>
        <v>4.1650186972728483E-3</v>
      </c>
    </row>
    <row r="44" spans="1:19" x14ac:dyDescent="0.35">
      <c r="D44" s="6"/>
      <c r="E44" s="6"/>
      <c r="F44" s="31"/>
      <c r="G44" s="6"/>
      <c r="H44" s="6"/>
      <c r="J44" s="151" t="s">
        <v>77</v>
      </c>
      <c r="K44" s="6"/>
      <c r="L44" s="2">
        <f t="shared" si="8"/>
        <v>137045864.91502562</v>
      </c>
      <c r="M44" t="s">
        <v>216</v>
      </c>
      <c r="O44" s="2">
        <f t="shared" si="9"/>
        <v>228630343.8068186</v>
      </c>
    </row>
    <row r="45" spans="1:19" x14ac:dyDescent="0.35">
      <c r="D45" s="6"/>
      <c r="E45" s="6"/>
      <c r="F45" s="31"/>
      <c r="G45" s="6"/>
      <c r="H45" s="6"/>
      <c r="J45" s="239" t="s">
        <v>177</v>
      </c>
      <c r="L45" s="2">
        <f t="shared" si="8"/>
        <v>0</v>
      </c>
      <c r="O45" s="2"/>
    </row>
    <row r="46" spans="1:19" x14ac:dyDescent="0.35">
      <c r="D46" s="6"/>
      <c r="E46" s="6"/>
      <c r="F46" s="31"/>
      <c r="G46" s="6"/>
      <c r="I46" s="212" t="s">
        <v>319</v>
      </c>
      <c r="J46" s="105"/>
      <c r="K46" s="6"/>
      <c r="L46" s="90">
        <f>SUM(L39:L45)</f>
        <v>1847311259.761354</v>
      </c>
    </row>
    <row r="47" spans="1:19" s="91" customFormat="1" ht="41" customHeight="1" x14ac:dyDescent="0.35">
      <c r="A47" s="91" t="s">
        <v>78</v>
      </c>
      <c r="F47" s="169"/>
    </row>
    <row r="48" spans="1:19" ht="17.5" customHeight="1" x14ac:dyDescent="0.35">
      <c r="B48" s="2">
        <f>C48/1000000</f>
        <v>10469.280187844357</v>
      </c>
      <c r="C48" s="2">
        <f>C49+C56+C63+C72</f>
        <v>10469280187.844357</v>
      </c>
      <c r="D48" s="2">
        <f>D49+D56+D63+D72</f>
        <v>6.8069123363140731</v>
      </c>
      <c r="F48" s="2">
        <f>F49+F56+F63+F72</f>
        <v>9391108.3128443565</v>
      </c>
      <c r="H48" s="2">
        <f>H49+H56+H63+H72</f>
        <v>12088792714.633564</v>
      </c>
      <c r="L48" s="2">
        <f>L49+L56+L63+L72</f>
        <v>3888358345.255569</v>
      </c>
      <c r="O48" s="2">
        <f>O49+O56+O63+O72</f>
        <v>4631234893.549674</v>
      </c>
      <c r="R48" s="2">
        <f>R49+R56+R63+R72</f>
        <v>3569199475.82832</v>
      </c>
    </row>
    <row r="49" spans="1:19" s="201" customFormat="1" ht="17.5" customHeight="1" x14ac:dyDescent="0.35">
      <c r="A49" s="201" t="s">
        <v>297</v>
      </c>
      <c r="B49" s="201">
        <v>1000</v>
      </c>
      <c r="C49" s="202">
        <f>B49*F49</f>
        <v>3638522906.4221783</v>
      </c>
      <c r="D49" s="203">
        <f>'[2]GAP analysis Sc. 2'!$C$42</f>
        <v>2.3464249181570365</v>
      </c>
      <c r="E49" s="210">
        <f>'[1]Conversion factors selected IV '!$O$17</f>
        <v>1.5506666666666669</v>
      </c>
      <c r="F49" s="202">
        <f>D49*E49*1000000</f>
        <v>3638522.9064221783</v>
      </c>
      <c r="G49" s="208">
        <f>'LCoP 2030 HIGH'!E5</f>
        <v>1284.2294983472239</v>
      </c>
      <c r="H49" s="203">
        <f>G49*F49</f>
        <v>4672698446.8394365</v>
      </c>
      <c r="I49" s="208">
        <f>'LCoP 2030 HIGH'!H5</f>
        <v>0.26648624625712602</v>
      </c>
      <c r="L49" s="202">
        <f>I49*H49</f>
        <v>1245209868.9897444</v>
      </c>
      <c r="M49" s="208">
        <f>'LCoP 2030 HIGH'!F5</f>
        <v>0.43216574663194796</v>
      </c>
      <c r="O49" s="202">
        <f>M49*H49</f>
        <v>2019380213.0643086</v>
      </c>
      <c r="P49" s="208">
        <f>'LCoP 2030 HIGH'!G5</f>
        <v>0.30134800711092591</v>
      </c>
      <c r="R49" s="202">
        <f>P49*H49</f>
        <v>1408108364.785383</v>
      </c>
      <c r="S49" s="203">
        <f>R49+O49+L49</f>
        <v>4672698446.8394356</v>
      </c>
    </row>
    <row r="50" spans="1:19" ht="15" customHeight="1" x14ac:dyDescent="0.35">
      <c r="C50" s="262">
        <f>C49/C48</f>
        <v>0.34754279579285541</v>
      </c>
      <c r="F50" s="147" t="s">
        <v>179</v>
      </c>
      <c r="G50" s="2">
        <f ca="1">SUMIF($J$50:$J$54,F50,$L$50:$L$53)/$L$49</f>
        <v>0.81975782378821072</v>
      </c>
      <c r="H50" s="192" t="s">
        <v>254</v>
      </c>
      <c r="I50" s="7" t="s">
        <v>4</v>
      </c>
      <c r="J50" s="147" t="s">
        <v>179</v>
      </c>
      <c r="K50" s="6">
        <f>'Feedstock MIX per IVC'!J13</f>
        <v>260.69481002421327</v>
      </c>
      <c r="L50">
        <f>K50*F$49</f>
        <v>948544037.85847807</v>
      </c>
      <c r="M50" s="5" t="s">
        <v>211</v>
      </c>
      <c r="N50" s="34">
        <v>0</v>
      </c>
      <c r="O50" s="2">
        <f t="shared" ref="O50:O55" si="10">N50*O$49</f>
        <v>0</v>
      </c>
      <c r="P50" s="18" t="s">
        <v>217</v>
      </c>
      <c r="Q50" s="34">
        <v>0.2</v>
      </c>
      <c r="R50" s="2">
        <f>Q50*R$49</f>
        <v>281621672.95707661</v>
      </c>
    </row>
    <row r="51" spans="1:19" ht="15" customHeight="1" x14ac:dyDescent="0.35">
      <c r="F51" s="149" t="s">
        <v>176</v>
      </c>
      <c r="G51" s="2">
        <f ca="1">SUMIF($J$50:$J$54,F51,$L$50:$L$53)/$L$49</f>
        <v>0.18024217621178951</v>
      </c>
      <c r="H51" s="192" t="s">
        <v>254</v>
      </c>
      <c r="I51" s="7" t="s">
        <v>7</v>
      </c>
      <c r="J51" s="147" t="s">
        <v>179</v>
      </c>
      <c r="K51" s="6">
        <f>'Feedstock MIX per IVC'!J14</f>
        <v>11.65896172396454</v>
      </c>
      <c r="L51">
        <f>K51*F$49</f>
        <v>42421399.297744386</v>
      </c>
      <c r="M51" t="s">
        <v>212</v>
      </c>
      <c r="N51" s="34">
        <v>0.02</v>
      </c>
      <c r="O51" s="2">
        <f t="shared" si="10"/>
        <v>40387604.261286177</v>
      </c>
      <c r="P51" s="18" t="s">
        <v>177</v>
      </c>
      <c r="Q51" s="34">
        <v>0.5</v>
      </c>
      <c r="R51" s="2">
        <f>Q51*R$49</f>
        <v>704054182.39269149</v>
      </c>
    </row>
    <row r="52" spans="1:19" ht="15" customHeight="1" x14ac:dyDescent="0.35">
      <c r="F52" s="31"/>
      <c r="H52" s="192" t="s">
        <v>254</v>
      </c>
      <c r="I52" s="7" t="s">
        <v>8</v>
      </c>
      <c r="J52" s="147" t="s">
        <v>179</v>
      </c>
      <c r="K52" s="6">
        <f>'Feedstock MIX per IVC'!J15</f>
        <v>8.1915370530733291</v>
      </c>
      <c r="L52">
        <f>K52*F$49</f>
        <v>29805095.206413336</v>
      </c>
      <c r="M52" s="5" t="s">
        <v>210</v>
      </c>
      <c r="N52" s="34">
        <v>0.5</v>
      </c>
      <c r="O52" s="2">
        <f t="shared" si="10"/>
        <v>1009690106.5321543</v>
      </c>
      <c r="P52" s="18" t="s">
        <v>218</v>
      </c>
      <c r="Q52" s="34">
        <v>0.15</v>
      </c>
      <c r="R52" s="2">
        <f>Q52*R$49</f>
        <v>211216254.71780744</v>
      </c>
    </row>
    <row r="53" spans="1:19" ht="15" customHeight="1" x14ac:dyDescent="0.35">
      <c r="F53" s="31"/>
      <c r="H53" s="192" t="s">
        <v>254</v>
      </c>
      <c r="I53" s="7" t="s">
        <v>10</v>
      </c>
      <c r="J53" s="149" t="s">
        <v>176</v>
      </c>
      <c r="K53" s="6">
        <f>'Feedstock MIX per IVC'!J16</f>
        <v>61.684189545972622</v>
      </c>
      <c r="L53">
        <f>K53*F$49</f>
        <v>224439336.62710884</v>
      </c>
      <c r="M53" t="s">
        <v>213</v>
      </c>
      <c r="N53" s="34">
        <v>0.15</v>
      </c>
      <c r="O53" s="2">
        <f t="shared" si="10"/>
        <v>302907031.95964628</v>
      </c>
      <c r="P53" s="18" t="s">
        <v>219</v>
      </c>
      <c r="Q53" s="34">
        <v>0.1</v>
      </c>
      <c r="R53" s="2">
        <f>Q53*R$49</f>
        <v>140810836.4785383</v>
      </c>
    </row>
    <row r="54" spans="1:19" ht="15" customHeight="1" x14ac:dyDescent="0.35">
      <c r="F54" s="31"/>
      <c r="M54" t="s">
        <v>214</v>
      </c>
      <c r="N54" s="34">
        <v>0.3</v>
      </c>
      <c r="O54" s="2">
        <f t="shared" si="10"/>
        <v>605814063.91929257</v>
      </c>
      <c r="P54" s="18" t="s">
        <v>220</v>
      </c>
      <c r="Q54" s="34">
        <v>0.05</v>
      </c>
      <c r="R54" s="2">
        <f>Q54*R$49</f>
        <v>70405418.239269152</v>
      </c>
    </row>
    <row r="55" spans="1:19" ht="15" customHeight="1" x14ac:dyDescent="0.35">
      <c r="F55" s="31"/>
      <c r="M55" t="s">
        <v>216</v>
      </c>
      <c r="N55" s="34">
        <v>0.03</v>
      </c>
      <c r="O55" s="2">
        <f t="shared" si="10"/>
        <v>60581406.391929254</v>
      </c>
      <c r="R55" s="2"/>
    </row>
    <row r="56" spans="1:19" s="201" customFormat="1" ht="17.5" customHeight="1" x14ac:dyDescent="0.35">
      <c r="A56" s="201" t="s">
        <v>303</v>
      </c>
      <c r="B56" s="201">
        <v>1000</v>
      </c>
      <c r="C56" s="202">
        <f>B56*F56</f>
        <v>3638522906.4221783</v>
      </c>
      <c r="D56" s="208">
        <f>'[2]GAP analysis Sc. 2'!$C$43</f>
        <v>2.3464249181570365</v>
      </c>
      <c r="E56" s="211">
        <f>'[1]Conversion factors selected IV '!$O$86</f>
        <v>1.5506666666666669</v>
      </c>
      <c r="F56" s="202">
        <f>D56*E56*1000000</f>
        <v>3638522.9064221783</v>
      </c>
      <c r="G56" s="208">
        <f>'LCoP 2030 HIGH'!E17</f>
        <v>1166.3499999999999</v>
      </c>
      <c r="H56" s="203">
        <f>G56*F56</f>
        <v>4243791191.9055071</v>
      </c>
      <c r="I56" s="206">
        <f>'LCoP 2030 HIGH'!H17</f>
        <v>0.50893814035238139</v>
      </c>
      <c r="L56" s="202">
        <f>I56*H56</f>
        <v>2159827197.2522049</v>
      </c>
      <c r="M56" s="206">
        <f>'LCoP 2030 HIGH'!F17</f>
        <v>0.2383504093968363</v>
      </c>
      <c r="O56" s="202">
        <f>M56*H56</f>
        <v>1011509367.9853655</v>
      </c>
      <c r="P56" s="219">
        <f>'LCoP 2030 HIGH'!G17</f>
        <v>0.2527114502507824</v>
      </c>
      <c r="R56" s="202">
        <f>P56*H56</f>
        <v>1072454626.667937</v>
      </c>
      <c r="S56" s="203">
        <f>R56+O56+L56</f>
        <v>4243791191.9055076</v>
      </c>
    </row>
    <row r="57" spans="1:19" ht="14.5" customHeight="1" x14ac:dyDescent="0.35">
      <c r="C57" s="262">
        <f>C56/C48</f>
        <v>0.34754279579285541</v>
      </c>
      <c r="D57" s="6"/>
      <c r="F57" s="31"/>
      <c r="I57" s="16" t="s">
        <v>36</v>
      </c>
      <c r="J57" s="190" t="s">
        <v>79</v>
      </c>
      <c r="K57" s="6">
        <f>'Feedstock MIX per IVC'!J80</f>
        <v>593.6</v>
      </c>
      <c r="L57" s="31">
        <f>K57*F56</f>
        <v>2159827197.2522049</v>
      </c>
      <c r="M57" s="5" t="s">
        <v>211</v>
      </c>
      <c r="N57" s="34">
        <v>0</v>
      </c>
      <c r="O57" s="2">
        <f t="shared" ref="O57:O62" si="11">N57*O$56</f>
        <v>0</v>
      </c>
      <c r="P57" s="18" t="s">
        <v>217</v>
      </c>
      <c r="Q57" s="34">
        <v>0.2</v>
      </c>
      <c r="R57" s="2">
        <f>Q57*R$56</f>
        <v>214490925.33358741</v>
      </c>
    </row>
    <row r="58" spans="1:19" ht="14.5" customHeight="1" x14ac:dyDescent="0.35">
      <c r="D58" s="6"/>
      <c r="F58" s="31"/>
      <c r="M58" t="s">
        <v>212</v>
      </c>
      <c r="N58" s="34">
        <v>0.02</v>
      </c>
      <c r="O58" s="2">
        <f t="shared" si="11"/>
        <v>20230187.359707311</v>
      </c>
      <c r="P58" s="18" t="s">
        <v>177</v>
      </c>
      <c r="Q58" s="34">
        <v>0.5</v>
      </c>
      <c r="R58" s="2">
        <f>Q58*R$56</f>
        <v>536227313.33396852</v>
      </c>
    </row>
    <row r="59" spans="1:19" ht="14.5" customHeight="1" x14ac:dyDescent="0.35">
      <c r="D59" s="6"/>
      <c r="F59" s="31"/>
      <c r="M59" s="5" t="s">
        <v>210</v>
      </c>
      <c r="N59" s="34">
        <v>0.5</v>
      </c>
      <c r="O59" s="2">
        <f t="shared" si="11"/>
        <v>505754683.99268275</v>
      </c>
      <c r="P59" s="18" t="s">
        <v>218</v>
      </c>
      <c r="Q59" s="34">
        <v>0.15</v>
      </c>
      <c r="R59" s="2">
        <f>Q59*R$56</f>
        <v>160868194.00019056</v>
      </c>
    </row>
    <row r="60" spans="1:19" ht="14.5" customHeight="1" x14ac:dyDescent="0.35">
      <c r="D60" s="6"/>
      <c r="F60" s="31"/>
      <c r="M60" t="s">
        <v>213</v>
      </c>
      <c r="N60" s="34">
        <v>0.15</v>
      </c>
      <c r="O60" s="2">
        <f t="shared" si="11"/>
        <v>151726405.19780481</v>
      </c>
      <c r="P60" s="18" t="s">
        <v>219</v>
      </c>
      <c r="Q60" s="34">
        <v>0.1</v>
      </c>
      <c r="R60" s="2">
        <f>Q60*R$56</f>
        <v>107245462.6667937</v>
      </c>
    </row>
    <row r="61" spans="1:19" ht="14.5" customHeight="1" x14ac:dyDescent="0.35">
      <c r="F61" s="31"/>
      <c r="M61" t="s">
        <v>214</v>
      </c>
      <c r="N61" s="34">
        <v>0.3</v>
      </c>
      <c r="O61" s="2">
        <f t="shared" si="11"/>
        <v>303452810.39560962</v>
      </c>
      <c r="P61" s="18" t="s">
        <v>220</v>
      </c>
      <c r="Q61" s="34">
        <v>0.05</v>
      </c>
      <c r="R61" s="2">
        <f>Q61*R$56</f>
        <v>53622731.333396852</v>
      </c>
    </row>
    <row r="62" spans="1:19" ht="14.5" customHeight="1" x14ac:dyDescent="0.35">
      <c r="F62" s="31"/>
      <c r="M62" t="s">
        <v>216</v>
      </c>
      <c r="N62" s="34">
        <v>0.03</v>
      </c>
      <c r="O62" s="2">
        <f t="shared" si="11"/>
        <v>30345281.039560962</v>
      </c>
    </row>
    <row r="63" spans="1:19" s="201" customFormat="1" x14ac:dyDescent="0.35">
      <c r="A63" s="201" t="s">
        <v>295</v>
      </c>
      <c r="B63" s="201">
        <v>1750</v>
      </c>
      <c r="C63" s="202">
        <f>B63*F63</f>
        <v>2219765625</v>
      </c>
      <c r="D63" s="203">
        <f>'[2]GAP analysis Sc. 2'!$C$44</f>
        <v>1.2684375000000001</v>
      </c>
      <c r="E63" s="201">
        <f>'[1]Conversion factors selected IV '!$O$89</f>
        <v>1</v>
      </c>
      <c r="F63" s="202">
        <f>D63*E63*1000000</f>
        <v>1268437.5</v>
      </c>
      <c r="G63" s="208">
        <f>'LCoP 2030 HIGH'!E19</f>
        <v>1469.8897190442781</v>
      </c>
      <c r="H63" s="203">
        <f>G63*F63</f>
        <v>1864463240.5002265</v>
      </c>
      <c r="I63" s="201">
        <f>'LCoP 2030 HIGH'!H19</f>
        <v>0.15537881249538701</v>
      </c>
      <c r="L63" s="202">
        <f>I63*H63</f>
        <v>289698084.25022638</v>
      </c>
      <c r="M63" s="206">
        <f>'LCoP 2030 HIGH'!F19</f>
        <v>0.5476601336618715</v>
      </c>
      <c r="O63" s="202">
        <f>M63*H63</f>
        <v>1021092187.5000001</v>
      </c>
      <c r="P63" s="219">
        <f>'LCoP 2030 HIGH'!G19</f>
        <v>0.29696105384274146</v>
      </c>
      <c r="R63" s="202">
        <f>P63*H63</f>
        <v>553672968.75</v>
      </c>
      <c r="S63" s="202">
        <f>L63+O63+R63</f>
        <v>1864463240.5002265</v>
      </c>
    </row>
    <row r="64" spans="1:19" ht="17.5" customHeight="1" x14ac:dyDescent="0.35">
      <c r="C64" s="262">
        <f>C63/C48</f>
        <v>0.21202657538741962</v>
      </c>
      <c r="F64" s="150" t="s">
        <v>178</v>
      </c>
      <c r="G64" s="2">
        <f>SUMIF($J$64:$J$71,F64,$L$64:$L$71)/$L$63</f>
        <v>1.3470699800471629E-2</v>
      </c>
      <c r="H64" s="192" t="s">
        <v>254</v>
      </c>
      <c r="I64" s="5" t="s">
        <v>4</v>
      </c>
      <c r="J64" s="147" t="s">
        <v>179</v>
      </c>
      <c r="K64" s="6">
        <f>'Feedstock MIX per IVC'!J84</f>
        <v>129.97872230767516</v>
      </c>
      <c r="L64">
        <f t="shared" ref="L64:L71" si="12">K64*F$63</f>
        <v>164869885.5771417</v>
      </c>
      <c r="M64" s="5" t="s">
        <v>211</v>
      </c>
      <c r="N64" s="167">
        <v>0.15</v>
      </c>
      <c r="O64" s="2">
        <f t="shared" ref="O64:O69" si="13">N64*O$63</f>
        <v>153163828.125</v>
      </c>
      <c r="P64" s="18" t="s">
        <v>217</v>
      </c>
      <c r="Q64" s="118">
        <v>0.15</v>
      </c>
      <c r="R64" s="2">
        <f>Q64*R$63</f>
        <v>83050945.3125</v>
      </c>
    </row>
    <row r="65" spans="1:19" ht="17.5" customHeight="1" x14ac:dyDescent="0.35">
      <c r="F65" s="147" t="s">
        <v>179</v>
      </c>
      <c r="G65" s="2">
        <f t="shared" ref="G65:G68" si="14">SUMIF($J$64:$J$71,F65,$L$64:$L$71)/$L$63</f>
        <v>0.63900608381491464</v>
      </c>
      <c r="H65" s="192" t="s">
        <v>254</v>
      </c>
      <c r="I65" s="5" t="s">
        <v>5</v>
      </c>
      <c r="J65" s="147" t="s">
        <v>179</v>
      </c>
      <c r="K65" s="6">
        <f>'Feedstock MIX per IVC'!J85</f>
        <v>6.0665214463321062</v>
      </c>
      <c r="L65">
        <f t="shared" si="12"/>
        <v>7695003.2970818812</v>
      </c>
      <c r="M65" t="s">
        <v>212</v>
      </c>
      <c r="N65" s="34">
        <v>0.02</v>
      </c>
      <c r="O65" s="2">
        <f t="shared" si="13"/>
        <v>20421843.750000004</v>
      </c>
      <c r="P65" s="18" t="s">
        <v>177</v>
      </c>
      <c r="Q65" s="118">
        <v>0.25</v>
      </c>
      <c r="R65" s="2">
        <f>Q65*R$63</f>
        <v>138418242.1875</v>
      </c>
    </row>
    <row r="66" spans="1:19" ht="17.5" customHeight="1" x14ac:dyDescent="0.35">
      <c r="F66" s="171" t="s">
        <v>222</v>
      </c>
      <c r="G66" s="2">
        <f t="shared" si="14"/>
        <v>0.14815699121662482</v>
      </c>
      <c r="H66" s="192" t="s">
        <v>254</v>
      </c>
      <c r="I66" s="5" t="s">
        <v>6</v>
      </c>
      <c r="J66" s="150" t="s">
        <v>178</v>
      </c>
      <c r="K66" s="6">
        <f>'Feedstock MIX per IVC'!J86</f>
        <v>3.0765693427595271</v>
      </c>
      <c r="L66">
        <f t="shared" si="12"/>
        <v>3902435.9257065374</v>
      </c>
      <c r="M66" s="5" t="s">
        <v>210</v>
      </c>
      <c r="N66" s="167">
        <v>0.45</v>
      </c>
      <c r="O66" s="2">
        <f t="shared" si="13"/>
        <v>459491484.37500006</v>
      </c>
      <c r="P66" s="18" t="s">
        <v>218</v>
      </c>
      <c r="Q66" s="118">
        <v>0.2</v>
      </c>
      <c r="R66" s="2">
        <f>Q66*R$63</f>
        <v>110734593.75</v>
      </c>
    </row>
    <row r="67" spans="1:19" ht="17.5" customHeight="1" x14ac:dyDescent="0.35">
      <c r="F67" s="149" t="s">
        <v>176</v>
      </c>
      <c r="G67" s="2">
        <f t="shared" si="14"/>
        <v>0.17618585827781899</v>
      </c>
      <c r="H67" s="192" t="s">
        <v>254</v>
      </c>
      <c r="I67" s="5" t="s">
        <v>7</v>
      </c>
      <c r="J67" s="147" t="s">
        <v>179</v>
      </c>
      <c r="K67" s="6">
        <f>'Feedstock MIX per IVC'!J87</f>
        <v>5.8129923958756571</v>
      </c>
      <c r="L67">
        <f t="shared" si="12"/>
        <v>7373417.5421435283</v>
      </c>
      <c r="M67" t="s">
        <v>213</v>
      </c>
      <c r="N67" s="34">
        <v>0.1</v>
      </c>
      <c r="O67" s="2">
        <f t="shared" si="13"/>
        <v>102109218.75000001</v>
      </c>
      <c r="P67" s="18" t="s">
        <v>219</v>
      </c>
      <c r="Q67" s="118">
        <v>0.3</v>
      </c>
      <c r="R67" s="2">
        <f>Q67*R$63</f>
        <v>166101890.625</v>
      </c>
    </row>
    <row r="68" spans="1:19" ht="17.5" customHeight="1" x14ac:dyDescent="0.35">
      <c r="F68" s="152" t="s">
        <v>180</v>
      </c>
      <c r="G68" s="2">
        <f t="shared" si="14"/>
        <v>2.3180366890169626E-2</v>
      </c>
      <c r="H68" s="192" t="s">
        <v>254</v>
      </c>
      <c r="I68" s="5" t="s">
        <v>8</v>
      </c>
      <c r="J68" s="147" t="s">
        <v>179</v>
      </c>
      <c r="K68" s="6">
        <f>'Feedstock MIX per IVC'!J88</f>
        <v>4.0841838001898028</v>
      </c>
      <c r="L68">
        <f t="shared" si="12"/>
        <v>5180531.8890532525</v>
      </c>
      <c r="M68" t="s">
        <v>214</v>
      </c>
      <c r="N68" s="34">
        <v>0.25</v>
      </c>
      <c r="O68" s="2">
        <f t="shared" si="13"/>
        <v>255273046.87500003</v>
      </c>
      <c r="P68" s="18" t="s">
        <v>220</v>
      </c>
      <c r="Q68" s="118">
        <v>0.1</v>
      </c>
      <c r="R68" s="2">
        <f>Q68*R$63</f>
        <v>55367296.875</v>
      </c>
    </row>
    <row r="69" spans="1:19" ht="17.5" customHeight="1" x14ac:dyDescent="0.35">
      <c r="G69" s="276">
        <f>SUM(G64:G68)</f>
        <v>0.99999999999999978</v>
      </c>
      <c r="H69" s="192" t="s">
        <v>254</v>
      </c>
      <c r="I69" s="5" t="s">
        <v>9</v>
      </c>
      <c r="J69" s="171" t="s">
        <v>222</v>
      </c>
      <c r="K69" s="6">
        <f>'Feedstock MIX per IVC'!J89</f>
        <v>33.837533598410502</v>
      </c>
      <c r="L69">
        <f t="shared" si="12"/>
        <v>42920796.523733824</v>
      </c>
      <c r="M69" t="s">
        <v>216</v>
      </c>
      <c r="N69" s="34">
        <v>0.03</v>
      </c>
      <c r="O69" s="2">
        <f t="shared" si="13"/>
        <v>30632765.625000004</v>
      </c>
      <c r="Q69" s="34"/>
      <c r="R69" s="2"/>
    </row>
    <row r="70" spans="1:19" ht="17.5" customHeight="1" x14ac:dyDescent="0.35">
      <c r="F70" s="31"/>
      <c r="H70" s="192" t="s">
        <v>254</v>
      </c>
      <c r="I70" s="5" t="s">
        <v>10</v>
      </c>
      <c r="J70" s="149" t="s">
        <v>176</v>
      </c>
      <c r="K70" s="6">
        <f>'Feedstock MIX per IVC'!J90</f>
        <v>40.239038671646064</v>
      </c>
      <c r="L70">
        <f t="shared" si="12"/>
        <v>51040705.615066051</v>
      </c>
      <c r="O70" s="2"/>
    </row>
    <row r="71" spans="1:19" ht="17.5" customHeight="1" x14ac:dyDescent="0.35">
      <c r="F71" s="31"/>
      <c r="H71" s="192" t="s">
        <v>254</v>
      </c>
      <c r="I71" s="5" t="s">
        <v>11</v>
      </c>
      <c r="J71" s="152" t="s">
        <v>180</v>
      </c>
      <c r="K71" s="6">
        <f>'Feedstock MIX per IVC'!J91</f>
        <v>5.2941574813891252</v>
      </c>
      <c r="L71">
        <f t="shared" si="12"/>
        <v>6715307.8802995188</v>
      </c>
    </row>
    <row r="72" spans="1:19" s="201" customFormat="1" x14ac:dyDescent="0.35">
      <c r="A72" s="201" t="s">
        <v>298</v>
      </c>
      <c r="B72" s="201">
        <v>1150</v>
      </c>
      <c r="C72" s="202">
        <f>B72*F72</f>
        <v>972468750.00000012</v>
      </c>
      <c r="D72" s="208">
        <f>'[2]GAP analysis Sc. 2'!$C$45</f>
        <v>0.84562500000000007</v>
      </c>
      <c r="E72" s="208">
        <f>'[1]Conversion factors selected IV '!$O$125</f>
        <v>1</v>
      </c>
      <c r="F72" s="202">
        <f>D72*E72*1000000</f>
        <v>845625.00000000012</v>
      </c>
      <c r="G72" s="208">
        <f>'LCoP 2030 HIGH'!E21</f>
        <v>1546.595518567206</v>
      </c>
      <c r="H72" s="203">
        <f>G72*F72</f>
        <v>1307839835.3883936</v>
      </c>
      <c r="I72" s="201">
        <f>'LCoP 2030 HIGH'!H21</f>
        <v>0.148048093905851</v>
      </c>
      <c r="L72" s="202">
        <f>I72*H72</f>
        <v>193623194.76339361</v>
      </c>
      <c r="M72" s="206">
        <f>'LCoP 2030 HIGH'!F21</f>
        <v>0.44290830522682256</v>
      </c>
      <c r="O72" s="202">
        <f>M72*H72</f>
        <v>579253125</v>
      </c>
      <c r="P72" s="219">
        <f>'LCoP 2030 HIGH'!G21</f>
        <v>0.40904360086732644</v>
      </c>
      <c r="R72" s="202">
        <f>P72*H72</f>
        <v>534963515.625</v>
      </c>
      <c r="S72" s="202">
        <f>L72+O72+R72</f>
        <v>1307839835.3883936</v>
      </c>
    </row>
    <row r="73" spans="1:19" x14ac:dyDescent="0.35">
      <c r="C73" s="262">
        <f>C72/C48</f>
        <v>9.2887833026869551E-2</v>
      </c>
      <c r="D73" s="6"/>
      <c r="E73" s="6"/>
      <c r="F73" s="150" t="s">
        <v>178</v>
      </c>
      <c r="G73" s="2">
        <f>SUMIF($J$73:$J$80,F73,$L$73:$L$80)/$L$72</f>
        <v>1.3136352366892604E-2</v>
      </c>
      <c r="H73" s="192" t="s">
        <v>254</v>
      </c>
      <c r="I73" s="5" t="s">
        <v>4</v>
      </c>
      <c r="J73" s="147" t="s">
        <v>179</v>
      </c>
      <c r="K73" s="6">
        <f>'Feedstock MIX per IVC'!J102</f>
        <v>127.07493976685333</v>
      </c>
      <c r="L73" s="2">
        <f t="shared" ref="L73:L80" si="15">K73*F$72</f>
        <v>107457745.94034536</v>
      </c>
      <c r="M73" s="5" t="s">
        <v>211</v>
      </c>
      <c r="N73" s="167">
        <v>0.15</v>
      </c>
      <c r="O73" s="2">
        <f t="shared" ref="O73:O78" si="16">N73*O$72</f>
        <v>86887968.75</v>
      </c>
      <c r="P73" s="18" t="s">
        <v>217</v>
      </c>
      <c r="Q73" s="118">
        <v>0.15</v>
      </c>
      <c r="R73" s="2">
        <f>Q73*R$72</f>
        <v>80244527.34375</v>
      </c>
    </row>
    <row r="74" spans="1:19" x14ac:dyDescent="0.35">
      <c r="D74" s="6"/>
      <c r="E74" s="6"/>
      <c r="F74" s="147" t="s">
        <v>179</v>
      </c>
      <c r="G74" s="2">
        <f t="shared" ref="G74:G77" si="17">SUMIF($J$73:$J$80,F74,$L$73:$L$80)/$L$72</f>
        <v>0.64796607781685245</v>
      </c>
      <c r="H74" s="192" t="s">
        <v>254</v>
      </c>
      <c r="I74" s="5" t="s">
        <v>5</v>
      </c>
      <c r="J74" s="147" t="s">
        <v>179</v>
      </c>
      <c r="K74" s="6">
        <f>'Feedstock MIX per IVC'!J103</f>
        <v>5.9309926555683274</v>
      </c>
      <c r="L74" s="2">
        <f t="shared" si="15"/>
        <v>5015395.6643649675</v>
      </c>
      <c r="M74" t="s">
        <v>212</v>
      </c>
      <c r="N74" s="34">
        <v>0.02</v>
      </c>
      <c r="O74" s="2">
        <f t="shared" si="16"/>
        <v>11585062.5</v>
      </c>
      <c r="P74" s="18" t="s">
        <v>177</v>
      </c>
      <c r="Q74" s="118">
        <v>0.25</v>
      </c>
      <c r="R74" s="2">
        <f>Q74*R$72</f>
        <v>133740878.90625</v>
      </c>
    </row>
    <row r="75" spans="1:19" x14ac:dyDescent="0.35">
      <c r="D75" s="6"/>
      <c r="E75" s="6"/>
      <c r="F75" s="171" t="s">
        <v>222</v>
      </c>
      <c r="G75" s="2">
        <f t="shared" si="17"/>
        <v>0.14447968339195377</v>
      </c>
      <c r="H75" s="192" t="s">
        <v>254</v>
      </c>
      <c r="I75" s="5" t="s">
        <v>6</v>
      </c>
      <c r="J75" s="150" t="s">
        <v>178</v>
      </c>
      <c r="K75" s="6">
        <f>'Feedstock MIX per IVC'!J104</f>
        <v>3.0078374135289434</v>
      </c>
      <c r="L75" s="2">
        <f t="shared" si="15"/>
        <v>2543502.5128154131</v>
      </c>
      <c r="M75" s="5" t="s">
        <v>210</v>
      </c>
      <c r="N75" s="167">
        <v>0.45</v>
      </c>
      <c r="O75" s="2">
        <f t="shared" si="16"/>
        <v>260663906.25</v>
      </c>
      <c r="P75" s="18" t="s">
        <v>218</v>
      </c>
      <c r="Q75" s="118">
        <v>0.2</v>
      </c>
      <c r="R75" s="2">
        <f>Q75*R$72</f>
        <v>106992703.125</v>
      </c>
    </row>
    <row r="76" spans="1:19" x14ac:dyDescent="0.35">
      <c r="D76" s="6"/>
      <c r="E76" s="6"/>
      <c r="F76" s="149" t="s">
        <v>176</v>
      </c>
      <c r="G76" s="2">
        <f t="shared" si="17"/>
        <v>0.17181286426706657</v>
      </c>
      <c r="H76" s="192" t="s">
        <v>254</v>
      </c>
      <c r="I76" s="5" t="s">
        <v>7</v>
      </c>
      <c r="J76" s="147" t="s">
        <v>179</v>
      </c>
      <c r="K76" s="6">
        <f>'Feedstock MIX per IVC'!J105</f>
        <v>11.366255114010404</v>
      </c>
      <c r="L76" s="2">
        <f t="shared" si="15"/>
        <v>9611589.4807850495</v>
      </c>
      <c r="M76" t="s">
        <v>213</v>
      </c>
      <c r="N76" s="34">
        <v>0.1</v>
      </c>
      <c r="O76" s="2">
        <f t="shared" si="16"/>
        <v>57925312.5</v>
      </c>
      <c r="P76" s="18" t="s">
        <v>219</v>
      </c>
      <c r="Q76" s="118">
        <v>0.3</v>
      </c>
      <c r="R76" s="2">
        <f>Q76*R$72</f>
        <v>160489054.6875</v>
      </c>
    </row>
    <row r="77" spans="1:19" x14ac:dyDescent="0.35">
      <c r="D77" s="6"/>
      <c r="E77" s="6"/>
      <c r="F77" s="152" t="s">
        <v>180</v>
      </c>
      <c r="G77" s="2">
        <f t="shared" si="17"/>
        <v>2.2605022157234738E-2</v>
      </c>
      <c r="H77" s="192" t="s">
        <v>254</v>
      </c>
      <c r="I77" s="5" t="s">
        <v>8</v>
      </c>
      <c r="J77" s="147" t="s">
        <v>179</v>
      </c>
      <c r="K77" s="6">
        <f>'Feedstock MIX per IVC'!J106</f>
        <v>3.9929413152511879</v>
      </c>
      <c r="L77" s="2">
        <f t="shared" si="15"/>
        <v>3376530.9997092863</v>
      </c>
      <c r="M77" t="s">
        <v>214</v>
      </c>
      <c r="N77" s="34">
        <v>0.25</v>
      </c>
      <c r="O77" s="2">
        <f t="shared" si="16"/>
        <v>144813281.25</v>
      </c>
      <c r="P77" s="18" t="s">
        <v>220</v>
      </c>
      <c r="Q77" s="118">
        <v>0.1</v>
      </c>
      <c r="R77" s="2">
        <f>Q77*R$72</f>
        <v>53496351.5625</v>
      </c>
    </row>
    <row r="78" spans="1:19" x14ac:dyDescent="0.35">
      <c r="D78" s="6"/>
      <c r="E78" s="6"/>
      <c r="F78" s="31"/>
      <c r="G78" s="276">
        <f>SUM(G73:G77)</f>
        <v>1.0000000000000002</v>
      </c>
      <c r="H78" s="192" t="s">
        <v>254</v>
      </c>
      <c r="I78" s="5" t="s">
        <v>9</v>
      </c>
      <c r="J78" s="171" t="s">
        <v>222</v>
      </c>
      <c r="K78" s="6">
        <f>'Feedstock MIX per IVC'!J107</f>
        <v>33.081588028681395</v>
      </c>
      <c r="L78" s="2">
        <f t="shared" si="15"/>
        <v>27974617.87675371</v>
      </c>
      <c r="M78" t="s">
        <v>216</v>
      </c>
      <c r="N78" s="34">
        <v>0.03</v>
      </c>
      <c r="O78" s="2">
        <f t="shared" si="16"/>
        <v>17377593.75</v>
      </c>
      <c r="Q78" s="34"/>
      <c r="R78" s="2"/>
    </row>
    <row r="79" spans="1:19" x14ac:dyDescent="0.35">
      <c r="D79" s="6"/>
      <c r="E79" s="6"/>
      <c r="F79" s="31"/>
      <c r="G79" s="6"/>
      <c r="H79" s="192" t="s">
        <v>254</v>
      </c>
      <c r="I79" s="5" t="s">
        <v>10</v>
      </c>
      <c r="J79" s="149" t="s">
        <v>176</v>
      </c>
      <c r="K79" s="6">
        <f>'Feedstock MIX per IVC'!J108</f>
        <v>39.340080627747213</v>
      </c>
      <c r="L79" s="2">
        <f t="shared" si="15"/>
        <v>33266955.680838741</v>
      </c>
      <c r="M79" s="2"/>
      <c r="R79" s="2"/>
    </row>
    <row r="80" spans="1:19" x14ac:dyDescent="0.35">
      <c r="D80" s="6"/>
      <c r="E80" s="6"/>
      <c r="F80" s="31"/>
      <c r="G80" s="6"/>
      <c r="H80" s="192" t="s">
        <v>254</v>
      </c>
      <c r="I80" s="5" t="s">
        <v>11</v>
      </c>
      <c r="J80" s="152" t="s">
        <v>180</v>
      </c>
      <c r="K80" s="6">
        <f>'Feedstock MIX per IVC'!J109</f>
        <v>5.1758836455652197</v>
      </c>
      <c r="L80" s="2">
        <f t="shared" si="15"/>
        <v>4376856.6077810898</v>
      </c>
    </row>
    <row r="81" spans="1:20" s="78" customFormat="1" x14ac:dyDescent="0.35">
      <c r="D81" s="90"/>
      <c r="E81" s="90"/>
      <c r="F81" s="213"/>
      <c r="G81" s="6"/>
      <c r="L81" s="90"/>
    </row>
    <row r="82" spans="1:20" s="78" customFormat="1" x14ac:dyDescent="0.35">
      <c r="F82" s="213"/>
      <c r="I82" s="78" t="s">
        <v>281</v>
      </c>
      <c r="L82" s="213">
        <f>SUM(L83:L88)</f>
        <v>3888358345.2555699</v>
      </c>
      <c r="M82" s="78" t="s">
        <v>181</v>
      </c>
      <c r="O82" s="90">
        <f>SUM(O83:O88)</f>
        <v>4631234893.549674</v>
      </c>
      <c r="P82" s="78" t="s">
        <v>181</v>
      </c>
      <c r="R82" s="90">
        <f>SUM(R83:R87)</f>
        <v>3569199475.82832</v>
      </c>
      <c r="S82" s="90">
        <f>SUM(S83:S87)</f>
        <v>0.29524862904695021</v>
      </c>
      <c r="T82" s="90"/>
    </row>
    <row r="83" spans="1:20" x14ac:dyDescent="0.35">
      <c r="D83" s="2"/>
      <c r="E83" s="2"/>
      <c r="G83" s="2"/>
      <c r="H83" s="6"/>
      <c r="J83" s="147" t="s">
        <v>179</v>
      </c>
      <c r="L83" s="2">
        <f t="shared" ref="L83:L88" si="18">SUMIF($J$50:$J$80, J83, $L$50:$L$80)</f>
        <v>1331350632.7532613</v>
      </c>
      <c r="M83" s="5" t="s">
        <v>211</v>
      </c>
      <c r="O83" s="2">
        <f t="shared" ref="O83:O88" si="19">SUMIF($M$50:$M$78, M83, $O$50:$O$78)</f>
        <v>240051796.875</v>
      </c>
      <c r="P83" s="18" t="s">
        <v>217</v>
      </c>
      <c r="R83" s="2">
        <f>SUMIF($P$50:$P$77, P83, $R$50:$R$77)</f>
        <v>659408070.94691396</v>
      </c>
      <c r="S83">
        <f>R83/$H$48</f>
        <v>5.4547057469907324E-2</v>
      </c>
    </row>
    <row r="84" spans="1:20" x14ac:dyDescent="0.35">
      <c r="D84" s="2"/>
      <c r="E84" s="2"/>
      <c r="G84" s="2"/>
      <c r="H84" s="6"/>
      <c r="J84" s="171" t="s">
        <v>222</v>
      </c>
      <c r="L84" s="2">
        <f t="shared" si="18"/>
        <v>70895414.400487542</v>
      </c>
      <c r="M84" t="s">
        <v>212</v>
      </c>
      <c r="O84" s="2">
        <f t="shared" si="19"/>
        <v>92624697.870993495</v>
      </c>
      <c r="P84" s="18" t="s">
        <v>177</v>
      </c>
      <c r="R84" s="2">
        <f>SUMIF($P$50:$P$77, P84, $R$50:$R$77)</f>
        <v>1512440616.82041</v>
      </c>
      <c r="S84">
        <f>R84/$H$48</f>
        <v>0.12511097282606148</v>
      </c>
    </row>
    <row r="85" spans="1:20" x14ac:dyDescent="0.35">
      <c r="D85" s="1"/>
      <c r="E85" s="1"/>
      <c r="G85" s="2"/>
      <c r="H85" s="6"/>
      <c r="J85" s="149" t="s">
        <v>176</v>
      </c>
      <c r="L85" s="2">
        <f t="shared" si="18"/>
        <v>308746997.92301363</v>
      </c>
      <c r="M85" s="5" t="s">
        <v>210</v>
      </c>
      <c r="O85" s="2">
        <f t="shared" si="19"/>
        <v>2235600181.149837</v>
      </c>
      <c r="P85" s="18" t="s">
        <v>218</v>
      </c>
      <c r="R85" s="2">
        <f>SUMIF($P$50:$P$77, P85, $R$50:$R$77)</f>
        <v>589811745.59299803</v>
      </c>
      <c r="S85">
        <f>R85/$H$48</f>
        <v>4.8789962696525267E-2</v>
      </c>
    </row>
    <row r="86" spans="1:20" x14ac:dyDescent="0.35">
      <c r="D86" s="1"/>
      <c r="E86" s="1"/>
      <c r="G86" s="2"/>
      <c r="H86" s="6"/>
      <c r="J86" s="150" t="s">
        <v>178</v>
      </c>
      <c r="L86" s="2">
        <f t="shared" si="18"/>
        <v>6445938.4385219505</v>
      </c>
      <c r="M86" t="s">
        <v>213</v>
      </c>
      <c r="O86" s="2">
        <f t="shared" si="19"/>
        <v>614667968.40745115</v>
      </c>
      <c r="P86" s="18" t="s">
        <v>219</v>
      </c>
      <c r="R86" s="2">
        <f>SUMIF($P$50:$P$77, P86, $R$50:$R$77)</f>
        <v>574647244.45783198</v>
      </c>
      <c r="S86">
        <f>R86/$H$48</f>
        <v>4.7535536262625931E-2</v>
      </c>
    </row>
    <row r="87" spans="1:20" s="78" customFormat="1" x14ac:dyDescent="0.35">
      <c r="D87" s="90"/>
      <c r="E87" s="90"/>
      <c r="F87" s="213"/>
      <c r="G87" s="1"/>
      <c r="H87" s="6"/>
      <c r="J87" s="152" t="s">
        <v>180</v>
      </c>
      <c r="L87" s="2">
        <f t="shared" si="18"/>
        <v>11092164.48808061</v>
      </c>
      <c r="M87" t="s">
        <v>214</v>
      </c>
      <c r="O87" s="2">
        <f t="shared" si="19"/>
        <v>1309353202.4399023</v>
      </c>
      <c r="P87" s="18" t="s">
        <v>220</v>
      </c>
      <c r="R87" s="2">
        <f>SUMIF($P$50:$P$77, P87, $R$50:$R$77)</f>
        <v>232891798.01016599</v>
      </c>
      <c r="S87">
        <f>R87/$H$48</f>
        <v>1.9265099791830241E-2</v>
      </c>
    </row>
    <row r="88" spans="1:20" s="78" customFormat="1" x14ac:dyDescent="0.35">
      <c r="D88" s="90"/>
      <c r="E88" s="90"/>
      <c r="F88" s="213"/>
      <c r="G88" s="1"/>
      <c r="H88" s="6"/>
      <c r="J88" s="190" t="s">
        <v>79</v>
      </c>
      <c r="L88" s="2">
        <f t="shared" si="18"/>
        <v>2159827197.2522049</v>
      </c>
      <c r="M88" t="s">
        <v>216</v>
      </c>
      <c r="O88" s="2">
        <f t="shared" si="19"/>
        <v>138937046.80649021</v>
      </c>
    </row>
    <row r="89" spans="1:20" s="91" customFormat="1" ht="32.5" customHeight="1" x14ac:dyDescent="0.35">
      <c r="A89" s="91" t="s">
        <v>79</v>
      </c>
      <c r="D89" s="214"/>
      <c r="E89" s="92"/>
      <c r="F89" s="169"/>
    </row>
    <row r="90" spans="1:20" ht="16.5" customHeight="1" x14ac:dyDescent="0.35">
      <c r="B90" s="2">
        <f>C90/1000000</f>
        <v>5897.7628991043894</v>
      </c>
      <c r="C90" s="100">
        <f>C91+C101</f>
        <v>5897762899.1043892</v>
      </c>
      <c r="D90" s="100">
        <f>D91+D101</f>
        <v>5.528562325126094</v>
      </c>
      <c r="E90" s="2"/>
      <c r="F90" s="100">
        <f>F91+F101</f>
        <v>4625696.3914544228</v>
      </c>
      <c r="L90" s="2">
        <f>L91+L101</f>
        <v>510938288.24963337</v>
      </c>
      <c r="O90" s="2">
        <f>O91+O101</f>
        <v>3241742692.1898236</v>
      </c>
      <c r="R90" s="2">
        <f>R91+R101</f>
        <v>1076663915.0762711</v>
      </c>
    </row>
    <row r="91" spans="1:20" s="202" customFormat="1" x14ac:dyDescent="0.35">
      <c r="A91" s="202" t="s">
        <v>58</v>
      </c>
      <c r="B91" s="202">
        <v>1275</v>
      </c>
      <c r="C91" s="202">
        <f>B91*F91</f>
        <v>2999940444.8281355</v>
      </c>
      <c r="D91" s="202">
        <f>'[2]GAP analysis Sc. 2'!$C$47+'[2]GAP analysis Sc. 2'!$J$52</f>
        <v>2.8121438593975068</v>
      </c>
      <c r="E91" s="202">
        <f>'[1]Conversion factors selected IV '!$O$29</f>
        <v>0.83669064748201449</v>
      </c>
      <c r="F91" s="202">
        <f>D91*E91*1000000</f>
        <v>2352894.4665318709</v>
      </c>
      <c r="G91" s="202">
        <f>'LCoP 2030 HIGH'!E9</f>
        <v>922.73260555459717</v>
      </c>
      <c r="H91" s="202">
        <f>G91*F91</f>
        <v>2171092441.697947</v>
      </c>
      <c r="I91" s="256">
        <f>'LCoP 2030 HIGH'!H9</f>
        <v>-1.370103794891292E-2</v>
      </c>
      <c r="L91" s="202">
        <f>I91*H91</f>
        <v>-29746219.934301581</v>
      </c>
      <c r="M91" s="256">
        <f>'LCoP 2030 HIGH'!F9</f>
        <v>0.65566123528968845</v>
      </c>
      <c r="O91" s="202">
        <f>M91*H91</f>
        <v>1423501152.2517819</v>
      </c>
      <c r="P91" s="256">
        <f>'LCoP 2030 HIGH'!G9</f>
        <v>0.35803980265922453</v>
      </c>
      <c r="R91" s="202">
        <f>P91*H91</f>
        <v>777337509.38046694</v>
      </c>
      <c r="S91" s="202">
        <f>L91+O91+R91</f>
        <v>2171092441.6979475</v>
      </c>
    </row>
    <row r="92" spans="1:20" x14ac:dyDescent="0.35">
      <c r="C92" t="s">
        <v>387</v>
      </c>
      <c r="D92" s="6">
        <f>'[2]GAP analysis Sc. 2'!$C$47</f>
        <v>1.083748797669112</v>
      </c>
      <c r="E92" s="2"/>
      <c r="F92" s="150" t="s">
        <v>178</v>
      </c>
      <c r="G92" s="2">
        <f>SUMIF($J$92:$J$100,F92,$L$92:$L$100)/$L$91</f>
        <v>-0.33818449117792798</v>
      </c>
      <c r="I92" s="5" t="s">
        <v>19</v>
      </c>
      <c r="J92" s="147" t="s">
        <v>179</v>
      </c>
      <c r="K92" s="6">
        <f>'Feedstock MIX per IVC'!J20</f>
        <v>0.89326982561933999</v>
      </c>
      <c r="L92" s="2">
        <f t="shared" ref="L92:L100" si="20">K92*F$91</f>
        <v>2101769.6298196344</v>
      </c>
      <c r="M92" s="5" t="s">
        <v>211</v>
      </c>
      <c r="N92" s="34">
        <v>0.05</v>
      </c>
      <c r="O92" s="2">
        <f t="shared" ref="O92:O97" si="21">N92*O$91</f>
        <v>71175057.612589106</v>
      </c>
      <c r="P92" s="18" t="s">
        <v>217</v>
      </c>
      <c r="Q92" s="34">
        <v>0.2</v>
      </c>
      <c r="R92" s="2">
        <f>Q92*R$91</f>
        <v>155467501.87609339</v>
      </c>
    </row>
    <row r="93" spans="1:20" x14ac:dyDescent="0.35">
      <c r="C93" t="s">
        <v>389</v>
      </c>
      <c r="D93" s="2">
        <f>D91-D92</f>
        <v>1.7283950617283947</v>
      </c>
      <c r="E93" s="2"/>
      <c r="F93" s="147" t="s">
        <v>179</v>
      </c>
      <c r="G93" s="2">
        <f t="shared" ref="G93:G95" si="22">SUMIF($J$92:$J$100,F93,$L$92:$L$100)/$L$91</f>
        <v>-1.6999252565826104</v>
      </c>
      <c r="I93" s="5" t="s">
        <v>7</v>
      </c>
      <c r="J93" s="147" t="s">
        <v>179</v>
      </c>
      <c r="K93" s="6">
        <f>'Feedstock MIX per IVC'!J21</f>
        <v>0.85601008031509007</v>
      </c>
      <c r="L93" s="2">
        <f t="shared" si="20"/>
        <v>2014101.3812688778</v>
      </c>
      <c r="M93" t="s">
        <v>212</v>
      </c>
      <c r="N93" s="34">
        <v>0.02</v>
      </c>
      <c r="O93" s="2">
        <f t="shared" si="21"/>
        <v>28470023.045035638</v>
      </c>
      <c r="P93" s="18" t="s">
        <v>177</v>
      </c>
      <c r="Q93" s="34">
        <v>0.5</v>
      </c>
      <c r="R93" s="2">
        <f>Q93*R$91</f>
        <v>388668754.69023347</v>
      </c>
    </row>
    <row r="94" spans="1:20" x14ac:dyDescent="0.35">
      <c r="D94" s="2"/>
      <c r="E94" s="2"/>
      <c r="F94" s="239" t="s">
        <v>259</v>
      </c>
      <c r="G94" s="2">
        <f t="shared" si="22"/>
        <v>-0.12739695836309936</v>
      </c>
      <c r="I94" s="5" t="s">
        <v>8</v>
      </c>
      <c r="J94" s="147" t="s">
        <v>179</v>
      </c>
      <c r="K94" s="6">
        <f>'Feedstock MIX per IVC'!J22</f>
        <v>0.60142905146453718</v>
      </c>
      <c r="L94" s="2">
        <f t="shared" si="20"/>
        <v>1415099.0872024214</v>
      </c>
      <c r="M94" s="5" t="s">
        <v>210</v>
      </c>
      <c r="N94" s="34">
        <v>0.4</v>
      </c>
      <c r="O94" s="2">
        <f t="shared" si="21"/>
        <v>569400460.90071285</v>
      </c>
      <c r="P94" s="18" t="s">
        <v>218</v>
      </c>
      <c r="Q94" s="34">
        <v>0.15</v>
      </c>
      <c r="R94" s="2">
        <f>Q94*R$91</f>
        <v>116600626.40707004</v>
      </c>
    </row>
    <row r="95" spans="1:20" x14ac:dyDescent="0.35">
      <c r="D95" s="2"/>
      <c r="E95" s="2"/>
      <c r="F95" s="152" t="s">
        <v>180</v>
      </c>
      <c r="G95" s="2">
        <f t="shared" si="22"/>
        <v>3.1655067061236375</v>
      </c>
      <c r="I95" s="5" t="s">
        <v>20</v>
      </c>
      <c r="J95" s="150" t="s">
        <v>178</v>
      </c>
      <c r="K95" s="6">
        <f>'Feedstock MIX per IVC'!J23</f>
        <v>4.2754617327892195</v>
      </c>
      <c r="L95" s="2">
        <f t="shared" si="20"/>
        <v>10059710.252948519</v>
      </c>
      <c r="M95" t="s">
        <v>213</v>
      </c>
      <c r="N95" s="34">
        <v>0.3</v>
      </c>
      <c r="O95" s="2">
        <f t="shared" si="21"/>
        <v>427050345.67553455</v>
      </c>
      <c r="P95" s="18" t="s">
        <v>219</v>
      </c>
      <c r="Q95" s="34">
        <v>0.1</v>
      </c>
      <c r="R95" s="2">
        <f>Q95*R$91</f>
        <v>77733750.938046694</v>
      </c>
    </row>
    <row r="96" spans="1:20" x14ac:dyDescent="0.35">
      <c r="D96" s="2"/>
      <c r="E96" s="2"/>
      <c r="G96" s="2">
        <f>SUM(G92:G95)</f>
        <v>1</v>
      </c>
      <c r="I96" s="5" t="s">
        <v>4</v>
      </c>
      <c r="J96" s="147" t="s">
        <v>179</v>
      </c>
      <c r="K96" s="6">
        <f>'Feedstock MIX per IVC'!J24</f>
        <v>19.140416664021007</v>
      </c>
      <c r="L96" s="2">
        <f t="shared" si="20"/>
        <v>45035380.455889441</v>
      </c>
      <c r="M96" t="s">
        <v>214</v>
      </c>
      <c r="N96" s="34">
        <v>0.2</v>
      </c>
      <c r="O96" s="2">
        <f t="shared" si="21"/>
        <v>284700230.45035642</v>
      </c>
      <c r="P96" s="18" t="s">
        <v>220</v>
      </c>
      <c r="Q96" s="34">
        <v>0.05</v>
      </c>
      <c r="R96" s="2">
        <f>Q96*R$91</f>
        <v>38866875.469023347</v>
      </c>
    </row>
    <row r="97" spans="1:18" x14ac:dyDescent="0.35">
      <c r="D97" s="2"/>
      <c r="E97" s="2"/>
      <c r="F97" s="239"/>
      <c r="G97" s="2"/>
      <c r="I97" s="5" t="s">
        <v>21</v>
      </c>
      <c r="J97" s="147" t="s">
        <v>179</v>
      </c>
      <c r="K97" s="6">
        <f>'Feedstock MIX per IVC'!J25</f>
        <v>0</v>
      </c>
      <c r="L97" s="2">
        <f t="shared" si="20"/>
        <v>0</v>
      </c>
      <c r="M97" t="s">
        <v>216</v>
      </c>
      <c r="N97" s="34">
        <v>0.03</v>
      </c>
      <c r="O97" s="2">
        <f t="shared" si="21"/>
        <v>42705034.567553453</v>
      </c>
      <c r="R97" s="2"/>
    </row>
    <row r="98" spans="1:18" x14ac:dyDescent="0.35">
      <c r="D98" s="2"/>
      <c r="E98" s="2"/>
      <c r="G98" s="2"/>
      <c r="I98" s="5" t="s">
        <v>22</v>
      </c>
      <c r="J98" s="152" t="s">
        <v>180</v>
      </c>
      <c r="K98" s="6">
        <f>'Feedstock MIX per IVC'!J26</f>
        <v>0</v>
      </c>
      <c r="L98" s="2">
        <f t="shared" si="20"/>
        <v>0</v>
      </c>
      <c r="N98" s="34">
        <f>SUM(N92:N97)</f>
        <v>1</v>
      </c>
      <c r="O98" s="2"/>
    </row>
    <row r="99" spans="1:18" x14ac:dyDescent="0.35">
      <c r="D99" s="2"/>
      <c r="E99" s="2"/>
      <c r="G99" s="2"/>
      <c r="I99" s="12" t="s">
        <v>23</v>
      </c>
      <c r="J99" s="152" t="s">
        <v>180</v>
      </c>
      <c r="K99" s="6">
        <f>'Feedstock MIX per IVC'!J27</f>
        <v>-40.019584398382889</v>
      </c>
      <c r="L99" s="2">
        <f t="shared" si="20"/>
        <v>-94161858.683860287</v>
      </c>
      <c r="M99" s="2"/>
    </row>
    <row r="100" spans="1:18" s="78" customFormat="1" x14ac:dyDescent="0.35">
      <c r="D100" s="93"/>
      <c r="E100" s="93"/>
      <c r="F100" s="213"/>
      <c r="G100" s="220"/>
      <c r="I100" s="13" t="s">
        <v>24</v>
      </c>
      <c r="J100" s="239" t="s">
        <v>259</v>
      </c>
      <c r="K100" s="6">
        <f>'Feedstock MIX per IVC'!J28</f>
        <v>1.6106025987708632</v>
      </c>
      <c r="L100" s="2">
        <f t="shared" si="20"/>
        <v>3789577.942429815</v>
      </c>
    </row>
    <row r="101" spans="1:18" s="202" customFormat="1" x14ac:dyDescent="0.35">
      <c r="A101" s="202" t="s">
        <v>59</v>
      </c>
      <c r="B101" s="202">
        <v>1275</v>
      </c>
      <c r="C101" s="202">
        <f>B101*F101</f>
        <v>2897822454.2762537</v>
      </c>
      <c r="D101" s="202">
        <f>'[2]GAP analysis Sc. 2'!$C$56+'[2]GAP analysis Sc. 2'!$E$43</f>
        <v>2.7164184657285873</v>
      </c>
      <c r="E101" s="202">
        <f>'[1]Conversion factors selected IV '!$O$52</f>
        <v>0.83669064748201449</v>
      </c>
      <c r="F101" s="202">
        <f>D101*E101*1000000</f>
        <v>2272801.924922552</v>
      </c>
      <c r="G101" s="202">
        <f>'LCoP 2030 HIGH'!E13</f>
        <v>1307.8933695255294</v>
      </c>
      <c r="H101" s="202">
        <f>G101*F101</f>
        <v>2972582567.8510656</v>
      </c>
      <c r="I101" s="256">
        <f>'LCoP 2030 HIGH'!H13</f>
        <v>0.18189049280969366</v>
      </c>
      <c r="L101" s="202">
        <f>I101*H101</f>
        <v>540684508.18393493</v>
      </c>
      <c r="M101" s="256">
        <f>'LCoP 2030 HIGH'!F13</f>
        <v>0.61167065958153743</v>
      </c>
      <c r="O101" s="202">
        <f>M101*H101</f>
        <v>1818241539.9380417</v>
      </c>
      <c r="P101" s="256">
        <f>'LCoP 2030 HIGH'!G13</f>
        <v>0.20643884760876888</v>
      </c>
      <c r="R101" s="202">
        <v>299326405.695804</v>
      </c>
    </row>
    <row r="102" spans="1:18" s="78" customFormat="1" x14ac:dyDescent="0.35">
      <c r="C102" s="78" t="s">
        <v>390</v>
      </c>
      <c r="D102" s="2">
        <f>'[2]GAP analysis Sc. 2'!$C$56</f>
        <v>0.36997008308772433</v>
      </c>
      <c r="E102" s="93"/>
      <c r="F102" s="150" t="s">
        <v>178</v>
      </c>
      <c r="G102" s="2">
        <f>SUMIF($J$102:$J$111,F102,$L$102:$L$111)/$L$101</f>
        <v>1.3128563940910873E-2</v>
      </c>
      <c r="I102" s="5" t="s">
        <v>4</v>
      </c>
      <c r="J102" s="147" t="s">
        <v>179</v>
      </c>
      <c r="K102" s="212">
        <f>'Feedstock MIX per IVC'!J45</f>
        <v>131.94870032235852</v>
      </c>
      <c r="L102" s="2">
        <f t="shared" ref="L102:L111" si="23">K102*F$101</f>
        <v>299893260.0836854</v>
      </c>
      <c r="M102" s="5" t="s">
        <v>211</v>
      </c>
      <c r="N102" s="34">
        <v>0</v>
      </c>
      <c r="O102" s="2">
        <f t="shared" ref="O102:O107" si="24">N102*O$101</f>
        <v>0</v>
      </c>
      <c r="P102" s="18" t="s">
        <v>217</v>
      </c>
      <c r="Q102" s="34">
        <v>0.25</v>
      </c>
      <c r="R102" s="102">
        <f>Q102*R$101</f>
        <v>74831601.423951</v>
      </c>
    </row>
    <row r="103" spans="1:18" s="78" customFormat="1" x14ac:dyDescent="0.35">
      <c r="C103" s="78" t="s">
        <v>388</v>
      </c>
      <c r="D103" s="93">
        <f>D101-D102</f>
        <v>2.3464483826408631</v>
      </c>
      <c r="E103" s="93"/>
      <c r="F103" s="147" t="s">
        <v>179</v>
      </c>
      <c r="G103" s="2">
        <f t="shared" ref="G103:G106" si="25">SUMIF($J$102:$J$111,F103,$L$102:$L$111)/$L$101</f>
        <v>0.6227762740063022</v>
      </c>
      <c r="I103" s="5" t="s">
        <v>5</v>
      </c>
      <c r="J103" s="147" t="s">
        <v>179</v>
      </c>
      <c r="K103" s="212">
        <f>'Feedstock MIX per IVC'!J46</f>
        <v>6.1584666021445331</v>
      </c>
      <c r="L103" s="2">
        <f t="shared" si="23"/>
        <v>13996974.747925343</v>
      </c>
      <c r="M103" t="s">
        <v>212</v>
      </c>
      <c r="N103" s="34">
        <v>0.02</v>
      </c>
      <c r="O103" s="2">
        <f t="shared" si="24"/>
        <v>36364830.798760831</v>
      </c>
      <c r="P103" s="18" t="s">
        <v>177</v>
      </c>
      <c r="Q103" s="34">
        <v>0.15</v>
      </c>
      <c r="R103" s="102">
        <f>Q103*R$101</f>
        <v>44898960.854370601</v>
      </c>
    </row>
    <row r="104" spans="1:18" s="78" customFormat="1" x14ac:dyDescent="0.35">
      <c r="D104" s="93"/>
      <c r="E104" s="93"/>
      <c r="F104" s="171" t="s">
        <v>222</v>
      </c>
      <c r="G104" s="2">
        <f t="shared" si="25"/>
        <v>0.13461651697916679</v>
      </c>
      <c r="I104" s="5" t="s">
        <v>22</v>
      </c>
      <c r="J104" s="152" t="s">
        <v>180</v>
      </c>
      <c r="K104" s="212">
        <f>'Feedstock MIX per IVC'!J47</f>
        <v>0</v>
      </c>
      <c r="L104" s="2">
        <f t="shared" si="23"/>
        <v>0</v>
      </c>
      <c r="M104" s="5" t="s">
        <v>210</v>
      </c>
      <c r="N104" s="34">
        <v>0.55000000000000004</v>
      </c>
      <c r="O104" s="2">
        <f t="shared" si="24"/>
        <v>1000032846.965923</v>
      </c>
      <c r="P104" s="18" t="s">
        <v>218</v>
      </c>
      <c r="Q104" s="34">
        <v>0.3</v>
      </c>
      <c r="R104" s="102">
        <f>Q104*R$101</f>
        <v>89797921.708741203</v>
      </c>
    </row>
    <row r="105" spans="1:18" s="78" customFormat="1" x14ac:dyDescent="0.35">
      <c r="D105" s="93"/>
      <c r="E105" s="93"/>
      <c r="F105" s="149" t="s">
        <v>176</v>
      </c>
      <c r="G105" s="2">
        <f t="shared" si="25"/>
        <v>0.15544364025355678</v>
      </c>
      <c r="I105" s="5" t="s">
        <v>6</v>
      </c>
      <c r="J105" s="150" t="s">
        <v>178</v>
      </c>
      <c r="K105" s="212">
        <f>'Feedstock MIX per IVC'!J48</f>
        <v>3.1231983129346497</v>
      </c>
      <c r="L105" s="2">
        <f t="shared" si="23"/>
        <v>7098411.1375527382</v>
      </c>
      <c r="M105" t="s">
        <v>213</v>
      </c>
      <c r="N105" s="34">
        <v>0.1</v>
      </c>
      <c r="O105" s="2">
        <f t="shared" si="24"/>
        <v>181824153.99380419</v>
      </c>
      <c r="P105" s="18" t="s">
        <v>219</v>
      </c>
      <c r="Q105" s="34">
        <v>0.3</v>
      </c>
      <c r="R105" s="102">
        <f>Q105*R$101</f>
        <v>89797921.708741203</v>
      </c>
    </row>
    <row r="106" spans="1:18" s="78" customFormat="1" x14ac:dyDescent="0.35">
      <c r="D106" s="93"/>
      <c r="E106" s="93"/>
      <c r="F106" s="152" t="s">
        <v>180</v>
      </c>
      <c r="G106" s="2">
        <f t="shared" si="25"/>
        <v>2.4285991329623696E-2</v>
      </c>
      <c r="I106" s="5" t="s">
        <v>7</v>
      </c>
      <c r="J106" s="147" t="s">
        <v>179</v>
      </c>
      <c r="K106" s="212">
        <f>'Feedstock MIX per IVC'!J49</f>
        <v>5.9010950254144312</v>
      </c>
      <c r="L106" s="2">
        <f t="shared" si="23"/>
        <v>13412020.132912815</v>
      </c>
      <c r="M106" t="s">
        <v>214</v>
      </c>
      <c r="N106" s="34">
        <v>0.3</v>
      </c>
      <c r="O106" s="2">
        <f t="shared" si="24"/>
        <v>545472461.98141253</v>
      </c>
      <c r="P106" s="18" t="s">
        <v>220</v>
      </c>
      <c r="Q106" s="223">
        <v>0</v>
      </c>
      <c r="R106" s="102">
        <f>Q106*R$101</f>
        <v>0</v>
      </c>
    </row>
    <row r="107" spans="1:18" s="78" customFormat="1" x14ac:dyDescent="0.35">
      <c r="D107" s="93"/>
      <c r="E107" s="93"/>
      <c r="F107" s="151" t="s">
        <v>77</v>
      </c>
      <c r="G107" s="2">
        <f>SUMIF($J$102:$J$111,F107,$L$102:$L$111)/$L$101/2</f>
        <v>2.4874506745219876E-2</v>
      </c>
      <c r="I107" s="5" t="s">
        <v>8</v>
      </c>
      <c r="J107" s="147" t="s">
        <v>179</v>
      </c>
      <c r="K107" s="212">
        <f>'Feedstock MIX per IVC'!J50</f>
        <v>4.1460843339960558</v>
      </c>
      <c r="L107" s="2">
        <f t="shared" si="23"/>
        <v>9423228.4551974721</v>
      </c>
      <c r="M107" t="s">
        <v>216</v>
      </c>
      <c r="N107" s="34">
        <v>0.03</v>
      </c>
      <c r="O107" s="2">
        <f t="shared" si="24"/>
        <v>54547246.198141247</v>
      </c>
      <c r="P107"/>
      <c r="Q107"/>
      <c r="R107" s="102"/>
    </row>
    <row r="108" spans="1:18" s="78" customFormat="1" x14ac:dyDescent="0.35">
      <c r="D108" s="93"/>
      <c r="E108" s="93"/>
      <c r="F108" s="190" t="s">
        <v>78</v>
      </c>
      <c r="G108" s="90">
        <f>G107</f>
        <v>2.4874506745219876E-2</v>
      </c>
      <c r="I108" s="5" t="s">
        <v>9</v>
      </c>
      <c r="J108" s="171" t="s">
        <v>222</v>
      </c>
      <c r="K108" s="212">
        <f>'Feedstock MIX per IVC'!J51</f>
        <v>32.024376817964615</v>
      </c>
      <c r="L108" s="2">
        <f t="shared" si="23"/>
        <v>72785065.276315123</v>
      </c>
      <c r="M108"/>
      <c r="N108" s="118"/>
      <c r="O108" s="2"/>
      <c r="P108" s="18"/>
      <c r="Q108" s="118"/>
      <c r="R108" s="2"/>
    </row>
    <row r="109" spans="1:18" s="78" customFormat="1" x14ac:dyDescent="0.35">
      <c r="D109" s="93"/>
      <c r="E109" s="93"/>
      <c r="F109" s="213"/>
      <c r="G109" s="276">
        <f>SUM(G102:G108)</f>
        <v>1.0000000000000002</v>
      </c>
      <c r="I109" s="5" t="s">
        <v>10</v>
      </c>
      <c r="J109" s="149" t="s">
        <v>176</v>
      </c>
      <c r="K109" s="212">
        <f>'Feedstock MIX per IVC'!J52</f>
        <v>36.979011351232828</v>
      </c>
      <c r="L109" s="2">
        <f t="shared" si="23"/>
        <v>84045968.180814862</v>
      </c>
    </row>
    <row r="110" spans="1:18" s="78" customFormat="1" x14ac:dyDescent="0.35">
      <c r="D110" s="93"/>
      <c r="E110" s="93"/>
      <c r="F110" s="213"/>
      <c r="G110" s="220"/>
      <c r="I110" s="5" t="s">
        <v>11</v>
      </c>
      <c r="J110" s="152" t="s">
        <v>180</v>
      </c>
      <c r="K110" s="212">
        <f>'Feedstock MIX per IVC'!J53</f>
        <v>5.7774763096719699</v>
      </c>
      <c r="L110" s="2">
        <f t="shared" si="23"/>
        <v>13131059.277816895</v>
      </c>
    </row>
    <row r="111" spans="1:18" s="78" customFormat="1" x14ac:dyDescent="0.35">
      <c r="D111" s="93"/>
      <c r="E111" s="93"/>
      <c r="F111" s="213"/>
      <c r="G111" s="220"/>
      <c r="I111" s="235" t="s">
        <v>32</v>
      </c>
      <c r="J111" s="151" t="s">
        <v>77</v>
      </c>
      <c r="K111" s="212">
        <f>'Feedstock MIX per IVC'!J54</f>
        <v>11.834960449811724</v>
      </c>
      <c r="L111" s="2">
        <f t="shared" si="23"/>
        <v>26898520.891714361</v>
      </c>
    </row>
    <row r="112" spans="1:18" s="78" customFormat="1" x14ac:dyDescent="0.35">
      <c r="D112" s="93"/>
      <c r="E112" s="93"/>
      <c r="F112" s="213"/>
      <c r="G112" s="220"/>
      <c r="I112" s="14"/>
      <c r="K112" s="6"/>
      <c r="L112" s="2"/>
    </row>
    <row r="113" spans="1:19" s="78" customFormat="1" x14ac:dyDescent="0.35">
      <c r="D113" s="93"/>
      <c r="E113" s="93"/>
      <c r="F113" s="213"/>
      <c r="G113" s="220"/>
      <c r="I113" s="14" t="s">
        <v>181</v>
      </c>
      <c r="K113" s="6"/>
      <c r="L113" s="2">
        <f>SUM(L114:L120)</f>
        <v>510938288.24963337</v>
      </c>
      <c r="O113" s="2">
        <f>SUM(O114:O120)</f>
        <v>3241742692.1898236</v>
      </c>
      <c r="R113" s="2">
        <f>SUM(R114:R120)</f>
        <v>1076663915.0762711</v>
      </c>
    </row>
    <row r="114" spans="1:19" s="78" customFormat="1" x14ac:dyDescent="0.35">
      <c r="D114" s="93"/>
      <c r="E114" s="93"/>
      <c r="F114" s="213"/>
      <c r="G114" s="220"/>
      <c r="J114" s="150" t="s">
        <v>178</v>
      </c>
      <c r="K114" s="6"/>
      <c r="L114" s="2">
        <f t="shared" ref="L114:L120" si="26">SUMIF($J$92:$J$111, J114, $L$92:$L$111)</f>
        <v>17158121.390501257</v>
      </c>
      <c r="M114" s="5" t="s">
        <v>211</v>
      </c>
      <c r="O114" s="2">
        <f t="shared" ref="O114:O120" si="27">SUMIF(M92:M107,M114,O92:O107)</f>
        <v>71175057.612589106</v>
      </c>
      <c r="P114" s="18" t="s">
        <v>217</v>
      </c>
      <c r="R114">
        <f>SUMIF($P$92:$P$106, P114, $R$92:$R$106)</f>
        <v>230299103.30004439</v>
      </c>
    </row>
    <row r="115" spans="1:19" s="78" customFormat="1" x14ac:dyDescent="0.35">
      <c r="D115" s="93"/>
      <c r="E115" s="93"/>
      <c r="F115" s="213"/>
      <c r="G115" s="220"/>
      <c r="I115" s="14"/>
      <c r="J115" s="147" t="s">
        <v>179</v>
      </c>
      <c r="K115" s="6"/>
      <c r="L115" s="2">
        <f t="shared" si="26"/>
        <v>387291833.97390139</v>
      </c>
      <c r="M115" t="s">
        <v>212</v>
      </c>
      <c r="O115" s="2">
        <f t="shared" si="27"/>
        <v>64834853.843796469</v>
      </c>
      <c r="P115" s="18" t="s">
        <v>177</v>
      </c>
      <c r="R115">
        <f>SUMIF($P$92:$P$106, P115, $R$92:$R$106)</f>
        <v>433567715.54460406</v>
      </c>
    </row>
    <row r="116" spans="1:19" s="78" customFormat="1" x14ac:dyDescent="0.35">
      <c r="D116" s="93"/>
      <c r="E116" s="93"/>
      <c r="F116" s="213"/>
      <c r="G116" s="220"/>
      <c r="I116" s="14"/>
      <c r="J116" s="171" t="s">
        <v>222</v>
      </c>
      <c r="K116" s="6"/>
      <c r="L116" s="2">
        <f t="shared" si="26"/>
        <v>72785065.276315123</v>
      </c>
      <c r="M116" s="5" t="s">
        <v>210</v>
      </c>
      <c r="O116" s="2">
        <f t="shared" si="27"/>
        <v>1569433307.8666358</v>
      </c>
      <c r="P116" s="18" t="s">
        <v>218</v>
      </c>
      <c r="R116">
        <f>SUMIF($P$92:$P$106, P116, $R$92:$R$106)</f>
        <v>206398548.11581123</v>
      </c>
    </row>
    <row r="117" spans="1:19" s="78" customFormat="1" x14ac:dyDescent="0.35">
      <c r="D117" s="93"/>
      <c r="E117" s="93"/>
      <c r="F117" s="213"/>
      <c r="G117" s="220"/>
      <c r="I117" s="14"/>
      <c r="J117" s="149" t="s">
        <v>176</v>
      </c>
      <c r="K117" s="6"/>
      <c r="L117" s="2">
        <f t="shared" si="26"/>
        <v>84045968.180814862</v>
      </c>
      <c r="M117" t="s">
        <v>213</v>
      </c>
      <c r="O117" s="2">
        <f t="shared" si="27"/>
        <v>608874499.6693387</v>
      </c>
      <c r="P117" s="18" t="s">
        <v>219</v>
      </c>
      <c r="R117">
        <f>SUMIF($P$92:$P$106, P117, $R$92:$R$106)</f>
        <v>167531672.64678788</v>
      </c>
    </row>
    <row r="118" spans="1:19" s="78" customFormat="1" x14ac:dyDescent="0.35">
      <c r="D118" s="93"/>
      <c r="E118" s="93"/>
      <c r="F118" s="213"/>
      <c r="G118" s="220"/>
      <c r="I118" s="14"/>
      <c r="J118" s="152" t="s">
        <v>180</v>
      </c>
      <c r="K118" s="6"/>
      <c r="L118" s="2">
        <f t="shared" si="26"/>
        <v>-81030799.406043395</v>
      </c>
      <c r="M118" t="s">
        <v>214</v>
      </c>
      <c r="O118" s="2">
        <f t="shared" si="27"/>
        <v>830172692.43176889</v>
      </c>
      <c r="P118" s="18" t="s">
        <v>220</v>
      </c>
      <c r="R118">
        <f>SUMIF($P$92:$P$106, P118, $R$92:$R$106)</f>
        <v>38866875.469023347</v>
      </c>
    </row>
    <row r="119" spans="1:19" s="78" customFormat="1" x14ac:dyDescent="0.35">
      <c r="D119" s="93"/>
      <c r="E119" s="93"/>
      <c r="F119" s="213"/>
      <c r="G119" s="220"/>
      <c r="I119" s="14"/>
      <c r="J119" s="151" t="s">
        <v>77</v>
      </c>
      <c r="K119" s="6"/>
      <c r="L119" s="2">
        <f t="shared" si="26"/>
        <v>26898520.891714361</v>
      </c>
      <c r="M119" t="s">
        <v>216</v>
      </c>
      <c r="O119" s="2">
        <f t="shared" si="27"/>
        <v>97252280.765694708</v>
      </c>
      <c r="R119">
        <f>SUMIF(P97:P111, P119, R97:R111)</f>
        <v>0</v>
      </c>
    </row>
    <row r="120" spans="1:19" s="78" customFormat="1" x14ac:dyDescent="0.35">
      <c r="D120" s="93"/>
      <c r="E120" s="93"/>
      <c r="F120" s="213"/>
      <c r="G120" s="220"/>
      <c r="I120" s="14"/>
      <c r="J120" s="239" t="s">
        <v>259</v>
      </c>
      <c r="K120" s="6"/>
      <c r="L120" s="2">
        <f t="shared" si="26"/>
        <v>3789577.942429815</v>
      </c>
      <c r="O120" s="2">
        <f t="shared" si="27"/>
        <v>0</v>
      </c>
    </row>
    <row r="121" spans="1:19" s="78" customFormat="1" x14ac:dyDescent="0.35">
      <c r="D121" s="93"/>
      <c r="E121" s="93"/>
      <c r="F121" s="213"/>
      <c r="G121" s="220"/>
      <c r="I121" s="14"/>
      <c r="K121" s="6"/>
    </row>
    <row r="122" spans="1:19" s="91" customFormat="1" ht="26" customHeight="1" x14ac:dyDescent="0.35">
      <c r="A122" s="91" t="s">
        <v>80</v>
      </c>
      <c r="D122" s="92"/>
      <c r="E122" s="92"/>
      <c r="F122" s="169"/>
      <c r="I122" s="94"/>
    </row>
    <row r="123" spans="1:19" ht="16" customHeight="1" x14ac:dyDescent="0.35">
      <c r="B123" s="2">
        <f>C123/1000000</f>
        <v>3769.095566810302</v>
      </c>
      <c r="C123" s="2">
        <f>C124+C131+C138</f>
        <v>3769095566.8103018</v>
      </c>
      <c r="D123" s="2">
        <f>D124+D131+D138</f>
        <v>1.6264714048558671</v>
      </c>
      <c r="E123" s="2"/>
      <c r="F123" s="2">
        <f>F124+F131</f>
        <v>1194183.8320582663</v>
      </c>
      <c r="H123" s="2">
        <f>H124+H131</f>
        <v>3001974888.4613652</v>
      </c>
      <c r="I123" s="6"/>
      <c r="L123" s="2">
        <f>L124+L131</f>
        <v>1270408331.9768791</v>
      </c>
      <c r="O123" s="2">
        <f>O124+O131</f>
        <v>895637874.04369974</v>
      </c>
      <c r="R123" s="2">
        <f>R124+R131</f>
        <v>835928682.44078648</v>
      </c>
    </row>
    <row r="124" spans="1:19" s="202" customFormat="1" x14ac:dyDescent="0.35">
      <c r="A124" s="202" t="s">
        <v>74</v>
      </c>
      <c r="B124" s="202">
        <v>2380</v>
      </c>
      <c r="C124" s="202">
        <f>B124*F124</f>
        <v>0</v>
      </c>
      <c r="D124" s="202">
        <v>0</v>
      </c>
      <c r="E124" s="202">
        <f>'[1]Conversion factors selected IV '!$O$78</f>
        <v>0.97367441860465131</v>
      </c>
      <c r="F124" s="202">
        <f>D124*E124*1000000</f>
        <v>0</v>
      </c>
      <c r="G124" s="202">
        <f>'LCoP 2030 HIGH'!E4</f>
        <v>2356.1028145761193</v>
      </c>
      <c r="H124" s="202">
        <f>G124*F124</f>
        <v>0</v>
      </c>
      <c r="I124" s="209">
        <f>'LCoP 2030 HIGH'!H4</f>
        <v>0.66024402880567168</v>
      </c>
      <c r="K124" s="202">
        <f>I124*G124</f>
        <v>1555.6028145761195</v>
      </c>
      <c r="L124" s="202">
        <f>I124*H124</f>
        <v>0</v>
      </c>
      <c r="M124" s="209">
        <f>'LCoP 2030 HIGH'!F4</f>
        <v>0.15958556548290753</v>
      </c>
      <c r="O124" s="202">
        <f>M124*H124</f>
        <v>0</v>
      </c>
      <c r="P124" s="209">
        <f>'LCoP 2030 HIGH'!G4</f>
        <v>0.18017040571142087</v>
      </c>
      <c r="R124" s="202">
        <f>P124*H124</f>
        <v>0</v>
      </c>
      <c r="S124" s="202">
        <f>SUM(L124,O124,R124)</f>
        <v>0</v>
      </c>
    </row>
    <row r="125" spans="1:19" x14ac:dyDescent="0.35">
      <c r="C125">
        <f>C124/$C$123</f>
        <v>0</v>
      </c>
      <c r="D125" s="2"/>
      <c r="E125" s="2"/>
      <c r="F125" s="147" t="s">
        <v>179</v>
      </c>
      <c r="G125" s="2"/>
      <c r="I125" s="4" t="s">
        <v>1</v>
      </c>
      <c r="J125" s="147" t="s">
        <v>179</v>
      </c>
      <c r="K125" s="6">
        <f>'Feedstock MIX per IVC'!J9</f>
        <v>499.57299247876324</v>
      </c>
      <c r="L125" s="2">
        <f>K125*F$124</f>
        <v>0</v>
      </c>
      <c r="M125" s="5" t="s">
        <v>210</v>
      </c>
      <c r="N125" s="118">
        <v>0.45</v>
      </c>
      <c r="O125" s="2">
        <f t="shared" ref="O125:O130" si="28">N125*$O$124</f>
        <v>0</v>
      </c>
      <c r="P125" s="18" t="s">
        <v>217</v>
      </c>
      <c r="Q125" s="118">
        <v>0.35</v>
      </c>
      <c r="R125" s="2">
        <f t="shared" ref="R125:R130" si="29">Q125*$R$124</f>
        <v>0</v>
      </c>
    </row>
    <row r="126" spans="1:19" x14ac:dyDescent="0.35">
      <c r="D126" s="2"/>
      <c r="E126" s="2"/>
      <c r="F126" s="151" t="s">
        <v>77</v>
      </c>
      <c r="G126" s="2"/>
      <c r="I126" s="215" t="s">
        <v>132</v>
      </c>
      <c r="J126" s="147" t="s">
        <v>179</v>
      </c>
      <c r="K126" s="6">
        <f>'Feedstock MIX per IVC'!J10</f>
        <v>170.74781459314019</v>
      </c>
      <c r="L126" s="2">
        <f>K126*F$124</f>
        <v>0</v>
      </c>
      <c r="M126" t="s">
        <v>213</v>
      </c>
      <c r="N126" s="118">
        <v>0.15</v>
      </c>
      <c r="O126" s="2">
        <f t="shared" si="28"/>
        <v>0</v>
      </c>
      <c r="P126" s="18" t="s">
        <v>177</v>
      </c>
      <c r="Q126" s="118">
        <v>0.25</v>
      </c>
      <c r="R126" s="2">
        <f t="shared" si="29"/>
        <v>0</v>
      </c>
    </row>
    <row r="127" spans="1:19" x14ac:dyDescent="0.35">
      <c r="D127" s="2"/>
      <c r="E127" s="2"/>
      <c r="F127" s="239" t="s">
        <v>259</v>
      </c>
      <c r="G127" s="2"/>
      <c r="I127" s="216" t="s">
        <v>300</v>
      </c>
      <c r="J127" s="151" t="s">
        <v>77</v>
      </c>
      <c r="K127" s="6">
        <f>'Feedstock MIX per IVC'!J11*0.85</f>
        <v>752.48970637858361</v>
      </c>
      <c r="L127" s="2">
        <f>K127*F$124</f>
        <v>0</v>
      </c>
      <c r="M127" s="5" t="s">
        <v>214</v>
      </c>
      <c r="N127" s="118">
        <v>0.3</v>
      </c>
      <c r="O127" s="2">
        <f t="shared" si="28"/>
        <v>0</v>
      </c>
      <c r="P127" s="18" t="s">
        <v>218</v>
      </c>
      <c r="Q127" s="118">
        <v>0.2</v>
      </c>
      <c r="R127" s="2">
        <f t="shared" si="29"/>
        <v>0</v>
      </c>
    </row>
    <row r="128" spans="1:19" x14ac:dyDescent="0.35">
      <c r="D128" s="2"/>
      <c r="E128" s="2"/>
      <c r="F128" s="1" t="s">
        <v>78</v>
      </c>
      <c r="G128" s="2"/>
      <c r="I128" s="217" t="s">
        <v>301</v>
      </c>
      <c r="J128" s="239" t="s">
        <v>259</v>
      </c>
      <c r="K128" s="6">
        <f>'Feedstock MIX per IVC'!J11*0.15</f>
        <v>132.79230112563241</v>
      </c>
      <c r="L128" s="2">
        <f>K128*F$124</f>
        <v>0</v>
      </c>
      <c r="M128" t="s">
        <v>211</v>
      </c>
      <c r="N128" s="118">
        <v>0.05</v>
      </c>
      <c r="O128" s="2">
        <f t="shared" si="28"/>
        <v>0</v>
      </c>
      <c r="P128" s="18" t="s">
        <v>219</v>
      </c>
      <c r="Q128" s="118">
        <v>0.15</v>
      </c>
      <c r="R128" s="2">
        <f t="shared" si="29"/>
        <v>0</v>
      </c>
    </row>
    <row r="129" spans="1:19" x14ac:dyDescent="0.35">
      <c r="D129" s="2"/>
      <c r="E129" s="2"/>
      <c r="G129" s="2">
        <f>SUM(G125:G128)</f>
        <v>0</v>
      </c>
      <c r="L129" s="2"/>
      <c r="M129" t="s">
        <v>216</v>
      </c>
      <c r="N129" s="118">
        <v>0.03</v>
      </c>
      <c r="O129" s="2">
        <f t="shared" si="28"/>
        <v>0</v>
      </c>
      <c r="P129" s="102" t="s">
        <v>220</v>
      </c>
      <c r="Q129" s="118">
        <v>0.05</v>
      </c>
      <c r="R129" s="2">
        <f t="shared" si="29"/>
        <v>0</v>
      </c>
    </row>
    <row r="130" spans="1:19" x14ac:dyDescent="0.35">
      <c r="D130" s="2"/>
      <c r="E130" s="2"/>
      <c r="G130" s="2"/>
      <c r="L130" s="2">
        <f>SUM(L125:L128)</f>
        <v>0</v>
      </c>
      <c r="M130" t="s">
        <v>212</v>
      </c>
      <c r="N130" s="118">
        <v>0.02</v>
      </c>
      <c r="O130" s="2">
        <f t="shared" si="28"/>
        <v>0</v>
      </c>
      <c r="P130" t="s">
        <v>262</v>
      </c>
      <c r="Q130" s="118">
        <v>0</v>
      </c>
      <c r="R130" s="2">
        <f t="shared" si="29"/>
        <v>0</v>
      </c>
    </row>
    <row r="131" spans="1:19" s="202" customFormat="1" x14ac:dyDescent="0.35">
      <c r="A131" s="202" t="s">
        <v>88</v>
      </c>
      <c r="B131" s="202">
        <v>2380</v>
      </c>
      <c r="C131" s="202">
        <f>B131*F131</f>
        <v>2842157520.2986736</v>
      </c>
      <c r="D131" s="202">
        <f>'[2]GAP analysis Sc. 2'!$C$60</f>
        <v>1.2264714048558671</v>
      </c>
      <c r="E131" s="202">
        <f>'[1]Conversion factors selected IV '!$O$27</f>
        <v>0.97367441860465131</v>
      </c>
      <c r="F131" s="202">
        <f>D131*E131*1000000</f>
        <v>1194183.8320582663</v>
      </c>
      <c r="G131" s="202">
        <f>'LCoP 2030 HIGH'!E6</f>
        <v>2513.8297872340427</v>
      </c>
      <c r="H131" s="202">
        <f>G131*F131</f>
        <v>3001974888.4613652</v>
      </c>
      <c r="I131" s="202">
        <f>'LCoP 2030 HIGH'!H6</f>
        <v>0.42319085907744397</v>
      </c>
      <c r="L131" s="202">
        <f>I131*H131</f>
        <v>1270408331.9768791</v>
      </c>
      <c r="M131" s="202">
        <f>'LCoP 2030 HIGH'!F6</f>
        <v>0.29834955564959798</v>
      </c>
      <c r="O131" s="202">
        <f>M131*H131</f>
        <v>895637874.04369974</v>
      </c>
      <c r="P131" s="202">
        <f>'LCoP 2030 HIGH'!G6</f>
        <v>0.27845958527295811</v>
      </c>
      <c r="R131" s="202">
        <f>P131*H131</f>
        <v>835928682.44078648</v>
      </c>
      <c r="S131" s="202">
        <f>L131+O131+R131</f>
        <v>3001974888.4613652</v>
      </c>
    </row>
    <row r="132" spans="1:19" x14ac:dyDescent="0.35">
      <c r="C132">
        <f>C131/$C$123</f>
        <v>0.75406883957148518</v>
      </c>
      <c r="D132" s="2"/>
      <c r="E132" s="2"/>
      <c r="G132" s="2"/>
      <c r="I132" s="8" t="s">
        <v>16</v>
      </c>
      <c r="J132" s="241" t="s">
        <v>81</v>
      </c>
      <c r="L132" s="2">
        <f>L131</f>
        <v>1270408331.9768791</v>
      </c>
      <c r="M132" s="5" t="s">
        <v>211</v>
      </c>
      <c r="N132" s="34">
        <v>0</v>
      </c>
      <c r="O132" s="2">
        <f t="shared" ref="O132:O137" si="30">N132*$O$131</f>
        <v>0</v>
      </c>
      <c r="P132" s="18" t="s">
        <v>217</v>
      </c>
      <c r="Q132" s="34">
        <v>0.2</v>
      </c>
      <c r="R132" s="2">
        <f>Q132*$R$131</f>
        <v>167185736.4881573</v>
      </c>
    </row>
    <row r="133" spans="1:19" x14ac:dyDescent="0.35">
      <c r="D133" s="2"/>
      <c r="E133" s="2"/>
      <c r="G133" s="2"/>
      <c r="L133" s="2"/>
      <c r="M133" t="s">
        <v>212</v>
      </c>
      <c r="N133" s="34">
        <v>0.02</v>
      </c>
      <c r="O133" s="2">
        <f t="shared" si="30"/>
        <v>17912757.480873995</v>
      </c>
      <c r="P133" s="18" t="s">
        <v>177</v>
      </c>
      <c r="Q133" s="34">
        <v>0.5</v>
      </c>
      <c r="R133" s="2">
        <f>Q133*$R$131</f>
        <v>417964341.22039324</v>
      </c>
    </row>
    <row r="134" spans="1:19" x14ac:dyDescent="0.35">
      <c r="D134" s="2"/>
      <c r="E134" s="2"/>
      <c r="G134" s="2"/>
      <c r="L134" s="2"/>
      <c r="M134" s="5" t="s">
        <v>210</v>
      </c>
      <c r="N134" s="34">
        <v>0.5</v>
      </c>
      <c r="O134" s="2">
        <f t="shared" si="30"/>
        <v>447818937.02184987</v>
      </c>
      <c r="P134" s="18" t="s">
        <v>218</v>
      </c>
      <c r="Q134" s="34">
        <v>0.15</v>
      </c>
      <c r="R134" s="2">
        <f>Q134*$R$131</f>
        <v>125389302.36611797</v>
      </c>
    </row>
    <row r="135" spans="1:19" x14ac:dyDescent="0.35">
      <c r="D135" s="2"/>
      <c r="E135" s="2"/>
      <c r="G135" s="2"/>
      <c r="L135" s="2"/>
      <c r="M135" t="s">
        <v>213</v>
      </c>
      <c r="N135" s="34">
        <v>0.15</v>
      </c>
      <c r="O135" s="2">
        <f t="shared" si="30"/>
        <v>134345681.10655496</v>
      </c>
      <c r="P135" s="18" t="s">
        <v>219</v>
      </c>
      <c r="Q135" s="34">
        <v>0.1</v>
      </c>
      <c r="R135" s="2">
        <f>Q135*$R$131</f>
        <v>83592868.244078651</v>
      </c>
    </row>
    <row r="136" spans="1:19" x14ac:dyDescent="0.35">
      <c r="D136" s="2"/>
      <c r="E136" s="2"/>
      <c r="G136" s="2"/>
      <c r="L136" s="2"/>
      <c r="M136" t="s">
        <v>214</v>
      </c>
      <c r="N136" s="34">
        <v>0.3</v>
      </c>
      <c r="O136" s="2">
        <f t="shared" si="30"/>
        <v>268691362.21310991</v>
      </c>
      <c r="P136" s="18" t="s">
        <v>220</v>
      </c>
      <c r="Q136" s="34">
        <v>0.05</v>
      </c>
      <c r="R136" s="2">
        <f>Q136*$R$131</f>
        <v>41796434.122039326</v>
      </c>
    </row>
    <row r="137" spans="1:19" x14ac:dyDescent="0.35">
      <c r="D137" s="2"/>
      <c r="E137" s="2"/>
      <c r="G137" s="2"/>
      <c r="L137" s="2"/>
      <c r="M137" t="s">
        <v>216</v>
      </c>
      <c r="N137" s="34">
        <v>0.03</v>
      </c>
      <c r="O137" s="2">
        <f t="shared" si="30"/>
        <v>26869136.221310992</v>
      </c>
      <c r="Q137" s="118"/>
    </row>
    <row r="138" spans="1:19" s="202" customFormat="1" x14ac:dyDescent="0.35">
      <c r="A138" s="202" t="s">
        <v>415</v>
      </c>
      <c r="B138" s="202">
        <v>2380</v>
      </c>
      <c r="C138" s="250">
        <f>B138*F138</f>
        <v>926938046.51162815</v>
      </c>
      <c r="D138" s="316">
        <f>'[2]GAP analysis Sc. 2'!$C$59</f>
        <v>0.4</v>
      </c>
      <c r="E138" s="202">
        <f>'[1]Conversion factors selected IV '!$O$76</f>
        <v>0.97367441860465131</v>
      </c>
      <c r="F138" s="202">
        <f>D138*E138*1000000</f>
        <v>389469.76744186057</v>
      </c>
      <c r="G138" s="202">
        <f>'LCoP 2030 HIGH'!E16</f>
        <v>2784.7747103038073</v>
      </c>
      <c r="H138" s="202">
        <f>G138*F138</f>
        <v>1084585558.7999985</v>
      </c>
      <c r="I138" s="202">
        <f>'LCoP 2030 HIGH'!H16</f>
        <v>0.223904902610877</v>
      </c>
      <c r="L138" s="202">
        <f>I138*H138</f>
        <v>242844023.91627729</v>
      </c>
      <c r="M138" s="202">
        <f>'LCoP 2030 HIGH'!F16</f>
        <v>0.51889296274252528</v>
      </c>
      <c r="O138" s="202">
        <f>M138*H138</f>
        <v>562783813.95348859</v>
      </c>
      <c r="P138" s="202">
        <f>'LCoP 2030 HIGH'!G16</f>
        <v>0.25720213464659775</v>
      </c>
      <c r="R138" s="202">
        <f>P138*H138</f>
        <v>278957720.9302327</v>
      </c>
    </row>
    <row r="139" spans="1:19" s="78" customFormat="1" x14ac:dyDescent="0.35">
      <c r="C139">
        <f>C138/$C$123</f>
        <v>0.24593116042851476</v>
      </c>
      <c r="D139" s="317"/>
      <c r="F139" s="213"/>
      <c r="G139" s="150" t="s">
        <v>178</v>
      </c>
      <c r="H139" s="243">
        <f>SUMIF($J$139:$J$148,G139,$L$139:$L$148)/$L$138</f>
        <v>1.3783079502860895E-2</v>
      </c>
      <c r="I139" s="5" t="s">
        <v>4</v>
      </c>
      <c r="J139" s="147" t="s">
        <v>179</v>
      </c>
      <c r="K139" s="6">
        <f>'Feedstock MIX per IVC'!J69</f>
        <v>363.08264113961184</v>
      </c>
      <c r="L139" s="2">
        <f>K139*F$138</f>
        <v>141409711.80682114</v>
      </c>
      <c r="M139" s="5" t="s">
        <v>211</v>
      </c>
      <c r="N139" s="262">
        <v>0</v>
      </c>
      <c r="O139" s="2">
        <f>N139*O$138</f>
        <v>0</v>
      </c>
      <c r="P139" s="18" t="s">
        <v>217</v>
      </c>
      <c r="Q139" s="262">
        <v>0.25</v>
      </c>
      <c r="R139" s="2">
        <f>Q139*R$138</f>
        <v>69739430.232558176</v>
      </c>
    </row>
    <row r="140" spans="1:19" x14ac:dyDescent="0.35">
      <c r="D140" s="243"/>
      <c r="G140" s="147" t="s">
        <v>179</v>
      </c>
      <c r="H140" s="243">
        <f t="shared" ref="H140:H144" si="31">SUMIF($J$139:$J$148,G140,$L$139:$L$148)/$L$138</f>
        <v>0.6538243585329101</v>
      </c>
      <c r="I140" s="5" t="s">
        <v>5</v>
      </c>
      <c r="J140" s="147" t="s">
        <v>179</v>
      </c>
      <c r="K140" s="6">
        <f>'Feedstock MIX per IVC'!J70</f>
        <v>16.946224660144196</v>
      </c>
      <c r="L140" s="2">
        <f t="shared" ref="L140:L148" si="32">K140*F$138</f>
        <v>6600042.1774038831</v>
      </c>
      <c r="M140" t="s">
        <v>212</v>
      </c>
      <c r="N140" s="262">
        <v>0.02</v>
      </c>
      <c r="O140" s="2">
        <f t="shared" ref="O140:O144" si="33">N140*O$138</f>
        <v>11255676.279069772</v>
      </c>
      <c r="P140" s="18" t="s">
        <v>177</v>
      </c>
      <c r="Q140" s="262">
        <v>0.15</v>
      </c>
      <c r="R140" s="2">
        <f t="shared" ref="R140:R143" si="34">Q140*R$138</f>
        <v>41843658.139534906</v>
      </c>
    </row>
    <row r="141" spans="1:19" x14ac:dyDescent="0.35">
      <c r="D141" s="243"/>
      <c r="G141" s="171" t="s">
        <v>222</v>
      </c>
      <c r="H141" s="243">
        <f t="shared" si="31"/>
        <v>0.14132773121820577</v>
      </c>
      <c r="I141" s="5" t="s">
        <v>22</v>
      </c>
      <c r="J141" s="152" t="s">
        <v>180</v>
      </c>
      <c r="K141" s="6">
        <f>'Feedstock MIX per IVC'!J71</f>
        <v>0</v>
      </c>
      <c r="L141" s="2">
        <f t="shared" si="32"/>
        <v>0</v>
      </c>
      <c r="M141" s="5" t="s">
        <v>210</v>
      </c>
      <c r="N141" s="262">
        <v>0.55000000000000004</v>
      </c>
      <c r="O141" s="2">
        <f t="shared" si="33"/>
        <v>309531097.67441875</v>
      </c>
      <c r="P141" s="18" t="s">
        <v>218</v>
      </c>
      <c r="Q141" s="262">
        <v>0.3</v>
      </c>
      <c r="R141" s="2">
        <f t="shared" si="34"/>
        <v>83687316.279069811</v>
      </c>
    </row>
    <row r="142" spans="1:19" x14ac:dyDescent="0.35">
      <c r="D142" s="243"/>
      <c r="G142" s="149" t="s">
        <v>176</v>
      </c>
      <c r="H142" s="243">
        <f t="shared" si="31"/>
        <v>0.16319317645645207</v>
      </c>
      <c r="I142" s="5" t="s">
        <v>6</v>
      </c>
      <c r="J142" s="150" t="s">
        <v>178</v>
      </c>
      <c r="K142" s="6">
        <f>'Feedstock MIX per IVC'!J72</f>
        <v>8.5940906541156838</v>
      </c>
      <c r="L142" s="2">
        <f t="shared" si="32"/>
        <v>3347138.4884327026</v>
      </c>
      <c r="M142" t="s">
        <v>213</v>
      </c>
      <c r="N142" s="262">
        <v>0.1</v>
      </c>
      <c r="O142" s="2">
        <f t="shared" si="33"/>
        <v>56278381.395348862</v>
      </c>
      <c r="P142" s="18" t="s">
        <v>219</v>
      </c>
      <c r="Q142" s="262">
        <v>0.3</v>
      </c>
      <c r="R142" s="2">
        <f t="shared" si="34"/>
        <v>83687316.279069811</v>
      </c>
    </row>
    <row r="143" spans="1:19" s="78" customFormat="1" x14ac:dyDescent="0.35">
      <c r="D143" s="317"/>
      <c r="F143" s="213"/>
      <c r="G143" s="152" t="s">
        <v>180</v>
      </c>
      <c r="H143" s="243">
        <f t="shared" si="31"/>
        <v>2.5496752790981153E-2</v>
      </c>
      <c r="I143" s="5" t="s">
        <v>7</v>
      </c>
      <c r="J143" s="147" t="s">
        <v>179</v>
      </c>
      <c r="K143" s="6">
        <f>'Feedstock MIX per IVC'!J73</f>
        <v>16.238016457978244</v>
      </c>
      <c r="L143" s="2">
        <f t="shared" si="32"/>
        <v>6324216.4936058912</v>
      </c>
      <c r="M143" t="s">
        <v>214</v>
      </c>
      <c r="N143" s="262">
        <v>0.3</v>
      </c>
      <c r="O143" s="2">
        <f t="shared" si="33"/>
        <v>168835144.18604657</v>
      </c>
      <c r="P143" s="18" t="s">
        <v>220</v>
      </c>
      <c r="Q143" s="263">
        <v>0</v>
      </c>
      <c r="R143" s="2">
        <f t="shared" si="34"/>
        <v>0</v>
      </c>
    </row>
    <row r="144" spans="1:19" x14ac:dyDescent="0.35">
      <c r="D144" s="243"/>
      <c r="G144" s="242" t="s">
        <v>177</v>
      </c>
      <c r="H144" s="243">
        <f t="shared" si="31"/>
        <v>0</v>
      </c>
      <c r="I144" s="5" t="s">
        <v>8</v>
      </c>
      <c r="J144" s="147" t="s">
        <v>179</v>
      </c>
      <c r="K144" s="6">
        <f>'Feedstock MIX per IVC'!J74</f>
        <v>11.408761486071064</v>
      </c>
      <c r="L144" s="2">
        <f t="shared" si="32"/>
        <v>4443367.6827797536</v>
      </c>
      <c r="M144" t="s">
        <v>216</v>
      </c>
      <c r="N144" s="262">
        <v>0.03</v>
      </c>
      <c r="O144" s="2">
        <f t="shared" si="33"/>
        <v>16883514.418604657</v>
      </c>
    </row>
    <row r="145" spans="1:18" x14ac:dyDescent="0.35">
      <c r="D145" s="243"/>
      <c r="G145" s="151" t="s">
        <v>77</v>
      </c>
      <c r="H145" s="243">
        <f>SUMIF($J$139:$J$148,G145,$L$139:$L$148)/$L$138</f>
        <v>2.3749014985898717E-3</v>
      </c>
      <c r="I145" s="5" t="s">
        <v>9</v>
      </c>
      <c r="J145" s="171" t="s">
        <v>222</v>
      </c>
      <c r="K145" s="6">
        <f>'Feedstock MIX per IVC'!J75</f>
        <v>88.121332665726072</v>
      </c>
      <c r="L145" s="2">
        <f t="shared" si="32"/>
        <v>34320594.939987168</v>
      </c>
      <c r="N145" s="34"/>
      <c r="O145" s="2">
        <f>SUM(O139:O144)</f>
        <v>562783813.95348859</v>
      </c>
      <c r="R145" s="2">
        <f>SUM(R139:R144)</f>
        <v>278957720.9302327</v>
      </c>
    </row>
    <row r="146" spans="1:18" x14ac:dyDescent="0.35">
      <c r="D146" s="243"/>
      <c r="G146" s="282" t="s">
        <v>78</v>
      </c>
      <c r="H146" s="243">
        <f>H145</f>
        <v>2.3749014985898717E-3</v>
      </c>
      <c r="I146" s="5" t="s">
        <v>10</v>
      </c>
      <c r="J146" s="149" t="s">
        <v>176</v>
      </c>
      <c r="K146" s="6">
        <f>'Feedstock MIX per IVC'!J76</f>
        <v>101.75497807356737</v>
      </c>
      <c r="L146" s="2">
        <f t="shared" si="32"/>
        <v>39630487.646363907</v>
      </c>
    </row>
    <row r="147" spans="1:18" x14ac:dyDescent="0.35">
      <c r="D147" s="243"/>
      <c r="F147" s="31"/>
      <c r="H147" s="2">
        <f>SUM(H139:H146)</f>
        <v>1.0023749014985897</v>
      </c>
      <c r="I147" s="5" t="s">
        <v>11</v>
      </c>
      <c r="J147" s="152" t="s">
        <v>180</v>
      </c>
      <c r="K147" s="6">
        <f>'Feedstock MIX per IVC'!J77</f>
        <v>15.897855397684314</v>
      </c>
      <c r="L147" s="2">
        <f t="shared" si="32"/>
        <v>6191734.0445604371</v>
      </c>
    </row>
    <row r="148" spans="1:18" x14ac:dyDescent="0.35">
      <c r="D148" s="243"/>
      <c r="F148" s="31"/>
      <c r="I148" s="13" t="s">
        <v>32</v>
      </c>
      <c r="J148" s="151" t="s">
        <v>77</v>
      </c>
      <c r="K148" s="6">
        <f>'Feedstock MIX per IVC'!J78</f>
        <v>1.4808097689083273</v>
      </c>
      <c r="L148" s="2">
        <f t="shared" si="32"/>
        <v>576730.63632236153</v>
      </c>
    </row>
    <row r="149" spans="1:18" x14ac:dyDescent="0.35">
      <c r="A149" s="78"/>
      <c r="B149" s="78"/>
      <c r="C149" s="78"/>
      <c r="D149" s="317"/>
      <c r="E149" s="90"/>
      <c r="F149" s="220"/>
      <c r="G149" s="220"/>
      <c r="L149" s="2">
        <f>SUM(L139:L148)</f>
        <v>242844023.91627726</v>
      </c>
    </row>
    <row r="150" spans="1:18" x14ac:dyDescent="0.35">
      <c r="A150" s="78"/>
      <c r="B150" s="78"/>
      <c r="C150" s="78"/>
      <c r="D150" s="90"/>
      <c r="E150" s="90"/>
      <c r="F150" s="213"/>
      <c r="G150" s="213"/>
      <c r="I150" s="21" t="s">
        <v>181</v>
      </c>
      <c r="L150" s="90">
        <f>SUM(L151:L159)</f>
        <v>1270408331.9768791</v>
      </c>
      <c r="O150" s="213">
        <f>SUM(O151:O156)</f>
        <v>895637874.04369962</v>
      </c>
      <c r="P150" s="213"/>
      <c r="Q150" s="213"/>
      <c r="R150" s="213">
        <f>SUM(R151:R156)</f>
        <v>835928682.44078648</v>
      </c>
    </row>
    <row r="151" spans="1:18" x14ac:dyDescent="0.35">
      <c r="A151" s="78"/>
      <c r="B151" s="78"/>
      <c r="C151" s="78"/>
      <c r="D151" s="90"/>
      <c r="E151" s="90"/>
      <c r="F151" s="213"/>
      <c r="G151" s="213"/>
      <c r="J151" s="152" t="s">
        <v>180</v>
      </c>
      <c r="L151" s="2">
        <f t="shared" ref="L151:L159" si="35">SUMIF($J$125:$J$137, J151, $L$125:$L$137)</f>
        <v>0</v>
      </c>
      <c r="M151" s="5" t="s">
        <v>211</v>
      </c>
      <c r="O151">
        <f t="shared" ref="O151:O156" si="36">SUMIF($M$125:$M$137, M151, $O$125:$O$137)</f>
        <v>0</v>
      </c>
      <c r="P151" s="18" t="s">
        <v>217</v>
      </c>
      <c r="R151">
        <f>SUMIF($P$125:$P$137, P151, $R$125:$R$137)</f>
        <v>167185736.4881573</v>
      </c>
    </row>
    <row r="152" spans="1:18" x14ac:dyDescent="0.35">
      <c r="A152" s="78"/>
      <c r="B152" s="78"/>
      <c r="C152" s="78"/>
      <c r="D152" s="90"/>
      <c r="E152" s="90"/>
      <c r="F152" s="213"/>
      <c r="G152" s="213"/>
      <c r="J152" s="150" t="s">
        <v>178</v>
      </c>
      <c r="L152" s="2">
        <f t="shared" si="35"/>
        <v>0</v>
      </c>
      <c r="M152" t="s">
        <v>212</v>
      </c>
      <c r="O152">
        <f t="shared" si="36"/>
        <v>17912757.480873995</v>
      </c>
      <c r="P152" s="18" t="s">
        <v>177</v>
      </c>
      <c r="R152">
        <f>SUMIF($P$125:$P$137, P152, $R$125:$R$137)</f>
        <v>417964341.22039324</v>
      </c>
    </row>
    <row r="153" spans="1:18" x14ac:dyDescent="0.35">
      <c r="A153" s="78"/>
      <c r="B153" s="78"/>
      <c r="C153" s="78"/>
      <c r="D153" s="90"/>
      <c r="E153" s="90"/>
      <c r="F153" s="213"/>
      <c r="G153" s="213"/>
      <c r="J153" s="147" t="s">
        <v>179</v>
      </c>
      <c r="L153" s="2">
        <f t="shared" si="35"/>
        <v>0</v>
      </c>
      <c r="M153" s="5" t="s">
        <v>210</v>
      </c>
      <c r="O153">
        <f t="shared" si="36"/>
        <v>447818937.02184987</v>
      </c>
      <c r="P153" s="18" t="s">
        <v>218</v>
      </c>
      <c r="R153">
        <f>SUMIF($P$125:$P$137, P153, $R$125:$R$137)</f>
        <v>125389302.36611797</v>
      </c>
    </row>
    <row r="154" spans="1:18" x14ac:dyDescent="0.35">
      <c r="A154" s="78"/>
      <c r="B154" s="78"/>
      <c r="C154" s="78"/>
      <c r="D154" s="90"/>
      <c r="E154" s="90"/>
      <c r="F154" s="213"/>
      <c r="G154" s="213"/>
      <c r="J154" s="171" t="s">
        <v>222</v>
      </c>
      <c r="L154" s="2">
        <f t="shared" si="35"/>
        <v>0</v>
      </c>
      <c r="M154" t="s">
        <v>213</v>
      </c>
      <c r="O154">
        <f t="shared" si="36"/>
        <v>134345681.10655496</v>
      </c>
      <c r="P154" s="18" t="s">
        <v>219</v>
      </c>
      <c r="R154">
        <f>SUMIF($P$125:$P$137, P154, $R$125:$R$137)</f>
        <v>83592868.244078651</v>
      </c>
    </row>
    <row r="155" spans="1:18" x14ac:dyDescent="0.35">
      <c r="A155" s="78"/>
      <c r="B155" s="78"/>
      <c r="C155" s="78"/>
      <c r="D155" s="90"/>
      <c r="E155" s="90"/>
      <c r="F155" s="213"/>
      <c r="G155" s="213"/>
      <c r="J155" s="149" t="s">
        <v>176</v>
      </c>
      <c r="L155" s="2">
        <f t="shared" si="35"/>
        <v>0</v>
      </c>
      <c r="M155" t="s">
        <v>214</v>
      </c>
      <c r="O155">
        <f t="shared" si="36"/>
        <v>268691362.21310991</v>
      </c>
      <c r="P155" s="18" t="s">
        <v>220</v>
      </c>
      <c r="R155">
        <f>SUMIF($P$125:$P$137, P155, $R$125:$R$137)</f>
        <v>41796434.122039326</v>
      </c>
    </row>
    <row r="156" spans="1:18" x14ac:dyDescent="0.35">
      <c r="A156" s="78"/>
      <c r="B156" s="78"/>
      <c r="C156" s="78"/>
      <c r="D156" s="90"/>
      <c r="E156" s="90"/>
      <c r="F156" s="213"/>
      <c r="G156" s="213"/>
      <c r="J156" s="152" t="s">
        <v>180</v>
      </c>
      <c r="L156" s="2">
        <f t="shared" si="35"/>
        <v>0</v>
      </c>
      <c r="M156" t="s">
        <v>216</v>
      </c>
      <c r="O156">
        <f t="shared" si="36"/>
        <v>26869136.221310992</v>
      </c>
    </row>
    <row r="157" spans="1:18" x14ac:dyDescent="0.35">
      <c r="A157" s="78"/>
      <c r="B157" s="78"/>
      <c r="C157" s="78"/>
      <c r="D157" s="90"/>
      <c r="E157" s="90"/>
      <c r="F157" s="213"/>
      <c r="G157" s="213"/>
      <c r="J157" s="151" t="s">
        <v>77</v>
      </c>
      <c r="L157" s="2">
        <f t="shared" si="35"/>
        <v>0</v>
      </c>
    </row>
    <row r="158" spans="1:18" x14ac:dyDescent="0.35">
      <c r="A158" s="78"/>
      <c r="B158" s="78"/>
      <c r="C158" s="78"/>
      <c r="D158" s="90"/>
      <c r="E158" s="90"/>
      <c r="F158" s="213"/>
      <c r="G158" s="213"/>
      <c r="J158" s="239" t="s">
        <v>259</v>
      </c>
      <c r="L158" s="2">
        <f t="shared" si="35"/>
        <v>0</v>
      </c>
    </row>
    <row r="159" spans="1:18" x14ac:dyDescent="0.35">
      <c r="A159" s="78"/>
      <c r="B159" s="78"/>
      <c r="C159" s="78"/>
      <c r="D159" s="90"/>
      <c r="E159" s="90"/>
      <c r="F159" s="213"/>
      <c r="G159" s="213"/>
      <c r="J159" s="241" t="s">
        <v>81</v>
      </c>
      <c r="L159" s="2">
        <f t="shared" si="35"/>
        <v>1270408331.9768791</v>
      </c>
    </row>
    <row r="160" spans="1:18" x14ac:dyDescent="0.35">
      <c r="A160" s="78"/>
      <c r="B160" s="78"/>
      <c r="C160" s="78"/>
      <c r="D160" s="90"/>
      <c r="E160" s="90"/>
      <c r="F160" s="213"/>
      <c r="G160" s="213"/>
    </row>
    <row r="161" spans="1:18" s="91" customFormat="1" ht="34" customHeight="1" x14ac:dyDescent="0.35">
      <c r="A161" s="91" t="s">
        <v>81</v>
      </c>
      <c r="F161" s="169"/>
    </row>
    <row r="162" spans="1:18" ht="19" customHeight="1" x14ac:dyDescent="0.35">
      <c r="B162" s="2">
        <f>C162/1000000</f>
        <v>7394.1414360000008</v>
      </c>
      <c r="C162" s="2">
        <f>C163+C174+C182</f>
        <v>7394141436.000001</v>
      </c>
      <c r="D162" s="2">
        <f>D163+D174+D182</f>
        <v>4.47525</v>
      </c>
      <c r="E162" s="2"/>
      <c r="F162" s="2">
        <f>F163+F174+F182</f>
        <v>7519275.6000000015</v>
      </c>
      <c r="L162" s="90">
        <f>L163+L174+L182</f>
        <v>3631279688.1789637</v>
      </c>
      <c r="O162" s="90">
        <f>O163+O174+O182</f>
        <v>2373649587.6000004</v>
      </c>
      <c r="R162" s="90">
        <f>R163+R174+R182</f>
        <v>1744520994.4500003</v>
      </c>
    </row>
    <row r="163" spans="1:18" s="202" customFormat="1" x14ac:dyDescent="0.35">
      <c r="A163" s="202" t="s">
        <v>309</v>
      </c>
      <c r="B163" s="202">
        <v>935</v>
      </c>
      <c r="C163" s="202">
        <f>B163*F163</f>
        <v>2724601968.0000005</v>
      </c>
      <c r="D163" s="202">
        <f>'[2]GAP analysis Sc. 2'!$C$53+'[2]GAP analysis Sc. 2'!$H$53</f>
        <v>1.3919999999999999</v>
      </c>
      <c r="E163" s="202">
        <f>'[1]Conversion factors selected IV '!$O$49</f>
        <v>2.0934000000000004</v>
      </c>
      <c r="F163" s="202">
        <f>D163*E163*1000000</f>
        <v>2914012.8000000007</v>
      </c>
      <c r="G163" s="202">
        <f>'LCoP 2030 HIGH'!E10</f>
        <v>559.18457111316229</v>
      </c>
      <c r="H163" s="202">
        <f>G163*F163</f>
        <v>1629470997.7862656</v>
      </c>
      <c r="I163" s="209">
        <f>'LCoP 2030 HIGH'!H10</f>
        <v>0.24801215605266894</v>
      </c>
      <c r="L163" s="202">
        <f>I163*H163</f>
        <v>404128615.38626546</v>
      </c>
      <c r="M163" s="209">
        <f>'LCoP 2030 HIGH'!F10</f>
        <v>0.50251744149631405</v>
      </c>
      <c r="O163" s="202">
        <f>M163*H163</f>
        <v>818837596.80000019</v>
      </c>
      <c r="P163" s="209">
        <f>'LCoP 2030 HIGH'!G10</f>
        <v>0.24947040245101712</v>
      </c>
      <c r="R163" s="202">
        <f>P163*H163</f>
        <v>406504785.60000008</v>
      </c>
    </row>
    <row r="164" spans="1:18" x14ac:dyDescent="0.35">
      <c r="D164" s="2" t="s">
        <v>404</v>
      </c>
      <c r="E164" s="2"/>
      <c r="F164" s="150" t="s">
        <v>178</v>
      </c>
      <c r="G164" s="2">
        <f>SUMIF($J$164:$J$173,F164,$L$164:$L$173)/$L$163</f>
        <v>1.2636880695426444E-2</v>
      </c>
      <c r="I164" s="5" t="s">
        <v>4</v>
      </c>
      <c r="J164" s="147" t="s">
        <v>179</v>
      </c>
      <c r="K164" s="6">
        <f>'Feedstock MIX per IVC'!J30</f>
        <v>74.041223822910666</v>
      </c>
      <c r="L164" s="2">
        <f t="shared" ref="L164:L173" si="37">K164*F$163</f>
        <v>215757073.94762668</v>
      </c>
      <c r="M164" s="5" t="s">
        <v>211</v>
      </c>
      <c r="N164" s="34">
        <v>0</v>
      </c>
      <c r="O164" s="2">
        <f t="shared" ref="O164:O169" si="38">N164*O$163</f>
        <v>0</v>
      </c>
      <c r="P164" s="18" t="s">
        <v>217</v>
      </c>
      <c r="Q164" s="34">
        <v>0.25</v>
      </c>
      <c r="R164" s="2">
        <f>Q164*R$163</f>
        <v>101626196.40000002</v>
      </c>
    </row>
    <row r="165" spans="1:18" x14ac:dyDescent="0.35">
      <c r="D165" s="2"/>
      <c r="E165" s="2"/>
      <c r="F165" s="147" t="s">
        <v>179</v>
      </c>
      <c r="G165" s="2">
        <f t="shared" ref="G165:G168" si="39">SUMIF($J$164:$J$173,F165,$L$164:$L$173)/$L$163</f>
        <v>0.59945242373659213</v>
      </c>
      <c r="I165" s="5" t="s">
        <v>5</v>
      </c>
      <c r="J165" s="147" t="s">
        <v>179</v>
      </c>
      <c r="K165" s="6">
        <f>'Feedstock MIX per IVC'!J31</f>
        <v>3.4557400185171687</v>
      </c>
      <c r="L165" s="2">
        <f t="shared" si="37"/>
        <v>10070070.647431269</v>
      </c>
      <c r="M165" t="s">
        <v>212</v>
      </c>
      <c r="N165" s="34">
        <v>0.02</v>
      </c>
      <c r="O165" s="2">
        <f t="shared" si="38"/>
        <v>16376751.936000004</v>
      </c>
      <c r="P165" s="18" t="s">
        <v>177</v>
      </c>
      <c r="Q165" s="34">
        <v>0.15</v>
      </c>
      <c r="R165" s="2">
        <f>Q165*R$163</f>
        <v>60975717.840000011</v>
      </c>
    </row>
    <row r="166" spans="1:18" x14ac:dyDescent="0.35">
      <c r="D166" s="2"/>
      <c r="E166" s="2"/>
      <c r="F166" s="171" t="s">
        <v>222</v>
      </c>
      <c r="G166" s="2">
        <f t="shared" si="39"/>
        <v>0.12957493845907661</v>
      </c>
      <c r="I166" s="5" t="s">
        <v>22</v>
      </c>
      <c r="J166" s="152" t="s">
        <v>180</v>
      </c>
      <c r="K166" s="6">
        <f>'Feedstock MIX per IVC'!J32</f>
        <v>0</v>
      </c>
      <c r="L166" s="2">
        <f t="shared" si="37"/>
        <v>0</v>
      </c>
      <c r="M166" s="5" t="s">
        <v>210</v>
      </c>
      <c r="N166" s="34">
        <v>0.55000000000000004</v>
      </c>
      <c r="O166" s="2">
        <f t="shared" si="38"/>
        <v>450360678.24000013</v>
      </c>
      <c r="P166" s="18" t="s">
        <v>218</v>
      </c>
      <c r="Q166" s="34">
        <v>0.3</v>
      </c>
      <c r="R166" s="2">
        <f>Q166*R$163</f>
        <v>121951435.68000002</v>
      </c>
    </row>
    <row r="167" spans="1:18" x14ac:dyDescent="0.35">
      <c r="D167" s="2"/>
      <c r="E167" s="2"/>
      <c r="F167" s="149" t="s">
        <v>176</v>
      </c>
      <c r="G167" s="2">
        <f t="shared" si="39"/>
        <v>0.14962205657740035</v>
      </c>
      <c r="I167" s="5" t="s">
        <v>6</v>
      </c>
      <c r="J167" s="150" t="s">
        <v>178</v>
      </c>
      <c r="K167" s="6">
        <f>'Feedstock MIX per IVC'!J33</f>
        <v>1.7525403794534171</v>
      </c>
      <c r="L167" s="2">
        <f t="shared" si="37"/>
        <v>5106925.0982441157</v>
      </c>
      <c r="M167" t="s">
        <v>213</v>
      </c>
      <c r="N167" s="34">
        <v>0.1</v>
      </c>
      <c r="O167" s="2">
        <f t="shared" si="38"/>
        <v>81883759.680000022</v>
      </c>
      <c r="P167" s="18" t="s">
        <v>219</v>
      </c>
      <c r="Q167" s="34">
        <v>0.3</v>
      </c>
      <c r="R167" s="2">
        <f>Q167*R$163</f>
        <v>121951435.68000002</v>
      </c>
    </row>
    <row r="168" spans="1:18" x14ac:dyDescent="0.35">
      <c r="D168" s="2"/>
      <c r="E168" s="2"/>
      <c r="F168" s="152" t="s">
        <v>180</v>
      </c>
      <c r="G168" s="2">
        <f t="shared" si="39"/>
        <v>2.3376446684032576E-2</v>
      </c>
      <c r="I168" s="5" t="s">
        <v>7</v>
      </c>
      <c r="J168" s="147" t="s">
        <v>179</v>
      </c>
      <c r="K168" s="6">
        <f>'Feedstock MIX per IVC'!J34</f>
        <v>3.3113194484640065</v>
      </c>
      <c r="L168" s="2">
        <f t="shared" si="37"/>
        <v>9649227.2577130571</v>
      </c>
      <c r="M168" t="s">
        <v>214</v>
      </c>
      <c r="N168" s="34">
        <v>0.3</v>
      </c>
      <c r="O168" s="2">
        <f t="shared" si="38"/>
        <v>245651279.04000005</v>
      </c>
      <c r="P168" s="18" t="s">
        <v>220</v>
      </c>
      <c r="Q168" s="223">
        <v>0</v>
      </c>
      <c r="R168" s="2">
        <f>Q168*R$163</f>
        <v>0</v>
      </c>
    </row>
    <row r="169" spans="1:18" x14ac:dyDescent="0.35">
      <c r="D169" s="2"/>
      <c r="E169" s="2"/>
      <c r="F169" s="151" t="s">
        <v>77</v>
      </c>
      <c r="G169" s="2">
        <f>SUMIF($J$164:$J$173,F169,$L$164:$L$173)/$L$163/2</f>
        <v>4.2668626923736019E-2</v>
      </c>
      <c r="I169" s="5" t="s">
        <v>8</v>
      </c>
      <c r="J169" s="147" t="s">
        <v>179</v>
      </c>
      <c r="K169" s="6">
        <f>'Feedstock MIX per IVC'!J35</f>
        <v>2.3265189987630972</v>
      </c>
      <c r="L169" s="2">
        <f t="shared" si="37"/>
        <v>6779506.1418388514</v>
      </c>
      <c r="M169" t="s">
        <v>216</v>
      </c>
      <c r="N169" s="34">
        <v>0.03</v>
      </c>
      <c r="O169" s="2">
        <f t="shared" si="38"/>
        <v>24565127.904000007</v>
      </c>
    </row>
    <row r="170" spans="1:18" x14ac:dyDescent="0.35">
      <c r="D170" s="2"/>
      <c r="E170" s="2"/>
      <c r="F170" s="190" t="s">
        <v>78</v>
      </c>
      <c r="G170" s="2">
        <f>G169</f>
        <v>4.2668626923736019E-2</v>
      </c>
      <c r="I170" s="5" t="s">
        <v>9</v>
      </c>
      <c r="J170" s="171" t="s">
        <v>222</v>
      </c>
      <c r="K170" s="6">
        <f>'Feedstock MIX per IVC'!J36</f>
        <v>17.970044767211444</v>
      </c>
      <c r="L170" s="2">
        <f t="shared" si="37"/>
        <v>52364940.468227185</v>
      </c>
      <c r="M170" s="2"/>
    </row>
    <row r="171" spans="1:18" x14ac:dyDescent="0.35">
      <c r="D171" s="2"/>
      <c r="E171" s="2"/>
      <c r="G171" s="276">
        <f>SUM(G164:G170)</f>
        <v>1.0000000000000002</v>
      </c>
      <c r="I171" s="5" t="s">
        <v>10</v>
      </c>
      <c r="J171" s="149" t="s">
        <v>176</v>
      </c>
      <c r="K171" s="6">
        <f>'Feedstock MIX per IVC'!J37</f>
        <v>20.750270745506079</v>
      </c>
      <c r="L171" s="2">
        <f t="shared" si="37"/>
        <v>60466554.555870272</v>
      </c>
    </row>
    <row r="172" spans="1:18" s="31" customFormat="1" x14ac:dyDescent="0.35">
      <c r="I172" s="5" t="s">
        <v>11</v>
      </c>
      <c r="J172" s="152" t="s">
        <v>180</v>
      </c>
      <c r="K172" s="6">
        <f>'Feedstock MIX per IVC'!J38</f>
        <v>3.2419524825247641</v>
      </c>
      <c r="L172" s="2">
        <f t="shared" si="37"/>
        <v>9447091.0310689416</v>
      </c>
    </row>
    <row r="173" spans="1:18" x14ac:dyDescent="0.35">
      <c r="D173" s="2"/>
      <c r="E173" s="2"/>
      <c r="I173" s="13" t="s">
        <v>25</v>
      </c>
      <c r="J173" s="151" t="s">
        <v>77</v>
      </c>
      <c r="K173" s="6">
        <f>'Feedstock MIX per IVC'!J39</f>
        <v>11.834960449811724</v>
      </c>
      <c r="L173" s="2">
        <f t="shared" si="37"/>
        <v>34487226.23824513</v>
      </c>
      <c r="M173" s="2"/>
    </row>
    <row r="174" spans="1:18" s="202" customFormat="1" x14ac:dyDescent="0.35">
      <c r="A174" s="202" t="s">
        <v>27</v>
      </c>
      <c r="B174" s="202">
        <v>935</v>
      </c>
      <c r="C174" s="202">
        <f>B174*F174</f>
        <v>2724601968.0000005</v>
      </c>
      <c r="D174" s="202">
        <f>'[2]GAP analysis Sc. 2'!$C$54+'[2]GAP analysis Sc. 2'!$H$54</f>
        <v>1.3919999999999999</v>
      </c>
      <c r="E174" s="202">
        <f>'[1]Conversion factors selected IV '!$O$49</f>
        <v>2.0934000000000004</v>
      </c>
      <c r="F174" s="202">
        <f>D174*E174*1000000</f>
        <v>2914012.8000000007</v>
      </c>
      <c r="G174" s="202">
        <f>'LCoP 2030 HIGH'!E11</f>
        <v>936</v>
      </c>
      <c r="H174" s="202">
        <f>G174*F174</f>
        <v>2727515980.8000007</v>
      </c>
      <c r="I174" s="209">
        <f>'LCoP 2030 HIGH'!H11</f>
        <v>0.75641025641025639</v>
      </c>
      <c r="L174" s="202">
        <f>I174*H174</f>
        <v>2063121062.4000003</v>
      </c>
      <c r="M174" s="209">
        <f>'LCoP 2030 HIGH'!F11</f>
        <v>0.14529914529914531</v>
      </c>
      <c r="O174" s="202">
        <f>M174*H174</f>
        <v>396305740.80000013</v>
      </c>
      <c r="P174" s="209">
        <f>'LCoP 2030 HIGH'!G11</f>
        <v>9.8290598290598288E-2</v>
      </c>
      <c r="R174" s="202">
        <f>P174*H174</f>
        <v>268089177.60000005</v>
      </c>
    </row>
    <row r="175" spans="1:18" x14ac:dyDescent="0.35">
      <c r="D175" s="2" t="s">
        <v>404</v>
      </c>
      <c r="F175" s="190" t="s">
        <v>79</v>
      </c>
      <c r="G175">
        <v>1</v>
      </c>
      <c r="I175" s="13" t="s">
        <v>28</v>
      </c>
      <c r="J175" s="190" t="s">
        <v>79</v>
      </c>
      <c r="L175" s="2">
        <f>L174</f>
        <v>2063121062.4000003</v>
      </c>
      <c r="M175" s="5" t="s">
        <v>211</v>
      </c>
      <c r="N175" s="34">
        <v>0</v>
      </c>
      <c r="O175" s="2">
        <f t="shared" ref="O175:O180" si="40">N175*O$174</f>
        <v>0</v>
      </c>
      <c r="P175" s="18" t="s">
        <v>217</v>
      </c>
      <c r="Q175" s="34">
        <v>0.25</v>
      </c>
      <c r="R175" s="2">
        <f>Q175*R$174</f>
        <v>67022294.400000013</v>
      </c>
    </row>
    <row r="176" spans="1:18" x14ac:dyDescent="0.35">
      <c r="M176" t="s">
        <v>212</v>
      </c>
      <c r="N176" s="34">
        <v>0.02</v>
      </c>
      <c r="O176" s="2">
        <f t="shared" si="40"/>
        <v>7926114.8160000024</v>
      </c>
      <c r="P176" s="18" t="s">
        <v>177</v>
      </c>
      <c r="Q176" s="34">
        <v>0.15</v>
      </c>
      <c r="R176" s="2">
        <f>Q176*R$174</f>
        <v>40213376.640000008</v>
      </c>
    </row>
    <row r="177" spans="1:19" x14ac:dyDescent="0.35">
      <c r="M177" s="5" t="s">
        <v>210</v>
      </c>
      <c r="N177" s="34">
        <v>0.55000000000000004</v>
      </c>
      <c r="O177" s="2">
        <f t="shared" si="40"/>
        <v>217968157.44000009</v>
      </c>
      <c r="P177" s="18" t="s">
        <v>218</v>
      </c>
      <c r="Q177" s="34">
        <v>0.3</v>
      </c>
      <c r="R177" s="2">
        <f>Q177*R$174</f>
        <v>80426753.280000016</v>
      </c>
    </row>
    <row r="178" spans="1:19" x14ac:dyDescent="0.35">
      <c r="M178" t="s">
        <v>213</v>
      </c>
      <c r="N178" s="34">
        <v>0.1</v>
      </c>
      <c r="O178" s="2">
        <f t="shared" si="40"/>
        <v>39630574.080000013</v>
      </c>
      <c r="P178" s="18" t="s">
        <v>219</v>
      </c>
      <c r="Q178" s="34">
        <v>0.3</v>
      </c>
      <c r="R178" s="2">
        <f>Q178*R$174</f>
        <v>80426753.280000016</v>
      </c>
    </row>
    <row r="179" spans="1:19" x14ac:dyDescent="0.35">
      <c r="M179" t="s">
        <v>214</v>
      </c>
      <c r="N179" s="34">
        <v>0.3</v>
      </c>
      <c r="O179" s="2">
        <f t="shared" si="40"/>
        <v>118891722.24000004</v>
      </c>
      <c r="P179" s="18" t="s">
        <v>220</v>
      </c>
      <c r="Q179" s="223">
        <v>0</v>
      </c>
      <c r="R179" s="2">
        <f>Q179*R$174</f>
        <v>0</v>
      </c>
    </row>
    <row r="180" spans="1:19" x14ac:dyDescent="0.35">
      <c r="M180" t="s">
        <v>216</v>
      </c>
      <c r="N180" s="34">
        <v>0.03</v>
      </c>
      <c r="O180" s="2">
        <f t="shared" si="40"/>
        <v>11889172.224000003</v>
      </c>
    </row>
    <row r="182" spans="1:19" x14ac:dyDescent="0.35">
      <c r="A182" s="201" t="s">
        <v>296</v>
      </c>
      <c r="B182" s="201">
        <v>1150</v>
      </c>
      <c r="C182" s="202">
        <f>B182*F182</f>
        <v>1944937500.0000002</v>
      </c>
      <c r="D182" s="208">
        <f>'[2]GAP analysis Sc. 2'!$C$51</f>
        <v>1.6912500000000001</v>
      </c>
      <c r="E182" s="208">
        <f>'[1]Conversion factors selected IV '!$O$125</f>
        <v>1</v>
      </c>
      <c r="F182" s="202">
        <f>D182*E182*1000000</f>
        <v>1691250.0000000002</v>
      </c>
      <c r="G182" s="208">
        <f>'LCoP 2030 HIGH'!E22</f>
        <v>2005.8910815330069</v>
      </c>
      <c r="H182" s="203">
        <f>G182*F182</f>
        <v>3392463291.6426983</v>
      </c>
      <c r="I182" s="201">
        <f>'LCoP 2030 HIGH'!H22</f>
        <v>0.34312235986761452</v>
      </c>
      <c r="J182" s="201"/>
      <c r="K182" s="201"/>
      <c r="L182" s="202">
        <f>I182*H182</f>
        <v>1164030010.392698</v>
      </c>
      <c r="M182" s="267">
        <f>'LCoP 2030 HIGH'!F22</f>
        <v>0.34149411516226852</v>
      </c>
      <c r="N182" s="201"/>
      <c r="O182" s="202">
        <f>M182*H182</f>
        <v>1158506250.0000002</v>
      </c>
      <c r="P182" s="268">
        <f>'LCoP 2030 HIGH'!G22</f>
        <v>0.31538352497011696</v>
      </c>
      <c r="Q182" s="201"/>
      <c r="R182" s="202">
        <f>P182*H182</f>
        <v>1069927031.2500001</v>
      </c>
      <c r="S182" s="203">
        <f>R182+O182+L182</f>
        <v>3392463291.6426983</v>
      </c>
    </row>
    <row r="183" spans="1:19" x14ac:dyDescent="0.35">
      <c r="C183" s="262">
        <f>C182/C8</f>
        <v>0.19044214211901089</v>
      </c>
      <c r="D183" s="6"/>
      <c r="E183" s="6"/>
      <c r="F183" s="147" t="s">
        <v>179</v>
      </c>
      <c r="G183" s="276">
        <f t="shared" ref="G183:G189" si="41">(SUMIF($J$183:$J$190,F183,$L$183:$L$190)/$L$182)</f>
        <v>0.66945981181499714</v>
      </c>
      <c r="I183" s="5" t="s">
        <v>4</v>
      </c>
      <c r="J183" s="147" t="s">
        <v>179</v>
      </c>
      <c r="K183" s="6">
        <f>'Feedstock MIX per IVC'!J111</f>
        <v>394.64713390829428</v>
      </c>
      <c r="L183" s="2">
        <f t="shared" ref="L183:L190" si="42">K183*F$182</f>
        <v>667446965.22240281</v>
      </c>
      <c r="M183" s="5" t="s">
        <v>211</v>
      </c>
      <c r="N183" s="266">
        <v>0.15</v>
      </c>
      <c r="O183" s="2">
        <f t="shared" ref="O183:O188" si="43">N183*O$182</f>
        <v>173775937.50000003</v>
      </c>
      <c r="P183" s="18" t="s">
        <v>217</v>
      </c>
      <c r="Q183" s="265">
        <v>0.15</v>
      </c>
      <c r="R183" s="2">
        <f>Q183*R$182</f>
        <v>160489054.6875</v>
      </c>
    </row>
    <row r="184" spans="1:19" x14ac:dyDescent="0.35">
      <c r="D184" s="6"/>
      <c r="E184" s="6"/>
      <c r="F184" s="171" t="s">
        <v>222</v>
      </c>
      <c r="G184" s="276">
        <f t="shared" si="41"/>
        <v>0.13513065067147681</v>
      </c>
      <c r="I184" s="5" t="s">
        <v>5</v>
      </c>
      <c r="J184" s="147" t="s">
        <v>179</v>
      </c>
      <c r="K184" s="6">
        <f>'Feedstock MIX per IVC'!J112</f>
        <v>18.419440190533358</v>
      </c>
      <c r="L184" s="2">
        <f t="shared" si="42"/>
        <v>31151878.222239546</v>
      </c>
      <c r="M184" t="s">
        <v>212</v>
      </c>
      <c r="N184" s="262">
        <v>0.02</v>
      </c>
      <c r="O184" s="2">
        <f t="shared" si="43"/>
        <v>23170125.000000004</v>
      </c>
      <c r="P184" s="18" t="s">
        <v>177</v>
      </c>
      <c r="Q184" s="265">
        <v>0.25</v>
      </c>
      <c r="R184" s="2">
        <f>Q184*R$182</f>
        <v>267481757.81250003</v>
      </c>
    </row>
    <row r="185" spans="1:19" x14ac:dyDescent="0.35">
      <c r="D185" s="6"/>
      <c r="E185" s="6"/>
      <c r="F185" s="149" t="s">
        <v>176</v>
      </c>
      <c r="G185" s="276">
        <f t="shared" si="41"/>
        <v>0.16069514825246237</v>
      </c>
      <c r="I185" s="5" t="s">
        <v>6</v>
      </c>
      <c r="J185" s="150" t="s">
        <v>178</v>
      </c>
      <c r="K185" s="6">
        <f>'Feedstock MIX per IVC'!J113</f>
        <v>9.3412156377111621</v>
      </c>
      <c r="L185" s="2">
        <f t="shared" si="42"/>
        <v>15798330.947279004</v>
      </c>
      <c r="M185" s="5" t="s">
        <v>210</v>
      </c>
      <c r="N185" s="266">
        <v>0.45</v>
      </c>
      <c r="O185" s="2">
        <f t="shared" si="43"/>
        <v>521327812.50000012</v>
      </c>
      <c r="P185" s="18" t="s">
        <v>218</v>
      </c>
      <c r="Q185" s="265">
        <v>0.2</v>
      </c>
      <c r="R185" s="2">
        <f>Q185*R$182</f>
        <v>213985406.25000003</v>
      </c>
      <c r="S185" s="2"/>
    </row>
    <row r="186" spans="1:19" x14ac:dyDescent="0.35">
      <c r="D186" s="6"/>
      <c r="E186" s="6"/>
      <c r="F186" s="150" t="s">
        <v>178</v>
      </c>
      <c r="G186" s="276">
        <f t="shared" si="41"/>
        <v>1.3572099349869225E-2</v>
      </c>
      <c r="I186" s="5" t="s">
        <v>7</v>
      </c>
      <c r="J186" s="147" t="s">
        <v>179</v>
      </c>
      <c r="K186" s="6">
        <f>'Feedstock MIX per IVC'!J114</f>
        <v>35.29932819362039</v>
      </c>
      <c r="L186" s="2">
        <f t="shared" si="42"/>
        <v>59699988.807460494</v>
      </c>
      <c r="M186" t="s">
        <v>213</v>
      </c>
      <c r="N186" s="262">
        <v>0.1</v>
      </c>
      <c r="O186" s="2">
        <f t="shared" si="43"/>
        <v>115850625.00000003</v>
      </c>
      <c r="P186" s="18" t="s">
        <v>219</v>
      </c>
      <c r="Q186" s="265">
        <v>0.3</v>
      </c>
      <c r="R186" s="2">
        <f>Q186*R$182</f>
        <v>320978109.375</v>
      </c>
    </row>
    <row r="187" spans="1:19" x14ac:dyDescent="0.35">
      <c r="D187" s="6"/>
      <c r="E187" s="248"/>
      <c r="F187" s="152" t="s">
        <v>180</v>
      </c>
      <c r="G187" s="276">
        <f t="shared" si="41"/>
        <v>2.1142289911194507E-2</v>
      </c>
      <c r="I187" s="5" t="s">
        <v>8</v>
      </c>
      <c r="J187" s="147" t="s">
        <v>179</v>
      </c>
      <c r="K187" s="6">
        <f>'Feedstock MIX per IVC'!J115</f>
        <v>12.400579129284262</v>
      </c>
      <c r="L187" s="2">
        <f t="shared" si="42"/>
        <v>20972479.452402011</v>
      </c>
      <c r="M187" t="s">
        <v>214</v>
      </c>
      <c r="N187" s="262">
        <v>0.25</v>
      </c>
      <c r="O187" s="2">
        <f t="shared" si="43"/>
        <v>289626562.50000006</v>
      </c>
      <c r="P187" s="18" t="s">
        <v>220</v>
      </c>
      <c r="Q187" s="265">
        <v>0.1</v>
      </c>
      <c r="R187" s="2">
        <f>Q187*R$182</f>
        <v>106992703.12500001</v>
      </c>
    </row>
    <row r="188" spans="1:19" x14ac:dyDescent="0.35">
      <c r="D188" s="6"/>
      <c r="E188" s="6"/>
      <c r="F188" s="151" t="s">
        <v>77</v>
      </c>
      <c r="G188" s="276">
        <f t="shared" si="41"/>
        <v>0</v>
      </c>
      <c r="I188" s="5" t="s">
        <v>9</v>
      </c>
      <c r="J188" s="171" t="s">
        <v>222</v>
      </c>
      <c r="K188" s="6">
        <f>'Feedstock MIX per IVC'!J116</f>
        <v>93.005843432662942</v>
      </c>
      <c r="L188" s="2">
        <f t="shared" si="42"/>
        <v>157296132.70549121</v>
      </c>
      <c r="M188" t="s">
        <v>216</v>
      </c>
      <c r="N188" s="262">
        <v>0.03</v>
      </c>
      <c r="O188" s="2">
        <f t="shared" si="43"/>
        <v>34755187.500000007</v>
      </c>
      <c r="Q188" s="34"/>
      <c r="R188" s="2"/>
    </row>
    <row r="189" spans="1:19" x14ac:dyDescent="0.35">
      <c r="D189" s="6"/>
      <c r="E189" s="6"/>
      <c r="F189" s="239" t="s">
        <v>177</v>
      </c>
      <c r="G189" s="276">
        <f t="shared" si="41"/>
        <v>0</v>
      </c>
      <c r="I189" s="5" t="s">
        <v>10</v>
      </c>
      <c r="J189" s="149" t="s">
        <v>176</v>
      </c>
      <c r="K189" s="6">
        <f>'Feedstock MIX per IVC'!J117</f>
        <v>110.60102000908789</v>
      </c>
      <c r="L189" s="2">
        <f t="shared" si="42"/>
        <v>187053975.09036991</v>
      </c>
    </row>
    <row r="190" spans="1:19" x14ac:dyDescent="0.35">
      <c r="D190" s="6"/>
      <c r="E190" s="6"/>
      <c r="F190" s="6"/>
      <c r="G190" s="276">
        <f>SUM(G183:G189)</f>
        <v>1</v>
      </c>
      <c r="I190" s="5" t="s">
        <v>11</v>
      </c>
      <c r="J190" s="152" t="s">
        <v>180</v>
      </c>
      <c r="K190" s="6">
        <f>'Feedstock MIX per IVC'!J118</f>
        <v>14.551521031812669</v>
      </c>
      <c r="L190" s="2">
        <f t="shared" si="42"/>
        <v>24610259.945053179</v>
      </c>
    </row>
    <row r="191" spans="1:19" x14ac:dyDescent="0.35">
      <c r="D191" s="6"/>
      <c r="E191" s="6"/>
      <c r="F191" s="31"/>
      <c r="G191" s="6"/>
      <c r="H191" s="6"/>
      <c r="I191" s="6" t="s">
        <v>319</v>
      </c>
      <c r="J191" s="6"/>
      <c r="K191" s="6"/>
      <c r="L191" s="2">
        <f>SUM(L183:L190)</f>
        <v>1164030010.392698</v>
      </c>
    </row>
    <row r="192" spans="1:19" x14ac:dyDescent="0.35">
      <c r="I192" s="78" t="s">
        <v>181</v>
      </c>
      <c r="L192" s="213">
        <f>SUM(L193:L200)</f>
        <v>1602215976.7550859</v>
      </c>
      <c r="O192" s="213">
        <f>SUM(O193:O200)</f>
        <v>2373649587.6000004</v>
      </c>
      <c r="R192" s="213">
        <f>SUM(R193:R200)</f>
        <v>1744520994.4500003</v>
      </c>
    </row>
    <row r="193" spans="1:18" x14ac:dyDescent="0.35">
      <c r="J193" s="152" t="s">
        <v>180</v>
      </c>
      <c r="L193">
        <f t="shared" ref="L193:L199" si="44">SUMIF($J$164:$J$190,J193,$L$164:$L$190)</f>
        <v>34057350.976122119</v>
      </c>
      <c r="M193" s="5" t="s">
        <v>211</v>
      </c>
      <c r="O193">
        <f t="shared" ref="O193:O198" si="45">SUMIF($M$164:$M$190,M193,$O$164:$O$190)</f>
        <v>173775937.50000003</v>
      </c>
      <c r="P193" s="18" t="s">
        <v>217</v>
      </c>
      <c r="R193">
        <f>SUMIF($P$164:$P$190,P193,$R$164:$R$190)</f>
        <v>329137545.48750007</v>
      </c>
    </row>
    <row r="194" spans="1:18" x14ac:dyDescent="0.35">
      <c r="J194" s="150" t="s">
        <v>178</v>
      </c>
      <c r="L194">
        <f t="shared" si="44"/>
        <v>20905256.045523122</v>
      </c>
      <c r="M194" t="s">
        <v>212</v>
      </c>
      <c r="O194">
        <f t="shared" si="45"/>
        <v>47472991.752000012</v>
      </c>
      <c r="P194" s="18" t="s">
        <v>177</v>
      </c>
      <c r="R194">
        <f>SUMIF($P$164:$P$190,P194,$R$164:$R$190)</f>
        <v>368670852.29250002</v>
      </c>
    </row>
    <row r="195" spans="1:18" x14ac:dyDescent="0.35">
      <c r="J195" s="147" t="s">
        <v>179</v>
      </c>
      <c r="L195">
        <f t="shared" si="44"/>
        <v>1021527189.6991147</v>
      </c>
      <c r="M195" s="5" t="s">
        <v>210</v>
      </c>
      <c r="O195">
        <f t="shared" si="45"/>
        <v>1189656648.1800003</v>
      </c>
      <c r="P195" s="18" t="s">
        <v>218</v>
      </c>
      <c r="R195">
        <f>SUMIF($P$164:$P$190,P195,$R$164:$R$190)</f>
        <v>416363595.21000004</v>
      </c>
    </row>
    <row r="196" spans="1:18" x14ac:dyDescent="0.35">
      <c r="J196" s="171" t="s">
        <v>222</v>
      </c>
      <c r="L196">
        <f t="shared" si="44"/>
        <v>209661073.17371839</v>
      </c>
      <c r="M196" t="s">
        <v>213</v>
      </c>
      <c r="O196">
        <f t="shared" si="45"/>
        <v>237364958.76000005</v>
      </c>
      <c r="P196" s="18" t="s">
        <v>219</v>
      </c>
      <c r="R196">
        <f>SUMIF($P$164:$P$190,P196,$R$164:$R$190)</f>
        <v>523356298.33500004</v>
      </c>
    </row>
    <row r="197" spans="1:18" x14ac:dyDescent="0.35">
      <c r="J197" s="149" t="s">
        <v>176</v>
      </c>
      <c r="L197">
        <f t="shared" si="44"/>
        <v>247520529.64624017</v>
      </c>
      <c r="M197" t="s">
        <v>214</v>
      </c>
      <c r="O197">
        <f t="shared" si="45"/>
        <v>654169563.78000021</v>
      </c>
      <c r="P197" s="18" t="s">
        <v>220</v>
      </c>
      <c r="R197">
        <f>SUMIF($P$164:$P$190,P197,$R$164:$R$190)</f>
        <v>106992703.12500001</v>
      </c>
    </row>
    <row r="198" spans="1:18" x14ac:dyDescent="0.35">
      <c r="J198" s="152" t="s">
        <v>180</v>
      </c>
      <c r="L198">
        <f t="shared" si="44"/>
        <v>34057350.976122119</v>
      </c>
      <c r="M198" t="s">
        <v>216</v>
      </c>
      <c r="O198">
        <f t="shared" si="45"/>
        <v>71209487.628000021</v>
      </c>
    </row>
    <row r="199" spans="1:18" x14ac:dyDescent="0.35">
      <c r="J199" s="151" t="s">
        <v>77</v>
      </c>
      <c r="L199">
        <f t="shared" si="44"/>
        <v>34487226.23824513</v>
      </c>
    </row>
    <row r="200" spans="1:18" s="190" customFormat="1" ht="32.5" customHeight="1" x14ac:dyDescent="0.35">
      <c r="A200" s="229" t="s">
        <v>350</v>
      </c>
      <c r="B200" s="229"/>
      <c r="C200" s="229"/>
      <c r="F200" s="198"/>
    </row>
    <row r="201" spans="1:18" ht="16.5" customHeight="1" x14ac:dyDescent="0.35">
      <c r="B201" s="2">
        <f>C201/1000000</f>
        <v>679.81259145216484</v>
      </c>
      <c r="C201" s="2">
        <f>C202+C209</f>
        <v>679812591.45216489</v>
      </c>
      <c r="D201" s="2">
        <f>D202+D209</f>
        <v>0.56844373886464894</v>
      </c>
      <c r="F201" s="2">
        <f>F202+F209</f>
        <v>579202.03553445195</v>
      </c>
      <c r="L201" s="2">
        <f>L202+L209</f>
        <v>740261281.41947925</v>
      </c>
      <c r="O201" s="2">
        <f>O202+O209</f>
        <v>61886183.272961169</v>
      </c>
      <c r="R201" s="2">
        <f>R202+R209</f>
        <v>49805497.134085782</v>
      </c>
    </row>
    <row r="202" spans="1:18" s="202" customFormat="1" x14ac:dyDescent="0.35">
      <c r="A202" s="202" t="s">
        <v>351</v>
      </c>
      <c r="B202" s="202">
        <v>935</v>
      </c>
      <c r="C202" s="202">
        <f>B202*F202</f>
        <v>161342510.59921855</v>
      </c>
      <c r="D202" s="202">
        <f>'[2]GAP analysis Sc. 2'!$C$57</f>
        <v>8.2429939268880453E-2</v>
      </c>
      <c r="E202" s="202">
        <f>'[1]Conversion factors selected IV '!$O$50</f>
        <v>2.0934000000000004</v>
      </c>
      <c r="F202" s="202">
        <f>D202*E202*1000000</f>
        <v>172558.83486547437</v>
      </c>
      <c r="G202" s="202">
        <f>'LCoP 2030 HIGH'!E12</f>
        <v>370.61968567880001</v>
      </c>
      <c r="H202" s="202">
        <f>G202*F202</f>
        <v>63953701.13894207</v>
      </c>
      <c r="I202" s="209">
        <f>'LCoP 2030 HIGH'!H12</f>
        <v>0.78751803251959696</v>
      </c>
      <c r="L202" s="202">
        <f>I202*H202</f>
        <v>50364692.893285967</v>
      </c>
      <c r="M202" s="209">
        <f>'LCoP 2030 HIGH'!F12</f>
        <v>0.1537964717001013</v>
      </c>
      <c r="O202" s="202">
        <f>M202*H202</f>
        <v>9835853.5873320401</v>
      </c>
      <c r="P202" s="209">
        <f>'LCoP 2030 HIGH'!G12</f>
        <v>5.8685495780301807E-2</v>
      </c>
      <c r="R202" s="202">
        <f>P202*H202</f>
        <v>3753154.6583240675</v>
      </c>
    </row>
    <row r="203" spans="1:18" x14ac:dyDescent="0.35">
      <c r="E203" s="1"/>
      <c r="F203" s="242" t="s">
        <v>177</v>
      </c>
      <c r="G203">
        <v>1</v>
      </c>
      <c r="I203" s="15" t="s">
        <v>30</v>
      </c>
      <c r="J203" s="242" t="s">
        <v>177</v>
      </c>
      <c r="L203" s="2">
        <f>L202</f>
        <v>50364692.893285967</v>
      </c>
      <c r="M203" s="5" t="s">
        <v>211</v>
      </c>
      <c r="N203" s="34">
        <v>0.2</v>
      </c>
      <c r="O203" s="2">
        <f t="shared" ref="O203:O208" si="46">N203*O$202</f>
        <v>1967170.7174664082</v>
      </c>
      <c r="P203" s="18" t="s">
        <v>217</v>
      </c>
      <c r="Q203" s="34">
        <v>0.35</v>
      </c>
      <c r="R203" s="2">
        <f>Q203*$R$202</f>
        <v>1313604.1304134235</v>
      </c>
    </row>
    <row r="204" spans="1:18" x14ac:dyDescent="0.35">
      <c r="E204" s="1"/>
      <c r="M204" t="s">
        <v>212</v>
      </c>
      <c r="N204" s="34">
        <v>7.0000000000000007E-2</v>
      </c>
      <c r="O204" s="2">
        <f t="shared" si="46"/>
        <v>688509.75111324282</v>
      </c>
      <c r="P204" s="18" t="s">
        <v>177</v>
      </c>
      <c r="Q204" s="34">
        <v>0.15</v>
      </c>
      <c r="R204" s="2">
        <f>Q204*$R$202</f>
        <v>562973.1987486101</v>
      </c>
    </row>
    <row r="205" spans="1:18" x14ac:dyDescent="0.35">
      <c r="E205" s="1"/>
      <c r="M205" s="5" t="s">
        <v>210</v>
      </c>
      <c r="N205" s="34">
        <v>0.4</v>
      </c>
      <c r="O205" s="2">
        <f t="shared" si="46"/>
        <v>3934341.4349328163</v>
      </c>
      <c r="P205" s="18" t="s">
        <v>218</v>
      </c>
      <c r="Q205" s="34">
        <v>0.12</v>
      </c>
      <c r="R205" s="2">
        <f>Q205*$R$202</f>
        <v>450378.55899888807</v>
      </c>
    </row>
    <row r="206" spans="1:18" x14ac:dyDescent="0.35">
      <c r="E206" s="1"/>
      <c r="M206" t="s">
        <v>213</v>
      </c>
      <c r="N206" s="34">
        <v>0.15</v>
      </c>
      <c r="O206" s="2">
        <f t="shared" si="46"/>
        <v>1475378.0380998061</v>
      </c>
      <c r="P206" s="18" t="s">
        <v>219</v>
      </c>
      <c r="Q206" s="34">
        <v>0.3</v>
      </c>
      <c r="R206" s="2">
        <f>Q206*$R$202</f>
        <v>1125946.3974972202</v>
      </c>
    </row>
    <row r="207" spans="1:18" x14ac:dyDescent="0.35">
      <c r="E207" s="1"/>
      <c r="M207" t="s">
        <v>214</v>
      </c>
      <c r="N207" s="34">
        <v>0.15</v>
      </c>
      <c r="O207" s="2">
        <f t="shared" si="46"/>
        <v>1475378.0380998061</v>
      </c>
      <c r="P207" s="18" t="s">
        <v>220</v>
      </c>
      <c r="Q207" s="34">
        <v>0.08</v>
      </c>
      <c r="R207" s="2">
        <f>Q207*$R$202</f>
        <v>300252.37266592542</v>
      </c>
    </row>
    <row r="208" spans="1:18" x14ac:dyDescent="0.35">
      <c r="E208" s="1"/>
      <c r="M208" t="s">
        <v>216</v>
      </c>
      <c r="N208" s="34">
        <v>0.03</v>
      </c>
      <c r="O208" s="2">
        <f t="shared" si="46"/>
        <v>295075.6076199612</v>
      </c>
      <c r="Q208" s="34">
        <f>SUM(Q203:Q207)</f>
        <v>0.99999999999999989</v>
      </c>
    </row>
    <row r="209" spans="1:18" s="202" customFormat="1" x14ac:dyDescent="0.35">
      <c r="A209" s="202" t="s">
        <v>352</v>
      </c>
      <c r="B209" s="202">
        <v>1275</v>
      </c>
      <c r="C209" s="202">
        <f>B209*F209</f>
        <v>518470080.85294634</v>
      </c>
      <c r="D209" s="202">
        <f>'[2]GAP analysis Sc. 2'!$C$48</f>
        <v>0.48601379959576846</v>
      </c>
      <c r="E209" s="202">
        <f>'[1]Conversion factors selected IV '!$O$62</f>
        <v>0.83669064748201449</v>
      </c>
      <c r="F209" s="202">
        <f>D209*E209*1000000</f>
        <v>406643.20066897752</v>
      </c>
      <c r="G209" s="202">
        <f>'LCoP 2030 HIGH'!E14</f>
        <v>1937.8149183147032</v>
      </c>
      <c r="H209" s="202">
        <f>G209*F209</f>
        <v>787999260.68758416</v>
      </c>
      <c r="I209" s="209">
        <f>'LCoP 2030 HIGH'!H14</f>
        <v>0.87550410634168685</v>
      </c>
      <c r="L209" s="202">
        <f>I209*H209</f>
        <v>689896588.52619326</v>
      </c>
      <c r="M209" s="209">
        <f>'LCoP 2030 HIGH'!F14</f>
        <v>6.6053779847726757E-2</v>
      </c>
      <c r="O209" s="202">
        <f>M209*H209</f>
        <v>52050329.685629129</v>
      </c>
      <c r="P209" s="209">
        <f>'LCoP 2030 HIGH'!G14</f>
        <v>5.8442113810586366E-2</v>
      </c>
      <c r="R209" s="202">
        <f>P209*H209</f>
        <v>46052342.475761712</v>
      </c>
    </row>
    <row r="210" spans="1:18" x14ac:dyDescent="0.35">
      <c r="E210" s="1"/>
      <c r="F210" s="242" t="s">
        <v>177</v>
      </c>
      <c r="G210">
        <v>1</v>
      </c>
      <c r="I210" s="15" t="s">
        <v>30</v>
      </c>
      <c r="J210" s="242" t="s">
        <v>177</v>
      </c>
      <c r="L210" s="2">
        <f>L209</f>
        <v>689896588.52619326</v>
      </c>
      <c r="M210" s="5" t="s">
        <v>211</v>
      </c>
      <c r="N210" s="34">
        <v>0.2</v>
      </c>
      <c r="O210" s="2">
        <f t="shared" ref="O210:O215" si="47">N210*O$209</f>
        <v>10410065.937125826</v>
      </c>
      <c r="P210" s="18" t="s">
        <v>217</v>
      </c>
      <c r="Q210" s="34">
        <v>0.35</v>
      </c>
      <c r="R210" s="2">
        <f>Q210*$R$209</f>
        <v>16118319.866516598</v>
      </c>
    </row>
    <row r="211" spans="1:18" x14ac:dyDescent="0.35">
      <c r="M211" t="s">
        <v>212</v>
      </c>
      <c r="N211" s="34">
        <v>7.0000000000000007E-2</v>
      </c>
      <c r="O211" s="2">
        <f t="shared" si="47"/>
        <v>3643523.0779940393</v>
      </c>
      <c r="P211" s="18" t="s">
        <v>177</v>
      </c>
      <c r="Q211" s="34">
        <v>0.15</v>
      </c>
      <c r="R211" s="2">
        <f>Q211*$R$209</f>
        <v>6907851.3713642564</v>
      </c>
    </row>
    <row r="212" spans="1:18" x14ac:dyDescent="0.35">
      <c r="M212" s="5" t="s">
        <v>210</v>
      </c>
      <c r="N212" s="34">
        <v>0.4</v>
      </c>
      <c r="O212" s="2">
        <f t="shared" si="47"/>
        <v>20820131.874251653</v>
      </c>
      <c r="P212" s="18" t="s">
        <v>218</v>
      </c>
      <c r="Q212" s="34">
        <v>0.12</v>
      </c>
      <c r="R212" s="2">
        <f>Q212*$R$209</f>
        <v>5526281.0970914057</v>
      </c>
    </row>
    <row r="213" spans="1:18" x14ac:dyDescent="0.35">
      <c r="M213" t="s">
        <v>213</v>
      </c>
      <c r="N213" s="34">
        <v>0.15</v>
      </c>
      <c r="O213" s="2">
        <f t="shared" si="47"/>
        <v>7807549.4528443692</v>
      </c>
      <c r="P213" s="18" t="s">
        <v>219</v>
      </c>
      <c r="Q213" s="34">
        <v>0.3</v>
      </c>
      <c r="R213" s="2">
        <f>Q213*$R$209</f>
        <v>13815702.742728513</v>
      </c>
    </row>
    <row r="214" spans="1:18" x14ac:dyDescent="0.35">
      <c r="M214" t="s">
        <v>214</v>
      </c>
      <c r="N214" s="34">
        <v>0.15</v>
      </c>
      <c r="O214" s="2">
        <f t="shared" si="47"/>
        <v>7807549.4528443692</v>
      </c>
      <c r="P214" s="18" t="s">
        <v>220</v>
      </c>
      <c r="Q214" s="34">
        <v>0.08</v>
      </c>
      <c r="R214" s="2">
        <f>Q214*$R$209</f>
        <v>3684187.3980609369</v>
      </c>
    </row>
    <row r="215" spans="1:18" x14ac:dyDescent="0.35">
      <c r="M215" t="s">
        <v>216</v>
      </c>
      <c r="N215" s="34">
        <v>0.03</v>
      </c>
      <c r="O215" s="2">
        <f t="shared" si="47"/>
        <v>1561509.8905688738</v>
      </c>
      <c r="Q215" s="34">
        <f>SUM(Q210:Q214)</f>
        <v>0.99999999999999989</v>
      </c>
    </row>
    <row r="216" spans="1:18" x14ac:dyDescent="0.35">
      <c r="O216" s="2">
        <f>SUM(O210:O215)</f>
        <v>52050329.685629122</v>
      </c>
      <c r="R216" s="2">
        <f>SUM(R210:R215)</f>
        <v>46052342.475761719</v>
      </c>
    </row>
    <row r="218" spans="1:18" x14ac:dyDescent="0.35">
      <c r="I218" s="78" t="s">
        <v>181</v>
      </c>
      <c r="J218" s="78"/>
      <c r="K218" s="78"/>
      <c r="L218" s="90">
        <f>SUM(L219:L224)</f>
        <v>740261281.41947925</v>
      </c>
      <c r="M218" s="78"/>
      <c r="N218" s="78"/>
      <c r="O218" s="90">
        <f>SUM(O219:O224)</f>
        <v>61886183.272961177</v>
      </c>
      <c r="P218" s="78"/>
      <c r="Q218" s="78"/>
      <c r="R218" s="90">
        <f>SUM(R219:R224)</f>
        <v>49805497.134085774</v>
      </c>
    </row>
    <row r="219" spans="1:18" x14ac:dyDescent="0.35">
      <c r="J219" s="242" t="s">
        <v>177</v>
      </c>
      <c r="L219" s="2">
        <f>L203+L210</f>
        <v>740261281.41947925</v>
      </c>
      <c r="M219" s="5" t="s">
        <v>211</v>
      </c>
      <c r="O219">
        <f t="shared" ref="O219:O224" si="48">SUMIF($M$203:$M$215, M219, $O$203:$O$215)</f>
        <v>12377236.654592235</v>
      </c>
      <c r="P219" s="18" t="s">
        <v>217</v>
      </c>
      <c r="R219">
        <f>SUMIF($P$203:$P$214, P219, $R$203:$R$214)</f>
        <v>17431923.996930022</v>
      </c>
    </row>
    <row r="220" spans="1:18" x14ac:dyDescent="0.35">
      <c r="M220" t="s">
        <v>212</v>
      </c>
      <c r="O220">
        <f t="shared" si="48"/>
        <v>4332032.8291072818</v>
      </c>
      <c r="P220" s="18" t="s">
        <v>177</v>
      </c>
      <c r="R220">
        <f>SUMIF($P$203:$P$214, P220, $R$203:$R$214)</f>
        <v>7470824.5701128663</v>
      </c>
    </row>
    <row r="221" spans="1:18" x14ac:dyDescent="0.35">
      <c r="M221" s="5" t="s">
        <v>210</v>
      </c>
      <c r="O221">
        <f t="shared" si="48"/>
        <v>24754473.309184469</v>
      </c>
      <c r="P221" s="18" t="s">
        <v>218</v>
      </c>
      <c r="R221">
        <f>SUMIF($P$203:$P$214, P221, $R$203:$R$214)</f>
        <v>5976659.656090294</v>
      </c>
    </row>
    <row r="222" spans="1:18" x14ac:dyDescent="0.35">
      <c r="M222" t="s">
        <v>213</v>
      </c>
      <c r="O222">
        <f t="shared" si="48"/>
        <v>9282927.490944175</v>
      </c>
      <c r="P222" s="18" t="s">
        <v>219</v>
      </c>
      <c r="R222">
        <f>SUMIF($P$203:$P$214, P222, $R$203:$R$214)</f>
        <v>14941649.140225733</v>
      </c>
    </row>
    <row r="223" spans="1:18" x14ac:dyDescent="0.35">
      <c r="M223" t="s">
        <v>214</v>
      </c>
      <c r="O223">
        <f t="shared" si="48"/>
        <v>9282927.490944175</v>
      </c>
      <c r="P223" s="18" t="s">
        <v>220</v>
      </c>
      <c r="R223">
        <f>SUMIF($P$203:$P$214, P223, $R$203:$R$214)</f>
        <v>3984439.7707268624</v>
      </c>
    </row>
    <row r="224" spans="1:18" x14ac:dyDescent="0.35">
      <c r="M224" t="s">
        <v>216</v>
      </c>
      <c r="O224">
        <f t="shared" si="48"/>
        <v>1856585.4981888351</v>
      </c>
    </row>
    <row r="226" spans="1:19" s="190" customFormat="1" ht="32.5" customHeight="1" x14ac:dyDescent="0.35">
      <c r="A226" s="229" t="s">
        <v>323</v>
      </c>
      <c r="B226" s="229"/>
      <c r="C226" s="283">
        <f>C229+C261+C271</f>
        <v>17067902372.394461</v>
      </c>
      <c r="D226" s="283">
        <f>D229+D261+D271</f>
        <v>13.411793615508698</v>
      </c>
      <c r="F226" s="198"/>
    </row>
    <row r="227" spans="1:19" x14ac:dyDescent="0.35">
      <c r="D227" s="2"/>
    </row>
    <row r="228" spans="1:19" s="151" customFormat="1" ht="29.5" customHeight="1" x14ac:dyDescent="0.35">
      <c r="A228" s="151" t="s">
        <v>224</v>
      </c>
      <c r="F228" s="230"/>
    </row>
    <row r="229" spans="1:19" ht="17.5" customHeight="1" x14ac:dyDescent="0.35">
      <c r="B229" s="2">
        <f>C229/1000000</f>
        <v>15867.820045058934</v>
      </c>
      <c r="C229" s="2">
        <f>SUM(C230:C256)</f>
        <v>15867820045.058933</v>
      </c>
      <c r="D229" s="243">
        <f>D230+D238+D245+D253</f>
        <v>12.813433577476269</v>
      </c>
      <c r="E229" s="2">
        <f>E230+E238+E245+E253+E276+E279</f>
        <v>4.1662260442260441</v>
      </c>
      <c r="F229" s="2">
        <f>F230+F238+F245+F253</f>
        <v>13613129.930803733</v>
      </c>
    </row>
    <row r="230" spans="1:19" s="114" customFormat="1" x14ac:dyDescent="0.35">
      <c r="A230" s="114" t="s">
        <v>357</v>
      </c>
      <c r="B230" s="114">
        <v>1165.6261363636365</v>
      </c>
      <c r="C230" s="114">
        <f>B230*F230</f>
        <v>4238632579.4089346</v>
      </c>
      <c r="D230" s="114">
        <f>'[2]GAP analysis Sc. 2'!$K$20</f>
        <v>3.2135569708726672</v>
      </c>
      <c r="E230" s="114">
        <f>'[1]Conversion factors selected IV '!$O$4</f>
        <v>1.1315675675675676</v>
      </c>
      <c r="F230" s="114">
        <f>D230*E230*1000000</f>
        <v>3636356.8447701847</v>
      </c>
      <c r="G230" s="301">
        <f>'LCoP CONVENTIONAL'!$B$3</f>
        <v>800</v>
      </c>
      <c r="H230" s="114">
        <f>G230*F230</f>
        <v>2909085475.8161478</v>
      </c>
      <c r="I230" s="308">
        <f>'LCoP CONVENTIONAL'!$C$3</f>
        <v>0.75</v>
      </c>
      <c r="K230" s="114">
        <f>I230*G230</f>
        <v>600</v>
      </c>
      <c r="L230" s="114">
        <f>I230*H230</f>
        <v>2181814106.8621111</v>
      </c>
      <c r="M230" s="309">
        <f>'LCoP CONVENTIONAL'!$F$3</f>
        <v>6.5000000000000002E-2</v>
      </c>
      <c r="O230" s="114">
        <f>M230*H230</f>
        <v>189090555.92804962</v>
      </c>
      <c r="P230" s="309">
        <f>'LCoP CONVENTIONAL'!$I$3</f>
        <v>0.185</v>
      </c>
      <c r="R230" s="114">
        <f>P230*H230</f>
        <v>538180813.02598739</v>
      </c>
      <c r="S230" s="114">
        <f>SUM(L230,O230,R230)</f>
        <v>2909085475.8161478</v>
      </c>
    </row>
    <row r="231" spans="1:19" x14ac:dyDescent="0.35">
      <c r="D231" s="2"/>
      <c r="E231" s="192" t="s">
        <v>254</v>
      </c>
      <c r="F231" s="154" t="s">
        <v>178</v>
      </c>
      <c r="G231">
        <f>(L231+L233)/L230</f>
        <v>0.80055384228082327</v>
      </c>
      <c r="H231" s="192" t="s">
        <v>254</v>
      </c>
      <c r="I231" s="18" t="s">
        <v>225</v>
      </c>
      <c r="J231" s="154" t="s">
        <v>178</v>
      </c>
      <c r="K231" s="107">
        <f>'Feedtstocks only CONVENTIONAL'!$J$4</f>
        <v>0.76052615016678204</v>
      </c>
      <c r="L231" s="2">
        <f>K231*$L$230</f>
        <v>1659326683.0714173</v>
      </c>
      <c r="M231" t="str">
        <f>'LCoP CONVENTIONAL'!$F$4</f>
        <v>Machinery and equipment</v>
      </c>
      <c r="N231" s="59">
        <f>'LCoP CONVENTIONAL'!$G$4</f>
        <v>0.45</v>
      </c>
      <c r="O231" s="2">
        <f>N231*$O$230</f>
        <v>85090750.167622328</v>
      </c>
      <c r="P231" t="str">
        <f>'LCoP CONVENTIONAL'!$I$4</f>
        <v>Chemical and chemical products</v>
      </c>
      <c r="Q231" s="59">
        <f>'LCoP CONVENTIONAL'!$J$4</f>
        <v>0.3</v>
      </c>
      <c r="R231" s="2">
        <f t="shared" ref="R231:R236" si="49">Q231*$R$230</f>
        <v>161454243.9077962</v>
      </c>
    </row>
    <row r="232" spans="1:19" x14ac:dyDescent="0.35">
      <c r="D232" s="2"/>
      <c r="E232" s="191" t="s">
        <v>252</v>
      </c>
      <c r="F232" s="154" t="s">
        <v>178</v>
      </c>
      <c r="G232">
        <f>(L232+L234)/L230</f>
        <v>0.19944615771917679</v>
      </c>
      <c r="H232" s="191" t="s">
        <v>252</v>
      </c>
      <c r="I232" s="18" t="s">
        <v>226</v>
      </c>
      <c r="J232" s="154" t="s">
        <v>178</v>
      </c>
      <c r="K232" s="107">
        <f>'Feedtstocks only CONVENTIONAL'!$J$5</f>
        <v>0.16011076845616465</v>
      </c>
      <c r="L232" s="2">
        <f>K232*$L$230</f>
        <v>349331933.27819312</v>
      </c>
      <c r="M232" t="str">
        <f>'LCoP CONVENTIONAL'!$F$5</f>
        <v>Architectural and engineering services</v>
      </c>
      <c r="N232" s="59">
        <f>'LCoP CONVENTIONAL'!$G$5</f>
        <v>0.3</v>
      </c>
      <c r="O232" s="2">
        <f>N232*$O$230</f>
        <v>56727166.778414883</v>
      </c>
      <c r="P232" t="str">
        <f>'LCoP CONVENTIONAL'!$I$5</f>
        <v>Electricity, gas, steam &amp; AC</v>
      </c>
      <c r="Q232" s="59">
        <f>'LCoP CONVENTIONAL'!$J$5</f>
        <v>0.2</v>
      </c>
      <c r="R232" s="2">
        <f t="shared" si="49"/>
        <v>107636162.60519749</v>
      </c>
    </row>
    <row r="233" spans="1:19" x14ac:dyDescent="0.35">
      <c r="D233" s="2"/>
      <c r="H233" s="192" t="s">
        <v>254</v>
      </c>
      <c r="I233" s="18" t="s">
        <v>228</v>
      </c>
      <c r="J233" s="154" t="s">
        <v>178</v>
      </c>
      <c r="K233" s="107">
        <f>'Feedtstocks only CONVENTIONAL'!$J$6</f>
        <v>4.0027692114041162E-2</v>
      </c>
      <c r="L233" s="2">
        <f>K233*$L$230</f>
        <v>87332983.319548279</v>
      </c>
      <c r="M233" t="str">
        <f>'LCoP CONVENTIONAL'!$F$6</f>
        <v>Constructions and construction works</v>
      </c>
      <c r="N233" s="59">
        <f>'LCoP CONVENTIONAL'!$G$6</f>
        <v>0.15</v>
      </c>
      <c r="O233" s="2">
        <f>N233*$O$230</f>
        <v>28363583.389207441</v>
      </c>
      <c r="P233" t="str">
        <f>'LCoP CONVENTIONAL'!$I$6</f>
        <v>Legal and accounting services; services of head offices; management consultancy services</v>
      </c>
      <c r="Q233" s="59">
        <f>'LCoP CONVENTIONAL'!$J$6</f>
        <v>0.25</v>
      </c>
      <c r="R233" s="2">
        <f t="shared" si="49"/>
        <v>134545203.25649685</v>
      </c>
    </row>
    <row r="234" spans="1:19" x14ac:dyDescent="0.35">
      <c r="D234" s="2"/>
      <c r="H234" s="191" t="s">
        <v>252</v>
      </c>
      <c r="I234" s="18" t="s">
        <v>227</v>
      </c>
      <c r="J234" s="154" t="s">
        <v>178</v>
      </c>
      <c r="K234" s="107">
        <f>'Feedtstocks only CONVENTIONAL'!$J$7</f>
        <v>3.9335389263012145E-2</v>
      </c>
      <c r="L234" s="2">
        <f>K234*$L$230</f>
        <v>85822507.19295232</v>
      </c>
      <c r="M234" t="str">
        <f>'LCoP CONVENTIONAL'!$F$7</f>
        <v>Fabricated metal products</v>
      </c>
      <c r="N234" s="59">
        <f>'LCoP CONVENTIONAL'!$G$7</f>
        <v>7.0000000000000007E-2</v>
      </c>
      <c r="O234" s="2">
        <f>N234*$O$230</f>
        <v>13236338.914963474</v>
      </c>
      <c r="P234" t="str">
        <f>'LCoP CONVENTIONAL'!$I$7</f>
        <v>Repair and installation services</v>
      </c>
      <c r="Q234" s="59">
        <f>'LCoP CONVENTIONAL'!$J$7</f>
        <v>0.15</v>
      </c>
      <c r="R234" s="2">
        <f t="shared" si="49"/>
        <v>80727121.953898102</v>
      </c>
    </row>
    <row r="235" spans="1:19" x14ac:dyDescent="0.35">
      <c r="D235" s="2"/>
      <c r="L235" s="2">
        <f>SUM(L231:L234)</f>
        <v>2181814106.8621111</v>
      </c>
      <c r="M235" t="str">
        <f>'LCoP CONVENTIONAL'!$F$8</f>
        <v>Computer, electronic and optical products</v>
      </c>
      <c r="N235" s="59">
        <f>'LCoP CONVENTIONAL'!$G$8</f>
        <v>0.03</v>
      </c>
      <c r="O235" s="2">
        <f>N235*$O$230</f>
        <v>5672716.6778414883</v>
      </c>
      <c r="P235" s="102" t="str">
        <f>'LCoP CONVENTIONAL'!$I$8</f>
        <v>Land transport services and transport services via pipelines</v>
      </c>
      <c r="Q235" s="59">
        <f>'LCoP CONVENTIONAL'!$J$8</f>
        <v>0.1</v>
      </c>
      <c r="R235" s="2">
        <f t="shared" si="49"/>
        <v>53818081.302598745</v>
      </c>
    </row>
    <row r="236" spans="1:19" x14ac:dyDescent="0.35">
      <c r="D236" s="2"/>
      <c r="O236" s="2">
        <f>SUM(O231:O235)</f>
        <v>189090555.92804962</v>
      </c>
      <c r="P236" t="str">
        <f>'LCoP CONVENTIONAL'!$I$9</f>
        <v>Waste management services</v>
      </c>
      <c r="Q236" s="59">
        <f>'LCoP CONVENTIONAL'!$J$9</f>
        <v>0</v>
      </c>
      <c r="R236" s="2">
        <f t="shared" si="49"/>
        <v>0</v>
      </c>
    </row>
    <row r="237" spans="1:19" s="117" customFormat="1" x14ac:dyDescent="0.35">
      <c r="R237" s="2">
        <f>SUM(R231:R236)</f>
        <v>538180813.02598739</v>
      </c>
    </row>
    <row r="238" spans="1:19" s="114" customFormat="1" x14ac:dyDescent="0.35">
      <c r="A238" s="114" t="s">
        <v>330</v>
      </c>
      <c r="B238" s="114">
        <v>1165.6261363636365</v>
      </c>
      <c r="C238" s="114">
        <f>B238*F238</f>
        <v>5006112138.5829525</v>
      </c>
      <c r="D238" s="114">
        <f>'[2]GAP analysis Sc. 2'!$K$21</f>
        <v>4.513482447113156</v>
      </c>
      <c r="E238" s="114">
        <f>'[1]Conversion factors selected IV '!$O$7</f>
        <v>0.95154545454545458</v>
      </c>
      <c r="F238" s="114">
        <f>D238*E238*1000000</f>
        <v>4294783.7067212192</v>
      </c>
      <c r="G238" s="301">
        <f>'LCoP CONVENTIONAL'!$B$24</f>
        <v>900</v>
      </c>
      <c r="H238" s="114">
        <f>G238*F238</f>
        <v>3865305336.0490975</v>
      </c>
      <c r="I238" s="308">
        <f>'LCoP CONVENTIONAL'!$C$24</f>
        <v>0.66666666666666663</v>
      </c>
      <c r="K238" s="114">
        <f>I238*G238</f>
        <v>600</v>
      </c>
      <c r="L238" s="114">
        <f>I238*H238</f>
        <v>2576870224.0327315</v>
      </c>
      <c r="M238" s="308">
        <f>'LCoP CONVENTIONAL'!$F$24</f>
        <v>0.1111111111111111</v>
      </c>
      <c r="O238" s="114">
        <f>M238*H238</f>
        <v>429478370.67212194</v>
      </c>
      <c r="P238" s="309">
        <f>'LCoP CONVENTIONAL'!$I$24</f>
        <v>0.22222222222222221</v>
      </c>
      <c r="R238" s="114">
        <f>P238*H238</f>
        <v>858956741.34424388</v>
      </c>
      <c r="S238" s="114">
        <f>SUM(L238,O238,R238)</f>
        <v>3865305336.0490975</v>
      </c>
    </row>
    <row r="239" spans="1:19" x14ac:dyDescent="0.35">
      <c r="D239" s="2"/>
      <c r="E239" s="192" t="s">
        <v>254</v>
      </c>
      <c r="F239" s="154" t="s">
        <v>178</v>
      </c>
      <c r="H239" s="192" t="s">
        <v>254</v>
      </c>
      <c r="I239" s="18" t="s">
        <v>225</v>
      </c>
      <c r="J239" s="154" t="s">
        <v>178</v>
      </c>
      <c r="K239" s="107">
        <f>'Feedtstocks only CONVENTIONAL'!$J$4</f>
        <v>0.76052615016678204</v>
      </c>
      <c r="L239" s="2">
        <f>K239*$L$238</f>
        <v>1959777190.9630265</v>
      </c>
      <c r="M239" t="str">
        <f>'LCoP CONVENTIONAL'!$F$25</f>
        <v>Machinery and equipment</v>
      </c>
      <c r="N239" s="59">
        <f>'LCoP CONVENTIONAL'!$G$25</f>
        <v>0.55000000000000004</v>
      </c>
      <c r="O239" s="2">
        <f>N239*$O$238</f>
        <v>236213103.86966708</v>
      </c>
      <c r="P239" t="str">
        <f>'LCoP CONVENTIONAL'!$I$25</f>
        <v>Chemical and chemical products</v>
      </c>
      <c r="Q239" s="59">
        <f>'LCoP CONVENTIONAL'!$J$25</f>
        <v>0.4</v>
      </c>
      <c r="R239" s="2">
        <f t="shared" ref="R239:R244" si="50">Q239*$R$238</f>
        <v>343582696.53769755</v>
      </c>
    </row>
    <row r="240" spans="1:19" x14ac:dyDescent="0.35">
      <c r="D240" s="2"/>
      <c r="E240" s="191" t="s">
        <v>252</v>
      </c>
      <c r="F240" s="154" t="s">
        <v>178</v>
      </c>
      <c r="H240" s="191" t="s">
        <v>252</v>
      </c>
      <c r="I240" s="18" t="s">
        <v>226</v>
      </c>
      <c r="J240" s="154" t="s">
        <v>178</v>
      </c>
      <c r="K240" s="107">
        <f>'Feedtstocks only CONVENTIONAL'!$J$5</f>
        <v>0.16011076845616465</v>
      </c>
      <c r="L240" s="2">
        <f>K240*$L$238</f>
        <v>412584671.78168982</v>
      </c>
      <c r="M240" t="str">
        <f>'LCoP CONVENTIONAL'!$F$26</f>
        <v>Architectural and engineering services</v>
      </c>
      <c r="N240" s="59">
        <f>'LCoP CONVENTIONAL'!$G$26</f>
        <v>0.25</v>
      </c>
      <c r="O240" s="2">
        <f>N240*$O$238</f>
        <v>107369592.66803049</v>
      </c>
      <c r="P240" t="str">
        <f>'LCoP CONVENTIONAL'!$I$26</f>
        <v>Electricity, gas, steam &amp; AC</v>
      </c>
      <c r="Q240" s="59">
        <f>'LCoP CONVENTIONAL'!$J$26</f>
        <v>0.2</v>
      </c>
      <c r="R240" s="2">
        <f t="shared" si="50"/>
        <v>171791348.26884878</v>
      </c>
    </row>
    <row r="241" spans="1:19" x14ac:dyDescent="0.35">
      <c r="D241" s="2"/>
      <c r="H241" s="192" t="s">
        <v>254</v>
      </c>
      <c r="I241" s="18" t="s">
        <v>228</v>
      </c>
      <c r="J241" s="154" t="s">
        <v>178</v>
      </c>
      <c r="K241" s="107">
        <f>'Feedtstocks only CONVENTIONAL'!$J$6</f>
        <v>4.0027692114041162E-2</v>
      </c>
      <c r="L241" s="2">
        <f>K241*$L$238</f>
        <v>103146167.94542246</v>
      </c>
      <c r="M241" t="str">
        <f>'LCoP CONVENTIONAL'!$F$27</f>
        <v>Constructions and construction works</v>
      </c>
      <c r="N241" s="59">
        <f>'LCoP CONVENTIONAL'!$G$27</f>
        <v>0.1</v>
      </c>
      <c r="O241" s="2">
        <f>N241*$O$238</f>
        <v>42947837.067212194</v>
      </c>
      <c r="P241" t="str">
        <f>'LCoP CONVENTIONAL'!$I$27</f>
        <v>Legal and accounting services; services of head offices; management consultancy services</v>
      </c>
      <c r="Q241" s="59">
        <f>'LCoP CONVENTIONAL'!$J$27</f>
        <v>0.2</v>
      </c>
      <c r="R241" s="2">
        <f t="shared" si="50"/>
        <v>171791348.26884878</v>
      </c>
    </row>
    <row r="242" spans="1:19" x14ac:dyDescent="0.35">
      <c r="D242" s="2"/>
      <c r="H242" s="191" t="s">
        <v>252</v>
      </c>
      <c r="I242" s="18" t="s">
        <v>227</v>
      </c>
      <c r="J242" s="154" t="s">
        <v>178</v>
      </c>
      <c r="K242" s="107">
        <f>'Feedtstocks only CONVENTIONAL'!$J$7</f>
        <v>3.9335389263012145E-2</v>
      </c>
      <c r="L242" s="2">
        <f>K242*$L$238</f>
        <v>101362193.34259281</v>
      </c>
      <c r="M242" t="str">
        <f>'LCoP CONVENTIONAL'!$F$28</f>
        <v>Fabricated metal products</v>
      </c>
      <c r="N242" s="59">
        <f>'LCoP CONVENTIONAL'!$G$28</f>
        <v>7.0000000000000007E-2</v>
      </c>
      <c r="O242" s="2">
        <f>N242*$O$238</f>
        <v>30063485.947048537</v>
      </c>
      <c r="P242" t="str">
        <f>'LCoP CONVENTIONAL'!$I$28</f>
        <v>Repair and installation services</v>
      </c>
      <c r="Q242" s="59">
        <f>'LCoP CONVENTIONAL'!$J$28</f>
        <v>0.15</v>
      </c>
      <c r="R242" s="2">
        <f t="shared" si="50"/>
        <v>128843511.20163658</v>
      </c>
    </row>
    <row r="243" spans="1:19" x14ac:dyDescent="0.35">
      <c r="D243" s="2"/>
      <c r="M243" t="str">
        <f>'LCoP CONVENTIONAL'!$F$29</f>
        <v>Computer, electronic and optical products</v>
      </c>
      <c r="N243" s="59">
        <f>'LCoP CONVENTIONAL'!$G$29</f>
        <v>0.03</v>
      </c>
      <c r="O243" s="2">
        <f>N243*$O$238</f>
        <v>12884351.120163659</v>
      </c>
      <c r="P243" s="299" t="str">
        <f>'LCoP CONVENTIONAL'!$I$29</f>
        <v>Land transport services and transport services via pipelines</v>
      </c>
      <c r="Q243" s="59">
        <f>'LCoP CONVENTIONAL'!$J$29</f>
        <v>0.05</v>
      </c>
      <c r="R243" s="2">
        <f t="shared" si="50"/>
        <v>42947837.067212194</v>
      </c>
    </row>
    <row r="244" spans="1:19" x14ac:dyDescent="0.35">
      <c r="D244" s="2"/>
      <c r="P244" t="str">
        <f>'LCoP CONVENTIONAL'!$I$30</f>
        <v>Waste management services</v>
      </c>
      <c r="Q244" s="59">
        <f>'LCoP CONVENTIONAL'!$J$30</f>
        <v>0</v>
      </c>
      <c r="R244" s="2">
        <f t="shared" si="50"/>
        <v>0</v>
      </c>
    </row>
    <row r="245" spans="1:19" s="114" customFormat="1" x14ac:dyDescent="0.35">
      <c r="A245" s="114" t="s">
        <v>245</v>
      </c>
      <c r="B245" s="114">
        <v>1165.6261363636365</v>
      </c>
      <c r="C245" s="114">
        <f>B245*F245</f>
        <v>6169556234.9997654</v>
      </c>
      <c r="D245" s="114">
        <f>'[2]GAP analysis Sc. 2'!$K$24</f>
        <v>4.6775039059741133</v>
      </c>
      <c r="E245" s="114">
        <f>'[1]Conversion factors selected IV '!$O$4</f>
        <v>1.1315675675675676</v>
      </c>
      <c r="F245" s="114">
        <f>D245*E245*1000000</f>
        <v>5292911.7171709239</v>
      </c>
      <c r="G245" s="301">
        <f>'LCoP CONVENTIONAL'!$B$17</f>
        <v>1253</v>
      </c>
      <c r="H245" s="114">
        <f>G245*F245</f>
        <v>6632018381.6151676</v>
      </c>
      <c r="I245" s="309">
        <f>'LCoP CONVENTIONAL'!$C$17</f>
        <v>0.72067039106145248</v>
      </c>
      <c r="K245" s="114">
        <f>I245*G245</f>
        <v>903</v>
      </c>
      <c r="L245" s="114">
        <f>I245*H245</f>
        <v>4779499280.6053438</v>
      </c>
      <c r="M245" s="309">
        <f>'LCoP CONVENTIONAL'!$F$17</f>
        <v>6.6241021548284124E-2</v>
      </c>
      <c r="O245" s="114">
        <f>M245*H245</f>
        <v>439311672.52518672</v>
      </c>
      <c r="P245" s="309">
        <f>'LCoP CONVENTIONAL'!$I$17</f>
        <v>0.21308858739026337</v>
      </c>
      <c r="R245" s="114">
        <f>P245*H245</f>
        <v>1413207428.4846368</v>
      </c>
      <c r="S245" s="114">
        <f>SUM(L245,O245,R245)</f>
        <v>6632018381.6151676</v>
      </c>
    </row>
    <row r="246" spans="1:19" x14ac:dyDescent="0.35">
      <c r="H246" s="192" t="s">
        <v>254</v>
      </c>
      <c r="I246" s="18" t="s">
        <v>268</v>
      </c>
      <c r="J246" s="154" t="s">
        <v>178</v>
      </c>
      <c r="K246" s="59">
        <v>0.42676656092472498</v>
      </c>
      <c r="L246" s="2">
        <f>K246*$L$245</f>
        <v>2039730470.9261396</v>
      </c>
      <c r="M246" t="str">
        <f>'LCoP CONVENTIONAL'!$F$18</f>
        <v>Machinery and equipment</v>
      </c>
      <c r="N246" s="59">
        <f>'LCoP CONVENTIONAL'!$G$18</f>
        <v>0.5</v>
      </c>
      <c r="O246" s="2">
        <f>N246*$O$245</f>
        <v>219655836.26259336</v>
      </c>
      <c r="P246" t="str">
        <f>'LCoP CONVENTIONAL'!$I$18</f>
        <v>Chemical and chemical products</v>
      </c>
      <c r="Q246" s="59">
        <f>'LCoP CONVENTIONAL'!$J$18</f>
        <v>0.25</v>
      </c>
      <c r="R246" s="2">
        <f t="shared" ref="R246:R251" si="51">Q246*$R$245</f>
        <v>353301857.1211592</v>
      </c>
    </row>
    <row r="247" spans="1:19" x14ac:dyDescent="0.35">
      <c r="H247" s="191" t="s">
        <v>252</v>
      </c>
      <c r="I247" s="18" t="s">
        <v>269</v>
      </c>
      <c r="J247" s="154" t="s">
        <v>178</v>
      </c>
      <c r="K247" s="59">
        <v>0.28451104061648402</v>
      </c>
      <c r="L247" s="2">
        <f>K247*$L$245</f>
        <v>1359820313.9507632</v>
      </c>
      <c r="M247" t="str">
        <f>'LCoP CONVENTIONAL'!$F$19</f>
        <v>Architectural and engineering services</v>
      </c>
      <c r="N247" s="59">
        <f>'LCoP CONVENTIONAL'!$G$19</f>
        <v>0.3</v>
      </c>
      <c r="O247" s="2">
        <f>N247*$O$245</f>
        <v>131793501.75755601</v>
      </c>
      <c r="P247" t="str">
        <f>'LCoP CONVENTIONAL'!$I$19</f>
        <v>Electricity, gas, steam &amp; AC</v>
      </c>
      <c r="Q247" s="59">
        <f>'LCoP CONVENTIONAL'!$J$19</f>
        <v>0.15</v>
      </c>
      <c r="R247" s="2">
        <f t="shared" si="51"/>
        <v>211981114.27269551</v>
      </c>
    </row>
    <row r="248" spans="1:19" x14ac:dyDescent="0.35">
      <c r="H248" s="192" t="s">
        <v>254</v>
      </c>
      <c r="I248" s="18" t="s">
        <v>267</v>
      </c>
      <c r="J248" s="154" t="s">
        <v>178</v>
      </c>
      <c r="K248" s="59">
        <v>0.288722398458791</v>
      </c>
      <c r="L248" s="2">
        <f>K248*$L$245</f>
        <v>1379948495.728441</v>
      </c>
      <c r="M248" t="str">
        <f>'LCoP CONVENTIONAL'!$F$20</f>
        <v>Constructions and construction works</v>
      </c>
      <c r="N248" s="59">
        <f>'LCoP CONVENTIONAL'!$G$20</f>
        <v>0.1</v>
      </c>
      <c r="O248" s="2">
        <f>N248*$O$245</f>
        <v>43931167.252518676</v>
      </c>
      <c r="P248" t="str">
        <f>'LCoP CONVENTIONAL'!$I$20</f>
        <v>Legal and accounting services; services of head offices; management consultancy services</v>
      </c>
      <c r="Q248" s="59">
        <f>'LCoP CONVENTIONAL'!$J$20</f>
        <v>0.2</v>
      </c>
      <c r="R248" s="2">
        <f t="shared" si="51"/>
        <v>282641485.69692737</v>
      </c>
    </row>
    <row r="249" spans="1:19" x14ac:dyDescent="0.35">
      <c r="M249" t="str">
        <f>'LCoP CONVENTIONAL'!$F$21</f>
        <v>Fabricated metal products</v>
      </c>
      <c r="N249" s="59">
        <f>'LCoP CONVENTIONAL'!$G$21</f>
        <v>7.0000000000000007E-2</v>
      </c>
      <c r="O249" s="2">
        <f>N249*$O$245</f>
        <v>30751817.076763075</v>
      </c>
      <c r="P249" t="str">
        <f>'LCoP CONVENTIONAL'!$I$21</f>
        <v>Repair and installation services</v>
      </c>
      <c r="Q249" s="59">
        <f>'LCoP CONVENTIONAL'!$J$21</f>
        <v>0.2</v>
      </c>
      <c r="R249" s="2">
        <f t="shared" si="51"/>
        <v>282641485.69692737</v>
      </c>
    </row>
    <row r="250" spans="1:19" x14ac:dyDescent="0.35">
      <c r="M250" t="str">
        <f>'LCoP CONVENTIONAL'!$F$22</f>
        <v>Computer, electronic and optical products</v>
      </c>
      <c r="N250" s="59">
        <f>'LCoP CONVENTIONAL'!$G$22</f>
        <v>0.03</v>
      </c>
      <c r="O250" s="2">
        <f>N250*$O$245</f>
        <v>13179350.175755601</v>
      </c>
      <c r="P250" s="102" t="str">
        <f>'LCoP CONVENTIONAL'!$I$22</f>
        <v>Land transport services and transport services via pipelines</v>
      </c>
      <c r="Q250" s="59">
        <f>'LCoP CONVENTIONAL'!$J$22</f>
        <v>0.1</v>
      </c>
      <c r="R250" s="2">
        <f t="shared" si="51"/>
        <v>141320742.84846368</v>
      </c>
    </row>
    <row r="251" spans="1:19" x14ac:dyDescent="0.35">
      <c r="O251" s="2">
        <f>SUM(O246:O250)</f>
        <v>439311672.52518672</v>
      </c>
      <c r="P251" t="str">
        <f>'LCoP CONVENTIONAL'!$I$23</f>
        <v>Waste management services</v>
      </c>
      <c r="Q251" s="59">
        <f>'LCoP CONVENTIONAL'!$J$23</f>
        <v>0.1</v>
      </c>
      <c r="R251" s="2">
        <f t="shared" si="51"/>
        <v>141320742.84846368</v>
      </c>
    </row>
    <row r="252" spans="1:19" x14ac:dyDescent="0.35">
      <c r="C252" s="31">
        <f>B252*F252</f>
        <v>0</v>
      </c>
      <c r="R252" s="2">
        <f>SUM(R246:R251)</f>
        <v>1413207428.484637</v>
      </c>
    </row>
    <row r="253" spans="1:19" s="114" customFormat="1" x14ac:dyDescent="0.35">
      <c r="A253" s="114" t="s">
        <v>356</v>
      </c>
      <c r="B253" s="114">
        <v>1165.6261363636365</v>
      </c>
      <c r="C253" s="114">
        <f>B253*F253</f>
        <v>453519092.06728184</v>
      </c>
      <c r="D253" s="114">
        <f>'[2]GAP analysis Sc. 2'!$K$23</f>
        <v>0.4088902535163324</v>
      </c>
      <c r="E253" s="114">
        <f>'[1]Conversion factors selected IV '!$O$7</f>
        <v>0.95154545454545458</v>
      </c>
      <c r="F253" s="114">
        <f>D253*E253*1000000</f>
        <v>389077.66214140464</v>
      </c>
      <c r="G253" s="301">
        <f>'LCoP CONVENTIONAL'!$B$31</f>
        <v>1203</v>
      </c>
      <c r="H253" s="114">
        <f>G253*F253</f>
        <v>468060427.55610979</v>
      </c>
      <c r="I253" s="308">
        <f>'LCoP CONVENTIONAL'!$C$31</f>
        <v>0.75062344139650872</v>
      </c>
      <c r="K253" s="114">
        <f>I253*G253</f>
        <v>903</v>
      </c>
      <c r="L253" s="114">
        <f>I253*H253</f>
        <v>351337128.91368836</v>
      </c>
      <c r="M253" s="308">
        <f>'LCoP CONVENTIONAL'!$F$31</f>
        <v>8.3125519534497094E-2</v>
      </c>
      <c r="O253" s="114">
        <f>M253*H253</f>
        <v>38907766.214140467</v>
      </c>
      <c r="P253" s="308">
        <f>'LCoP CONVENTIONAL'!$I$31</f>
        <v>0.16625103906899419</v>
      </c>
      <c r="R253" s="114">
        <f>P253*H253</f>
        <v>77815532.428280935</v>
      </c>
      <c r="S253" s="114">
        <f>SUM(L253,O253,R253)</f>
        <v>468060427.55610979</v>
      </c>
    </row>
    <row r="254" spans="1:19" x14ac:dyDescent="0.35">
      <c r="I254" t="s">
        <v>353</v>
      </c>
      <c r="J254" s="147" t="s">
        <v>179</v>
      </c>
      <c r="M254" t="str">
        <f>'LCoP CONVENTIONAL'!$F$32</f>
        <v>Machinery and equipment</v>
      </c>
      <c r="N254" s="59">
        <f>'LCoP CONVENTIONAL'!$G$32</f>
        <v>0.57999999999999996</v>
      </c>
      <c r="O254" s="2">
        <f>N254*$O$253</f>
        <v>22566504.40420147</v>
      </c>
      <c r="P254" t="str">
        <f>'LCoP CONVENTIONAL'!$I$32</f>
        <v>Chemical and chemical products</v>
      </c>
      <c r="Q254" s="59">
        <f>'LCoP CONVENTIONAL'!$J$32</f>
        <v>0.35</v>
      </c>
      <c r="R254" s="2">
        <f t="shared" ref="R254:R259" si="52">Q254*$R$253</f>
        <v>27235436.349898327</v>
      </c>
    </row>
    <row r="255" spans="1:19" x14ac:dyDescent="0.35">
      <c r="M255" t="str">
        <f>'LCoP CONVENTIONAL'!$F$33</f>
        <v>Architectural and engineering services</v>
      </c>
      <c r="N255" s="59">
        <f>'LCoP CONVENTIONAL'!$G$33</f>
        <v>0.25</v>
      </c>
      <c r="O255" s="2">
        <f>N255*$O$253</f>
        <v>9726941.5535351168</v>
      </c>
      <c r="P255" t="str">
        <f>'LCoP CONVENTIONAL'!$I$33</f>
        <v>Electricity, gas, steam &amp; AC</v>
      </c>
      <c r="Q255" s="59">
        <f>'LCoP CONVENTIONAL'!$J$33</f>
        <v>0.15</v>
      </c>
      <c r="R255" s="2">
        <f t="shared" si="52"/>
        <v>11672329.86424214</v>
      </c>
    </row>
    <row r="256" spans="1:19" x14ac:dyDescent="0.35">
      <c r="M256" t="str">
        <f>'LCoP CONVENTIONAL'!$F$34</f>
        <v>Constructions and construction works</v>
      </c>
      <c r="N256" s="59">
        <f>'LCoP CONVENTIONAL'!$G$34</f>
        <v>0.08</v>
      </c>
      <c r="O256" s="2">
        <f>N256*$O$253</f>
        <v>3112621.2971312376</v>
      </c>
      <c r="P256" t="str">
        <f>'LCoP CONVENTIONAL'!$I$34</f>
        <v>Legal and accounting services; services of head offices; management consultancy services</v>
      </c>
      <c r="Q256" s="59">
        <f>'LCoP CONVENTIONAL'!$J$34</f>
        <v>0.18</v>
      </c>
      <c r="R256" s="2">
        <f t="shared" si="52"/>
        <v>14006795.837090569</v>
      </c>
    </row>
    <row r="257" spans="1:19" x14ac:dyDescent="0.35">
      <c r="M257" t="str">
        <f>'LCoP CONVENTIONAL'!$F$35</f>
        <v>Fabricated metal products</v>
      </c>
      <c r="N257" s="59">
        <f>'LCoP CONVENTIONAL'!$G$35</f>
        <v>0.06</v>
      </c>
      <c r="O257" s="2">
        <f>N257*$O$253</f>
        <v>2334465.9728484279</v>
      </c>
      <c r="P257" t="str">
        <f>'LCoP CONVENTIONAL'!$I$35</f>
        <v>Repair and installation services</v>
      </c>
      <c r="Q257" s="59">
        <f>'LCoP CONVENTIONAL'!$J$35</f>
        <v>0.15</v>
      </c>
      <c r="R257" s="2">
        <f t="shared" si="52"/>
        <v>11672329.86424214</v>
      </c>
    </row>
    <row r="258" spans="1:19" x14ac:dyDescent="0.35">
      <c r="M258" t="str">
        <f>'LCoP CONVENTIONAL'!$F$36</f>
        <v>Computer, electronic and optical products</v>
      </c>
      <c r="N258" s="59">
        <f>'LCoP CONVENTIONAL'!$G$36</f>
        <v>0.03</v>
      </c>
      <c r="O258" s="2">
        <f>N258*$O$253</f>
        <v>1167232.986424214</v>
      </c>
      <c r="P258" s="299" t="str">
        <f>'LCoP CONVENTIONAL'!$I$36</f>
        <v>Land transport services and transport services via pipelines</v>
      </c>
      <c r="Q258" s="59">
        <f>'LCoP CONVENTIONAL'!$J$36</f>
        <v>0.17</v>
      </c>
      <c r="R258" s="2">
        <f t="shared" si="52"/>
        <v>13228640.51280776</v>
      </c>
    </row>
    <row r="259" spans="1:19" x14ac:dyDescent="0.35">
      <c r="P259" t="str">
        <f>'LCoP CONVENTIONAL'!$I$37</f>
        <v>Waste management services</v>
      </c>
      <c r="Q259" s="59">
        <f>'LCoP CONVENTIONAL'!$J$37</f>
        <v>0</v>
      </c>
      <c r="R259" s="2">
        <f t="shared" si="52"/>
        <v>0</v>
      </c>
    </row>
    <row r="260" spans="1:19" s="151" customFormat="1" ht="29.5" customHeight="1" x14ac:dyDescent="0.35">
      <c r="A260" s="151" t="s">
        <v>328</v>
      </c>
      <c r="F260" s="230"/>
    </row>
    <row r="261" spans="1:19" x14ac:dyDescent="0.35">
      <c r="B261" s="2">
        <f>C262/1000000</f>
        <v>79.556645658997283</v>
      </c>
      <c r="C261" s="2">
        <f>C262</f>
        <v>79556645.658997282</v>
      </c>
      <c r="D261" s="2">
        <f>D262</f>
        <v>5.034968904341941E-2</v>
      </c>
    </row>
    <row r="262" spans="1:19" s="114" customFormat="1" x14ac:dyDescent="0.35">
      <c r="A262" s="114" t="s">
        <v>329</v>
      </c>
      <c r="B262" s="114">
        <v>1018.96958174905</v>
      </c>
      <c r="C262" s="114">
        <f>B262*F262</f>
        <v>79556645.658997282</v>
      </c>
      <c r="D262" s="114">
        <f>'[2]GAP analysis Sc. 2'!$E$41</f>
        <v>5.034968904341941E-2</v>
      </c>
      <c r="E262" s="114">
        <f>'[1]Conversion factors selected IV '!$O$17</f>
        <v>1.5506666666666669</v>
      </c>
      <c r="F262" s="114">
        <f>D262*E262*1000000</f>
        <v>78075.584476662378</v>
      </c>
      <c r="G262" s="301">
        <f>'LCoP CONVENTIONAL'!$B$53</f>
        <v>903.57</v>
      </c>
      <c r="H262" s="114">
        <f>G262*F262</f>
        <v>70546755.865577832</v>
      </c>
      <c r="I262" s="308">
        <f>'LCoP CONVENTIONAL'!$C$53</f>
        <v>0.7</v>
      </c>
      <c r="K262" s="114">
        <f>I262*G262</f>
        <v>632.49900000000002</v>
      </c>
      <c r="L262" s="114">
        <f>I262*H262</f>
        <v>49382729.105904482</v>
      </c>
      <c r="M262" s="308">
        <f>'LCoP CONVENTIONAL'!$F$53</f>
        <v>0.1</v>
      </c>
      <c r="O262" s="114">
        <f>M262*H262</f>
        <v>7054675.5865577832</v>
      </c>
      <c r="P262" s="308">
        <f>'LCoP CONVENTIONAL'!$I$53</f>
        <v>0.2</v>
      </c>
      <c r="R262" s="114">
        <f>P262*H262</f>
        <v>14109351.173115566</v>
      </c>
      <c r="S262" s="114">
        <f>SUM(L262,O262,R262)</f>
        <v>70546755.865577832</v>
      </c>
    </row>
    <row r="263" spans="1:19" x14ac:dyDescent="0.35">
      <c r="J263" s="147" t="s">
        <v>179</v>
      </c>
      <c r="M263" t="str">
        <f>'LCoP CONVENTIONAL'!$F$54</f>
        <v>Machinery and equipment</v>
      </c>
      <c r="N263" s="59">
        <f>'LCoP CONVENTIONAL'!$G$54</f>
        <v>0.5</v>
      </c>
      <c r="O263" s="2">
        <f>N263*$O$262</f>
        <v>3527337.7932788916</v>
      </c>
      <c r="P263" t="str">
        <f>'LCoP CONVENTIONAL'!$I$54</f>
        <v>Chemical and chemical products</v>
      </c>
      <c r="Q263" s="59">
        <f>'LCoP CONVENTIONAL'!$J$54</f>
        <v>0.15</v>
      </c>
      <c r="R263" s="2">
        <f t="shared" ref="R263:R268" si="53">Q263*$R$262</f>
        <v>2116402.6759673348</v>
      </c>
    </row>
    <row r="264" spans="1:19" x14ac:dyDescent="0.35">
      <c r="M264" t="str">
        <f>'LCoP CONVENTIONAL'!$F$55</f>
        <v>Architectural and engineering services</v>
      </c>
      <c r="N264" s="59">
        <f>'LCoP CONVENTIONAL'!$G$55</f>
        <v>0.25</v>
      </c>
      <c r="O264" s="2">
        <f>N264*$O$262</f>
        <v>1763668.8966394458</v>
      </c>
      <c r="P264" t="str">
        <f>'LCoP CONVENTIONAL'!$I$55</f>
        <v>Electricity, gas, steam &amp; AC</v>
      </c>
      <c r="Q264" s="59">
        <f>'LCoP CONVENTIONAL'!$J$55</f>
        <v>0.4</v>
      </c>
      <c r="R264" s="2">
        <f t="shared" si="53"/>
        <v>5643740.4692462273</v>
      </c>
    </row>
    <row r="265" spans="1:19" x14ac:dyDescent="0.35">
      <c r="M265" t="str">
        <f>'LCoP CONVENTIONAL'!$F$56</f>
        <v>Constructions and construction works</v>
      </c>
      <c r="N265" s="59">
        <f>'LCoP CONVENTIONAL'!$G$56</f>
        <v>0.15</v>
      </c>
      <c r="O265" s="2">
        <f>N265*$O$262</f>
        <v>1058201.3379836674</v>
      </c>
      <c r="P265" t="str">
        <f>'LCoP CONVENTIONAL'!$I$56</f>
        <v>Legal and accounting services; services of head offices; management consultancy services</v>
      </c>
      <c r="Q265" s="59">
        <f>'LCoP CONVENTIONAL'!$J$56</f>
        <v>0.2</v>
      </c>
      <c r="R265" s="2">
        <f t="shared" si="53"/>
        <v>2821870.2346231136</v>
      </c>
    </row>
    <row r="266" spans="1:19" x14ac:dyDescent="0.35">
      <c r="M266" t="str">
        <f>'LCoP CONVENTIONAL'!$F$57</f>
        <v>Fabricated metal products</v>
      </c>
      <c r="N266" s="59">
        <f>'LCoP CONVENTIONAL'!$G$57</f>
        <v>7.0000000000000007E-2</v>
      </c>
      <c r="O266" s="2">
        <f>N266*$O$262</f>
        <v>493827.29105904489</v>
      </c>
      <c r="P266" t="str">
        <f>'LCoP CONVENTIONAL'!$I$57</f>
        <v>Repair and installation services</v>
      </c>
      <c r="Q266" s="59">
        <f>'LCoP CONVENTIONAL'!$J$57</f>
        <v>0.15</v>
      </c>
      <c r="R266" s="2">
        <f t="shared" si="53"/>
        <v>2116402.6759673348</v>
      </c>
    </row>
    <row r="267" spans="1:19" x14ac:dyDescent="0.35">
      <c r="M267" t="str">
        <f>'LCoP CONVENTIONAL'!$F$58</f>
        <v>Computer, electronic and optical products</v>
      </c>
      <c r="N267" s="59">
        <f>'LCoP CONVENTIONAL'!$G$58</f>
        <v>0.03</v>
      </c>
      <c r="O267" s="2">
        <f>N267*$O$262</f>
        <v>211640.26759673349</v>
      </c>
      <c r="P267" s="102" t="str">
        <f>'LCoP CONVENTIONAL'!$I$58</f>
        <v>Land transport services and transport services via pipelines</v>
      </c>
      <c r="Q267" s="59">
        <f>'LCoP CONVENTIONAL'!$J$58</f>
        <v>0.1</v>
      </c>
      <c r="R267" s="2">
        <f t="shared" si="53"/>
        <v>1410935.1173115568</v>
      </c>
    </row>
    <row r="268" spans="1:19" x14ac:dyDescent="0.35">
      <c r="N268" s="59"/>
      <c r="P268" t="str">
        <f>'LCoP CONVENTIONAL'!$I$59</f>
        <v>Waste management services</v>
      </c>
      <c r="Q268" s="59">
        <f>'LCoP CONVENTIONAL'!$J$59</f>
        <v>0</v>
      </c>
      <c r="R268" s="2">
        <f t="shared" si="53"/>
        <v>0</v>
      </c>
    </row>
    <row r="270" spans="1:19" s="151" customFormat="1" ht="29.5" customHeight="1" x14ac:dyDescent="0.35">
      <c r="A270" s="151" t="s">
        <v>343</v>
      </c>
      <c r="B270" s="151" t="s">
        <v>383</v>
      </c>
      <c r="F270" s="230"/>
    </row>
    <row r="271" spans="1:19" x14ac:dyDescent="0.35">
      <c r="B271" s="2">
        <f>C272/1000000</f>
        <v>1120.5256816765302</v>
      </c>
      <c r="C271" s="2">
        <f>C272</f>
        <v>1120525681.6765301</v>
      </c>
      <c r="D271" s="2">
        <f>D272</f>
        <v>0.54801034898900847</v>
      </c>
    </row>
    <row r="272" spans="1:19" s="114" customFormat="1" x14ac:dyDescent="0.35">
      <c r="A272" s="114" t="s">
        <v>326</v>
      </c>
      <c r="B272" s="114">
        <f>2100</f>
        <v>2100</v>
      </c>
      <c r="C272" s="114">
        <f>B272*F272</f>
        <v>1120525681.6765301</v>
      </c>
      <c r="D272" s="114">
        <f>'[2]GAP analysis Sc. 2'!$E$58</f>
        <v>0.54801034898900847</v>
      </c>
      <c r="E272" s="114">
        <f>'[1]Conversion factors selected IV '!$O$12</f>
        <v>0.97367441860465131</v>
      </c>
      <c r="F272" s="114">
        <f>D272*E272*1000000</f>
        <v>533583.65794120484</v>
      </c>
      <c r="G272" s="301">
        <f>'LCoP CONVENTIONAL'!$B$45</f>
        <v>2903</v>
      </c>
      <c r="H272" s="114">
        <f>G272*F272</f>
        <v>1548993359.0033176</v>
      </c>
      <c r="I272" s="309">
        <f>'LCoP CONVENTIONAL'!$C$45</f>
        <v>0.67550809507406129</v>
      </c>
      <c r="K272" s="114">
        <f>I272*G272</f>
        <v>1961</v>
      </c>
      <c r="L272" s="114">
        <f>I272*H272</f>
        <v>1046357553.2227026</v>
      </c>
      <c r="M272" s="309">
        <f>'LCoP CONVENTIONAL'!$F$45</f>
        <v>0.12952118498105408</v>
      </c>
      <c r="O272" s="114">
        <f>M272*H272</f>
        <v>200627455.38589302</v>
      </c>
      <c r="P272" s="309">
        <f>'LCoP CONVENTIONAL'!$I$45</f>
        <v>0.1949707199448846</v>
      </c>
      <c r="R272" s="114">
        <f>P272*H272</f>
        <v>302008350.39472193</v>
      </c>
      <c r="S272" s="114">
        <f>SUM(L272,O272,R272)</f>
        <v>1548993359.0033176</v>
      </c>
    </row>
    <row r="273" spans="4:18" x14ac:dyDescent="0.35">
      <c r="H273" s="192" t="s">
        <v>254</v>
      </c>
      <c r="I273" s="18" t="s">
        <v>268</v>
      </c>
      <c r="J273" s="154" t="s">
        <v>178</v>
      </c>
      <c r="K273" s="59">
        <f>'Feedtstocks only CONVENTIONAL'!J47</f>
        <v>0</v>
      </c>
      <c r="L273" s="102">
        <f>K273*L272</f>
        <v>0</v>
      </c>
      <c r="M273" t="str">
        <f>'LCoP CONVENTIONAL'!$F$46</f>
        <v>Machinery and equipment</v>
      </c>
      <c r="N273" s="59">
        <f>'LCoP CONVENTIONAL'!$G$46</f>
        <v>0.6</v>
      </c>
      <c r="O273" s="2">
        <f>N273*$O$272</f>
        <v>120376473.23153581</v>
      </c>
      <c r="P273" t="str">
        <f>'LCoP CONVENTIONAL'!$I$46</f>
        <v>Chemical and chemical products</v>
      </c>
      <c r="Q273" s="59">
        <f>'LCoP CONVENTIONAL'!$J$46</f>
        <v>0.15</v>
      </c>
      <c r="R273" s="2">
        <f t="shared" ref="R273:R278" si="54">Q273*$R$272</f>
        <v>45301252.559208289</v>
      </c>
    </row>
    <row r="274" spans="4:18" x14ac:dyDescent="0.35">
      <c r="H274" s="191" t="s">
        <v>252</v>
      </c>
      <c r="I274" s="18" t="s">
        <v>269</v>
      </c>
      <c r="J274" s="154" t="s">
        <v>178</v>
      </c>
      <c r="K274" s="59">
        <f>'Feedtstocks only CONVENTIONAL'!J48</f>
        <v>0</v>
      </c>
      <c r="L274" s="102">
        <f>K274*L272</f>
        <v>0</v>
      </c>
      <c r="M274" t="str">
        <f>'LCoP CONVENTIONAL'!$F$47</f>
        <v>Architectural and engineering services</v>
      </c>
      <c r="N274" s="59">
        <f>'LCoP CONVENTIONAL'!$G$47</f>
        <v>0.25</v>
      </c>
      <c r="O274" s="2">
        <f>N274*$O$272</f>
        <v>50156863.846473254</v>
      </c>
      <c r="P274" t="str">
        <f>'LCoP CONVENTIONAL'!$I$47</f>
        <v>Electricity, gas, steam &amp; AC</v>
      </c>
      <c r="Q274" s="59">
        <f>'LCoP CONVENTIONAL'!$J$47</f>
        <v>0.4</v>
      </c>
      <c r="R274" s="2">
        <f t="shared" si="54"/>
        <v>120803340.15788877</v>
      </c>
    </row>
    <row r="275" spans="4:18" ht="39.5" customHeight="1" x14ac:dyDescent="0.35">
      <c r="F275"/>
      <c r="H275" s="192" t="s">
        <v>254</v>
      </c>
      <c r="I275" s="18" t="s">
        <v>267</v>
      </c>
      <c r="J275" s="154" t="s">
        <v>178</v>
      </c>
      <c r="K275" s="59">
        <f>'Feedtstocks only CONVENTIONAL'!J49</f>
        <v>0</v>
      </c>
      <c r="L275" s="102">
        <f>K275*L272</f>
        <v>0</v>
      </c>
      <c r="M275" t="str">
        <f>'LCoP CONVENTIONAL'!$F$48</f>
        <v>Constructions and construction works</v>
      </c>
      <c r="N275" s="59">
        <f>'LCoP CONVENTIONAL'!$G$48</f>
        <v>7.0000000000000007E-2</v>
      </c>
      <c r="O275" s="2">
        <f>N275*$O$272</f>
        <v>14043921.877012512</v>
      </c>
      <c r="P275" t="str">
        <f>'LCoP CONVENTIONAL'!$I$48</f>
        <v>Legal and accounting services; services of head offices; management consultancy services</v>
      </c>
      <c r="Q275" s="59">
        <f>'LCoP CONVENTIONAL'!$J$48</f>
        <v>0.2</v>
      </c>
      <c r="R275" s="2">
        <f t="shared" si="54"/>
        <v>60401670.078944385</v>
      </c>
    </row>
    <row r="276" spans="4:18" x14ac:dyDescent="0.35">
      <c r="D276" s="77"/>
      <c r="F276"/>
      <c r="H276" s="18"/>
      <c r="I276" s="18"/>
      <c r="J276" s="18"/>
      <c r="K276" s="61">
        <f>SUM(K273:K275)</f>
        <v>0</v>
      </c>
      <c r="L276" s="102">
        <f>SUM(L273:L275)</f>
        <v>0</v>
      </c>
      <c r="M276" t="str">
        <f>'LCoP CONVENTIONAL'!$F$49</f>
        <v>Fabricated metal products</v>
      </c>
      <c r="N276" s="59">
        <f>'LCoP CONVENTIONAL'!$G$49</f>
        <v>0.05</v>
      </c>
      <c r="O276" s="2">
        <f>N276*$O$272</f>
        <v>10031372.769294651</v>
      </c>
      <c r="P276" t="str">
        <f>'LCoP CONVENTIONAL'!$I$49</f>
        <v>Repair and installation services</v>
      </c>
      <c r="Q276" s="59">
        <f>'LCoP CONVENTIONAL'!$J$49</f>
        <v>0.15</v>
      </c>
      <c r="R276" s="2">
        <f t="shared" si="54"/>
        <v>45301252.559208289</v>
      </c>
    </row>
    <row r="277" spans="4:18" x14ac:dyDescent="0.35">
      <c r="D277" s="77"/>
      <c r="F277"/>
      <c r="M277" t="str">
        <f>'LCoP CONVENTIONAL'!$F$50</f>
        <v>Computer, electronic and optical products</v>
      </c>
      <c r="N277" s="59">
        <f>'LCoP CONVENTIONAL'!$G$50</f>
        <v>0.03</v>
      </c>
      <c r="O277" s="2">
        <f>N277*$O$272</f>
        <v>6018823.6615767907</v>
      </c>
      <c r="P277" s="299" t="str">
        <f>'LCoP CONVENTIONAL'!$I$50</f>
        <v>Land transport services and transport services via pipelines</v>
      </c>
      <c r="Q277" s="59">
        <f>'LCoP CONVENTIONAL'!$J$50</f>
        <v>0.1</v>
      </c>
      <c r="R277" s="2">
        <f t="shared" si="54"/>
        <v>30200835.039472193</v>
      </c>
    </row>
    <row r="278" spans="4:18" x14ac:dyDescent="0.35">
      <c r="D278" s="77"/>
      <c r="F278"/>
      <c r="P278" t="str">
        <f>'LCoP CONVENTIONAL'!$I$51</f>
        <v>Waste management services</v>
      </c>
      <c r="Q278" s="59">
        <f>'LCoP CONVENTIONAL'!$J$51</f>
        <v>0</v>
      </c>
      <c r="R278" s="2">
        <f t="shared" si="54"/>
        <v>0</v>
      </c>
    </row>
    <row r="279" spans="4:18" x14ac:dyDescent="0.35">
      <c r="F279"/>
    </row>
    <row r="280" spans="4:18" x14ac:dyDescent="0.35">
      <c r="F280"/>
    </row>
    <row r="281" spans="4:18" x14ac:dyDescent="0.35">
      <c r="F281"/>
    </row>
  </sheetData>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7135-0835-4952-974C-6D0EBA5C37E4}">
  <dimension ref="A1:S277"/>
  <sheetViews>
    <sheetView zoomScale="85" zoomScaleNormal="85" workbookViewId="0">
      <selection activeCell="J25" sqref="J25"/>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 customWidth="1"/>
    <col min="13" max="13" width="15.7265625" bestFit="1" customWidth="1"/>
    <col min="15" max="15" width="18.1796875" customWidth="1"/>
    <col min="18" max="18" width="16.81640625" customWidth="1"/>
    <col min="19" max="19" width="19.1796875" customWidth="1"/>
  </cols>
  <sheetData>
    <row r="1" spans="1:19" s="46" customFormat="1" ht="24" customHeight="1" x14ac:dyDescent="0.35">
      <c r="A1" s="46" t="s">
        <v>355</v>
      </c>
      <c r="F1" s="224"/>
    </row>
    <row r="2" spans="1:19" s="46" customFormat="1" ht="24" customHeight="1" x14ac:dyDescent="0.35">
      <c r="A2" s="46" t="s">
        <v>286</v>
      </c>
      <c r="F2" s="224"/>
    </row>
    <row r="3" spans="1:19" s="46" customFormat="1" ht="24" customHeight="1" x14ac:dyDescent="0.35">
      <c r="A3" s="46" t="s">
        <v>354</v>
      </c>
      <c r="E3" s="46" t="s">
        <v>312</v>
      </c>
      <c r="F3" s="224"/>
    </row>
    <row r="4" spans="1:19" ht="19" customHeight="1" x14ac:dyDescent="0.35">
      <c r="C4" s="2">
        <f>C6+C201+C227</f>
        <v>285708814576.96008</v>
      </c>
    </row>
    <row r="5" spans="1:19" s="47" customFormat="1" ht="37" customHeight="1" x14ac:dyDescent="0.35">
      <c r="A5" s="47" t="s">
        <v>344</v>
      </c>
      <c r="B5" s="47" t="s">
        <v>372</v>
      </c>
      <c r="C5" s="47" t="s">
        <v>361</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77" customFormat="1" ht="37" customHeight="1" x14ac:dyDescent="0.35">
      <c r="C6" s="234">
        <f>C8+C48+C90+C123+C163</f>
        <v>244316977183.38275</v>
      </c>
      <c r="D6" s="234">
        <f>D8+D48+D90+D123+D163</f>
        <v>167.03273465273455</v>
      </c>
      <c r="F6" s="233"/>
      <c r="I6" s="184"/>
      <c r="M6" s="184"/>
      <c r="P6" s="184"/>
    </row>
    <row r="7" spans="1:19" s="91" customFormat="1" ht="40" customHeight="1" x14ac:dyDescent="0.35">
      <c r="A7" s="91" t="s">
        <v>77</v>
      </c>
      <c r="F7" s="169"/>
    </row>
    <row r="8" spans="1:19" s="200" customFormat="1" x14ac:dyDescent="0.35">
      <c r="A8" s="200" t="s">
        <v>156</v>
      </c>
      <c r="C8" s="204">
        <f>C28+C9+C16</f>
        <v>28899846737.909519</v>
      </c>
      <c r="D8" s="204">
        <f>D28+D9+D16</f>
        <v>16.977868187412117</v>
      </c>
      <c r="F8" s="204">
        <f>F28+F9+F16</f>
        <v>16514198.135948297</v>
      </c>
      <c r="H8" s="204">
        <f>H28+H9+H16</f>
        <v>33559180067.82798</v>
      </c>
      <c r="L8" s="207">
        <f>L28+L9+L16</f>
        <v>5394254790.4162226</v>
      </c>
      <c r="M8" s="207"/>
      <c r="N8" s="207"/>
      <c r="O8" s="207">
        <f>O9+O16+O28</f>
        <v>18594166459.388626</v>
      </c>
      <c r="P8" s="218"/>
      <c r="Q8" s="207"/>
      <c r="R8" s="207">
        <f>R9+R16+R28</f>
        <v>9570758818.0231266</v>
      </c>
    </row>
    <row r="9" spans="1:19" s="201" customFormat="1" x14ac:dyDescent="0.35">
      <c r="A9" s="201" t="s">
        <v>294</v>
      </c>
      <c r="B9" s="201">
        <v>1750</v>
      </c>
      <c r="C9" s="203">
        <f>B9*F9</f>
        <v>784652614.06848621</v>
      </c>
      <c r="D9" s="203">
        <f>'[3]Scenario 3 2030'!$O$9</f>
        <v>0.4712049436871445</v>
      </c>
      <c r="E9" s="208">
        <f>'[1]Conversion factors selected IV '!$O$7</f>
        <v>0.95154545454545458</v>
      </c>
      <c r="F9" s="202">
        <f>D9*E9*1000000</f>
        <v>448372.92232484929</v>
      </c>
      <c r="G9" s="208">
        <f>'LCoP 2030 HIGH'!E3</f>
        <v>2245.1728622062474</v>
      </c>
      <c r="H9" s="202">
        <f>G9*F9</f>
        <v>1006674717.3518614</v>
      </c>
      <c r="I9" s="203">
        <f>'LCoP 2030 HIGH'!H3</f>
        <v>0.74489714817006125</v>
      </c>
      <c r="L9" s="202">
        <f>I9*H9</f>
        <v>749869126.09030402</v>
      </c>
      <c r="M9" s="203">
        <f>'LCoP 2030 HIGH'!F3</f>
        <v>0.11981260085945622</v>
      </c>
      <c r="O9" s="202">
        <f>M9*H9</f>
        <v>120612316.10538447</v>
      </c>
      <c r="P9" s="226">
        <f>'LCoP 2030 HIGH'!G3</f>
        <v>0.13529025097048261</v>
      </c>
      <c r="R9" s="202">
        <f>P9*H9</f>
        <v>136193275.15617296</v>
      </c>
      <c r="S9" s="202">
        <f>L9+O9+R9</f>
        <v>1006674717.3518615</v>
      </c>
    </row>
    <row r="10" spans="1:19" x14ac:dyDescent="0.35">
      <c r="C10">
        <f>C9/$C$8</f>
        <v>2.7150753468848477E-2</v>
      </c>
      <c r="F10" s="31"/>
      <c r="G10" s="147" t="s">
        <v>179</v>
      </c>
      <c r="H10">
        <f>L10/L9</f>
        <v>0.1075489438221021</v>
      </c>
      <c r="I10" s="102" t="s">
        <v>132</v>
      </c>
      <c r="J10" s="147" t="s">
        <v>179</v>
      </c>
      <c r="K10" s="2">
        <f>'Feedstock MIX per IVC'!J6</f>
        <v>179.86731245421893</v>
      </c>
      <c r="L10" s="1">
        <f>K10*F$9</f>
        <v>80647632.5158149</v>
      </c>
      <c r="M10" s="5" t="s">
        <v>211</v>
      </c>
      <c r="N10" s="118">
        <v>0.05</v>
      </c>
      <c r="O10" s="2">
        <f t="shared" ref="O10:O15" si="0">N10*O$9</f>
        <v>6030615.8052692236</v>
      </c>
      <c r="P10" s="18" t="s">
        <v>217</v>
      </c>
      <c r="Q10" s="118">
        <v>0.35</v>
      </c>
      <c r="R10" s="102">
        <f>Q10*R$9</f>
        <v>47667646.304660536</v>
      </c>
    </row>
    <row r="11" spans="1:19" x14ac:dyDescent="0.35">
      <c r="F11" s="31"/>
      <c r="G11" s="151" t="s">
        <v>77</v>
      </c>
      <c r="H11">
        <f>L11/L9</f>
        <v>0.7585833977512132</v>
      </c>
      <c r="I11" s="216" t="s">
        <v>300</v>
      </c>
      <c r="J11" s="151" t="s">
        <v>77</v>
      </c>
      <c r="K11" s="6">
        <f>'Feedstock MIX per IVC'!J7*0.85</f>
        <v>1268.6722172892244</v>
      </c>
      <c r="L11" s="1">
        <f>K11*F$9</f>
        <v>568838269.53831577</v>
      </c>
      <c r="M11" t="s">
        <v>212</v>
      </c>
      <c r="N11" s="118">
        <v>0.02</v>
      </c>
      <c r="O11" s="2">
        <f t="shared" si="0"/>
        <v>2412246.3221076895</v>
      </c>
      <c r="P11" s="18" t="s">
        <v>177</v>
      </c>
      <c r="Q11" s="118">
        <v>0.25</v>
      </c>
      <c r="R11" s="102">
        <f>Q11*R$9</f>
        <v>34048318.78904324</v>
      </c>
    </row>
    <row r="12" spans="1:19" x14ac:dyDescent="0.35">
      <c r="F12" s="31"/>
      <c r="G12" s="240" t="s">
        <v>177</v>
      </c>
      <c r="H12">
        <f>L12/L9</f>
        <v>0.13386765842668466</v>
      </c>
      <c r="I12" s="217" t="s">
        <v>316</v>
      </c>
      <c r="J12" s="240" t="s">
        <v>177</v>
      </c>
      <c r="K12" s="77">
        <f>'Feedstock MIX per IVC'!J7*0.15</f>
        <v>223.88333246280428</v>
      </c>
      <c r="L12" s="1">
        <f>K12*F$9</f>
        <v>100383224.03617336</v>
      </c>
      <c r="M12" s="5" t="s">
        <v>210</v>
      </c>
      <c r="N12" s="118">
        <v>0.45</v>
      </c>
      <c r="O12" s="2">
        <f t="shared" si="0"/>
        <v>54275542.247423016</v>
      </c>
      <c r="P12" s="18" t="s">
        <v>218</v>
      </c>
      <c r="Q12" s="118">
        <v>0.2</v>
      </c>
      <c r="R12" s="102">
        <f>Q12*R$9</f>
        <v>27238655.031234592</v>
      </c>
      <c r="S12" s="2"/>
    </row>
    <row r="13" spans="1:19" x14ac:dyDescent="0.35">
      <c r="F13" s="31"/>
      <c r="L13" s="2"/>
      <c r="M13" t="s">
        <v>213</v>
      </c>
      <c r="N13" s="118">
        <v>0.15</v>
      </c>
      <c r="O13" s="2">
        <f t="shared" si="0"/>
        <v>18091847.415807668</v>
      </c>
      <c r="P13" s="18" t="s">
        <v>219</v>
      </c>
      <c r="Q13" s="118">
        <v>0.15</v>
      </c>
      <c r="R13" s="102">
        <f>Q13*R$9</f>
        <v>20428991.273425944</v>
      </c>
    </row>
    <row r="14" spans="1:19" x14ac:dyDescent="0.35">
      <c r="F14" s="31"/>
      <c r="M14" t="s">
        <v>214</v>
      </c>
      <c r="N14" s="118">
        <v>0.3</v>
      </c>
      <c r="O14" s="2">
        <f t="shared" si="0"/>
        <v>36183694.831615336</v>
      </c>
      <c r="P14" s="18" t="s">
        <v>220</v>
      </c>
      <c r="Q14" s="118">
        <v>0.05</v>
      </c>
      <c r="R14" s="102">
        <f>Q14*R$9</f>
        <v>6809663.757808648</v>
      </c>
    </row>
    <row r="15" spans="1:19" x14ac:dyDescent="0.35">
      <c r="F15" s="31"/>
      <c r="I15" t="s">
        <v>320</v>
      </c>
      <c r="L15" s="2">
        <f>SUM(L10:L12)</f>
        <v>749869126.09030402</v>
      </c>
      <c r="M15" t="s">
        <v>216</v>
      </c>
      <c r="N15" s="118">
        <v>0.03</v>
      </c>
      <c r="O15" s="2">
        <f t="shared" si="0"/>
        <v>3618369.4831615337</v>
      </c>
      <c r="P15" s="18"/>
      <c r="Q15" s="118"/>
      <c r="R15" s="102"/>
    </row>
    <row r="16" spans="1:19" s="201" customFormat="1" x14ac:dyDescent="0.35">
      <c r="A16" s="201" t="s">
        <v>315</v>
      </c>
      <c r="B16" s="201">
        <v>1750</v>
      </c>
      <c r="C16" s="203">
        <f>B16*F16</f>
        <v>15149982001.646317</v>
      </c>
      <c r="D16" s="208">
        <f>'[3]Scenario 3 2030'!$O$20+'[3]Scenario 3 2030'!$O$21*2</f>
        <v>9.0979706024708484</v>
      </c>
      <c r="E16" s="210">
        <f>'[1]Conversion factors selected IV '!$O$64</f>
        <v>0.95154545454545658</v>
      </c>
      <c r="F16" s="202">
        <f>D16*E16*1000000</f>
        <v>8657132.572369324</v>
      </c>
      <c r="G16" s="203">
        <f>'LCoP 2030 HIGH'!E15</f>
        <v>2502.2770558784428</v>
      </c>
      <c r="H16" s="202">
        <f>G16*F16</f>
        <v>21662544205.537682</v>
      </c>
      <c r="I16" s="206">
        <f>'LCoP 2030 HIGH'!H15</f>
        <v>0.13628668938848684</v>
      </c>
      <c r="L16" s="202">
        <f>I16*H16</f>
        <v>2952316433.5044794</v>
      </c>
      <c r="M16" s="206">
        <f>'LCoP 2030 HIGH'!F15</f>
        <v>0.57747402375182721</v>
      </c>
      <c r="O16" s="202">
        <f>M16*H16</f>
        <v>12509556567.073673</v>
      </c>
      <c r="P16" s="206">
        <f>'LCoP 2030 HIGH'!G15</f>
        <v>0.28623928685968597</v>
      </c>
      <c r="R16" s="202">
        <f>P16*H16</f>
        <v>6200671204.9595289</v>
      </c>
      <c r="S16" s="202">
        <f>L16+O16+R16</f>
        <v>21662544205.537682</v>
      </c>
    </row>
    <row r="17" spans="1:19" x14ac:dyDescent="0.35">
      <c r="C17">
        <f>C16/$C$8</f>
        <v>0.52422361056237887</v>
      </c>
      <c r="F17" s="31"/>
      <c r="G17" s="152" t="s">
        <v>180</v>
      </c>
      <c r="H17" s="2">
        <f>SUMIF($J$17:$J$26,G17,$L$17:$L$26)/$L$16</f>
        <v>2.3308789029558734E-2</v>
      </c>
      <c r="I17" s="5" t="s">
        <v>4</v>
      </c>
      <c r="J17" s="147" t="s">
        <v>179</v>
      </c>
      <c r="K17" s="6">
        <f>'Feedstock MIX per IVC'!J58</f>
        <v>181.54132056980592</v>
      </c>
      <c r="L17" s="2">
        <f t="shared" ref="L17:L26" si="1">K17*F$16</f>
        <v>1571627279.5358081</v>
      </c>
      <c r="M17" s="5" t="s">
        <v>211</v>
      </c>
      <c r="N17" s="34">
        <v>0</v>
      </c>
      <c r="O17" s="2">
        <f t="shared" ref="O17:O22" si="2">N17*O$16</f>
        <v>0</v>
      </c>
      <c r="P17" s="18" t="s">
        <v>217</v>
      </c>
      <c r="Q17" s="34">
        <v>0.25</v>
      </c>
      <c r="R17" s="102">
        <f>Q17*R$16</f>
        <v>1550167801.2398822</v>
      </c>
    </row>
    <row r="18" spans="1:19" x14ac:dyDescent="0.35">
      <c r="F18" s="31"/>
      <c r="G18" s="150" t="s">
        <v>178</v>
      </c>
      <c r="H18" s="2">
        <f t="shared" ref="H18:H22" si="3">SUMIF($J$17:$J$26,G18,$L$17:$L$26)/$L$16</f>
        <v>1.2600306201480687E-2</v>
      </c>
      <c r="I18" s="5" t="s">
        <v>5</v>
      </c>
      <c r="J18" s="147" t="s">
        <v>179</v>
      </c>
      <c r="K18" s="6">
        <f>'Feedstock MIX per IVC'!J59</f>
        <v>8.4731123300720981</v>
      </c>
      <c r="L18" s="2">
        <f t="shared" si="1"/>
        <v>73352856.742011294</v>
      </c>
      <c r="M18" t="s">
        <v>212</v>
      </c>
      <c r="N18" s="34">
        <v>0.02</v>
      </c>
      <c r="O18" s="2">
        <f t="shared" si="2"/>
        <v>250191131.34147346</v>
      </c>
      <c r="P18" s="18" t="s">
        <v>177</v>
      </c>
      <c r="Q18" s="34">
        <v>0.15</v>
      </c>
      <c r="R18" s="102">
        <f>Q18*R$16</f>
        <v>930100680.74392927</v>
      </c>
    </row>
    <row r="19" spans="1:19" x14ac:dyDescent="0.35">
      <c r="F19" s="31"/>
      <c r="G19" s="147" t="s">
        <v>179</v>
      </c>
      <c r="H19" s="2">
        <f t="shared" si="3"/>
        <v>0.59771744897730228</v>
      </c>
      <c r="I19" s="5" t="s">
        <v>22</v>
      </c>
      <c r="J19" s="152" t="s">
        <v>180</v>
      </c>
      <c r="K19" s="6">
        <f>'Feedstock MIX per IVC'!J60</f>
        <v>0</v>
      </c>
      <c r="L19" s="2">
        <f t="shared" si="1"/>
        <v>0</v>
      </c>
      <c r="M19" s="5" t="s">
        <v>210</v>
      </c>
      <c r="N19" s="34">
        <v>0.55000000000000004</v>
      </c>
      <c r="O19" s="2">
        <f t="shared" si="2"/>
        <v>6880256111.890521</v>
      </c>
      <c r="P19" s="18" t="s">
        <v>218</v>
      </c>
      <c r="Q19" s="34">
        <v>0.3</v>
      </c>
      <c r="R19" s="102">
        <f>Q19*R$16</f>
        <v>1860201361.4878585</v>
      </c>
    </row>
    <row r="20" spans="1:19" x14ac:dyDescent="0.35">
      <c r="F20" s="31"/>
      <c r="G20" s="171" t="s">
        <v>222</v>
      </c>
      <c r="H20" s="2">
        <f t="shared" si="3"/>
        <v>0.1291999141222632</v>
      </c>
      <c r="I20" s="5" t="s">
        <v>6</v>
      </c>
      <c r="J20" s="150" t="s">
        <v>178</v>
      </c>
      <c r="K20" s="6">
        <f>'Feedstock MIX per IVC'!J61</f>
        <v>4.2970453270578419</v>
      </c>
      <c r="L20" s="2">
        <f t="shared" si="1"/>
        <v>37200091.065819837</v>
      </c>
      <c r="M20" t="s">
        <v>213</v>
      </c>
      <c r="N20" s="34">
        <v>0.1</v>
      </c>
      <c r="O20" s="2">
        <f t="shared" si="2"/>
        <v>1250955656.7073674</v>
      </c>
      <c r="P20" s="18" t="s">
        <v>219</v>
      </c>
      <c r="Q20" s="34">
        <v>0.3</v>
      </c>
      <c r="R20" s="102">
        <f>Q20*R$16</f>
        <v>1860201361.4878585</v>
      </c>
    </row>
    <row r="21" spans="1:19" x14ac:dyDescent="0.35">
      <c r="F21" s="31"/>
      <c r="G21" s="149" t="s">
        <v>176</v>
      </c>
      <c r="H21" s="2">
        <f t="shared" si="3"/>
        <v>0.1491890105485317</v>
      </c>
      <c r="I21" s="5" t="s">
        <v>7</v>
      </c>
      <c r="J21" s="147" t="s">
        <v>179</v>
      </c>
      <c r="K21" s="6">
        <f>'Feedstock MIX per IVC'!J62</f>
        <v>8.1190082289891219</v>
      </c>
      <c r="L21" s="2">
        <f t="shared" si="1"/>
        <v>70287330.594516307</v>
      </c>
      <c r="M21" t="s">
        <v>214</v>
      </c>
      <c r="N21" s="34">
        <v>0.3</v>
      </c>
      <c r="O21" s="2">
        <f t="shared" si="2"/>
        <v>3752866970.1221018</v>
      </c>
      <c r="P21" s="18" t="s">
        <v>220</v>
      </c>
      <c r="Q21" s="223">
        <v>0</v>
      </c>
      <c r="R21" s="102">
        <f>Q21*R$16</f>
        <v>0</v>
      </c>
    </row>
    <row r="22" spans="1:19" x14ac:dyDescent="0.35">
      <c r="F22" s="31"/>
      <c r="G22" s="151" t="s">
        <v>77</v>
      </c>
      <c r="H22" s="2">
        <f t="shared" si="3"/>
        <v>8.798453112086338E-2</v>
      </c>
      <c r="I22" s="5" t="s">
        <v>8</v>
      </c>
      <c r="J22" s="147" t="s">
        <v>179</v>
      </c>
      <c r="K22" s="6">
        <f>'Feedstock MIX per IVC'!J63</f>
        <v>5.7043807430355322</v>
      </c>
      <c r="L22" s="2">
        <f t="shared" si="1"/>
        <v>49383580.335729234</v>
      </c>
      <c r="M22" t="s">
        <v>216</v>
      </c>
      <c r="N22" s="34">
        <v>0.03</v>
      </c>
      <c r="O22" s="2">
        <f t="shared" si="2"/>
        <v>375286697.01221019</v>
      </c>
      <c r="R22" s="102"/>
    </row>
    <row r="23" spans="1:19" x14ac:dyDescent="0.35">
      <c r="F23" s="31"/>
      <c r="H23" s="2">
        <f>SUM(H17:H22)</f>
        <v>1</v>
      </c>
      <c r="I23" s="5" t="s">
        <v>9</v>
      </c>
      <c r="J23" s="171" t="s">
        <v>222</v>
      </c>
      <c r="K23" s="6">
        <f>'Feedstock MIX per IVC'!J64</f>
        <v>44.060666332863036</v>
      </c>
      <c r="L23" s="2">
        <f t="shared" si="1"/>
        <v>381439029.67052507</v>
      </c>
      <c r="N23" s="118"/>
      <c r="O23" s="2"/>
      <c r="P23" s="18"/>
      <c r="Q23" s="118"/>
      <c r="R23" s="2"/>
    </row>
    <row r="24" spans="1:19" x14ac:dyDescent="0.35">
      <c r="F24" s="31"/>
      <c r="I24" s="5" t="s">
        <v>10</v>
      </c>
      <c r="J24" s="149" t="s">
        <v>176</v>
      </c>
      <c r="K24" s="6">
        <f>'Feedstock MIX per IVC'!J65</f>
        <v>50.877489036783686</v>
      </c>
      <c r="L24" s="2">
        <f t="shared" si="1"/>
        <v>440453167.54070324</v>
      </c>
      <c r="N24" s="118"/>
      <c r="O24" s="2"/>
      <c r="P24" s="18"/>
      <c r="Q24" s="118"/>
      <c r="R24" s="102"/>
    </row>
    <row r="25" spans="1:19" x14ac:dyDescent="0.35">
      <c r="F25" s="31"/>
      <c r="I25" s="5" t="s">
        <v>11</v>
      </c>
      <c r="J25" s="152" t="s">
        <v>180</v>
      </c>
      <c r="K25" s="6">
        <f>'Feedstock MIX per IVC'!J66</f>
        <v>7.9489276988421569</v>
      </c>
      <c r="L25" s="2">
        <f t="shared" si="1"/>
        <v>68814920.897055179</v>
      </c>
      <c r="M25" s="2"/>
      <c r="N25" s="118"/>
      <c r="O25" s="2"/>
      <c r="P25" s="18"/>
      <c r="Q25" s="118"/>
      <c r="R25" s="102"/>
    </row>
    <row r="26" spans="1:19" x14ac:dyDescent="0.35">
      <c r="F26" s="31"/>
      <c r="I26" s="13" t="s">
        <v>32</v>
      </c>
      <c r="J26" s="151" t="s">
        <v>77</v>
      </c>
      <c r="K26" s="6">
        <f>'Feedstock MIX per IVC'!J67</f>
        <v>30.005105610993251</v>
      </c>
      <c r="L26" s="2">
        <f t="shared" si="1"/>
        <v>259758177.12231123</v>
      </c>
      <c r="M26" s="2"/>
      <c r="N26" s="118"/>
      <c r="O26" s="2"/>
      <c r="P26" s="18"/>
      <c r="Q26" s="118"/>
      <c r="R26" s="102"/>
    </row>
    <row r="27" spans="1:19" x14ac:dyDescent="0.35">
      <c r="F27" s="31"/>
      <c r="I27" t="s">
        <v>320</v>
      </c>
      <c r="K27" s="6"/>
      <c r="L27" s="2">
        <f>SUM(L17:L26)</f>
        <v>2952316433.5044789</v>
      </c>
      <c r="M27" s="2"/>
      <c r="N27" s="118"/>
      <c r="O27" s="2"/>
      <c r="P27" s="18"/>
      <c r="Q27" s="118"/>
      <c r="R27" s="102"/>
    </row>
    <row r="28" spans="1:19" s="201" customFormat="1" x14ac:dyDescent="0.35">
      <c r="A28" s="201" t="s">
        <v>295</v>
      </c>
      <c r="B28" s="201">
        <v>1750</v>
      </c>
      <c r="C28" s="203">
        <f>B28*F28</f>
        <v>12965212122.194717</v>
      </c>
      <c r="D28" s="203">
        <f>'[3]Scenario 3 2030'!$O$23/2+'[3]Scenario 3 2030'!$P$23/2</f>
        <v>7.4086926412541239</v>
      </c>
      <c r="E28" s="201">
        <f>'[1]Conversion factors selected IV '!$O$89</f>
        <v>1</v>
      </c>
      <c r="F28" s="202">
        <f>D28*E28*1000000</f>
        <v>7408692.6412541242</v>
      </c>
      <c r="G28" s="208">
        <f>'LCoP 2030 HIGH'!E19</f>
        <v>1469.8897190442781</v>
      </c>
      <c r="H28" s="203">
        <f>G28*F28</f>
        <v>10889961144.938435</v>
      </c>
      <c r="I28" s="203">
        <f>'LCoP 2030 HIGH'!H19</f>
        <v>0.15537881249538701</v>
      </c>
      <c r="L28" s="202">
        <f>I28*H28</f>
        <v>1692069230.821439</v>
      </c>
      <c r="M28" s="203">
        <f>'LCoP 2030 HIGH'!F19</f>
        <v>0.5476601336618715</v>
      </c>
      <c r="O28" s="202">
        <f>M28*H28</f>
        <v>5963997576.2095699</v>
      </c>
      <c r="P28" s="226">
        <f>'LCoP 2030 HIGH'!G19</f>
        <v>0.29696105384274146</v>
      </c>
      <c r="R28" s="202">
        <f>P28*H28</f>
        <v>3233894337.9074249</v>
      </c>
      <c r="S28" s="202">
        <f>L28+O28+R28</f>
        <v>10889961144.938435</v>
      </c>
    </row>
    <row r="29" spans="1:19" x14ac:dyDescent="0.35">
      <c r="C29">
        <f>C28/$C$8</f>
        <v>0.44862563596877264</v>
      </c>
      <c r="D29" s="2"/>
      <c r="F29" s="31"/>
      <c r="G29" s="152" t="s">
        <v>180</v>
      </c>
      <c r="H29" s="2">
        <f>SUMIF($J$29:$J$36,G29,$L$29:$L$36)/$L$28</f>
        <v>2.318036689016963E-2</v>
      </c>
      <c r="I29" s="12" t="s">
        <v>4</v>
      </c>
      <c r="J29" s="147" t="s">
        <v>179</v>
      </c>
      <c r="K29" s="6">
        <f>'Feedstock MIX per IVC'!J84</f>
        <v>129.97872230767516</v>
      </c>
      <c r="L29" s="2">
        <f t="shared" ref="L29:L36" si="4">K29*F$28</f>
        <v>962972403.48048615</v>
      </c>
      <c r="M29" s="5" t="s">
        <v>211</v>
      </c>
      <c r="N29" s="167">
        <v>0.15</v>
      </c>
      <c r="O29" s="2">
        <f t="shared" ref="O29:O34" si="5">N29*O$28</f>
        <v>894599636.43143547</v>
      </c>
      <c r="P29" s="18" t="s">
        <v>217</v>
      </c>
      <c r="Q29" s="118">
        <v>0.15</v>
      </c>
      <c r="R29" s="2">
        <f>Q29*R$28</f>
        <v>485084150.68611372</v>
      </c>
    </row>
    <row r="30" spans="1:19" x14ac:dyDescent="0.35">
      <c r="D30" s="2"/>
      <c r="F30" s="31"/>
      <c r="G30" s="150" t="s">
        <v>178</v>
      </c>
      <c r="H30" s="2">
        <f t="shared" ref="H30:H33" si="6">SUMIF($J$29:$J$36,G30,$L$29:$L$36)/$L$28</f>
        <v>1.3470699800471631E-2</v>
      </c>
      <c r="I30" s="12" t="s">
        <v>5</v>
      </c>
      <c r="J30" s="147" t="s">
        <v>179</v>
      </c>
      <c r="K30" s="6">
        <f>'Feedstock MIX per IVC'!J85</f>
        <v>6.0665214463321062</v>
      </c>
      <c r="L30" s="2">
        <f t="shared" si="4"/>
        <v>44944992.797451004</v>
      </c>
      <c r="M30" t="s">
        <v>212</v>
      </c>
      <c r="N30" s="34">
        <v>0.02</v>
      </c>
      <c r="O30" s="2">
        <f t="shared" si="5"/>
        <v>119279951.52419139</v>
      </c>
      <c r="P30" s="18" t="s">
        <v>177</v>
      </c>
      <c r="Q30" s="118">
        <v>0.25</v>
      </c>
      <c r="R30" s="2">
        <f>Q30*R$28</f>
        <v>808473584.47685623</v>
      </c>
    </row>
    <row r="31" spans="1:19" x14ac:dyDescent="0.35">
      <c r="D31" s="2"/>
      <c r="F31" s="31"/>
      <c r="G31" s="147" t="s">
        <v>179</v>
      </c>
      <c r="H31" s="2">
        <f t="shared" si="6"/>
        <v>0.63900608381491486</v>
      </c>
      <c r="I31" s="12" t="s">
        <v>6</v>
      </c>
      <c r="J31" s="150" t="s">
        <v>178</v>
      </c>
      <c r="K31" s="6">
        <f>'Feedstock MIX per IVC'!J86</f>
        <v>3.0765693427595271</v>
      </c>
      <c r="L31" s="2">
        <f t="shared" si="4"/>
        <v>22793356.650010545</v>
      </c>
      <c r="M31" s="5" t="s">
        <v>210</v>
      </c>
      <c r="N31" s="167">
        <v>0.45</v>
      </c>
      <c r="O31" s="2">
        <f t="shared" si="5"/>
        <v>2683798909.2943068</v>
      </c>
      <c r="P31" s="18" t="s">
        <v>218</v>
      </c>
      <c r="Q31" s="118">
        <v>0.2</v>
      </c>
      <c r="R31" s="2">
        <f>Q31*R$28</f>
        <v>646778867.58148503</v>
      </c>
    </row>
    <row r="32" spans="1:19" x14ac:dyDescent="0.35">
      <c r="D32" s="2"/>
      <c r="F32" s="31"/>
      <c r="G32" s="171" t="s">
        <v>222</v>
      </c>
      <c r="H32" s="2">
        <f t="shared" si="6"/>
        <v>0.14815699121662482</v>
      </c>
      <c r="I32" s="12" t="s">
        <v>7</v>
      </c>
      <c r="J32" s="147" t="s">
        <v>179</v>
      </c>
      <c r="K32" s="6">
        <f>'Feedstock MIX per IVC'!J87</f>
        <v>5.8129923958756571</v>
      </c>
      <c r="L32" s="2">
        <f t="shared" si="4"/>
        <v>43066673.986990161</v>
      </c>
      <c r="M32" t="s">
        <v>213</v>
      </c>
      <c r="N32" s="34">
        <v>0.1</v>
      </c>
      <c r="O32" s="2">
        <f t="shared" si="5"/>
        <v>596399757.62095702</v>
      </c>
      <c r="P32" s="18" t="s">
        <v>219</v>
      </c>
      <c r="Q32" s="118">
        <v>0.3</v>
      </c>
      <c r="R32" s="2">
        <f>Q32*R$28</f>
        <v>970168301.37222743</v>
      </c>
      <c r="S32" s="2"/>
    </row>
    <row r="33" spans="1:18" x14ac:dyDescent="0.35">
      <c r="D33" s="2"/>
      <c r="F33" s="31"/>
      <c r="G33" s="149" t="s">
        <v>176</v>
      </c>
      <c r="H33" s="2">
        <f t="shared" si="6"/>
        <v>0.17618585827781905</v>
      </c>
      <c r="I33" s="12" t="s">
        <v>8</v>
      </c>
      <c r="J33" s="147" t="s">
        <v>179</v>
      </c>
      <c r="K33" s="6">
        <f>'Feedstock MIX per IVC'!J88</f>
        <v>4.0841838001898028</v>
      </c>
      <c r="L33" s="2">
        <f t="shared" si="4"/>
        <v>30258462.465995498</v>
      </c>
      <c r="M33" t="s">
        <v>214</v>
      </c>
      <c r="N33" s="34">
        <v>0.25</v>
      </c>
      <c r="O33" s="2">
        <f t="shared" si="5"/>
        <v>1490999394.0523925</v>
      </c>
      <c r="P33" s="18" t="s">
        <v>220</v>
      </c>
      <c r="Q33" s="118">
        <v>0.1</v>
      </c>
      <c r="R33" s="2">
        <f>Q33*R$28</f>
        <v>323389433.79074252</v>
      </c>
    </row>
    <row r="34" spans="1:18" x14ac:dyDescent="0.35">
      <c r="D34" s="2"/>
      <c r="F34" s="31"/>
      <c r="G34" s="151" t="s">
        <v>77</v>
      </c>
      <c r="H34" s="6"/>
      <c r="I34" s="12" t="s">
        <v>9</v>
      </c>
      <c r="J34" s="171" t="s">
        <v>222</v>
      </c>
      <c r="K34" s="6">
        <f>'Feedstock MIX per IVC'!J89</f>
        <v>33.837533598410502</v>
      </c>
      <c r="L34" s="2">
        <f t="shared" si="4"/>
        <v>250691886.16873306</v>
      </c>
      <c r="M34" t="s">
        <v>216</v>
      </c>
      <c r="N34" s="34">
        <v>0.03</v>
      </c>
      <c r="O34" s="2">
        <f t="shared" si="5"/>
        <v>178919927.2862871</v>
      </c>
      <c r="P34" s="18"/>
      <c r="Q34" s="118">
        <f>SUM(Q29:Q33)</f>
        <v>1.0000000000000002</v>
      </c>
      <c r="R34" s="2"/>
    </row>
    <row r="35" spans="1:18" x14ac:dyDescent="0.35">
      <c r="D35" s="2"/>
      <c r="F35" s="31"/>
      <c r="G35" s="6"/>
      <c r="H35" s="2">
        <f>SUM(H29:H34)</f>
        <v>1</v>
      </c>
      <c r="I35" s="12" t="s">
        <v>10</v>
      </c>
      <c r="J35" s="149" t="s">
        <v>176</v>
      </c>
      <c r="K35" s="6">
        <f>'Feedstock MIX per IVC'!J90</f>
        <v>40.239038671646064</v>
      </c>
      <c r="L35" s="2">
        <f t="shared" si="4"/>
        <v>298118669.69776434</v>
      </c>
    </row>
    <row r="36" spans="1:18" x14ac:dyDescent="0.35">
      <c r="D36" s="2"/>
      <c r="F36" s="31"/>
      <c r="G36" s="6"/>
      <c r="H36" s="6"/>
      <c r="I36" s="12" t="s">
        <v>11</v>
      </c>
      <c r="J36" s="152" t="s">
        <v>180</v>
      </c>
      <c r="K36" s="6">
        <f>'Feedstock MIX per IVC'!J91</f>
        <v>5.2941574813891252</v>
      </c>
      <c r="L36" s="2">
        <f t="shared" si="4"/>
        <v>39222785.574008077</v>
      </c>
      <c r="M36" s="2"/>
    </row>
    <row r="37" spans="1:18" x14ac:dyDescent="0.35">
      <c r="D37" s="2"/>
      <c r="F37" s="31"/>
      <c r="G37" s="6"/>
      <c r="H37" s="6"/>
      <c r="I37" s="105" t="s">
        <v>319</v>
      </c>
      <c r="J37" s="237"/>
      <c r="K37" s="6"/>
      <c r="L37" s="2">
        <f>SUM(L29:L36)</f>
        <v>1692069230.821439</v>
      </c>
      <c r="M37" s="2"/>
    </row>
    <row r="38" spans="1:18" x14ac:dyDescent="0.35">
      <c r="D38" s="6"/>
      <c r="E38" s="6"/>
      <c r="F38" s="31"/>
      <c r="G38" s="6"/>
      <c r="H38" s="6"/>
      <c r="I38" s="212" t="s">
        <v>281</v>
      </c>
      <c r="J38" s="6"/>
      <c r="K38" s="6"/>
      <c r="L38" s="2"/>
      <c r="M38" s="78" t="s">
        <v>181</v>
      </c>
      <c r="O38" s="90">
        <f ca="1">SUM(O39:O44)</f>
        <v>0</v>
      </c>
      <c r="P38" s="78" t="s">
        <v>181</v>
      </c>
      <c r="Q38" s="78"/>
      <c r="R38" s="90">
        <f ca="1">SUM(R39:R43)</f>
        <v>0</v>
      </c>
    </row>
    <row r="39" spans="1:18" x14ac:dyDescent="0.35">
      <c r="D39" s="6"/>
      <c r="E39" s="6"/>
      <c r="F39" s="31"/>
      <c r="G39" s="6"/>
      <c r="H39" s="6"/>
      <c r="I39" s="6"/>
      <c r="J39" s="147" t="s">
        <v>179</v>
      </c>
      <c r="K39" s="6"/>
      <c r="L39" s="2">
        <f t="shared" ref="L39:L45" ca="1" si="7">SUMIF($J$10:$J$190, J39, $L$10:$L$191)</f>
        <v>0</v>
      </c>
      <c r="M39" s="5" t="s">
        <v>211</v>
      </c>
      <c r="O39" s="2">
        <f t="shared" ref="O39:O44" ca="1" si="8">SUMIF($M$10:$M$188, M39, $O$10:$O$188)</f>
        <v>0</v>
      </c>
      <c r="P39" s="18" t="s">
        <v>217</v>
      </c>
      <c r="R39" s="2">
        <f ca="1">SUMIF($P$10:$P$187, P39, $R$10:$R$187)</f>
        <v>0</v>
      </c>
    </row>
    <row r="40" spans="1:18" x14ac:dyDescent="0.35">
      <c r="D40" s="6"/>
      <c r="E40" s="6"/>
      <c r="F40" s="31"/>
      <c r="G40" s="6"/>
      <c r="H40" s="6"/>
      <c r="I40" s="6"/>
      <c r="J40" s="171" t="s">
        <v>222</v>
      </c>
      <c r="K40" s="6"/>
      <c r="L40" s="2">
        <f t="shared" ca="1" si="7"/>
        <v>0</v>
      </c>
      <c r="M40" t="s">
        <v>212</v>
      </c>
      <c r="O40" s="2">
        <f t="shared" ca="1" si="8"/>
        <v>0</v>
      </c>
      <c r="P40" s="18" t="s">
        <v>177</v>
      </c>
      <c r="R40" s="2">
        <f ca="1">SUMIF($P$10:$P$187, P40, $R$10:$R$187)</f>
        <v>0</v>
      </c>
    </row>
    <row r="41" spans="1:18" x14ac:dyDescent="0.35">
      <c r="D41" s="6"/>
      <c r="E41" s="6"/>
      <c r="F41" s="31"/>
      <c r="G41" s="6"/>
      <c r="H41" s="6"/>
      <c r="I41" s="6"/>
      <c r="J41" s="149" t="s">
        <v>176</v>
      </c>
      <c r="K41" s="6"/>
      <c r="L41" s="2">
        <f t="shared" ca="1" si="7"/>
        <v>0</v>
      </c>
      <c r="M41" s="5" t="s">
        <v>210</v>
      </c>
      <c r="O41" s="2">
        <f t="shared" ca="1" si="8"/>
        <v>0</v>
      </c>
      <c r="P41" s="18" t="s">
        <v>218</v>
      </c>
      <c r="R41" s="2">
        <f ca="1">SUMIF($P$10:$P$187, P41, $R$10:$R$187)</f>
        <v>0</v>
      </c>
    </row>
    <row r="42" spans="1:18" x14ac:dyDescent="0.35">
      <c r="D42" s="6"/>
      <c r="E42" s="6"/>
      <c r="F42" s="31"/>
      <c r="G42" s="6"/>
      <c r="H42" s="6"/>
      <c r="I42" s="6"/>
      <c r="J42" s="150" t="s">
        <v>178</v>
      </c>
      <c r="K42" s="6"/>
      <c r="L42" s="2">
        <f t="shared" ca="1" si="7"/>
        <v>0</v>
      </c>
      <c r="M42" t="s">
        <v>213</v>
      </c>
      <c r="O42" s="2">
        <f t="shared" ca="1" si="8"/>
        <v>0</v>
      </c>
      <c r="P42" s="18" t="s">
        <v>219</v>
      </c>
      <c r="R42" s="2">
        <f ca="1">SUMIF($P$10:$P$187, P42, $R$10:$R$187)</f>
        <v>0</v>
      </c>
    </row>
    <row r="43" spans="1:18" x14ac:dyDescent="0.35">
      <c r="D43" s="6"/>
      <c r="E43" s="6"/>
      <c r="F43" s="31"/>
      <c r="G43" s="6"/>
      <c r="H43" s="6"/>
      <c r="I43" s="6"/>
      <c r="J43" s="152" t="s">
        <v>180</v>
      </c>
      <c r="K43" s="6"/>
      <c r="L43" s="2">
        <f t="shared" ca="1" si="7"/>
        <v>0</v>
      </c>
      <c r="M43" t="s">
        <v>214</v>
      </c>
      <c r="O43" s="2">
        <f t="shared" ca="1" si="8"/>
        <v>0</v>
      </c>
      <c r="P43" s="18" t="s">
        <v>220</v>
      </c>
      <c r="R43" s="2">
        <f ca="1">SUMIF($P$10:$P$187, P43, $R$10:$R$187)</f>
        <v>0</v>
      </c>
    </row>
    <row r="44" spans="1:18" x14ac:dyDescent="0.35">
      <c r="D44" s="6"/>
      <c r="E44" s="6"/>
      <c r="F44" s="31"/>
      <c r="G44" s="6"/>
      <c r="H44" s="6"/>
      <c r="J44" s="151" t="s">
        <v>77</v>
      </c>
      <c r="K44" s="6"/>
      <c r="L44" s="2">
        <f t="shared" ca="1" si="7"/>
        <v>0</v>
      </c>
      <c r="M44" t="s">
        <v>216</v>
      </c>
      <c r="O44" s="2">
        <f t="shared" ca="1" si="8"/>
        <v>0</v>
      </c>
    </row>
    <row r="45" spans="1:18" x14ac:dyDescent="0.35">
      <c r="D45" s="6"/>
      <c r="E45" s="6"/>
      <c r="F45" s="31"/>
      <c r="G45" s="6"/>
      <c r="H45" s="6"/>
      <c r="J45" s="239" t="s">
        <v>177</v>
      </c>
      <c r="L45" s="2">
        <f t="shared" ca="1" si="7"/>
        <v>0</v>
      </c>
      <c r="O45" s="2"/>
    </row>
    <row r="46" spans="1:18" x14ac:dyDescent="0.35">
      <c r="D46" s="6"/>
      <c r="E46" s="6"/>
      <c r="F46" s="31"/>
      <c r="G46" s="6"/>
      <c r="I46" s="212" t="s">
        <v>319</v>
      </c>
      <c r="J46" s="105"/>
      <c r="K46" s="6"/>
      <c r="L46" s="90">
        <f ca="1">SUM(L39:L45)</f>
        <v>0</v>
      </c>
    </row>
    <row r="47" spans="1:18" s="91" customFormat="1" ht="41" customHeight="1" x14ac:dyDescent="0.35">
      <c r="A47" s="91" t="s">
        <v>78</v>
      </c>
      <c r="F47" s="169"/>
    </row>
    <row r="48" spans="1:18" ht="17.5" customHeight="1" x14ac:dyDescent="0.35">
      <c r="C48" s="2">
        <f>C49+C56+C63+C72</f>
        <v>58854357638.825478</v>
      </c>
      <c r="D48" s="2">
        <f>D49+D56+D63+D72</f>
        <v>38.956014836298991</v>
      </c>
      <c r="F48" s="2">
        <f>F49+F56+F63+F72</f>
        <v>52163390.616105787</v>
      </c>
      <c r="H48" s="2">
        <f>H49+H56+H63+H72</f>
        <v>66896445831.700294</v>
      </c>
      <c r="L48" s="2">
        <f>L49+L56+L63+L72</f>
        <v>23515362062.265869</v>
      </c>
      <c r="O48" s="2">
        <f>O49+O56+O63+O72</f>
        <v>23671777468.600239</v>
      </c>
      <c r="R48" s="2">
        <f>R49+R56+R63+R72</f>
        <v>19709306300.834183</v>
      </c>
    </row>
    <row r="49" spans="1:19" s="201" customFormat="1" ht="17.5" customHeight="1" x14ac:dyDescent="0.35">
      <c r="A49" s="201" t="s">
        <v>297</v>
      </c>
      <c r="B49" s="201">
        <v>1000</v>
      </c>
      <c r="C49" s="203">
        <f>B49*F49</f>
        <v>7898337636.6593208</v>
      </c>
      <c r="D49" s="203">
        <f>'[3]Scenario 3 2030'!$E$9</f>
        <v>5.0935109436753994</v>
      </c>
      <c r="E49" s="210">
        <f>'[1]Conversion factors selected IV '!$O$17</f>
        <v>1.5506666666666669</v>
      </c>
      <c r="F49" s="202">
        <f>D49*E49*1000000</f>
        <v>7898337.6366593204</v>
      </c>
      <c r="G49" s="208">
        <f>'LCoP 2030 HIGH'!E5</f>
        <v>1284.2294983472239</v>
      </c>
      <c r="H49" s="203">
        <f>G49*F49</f>
        <v>10143278180.903997</v>
      </c>
      <c r="I49" s="208">
        <f>'LCoP 2030 HIGH'!H5</f>
        <v>0.26648624625712602</v>
      </c>
      <c r="L49" s="202">
        <f>I49*H49</f>
        <v>2703044127.1709161</v>
      </c>
      <c r="M49" s="208">
        <f>'LCoP 2030 HIGH'!F5</f>
        <v>0.43216574663194796</v>
      </c>
      <c r="O49" s="202">
        <f>M49*H49</f>
        <v>4383577388.3459225</v>
      </c>
      <c r="P49" s="208">
        <f>'LCoP 2030 HIGH'!G5</f>
        <v>0.30134800711092591</v>
      </c>
      <c r="R49" s="202">
        <f>P49*H49</f>
        <v>3056656665.3871574</v>
      </c>
      <c r="S49" s="203">
        <f>R49+O49+L49</f>
        <v>10143278180.903996</v>
      </c>
    </row>
    <row r="50" spans="1:19" ht="15" customHeight="1" x14ac:dyDescent="0.35">
      <c r="C50">
        <f>C49/$C$48</f>
        <v>0.13420140756831381</v>
      </c>
      <c r="F50" s="147" t="s">
        <v>179</v>
      </c>
      <c r="G50" s="2">
        <f>(SUMIF($J$50:$J$53, F50,$L$50:$L$53)/$L$49)</f>
        <v>0.8197578237882106</v>
      </c>
      <c r="H50" s="192" t="s">
        <v>254</v>
      </c>
      <c r="I50" s="7" t="s">
        <v>4</v>
      </c>
      <c r="J50" s="147" t="s">
        <v>179</v>
      </c>
      <c r="K50" s="6">
        <f>'Feedstock MIX per IVC'!J13</f>
        <v>260.69481002421327</v>
      </c>
      <c r="L50">
        <f>K50*F$49</f>
        <v>2059055629.6959951</v>
      </c>
      <c r="M50" s="5" t="s">
        <v>211</v>
      </c>
      <c r="N50" s="34">
        <v>0</v>
      </c>
      <c r="O50" s="2">
        <f t="shared" ref="O50:O55" si="9">N50*O$49</f>
        <v>0</v>
      </c>
      <c r="P50" s="18" t="s">
        <v>217</v>
      </c>
      <c r="Q50" s="34">
        <v>0.2</v>
      </c>
      <c r="R50" s="2">
        <f>Q50*R$49</f>
        <v>611331333.07743156</v>
      </c>
    </row>
    <row r="51" spans="1:19" ht="15" customHeight="1" x14ac:dyDescent="0.35">
      <c r="F51" s="149" t="s">
        <v>176</v>
      </c>
      <c r="G51" s="2">
        <f>(SUMIF($J$50:$J$53, F51,$L$50:$L$53)/$L$49)</f>
        <v>0.18024217621178948</v>
      </c>
      <c r="H51" s="192" t="s">
        <v>254</v>
      </c>
      <c r="I51" s="7" t="s">
        <v>7</v>
      </c>
      <c r="J51" s="147" t="s">
        <v>179</v>
      </c>
      <c r="K51" s="6">
        <f>'Feedstock MIX per IVC'!J14</f>
        <v>11.65896172396454</v>
      </c>
      <c r="L51">
        <f>K51*F$49</f>
        <v>92086416.18875955</v>
      </c>
      <c r="M51" t="s">
        <v>212</v>
      </c>
      <c r="N51" s="34">
        <v>0.02</v>
      </c>
      <c r="O51" s="2">
        <f t="shared" si="9"/>
        <v>87671547.766918451</v>
      </c>
      <c r="P51" s="18" t="s">
        <v>177</v>
      </c>
      <c r="Q51" s="34">
        <v>0.5</v>
      </c>
      <c r="R51" s="2">
        <f>Q51*R$49</f>
        <v>1528328332.6935787</v>
      </c>
    </row>
    <row r="52" spans="1:19" ht="15" customHeight="1" x14ac:dyDescent="0.35">
      <c r="F52" s="31"/>
      <c r="H52" s="192" t="s">
        <v>254</v>
      </c>
      <c r="I52" s="7" t="s">
        <v>8</v>
      </c>
      <c r="J52" s="147" t="s">
        <v>179</v>
      </c>
      <c r="K52" s="6">
        <f>'Feedstock MIX per IVC'!J15</f>
        <v>8.1915370530733291</v>
      </c>
      <c r="L52">
        <f>K52*F$49</f>
        <v>64699525.408378452</v>
      </c>
      <c r="M52" s="5" t="s">
        <v>210</v>
      </c>
      <c r="N52" s="34">
        <v>0.5</v>
      </c>
      <c r="O52" s="2">
        <f t="shared" si="9"/>
        <v>2191788694.1729612</v>
      </c>
      <c r="P52" s="18" t="s">
        <v>218</v>
      </c>
      <c r="Q52" s="34">
        <v>0.15</v>
      </c>
      <c r="R52" s="2">
        <f>Q52*R$49</f>
        <v>458498499.80807358</v>
      </c>
    </row>
    <row r="53" spans="1:19" ht="15" customHeight="1" x14ac:dyDescent="0.35">
      <c r="F53" s="31"/>
      <c r="H53" s="192" t="s">
        <v>254</v>
      </c>
      <c r="I53" s="7" t="s">
        <v>10</v>
      </c>
      <c r="J53" s="149" t="s">
        <v>176</v>
      </c>
      <c r="K53" s="6">
        <f>'Feedstock MIX per IVC'!J16</f>
        <v>61.684189545972622</v>
      </c>
      <c r="L53">
        <f>K53*F$49</f>
        <v>487202555.87778294</v>
      </c>
      <c r="M53" t="s">
        <v>213</v>
      </c>
      <c r="N53" s="34">
        <v>0.15</v>
      </c>
      <c r="O53" s="2">
        <f t="shared" si="9"/>
        <v>657536608.25188839</v>
      </c>
      <c r="P53" s="18" t="s">
        <v>219</v>
      </c>
      <c r="Q53" s="34">
        <v>0.1</v>
      </c>
      <c r="R53" s="2">
        <f>Q53*R$49</f>
        <v>305665666.53871578</v>
      </c>
    </row>
    <row r="54" spans="1:19" ht="15" customHeight="1" x14ac:dyDescent="0.35">
      <c r="F54" s="31"/>
      <c r="M54" t="s">
        <v>214</v>
      </c>
      <c r="N54" s="34">
        <v>0.3</v>
      </c>
      <c r="O54" s="2">
        <f t="shared" si="9"/>
        <v>1315073216.5037768</v>
      </c>
      <c r="P54" s="18" t="s">
        <v>220</v>
      </c>
      <c r="Q54" s="34">
        <v>0.05</v>
      </c>
      <c r="R54" s="2">
        <f>Q54*R$49</f>
        <v>152832833.26935789</v>
      </c>
    </row>
    <row r="55" spans="1:19" ht="15" customHeight="1" x14ac:dyDescent="0.35">
      <c r="F55" s="31"/>
      <c r="M55" t="s">
        <v>216</v>
      </c>
      <c r="N55" s="34">
        <v>0.03</v>
      </c>
      <c r="O55" s="2">
        <f t="shared" si="9"/>
        <v>131507321.65037768</v>
      </c>
      <c r="R55" s="2"/>
    </row>
    <row r="56" spans="1:19" s="201" customFormat="1" ht="17.5" customHeight="1" x14ac:dyDescent="0.35">
      <c r="A56" s="201" t="s">
        <v>303</v>
      </c>
      <c r="B56" s="201">
        <v>1000</v>
      </c>
      <c r="C56" s="203">
        <f>B56*F56</f>
        <v>29293376726.331715</v>
      </c>
      <c r="D56" s="208">
        <f>'[3]Scenario 3 2030'!$E$10</f>
        <v>18.890827639508842</v>
      </c>
      <c r="E56" s="211">
        <f>'[1]Conversion factors selected IV '!$O$86</f>
        <v>1.5506666666666669</v>
      </c>
      <c r="F56" s="202">
        <f>D56*E56*1000000</f>
        <v>29293376.726331715</v>
      </c>
      <c r="G56" s="208">
        <f>'LCoP 2030 HIGH'!E17</f>
        <v>1166.3499999999999</v>
      </c>
      <c r="H56" s="203">
        <f>G56*F56</f>
        <v>34166329944.756992</v>
      </c>
      <c r="I56" s="206">
        <f>'LCoP 2030 HIGH'!H17</f>
        <v>0.50893814035238139</v>
      </c>
      <c r="L56" s="202">
        <f>I56*H56</f>
        <v>17388548424.750504</v>
      </c>
      <c r="M56" s="206">
        <f>'LCoP 2030 HIGH'!F17</f>
        <v>0.2383504093968363</v>
      </c>
      <c r="O56" s="202">
        <f>M56*H56</f>
        <v>8143558729.9202166</v>
      </c>
      <c r="P56" s="219">
        <f>'LCoP 2030 HIGH'!G17</f>
        <v>0.2527114502507824</v>
      </c>
      <c r="R56" s="202">
        <f>P56*H56</f>
        <v>8634222790.0862732</v>
      </c>
      <c r="S56" s="203">
        <f>R56+O56+L56</f>
        <v>34166329944.756992</v>
      </c>
    </row>
    <row r="57" spans="1:19" ht="14.5" customHeight="1" x14ac:dyDescent="0.35">
      <c r="C57">
        <f>C56/$C$48</f>
        <v>0.49772655588389675</v>
      </c>
      <c r="D57" s="6"/>
      <c r="F57" s="31"/>
      <c r="G57" s="190" t="s">
        <v>79</v>
      </c>
      <c r="H57">
        <v>1</v>
      </c>
      <c r="I57" s="16" t="s">
        <v>36</v>
      </c>
      <c r="J57" s="190" t="s">
        <v>79</v>
      </c>
      <c r="K57" s="6">
        <f>'Feedstock MIX per IVC'!J80</f>
        <v>593.6</v>
      </c>
      <c r="L57" s="31">
        <f>K57*F56</f>
        <v>17388548424.750507</v>
      </c>
      <c r="M57" s="5" t="s">
        <v>211</v>
      </c>
      <c r="N57" s="34">
        <v>0</v>
      </c>
      <c r="O57" s="2">
        <f t="shared" ref="O57:O62" si="10">N57*O$56</f>
        <v>0</v>
      </c>
      <c r="P57" s="18" t="s">
        <v>217</v>
      </c>
      <c r="Q57" s="34">
        <v>0.2</v>
      </c>
      <c r="R57" s="2">
        <f>Q57*R$56</f>
        <v>1726844558.0172548</v>
      </c>
    </row>
    <row r="58" spans="1:19" ht="14.5" customHeight="1" x14ac:dyDescent="0.35">
      <c r="D58" s="6"/>
      <c r="F58" s="31"/>
      <c r="M58" t="s">
        <v>212</v>
      </c>
      <c r="N58" s="34">
        <v>0.02</v>
      </c>
      <c r="O58" s="2">
        <f t="shared" si="10"/>
        <v>162871174.59840435</v>
      </c>
      <c r="P58" s="18" t="s">
        <v>177</v>
      </c>
      <c r="Q58" s="34">
        <v>0.5</v>
      </c>
      <c r="R58" s="2">
        <f>Q58*R$56</f>
        <v>4317111395.0431366</v>
      </c>
    </row>
    <row r="59" spans="1:19" ht="14.5" customHeight="1" x14ac:dyDescent="0.35">
      <c r="D59" s="6"/>
      <c r="F59" s="31"/>
      <c r="M59" s="5" t="s">
        <v>210</v>
      </c>
      <c r="N59" s="34">
        <v>0.5</v>
      </c>
      <c r="O59" s="2">
        <f t="shared" si="10"/>
        <v>4071779364.9601083</v>
      </c>
      <c r="P59" s="18" t="s">
        <v>218</v>
      </c>
      <c r="Q59" s="34">
        <v>0.15</v>
      </c>
      <c r="R59" s="2">
        <f>Q59*R$56</f>
        <v>1295133418.5129409</v>
      </c>
    </row>
    <row r="60" spans="1:19" ht="14.5" customHeight="1" x14ac:dyDescent="0.35">
      <c r="D60" s="6"/>
      <c r="F60" s="31"/>
      <c r="M60" t="s">
        <v>213</v>
      </c>
      <c r="N60" s="34">
        <v>0.15</v>
      </c>
      <c r="O60" s="2">
        <f t="shared" si="10"/>
        <v>1221533809.4880323</v>
      </c>
      <c r="P60" s="18" t="s">
        <v>219</v>
      </c>
      <c r="Q60" s="34">
        <v>0.1</v>
      </c>
      <c r="R60" s="2">
        <f>Q60*R$56</f>
        <v>863422279.00862741</v>
      </c>
    </row>
    <row r="61" spans="1:19" ht="14.5" customHeight="1" x14ac:dyDescent="0.35">
      <c r="F61" s="31"/>
      <c r="M61" t="s">
        <v>214</v>
      </c>
      <c r="N61" s="34">
        <v>0.3</v>
      </c>
      <c r="O61" s="2">
        <f t="shared" si="10"/>
        <v>2443067618.9760647</v>
      </c>
      <c r="P61" s="18" t="s">
        <v>220</v>
      </c>
      <c r="Q61" s="34">
        <v>0.05</v>
      </c>
      <c r="R61" s="2">
        <f>Q61*R$56</f>
        <v>431711139.50431371</v>
      </c>
    </row>
    <row r="62" spans="1:19" ht="14.5" customHeight="1" x14ac:dyDescent="0.35">
      <c r="F62" s="31"/>
      <c r="M62" t="s">
        <v>216</v>
      </c>
      <c r="N62" s="34">
        <v>0.03</v>
      </c>
      <c r="O62" s="2">
        <f t="shared" si="10"/>
        <v>244306761.89760649</v>
      </c>
    </row>
    <row r="63" spans="1:19" s="201" customFormat="1" x14ac:dyDescent="0.35">
      <c r="A63" s="201" t="s">
        <v>295</v>
      </c>
      <c r="B63" s="201">
        <v>1750</v>
      </c>
      <c r="C63" s="203">
        <f>B63*F63</f>
        <v>12965212122.194717</v>
      </c>
      <c r="D63" s="203">
        <f>'[3]Scenario 3 2030'!$E$11+'[3]Scenario 3 2030'!$P$23/2</f>
        <v>7.4086926412541239</v>
      </c>
      <c r="E63" s="201">
        <f>'[1]Conversion factors selected IV '!$O$89</f>
        <v>1</v>
      </c>
      <c r="F63" s="202">
        <f>D63*E63*1000000</f>
        <v>7408692.6412541242</v>
      </c>
      <c r="G63" s="208">
        <f>'LCoP 2030 HIGH'!E19</f>
        <v>1469.8897190442781</v>
      </c>
      <c r="H63" s="203">
        <f>G63*F63</f>
        <v>10889961144.938435</v>
      </c>
      <c r="I63" s="206">
        <f>'LCoP 2030 HIGH'!H19</f>
        <v>0.15537881249538701</v>
      </c>
      <c r="L63" s="202">
        <f>I63*H63</f>
        <v>1692069230.821439</v>
      </c>
      <c r="M63" s="206">
        <f>'LCoP 2030 HIGH'!F19</f>
        <v>0.5476601336618715</v>
      </c>
      <c r="O63" s="202">
        <f>M63*H63</f>
        <v>5963997576.2095699</v>
      </c>
      <c r="P63" s="219">
        <f>'LCoP 2030 HIGH'!G19</f>
        <v>0.29696105384274146</v>
      </c>
      <c r="R63" s="202">
        <f>P63*H63</f>
        <v>3233894337.9074249</v>
      </c>
      <c r="S63" s="202">
        <f>L63+O63+R63</f>
        <v>10889961144.938435</v>
      </c>
    </row>
    <row r="64" spans="1:19" ht="17.5" customHeight="1" x14ac:dyDescent="0.35">
      <c r="C64">
        <f>C63/$C$48</f>
        <v>0.22029315487153886</v>
      </c>
      <c r="F64" s="152" t="s">
        <v>180</v>
      </c>
      <c r="G64" s="2">
        <f>(SUMIF($J$64:$J$71, F64,$L$64:$L$71)/$L$63)</f>
        <v>2.318036689016963E-2</v>
      </c>
      <c r="H64" s="192" t="s">
        <v>254</v>
      </c>
      <c r="I64" s="5" t="s">
        <v>4</v>
      </c>
      <c r="J64" s="147" t="s">
        <v>179</v>
      </c>
      <c r="K64" s="6">
        <f>'Feedstock MIX per IVC'!J84</f>
        <v>129.97872230767516</v>
      </c>
      <c r="L64">
        <f t="shared" ref="L64:L71" si="11">K64*F$63</f>
        <v>962972403.48048615</v>
      </c>
      <c r="M64" s="5" t="s">
        <v>211</v>
      </c>
      <c r="N64" s="167">
        <v>0.15</v>
      </c>
      <c r="O64" s="2">
        <f t="shared" ref="O64:O69" si="12">N64*O$63</f>
        <v>894599636.43143547</v>
      </c>
      <c r="P64" s="18" t="s">
        <v>217</v>
      </c>
      <c r="Q64" s="118">
        <v>0.15</v>
      </c>
      <c r="R64" s="2">
        <f>Q64*R$63</f>
        <v>485084150.68611372</v>
      </c>
    </row>
    <row r="65" spans="1:19" ht="17.5" customHeight="1" x14ac:dyDescent="0.35">
      <c r="F65" s="150" t="s">
        <v>178</v>
      </c>
      <c r="G65" s="2">
        <f t="shared" ref="G65:G69" si="13">(SUMIF($J$64:$J$71, F65,$L$64:$L$71)/$L$63)</f>
        <v>1.3470699800471631E-2</v>
      </c>
      <c r="H65" s="192" t="s">
        <v>254</v>
      </c>
      <c r="I65" s="5" t="s">
        <v>5</v>
      </c>
      <c r="J65" s="147" t="s">
        <v>179</v>
      </c>
      <c r="K65" s="6">
        <f>'Feedstock MIX per IVC'!J85</f>
        <v>6.0665214463321062</v>
      </c>
      <c r="L65">
        <f t="shared" si="11"/>
        <v>44944992.797451004</v>
      </c>
      <c r="M65" t="s">
        <v>212</v>
      </c>
      <c r="N65" s="34">
        <v>0.02</v>
      </c>
      <c r="O65" s="2">
        <f t="shared" si="12"/>
        <v>119279951.52419139</v>
      </c>
      <c r="P65" s="18" t="s">
        <v>177</v>
      </c>
      <c r="Q65" s="118">
        <v>0.25</v>
      </c>
      <c r="R65" s="2">
        <f>Q65*R$63</f>
        <v>808473584.47685623</v>
      </c>
    </row>
    <row r="66" spans="1:19" ht="17.5" customHeight="1" x14ac:dyDescent="0.35">
      <c r="F66" s="147" t="s">
        <v>179</v>
      </c>
      <c r="G66" s="2">
        <f t="shared" si="13"/>
        <v>0.63900608381491486</v>
      </c>
      <c r="H66" s="192" t="s">
        <v>254</v>
      </c>
      <c r="I66" s="5" t="s">
        <v>6</v>
      </c>
      <c r="J66" s="150" t="s">
        <v>178</v>
      </c>
      <c r="K66" s="6">
        <f>'Feedstock MIX per IVC'!J86</f>
        <v>3.0765693427595271</v>
      </c>
      <c r="L66">
        <f t="shared" si="11"/>
        <v>22793356.650010545</v>
      </c>
      <c r="M66" s="5" t="s">
        <v>210</v>
      </c>
      <c r="N66" s="167">
        <v>0.45</v>
      </c>
      <c r="O66" s="2">
        <f t="shared" si="12"/>
        <v>2683798909.2943068</v>
      </c>
      <c r="P66" s="18" t="s">
        <v>218</v>
      </c>
      <c r="Q66" s="118">
        <v>0.2</v>
      </c>
      <c r="R66" s="2">
        <f>Q66*R$63</f>
        <v>646778867.58148503</v>
      </c>
    </row>
    <row r="67" spans="1:19" ht="17.5" customHeight="1" x14ac:dyDescent="0.35">
      <c r="F67" s="171" t="s">
        <v>222</v>
      </c>
      <c r="G67" s="2">
        <f t="shared" si="13"/>
        <v>0.14815699121662482</v>
      </c>
      <c r="H67" s="192" t="s">
        <v>254</v>
      </c>
      <c r="I67" s="5" t="s">
        <v>7</v>
      </c>
      <c r="J67" s="147" t="s">
        <v>179</v>
      </c>
      <c r="K67" s="6">
        <f>'Feedstock MIX per IVC'!J87</f>
        <v>5.8129923958756571</v>
      </c>
      <c r="L67">
        <f t="shared" si="11"/>
        <v>43066673.986990161</v>
      </c>
      <c r="M67" t="s">
        <v>213</v>
      </c>
      <c r="N67" s="34">
        <v>0.1</v>
      </c>
      <c r="O67" s="2">
        <f t="shared" si="12"/>
        <v>596399757.62095702</v>
      </c>
      <c r="P67" s="18" t="s">
        <v>219</v>
      </c>
      <c r="Q67" s="118">
        <v>0.3</v>
      </c>
      <c r="R67" s="2">
        <f>Q67*R$63</f>
        <v>970168301.37222743</v>
      </c>
    </row>
    <row r="68" spans="1:19" ht="17.5" customHeight="1" x14ac:dyDescent="0.35">
      <c r="F68" s="149" t="s">
        <v>176</v>
      </c>
      <c r="G68" s="2">
        <f t="shared" si="13"/>
        <v>0.17618585827781905</v>
      </c>
      <c r="H68" s="192" t="s">
        <v>254</v>
      </c>
      <c r="I68" s="5" t="s">
        <v>8</v>
      </c>
      <c r="J68" s="147" t="s">
        <v>179</v>
      </c>
      <c r="K68" s="6">
        <f>'Feedstock MIX per IVC'!J88</f>
        <v>4.0841838001898028</v>
      </c>
      <c r="L68">
        <f t="shared" si="11"/>
        <v>30258462.465995498</v>
      </c>
      <c r="M68" t="s">
        <v>214</v>
      </c>
      <c r="N68" s="34">
        <v>0.25</v>
      </c>
      <c r="O68" s="2">
        <f t="shared" si="12"/>
        <v>1490999394.0523925</v>
      </c>
      <c r="P68" s="18" t="s">
        <v>220</v>
      </c>
      <c r="Q68" s="118">
        <v>0.1</v>
      </c>
      <c r="R68" s="2">
        <f>Q68*R$63</f>
        <v>323389433.79074252</v>
      </c>
    </row>
    <row r="69" spans="1:19" ht="17.5" customHeight="1" x14ac:dyDescent="0.35">
      <c r="F69" s="151" t="s">
        <v>77</v>
      </c>
      <c r="G69" s="2">
        <f t="shared" si="13"/>
        <v>0</v>
      </c>
      <c r="H69" s="192" t="s">
        <v>254</v>
      </c>
      <c r="I69" s="5" t="s">
        <v>9</v>
      </c>
      <c r="J69" s="171" t="s">
        <v>222</v>
      </c>
      <c r="K69" s="6">
        <f>'Feedstock MIX per IVC'!J89</f>
        <v>33.837533598410502</v>
      </c>
      <c r="L69">
        <f t="shared" si="11"/>
        <v>250691886.16873306</v>
      </c>
      <c r="M69" t="s">
        <v>216</v>
      </c>
      <c r="N69" s="34">
        <v>0.03</v>
      </c>
      <c r="O69" s="2">
        <f t="shared" si="12"/>
        <v>178919927.2862871</v>
      </c>
      <c r="Q69" s="34"/>
      <c r="R69" s="2"/>
    </row>
    <row r="70" spans="1:19" ht="17.5" customHeight="1" x14ac:dyDescent="0.35">
      <c r="F70" s="31"/>
      <c r="G70" s="2">
        <f>SUM(G64:G69)</f>
        <v>1</v>
      </c>
      <c r="H70" s="192" t="s">
        <v>254</v>
      </c>
      <c r="I70" s="5" t="s">
        <v>10</v>
      </c>
      <c r="J70" s="149" t="s">
        <v>176</v>
      </c>
      <c r="K70" s="6">
        <f>'Feedstock MIX per IVC'!J90</f>
        <v>40.239038671646064</v>
      </c>
      <c r="L70">
        <f t="shared" si="11"/>
        <v>298118669.69776434</v>
      </c>
      <c r="O70" s="2"/>
    </row>
    <row r="71" spans="1:19" ht="17.5" customHeight="1" x14ac:dyDescent="0.35">
      <c r="F71" s="31"/>
      <c r="H71" s="192" t="s">
        <v>254</v>
      </c>
      <c r="I71" s="5" t="s">
        <v>11</v>
      </c>
      <c r="J71" s="152" t="s">
        <v>180</v>
      </c>
      <c r="K71" s="6">
        <f>'Feedstock MIX per IVC'!J91</f>
        <v>5.2941574813891252</v>
      </c>
      <c r="L71">
        <f t="shared" si="11"/>
        <v>39222785.574008077</v>
      </c>
    </row>
    <row r="72" spans="1:19" s="201" customFormat="1" x14ac:dyDescent="0.35">
      <c r="A72" s="201" t="s">
        <v>298</v>
      </c>
      <c r="B72" s="201">
        <v>1150</v>
      </c>
      <c r="C72" s="203">
        <f>B72*F72</f>
        <v>8697431153.6397228</v>
      </c>
      <c r="D72" s="208">
        <f>'[3]Scenario 3 2030'!$E$12</f>
        <v>7.562983611860628</v>
      </c>
      <c r="E72" s="208">
        <f>'[1]Conversion factors selected IV '!$O$125</f>
        <v>1</v>
      </c>
      <c r="F72" s="202">
        <f>D72*E72*1000000</f>
        <v>7562983.6118606282</v>
      </c>
      <c r="G72" s="208">
        <f>'LCoP 2030 HIGH'!E21</f>
        <v>1546.595518567206</v>
      </c>
      <c r="H72" s="203">
        <f>G72*F72</f>
        <v>11696876561.100868</v>
      </c>
      <c r="I72" s="206">
        <f>'LCoP 2030 HIGH'!H21</f>
        <v>0.148048093905851</v>
      </c>
      <c r="L72" s="202">
        <f>I72*H72</f>
        <v>1731700279.5230088</v>
      </c>
      <c r="M72" s="206">
        <f>'LCoP 2030 HIGH'!F21</f>
        <v>0.44290830522682256</v>
      </c>
      <c r="O72" s="202">
        <f>M72*H72</f>
        <v>5180643774.1245298</v>
      </c>
      <c r="P72" s="219">
        <f>'LCoP 2030 HIGH'!G21</f>
        <v>0.40904360086732644</v>
      </c>
      <c r="R72" s="202">
        <f>P72*H72</f>
        <v>4784532507.4533291</v>
      </c>
      <c r="S72" s="202">
        <f>L72+O72+R72</f>
        <v>11696876561.100868</v>
      </c>
    </row>
    <row r="73" spans="1:19" x14ac:dyDescent="0.35">
      <c r="C73">
        <f>C72/$C$48</f>
        <v>0.14777888167625056</v>
      </c>
      <c r="D73" s="6"/>
      <c r="E73" s="6"/>
      <c r="F73" s="152" t="s">
        <v>180</v>
      </c>
      <c r="G73" s="2">
        <f>(SUMIF($J$73:$J$80, F73,$L$73:$L$80)/$L$72)</f>
        <v>2.2605022157234738E-2</v>
      </c>
      <c r="H73" s="192" t="s">
        <v>254</v>
      </c>
      <c r="I73" s="5" t="s">
        <v>4</v>
      </c>
      <c r="J73" s="147" t="s">
        <v>179</v>
      </c>
      <c r="K73" s="6">
        <f>'Feedstock MIX per IVC'!J102</f>
        <v>127.07493976685333</v>
      </c>
      <c r="L73" s="2">
        <f t="shared" ref="L73:L80" si="14">K73*F$72</f>
        <v>961065686.93488824</v>
      </c>
      <c r="M73" s="5" t="s">
        <v>211</v>
      </c>
      <c r="N73" s="167">
        <v>0.15</v>
      </c>
      <c r="O73" s="2">
        <f t="shared" ref="O73:O78" si="15">N73*O$72</f>
        <v>777096566.1186794</v>
      </c>
      <c r="P73" s="18" t="s">
        <v>217</v>
      </c>
      <c r="Q73" s="118">
        <v>0.15</v>
      </c>
      <c r="R73" s="2">
        <f>Q73*R$72</f>
        <v>717679876.11799932</v>
      </c>
    </row>
    <row r="74" spans="1:19" x14ac:dyDescent="0.35">
      <c r="D74" s="6"/>
      <c r="E74" s="6"/>
      <c r="F74" s="150" t="s">
        <v>178</v>
      </c>
      <c r="G74" s="2">
        <f t="shared" ref="G74:G78" si="16">(SUMIF($J$73:$J$80, F74,$L$73:$L$80)/$L$72)</f>
        <v>1.3136352366892604E-2</v>
      </c>
      <c r="H74" s="192" t="s">
        <v>254</v>
      </c>
      <c r="I74" s="5" t="s">
        <v>5</v>
      </c>
      <c r="J74" s="147" t="s">
        <v>179</v>
      </c>
      <c r="K74" s="6">
        <f>'Feedstock MIX per IVC'!J103</f>
        <v>5.9309926555683274</v>
      </c>
      <c r="L74" s="2">
        <f t="shared" si="14"/>
        <v>44856000.256129012</v>
      </c>
      <c r="M74" t="s">
        <v>212</v>
      </c>
      <c r="N74" s="34">
        <v>0.02</v>
      </c>
      <c r="O74" s="2">
        <f t="shared" si="15"/>
        <v>103612875.4824906</v>
      </c>
      <c r="P74" s="18" t="s">
        <v>177</v>
      </c>
      <c r="Q74" s="118">
        <v>0.25</v>
      </c>
      <c r="R74" s="2">
        <f>Q74*R$72</f>
        <v>1196133126.8633323</v>
      </c>
    </row>
    <row r="75" spans="1:19" x14ac:dyDescent="0.35">
      <c r="D75" s="6"/>
      <c r="E75" s="6"/>
      <c r="F75" s="147" t="s">
        <v>179</v>
      </c>
      <c r="G75" s="2">
        <f t="shared" si="16"/>
        <v>0.64796607781685234</v>
      </c>
      <c r="H75" s="192" t="s">
        <v>254</v>
      </c>
      <c r="I75" s="5" t="s">
        <v>6</v>
      </c>
      <c r="J75" s="150" t="s">
        <v>178</v>
      </c>
      <c r="K75" s="6">
        <f>'Feedstock MIX per IVC'!J104</f>
        <v>3.0078374135289434</v>
      </c>
      <c r="L75" s="2">
        <f t="shared" si="14"/>
        <v>22748225.065660659</v>
      </c>
      <c r="M75" s="5" t="s">
        <v>210</v>
      </c>
      <c r="N75" s="167">
        <v>0.45</v>
      </c>
      <c r="O75" s="2">
        <f t="shared" si="15"/>
        <v>2331289698.3560386</v>
      </c>
      <c r="P75" s="18" t="s">
        <v>218</v>
      </c>
      <c r="Q75" s="118">
        <v>0.2</v>
      </c>
      <c r="R75" s="2">
        <f>Q75*R$72</f>
        <v>956906501.49066591</v>
      </c>
    </row>
    <row r="76" spans="1:19" x14ac:dyDescent="0.35">
      <c r="D76" s="6"/>
      <c r="E76" s="6"/>
      <c r="F76" s="171" t="s">
        <v>222</v>
      </c>
      <c r="G76" s="2">
        <f t="shared" si="16"/>
        <v>0.14447968339195374</v>
      </c>
      <c r="H76" s="192" t="s">
        <v>254</v>
      </c>
      <c r="I76" s="5" t="s">
        <v>7</v>
      </c>
      <c r="J76" s="147" t="s">
        <v>179</v>
      </c>
      <c r="K76" s="6">
        <f>'Feedstock MIX per IVC'!J105</f>
        <v>11.366255114010404</v>
      </c>
      <c r="L76" s="2">
        <f t="shared" si="14"/>
        <v>85962801.155487746</v>
      </c>
      <c r="M76" t="s">
        <v>213</v>
      </c>
      <c r="N76" s="34">
        <v>0.1</v>
      </c>
      <c r="O76" s="2">
        <f t="shared" si="15"/>
        <v>518064377.412453</v>
      </c>
      <c r="P76" s="18" t="s">
        <v>219</v>
      </c>
      <c r="Q76" s="118">
        <v>0.3</v>
      </c>
      <c r="R76" s="2">
        <f>Q76*R$72</f>
        <v>1435359752.2359986</v>
      </c>
    </row>
    <row r="77" spans="1:19" x14ac:dyDescent="0.35">
      <c r="D77" s="6"/>
      <c r="E77" s="6"/>
      <c r="F77" s="149" t="s">
        <v>176</v>
      </c>
      <c r="G77" s="2">
        <f t="shared" si="16"/>
        <v>0.17181286426706657</v>
      </c>
      <c r="H77" s="192" t="s">
        <v>254</v>
      </c>
      <c r="I77" s="5" t="s">
        <v>8</v>
      </c>
      <c r="J77" s="147" t="s">
        <v>179</v>
      </c>
      <c r="K77" s="6">
        <f>'Feedstock MIX per IVC'!J106</f>
        <v>3.9929413152511879</v>
      </c>
      <c r="L77" s="2">
        <f t="shared" si="14"/>
        <v>30198549.730365958</v>
      </c>
      <c r="M77" t="s">
        <v>214</v>
      </c>
      <c r="N77" s="34">
        <v>0.25</v>
      </c>
      <c r="O77" s="2">
        <f t="shared" si="15"/>
        <v>1295160943.5311325</v>
      </c>
      <c r="P77" s="18" t="s">
        <v>220</v>
      </c>
      <c r="Q77" s="118">
        <v>0.1</v>
      </c>
      <c r="R77" s="2">
        <f>Q77*R$72</f>
        <v>478453250.74533296</v>
      </c>
    </row>
    <row r="78" spans="1:19" x14ac:dyDescent="0.35">
      <c r="D78" s="6"/>
      <c r="E78" s="6"/>
      <c r="F78" s="151" t="s">
        <v>77</v>
      </c>
      <c r="G78" s="2">
        <f t="shared" si="16"/>
        <v>0</v>
      </c>
      <c r="H78" s="192" t="s">
        <v>254</v>
      </c>
      <c r="I78" s="5" t="s">
        <v>9</v>
      </c>
      <c r="J78" s="171" t="s">
        <v>222</v>
      </c>
      <c r="K78" s="6">
        <f>'Feedstock MIX per IVC'!J107</f>
        <v>33.081588028681395</v>
      </c>
      <c r="L78" s="2">
        <f t="shared" si="14"/>
        <v>250195508.11524212</v>
      </c>
      <c r="M78" t="s">
        <v>216</v>
      </c>
      <c r="N78" s="34">
        <v>0.03</v>
      </c>
      <c r="O78" s="2">
        <f t="shared" si="15"/>
        <v>155419313.2237359</v>
      </c>
      <c r="Q78" s="34"/>
      <c r="R78" s="2"/>
    </row>
    <row r="79" spans="1:19" x14ac:dyDescent="0.35">
      <c r="D79" s="6"/>
      <c r="E79" s="6"/>
      <c r="F79" s="31"/>
      <c r="G79" s="2">
        <f>SUM(G73:G78)</f>
        <v>0.99999999999999989</v>
      </c>
      <c r="H79" s="192" t="s">
        <v>254</v>
      </c>
      <c r="I79" s="5" t="s">
        <v>10</v>
      </c>
      <c r="J79" s="149" t="s">
        <v>176</v>
      </c>
      <c r="K79" s="6">
        <f>'Feedstock MIX per IVC'!J108</f>
        <v>39.340080627747213</v>
      </c>
      <c r="L79" s="2">
        <f t="shared" si="14"/>
        <v>297528385.07692796</v>
      </c>
      <c r="M79" s="2"/>
      <c r="R79" s="2"/>
    </row>
    <row r="80" spans="1:19" x14ac:dyDescent="0.35">
      <c r="D80" s="6"/>
      <c r="E80" s="6"/>
      <c r="F80" s="31"/>
      <c r="G80" s="6"/>
      <c r="H80" s="192" t="s">
        <v>254</v>
      </c>
      <c r="I80" s="5" t="s">
        <v>11</v>
      </c>
      <c r="J80" s="152" t="s">
        <v>180</v>
      </c>
      <c r="K80" s="6">
        <f>'Feedstock MIX per IVC'!J109</f>
        <v>5.1758836455652197</v>
      </c>
      <c r="L80" s="2">
        <f t="shared" si="14"/>
        <v>39145123.188307203</v>
      </c>
    </row>
    <row r="81" spans="1:19" s="78" customFormat="1" x14ac:dyDescent="0.35">
      <c r="D81" s="90"/>
      <c r="E81" s="90"/>
      <c r="F81" s="213"/>
      <c r="G81" s="6"/>
      <c r="L81" s="90"/>
    </row>
    <row r="82" spans="1:19" s="78" customFormat="1" x14ac:dyDescent="0.35">
      <c r="F82" s="213"/>
      <c r="I82" s="78" t="s">
        <v>281</v>
      </c>
      <c r="L82" s="213">
        <f>SUM(L83:L88)</f>
        <v>23515362062.265873</v>
      </c>
      <c r="M82" s="78" t="s">
        <v>181</v>
      </c>
      <c r="O82" s="90">
        <f>SUM(O83:O88)</f>
        <v>23671777468.600239</v>
      </c>
      <c r="P82" s="78" t="s">
        <v>181</v>
      </c>
      <c r="R82" s="90">
        <f>SUM(R83:R87)</f>
        <v>19709306300.834183</v>
      </c>
    </row>
    <row r="83" spans="1:19" x14ac:dyDescent="0.35">
      <c r="D83" s="2"/>
      <c r="E83" s="2"/>
      <c r="G83" s="2"/>
      <c r="H83" s="6"/>
      <c r="J83" s="147" t="s">
        <v>179</v>
      </c>
      <c r="L83" s="2">
        <f t="shared" ref="L83:L88" si="17">SUMIF($J$50:$J$80, J83, $L$50:$L$80)</f>
        <v>4419167142.1009274</v>
      </c>
      <c r="M83" s="5" t="s">
        <v>211</v>
      </c>
      <c r="O83" s="2">
        <f t="shared" ref="O83:O88" si="18">SUMIF($M$50:$M$78, M83, $O$50:$O$78)</f>
        <v>1671696202.5501149</v>
      </c>
      <c r="P83" s="18" t="s">
        <v>217</v>
      </c>
      <c r="R83" s="2">
        <f>SUMIF($P$50:$P$77, P83, $R$50:$R$77)</f>
        <v>3540939917.8987999</v>
      </c>
    </row>
    <row r="84" spans="1:19" x14ac:dyDescent="0.35">
      <c r="D84" s="2"/>
      <c r="E84" s="2"/>
      <c r="G84" s="2"/>
      <c r="H84" s="6"/>
      <c r="J84" s="171" t="s">
        <v>222</v>
      </c>
      <c r="L84" s="2">
        <f t="shared" si="17"/>
        <v>500887394.28397518</v>
      </c>
      <c r="M84" t="s">
        <v>212</v>
      </c>
      <c r="O84" s="2">
        <f t="shared" si="18"/>
        <v>473435549.37200481</v>
      </c>
      <c r="P84" s="18" t="s">
        <v>177</v>
      </c>
      <c r="R84" s="2">
        <f>SUMIF($P$50:$P$77, P84, $R$50:$R$77)</f>
        <v>7850046439.0769043</v>
      </c>
    </row>
    <row r="85" spans="1:19" x14ac:dyDescent="0.35">
      <c r="D85" s="1"/>
      <c r="E85" s="1"/>
      <c r="G85" s="2"/>
      <c r="H85" s="6"/>
      <c r="J85" s="149" t="s">
        <v>176</v>
      </c>
      <c r="L85" s="2">
        <f t="shared" si="17"/>
        <v>1082849610.6524751</v>
      </c>
      <c r="M85" s="5" t="s">
        <v>210</v>
      </c>
      <c r="O85" s="2">
        <f t="shared" si="18"/>
        <v>11278656666.783415</v>
      </c>
      <c r="P85" s="18" t="s">
        <v>218</v>
      </c>
      <c r="R85" s="2">
        <f>SUMIF($P$50:$P$77, P85, $R$50:$R$77)</f>
        <v>3357317287.3931651</v>
      </c>
    </row>
    <row r="86" spans="1:19" x14ac:dyDescent="0.35">
      <c r="D86" s="1"/>
      <c r="E86" s="1"/>
      <c r="G86" s="2"/>
      <c r="H86" s="6"/>
      <c r="J86" s="150" t="s">
        <v>178</v>
      </c>
      <c r="L86" s="2">
        <f t="shared" si="17"/>
        <v>45541581.715671204</v>
      </c>
      <c r="M86" t="s">
        <v>213</v>
      </c>
      <c r="O86" s="2">
        <f t="shared" si="18"/>
        <v>2993534552.7733307</v>
      </c>
      <c r="P86" s="18" t="s">
        <v>219</v>
      </c>
      <c r="R86" s="2">
        <f>SUMIF($P$50:$P$77, P86, $R$50:$R$77)</f>
        <v>3574615999.1555691</v>
      </c>
    </row>
    <row r="87" spans="1:19" s="78" customFormat="1" x14ac:dyDescent="0.35">
      <c r="D87" s="90"/>
      <c r="E87" s="90"/>
      <c r="F87" s="213"/>
      <c r="G87" s="1"/>
      <c r="H87" s="6"/>
      <c r="J87" s="152" t="s">
        <v>180</v>
      </c>
      <c r="L87" s="2">
        <f t="shared" si="17"/>
        <v>78367908.762315273</v>
      </c>
      <c r="M87" t="s">
        <v>214</v>
      </c>
      <c r="O87" s="2">
        <f t="shared" si="18"/>
        <v>6544301173.0633669</v>
      </c>
      <c r="P87" s="18" t="s">
        <v>220</v>
      </c>
      <c r="R87" s="2">
        <f>SUMIF($P$50:$P$77, P87, $R$50:$R$77)</f>
        <v>1386386657.3097472</v>
      </c>
    </row>
    <row r="88" spans="1:19" s="78" customFormat="1" x14ac:dyDescent="0.35">
      <c r="D88" s="90"/>
      <c r="E88" s="90"/>
      <c r="F88" s="213"/>
      <c r="G88" s="1"/>
      <c r="H88" s="6"/>
      <c r="J88" s="190" t="s">
        <v>79</v>
      </c>
      <c r="L88" s="2">
        <f t="shared" si="17"/>
        <v>17388548424.750507</v>
      </c>
      <c r="M88" t="s">
        <v>216</v>
      </c>
      <c r="O88" s="2">
        <f t="shared" si="18"/>
        <v>710153324.05800724</v>
      </c>
    </row>
    <row r="89" spans="1:19" s="91" customFormat="1" ht="32.5" customHeight="1" x14ac:dyDescent="0.35">
      <c r="A89" s="91" t="s">
        <v>79</v>
      </c>
      <c r="D89" s="214"/>
      <c r="E89" s="92"/>
      <c r="F89" s="169"/>
    </row>
    <row r="90" spans="1:19" ht="16.5" customHeight="1" x14ac:dyDescent="0.35">
      <c r="C90" s="100">
        <f>C91+C101</f>
        <v>73538061676.68808</v>
      </c>
      <c r="D90" s="100">
        <f>D91+D101</f>
        <v>68.934571328778787</v>
      </c>
      <c r="E90" s="2"/>
      <c r="F90" s="31"/>
      <c r="H90" s="100">
        <f>H91+H101</f>
        <v>59308138406.217163</v>
      </c>
      <c r="L90" s="2">
        <f>L91+L101</f>
        <v>3230742568.2697806</v>
      </c>
      <c r="O90" s="2">
        <f>O91+O101</f>
        <v>37976661176.895927</v>
      </c>
      <c r="R90" s="2">
        <f>R91+R101</f>
        <v>14132496520.706337</v>
      </c>
    </row>
    <row r="91" spans="1:19" s="202" customFormat="1" x14ac:dyDescent="0.35">
      <c r="A91" s="202" t="s">
        <v>58</v>
      </c>
      <c r="B91" s="202">
        <v>1275</v>
      </c>
      <c r="C91" s="203">
        <f>B91*F91</f>
        <v>53385673542.605911</v>
      </c>
      <c r="D91" s="202">
        <f>'[3]Scenario 3 2030'!$E$14</f>
        <v>50.043724798423419</v>
      </c>
      <c r="E91" s="202">
        <f>'[1]Conversion factors selected IV '!$O$29</f>
        <v>0.83669064748201449</v>
      </c>
      <c r="F91" s="202">
        <f>D91*E91*1000000</f>
        <v>41871116.504004635</v>
      </c>
      <c r="G91" s="202">
        <f>'LCoP 2030 HIGH'!E9</f>
        <v>922.73260555459717</v>
      </c>
      <c r="H91" s="202">
        <f>G91*F91</f>
        <v>38635844429.220291</v>
      </c>
      <c r="I91" s="209">
        <f>'LCoP 2030 HIGH'!H9</f>
        <v>-1.370103794891292E-2</v>
      </c>
      <c r="L91" s="202">
        <f>I91*H91</f>
        <v>-529351170.71304303</v>
      </c>
      <c r="M91" s="209">
        <f>'LCoP 2030 HIGH'!F9</f>
        <v>0.65566123528968845</v>
      </c>
      <c r="O91" s="202">
        <f>M91*H91</f>
        <v>25332025484.922806</v>
      </c>
      <c r="P91" s="209">
        <f>'LCoP 2030 HIGH'!G9</f>
        <v>0.35803980265922453</v>
      </c>
      <c r="R91" s="202">
        <f>P91*H91</f>
        <v>13833170115.010532</v>
      </c>
      <c r="S91" s="202">
        <f>L91+O91+R91</f>
        <v>38635844429.220291</v>
      </c>
    </row>
    <row r="92" spans="1:19" x14ac:dyDescent="0.35">
      <c r="D92" s="2"/>
      <c r="E92" s="2"/>
      <c r="G92" s="150" t="s">
        <v>178</v>
      </c>
      <c r="H92" s="2">
        <f>(SUMIF($J$92:$J$100,G92,$L$92:$L$100)/$L$91)</f>
        <v>-0.33818449117792793</v>
      </c>
      <c r="I92" s="5" t="s">
        <v>19</v>
      </c>
      <c r="J92" s="147" t="s">
        <v>179</v>
      </c>
      <c r="K92" s="6">
        <f>'Feedstock MIX per IVC'!J20</f>
        <v>0.89326982561933999</v>
      </c>
      <c r="L92" s="2">
        <f t="shared" ref="L92:L100" si="19">K92*F$91</f>
        <v>37402204.938019291</v>
      </c>
      <c r="M92" s="5" t="s">
        <v>211</v>
      </c>
      <c r="N92" s="34">
        <v>0.05</v>
      </c>
      <c r="O92" s="2">
        <f t="shared" ref="O92:O97" si="20">N92*O$91</f>
        <v>1266601274.2461402</v>
      </c>
      <c r="P92" s="18" t="s">
        <v>217</v>
      </c>
      <c r="Q92" s="34">
        <v>0.2</v>
      </c>
      <c r="R92" s="2">
        <f>Q92*R$91</f>
        <v>2766634023.0021067</v>
      </c>
    </row>
    <row r="93" spans="1:19" x14ac:dyDescent="0.35">
      <c r="D93" s="2"/>
      <c r="E93" s="2"/>
      <c r="G93" s="147" t="s">
        <v>179</v>
      </c>
      <c r="H93" s="2">
        <f t="shared" ref="H93:H95" si="21">(SUMIF($J$92:$J$100,G93,$L$92:$L$100)/$L$91)</f>
        <v>-1.6999252565826104</v>
      </c>
      <c r="I93" s="5" t="s">
        <v>7</v>
      </c>
      <c r="J93" s="147" t="s">
        <v>179</v>
      </c>
      <c r="K93" s="6">
        <f>'Feedstock MIX per IVC'!J21</f>
        <v>0.85601008031509007</v>
      </c>
      <c r="L93" s="2">
        <f t="shared" si="19"/>
        <v>35842097.801475503</v>
      </c>
      <c r="M93" t="s">
        <v>212</v>
      </c>
      <c r="N93" s="34">
        <v>0.02</v>
      </c>
      <c r="O93" s="2">
        <f t="shared" si="20"/>
        <v>506640509.69845611</v>
      </c>
      <c r="P93" s="18" t="s">
        <v>177</v>
      </c>
      <c r="Q93" s="34">
        <v>0.5</v>
      </c>
      <c r="R93" s="2">
        <f>Q93*R$91</f>
        <v>6916585057.5052662</v>
      </c>
    </row>
    <row r="94" spans="1:19" x14ac:dyDescent="0.35">
      <c r="D94" s="2"/>
      <c r="E94" s="2"/>
      <c r="G94" s="152" t="s">
        <v>180</v>
      </c>
      <c r="H94" s="2">
        <f t="shared" si="21"/>
        <v>3.1655067061236375</v>
      </c>
      <c r="I94" s="5" t="s">
        <v>8</v>
      </c>
      <c r="J94" s="147" t="s">
        <v>179</v>
      </c>
      <c r="K94" s="6">
        <f>'Feedstock MIX per IVC'!J22</f>
        <v>0.60142905146453718</v>
      </c>
      <c r="L94" s="2">
        <f t="shared" si="19"/>
        <v>25182505.882764637</v>
      </c>
      <c r="M94" s="5" t="s">
        <v>210</v>
      </c>
      <c r="N94" s="34">
        <v>0.4</v>
      </c>
      <c r="O94" s="2">
        <f t="shared" si="20"/>
        <v>10132810193.969122</v>
      </c>
      <c r="P94" s="18" t="s">
        <v>218</v>
      </c>
      <c r="Q94" s="34">
        <v>0.15</v>
      </c>
      <c r="R94" s="2">
        <f>Q94*R$91</f>
        <v>2074975517.2515798</v>
      </c>
    </row>
    <row r="95" spans="1:19" x14ac:dyDescent="0.35">
      <c r="D95" s="2"/>
      <c r="E95" s="2"/>
      <c r="G95" s="239" t="s">
        <v>259</v>
      </c>
      <c r="H95" s="2">
        <f t="shared" si="21"/>
        <v>-0.12739695836309936</v>
      </c>
      <c r="I95" s="5" t="s">
        <v>20</v>
      </c>
      <c r="J95" s="150" t="s">
        <v>178</v>
      </c>
      <c r="K95" s="6">
        <f>'Feedstock MIX per IVC'!J23</f>
        <v>4.2754617327892195</v>
      </c>
      <c r="L95" s="2">
        <f t="shared" si="19"/>
        <v>179018356.32203093</v>
      </c>
      <c r="M95" t="s">
        <v>213</v>
      </c>
      <c r="N95" s="34">
        <v>0.3</v>
      </c>
      <c r="O95" s="2">
        <f t="shared" si="20"/>
        <v>7599607645.4768419</v>
      </c>
      <c r="P95" s="18" t="s">
        <v>219</v>
      </c>
      <c r="Q95" s="34">
        <v>0.1</v>
      </c>
      <c r="R95" s="2">
        <f>Q95*R$91</f>
        <v>1383317011.5010533</v>
      </c>
    </row>
    <row r="96" spans="1:19" x14ac:dyDescent="0.35">
      <c r="D96" s="2"/>
      <c r="E96" s="2"/>
      <c r="G96" s="1"/>
      <c r="H96" s="2">
        <f>SUM(H92:H95)</f>
        <v>0.99999999999999978</v>
      </c>
      <c r="I96" s="5" t="s">
        <v>4</v>
      </c>
      <c r="J96" s="147" t="s">
        <v>179</v>
      </c>
      <c r="K96" s="6">
        <f>'Feedstock MIX per IVC'!J24</f>
        <v>19.140416664021007</v>
      </c>
      <c r="L96" s="2">
        <f t="shared" si="19"/>
        <v>801430616.07441533</v>
      </c>
      <c r="M96" t="s">
        <v>214</v>
      </c>
      <c r="N96" s="34">
        <v>0.2</v>
      </c>
      <c r="O96" s="2">
        <f t="shared" si="20"/>
        <v>5066405096.984561</v>
      </c>
      <c r="P96" s="18" t="s">
        <v>220</v>
      </c>
      <c r="Q96" s="34">
        <v>0.05</v>
      </c>
      <c r="R96" s="2">
        <f>Q96*R$91</f>
        <v>691658505.75052667</v>
      </c>
    </row>
    <row r="97" spans="1:18" x14ac:dyDescent="0.35">
      <c r="D97" s="2"/>
      <c r="E97" s="2"/>
      <c r="G97" s="1"/>
      <c r="I97" s="5" t="s">
        <v>21</v>
      </c>
      <c r="J97" s="147" t="s">
        <v>179</v>
      </c>
      <c r="K97" s="6">
        <f>'Feedstock MIX per IVC'!J25</f>
        <v>0</v>
      </c>
      <c r="L97" s="2">
        <f t="shared" si="19"/>
        <v>0</v>
      </c>
      <c r="M97" t="s">
        <v>216</v>
      </c>
      <c r="N97" s="34">
        <v>0.03</v>
      </c>
      <c r="O97" s="2">
        <f t="shared" si="20"/>
        <v>759960764.54768419</v>
      </c>
      <c r="R97" s="2"/>
    </row>
    <row r="98" spans="1:18" x14ac:dyDescent="0.35">
      <c r="D98" s="2"/>
      <c r="E98" s="2"/>
      <c r="G98" s="2"/>
      <c r="I98" s="5" t="s">
        <v>22</v>
      </c>
      <c r="J98" s="152" t="s">
        <v>180</v>
      </c>
      <c r="K98" s="6">
        <f>'Feedstock MIX per IVC'!J26</f>
        <v>0</v>
      </c>
      <c r="L98" s="2">
        <f t="shared" si="19"/>
        <v>0</v>
      </c>
      <c r="N98" s="34">
        <f>SUM(N92:N97)</f>
        <v>1</v>
      </c>
      <c r="O98" s="2"/>
    </row>
    <row r="99" spans="1:18" x14ac:dyDescent="0.35">
      <c r="D99" s="2"/>
      <c r="E99" s="2"/>
      <c r="G99" s="2"/>
      <c r="I99" s="12" t="s">
        <v>23</v>
      </c>
      <c r="J99" s="152" t="s">
        <v>180</v>
      </c>
      <c r="K99" s="6">
        <f>'Feedstock MIX per IVC'!J27</f>
        <v>-40.019584398382889</v>
      </c>
      <c r="L99" s="2">
        <f t="shared" si="19"/>
        <v>-1675664680.7865362</v>
      </c>
      <c r="M99" s="2"/>
    </row>
    <row r="100" spans="1:18" s="78" customFormat="1" x14ac:dyDescent="0.35">
      <c r="D100" s="93"/>
      <c r="E100" s="93"/>
      <c r="F100" s="213"/>
      <c r="G100" s="220"/>
      <c r="I100" s="13" t="s">
        <v>24</v>
      </c>
      <c r="J100" s="239" t="s">
        <v>259</v>
      </c>
      <c r="K100" s="6">
        <f>'Feedstock MIX per IVC'!J28</f>
        <v>1.6106025987708632</v>
      </c>
      <c r="L100" s="2">
        <f t="shared" si="19"/>
        <v>67437729.054787442</v>
      </c>
    </row>
    <row r="101" spans="1:18" s="202" customFormat="1" x14ac:dyDescent="0.35">
      <c r="A101" s="202" t="s">
        <v>59</v>
      </c>
      <c r="B101" s="202">
        <v>1275</v>
      </c>
      <c r="C101" s="203">
        <f>B101*F101</f>
        <v>20152388134.082165</v>
      </c>
      <c r="D101" s="202">
        <f>'[3]Scenario 3 2030'!$G$16</f>
        <v>18.890846530355372</v>
      </c>
      <c r="E101" s="202">
        <f>'[1]Conversion factors selected IV '!$O$52</f>
        <v>0.83669064748201449</v>
      </c>
      <c r="F101" s="202">
        <f>D101*E101*1000000</f>
        <v>15805794.614966404</v>
      </c>
      <c r="G101" s="202">
        <f>'LCoP 2030 HIGH'!E13</f>
        <v>1307.8933695255294</v>
      </c>
      <c r="H101" s="202">
        <f>G101*F101</f>
        <v>20672293976.996876</v>
      </c>
      <c r="I101" s="209">
        <f>'LCoP 2030 HIGH'!H13</f>
        <v>0.18189049280969366</v>
      </c>
      <c r="L101" s="202">
        <f>I101*H101</f>
        <v>3760093738.9828238</v>
      </c>
      <c r="M101" s="209">
        <f>'LCoP 2030 HIGH'!F13</f>
        <v>0.61167065958153743</v>
      </c>
      <c r="O101" s="202">
        <f>M101*H101</f>
        <v>12644635691.973124</v>
      </c>
      <c r="P101" s="209">
        <f>'LCoP 2030 HIGH'!G13</f>
        <v>0.20643884760876888</v>
      </c>
      <c r="R101" s="202">
        <v>299326405.695804</v>
      </c>
    </row>
    <row r="102" spans="1:18" s="78" customFormat="1" x14ac:dyDescent="0.35">
      <c r="D102" s="93"/>
      <c r="E102" s="93"/>
      <c r="F102" s="213"/>
      <c r="G102" s="152" t="s">
        <v>180</v>
      </c>
      <c r="H102" s="2">
        <f>(SUMIF($J$102:$J$111,G102,$L$102:$L$111)/$L$101)</f>
        <v>2.4285991329623693E-2</v>
      </c>
      <c r="I102" s="5" t="s">
        <v>4</v>
      </c>
      <c r="J102" s="147" t="s">
        <v>179</v>
      </c>
      <c r="K102" s="212">
        <f>'Feedstock MIX per IVC'!J45</f>
        <v>131.94870032235852</v>
      </c>
      <c r="L102" s="2">
        <f t="shared" ref="L102:L111" si="22">K102*F$101</f>
        <v>2085554057.0069501</v>
      </c>
      <c r="M102" s="5" t="s">
        <v>211</v>
      </c>
      <c r="N102" s="34">
        <v>0</v>
      </c>
      <c r="O102" s="2">
        <f t="shared" ref="O102:O107" si="23">N102*O$101</f>
        <v>0</v>
      </c>
      <c r="P102" s="18" t="s">
        <v>217</v>
      </c>
      <c r="Q102" s="34">
        <v>0.25</v>
      </c>
      <c r="R102" s="102">
        <f>Q102*R$101</f>
        <v>74831601.423951</v>
      </c>
    </row>
    <row r="103" spans="1:18" s="78" customFormat="1" x14ac:dyDescent="0.35">
      <c r="D103" s="93"/>
      <c r="E103" s="93"/>
      <c r="F103" s="213"/>
      <c r="G103" s="150" t="s">
        <v>178</v>
      </c>
      <c r="H103" s="2">
        <f t="shared" ref="H103:H107" si="24">(SUMIF($J$102:$J$111,G103,$L$102:$L$111)/$L$101)</f>
        <v>1.3128563940910873E-2</v>
      </c>
      <c r="I103" s="5" t="s">
        <v>5</v>
      </c>
      <c r="J103" s="147" t="s">
        <v>179</v>
      </c>
      <c r="K103" s="212">
        <f>'Feedstock MIX per IVC'!J46</f>
        <v>6.1584666021445331</v>
      </c>
      <c r="L103" s="2">
        <f t="shared" si="22"/>
        <v>97339458.256626502</v>
      </c>
      <c r="M103" t="s">
        <v>212</v>
      </c>
      <c r="N103" s="34">
        <v>0.02</v>
      </c>
      <c r="O103" s="2">
        <f t="shared" si="23"/>
        <v>252892713.83946249</v>
      </c>
      <c r="P103" s="18" t="s">
        <v>177</v>
      </c>
      <c r="Q103" s="34">
        <v>0.15</v>
      </c>
      <c r="R103" s="102">
        <f>Q103*R$101</f>
        <v>44898960.854370601</v>
      </c>
    </row>
    <row r="104" spans="1:18" s="78" customFormat="1" x14ac:dyDescent="0.35">
      <c r="D104" s="93"/>
      <c r="E104" s="93"/>
      <c r="F104" s="213"/>
      <c r="G104" s="147" t="s">
        <v>179</v>
      </c>
      <c r="H104" s="2">
        <f t="shared" si="24"/>
        <v>0.6227762740063022</v>
      </c>
      <c r="I104" s="5" t="s">
        <v>22</v>
      </c>
      <c r="J104" s="152" t="s">
        <v>180</v>
      </c>
      <c r="K104" s="212">
        <f>'Feedstock MIX per IVC'!J47</f>
        <v>0</v>
      </c>
      <c r="L104" s="2">
        <f t="shared" si="22"/>
        <v>0</v>
      </c>
      <c r="M104" s="5" t="s">
        <v>210</v>
      </c>
      <c r="N104" s="34">
        <v>0.55000000000000004</v>
      </c>
      <c r="O104" s="2">
        <f t="shared" si="23"/>
        <v>6954549630.5852184</v>
      </c>
      <c r="P104" s="18" t="s">
        <v>218</v>
      </c>
      <c r="Q104" s="34">
        <v>0.3</v>
      </c>
      <c r="R104" s="102">
        <f>Q104*R$101</f>
        <v>89797921.708741203</v>
      </c>
    </row>
    <row r="105" spans="1:18" s="78" customFormat="1" x14ac:dyDescent="0.35">
      <c r="D105" s="93"/>
      <c r="E105" s="93"/>
      <c r="F105" s="213"/>
      <c r="G105" s="171" t="s">
        <v>222</v>
      </c>
      <c r="H105" s="2">
        <f t="shared" si="24"/>
        <v>0.13461651697916679</v>
      </c>
      <c r="I105" s="5" t="s">
        <v>6</v>
      </c>
      <c r="J105" s="150" t="s">
        <v>178</v>
      </c>
      <c r="K105" s="212">
        <f>'Feedstock MIX per IVC'!J48</f>
        <v>3.1231983129346497</v>
      </c>
      <c r="L105" s="2">
        <f t="shared" si="22"/>
        <v>49364631.07605464</v>
      </c>
      <c r="M105" t="s">
        <v>213</v>
      </c>
      <c r="N105" s="34">
        <v>0.1</v>
      </c>
      <c r="O105" s="2">
        <f t="shared" si="23"/>
        <v>1264463569.1973124</v>
      </c>
      <c r="P105" s="18" t="s">
        <v>219</v>
      </c>
      <c r="Q105" s="34">
        <v>0.3</v>
      </c>
      <c r="R105" s="102">
        <f>Q105*R$101</f>
        <v>89797921.708741203</v>
      </c>
    </row>
    <row r="106" spans="1:18" s="78" customFormat="1" x14ac:dyDescent="0.35">
      <c r="D106" s="93"/>
      <c r="E106" s="93"/>
      <c r="F106" s="213"/>
      <c r="G106" s="149" t="s">
        <v>176</v>
      </c>
      <c r="H106" s="2">
        <f t="shared" si="24"/>
        <v>0.15544364025355681</v>
      </c>
      <c r="I106" s="5" t="s">
        <v>7</v>
      </c>
      <c r="J106" s="147" t="s">
        <v>179</v>
      </c>
      <c r="K106" s="212">
        <f>'Feedstock MIX per IVC'!J49</f>
        <v>5.9010950254144312</v>
      </c>
      <c r="L106" s="2">
        <f t="shared" si="22"/>
        <v>93271495.975100443</v>
      </c>
      <c r="M106" t="s">
        <v>214</v>
      </c>
      <c r="N106" s="34">
        <v>0.3</v>
      </c>
      <c r="O106" s="2">
        <f t="shared" si="23"/>
        <v>3793390707.5919371</v>
      </c>
      <c r="P106" s="18" t="s">
        <v>220</v>
      </c>
      <c r="Q106" s="223">
        <v>0</v>
      </c>
      <c r="R106" s="102">
        <f>Q106*R$101</f>
        <v>0</v>
      </c>
    </row>
    <row r="107" spans="1:18" s="78" customFormat="1" x14ac:dyDescent="0.35">
      <c r="D107" s="93"/>
      <c r="E107" s="93"/>
      <c r="F107" s="213"/>
      <c r="G107" s="151" t="s">
        <v>77</v>
      </c>
      <c r="H107" s="2">
        <f t="shared" si="24"/>
        <v>4.9749013490439746E-2</v>
      </c>
      <c r="I107" s="5" t="s">
        <v>8</v>
      </c>
      <c r="J107" s="147" t="s">
        <v>179</v>
      </c>
      <c r="K107" s="212">
        <f>'Feedstock MIX per IVC'!J50</f>
        <v>4.1460843339960558</v>
      </c>
      <c r="L107" s="2">
        <f t="shared" si="22"/>
        <v>65532157.439471424</v>
      </c>
      <c r="M107" t="s">
        <v>216</v>
      </c>
      <c r="N107" s="34">
        <v>0.03</v>
      </c>
      <c r="O107" s="2">
        <f t="shared" si="23"/>
        <v>379339070.75919372</v>
      </c>
      <c r="P107"/>
      <c r="Q107"/>
      <c r="R107" s="102"/>
    </row>
    <row r="108" spans="1:18" s="78" customFormat="1" x14ac:dyDescent="0.35">
      <c r="D108" s="93"/>
      <c r="E108" s="93"/>
      <c r="F108" s="213"/>
      <c r="G108" s="220"/>
      <c r="I108" s="5" t="s">
        <v>9</v>
      </c>
      <c r="J108" s="171" t="s">
        <v>222</v>
      </c>
      <c r="K108" s="212">
        <f>'Feedstock MIX per IVC'!J51</f>
        <v>32.024376817964615</v>
      </c>
      <c r="L108" s="2">
        <f t="shared" si="22"/>
        <v>506170722.65704006</v>
      </c>
      <c r="M108"/>
      <c r="N108" s="118"/>
      <c r="O108" s="2"/>
      <c r="P108" s="18"/>
      <c r="Q108" s="118"/>
      <c r="R108" s="2"/>
    </row>
    <row r="109" spans="1:18" s="78" customFormat="1" x14ac:dyDescent="0.35">
      <c r="D109" s="93"/>
      <c r="E109" s="93"/>
      <c r="F109" s="213"/>
      <c r="G109" s="220"/>
      <c r="H109" s="2">
        <f>SUM(H102:H107)</f>
        <v>1.0000000000000002</v>
      </c>
      <c r="I109" s="5" t="s">
        <v>10</v>
      </c>
      <c r="J109" s="149" t="s">
        <v>176</v>
      </c>
      <c r="K109" s="212">
        <f>'Feedstock MIX per IVC'!J52</f>
        <v>36.979011351232828</v>
      </c>
      <c r="L109" s="2">
        <f t="shared" si="22"/>
        <v>584482658.48209739</v>
      </c>
    </row>
    <row r="110" spans="1:18" s="78" customFormat="1" x14ac:dyDescent="0.35">
      <c r="D110" s="93"/>
      <c r="E110" s="93"/>
      <c r="F110" s="213"/>
      <c r="G110" s="220"/>
      <c r="I110" s="5" t="s">
        <v>11</v>
      </c>
      <c r="J110" s="152" t="s">
        <v>180</v>
      </c>
      <c r="K110" s="212">
        <f>'Feedstock MIX per IVC'!J53</f>
        <v>5.7774763096719699</v>
      </c>
      <c r="L110" s="2">
        <f t="shared" si="22"/>
        <v>91317603.943509191</v>
      </c>
    </row>
    <row r="111" spans="1:18" s="78" customFormat="1" x14ac:dyDescent="0.35">
      <c r="D111" s="93"/>
      <c r="E111" s="93"/>
      <c r="F111" s="213"/>
      <c r="G111" s="220"/>
      <c r="I111" s="235" t="s">
        <v>32</v>
      </c>
      <c r="J111" s="151" t="s">
        <v>77</v>
      </c>
      <c r="K111" s="212">
        <f>'Feedstock MIX per IVC'!J54</f>
        <v>11.834960449811724</v>
      </c>
      <c r="L111" s="2">
        <f t="shared" si="22"/>
        <v>187060954.14597452</v>
      </c>
    </row>
    <row r="112" spans="1:18" s="78" customFormat="1" x14ac:dyDescent="0.35">
      <c r="D112" s="93"/>
      <c r="E112" s="93"/>
      <c r="F112" s="213"/>
      <c r="G112" s="220"/>
      <c r="I112" s="14"/>
      <c r="K112" s="6"/>
      <c r="L112" s="2"/>
    </row>
    <row r="113" spans="1:19" s="78" customFormat="1" x14ac:dyDescent="0.35">
      <c r="D113" s="93"/>
      <c r="E113" s="93"/>
      <c r="F113" s="213"/>
      <c r="G113" s="220"/>
      <c r="I113" s="14" t="s">
        <v>181</v>
      </c>
      <c r="K113" s="6"/>
      <c r="L113" s="2">
        <f>SUM(L114:L120)</f>
        <v>3230742568.2697816</v>
      </c>
      <c r="O113" s="2">
        <f>SUM(O114:O120)</f>
        <v>37976661176.895927</v>
      </c>
      <c r="R113" s="2">
        <f>SUM(R114:R120)</f>
        <v>14132496520.706337</v>
      </c>
    </row>
    <row r="114" spans="1:19" s="78" customFormat="1" x14ac:dyDescent="0.35">
      <c r="D114" s="93"/>
      <c r="E114" s="93"/>
      <c r="F114" s="213"/>
      <c r="G114" s="220"/>
      <c r="J114" s="150" t="s">
        <v>178</v>
      </c>
      <c r="K114" s="6"/>
      <c r="L114" s="2">
        <f t="shared" ref="L114:L120" si="25">SUMIF($J$92:$J$111, J114, $L$92:$L$111)</f>
        <v>228382987.39808556</v>
      </c>
      <c r="M114" s="5" t="s">
        <v>211</v>
      </c>
      <c r="O114" s="2">
        <f t="shared" ref="O114:O120" si="26">SUMIF(M92:M107,M114,O92:O107)</f>
        <v>1266601274.2461402</v>
      </c>
      <c r="P114" s="18" t="s">
        <v>217</v>
      </c>
      <c r="R114">
        <f>SUMIF($P$92:$P$106, P114, $R$92:$R$106)</f>
        <v>2841465624.4260578</v>
      </c>
    </row>
    <row r="115" spans="1:19" s="78" customFormat="1" x14ac:dyDescent="0.35">
      <c r="D115" s="93"/>
      <c r="E115" s="93"/>
      <c r="F115" s="213"/>
      <c r="G115" s="220"/>
      <c r="I115" s="14"/>
      <c r="J115" s="147" t="s">
        <v>179</v>
      </c>
      <c r="K115" s="6"/>
      <c r="L115" s="2">
        <f t="shared" si="25"/>
        <v>3241554593.3748231</v>
      </c>
      <c r="M115" t="s">
        <v>212</v>
      </c>
      <c r="O115" s="2">
        <f t="shared" si="26"/>
        <v>759533223.53791857</v>
      </c>
      <c r="P115" s="18" t="s">
        <v>177</v>
      </c>
      <c r="R115">
        <f>SUMIF($P$92:$P$106, P115, $R$92:$R$106)</f>
        <v>6961484018.3596373</v>
      </c>
    </row>
    <row r="116" spans="1:19" s="78" customFormat="1" x14ac:dyDescent="0.35">
      <c r="D116" s="93"/>
      <c r="E116" s="93"/>
      <c r="F116" s="213"/>
      <c r="G116" s="220"/>
      <c r="I116" s="14"/>
      <c r="J116" s="171" t="s">
        <v>222</v>
      </c>
      <c r="K116" s="6"/>
      <c r="L116" s="2">
        <f t="shared" si="25"/>
        <v>506170722.65704006</v>
      </c>
      <c r="M116" s="5" t="s">
        <v>210</v>
      </c>
      <c r="O116" s="2">
        <f t="shared" si="26"/>
        <v>17087359824.55434</v>
      </c>
      <c r="P116" s="18" t="s">
        <v>218</v>
      </c>
      <c r="R116">
        <f>SUMIF($P$92:$P$106, P116, $R$92:$R$106)</f>
        <v>2164773438.9603209</v>
      </c>
    </row>
    <row r="117" spans="1:19" s="78" customFormat="1" x14ac:dyDescent="0.35">
      <c r="D117" s="93"/>
      <c r="E117" s="93"/>
      <c r="F117" s="213"/>
      <c r="G117" s="220"/>
      <c r="I117" s="14"/>
      <c r="J117" s="149" t="s">
        <v>176</v>
      </c>
      <c r="K117" s="6"/>
      <c r="L117" s="2">
        <f t="shared" si="25"/>
        <v>584482658.48209739</v>
      </c>
      <c r="M117" t="s">
        <v>213</v>
      </c>
      <c r="O117" s="2">
        <f t="shared" si="26"/>
        <v>8864071214.6741543</v>
      </c>
      <c r="P117" s="18" t="s">
        <v>219</v>
      </c>
      <c r="R117">
        <f>SUMIF($P$92:$P$106, P117, $R$92:$R$106)</f>
        <v>1473114933.2097945</v>
      </c>
    </row>
    <row r="118" spans="1:19" s="78" customFormat="1" x14ac:dyDescent="0.35">
      <c r="D118" s="93"/>
      <c r="E118" s="93"/>
      <c r="F118" s="213"/>
      <c r="G118" s="220"/>
      <c r="I118" s="14"/>
      <c r="J118" s="152" t="s">
        <v>180</v>
      </c>
      <c r="K118" s="6"/>
      <c r="L118" s="2">
        <f t="shared" si="25"/>
        <v>-1584347076.8430271</v>
      </c>
      <c r="M118" t="s">
        <v>214</v>
      </c>
      <c r="O118" s="2">
        <f t="shared" si="26"/>
        <v>8859795804.576498</v>
      </c>
      <c r="P118" s="18" t="s">
        <v>220</v>
      </c>
      <c r="R118">
        <f>SUMIF($P$92:$P$106, P118, $R$92:$R$106)</f>
        <v>691658505.75052667</v>
      </c>
    </row>
    <row r="119" spans="1:19" s="78" customFormat="1" x14ac:dyDescent="0.35">
      <c r="D119" s="93"/>
      <c r="E119" s="93"/>
      <c r="F119" s="213"/>
      <c r="G119" s="220"/>
      <c r="I119" s="14"/>
      <c r="J119" s="151" t="s">
        <v>77</v>
      </c>
      <c r="K119" s="6"/>
      <c r="L119" s="2">
        <f t="shared" si="25"/>
        <v>187060954.14597452</v>
      </c>
      <c r="M119" t="s">
        <v>216</v>
      </c>
      <c r="O119" s="2">
        <f t="shared" si="26"/>
        <v>1139299835.3068779</v>
      </c>
      <c r="R119">
        <f>SUMIF(P97:P111, P119, R97:R111)</f>
        <v>0</v>
      </c>
    </row>
    <row r="120" spans="1:19" s="78" customFormat="1" x14ac:dyDescent="0.35">
      <c r="D120" s="93"/>
      <c r="E120" s="93"/>
      <c r="F120" s="213"/>
      <c r="G120" s="220"/>
      <c r="I120" s="14"/>
      <c r="J120" s="239" t="s">
        <v>259</v>
      </c>
      <c r="K120" s="6"/>
      <c r="L120" s="2">
        <f t="shared" si="25"/>
        <v>67437729.054787442</v>
      </c>
      <c r="O120" s="2">
        <f t="shared" si="26"/>
        <v>0</v>
      </c>
    </row>
    <row r="121" spans="1:19" s="78" customFormat="1" x14ac:dyDescent="0.35">
      <c r="D121" s="93"/>
      <c r="E121" s="93"/>
      <c r="F121" s="213"/>
      <c r="G121" s="220"/>
      <c r="I121" s="14"/>
      <c r="K121" s="6"/>
    </row>
    <row r="122" spans="1:19" s="91" customFormat="1" ht="26" customHeight="1" x14ac:dyDescent="0.35">
      <c r="A122" s="91" t="s">
        <v>80</v>
      </c>
      <c r="D122" s="92"/>
      <c r="E122" s="92"/>
      <c r="F122" s="169"/>
      <c r="I122" s="94"/>
    </row>
    <row r="123" spans="1:19" ht="16" customHeight="1" x14ac:dyDescent="0.35">
      <c r="C123" s="2">
        <f>C124+C131</f>
        <v>16338637286.223566</v>
      </c>
      <c r="D123" s="2">
        <f>D124+D131+D138</f>
        <v>7.0505843827259946</v>
      </c>
      <c r="E123" s="2"/>
      <c r="F123" s="31"/>
      <c r="H123" s="2">
        <f>H124+H131</f>
        <v>17105754213.96839</v>
      </c>
      <c r="I123" s="6"/>
      <c r="L123" s="2">
        <f>SUM(L124+L131+L138)</f>
        <v>7775898932.9163179</v>
      </c>
      <c r="O123" s="2">
        <f>SUM(O124+O131+O138)</f>
        <v>4789208551.182025</v>
      </c>
      <c r="R123" s="2">
        <f>SUM(R124+R131+R138)</f>
        <v>408066726.57250381</v>
      </c>
    </row>
    <row r="124" spans="1:19" s="202" customFormat="1" x14ac:dyDescent="0.35">
      <c r="A124" s="202" t="s">
        <v>74</v>
      </c>
      <c r="B124" s="202">
        <v>2380</v>
      </c>
      <c r="C124" s="203">
        <f>B124*F124</f>
        <v>2287865275.0119176</v>
      </c>
      <c r="D124" s="202">
        <f>'[3]Scenario 3 2030'!$E$29</f>
        <v>0.98727861419515794</v>
      </c>
      <c r="E124" s="202">
        <f>'[1]Conversion factors selected IV '!$O$78</f>
        <v>0.97367441860465131</v>
      </c>
      <c r="F124" s="202">
        <f>D124*E124*1000000</f>
        <v>961287.93067727622</v>
      </c>
      <c r="G124" s="202">
        <f>'LCoP 2030 HIGH'!E4</f>
        <v>2356.1028145761193</v>
      </c>
      <c r="H124" s="202">
        <f>G124*F124</f>
        <v>2264893199.0867839</v>
      </c>
      <c r="I124" s="209">
        <f>'LCoP 2030 HIGH'!H4</f>
        <v>0.66024402880567168</v>
      </c>
      <c r="K124" s="202">
        <f>I124*G124</f>
        <v>1555.6028145761195</v>
      </c>
      <c r="L124" s="202">
        <f>I124*H124</f>
        <v>1495382210.5796244</v>
      </c>
      <c r="M124" s="209">
        <f>'LCoP 2030 HIGH'!F4</f>
        <v>0.15958556548290753</v>
      </c>
      <c r="O124" s="202">
        <f>M124*H124</f>
        <v>361444261.9346559</v>
      </c>
      <c r="P124" s="209">
        <f>'LCoP 2030 HIGH'!G4</f>
        <v>0.18017040571142087</v>
      </c>
      <c r="R124" s="202">
        <f>P124*H124</f>
        <v>408066726.57250381</v>
      </c>
      <c r="S124" s="202">
        <f>SUM(L124,O124,R124)</f>
        <v>2264893199.0867844</v>
      </c>
    </row>
    <row r="125" spans="1:19" x14ac:dyDescent="0.35">
      <c r="D125" s="2"/>
      <c r="E125" s="2"/>
      <c r="G125" s="147" t="s">
        <v>179</v>
      </c>
      <c r="H125" s="276">
        <f>(SUMIF($J$125:$J$128,G125,$L$125:$L$128)/$L$124)</f>
        <v>0.43090742752002331</v>
      </c>
      <c r="I125" s="4" t="s">
        <v>1</v>
      </c>
      <c r="J125" s="147" t="s">
        <v>179</v>
      </c>
      <c r="K125" s="6">
        <f>'Feedstock MIX per IVC'!J9</f>
        <v>499.57299247876324</v>
      </c>
      <c r="L125" s="2">
        <f>K125*F$124</f>
        <v>480233488.16216481</v>
      </c>
      <c r="M125" s="5" t="s">
        <v>210</v>
      </c>
      <c r="N125" s="118">
        <v>0.45</v>
      </c>
      <c r="O125" s="2">
        <f t="shared" ref="O125:O130" si="27">N125*$O$124</f>
        <v>162649917.87059516</v>
      </c>
      <c r="P125" s="18" t="s">
        <v>217</v>
      </c>
      <c r="Q125" s="118">
        <v>0.35</v>
      </c>
      <c r="R125" s="2">
        <f t="shared" ref="R125:R130" si="28">Q125*$R$124</f>
        <v>142823354.30037633</v>
      </c>
    </row>
    <row r="126" spans="1:19" x14ac:dyDescent="0.35">
      <c r="D126" s="2"/>
      <c r="E126" s="2"/>
      <c r="G126" s="151" t="s">
        <v>77</v>
      </c>
      <c r="H126" s="276">
        <f>(SUMIF($J$125:$J$128,G126,$L$125:$L$128)/$L$124)/2</f>
        <v>0.24186434330399012</v>
      </c>
      <c r="I126" s="215" t="s">
        <v>132</v>
      </c>
      <c r="J126" s="147" t="s">
        <v>179</v>
      </c>
      <c r="K126" s="6">
        <f>'Feedstock MIX per IVC'!J10</f>
        <v>170.74781459314019</v>
      </c>
      <c r="L126" s="2">
        <f>K126*F$124</f>
        <v>164137813.35790697</v>
      </c>
      <c r="M126" t="s">
        <v>213</v>
      </c>
      <c r="N126" s="118">
        <v>0.15</v>
      </c>
      <c r="O126" s="2">
        <f t="shared" si="27"/>
        <v>54216639.290198386</v>
      </c>
      <c r="P126" s="18" t="s">
        <v>177</v>
      </c>
      <c r="Q126" s="118">
        <v>0.25</v>
      </c>
      <c r="R126" s="2">
        <f t="shared" si="28"/>
        <v>102016681.64312595</v>
      </c>
    </row>
    <row r="127" spans="1:19" x14ac:dyDescent="0.35">
      <c r="D127" s="2"/>
      <c r="E127" s="2"/>
      <c r="G127" s="239" t="s">
        <v>259</v>
      </c>
      <c r="H127" s="276">
        <f t="shared" ref="H127" si="29">(SUMIF($J$125:$J$128,G127,$L$125:$L$128)/$L$124)</f>
        <v>8.5363885871996517E-2</v>
      </c>
      <c r="I127" s="216" t="s">
        <v>300</v>
      </c>
      <c r="J127" s="151" t="s">
        <v>77</v>
      </c>
      <c r="K127" s="6">
        <f>'Feedstock MIX per IVC'!J11*0.85</f>
        <v>752.48970637858361</v>
      </c>
      <c r="L127" s="2">
        <f>K127*F$124</f>
        <v>723359272.70061982</v>
      </c>
      <c r="M127" s="5" t="s">
        <v>214</v>
      </c>
      <c r="N127" s="118">
        <v>0.3</v>
      </c>
      <c r="O127" s="2">
        <f t="shared" si="27"/>
        <v>108433278.58039677</v>
      </c>
      <c r="P127" s="18" t="s">
        <v>218</v>
      </c>
      <c r="Q127" s="118">
        <v>0.2</v>
      </c>
      <c r="R127" s="2">
        <f t="shared" si="28"/>
        <v>81613345.314500764</v>
      </c>
    </row>
    <row r="128" spans="1:19" x14ac:dyDescent="0.35">
      <c r="D128" s="2"/>
      <c r="E128" s="2"/>
      <c r="G128" s="2" t="s">
        <v>377</v>
      </c>
      <c r="H128" s="276">
        <f>H126</f>
        <v>0.24186434330399012</v>
      </c>
      <c r="I128" s="217" t="s">
        <v>301</v>
      </c>
      <c r="J128" s="239" t="s">
        <v>259</v>
      </c>
      <c r="K128" s="6">
        <f>'Feedstock MIX per IVC'!J11*0.15</f>
        <v>132.79230112563241</v>
      </c>
      <c r="L128" s="2">
        <f>K128*F$124</f>
        <v>127651636.35893291</v>
      </c>
      <c r="M128" t="s">
        <v>211</v>
      </c>
      <c r="N128" s="118">
        <v>0.05</v>
      </c>
      <c r="O128" s="2">
        <f t="shared" si="27"/>
        <v>18072213.096732795</v>
      </c>
      <c r="P128" s="18" t="s">
        <v>219</v>
      </c>
      <c r="Q128" s="118">
        <v>0.15</v>
      </c>
      <c r="R128" s="2">
        <f t="shared" si="28"/>
        <v>61210008.985875569</v>
      </c>
    </row>
    <row r="129" spans="1:18" x14ac:dyDescent="0.35">
      <c r="D129" s="2"/>
      <c r="E129" s="2"/>
      <c r="G129" s="2"/>
      <c r="H129" s="2">
        <f>SUM(H125:H128)</f>
        <v>1</v>
      </c>
      <c r="L129" s="2"/>
      <c r="M129" t="s">
        <v>216</v>
      </c>
      <c r="N129" s="118">
        <v>0.03</v>
      </c>
      <c r="O129" s="2">
        <f t="shared" si="27"/>
        <v>10843327.858039677</v>
      </c>
      <c r="P129" s="102" t="s">
        <v>220</v>
      </c>
      <c r="Q129" s="118">
        <v>0.05</v>
      </c>
      <c r="R129" s="2">
        <f t="shared" si="28"/>
        <v>20403336.328625191</v>
      </c>
    </row>
    <row r="130" spans="1:18" x14ac:dyDescent="0.35">
      <c r="D130" s="2"/>
      <c r="E130" s="2"/>
      <c r="G130" s="2"/>
      <c r="L130" s="2">
        <f>SUM(L125:L128)</f>
        <v>1495382210.5796247</v>
      </c>
      <c r="M130" t="s">
        <v>212</v>
      </c>
      <c r="N130" s="118">
        <v>0.02</v>
      </c>
      <c r="O130" s="2">
        <f t="shared" si="27"/>
        <v>7228885.2386931181</v>
      </c>
      <c r="P130" t="s">
        <v>262</v>
      </c>
      <c r="Q130" s="118">
        <v>0</v>
      </c>
      <c r="R130" s="2">
        <f t="shared" si="28"/>
        <v>0</v>
      </c>
    </row>
    <row r="131" spans="1:18" s="202" customFormat="1" x14ac:dyDescent="0.35">
      <c r="A131" s="202" t="s">
        <v>88</v>
      </c>
      <c r="B131" s="202">
        <v>2380</v>
      </c>
      <c r="C131" s="203">
        <f>B131*F131</f>
        <v>14050772011.211649</v>
      </c>
      <c r="D131" s="202">
        <f>'[3]Scenario 3 2030'!$E$30</f>
        <v>6.0633057685308369</v>
      </c>
      <c r="E131" s="202">
        <f>'[1]Conversion factors selected IV '!$O$27</f>
        <v>0.97367441860465131</v>
      </c>
      <c r="F131" s="202">
        <f>D131*E131*1000000</f>
        <v>5903685.7189964913</v>
      </c>
      <c r="G131" s="231">
        <f>'LCoP 2030 HIGH'!E6</f>
        <v>2513.8297872340427</v>
      </c>
      <c r="H131" s="202">
        <f>G131*F131</f>
        <v>14840861014.881605</v>
      </c>
      <c r="I131" s="202">
        <f>'LCoP 2030 HIGH'!H6</f>
        <v>0.42319085907744397</v>
      </c>
      <c r="K131" s="202">
        <f>I131*G131</f>
        <v>1063.8297872340427</v>
      </c>
      <c r="L131" s="202">
        <f>I131*H131</f>
        <v>6280516722.3366938</v>
      </c>
      <c r="M131" s="202">
        <f>'LCoP 2030 HIGH'!F6</f>
        <v>0.29834955564959798</v>
      </c>
      <c r="O131" s="202">
        <f>M131*H131</f>
        <v>4427764289.2473688</v>
      </c>
      <c r="P131" s="202">
        <f>'LCoP 2030 HIGH'!G6</f>
        <v>0.27845958527295811</v>
      </c>
    </row>
    <row r="132" spans="1:18" x14ac:dyDescent="0.35">
      <c r="D132" s="2"/>
      <c r="E132" s="2"/>
      <c r="G132" s="2"/>
      <c r="I132" s="8" t="s">
        <v>16</v>
      </c>
      <c r="J132" s="241" t="s">
        <v>81</v>
      </c>
      <c r="L132" s="2"/>
      <c r="M132" s="5" t="s">
        <v>211</v>
      </c>
      <c r="N132" s="34">
        <v>0</v>
      </c>
      <c r="O132" s="2">
        <f t="shared" ref="O132:O137" si="30">N132*$O$131</f>
        <v>0</v>
      </c>
      <c r="P132" s="18" t="s">
        <v>217</v>
      </c>
      <c r="Q132" s="34">
        <v>0.2</v>
      </c>
    </row>
    <row r="133" spans="1:18" x14ac:dyDescent="0.35">
      <c r="D133" s="2"/>
      <c r="E133" s="2"/>
      <c r="G133" s="2"/>
      <c r="L133" s="2"/>
      <c r="M133" t="s">
        <v>212</v>
      </c>
      <c r="N133" s="34">
        <v>0.02</v>
      </c>
      <c r="O133" s="2">
        <f t="shared" si="30"/>
        <v>88555285.78494738</v>
      </c>
      <c r="P133" s="18" t="s">
        <v>177</v>
      </c>
      <c r="Q133" s="34">
        <v>0.5</v>
      </c>
    </row>
    <row r="134" spans="1:18" x14ac:dyDescent="0.35">
      <c r="D134" s="2"/>
      <c r="E134" s="2"/>
      <c r="G134" s="2"/>
      <c r="L134" s="2"/>
      <c r="M134" s="5" t="s">
        <v>210</v>
      </c>
      <c r="N134" s="34">
        <v>0.5</v>
      </c>
      <c r="O134" s="2">
        <f t="shared" si="30"/>
        <v>2213882144.6236844</v>
      </c>
      <c r="P134" s="18" t="s">
        <v>218</v>
      </c>
      <c r="Q134" s="34">
        <v>0.15</v>
      </c>
    </row>
    <row r="135" spans="1:18" x14ac:dyDescent="0.35">
      <c r="D135" s="2"/>
      <c r="E135" s="2"/>
      <c r="G135" s="2"/>
      <c r="L135" s="2"/>
      <c r="M135" t="s">
        <v>213</v>
      </c>
      <c r="N135" s="34">
        <v>0.15</v>
      </c>
      <c r="O135" s="2">
        <f t="shared" si="30"/>
        <v>664164643.38710535</v>
      </c>
      <c r="P135" s="18" t="s">
        <v>219</v>
      </c>
      <c r="Q135" s="34">
        <v>0.1</v>
      </c>
    </row>
    <row r="136" spans="1:18" x14ac:dyDescent="0.35">
      <c r="D136" s="2"/>
      <c r="E136" s="2"/>
      <c r="G136" s="2"/>
      <c r="L136" s="2"/>
      <c r="M136" t="s">
        <v>214</v>
      </c>
      <c r="N136" s="34">
        <v>0.3</v>
      </c>
      <c r="O136" s="2">
        <f t="shared" si="30"/>
        <v>1328329286.7742107</v>
      </c>
      <c r="P136" s="18" t="s">
        <v>220</v>
      </c>
      <c r="Q136" s="34">
        <v>0.05</v>
      </c>
    </row>
    <row r="137" spans="1:18" x14ac:dyDescent="0.35">
      <c r="D137" s="2"/>
      <c r="E137" s="2"/>
      <c r="G137" s="2"/>
      <c r="L137" s="2"/>
      <c r="M137" t="s">
        <v>216</v>
      </c>
      <c r="N137" s="34">
        <v>0.03</v>
      </c>
      <c r="O137" s="2">
        <f t="shared" si="30"/>
        <v>132832928.67742106</v>
      </c>
      <c r="Q137" s="118"/>
    </row>
    <row r="138" spans="1:18" s="202" customFormat="1" x14ac:dyDescent="0.35">
      <c r="A138" s="202" t="s">
        <v>304</v>
      </c>
      <c r="B138" s="202">
        <v>2380</v>
      </c>
      <c r="C138" s="203" t="s">
        <v>406</v>
      </c>
      <c r="D138" s="202">
        <v>0</v>
      </c>
      <c r="E138" s="202">
        <f>'[1]Conversion factors selected IV '!$O$76</f>
        <v>0.97367441860465131</v>
      </c>
      <c r="F138" s="202">
        <f>D138*E138*1000000</f>
        <v>0</v>
      </c>
      <c r="G138" s="202">
        <f>'LCoP 2030 HIGH'!E16</f>
        <v>2784.7747103038073</v>
      </c>
      <c r="H138" s="202">
        <f>G138*F138</f>
        <v>0</v>
      </c>
      <c r="I138" s="209">
        <f>'LCoP 2030 HIGH'!H16</f>
        <v>0.223904902610877</v>
      </c>
      <c r="L138" s="202">
        <f>I138*H138</f>
        <v>0</v>
      </c>
      <c r="M138" s="209">
        <f>'LCoP 2030 HIGH'!F16</f>
        <v>0.51889296274252528</v>
      </c>
      <c r="O138" s="202">
        <f>M138*H138</f>
        <v>0</v>
      </c>
      <c r="P138" s="209">
        <f>'LCoP 2030 HIGH'!G16</f>
        <v>0.25720213464659775</v>
      </c>
      <c r="R138" s="202">
        <f>P138*H138</f>
        <v>0</v>
      </c>
    </row>
    <row r="139" spans="1:18" s="78" customFormat="1" x14ac:dyDescent="0.35">
      <c r="F139" s="213"/>
      <c r="G139" s="152" t="s">
        <v>180</v>
      </c>
      <c r="H139" s="2" t="e">
        <f>SUMIF($J$139:$J$148,G139,$L$139:$L$148)/$L$138</f>
        <v>#DIV/0!</v>
      </c>
      <c r="I139" s="5" t="s">
        <v>4</v>
      </c>
      <c r="J139" s="147" t="s">
        <v>179</v>
      </c>
      <c r="K139" s="6">
        <f>'Feedstock MIX per IVC'!J69</f>
        <v>363.08264113961184</v>
      </c>
      <c r="L139" s="2">
        <f t="shared" ref="L139:L148" si="31">K139*F$138</f>
        <v>0</v>
      </c>
      <c r="M139" s="5" t="s">
        <v>211</v>
      </c>
      <c r="N139" s="34">
        <v>0</v>
      </c>
      <c r="O139" s="2">
        <f t="shared" ref="O139:O144" si="32">N139*O$138</f>
        <v>0</v>
      </c>
      <c r="P139" s="18" t="s">
        <v>217</v>
      </c>
      <c r="Q139" s="34">
        <v>0.25</v>
      </c>
      <c r="R139" s="2">
        <f>Q139*R$138</f>
        <v>0</v>
      </c>
    </row>
    <row r="140" spans="1:18" x14ac:dyDescent="0.35">
      <c r="G140" s="150" t="s">
        <v>178</v>
      </c>
      <c r="H140" s="2" t="e">
        <f t="shared" ref="H140:H144" si="33">SUMIF($J$139:$J$148,G140,$L$139:$L$148)/$L$138</f>
        <v>#DIV/0!</v>
      </c>
      <c r="I140" s="5" t="s">
        <v>5</v>
      </c>
      <c r="J140" s="147" t="s">
        <v>179</v>
      </c>
      <c r="K140" s="6">
        <f>'Feedstock MIX per IVC'!J70</f>
        <v>16.946224660144196</v>
      </c>
      <c r="L140" s="2">
        <f t="shared" si="31"/>
        <v>0</v>
      </c>
      <c r="M140" t="s">
        <v>212</v>
      </c>
      <c r="N140" s="34">
        <v>0.02</v>
      </c>
      <c r="O140" s="2">
        <f t="shared" si="32"/>
        <v>0</v>
      </c>
      <c r="P140" s="18" t="s">
        <v>177</v>
      </c>
      <c r="Q140" s="34">
        <v>0.15</v>
      </c>
      <c r="R140" s="2">
        <f>Q140*R$138</f>
        <v>0</v>
      </c>
    </row>
    <row r="141" spans="1:18" x14ac:dyDescent="0.35">
      <c r="G141" s="147" t="s">
        <v>179</v>
      </c>
      <c r="H141" s="2" t="e">
        <f t="shared" si="33"/>
        <v>#DIV/0!</v>
      </c>
      <c r="I141" s="5" t="s">
        <v>22</v>
      </c>
      <c r="J141" s="152" t="s">
        <v>180</v>
      </c>
      <c r="K141" s="6">
        <f>'Feedstock MIX per IVC'!J71</f>
        <v>0</v>
      </c>
      <c r="L141" s="2">
        <f t="shared" si="31"/>
        <v>0</v>
      </c>
      <c r="M141" s="5" t="s">
        <v>210</v>
      </c>
      <c r="N141" s="34">
        <v>0.55000000000000004</v>
      </c>
      <c r="O141" s="2">
        <f t="shared" si="32"/>
        <v>0</v>
      </c>
      <c r="P141" s="18" t="s">
        <v>218</v>
      </c>
      <c r="Q141" s="34">
        <v>0.3</v>
      </c>
      <c r="R141" s="2">
        <f>Q141*R$138</f>
        <v>0</v>
      </c>
    </row>
    <row r="142" spans="1:18" x14ac:dyDescent="0.35">
      <c r="G142" s="171" t="s">
        <v>222</v>
      </c>
      <c r="H142" s="2" t="e">
        <f t="shared" si="33"/>
        <v>#DIV/0!</v>
      </c>
      <c r="I142" s="5" t="s">
        <v>6</v>
      </c>
      <c r="J142" s="150" t="s">
        <v>178</v>
      </c>
      <c r="K142" s="6">
        <f>'Feedstock MIX per IVC'!J72</f>
        <v>8.5940906541156838</v>
      </c>
      <c r="L142" s="2">
        <f t="shared" si="31"/>
        <v>0</v>
      </c>
      <c r="M142" t="s">
        <v>213</v>
      </c>
      <c r="N142" s="34">
        <v>0.1</v>
      </c>
      <c r="O142" s="2">
        <f t="shared" si="32"/>
        <v>0</v>
      </c>
      <c r="P142" s="18" t="s">
        <v>219</v>
      </c>
      <c r="Q142" s="34">
        <v>0.3</v>
      </c>
      <c r="R142" s="2">
        <f>Q142*R$138</f>
        <v>0</v>
      </c>
    </row>
    <row r="143" spans="1:18" s="78" customFormat="1" x14ac:dyDescent="0.35">
      <c r="F143" s="213"/>
      <c r="G143" s="149" t="s">
        <v>176</v>
      </c>
      <c r="H143" s="2" t="e">
        <f t="shared" si="33"/>
        <v>#DIV/0!</v>
      </c>
      <c r="I143" s="5" t="s">
        <v>7</v>
      </c>
      <c r="J143" s="147" t="s">
        <v>179</v>
      </c>
      <c r="K143" s="6">
        <f>'Feedstock MIX per IVC'!J73</f>
        <v>16.238016457978244</v>
      </c>
      <c r="L143" s="2">
        <f t="shared" si="31"/>
        <v>0</v>
      </c>
      <c r="M143" t="s">
        <v>214</v>
      </c>
      <c r="N143" s="34">
        <v>0.3</v>
      </c>
      <c r="O143" s="2">
        <f t="shared" si="32"/>
        <v>0</v>
      </c>
      <c r="P143" s="18" t="s">
        <v>220</v>
      </c>
      <c r="Q143" s="223">
        <v>0</v>
      </c>
      <c r="R143" s="2">
        <f>Q143*R$138</f>
        <v>0</v>
      </c>
    </row>
    <row r="144" spans="1:18" x14ac:dyDescent="0.35">
      <c r="G144" s="151" t="s">
        <v>77</v>
      </c>
      <c r="H144" s="2" t="e">
        <f t="shared" si="33"/>
        <v>#DIV/0!</v>
      </c>
      <c r="I144" s="5" t="s">
        <v>8</v>
      </c>
      <c r="J144" s="147" t="s">
        <v>179</v>
      </c>
      <c r="K144" s="6">
        <f>'Feedstock MIX per IVC'!J74</f>
        <v>11.408761486071064</v>
      </c>
      <c r="L144" s="2">
        <f t="shared" si="31"/>
        <v>0</v>
      </c>
      <c r="M144" t="s">
        <v>216</v>
      </c>
      <c r="N144" s="34">
        <v>0.03</v>
      </c>
      <c r="O144" s="2">
        <f t="shared" si="32"/>
        <v>0</v>
      </c>
    </row>
    <row r="145" spans="1:18" x14ac:dyDescent="0.35">
      <c r="H145" s="2" t="e">
        <f>SUM(H139:H144)</f>
        <v>#DIV/0!</v>
      </c>
      <c r="I145" s="5" t="s">
        <v>9</v>
      </c>
      <c r="J145" s="171" t="s">
        <v>222</v>
      </c>
      <c r="K145" s="6">
        <f>'Feedstock MIX per IVC'!J75</f>
        <v>88.121332665726072</v>
      </c>
      <c r="L145" s="2">
        <f t="shared" si="31"/>
        <v>0</v>
      </c>
      <c r="N145" s="34"/>
    </row>
    <row r="146" spans="1:18" x14ac:dyDescent="0.35">
      <c r="I146" s="5" t="s">
        <v>10</v>
      </c>
      <c r="J146" s="149" t="s">
        <v>176</v>
      </c>
      <c r="K146" s="6">
        <f>'Feedstock MIX per IVC'!J76</f>
        <v>101.75497807356737</v>
      </c>
      <c r="L146" s="2">
        <f t="shared" si="31"/>
        <v>0</v>
      </c>
    </row>
    <row r="147" spans="1:18" x14ac:dyDescent="0.35">
      <c r="I147" s="5" t="s">
        <v>11</v>
      </c>
      <c r="J147" s="152" t="s">
        <v>180</v>
      </c>
      <c r="K147" s="6">
        <f>'Feedstock MIX per IVC'!J77</f>
        <v>15.897855397684314</v>
      </c>
      <c r="L147" s="2">
        <f t="shared" si="31"/>
        <v>0</v>
      </c>
    </row>
    <row r="148" spans="1:18" x14ac:dyDescent="0.35">
      <c r="I148" s="13" t="s">
        <v>32</v>
      </c>
      <c r="J148" s="151" t="s">
        <v>77</v>
      </c>
      <c r="K148" s="6">
        <f>'Feedstock MIX per IVC'!J78</f>
        <v>1.4808097689083273</v>
      </c>
      <c r="L148" s="2">
        <f t="shared" si="31"/>
        <v>0</v>
      </c>
    </row>
    <row r="149" spans="1:18" x14ac:dyDescent="0.35">
      <c r="A149" s="78"/>
      <c r="B149" s="78"/>
      <c r="C149" s="78"/>
      <c r="D149" s="90"/>
      <c r="E149" s="90"/>
      <c r="F149" s="213"/>
      <c r="G149" s="99"/>
      <c r="L149" s="2">
        <f>SUM(L139:L148)</f>
        <v>0</v>
      </c>
    </row>
    <row r="150" spans="1:18" x14ac:dyDescent="0.35">
      <c r="A150" s="78"/>
      <c r="B150" s="78"/>
      <c r="C150" s="78"/>
      <c r="D150" s="90"/>
      <c r="E150" s="90"/>
      <c r="F150" s="213"/>
      <c r="G150" s="213"/>
      <c r="L150" s="2"/>
    </row>
    <row r="151" spans="1:18" x14ac:dyDescent="0.35">
      <c r="A151" s="78"/>
      <c r="B151" s="78"/>
      <c r="C151" s="78"/>
      <c r="D151" s="90"/>
      <c r="E151" s="90"/>
      <c r="F151" s="213"/>
      <c r="G151" s="213"/>
      <c r="I151" s="21" t="s">
        <v>181</v>
      </c>
      <c r="L151" s="90">
        <f>SUM(L152:L160)</f>
        <v>1495382210.5796247</v>
      </c>
      <c r="O151" s="213">
        <f>SUM(O152:O157)</f>
        <v>4789208551.182025</v>
      </c>
      <c r="P151" s="213"/>
      <c r="Q151" s="213"/>
      <c r="R151" s="213">
        <f>SUM(R152:R157)</f>
        <v>408066726.57250381</v>
      </c>
    </row>
    <row r="152" spans="1:18" x14ac:dyDescent="0.35">
      <c r="A152" s="78"/>
      <c r="B152" s="78"/>
      <c r="C152" s="78"/>
      <c r="D152" s="90"/>
      <c r="E152" s="90"/>
      <c r="F152" s="213"/>
      <c r="G152" s="213"/>
      <c r="J152" s="152" t="s">
        <v>180</v>
      </c>
      <c r="L152" s="2">
        <f t="shared" ref="L152:L160" si="34">SUMIF($J$125:$J$149, J152, $L$125:$L$149)</f>
        <v>0</v>
      </c>
      <c r="M152" s="5" t="s">
        <v>211</v>
      </c>
      <c r="O152">
        <f t="shared" ref="O152:O157" si="35">SUMIF($M$125:$M$149, M152, $O$125:$O$149)</f>
        <v>18072213.096732795</v>
      </c>
      <c r="P152" s="18" t="s">
        <v>217</v>
      </c>
      <c r="R152">
        <f>SUMIF($P$125:$P$149, P152, $R$125:$R$149)</f>
        <v>142823354.30037633</v>
      </c>
    </row>
    <row r="153" spans="1:18" x14ac:dyDescent="0.35">
      <c r="A153" s="78"/>
      <c r="B153" s="78"/>
      <c r="C153" s="78"/>
      <c r="D153" s="90"/>
      <c r="E153" s="90"/>
      <c r="F153" s="213"/>
      <c r="G153" s="213"/>
      <c r="J153" s="150" t="s">
        <v>178</v>
      </c>
      <c r="L153" s="2">
        <f t="shared" si="34"/>
        <v>0</v>
      </c>
      <c r="M153" t="s">
        <v>212</v>
      </c>
      <c r="O153">
        <f t="shared" si="35"/>
        <v>95784171.023640499</v>
      </c>
      <c r="P153" s="18" t="s">
        <v>177</v>
      </c>
      <c r="R153">
        <f>SUMIF($P$125:$P$149, P153, $R$125:$R$149)</f>
        <v>102016681.64312595</v>
      </c>
    </row>
    <row r="154" spans="1:18" x14ac:dyDescent="0.35">
      <c r="A154" s="78"/>
      <c r="B154" s="78"/>
      <c r="C154" s="78"/>
      <c r="D154" s="90"/>
      <c r="E154" s="90"/>
      <c r="F154" s="213"/>
      <c r="G154" s="213"/>
      <c r="J154" s="147" t="s">
        <v>179</v>
      </c>
      <c r="L154" s="2">
        <f t="shared" si="34"/>
        <v>644371301.52007174</v>
      </c>
      <c r="M154" s="5" t="s">
        <v>210</v>
      </c>
      <c r="O154">
        <f t="shared" si="35"/>
        <v>2376532062.4942794</v>
      </c>
      <c r="P154" s="18" t="s">
        <v>218</v>
      </c>
      <c r="R154">
        <f>SUMIF($P$125:$P$149, P154, $R$125:$R$149)</f>
        <v>81613345.314500764</v>
      </c>
    </row>
    <row r="155" spans="1:18" x14ac:dyDescent="0.35">
      <c r="A155" s="78"/>
      <c r="B155" s="78"/>
      <c r="C155" s="78"/>
      <c r="D155" s="90"/>
      <c r="E155" s="90"/>
      <c r="F155" s="213"/>
      <c r="G155" s="213"/>
      <c r="J155" s="171" t="s">
        <v>222</v>
      </c>
      <c r="L155" s="2">
        <f t="shared" si="34"/>
        <v>0</v>
      </c>
      <c r="M155" t="s">
        <v>213</v>
      </c>
      <c r="O155">
        <f t="shared" si="35"/>
        <v>718381282.67730379</v>
      </c>
      <c r="P155" s="18" t="s">
        <v>219</v>
      </c>
      <c r="R155">
        <f>SUMIF($P$125:$P$149, P155, $R$125:$R$149)</f>
        <v>61210008.985875569</v>
      </c>
    </row>
    <row r="156" spans="1:18" x14ac:dyDescent="0.35">
      <c r="A156" s="78"/>
      <c r="B156" s="78"/>
      <c r="C156" s="78"/>
      <c r="D156" s="90"/>
      <c r="E156" s="90"/>
      <c r="F156" s="213"/>
      <c r="G156" s="213"/>
      <c r="J156" s="149" t="s">
        <v>176</v>
      </c>
      <c r="L156" s="2">
        <f t="shared" si="34"/>
        <v>0</v>
      </c>
      <c r="M156" t="s">
        <v>214</v>
      </c>
      <c r="O156">
        <f t="shared" si="35"/>
        <v>1436762565.3546076</v>
      </c>
      <c r="P156" s="18" t="s">
        <v>220</v>
      </c>
      <c r="R156">
        <f>SUMIF($P$125:$P$149, P156, $R$125:$R$149)</f>
        <v>20403336.328625191</v>
      </c>
    </row>
    <row r="157" spans="1:18" x14ac:dyDescent="0.35">
      <c r="A157" s="78"/>
      <c r="B157" s="78"/>
      <c r="C157" s="78"/>
      <c r="D157" s="90"/>
      <c r="E157" s="90"/>
      <c r="F157" s="213"/>
      <c r="G157" s="213"/>
      <c r="J157" s="152" t="s">
        <v>180</v>
      </c>
      <c r="L157" s="2">
        <f t="shared" si="34"/>
        <v>0</v>
      </c>
      <c r="M157" t="s">
        <v>216</v>
      </c>
      <c r="O157">
        <f t="shared" si="35"/>
        <v>143676256.53546074</v>
      </c>
    </row>
    <row r="158" spans="1:18" x14ac:dyDescent="0.35">
      <c r="A158" s="78"/>
      <c r="B158" s="78"/>
      <c r="C158" s="78"/>
      <c r="D158" s="90"/>
      <c r="E158" s="90"/>
      <c r="F158" s="213"/>
      <c r="G158" s="213"/>
      <c r="J158" s="151" t="s">
        <v>77</v>
      </c>
      <c r="L158" s="2">
        <f t="shared" si="34"/>
        <v>723359272.70061982</v>
      </c>
    </row>
    <row r="159" spans="1:18" x14ac:dyDescent="0.35">
      <c r="A159" s="78"/>
      <c r="B159" s="78"/>
      <c r="C159" s="78"/>
      <c r="D159" s="90"/>
      <c r="E159" s="90"/>
      <c r="F159" s="213"/>
      <c r="G159" s="213"/>
      <c r="J159" s="239" t="s">
        <v>259</v>
      </c>
      <c r="L159" s="2">
        <f t="shared" si="34"/>
        <v>127651636.35893291</v>
      </c>
    </row>
    <row r="160" spans="1:18" x14ac:dyDescent="0.35">
      <c r="A160" s="78"/>
      <c r="B160" s="78"/>
      <c r="C160" s="78"/>
      <c r="D160" s="90"/>
      <c r="E160" s="90"/>
      <c r="F160" s="213"/>
      <c r="G160" s="213"/>
      <c r="J160" s="241" t="s">
        <v>81</v>
      </c>
      <c r="L160" s="2">
        <f t="shared" si="34"/>
        <v>0</v>
      </c>
    </row>
    <row r="161" spans="1:18" x14ac:dyDescent="0.35">
      <c r="A161" s="78"/>
      <c r="B161" s="78"/>
      <c r="C161" s="78"/>
      <c r="D161" s="90"/>
      <c r="E161" s="90"/>
      <c r="F161" s="213"/>
      <c r="G161" s="213"/>
    </row>
    <row r="162" spans="1:18" s="91" customFormat="1" ht="34" customHeight="1" x14ac:dyDescent="0.35">
      <c r="A162" s="91" t="s">
        <v>81</v>
      </c>
      <c r="F162" s="169"/>
    </row>
    <row r="163" spans="1:18" ht="19" customHeight="1" x14ac:dyDescent="0.35">
      <c r="B163" s="2"/>
      <c r="C163" s="2">
        <f>C164+C175+C182</f>
        <v>66686073843.736069</v>
      </c>
      <c r="D163" s="2">
        <f>D164+D175+D182</f>
        <v>35.113695917518662</v>
      </c>
      <c r="E163" s="2"/>
      <c r="F163" s="31"/>
      <c r="H163" s="2">
        <f>H164+H175+H182</f>
        <v>58740992691.995895</v>
      </c>
      <c r="L163" s="90">
        <f>L164+L175+L182</f>
        <v>34654774817.673187</v>
      </c>
      <c r="O163" s="90">
        <f>O164+O175+O182</f>
        <v>14926903615.556171</v>
      </c>
      <c r="R163" s="90">
        <f>R164+R175+R182</f>
        <v>9159314258.7665405</v>
      </c>
    </row>
    <row r="164" spans="1:18" s="202" customFormat="1" x14ac:dyDescent="0.35">
      <c r="A164" s="202" t="s">
        <v>309</v>
      </c>
      <c r="B164" s="202">
        <v>935</v>
      </c>
      <c r="C164" s="203">
        <f>B164*F164</f>
        <v>25257764148.041439</v>
      </c>
      <c r="D164" s="202">
        <f>'[3]Scenario 3 2030'!$E$23</f>
        <v>12.904199625122519</v>
      </c>
      <c r="E164" s="202">
        <f>'[1]Conversion factors selected IV '!$O$49</f>
        <v>2.0934000000000004</v>
      </c>
      <c r="F164" s="202">
        <f>D164*E164*1000000</f>
        <v>27013651.495231487</v>
      </c>
      <c r="G164" s="202">
        <f>'LCoP 2030 HIGH'!E10</f>
        <v>559.18457111316229</v>
      </c>
      <c r="H164" s="202">
        <f>G164*F164</f>
        <v>15105617125.561455</v>
      </c>
      <c r="I164" s="209">
        <f>'LCoP 2030 HIGH'!H10</f>
        <v>0.24801215605266894</v>
      </c>
      <c r="L164" s="202">
        <f>I164*H164</f>
        <v>3746376671.8166161</v>
      </c>
      <c r="M164" s="209">
        <f>'LCoP 2030 HIGH'!F10</f>
        <v>0.50251744149631405</v>
      </c>
      <c r="O164" s="202">
        <f>M164*H164</f>
        <v>7590836070.1600485</v>
      </c>
      <c r="P164" s="209">
        <f>'LCoP 2030 HIGH'!G10</f>
        <v>0.24947040245101712</v>
      </c>
      <c r="R164" s="202">
        <f>P164*H164</f>
        <v>3768404383.5847926</v>
      </c>
    </row>
    <row r="165" spans="1:18" x14ac:dyDescent="0.35">
      <c r="C165">
        <f>C164/$C$163</f>
        <v>0.37875620339004173</v>
      </c>
      <c r="D165" s="2"/>
      <c r="E165" s="2"/>
      <c r="G165" s="152" t="s">
        <v>180</v>
      </c>
      <c r="H165" s="2">
        <f>SUMIF($J$165:$J$174,G165,$L$165:$L$174)/$L$164</f>
        <v>2.3376446684032572E-2</v>
      </c>
      <c r="I165" s="5" t="s">
        <v>4</v>
      </c>
      <c r="J165" s="147" t="s">
        <v>179</v>
      </c>
      <c r="K165" s="6">
        <f>'Feedstock MIX per IVC'!J30</f>
        <v>74.041223822910666</v>
      </c>
      <c r="L165" s="2">
        <f t="shared" ref="L165:L174" si="36">K165*F$164</f>
        <v>2000123816.63254</v>
      </c>
      <c r="M165" s="5" t="s">
        <v>211</v>
      </c>
      <c r="N165" s="34">
        <v>0</v>
      </c>
      <c r="O165" s="2">
        <f t="shared" ref="O165:O170" si="37">N165*O$164</f>
        <v>0</v>
      </c>
      <c r="P165" s="18" t="s">
        <v>217</v>
      </c>
      <c r="Q165" s="34">
        <v>0.25</v>
      </c>
      <c r="R165" s="2">
        <f>Q165*R$164</f>
        <v>942101095.89619815</v>
      </c>
    </row>
    <row r="166" spans="1:18" x14ac:dyDescent="0.35">
      <c r="D166" s="2"/>
      <c r="E166" s="2"/>
      <c r="G166" s="150" t="s">
        <v>178</v>
      </c>
      <c r="H166" s="2">
        <f t="shared" ref="H166:H170" si="38">SUMIF($J$165:$J$174,G166,$L$165:$L$174)/$L$164</f>
        <v>1.2636880695426444E-2</v>
      </c>
      <c r="I166" s="5" t="s">
        <v>5</v>
      </c>
      <c r="J166" s="147" t="s">
        <v>179</v>
      </c>
      <c r="K166" s="6">
        <f>'Feedstock MIX per IVC'!J31</f>
        <v>3.4557400185171687</v>
      </c>
      <c r="L166" s="2">
        <f t="shared" si="36"/>
        <v>93352156.518347606</v>
      </c>
      <c r="M166" t="s">
        <v>212</v>
      </c>
      <c r="N166" s="34">
        <v>0.02</v>
      </c>
      <c r="O166" s="2">
        <f t="shared" si="37"/>
        <v>151816721.40320098</v>
      </c>
      <c r="P166" s="18" t="s">
        <v>177</v>
      </c>
      <c r="Q166" s="34">
        <v>0.15</v>
      </c>
      <c r="R166" s="2">
        <f>Q166*R$164</f>
        <v>565260657.53771889</v>
      </c>
    </row>
    <row r="167" spans="1:18" x14ac:dyDescent="0.35">
      <c r="D167" s="2"/>
      <c r="E167" s="2"/>
      <c r="G167" s="147" t="s">
        <v>179</v>
      </c>
      <c r="H167" s="2">
        <f t="shared" si="38"/>
        <v>0.59945242373659213</v>
      </c>
      <c r="I167" s="5" t="s">
        <v>22</v>
      </c>
      <c r="J167" s="152" t="s">
        <v>180</v>
      </c>
      <c r="K167" s="6">
        <f>'Feedstock MIX per IVC'!J32</f>
        <v>0</v>
      </c>
      <c r="L167" s="2">
        <f t="shared" si="36"/>
        <v>0</v>
      </c>
      <c r="M167" s="5" t="s">
        <v>210</v>
      </c>
      <c r="N167" s="34">
        <v>0.55000000000000004</v>
      </c>
      <c r="O167" s="2">
        <f t="shared" si="37"/>
        <v>4174959838.588027</v>
      </c>
      <c r="P167" s="18" t="s">
        <v>218</v>
      </c>
      <c r="Q167" s="34">
        <v>0.3</v>
      </c>
      <c r="R167" s="2">
        <f>Q167*R$164</f>
        <v>1130521315.0754378</v>
      </c>
    </row>
    <row r="168" spans="1:18" x14ac:dyDescent="0.35">
      <c r="D168" s="2"/>
      <c r="E168" s="2"/>
      <c r="G168" s="171" t="s">
        <v>222</v>
      </c>
      <c r="H168" s="2">
        <f t="shared" si="38"/>
        <v>0.12957493845907658</v>
      </c>
      <c r="I168" s="5" t="s">
        <v>6</v>
      </c>
      <c r="J168" s="150" t="s">
        <v>178</v>
      </c>
      <c r="K168" s="6">
        <f>'Feedstock MIX per IVC'!J33</f>
        <v>1.7525403794534171</v>
      </c>
      <c r="L168" s="2">
        <f t="shared" si="36"/>
        <v>47342515.041875362</v>
      </c>
      <c r="M168" t="s">
        <v>213</v>
      </c>
      <c r="N168" s="34">
        <v>0.1</v>
      </c>
      <c r="O168" s="2">
        <f t="shared" si="37"/>
        <v>759083607.01600492</v>
      </c>
      <c r="P168" s="18" t="s">
        <v>219</v>
      </c>
      <c r="Q168" s="34">
        <v>0.3</v>
      </c>
      <c r="R168" s="2">
        <f>Q168*R$164</f>
        <v>1130521315.0754378</v>
      </c>
    </row>
    <row r="169" spans="1:18" x14ac:dyDescent="0.35">
      <c r="D169" s="2"/>
      <c r="E169" s="2"/>
      <c r="G169" s="149" t="s">
        <v>176</v>
      </c>
      <c r="H169" s="2">
        <f t="shared" si="38"/>
        <v>0.14962205657740033</v>
      </c>
      <c r="I169" s="5" t="s">
        <v>7</v>
      </c>
      <c r="J169" s="147" t="s">
        <v>179</v>
      </c>
      <c r="K169" s="6">
        <f>'Feedstock MIX per IVC'!J34</f>
        <v>3.3113194484640065</v>
      </c>
      <c r="L169" s="2">
        <f t="shared" si="36"/>
        <v>89450829.570188805</v>
      </c>
      <c r="M169" t="s">
        <v>214</v>
      </c>
      <c r="N169" s="34">
        <v>0.3</v>
      </c>
      <c r="O169" s="2">
        <f t="shared" si="37"/>
        <v>2277250821.0480146</v>
      </c>
      <c r="P169" s="18" t="s">
        <v>220</v>
      </c>
      <c r="Q169" s="223">
        <v>0</v>
      </c>
      <c r="R169" s="2">
        <f>Q169*R$164</f>
        <v>0</v>
      </c>
    </row>
    <row r="170" spans="1:18" x14ac:dyDescent="0.35">
      <c r="D170" s="2"/>
      <c r="E170" s="2"/>
      <c r="G170" s="151" t="s">
        <v>77</v>
      </c>
      <c r="H170" s="2">
        <f t="shared" si="38"/>
        <v>8.5337253847472039E-2</v>
      </c>
      <c r="I170" s="5" t="s">
        <v>8</v>
      </c>
      <c r="J170" s="147" t="s">
        <v>179</v>
      </c>
      <c r="K170" s="6">
        <f>'Feedstock MIX per IVC'!J35</f>
        <v>2.3265189987630972</v>
      </c>
      <c r="L170" s="2">
        <f t="shared" si="36"/>
        <v>62847773.429621205</v>
      </c>
      <c r="M170" t="s">
        <v>216</v>
      </c>
      <c r="N170" s="34">
        <v>0.03</v>
      </c>
      <c r="O170" s="2">
        <f t="shared" si="37"/>
        <v>227725082.10480145</v>
      </c>
    </row>
    <row r="171" spans="1:18" x14ac:dyDescent="0.35">
      <c r="D171" s="2"/>
      <c r="E171" s="2"/>
      <c r="G171" s="2"/>
      <c r="H171" s="2">
        <f>SUM(H165:H170)</f>
        <v>1.0000000000000002</v>
      </c>
      <c r="I171" s="5" t="s">
        <v>9</v>
      </c>
      <c r="J171" s="171" t="s">
        <v>222</v>
      </c>
      <c r="K171" s="6">
        <f>'Feedstock MIX per IVC'!J36</f>
        <v>17.970044767211444</v>
      </c>
      <c r="L171" s="2">
        <f t="shared" si="36"/>
        <v>485436526.69515818</v>
      </c>
      <c r="M171" s="2"/>
    </row>
    <row r="172" spans="1:18" x14ac:dyDescent="0.35">
      <c r="D172" s="2"/>
      <c r="E172" s="2"/>
      <c r="G172" s="2"/>
      <c r="I172" s="5" t="s">
        <v>10</v>
      </c>
      <c r="J172" s="149" t="s">
        <v>176</v>
      </c>
      <c r="K172" s="6">
        <f>'Feedstock MIX per IVC'!J37</f>
        <v>20.750270745506079</v>
      </c>
      <c r="L172" s="2">
        <f t="shared" si="36"/>
        <v>560540582.35079849</v>
      </c>
    </row>
    <row r="173" spans="1:18" s="31" customFormat="1" x14ac:dyDescent="0.35">
      <c r="I173" s="5" t="s">
        <v>11</v>
      </c>
      <c r="J173" s="152" t="s">
        <v>180</v>
      </c>
      <c r="K173" s="6">
        <f>'Feedstock MIX per IVC'!J38</f>
        <v>3.2419524825247641</v>
      </c>
      <c r="L173" s="2">
        <f t="shared" si="36"/>
        <v>87576974.527024522</v>
      </c>
    </row>
    <row r="174" spans="1:18" x14ac:dyDescent="0.35">
      <c r="D174" s="2"/>
      <c r="E174" s="2"/>
      <c r="I174" s="13" t="s">
        <v>25</v>
      </c>
      <c r="J174" s="151" t="s">
        <v>77</v>
      </c>
      <c r="K174" s="6">
        <f>'Feedstock MIX per IVC'!J39</f>
        <v>11.834960449811724</v>
      </c>
      <c r="L174" s="2">
        <f t="shared" si="36"/>
        <v>319705497.05106199</v>
      </c>
      <c r="M174" s="2"/>
    </row>
    <row r="175" spans="1:18" s="202" customFormat="1" x14ac:dyDescent="0.35">
      <c r="A175" s="202" t="s">
        <v>27</v>
      </c>
      <c r="B175" s="202">
        <v>935</v>
      </c>
      <c r="C175" s="202">
        <f>B175*F175</f>
        <v>38518184215.592285</v>
      </c>
      <c r="D175" s="202">
        <f>'[3]Scenario 3 2030'!$E$24</f>
        <v>19.678952396654971</v>
      </c>
      <c r="E175" s="202">
        <f>'[1]Conversion factors selected IV '!$O$49</f>
        <v>2.0934000000000004</v>
      </c>
      <c r="F175" s="202">
        <f>D175*E175*1000000</f>
        <v>41195918.947157525</v>
      </c>
      <c r="G175" s="202">
        <f>'LCoP 2030 HIGH'!E11</f>
        <v>936</v>
      </c>
      <c r="H175" s="202">
        <f>G175*F175</f>
        <v>38559380134.539444</v>
      </c>
      <c r="I175" s="209">
        <f>'LCoP 2030 HIGH'!H11</f>
        <v>0.75641025641025639</v>
      </c>
      <c r="L175" s="202">
        <f>I175*H175</f>
        <v>29166710614.587528</v>
      </c>
      <c r="M175" s="209">
        <f>'LCoP 2030 HIGH'!F11</f>
        <v>0.14529914529914531</v>
      </c>
      <c r="O175" s="202">
        <f>M175*H175</f>
        <v>5602644976.8134241</v>
      </c>
      <c r="P175" s="209">
        <f>'LCoP 2030 HIGH'!G11</f>
        <v>9.8290598290598288E-2</v>
      </c>
      <c r="R175" s="202">
        <f>P175*H175</f>
        <v>3790024543.1384921</v>
      </c>
    </row>
    <row r="176" spans="1:18" x14ac:dyDescent="0.35">
      <c r="C176">
        <f>C175/$C$163</f>
        <v>0.57760461810738861</v>
      </c>
      <c r="I176" s="13" t="s">
        <v>28</v>
      </c>
      <c r="J176" s="190" t="s">
        <v>79</v>
      </c>
      <c r="L176" s="2">
        <f>L175</f>
        <v>29166710614.587528</v>
      </c>
      <c r="M176" s="5" t="s">
        <v>211</v>
      </c>
      <c r="N176" s="34">
        <v>0</v>
      </c>
      <c r="O176" s="2">
        <f t="shared" ref="O176:O181" si="39">N176*O$175</f>
        <v>0</v>
      </c>
      <c r="P176" s="18" t="s">
        <v>217</v>
      </c>
      <c r="Q176" s="34">
        <v>0.25</v>
      </c>
      <c r="R176" s="2">
        <f>Q176*R$175</f>
        <v>947506135.78462303</v>
      </c>
    </row>
    <row r="177" spans="1:19" x14ac:dyDescent="0.35">
      <c r="M177" t="s">
        <v>212</v>
      </c>
      <c r="N177" s="34">
        <v>0.02</v>
      </c>
      <c r="O177" s="2">
        <f t="shared" si="39"/>
        <v>112052899.53626849</v>
      </c>
      <c r="P177" s="18" t="s">
        <v>177</v>
      </c>
      <c r="Q177" s="34">
        <v>0.15</v>
      </c>
      <c r="R177" s="2">
        <f>Q177*R$175</f>
        <v>568503681.47077382</v>
      </c>
    </row>
    <row r="178" spans="1:19" x14ac:dyDescent="0.35">
      <c r="M178" s="5" t="s">
        <v>210</v>
      </c>
      <c r="N178" s="34">
        <v>0.55000000000000004</v>
      </c>
      <c r="O178" s="2">
        <f t="shared" si="39"/>
        <v>3081454737.2473836</v>
      </c>
      <c r="P178" s="18" t="s">
        <v>218</v>
      </c>
      <c r="Q178" s="34">
        <v>0.3</v>
      </c>
      <c r="R178" s="2">
        <f>Q178*R$175</f>
        <v>1137007362.9415476</v>
      </c>
    </row>
    <row r="179" spans="1:19" x14ac:dyDescent="0.35">
      <c r="M179" t="s">
        <v>213</v>
      </c>
      <c r="N179" s="34">
        <v>0.1</v>
      </c>
      <c r="O179" s="2">
        <f t="shared" si="39"/>
        <v>560264497.68134248</v>
      </c>
      <c r="P179" s="18" t="s">
        <v>219</v>
      </c>
      <c r="Q179" s="34">
        <v>0.3</v>
      </c>
      <c r="R179" s="2">
        <f>Q179*R$175</f>
        <v>1137007362.9415476</v>
      </c>
    </row>
    <row r="180" spans="1:19" x14ac:dyDescent="0.35">
      <c r="M180" t="s">
        <v>214</v>
      </c>
      <c r="N180" s="34">
        <v>0.3</v>
      </c>
      <c r="O180" s="2">
        <f t="shared" si="39"/>
        <v>1680793493.0440271</v>
      </c>
      <c r="P180" s="18" t="s">
        <v>220</v>
      </c>
      <c r="Q180" s="223">
        <v>0</v>
      </c>
      <c r="R180" s="2">
        <f>Q180*R$175</f>
        <v>0</v>
      </c>
    </row>
    <row r="181" spans="1:19" x14ac:dyDescent="0.35">
      <c r="M181" t="s">
        <v>216</v>
      </c>
      <c r="N181" s="34">
        <v>0.03</v>
      </c>
      <c r="O181" s="2">
        <f t="shared" si="39"/>
        <v>168079349.30440271</v>
      </c>
    </row>
    <row r="182" spans="1:19" s="202" customFormat="1" x14ac:dyDescent="0.35">
      <c r="A182" s="201" t="s">
        <v>296</v>
      </c>
      <c r="B182" s="202">
        <v>1150</v>
      </c>
      <c r="C182" s="203">
        <f>B182*F182</f>
        <v>2910125480.1023421</v>
      </c>
      <c r="D182" s="208">
        <f>'[3]Scenario 3 2030'!$E$21</f>
        <v>2.5305438957411668</v>
      </c>
      <c r="E182" s="208">
        <f>'[1]Conversion factors selected IV '!$O$125</f>
        <v>1</v>
      </c>
      <c r="F182" s="202">
        <f>D182*E182*1000000</f>
        <v>2530543.895741167</v>
      </c>
      <c r="G182" s="208">
        <f>'LCoP 2030 HIGH'!E22</f>
        <v>2005.8910815330069</v>
      </c>
      <c r="H182" s="203">
        <f>G182*F182</f>
        <v>5075995431.8949976</v>
      </c>
      <c r="I182" s="206">
        <f>'LCoP 2030 HIGH'!H22</f>
        <v>0.34312235986761452</v>
      </c>
      <c r="J182" s="201"/>
      <c r="K182" s="201"/>
      <c r="L182" s="202">
        <f>I182*H182</f>
        <v>1741687531.2690427</v>
      </c>
      <c r="M182" s="206">
        <f>'LCoP 2030 HIGH'!F22</f>
        <v>0.34149411516226852</v>
      </c>
      <c r="N182" s="201"/>
      <c r="O182" s="202">
        <f>M182*H182</f>
        <v>1733422568.5826993</v>
      </c>
      <c r="P182" s="219">
        <f>'LCoP 2030 HIGH'!G22</f>
        <v>0.31538352497011696</v>
      </c>
      <c r="Q182" s="201"/>
      <c r="R182" s="202">
        <f>P182*H182</f>
        <v>1600885332.0432556</v>
      </c>
      <c r="S182" s="203">
        <f>R182+O182+L182</f>
        <v>5075995431.8949976</v>
      </c>
    </row>
    <row r="183" spans="1:19" x14ac:dyDescent="0.35">
      <c r="C183">
        <f>C182/$C$163</f>
        <v>4.3639178502569695E-2</v>
      </c>
      <c r="D183" s="6"/>
      <c r="E183" s="6"/>
      <c r="F183" s="31"/>
      <c r="G183" s="152" t="s">
        <v>180</v>
      </c>
      <c r="H183" s="2">
        <f t="shared" ref="H183:H188" si="40">SUMIF($J$183:$J$190,G183,$L$183:$L$190)/$L$182</f>
        <v>2.1142289911194514E-2</v>
      </c>
      <c r="I183" s="5" t="s">
        <v>4</v>
      </c>
      <c r="J183" s="147" t="s">
        <v>179</v>
      </c>
      <c r="K183" s="6">
        <f>'Feedstock MIX per IVC'!J111</f>
        <v>394.64713390829428</v>
      </c>
      <c r="L183" s="2">
        <f t="shared" ref="L183:L190" si="41">K183*F$182</f>
        <v>998671895.68338096</v>
      </c>
      <c r="M183" s="5" t="s">
        <v>211</v>
      </c>
      <c r="N183" s="167">
        <v>0.15</v>
      </c>
      <c r="O183" s="2">
        <f t="shared" ref="O183:O188" si="42">N183*O$182</f>
        <v>260013385.28740489</v>
      </c>
      <c r="P183" s="18" t="s">
        <v>217</v>
      </c>
      <c r="Q183" s="118">
        <v>0.15</v>
      </c>
      <c r="R183" s="2">
        <f>Q183*R$182</f>
        <v>240132799.80648834</v>
      </c>
    </row>
    <row r="184" spans="1:19" x14ac:dyDescent="0.35">
      <c r="D184" s="6"/>
      <c r="E184" s="6"/>
      <c r="F184" s="31"/>
      <c r="G184" s="150" t="s">
        <v>178</v>
      </c>
      <c r="H184" s="2">
        <f t="shared" si="40"/>
        <v>1.3572099349869226E-2</v>
      </c>
      <c r="I184" s="5" t="s">
        <v>5</v>
      </c>
      <c r="J184" s="147" t="s">
        <v>179</v>
      </c>
      <c r="K184" s="6">
        <f>'Feedstock MIX per IVC'!J112</f>
        <v>18.419440190533358</v>
      </c>
      <c r="L184" s="2">
        <f t="shared" si="41"/>
        <v>46611201.937123708</v>
      </c>
      <c r="M184" t="s">
        <v>212</v>
      </c>
      <c r="N184" s="34">
        <v>0.02</v>
      </c>
      <c r="O184" s="2">
        <f t="shared" si="42"/>
        <v>34668451.371653989</v>
      </c>
      <c r="P184" s="18" t="s">
        <v>177</v>
      </c>
      <c r="Q184" s="118">
        <v>0.25</v>
      </c>
      <c r="R184" s="2">
        <f>Q184*R$182</f>
        <v>400221333.01081389</v>
      </c>
    </row>
    <row r="185" spans="1:19" x14ac:dyDescent="0.35">
      <c r="D185" s="6"/>
      <c r="E185" s="6"/>
      <c r="F185" s="31"/>
      <c r="G185" s="147" t="s">
        <v>179</v>
      </c>
      <c r="H185" s="2">
        <f t="shared" si="40"/>
        <v>0.66945981181499714</v>
      </c>
      <c r="I185" s="5" t="s">
        <v>6</v>
      </c>
      <c r="J185" s="150" t="s">
        <v>178</v>
      </c>
      <c r="K185" s="6">
        <f>'Feedstock MIX per IVC'!J113</f>
        <v>9.3412156377111621</v>
      </c>
      <c r="L185" s="2">
        <f t="shared" si="41"/>
        <v>23638356.210811913</v>
      </c>
      <c r="M185" s="5" t="s">
        <v>210</v>
      </c>
      <c r="N185" s="167">
        <v>0.45</v>
      </c>
      <c r="O185" s="2">
        <f t="shared" si="42"/>
        <v>780040155.86221468</v>
      </c>
      <c r="P185" s="18" t="s">
        <v>218</v>
      </c>
      <c r="Q185" s="118">
        <v>0.2</v>
      </c>
      <c r="R185" s="2">
        <f>Q185*R$182</f>
        <v>320177066.40865111</v>
      </c>
      <c r="S185" s="2"/>
    </row>
    <row r="186" spans="1:19" x14ac:dyDescent="0.35">
      <c r="D186" s="6"/>
      <c r="E186" s="6"/>
      <c r="F186" s="31"/>
      <c r="G186" s="171" t="s">
        <v>222</v>
      </c>
      <c r="H186" s="2">
        <f t="shared" si="40"/>
        <v>0.13513065067147684</v>
      </c>
      <c r="I186" s="5" t="s">
        <v>7</v>
      </c>
      <c r="J186" s="147" t="s">
        <v>179</v>
      </c>
      <c r="K186" s="6">
        <f>'Feedstock MIX per IVC'!J114</f>
        <v>35.29932819362039</v>
      </c>
      <c r="L186" s="2">
        <f t="shared" si="41"/>
        <v>89326499.484130159</v>
      </c>
      <c r="M186" t="s">
        <v>213</v>
      </c>
      <c r="N186" s="34">
        <v>0.1</v>
      </c>
      <c r="O186" s="2">
        <f t="shared" si="42"/>
        <v>173342256.85826993</v>
      </c>
      <c r="P186" s="18" t="s">
        <v>219</v>
      </c>
      <c r="Q186" s="118">
        <v>0.3</v>
      </c>
      <c r="R186" s="2">
        <f>Q186*R$182</f>
        <v>480265599.61297667</v>
      </c>
    </row>
    <row r="187" spans="1:19" x14ac:dyDescent="0.35">
      <c r="D187" s="6"/>
      <c r="E187" s="6"/>
      <c r="F187" s="31"/>
      <c r="G187" s="149" t="s">
        <v>176</v>
      </c>
      <c r="H187" s="2">
        <f t="shared" si="40"/>
        <v>0.16069514825246239</v>
      </c>
      <c r="I187" s="5" t="s">
        <v>8</v>
      </c>
      <c r="J187" s="147" t="s">
        <v>179</v>
      </c>
      <c r="K187" s="6">
        <f>'Feedstock MIX per IVC'!J115</f>
        <v>12.400579129284262</v>
      </c>
      <c r="L187" s="2">
        <f t="shared" si="41"/>
        <v>31380209.819265604</v>
      </c>
      <c r="M187" t="s">
        <v>214</v>
      </c>
      <c r="N187" s="34">
        <v>0.25</v>
      </c>
      <c r="O187" s="2">
        <f t="shared" si="42"/>
        <v>433355642.14567482</v>
      </c>
      <c r="P187" s="18" t="s">
        <v>220</v>
      </c>
      <c r="Q187" s="118">
        <v>0.1</v>
      </c>
      <c r="R187" s="2">
        <f>Q187*R$182</f>
        <v>160088533.20432556</v>
      </c>
    </row>
    <row r="188" spans="1:19" x14ac:dyDescent="0.35">
      <c r="D188" s="6"/>
      <c r="E188" s="6"/>
      <c r="F188" s="31"/>
      <c r="G188" s="151" t="s">
        <v>77</v>
      </c>
      <c r="H188" s="2">
        <f t="shared" si="40"/>
        <v>0</v>
      </c>
      <c r="I188" s="5" t="s">
        <v>9</v>
      </c>
      <c r="J188" s="171" t="s">
        <v>222</v>
      </c>
      <c r="K188" s="6">
        <f>'Feedstock MIX per IVC'!J116</f>
        <v>93.005843432662942</v>
      </c>
      <c r="L188" s="2">
        <f t="shared" si="41"/>
        <v>235355369.36678392</v>
      </c>
      <c r="M188" t="s">
        <v>216</v>
      </c>
      <c r="N188" s="34">
        <v>0.03</v>
      </c>
      <c r="O188" s="2">
        <f t="shared" si="42"/>
        <v>52002677.057480976</v>
      </c>
      <c r="Q188" s="34"/>
      <c r="R188" s="2"/>
    </row>
    <row r="189" spans="1:19" x14ac:dyDescent="0.35">
      <c r="D189" s="6"/>
      <c r="E189" s="6"/>
      <c r="F189" s="31"/>
      <c r="G189" s="6"/>
      <c r="H189" s="2">
        <f>SUM(H183:H188)</f>
        <v>1</v>
      </c>
      <c r="I189" s="5" t="s">
        <v>10</v>
      </c>
      <c r="J189" s="149" t="s">
        <v>176</v>
      </c>
      <c r="K189" s="6">
        <f>'Feedstock MIX per IVC'!J117</f>
        <v>110.60102000908789</v>
      </c>
      <c r="L189" s="2">
        <f t="shared" si="41"/>
        <v>279880736.04674405</v>
      </c>
    </row>
    <row r="190" spans="1:19" x14ac:dyDescent="0.35">
      <c r="D190" s="6"/>
      <c r="E190" s="6"/>
      <c r="F190" s="31"/>
      <c r="G190" s="6"/>
      <c r="H190" s="238"/>
      <c r="I190" s="5" t="s">
        <v>11</v>
      </c>
      <c r="J190" s="152" t="s">
        <v>180</v>
      </c>
      <c r="K190" s="6">
        <f>'Feedstock MIX per IVC'!J118</f>
        <v>14.551521031812669</v>
      </c>
      <c r="L190" s="2">
        <f t="shared" si="41"/>
        <v>36823262.720802762</v>
      </c>
    </row>
    <row r="191" spans="1:19" x14ac:dyDescent="0.35">
      <c r="D191" s="6"/>
      <c r="E191" s="6"/>
      <c r="F191" s="31"/>
      <c r="G191" s="6"/>
      <c r="H191" s="6"/>
      <c r="I191" s="6" t="s">
        <v>319</v>
      </c>
      <c r="J191" s="6"/>
      <c r="K191" s="6"/>
      <c r="L191" s="2">
        <f>SUM(L183:L190)</f>
        <v>1741687531.269043</v>
      </c>
    </row>
    <row r="192" spans="1:19" x14ac:dyDescent="0.35">
      <c r="I192" s="78"/>
      <c r="L192" s="213"/>
      <c r="O192" s="213"/>
      <c r="R192" s="213"/>
    </row>
    <row r="193" spans="1:18" x14ac:dyDescent="0.35">
      <c r="J193" s="152" t="s">
        <v>180</v>
      </c>
      <c r="L193">
        <f t="shared" ref="L193:L199" si="43">SUMIF($J$165:$J$190,J193,$L$165:$L$190)</f>
        <v>124400237.24782729</v>
      </c>
      <c r="M193" s="5" t="s">
        <v>211</v>
      </c>
      <c r="O193">
        <f t="shared" ref="O193:O198" si="44">SUMIF($M$165:$M$190,M193,$O$165:$O$190)</f>
        <v>260013385.28740489</v>
      </c>
      <c r="P193" s="18" t="s">
        <v>217</v>
      </c>
      <c r="R193">
        <f>SUMIF($P$165:$P$190,P193,$R$165:$R$190)</f>
        <v>2129740031.4873095</v>
      </c>
    </row>
    <row r="194" spans="1:18" x14ac:dyDescent="0.35">
      <c r="J194" s="150" t="s">
        <v>178</v>
      </c>
      <c r="L194">
        <f t="shared" si="43"/>
        <v>70980871.252687275</v>
      </c>
      <c r="M194" t="s">
        <v>212</v>
      </c>
      <c r="O194">
        <f t="shared" si="44"/>
        <v>298538072.31112343</v>
      </c>
      <c r="P194" s="18" t="s">
        <v>177</v>
      </c>
      <c r="R194">
        <f>SUMIF($P$165:$P$190,P194,$R$165:$R$190)</f>
        <v>1533985672.0193067</v>
      </c>
    </row>
    <row r="195" spans="1:18" x14ac:dyDescent="0.35">
      <c r="J195" s="147" t="s">
        <v>179</v>
      </c>
      <c r="L195">
        <f t="shared" si="43"/>
        <v>3411764383.0745983</v>
      </c>
      <c r="M195" s="5" t="s">
        <v>210</v>
      </c>
      <c r="O195">
        <f t="shared" si="44"/>
        <v>8036454731.6976261</v>
      </c>
      <c r="P195" s="18" t="s">
        <v>218</v>
      </c>
      <c r="R195">
        <f>SUMIF($P$165:$P$190,P195,$R$165:$R$190)</f>
        <v>2587705744.4256363</v>
      </c>
    </row>
    <row r="196" spans="1:18" x14ac:dyDescent="0.35">
      <c r="J196" s="171" t="s">
        <v>222</v>
      </c>
      <c r="L196">
        <f t="shared" si="43"/>
        <v>720791896.0619421</v>
      </c>
      <c r="M196" t="s">
        <v>213</v>
      </c>
      <c r="O196">
        <f t="shared" si="44"/>
        <v>1492690361.5556173</v>
      </c>
      <c r="P196" s="18" t="s">
        <v>219</v>
      </c>
      <c r="R196">
        <f>SUMIF($P$165:$P$190,P196,$R$165:$R$190)</f>
        <v>2747794277.629962</v>
      </c>
    </row>
    <row r="197" spans="1:18" x14ac:dyDescent="0.35">
      <c r="J197" s="149" t="s">
        <v>176</v>
      </c>
      <c r="L197">
        <f t="shared" si="43"/>
        <v>840421318.39754248</v>
      </c>
      <c r="M197" t="s">
        <v>214</v>
      </c>
      <c r="O197">
        <f t="shared" si="44"/>
        <v>4391399956.2377167</v>
      </c>
      <c r="P197" s="18" t="s">
        <v>220</v>
      </c>
      <c r="R197">
        <f>SUMIF($P$165:$P$190,P197,$R$165:$R$190)</f>
        <v>160088533.20432556</v>
      </c>
    </row>
    <row r="198" spans="1:18" x14ac:dyDescent="0.35">
      <c r="J198" s="152" t="s">
        <v>180</v>
      </c>
      <c r="L198">
        <f t="shared" si="43"/>
        <v>124400237.24782729</v>
      </c>
      <c r="M198" t="s">
        <v>216</v>
      </c>
      <c r="O198">
        <f t="shared" si="44"/>
        <v>447807108.46668512</v>
      </c>
    </row>
    <row r="199" spans="1:18" x14ac:dyDescent="0.35">
      <c r="J199" s="151" t="s">
        <v>77</v>
      </c>
      <c r="L199">
        <f t="shared" si="43"/>
        <v>319705497.05106199</v>
      </c>
    </row>
    <row r="200" spans="1:18" s="190" customFormat="1" ht="32.5" customHeight="1" x14ac:dyDescent="0.35">
      <c r="A200" s="229" t="s">
        <v>350</v>
      </c>
      <c r="B200" s="229"/>
      <c r="C200" s="229"/>
      <c r="F200" s="198"/>
    </row>
    <row r="201" spans="1:18" ht="16.5" customHeight="1" x14ac:dyDescent="0.35">
      <c r="C201" s="2">
        <f>C202+C209</f>
        <v>17729895555.056118</v>
      </c>
      <c r="D201" s="2">
        <f>D202+D209</f>
        <v>12.254999999999999</v>
      </c>
      <c r="F201"/>
      <c r="L201" s="2">
        <f>L202+L209</f>
        <v>13168487700</v>
      </c>
      <c r="O201" s="2">
        <f>O202+O209</f>
        <v>1376401031.3392808</v>
      </c>
      <c r="R201" s="2">
        <f>R202+R209</f>
        <v>903843943.20604324</v>
      </c>
    </row>
    <row r="202" spans="1:18" s="202" customFormat="1" x14ac:dyDescent="0.35">
      <c r="A202" s="202" t="s">
        <v>351</v>
      </c>
      <c r="B202" s="202">
        <v>935</v>
      </c>
      <c r="C202" s="203">
        <f>B202*F202</f>
        <v>10234481875.200001</v>
      </c>
      <c r="D202" s="202">
        <f>'[3]Scenario 3 2030'!$E$26</f>
        <v>5.2287999999999997</v>
      </c>
      <c r="E202" s="202">
        <f>'[1]Conversion factors selected IV '!$O$50</f>
        <v>2.0934000000000004</v>
      </c>
      <c r="F202" s="202">
        <f>D202*E202*1000000</f>
        <v>10945969.920000002</v>
      </c>
      <c r="G202" s="202">
        <f>'LCoP 2030 HIGH'!E12</f>
        <v>370.61968567880001</v>
      </c>
      <c r="H202" s="202">
        <f>G202*F202</f>
        <v>4056791931.2000003</v>
      </c>
      <c r="I202" s="209">
        <f>'LCoP 2030 HIGH'!H12</f>
        <v>0.78751803251959696</v>
      </c>
      <c r="L202" s="202">
        <f>I202*H202</f>
        <v>3194796800.0000005</v>
      </c>
      <c r="M202" s="209">
        <f>'LCoP 2030 HIGH'!F12</f>
        <v>0.1537964717001013</v>
      </c>
      <c r="O202" s="202">
        <f>M202*H202</f>
        <v>623920285.44000018</v>
      </c>
      <c r="P202" s="209">
        <f>'LCoP 2030 HIGH'!G12</f>
        <v>5.8685495780301807E-2</v>
      </c>
      <c r="R202" s="202">
        <f>P202*H202</f>
        <v>238074845.76000002</v>
      </c>
    </row>
    <row r="203" spans="1:18" x14ac:dyDescent="0.35">
      <c r="C203">
        <f>C202/C201</f>
        <v>0.57724434097308519</v>
      </c>
      <c r="E203" s="1"/>
      <c r="I203" s="15" t="s">
        <v>30</v>
      </c>
      <c r="J203" s="242" t="s">
        <v>177</v>
      </c>
      <c r="L203" s="2">
        <f>L202</f>
        <v>3194796800.0000005</v>
      </c>
      <c r="M203" s="5" t="s">
        <v>211</v>
      </c>
      <c r="N203" s="34">
        <v>0.2</v>
      </c>
      <c r="O203" s="2">
        <f t="shared" ref="O203:O208" si="45">N203*O$202</f>
        <v>124784057.08800004</v>
      </c>
      <c r="P203" s="18" t="s">
        <v>217</v>
      </c>
      <c r="Q203" s="34">
        <v>0.35</v>
      </c>
      <c r="R203" s="2">
        <f>Q203*$R$202</f>
        <v>83326196.016000003</v>
      </c>
    </row>
    <row r="204" spans="1:18" x14ac:dyDescent="0.35">
      <c r="E204" s="1"/>
      <c r="M204" t="s">
        <v>212</v>
      </c>
      <c r="N204" s="34">
        <v>7.0000000000000007E-2</v>
      </c>
      <c r="O204" s="2">
        <f t="shared" si="45"/>
        <v>43674419.980800018</v>
      </c>
      <c r="P204" s="18" t="s">
        <v>177</v>
      </c>
      <c r="Q204" s="34">
        <v>0.15</v>
      </c>
      <c r="R204" s="2">
        <f>Q204*$R$202</f>
        <v>35711226.864</v>
      </c>
    </row>
    <row r="205" spans="1:18" x14ac:dyDescent="0.35">
      <c r="E205" s="1"/>
      <c r="M205" s="5" t="s">
        <v>210</v>
      </c>
      <c r="N205" s="34">
        <v>0.4</v>
      </c>
      <c r="O205" s="2">
        <f t="shared" si="45"/>
        <v>249568114.17600009</v>
      </c>
      <c r="P205" s="18" t="s">
        <v>218</v>
      </c>
      <c r="Q205" s="34">
        <v>0.12</v>
      </c>
      <c r="R205" s="2">
        <f>Q205*$R$202</f>
        <v>28568981.4912</v>
      </c>
    </row>
    <row r="206" spans="1:18" x14ac:dyDescent="0.35">
      <c r="E206" s="1"/>
      <c r="M206" t="s">
        <v>213</v>
      </c>
      <c r="N206" s="34">
        <v>0.15</v>
      </c>
      <c r="O206" s="2">
        <f t="shared" si="45"/>
        <v>93588042.816000029</v>
      </c>
      <c r="P206" s="18" t="s">
        <v>219</v>
      </c>
      <c r="Q206" s="34">
        <v>0.3</v>
      </c>
      <c r="R206" s="2">
        <f>Q206*$R$202</f>
        <v>71422453.728</v>
      </c>
    </row>
    <row r="207" spans="1:18" x14ac:dyDescent="0.35">
      <c r="E207" s="1"/>
      <c r="M207" t="s">
        <v>214</v>
      </c>
      <c r="N207" s="34">
        <v>0.15</v>
      </c>
      <c r="O207" s="2">
        <f t="shared" si="45"/>
        <v>93588042.816000029</v>
      </c>
      <c r="P207" s="18" t="s">
        <v>220</v>
      </c>
      <c r="Q207" s="34">
        <v>0.08</v>
      </c>
      <c r="R207" s="2">
        <f>Q207*$R$202</f>
        <v>19045987.660800003</v>
      </c>
    </row>
    <row r="208" spans="1:18" x14ac:dyDescent="0.35">
      <c r="E208" s="1"/>
      <c r="M208" t="s">
        <v>216</v>
      </c>
      <c r="N208" s="34">
        <v>0.03</v>
      </c>
      <c r="O208" s="2">
        <f t="shared" si="45"/>
        <v>18717608.563200004</v>
      </c>
      <c r="Q208" s="34">
        <f>SUM(Q203:Q207)</f>
        <v>0.99999999999999989</v>
      </c>
    </row>
    <row r="209" spans="1:18" s="202" customFormat="1" x14ac:dyDescent="0.35">
      <c r="A209" s="202" t="s">
        <v>352</v>
      </c>
      <c r="B209" s="202">
        <v>1275</v>
      </c>
      <c r="C209" s="203">
        <f>B209*F209</f>
        <v>7495413679.8561163</v>
      </c>
      <c r="D209" s="202">
        <f>'[3]Scenario 3 2030'!$E$18</f>
        <v>7.0262000000000002</v>
      </c>
      <c r="E209" s="202">
        <f>'[1]Conversion factors selected IV '!$O$62</f>
        <v>0.83669064748201449</v>
      </c>
      <c r="F209" s="202">
        <f>D209*E209*1000000</f>
        <v>5878755.8273381302</v>
      </c>
      <c r="G209" s="202">
        <f>'LCoP 2030 HIGH'!E14</f>
        <v>1937.8149183147032</v>
      </c>
      <c r="H209" s="202">
        <f>G209*F209</f>
        <v>11391940743.345324</v>
      </c>
      <c r="I209" s="209">
        <f>'LCoP 2030 HIGH'!H14</f>
        <v>0.87550410634168685</v>
      </c>
      <c r="L209" s="202">
        <f>I209*H209</f>
        <v>9973690900</v>
      </c>
      <c r="M209" s="209">
        <f>'LCoP 2030 HIGH'!F14</f>
        <v>6.6053779847726757E-2</v>
      </c>
      <c r="O209" s="202">
        <f>M209*H209</f>
        <v>752480745.89928067</v>
      </c>
      <c r="P209" s="209">
        <f>'LCoP 2030 HIGH'!G14</f>
        <v>5.8442113810586366E-2</v>
      </c>
      <c r="R209" s="202">
        <f>P209*H209</f>
        <v>665769097.44604325</v>
      </c>
    </row>
    <row r="210" spans="1:18" x14ac:dyDescent="0.35">
      <c r="C210">
        <f>C209/C201</f>
        <v>0.42275565902691481</v>
      </c>
      <c r="E210" s="1"/>
      <c r="I210" s="15" t="s">
        <v>30</v>
      </c>
      <c r="J210" s="242" t="s">
        <v>177</v>
      </c>
      <c r="L210" s="2">
        <f>L209</f>
        <v>9973690900</v>
      </c>
      <c r="M210" s="5" t="s">
        <v>211</v>
      </c>
      <c r="N210" s="34">
        <v>0.2</v>
      </c>
      <c r="O210" s="2">
        <f t="shared" ref="O210:O215" si="46">N210*O$209</f>
        <v>150496149.17985615</v>
      </c>
      <c r="P210" s="18" t="s">
        <v>217</v>
      </c>
      <c r="Q210" s="34">
        <v>0.35</v>
      </c>
      <c r="R210" s="2">
        <f>Q210*$R$209</f>
        <v>233019184.10611513</v>
      </c>
    </row>
    <row r="211" spans="1:18" x14ac:dyDescent="0.35">
      <c r="M211" t="s">
        <v>212</v>
      </c>
      <c r="N211" s="34">
        <v>7.0000000000000007E-2</v>
      </c>
      <c r="O211" s="2">
        <f t="shared" si="46"/>
        <v>52673652.212949648</v>
      </c>
      <c r="P211" s="18" t="s">
        <v>177</v>
      </c>
      <c r="Q211" s="34">
        <v>0.15</v>
      </c>
      <c r="R211" s="2">
        <f>Q211*$R$209</f>
        <v>99865364.616906479</v>
      </c>
    </row>
    <row r="212" spans="1:18" x14ac:dyDescent="0.35">
      <c r="M212" s="5" t="s">
        <v>210</v>
      </c>
      <c r="N212" s="34">
        <v>0.4</v>
      </c>
      <c r="O212" s="2">
        <f t="shared" si="46"/>
        <v>300992298.3597123</v>
      </c>
      <c r="P212" s="18" t="s">
        <v>218</v>
      </c>
      <c r="Q212" s="34">
        <v>0.12</v>
      </c>
      <c r="R212" s="2">
        <f>Q212*$R$209</f>
        <v>79892291.69352518</v>
      </c>
    </row>
    <row r="213" spans="1:18" x14ac:dyDescent="0.35">
      <c r="M213" t="s">
        <v>213</v>
      </c>
      <c r="N213" s="34">
        <v>0.15</v>
      </c>
      <c r="O213" s="2">
        <f t="shared" si="46"/>
        <v>112872111.88489209</v>
      </c>
      <c r="P213" s="18" t="s">
        <v>219</v>
      </c>
      <c r="Q213" s="34">
        <v>0.3</v>
      </c>
      <c r="R213" s="2">
        <f>Q213*$R$209</f>
        <v>199730729.23381296</v>
      </c>
    </row>
    <row r="214" spans="1:18" x14ac:dyDescent="0.35">
      <c r="M214" t="s">
        <v>214</v>
      </c>
      <c r="N214" s="34">
        <v>0.15</v>
      </c>
      <c r="O214" s="2">
        <f t="shared" si="46"/>
        <v>112872111.88489209</v>
      </c>
      <c r="P214" s="18" t="s">
        <v>220</v>
      </c>
      <c r="Q214" s="34">
        <v>0.08</v>
      </c>
      <c r="R214" s="2">
        <f>Q214*$R$209</f>
        <v>53261527.795683458</v>
      </c>
    </row>
    <row r="215" spans="1:18" x14ac:dyDescent="0.35">
      <c r="M215" t="s">
        <v>216</v>
      </c>
      <c r="N215" s="34">
        <v>0.03</v>
      </c>
      <c r="O215" s="2">
        <f t="shared" si="46"/>
        <v>22574422.37697842</v>
      </c>
      <c r="Q215" s="34">
        <f>SUM(Q210:Q214)</f>
        <v>0.99999999999999989</v>
      </c>
    </row>
    <row r="216" spans="1:18" x14ac:dyDescent="0.35">
      <c r="O216" s="2">
        <f>SUM(O210:O215)</f>
        <v>752480745.89928067</v>
      </c>
      <c r="R216" s="2">
        <f>SUM(R210:R215)</f>
        <v>665769097.44604325</v>
      </c>
    </row>
    <row r="218" spans="1:18" x14ac:dyDescent="0.35">
      <c r="I218" s="78" t="s">
        <v>181</v>
      </c>
      <c r="J218" s="78"/>
      <c r="K218" s="78"/>
      <c r="L218" s="90">
        <f>SUM(L219:L224)</f>
        <v>13168487700</v>
      </c>
      <c r="M218" s="78"/>
      <c r="N218" s="78"/>
      <c r="O218" s="90">
        <f>SUM(O219:O224)</f>
        <v>1376401031.3392811</v>
      </c>
      <c r="P218" s="78"/>
      <c r="Q218" s="78"/>
      <c r="R218" s="90">
        <f>SUM(R219:R224)</f>
        <v>903843943.20604324</v>
      </c>
    </row>
    <row r="219" spans="1:18" x14ac:dyDescent="0.35">
      <c r="J219" s="242" t="s">
        <v>177</v>
      </c>
      <c r="L219" s="2">
        <f>L203+L210</f>
        <v>13168487700</v>
      </c>
      <c r="M219" s="5" t="s">
        <v>211</v>
      </c>
      <c r="O219">
        <f t="shared" ref="O219:O224" si="47">SUMIF($M$203:$M$215, M219, $O$203:$O$215)</f>
        <v>275280206.26785618</v>
      </c>
      <c r="P219" s="18" t="s">
        <v>217</v>
      </c>
      <c r="R219">
        <f>SUMIF($P$203:$P$214, P219, $R$203:$R$214)</f>
        <v>316345380.12211514</v>
      </c>
    </row>
    <row r="220" spans="1:18" x14ac:dyDescent="0.35">
      <c r="M220" t="s">
        <v>212</v>
      </c>
      <c r="O220">
        <f t="shared" si="47"/>
        <v>96348072.193749666</v>
      </c>
      <c r="P220" s="18" t="s">
        <v>177</v>
      </c>
      <c r="R220">
        <f>SUMIF($P$203:$P$214, P220, $R$203:$R$214)</f>
        <v>135576591.48090649</v>
      </c>
    </row>
    <row r="221" spans="1:18" x14ac:dyDescent="0.35">
      <c r="M221" s="5" t="s">
        <v>210</v>
      </c>
      <c r="O221">
        <f t="shared" si="47"/>
        <v>550560412.53571236</v>
      </c>
      <c r="P221" s="18" t="s">
        <v>218</v>
      </c>
      <c r="R221">
        <f>SUMIF($P$203:$P$214, P221, $R$203:$R$214)</f>
        <v>108461273.18472518</v>
      </c>
    </row>
    <row r="222" spans="1:18" x14ac:dyDescent="0.35">
      <c r="M222" t="s">
        <v>213</v>
      </c>
      <c r="O222">
        <f t="shared" si="47"/>
        <v>206460154.70089212</v>
      </c>
      <c r="P222" s="18" t="s">
        <v>219</v>
      </c>
      <c r="R222">
        <f>SUMIF($P$203:$P$214, P222, $R$203:$R$214)</f>
        <v>271153182.96181297</v>
      </c>
    </row>
    <row r="223" spans="1:18" x14ac:dyDescent="0.35">
      <c r="M223" t="s">
        <v>214</v>
      </c>
      <c r="O223">
        <f t="shared" si="47"/>
        <v>206460154.70089212</v>
      </c>
      <c r="P223" s="18" t="s">
        <v>220</v>
      </c>
      <c r="R223">
        <f>SUMIF($P$203:$P$214, P223, $R$203:$R$214)</f>
        <v>72307515.456483454</v>
      </c>
    </row>
    <row r="224" spans="1:18" x14ac:dyDescent="0.35">
      <c r="M224" t="s">
        <v>216</v>
      </c>
      <c r="O224">
        <f t="shared" si="47"/>
        <v>41292030.940178424</v>
      </c>
    </row>
    <row r="226" spans="1:19" s="190" customFormat="1" ht="32.5" customHeight="1" x14ac:dyDescent="0.35">
      <c r="A226" s="229" t="s">
        <v>323</v>
      </c>
      <c r="B226" s="229"/>
      <c r="C226" s="229"/>
      <c r="F226" s="198"/>
    </row>
    <row r="227" spans="1:19" x14ac:dyDescent="0.35">
      <c r="B227" s="2">
        <f>B229+B261</f>
        <v>19215.743597894427</v>
      </c>
      <c r="C227" s="2">
        <f>C229+C261+C271</f>
        <v>23661941838.521221</v>
      </c>
      <c r="D227" s="2">
        <f>D229+D261</f>
        <v>14.932262349480226</v>
      </c>
    </row>
    <row r="228" spans="1:19" s="151" customFormat="1" ht="29.5" customHeight="1" x14ac:dyDescent="0.35">
      <c r="A228" s="151" t="s">
        <v>224</v>
      </c>
      <c r="F228" s="230"/>
    </row>
    <row r="229" spans="1:19" ht="17.5" customHeight="1" x14ac:dyDescent="0.35">
      <c r="B229" s="2">
        <f>C229/1000000</f>
        <v>15867.820045058932</v>
      </c>
      <c r="C229" s="2">
        <f>C230+C238+C245+C253</f>
        <v>15867820045.058931</v>
      </c>
      <c r="D229" s="243">
        <f>'[3]Scenario 3 2030'!$J$4</f>
        <v>12.813433577476269</v>
      </c>
      <c r="E229" s="2">
        <f>E230+E238+E245+E253</f>
        <v>4.1662260442260441</v>
      </c>
      <c r="F229" s="2">
        <f>F230+F238+F245+F253</f>
        <v>13613129.930803731</v>
      </c>
    </row>
    <row r="230" spans="1:19" s="114" customFormat="1" x14ac:dyDescent="0.35">
      <c r="A230" s="114" t="s">
        <v>357</v>
      </c>
      <c r="B230" s="114">
        <v>1165.6261363636365</v>
      </c>
      <c r="C230" s="114">
        <f>B230*F230</f>
        <v>4238632579.4089346</v>
      </c>
      <c r="D230" s="114">
        <f>'[2]GAP analysis Sc. 2'!$K$20</f>
        <v>3.2135569708726672</v>
      </c>
      <c r="E230" s="114">
        <f>'[1]Conversion factors selected IV '!$O$4</f>
        <v>1.1315675675675676</v>
      </c>
      <c r="F230" s="114">
        <f>D230*E230*1000000</f>
        <v>3636356.8447701847</v>
      </c>
      <c r="G230" s="301">
        <f>'LCoP CONVENTIONAL'!$B$3</f>
        <v>800</v>
      </c>
      <c r="H230" s="114">
        <f>G230*F230</f>
        <v>2909085475.8161478</v>
      </c>
      <c r="I230" s="308">
        <f>'LCoP CONVENTIONAL'!$C$3</f>
        <v>0.75</v>
      </c>
      <c r="K230" s="114">
        <f>I230*G230</f>
        <v>600</v>
      </c>
      <c r="L230" s="114">
        <f>I230*H230</f>
        <v>2181814106.8621111</v>
      </c>
      <c r="M230" s="309">
        <f>'LCoP CONVENTIONAL'!$F$3</f>
        <v>6.5000000000000002E-2</v>
      </c>
      <c r="O230" s="114">
        <f>M230*H230</f>
        <v>189090555.92804962</v>
      </c>
      <c r="P230" s="309">
        <f>'LCoP CONVENTIONAL'!$I$3</f>
        <v>0.185</v>
      </c>
      <c r="R230" s="114">
        <f>P230*H230</f>
        <v>538180813.02598739</v>
      </c>
      <c r="S230" s="114">
        <f>SUM(L230,O230,R230)</f>
        <v>2909085475.8161478</v>
      </c>
    </row>
    <row r="231" spans="1:19" x14ac:dyDescent="0.35">
      <c r="C231">
        <f>C230/$C$229</f>
        <v>0.26712129122795286</v>
      </c>
      <c r="D231" s="2"/>
      <c r="E231" s="192" t="s">
        <v>254</v>
      </c>
      <c r="F231" s="154" t="s">
        <v>178</v>
      </c>
      <c r="G231">
        <f>(L231+L233)/L230</f>
        <v>0.80055384228082327</v>
      </c>
      <c r="H231" s="192" t="s">
        <v>254</v>
      </c>
      <c r="I231" s="18" t="s">
        <v>225</v>
      </c>
      <c r="J231" s="154" t="s">
        <v>178</v>
      </c>
      <c r="K231" s="107">
        <f>'Feedtstocks only CONVENTIONAL'!$J$4</f>
        <v>0.76052615016678204</v>
      </c>
      <c r="L231" s="2">
        <f>K231*$L$230</f>
        <v>1659326683.0714173</v>
      </c>
      <c r="M231" t="str">
        <f>'LCoP CONVENTIONAL'!$F$4</f>
        <v>Machinery and equipment</v>
      </c>
      <c r="N231" s="59">
        <f>'LCoP CONVENTIONAL'!$G$4</f>
        <v>0.45</v>
      </c>
      <c r="O231" s="2">
        <f>N231*$O$230</f>
        <v>85090750.167622328</v>
      </c>
      <c r="P231" t="str">
        <f>'LCoP CONVENTIONAL'!$I$4</f>
        <v>Chemical and chemical products</v>
      </c>
      <c r="Q231" s="59">
        <f>'LCoP CONVENTIONAL'!$J$4</f>
        <v>0.3</v>
      </c>
      <c r="R231" s="2">
        <f t="shared" ref="R231:R236" si="48">Q231*$R$230</f>
        <v>161454243.9077962</v>
      </c>
    </row>
    <row r="232" spans="1:19" x14ac:dyDescent="0.35">
      <c r="D232" s="2"/>
      <c r="E232" s="191" t="s">
        <v>252</v>
      </c>
      <c r="F232" s="154" t="s">
        <v>178</v>
      </c>
      <c r="G232">
        <f>(L232+L234)/L230</f>
        <v>0.19944615771917679</v>
      </c>
      <c r="H232" s="191" t="s">
        <v>252</v>
      </c>
      <c r="I232" s="18" t="s">
        <v>226</v>
      </c>
      <c r="J232" s="154" t="s">
        <v>178</v>
      </c>
      <c r="K232" s="107">
        <f>'Feedtstocks only CONVENTIONAL'!$J$5</f>
        <v>0.16011076845616465</v>
      </c>
      <c r="L232" s="2">
        <f>K232*$L$230</f>
        <v>349331933.27819312</v>
      </c>
      <c r="M232" t="str">
        <f>'LCoP CONVENTIONAL'!$F$5</f>
        <v>Architectural and engineering services</v>
      </c>
      <c r="N232" s="59">
        <f>'LCoP CONVENTIONAL'!$G$5</f>
        <v>0.3</v>
      </c>
      <c r="O232" s="2">
        <f>N232*$O$230</f>
        <v>56727166.778414883</v>
      </c>
      <c r="P232" t="str">
        <f>'LCoP CONVENTIONAL'!$I$5</f>
        <v>Electricity, gas, steam &amp; AC</v>
      </c>
      <c r="Q232" s="59">
        <f>'LCoP CONVENTIONAL'!$J$5</f>
        <v>0.2</v>
      </c>
      <c r="R232" s="2">
        <f t="shared" si="48"/>
        <v>107636162.60519749</v>
      </c>
    </row>
    <row r="233" spans="1:19" x14ac:dyDescent="0.35">
      <c r="D233" s="2"/>
      <c r="H233" s="192" t="s">
        <v>254</v>
      </c>
      <c r="I233" s="18" t="s">
        <v>228</v>
      </c>
      <c r="J233" s="154" t="s">
        <v>178</v>
      </c>
      <c r="K233" s="107">
        <f>'Feedtstocks only CONVENTIONAL'!$J$6</f>
        <v>4.0027692114041162E-2</v>
      </c>
      <c r="L233" s="2">
        <f>K233*$L$230</f>
        <v>87332983.319548279</v>
      </c>
      <c r="M233" t="str">
        <f>'LCoP CONVENTIONAL'!$F$6</f>
        <v>Constructions and construction works</v>
      </c>
      <c r="N233" s="59">
        <f>'LCoP CONVENTIONAL'!$G$6</f>
        <v>0.15</v>
      </c>
      <c r="O233" s="2">
        <f>N233*$O$230</f>
        <v>28363583.389207441</v>
      </c>
      <c r="P233" t="str">
        <f>'LCoP CONVENTIONAL'!$I$6</f>
        <v>Legal and accounting services; services of head offices; management consultancy services</v>
      </c>
      <c r="Q233" s="59">
        <f>'LCoP CONVENTIONAL'!$J$6</f>
        <v>0.25</v>
      </c>
      <c r="R233" s="2">
        <f t="shared" si="48"/>
        <v>134545203.25649685</v>
      </c>
    </row>
    <row r="234" spans="1:19" x14ac:dyDescent="0.35">
      <c r="D234" s="2"/>
      <c r="H234" s="191" t="s">
        <v>252</v>
      </c>
      <c r="I234" s="18" t="s">
        <v>227</v>
      </c>
      <c r="J234" s="154" t="s">
        <v>178</v>
      </c>
      <c r="K234" s="107">
        <f>'Feedtstocks only CONVENTIONAL'!$J$7</f>
        <v>3.9335389263012145E-2</v>
      </c>
      <c r="L234" s="2">
        <f>K234*$L$230</f>
        <v>85822507.19295232</v>
      </c>
      <c r="M234" t="str">
        <f>'LCoP CONVENTIONAL'!$F$7</f>
        <v>Fabricated metal products</v>
      </c>
      <c r="N234" s="59">
        <f>'LCoP CONVENTIONAL'!$G$7</f>
        <v>7.0000000000000007E-2</v>
      </c>
      <c r="O234" s="2">
        <f>N234*$O$230</f>
        <v>13236338.914963474</v>
      </c>
      <c r="P234" t="str">
        <f>'LCoP CONVENTIONAL'!$I$7</f>
        <v>Repair and installation services</v>
      </c>
      <c r="Q234" s="59">
        <f>'LCoP CONVENTIONAL'!$J$7</f>
        <v>0.15</v>
      </c>
      <c r="R234" s="2">
        <f t="shared" si="48"/>
        <v>80727121.953898102</v>
      </c>
    </row>
    <row r="235" spans="1:19" x14ac:dyDescent="0.35">
      <c r="D235" s="2"/>
      <c r="L235" s="2">
        <f>SUM(L231:L234)</f>
        <v>2181814106.8621111</v>
      </c>
      <c r="M235" t="str">
        <f>'LCoP CONVENTIONAL'!$F$8</f>
        <v>Computer, electronic and optical products</v>
      </c>
      <c r="N235" s="59">
        <f>'LCoP CONVENTIONAL'!$G$8</f>
        <v>0.03</v>
      </c>
      <c r="O235" s="2">
        <f>N235*$O$230</f>
        <v>5672716.6778414883</v>
      </c>
      <c r="P235" s="102" t="str">
        <f>'LCoP CONVENTIONAL'!$I$8</f>
        <v>Land transport services and transport services via pipelines</v>
      </c>
      <c r="Q235" s="59">
        <f>'LCoP CONVENTIONAL'!$J$8</f>
        <v>0.1</v>
      </c>
      <c r="R235" s="2">
        <f t="shared" si="48"/>
        <v>53818081.302598745</v>
      </c>
    </row>
    <row r="236" spans="1:19" x14ac:dyDescent="0.35">
      <c r="D236" s="2"/>
      <c r="O236" s="2">
        <f>SUM(O231:O235)</f>
        <v>189090555.92804962</v>
      </c>
      <c r="P236" t="str">
        <f>'LCoP CONVENTIONAL'!$I$9</f>
        <v>Waste management services</v>
      </c>
      <c r="Q236" s="59">
        <f>'LCoP CONVENTIONAL'!$J$9</f>
        <v>0</v>
      </c>
      <c r="R236" s="2">
        <f t="shared" si="48"/>
        <v>0</v>
      </c>
    </row>
    <row r="237" spans="1:19" s="117" customFormat="1" x14ac:dyDescent="0.35">
      <c r="R237" s="2">
        <f>SUM(R231:R236)</f>
        <v>538180813.02598739</v>
      </c>
    </row>
    <row r="238" spans="1:19" s="114" customFormat="1" x14ac:dyDescent="0.35">
      <c r="A238" s="114" t="s">
        <v>330</v>
      </c>
      <c r="B238" s="114">
        <v>1165.6261363636365</v>
      </c>
      <c r="C238" s="114">
        <f>B238*F238</f>
        <v>5006112138.5829525</v>
      </c>
      <c r="D238" s="114">
        <f>'[2]GAP analysis Sc. 2'!$K$21</f>
        <v>4.513482447113156</v>
      </c>
      <c r="E238" s="114">
        <f>'[1]Conversion factors selected IV '!$O$7</f>
        <v>0.95154545454545458</v>
      </c>
      <c r="F238" s="114">
        <f>D238*E238*1000000</f>
        <v>4294783.7067212192</v>
      </c>
      <c r="G238" s="301">
        <f>'LCoP CONVENTIONAL'!$B$24</f>
        <v>900</v>
      </c>
      <c r="H238" s="114">
        <f>G238*F238</f>
        <v>3865305336.0490975</v>
      </c>
      <c r="I238" s="308">
        <f>'LCoP CONVENTIONAL'!$C$24</f>
        <v>0.66666666666666663</v>
      </c>
      <c r="K238" s="114">
        <f>I238*G238</f>
        <v>600</v>
      </c>
      <c r="L238" s="114">
        <f>I238*H238</f>
        <v>2576870224.0327315</v>
      </c>
      <c r="M238" s="308">
        <f>'LCoP CONVENTIONAL'!$F$24</f>
        <v>0.1111111111111111</v>
      </c>
      <c r="O238" s="114">
        <f>M238*H238</f>
        <v>429478370.67212194</v>
      </c>
      <c r="P238" s="309">
        <f>'LCoP CONVENTIONAL'!$I$24</f>
        <v>0.22222222222222221</v>
      </c>
      <c r="R238" s="114">
        <f>P238*H238</f>
        <v>858956741.34424388</v>
      </c>
      <c r="S238" s="114">
        <f>SUM(L238,O238,R238)</f>
        <v>3865305336.0490975</v>
      </c>
    </row>
    <row r="239" spans="1:19" x14ac:dyDescent="0.35">
      <c r="C239">
        <f>C238/$C$229</f>
        <v>0.31548833578698177</v>
      </c>
      <c r="D239" s="2"/>
      <c r="E239" s="192" t="s">
        <v>254</v>
      </c>
      <c r="F239" s="154" t="s">
        <v>178</v>
      </c>
      <c r="G239">
        <f>SUMIF($H$239:$H$242,E239,$L$239:$L$242)/$L$238</f>
        <v>0.80055384228082316</v>
      </c>
      <c r="H239" s="192" t="s">
        <v>254</v>
      </c>
      <c r="I239" s="18" t="s">
        <v>225</v>
      </c>
      <c r="J239" s="154" t="s">
        <v>178</v>
      </c>
      <c r="K239" s="107">
        <f>'Feedtstocks only CONVENTIONAL'!$J$4</f>
        <v>0.76052615016678204</v>
      </c>
      <c r="L239" s="2">
        <f>K239*$L$238</f>
        <v>1959777190.9630265</v>
      </c>
      <c r="M239" t="str">
        <f>'LCoP CONVENTIONAL'!$F$25</f>
        <v>Machinery and equipment</v>
      </c>
      <c r="N239" s="59">
        <f>'LCoP CONVENTIONAL'!$G$25</f>
        <v>0.55000000000000004</v>
      </c>
      <c r="O239" s="2">
        <f>N239*$O$238</f>
        <v>236213103.86966708</v>
      </c>
      <c r="P239" t="str">
        <f>'LCoP CONVENTIONAL'!$I$25</f>
        <v>Chemical and chemical products</v>
      </c>
      <c r="Q239" s="59">
        <f>'LCoP CONVENTIONAL'!$J$25</f>
        <v>0.4</v>
      </c>
      <c r="R239" s="2">
        <f t="shared" ref="R239:R244" si="49">Q239*$R$238</f>
        <v>343582696.53769755</v>
      </c>
    </row>
    <row r="240" spans="1:19" x14ac:dyDescent="0.35">
      <c r="D240" s="2"/>
      <c r="E240" s="191" t="s">
        <v>252</v>
      </c>
      <c r="F240" s="154" t="s">
        <v>178</v>
      </c>
      <c r="G240">
        <f>SUMIF($H$239:$H$242,E240,$L$239:$L$242)/$L$238</f>
        <v>0.19944615771917679</v>
      </c>
      <c r="H240" s="191" t="s">
        <v>252</v>
      </c>
      <c r="I240" s="18" t="s">
        <v>226</v>
      </c>
      <c r="J240" s="154" t="s">
        <v>178</v>
      </c>
      <c r="K240" s="107">
        <f>'Feedtstocks only CONVENTIONAL'!$J$5</f>
        <v>0.16011076845616465</v>
      </c>
      <c r="L240" s="2">
        <f>K240*$L$238</f>
        <v>412584671.78168982</v>
      </c>
      <c r="M240" t="str">
        <f>'LCoP CONVENTIONAL'!$F$26</f>
        <v>Architectural and engineering services</v>
      </c>
      <c r="N240" s="59">
        <f>'LCoP CONVENTIONAL'!$G$26</f>
        <v>0.25</v>
      </c>
      <c r="O240" s="2">
        <f>N240*$O$238</f>
        <v>107369592.66803049</v>
      </c>
      <c r="P240" t="str">
        <f>'LCoP CONVENTIONAL'!$I$26</f>
        <v>Electricity, gas, steam &amp; AC</v>
      </c>
      <c r="Q240" s="59">
        <f>'LCoP CONVENTIONAL'!$J$26</f>
        <v>0.2</v>
      </c>
      <c r="R240" s="2">
        <f t="shared" si="49"/>
        <v>171791348.26884878</v>
      </c>
    </row>
    <row r="241" spans="1:19" x14ac:dyDescent="0.35">
      <c r="D241" s="2"/>
      <c r="H241" s="192" t="s">
        <v>254</v>
      </c>
      <c r="I241" s="18" t="s">
        <v>228</v>
      </c>
      <c r="J241" s="154" t="s">
        <v>178</v>
      </c>
      <c r="K241" s="107">
        <f>'Feedtstocks only CONVENTIONAL'!$J$6</f>
        <v>4.0027692114041162E-2</v>
      </c>
      <c r="L241" s="2">
        <f>K241*$L$238</f>
        <v>103146167.94542246</v>
      </c>
      <c r="M241" t="str">
        <f>'LCoP CONVENTIONAL'!$F$27</f>
        <v>Constructions and construction works</v>
      </c>
      <c r="N241" s="59">
        <f>'LCoP CONVENTIONAL'!$G$27</f>
        <v>0.1</v>
      </c>
      <c r="O241" s="2">
        <f>N241*$O$238</f>
        <v>42947837.067212194</v>
      </c>
      <c r="P241" t="str">
        <f>'LCoP CONVENTIONAL'!$I$27</f>
        <v>Legal and accounting services; services of head offices; management consultancy services</v>
      </c>
      <c r="Q241" s="59">
        <f>'LCoP CONVENTIONAL'!$J$27</f>
        <v>0.2</v>
      </c>
      <c r="R241" s="2">
        <f t="shared" si="49"/>
        <v>171791348.26884878</v>
      </c>
    </row>
    <row r="242" spans="1:19" x14ac:dyDescent="0.35">
      <c r="D242" s="2"/>
      <c r="H242" s="191" t="s">
        <v>252</v>
      </c>
      <c r="I242" s="18" t="s">
        <v>227</v>
      </c>
      <c r="J242" s="154" t="s">
        <v>178</v>
      </c>
      <c r="K242" s="107">
        <f>'Feedtstocks only CONVENTIONAL'!$J$7</f>
        <v>3.9335389263012145E-2</v>
      </c>
      <c r="L242" s="2">
        <f>K242*$L$238</f>
        <v>101362193.34259281</v>
      </c>
      <c r="M242" t="str">
        <f>'LCoP CONVENTIONAL'!$F$28</f>
        <v>Fabricated metal products</v>
      </c>
      <c r="N242" s="59">
        <f>'LCoP CONVENTIONAL'!$G$28</f>
        <v>7.0000000000000007E-2</v>
      </c>
      <c r="O242" s="2">
        <f>N242*$O$238</f>
        <v>30063485.947048537</v>
      </c>
      <c r="P242" t="str">
        <f>'LCoP CONVENTIONAL'!$I$28</f>
        <v>Repair and installation services</v>
      </c>
      <c r="Q242" s="59">
        <f>'LCoP CONVENTIONAL'!$J$28</f>
        <v>0.15</v>
      </c>
      <c r="R242" s="2">
        <f t="shared" si="49"/>
        <v>128843511.20163658</v>
      </c>
    </row>
    <row r="243" spans="1:19" x14ac:dyDescent="0.35">
      <c r="D243" s="2"/>
      <c r="M243" t="str">
        <f>'LCoP CONVENTIONAL'!$F$29</f>
        <v>Computer, electronic and optical products</v>
      </c>
      <c r="N243" s="59">
        <f>'LCoP CONVENTIONAL'!$G$29</f>
        <v>0.03</v>
      </c>
      <c r="O243" s="2">
        <f>N243*$O$238</f>
        <v>12884351.120163659</v>
      </c>
      <c r="P243" s="299" t="str">
        <f>'LCoP CONVENTIONAL'!$I$29</f>
        <v>Land transport services and transport services via pipelines</v>
      </c>
      <c r="Q243" s="59">
        <f>'LCoP CONVENTIONAL'!$J$29</f>
        <v>0.05</v>
      </c>
      <c r="R243" s="2">
        <f t="shared" si="49"/>
        <v>42947837.067212194</v>
      </c>
    </row>
    <row r="244" spans="1:19" x14ac:dyDescent="0.35">
      <c r="D244" s="2"/>
      <c r="P244" t="str">
        <f>'LCoP CONVENTIONAL'!$I$30</f>
        <v>Waste management services</v>
      </c>
      <c r="Q244" s="59">
        <f>'LCoP CONVENTIONAL'!$J$30</f>
        <v>0</v>
      </c>
      <c r="R244" s="2">
        <f t="shared" si="49"/>
        <v>0</v>
      </c>
    </row>
    <row r="245" spans="1:19" s="114" customFormat="1" x14ac:dyDescent="0.35">
      <c r="A245" s="114" t="s">
        <v>245</v>
      </c>
      <c r="B245" s="114">
        <v>1165.6261363636365</v>
      </c>
      <c r="C245" s="114">
        <f>B245*F245</f>
        <v>6169556234.9997635</v>
      </c>
      <c r="D245" s="114">
        <f>D229-D230-D238-D253</f>
        <v>4.6775039059741124</v>
      </c>
      <c r="E245" s="114">
        <f>'[1]Conversion factors selected IV '!$O$4</f>
        <v>1.1315675675675676</v>
      </c>
      <c r="F245" s="114">
        <f>D245*E245*1000000</f>
        <v>5292911.717170923</v>
      </c>
      <c r="G245" s="301">
        <f>'LCoP CONVENTIONAL'!$B$17</f>
        <v>1253</v>
      </c>
      <c r="H245" s="114">
        <f>G245*F245</f>
        <v>6632018381.6151667</v>
      </c>
      <c r="I245" s="309">
        <f>'LCoP CONVENTIONAL'!$C$17</f>
        <v>0.72067039106145248</v>
      </c>
      <c r="K245" s="114">
        <f>I245*G245</f>
        <v>903</v>
      </c>
      <c r="L245" s="114">
        <f>I245*H245</f>
        <v>4779499280.6053429</v>
      </c>
      <c r="M245" s="309">
        <f>'LCoP CONVENTIONAL'!$F$17</f>
        <v>6.6241021548284124E-2</v>
      </c>
      <c r="O245" s="114">
        <f>M245*H245</f>
        <v>439311672.52518666</v>
      </c>
      <c r="P245" s="309">
        <f>'LCoP CONVENTIONAL'!$I$17</f>
        <v>0.21308858739026337</v>
      </c>
      <c r="R245" s="114">
        <f>P245*H245</f>
        <v>1413207428.4846365</v>
      </c>
      <c r="S245" s="114">
        <f>SUM(L245,O245,R245)</f>
        <v>6632018381.6151657</v>
      </c>
    </row>
    <row r="246" spans="1:19" x14ac:dyDescent="0.35">
      <c r="C246">
        <f>C245/$C$229</f>
        <v>0.38880931454228945</v>
      </c>
      <c r="H246" s="192" t="s">
        <v>254</v>
      </c>
      <c r="I246" s="18" t="s">
        <v>268</v>
      </c>
      <c r="J246" s="154" t="s">
        <v>178</v>
      </c>
      <c r="K246" s="59">
        <v>0.42676656092472498</v>
      </c>
      <c r="L246" s="2">
        <f>K246*$L$245</f>
        <v>2039730470.9261394</v>
      </c>
      <c r="M246" t="str">
        <f>'LCoP CONVENTIONAL'!$F$18</f>
        <v>Machinery and equipment</v>
      </c>
      <c r="N246" s="59">
        <f>'LCoP CONVENTIONAL'!$G$18</f>
        <v>0.5</v>
      </c>
      <c r="O246" s="2">
        <f>N246*$O$245</f>
        <v>219655836.26259333</v>
      </c>
      <c r="P246" t="str">
        <f>'LCoP CONVENTIONAL'!$I$18</f>
        <v>Chemical and chemical products</v>
      </c>
      <c r="Q246" s="59">
        <f>'LCoP CONVENTIONAL'!$J$18</f>
        <v>0.25</v>
      </c>
      <c r="R246" s="2">
        <f t="shared" ref="R246:R251" si="50">Q246*$R$245</f>
        <v>353301857.12115914</v>
      </c>
    </row>
    <row r="247" spans="1:19" x14ac:dyDescent="0.35">
      <c r="H247" s="191" t="s">
        <v>252</v>
      </c>
      <c r="I247" s="18" t="s">
        <v>269</v>
      </c>
      <c r="J247" s="154" t="s">
        <v>178</v>
      </c>
      <c r="K247" s="59">
        <v>0.28451104061648402</v>
      </c>
      <c r="L247" s="2">
        <f>K247*$L$245</f>
        <v>1359820313.950763</v>
      </c>
      <c r="M247" t="str">
        <f>'LCoP CONVENTIONAL'!$F$19</f>
        <v>Architectural and engineering services</v>
      </c>
      <c r="N247" s="59">
        <f>'LCoP CONVENTIONAL'!$G$19</f>
        <v>0.3</v>
      </c>
      <c r="O247" s="2">
        <f>N247*$O$245</f>
        <v>131793501.75755599</v>
      </c>
      <c r="P247" t="str">
        <f>'LCoP CONVENTIONAL'!$I$19</f>
        <v>Electricity, gas, steam &amp; AC</v>
      </c>
      <c r="Q247" s="59">
        <f>'LCoP CONVENTIONAL'!$J$19</f>
        <v>0.15</v>
      </c>
      <c r="R247" s="2">
        <f t="shared" si="50"/>
        <v>211981114.27269548</v>
      </c>
    </row>
    <row r="248" spans="1:19" x14ac:dyDescent="0.35">
      <c r="H248" s="192" t="s">
        <v>254</v>
      </c>
      <c r="I248" s="18" t="s">
        <v>267</v>
      </c>
      <c r="J248" s="154" t="s">
        <v>178</v>
      </c>
      <c r="K248" s="59">
        <v>0.288722398458791</v>
      </c>
      <c r="L248" s="2">
        <f>K248*$L$245</f>
        <v>1379948495.7284408</v>
      </c>
      <c r="M248" t="str">
        <f>'LCoP CONVENTIONAL'!$F$20</f>
        <v>Constructions and construction works</v>
      </c>
      <c r="N248" s="59">
        <f>'LCoP CONVENTIONAL'!$G$20</f>
        <v>0.1</v>
      </c>
      <c r="O248" s="2">
        <f>N248*$O$245</f>
        <v>43931167.252518669</v>
      </c>
      <c r="P248" t="str">
        <f>'LCoP CONVENTIONAL'!$I$20</f>
        <v>Legal and accounting services; services of head offices; management consultancy services</v>
      </c>
      <c r="Q248" s="59">
        <f>'LCoP CONVENTIONAL'!$J$20</f>
        <v>0.2</v>
      </c>
      <c r="R248" s="2">
        <f t="shared" si="50"/>
        <v>282641485.69692731</v>
      </c>
    </row>
    <row r="249" spans="1:19" x14ac:dyDescent="0.35">
      <c r="M249" t="str">
        <f>'LCoP CONVENTIONAL'!$F$21</f>
        <v>Fabricated metal products</v>
      </c>
      <c r="N249" s="59">
        <f>'LCoP CONVENTIONAL'!$G$21</f>
        <v>7.0000000000000007E-2</v>
      </c>
      <c r="O249" s="2">
        <f>N249*$O$245</f>
        <v>30751817.076763067</v>
      </c>
      <c r="P249" t="str">
        <f>'LCoP CONVENTIONAL'!$I$21</f>
        <v>Repair and installation services</v>
      </c>
      <c r="Q249" s="59">
        <f>'LCoP CONVENTIONAL'!$J$21</f>
        <v>0.2</v>
      </c>
      <c r="R249" s="2">
        <f t="shared" si="50"/>
        <v>282641485.69692731</v>
      </c>
    </row>
    <row r="250" spans="1:19" s="114" customFormat="1" x14ac:dyDescent="0.35">
      <c r="A250"/>
      <c r="B250"/>
      <c r="C250"/>
      <c r="D250"/>
      <c r="E250"/>
      <c r="F250" s="1"/>
      <c r="G250"/>
      <c r="H250"/>
      <c r="I250"/>
      <c r="J250"/>
      <c r="K250"/>
      <c r="L250"/>
      <c r="M250" t="str">
        <f>'LCoP CONVENTIONAL'!$F$22</f>
        <v>Computer, electronic and optical products</v>
      </c>
      <c r="N250" s="59">
        <f>'LCoP CONVENTIONAL'!$G$22</f>
        <v>0.03</v>
      </c>
      <c r="O250" s="2">
        <f>N250*$O$245</f>
        <v>13179350.1757556</v>
      </c>
      <c r="P250" s="102" t="str">
        <f>'LCoP CONVENTIONAL'!$I$22</f>
        <v>Land transport services and transport services via pipelines</v>
      </c>
      <c r="Q250" s="59">
        <f>'LCoP CONVENTIONAL'!$J$22</f>
        <v>0.1</v>
      </c>
      <c r="R250" s="2">
        <f t="shared" si="50"/>
        <v>141320742.84846365</v>
      </c>
      <c r="S250"/>
    </row>
    <row r="251" spans="1:19" x14ac:dyDescent="0.35">
      <c r="O251" s="2">
        <f>SUM(O246:O250)</f>
        <v>439311672.52518672</v>
      </c>
      <c r="P251" t="str">
        <f>'LCoP CONVENTIONAL'!$I$23</f>
        <v>Waste management services</v>
      </c>
      <c r="Q251" s="59">
        <f>'LCoP CONVENTIONAL'!$J$23</f>
        <v>0.1</v>
      </c>
      <c r="R251" s="2">
        <f t="shared" si="50"/>
        <v>141320742.84846365</v>
      </c>
    </row>
    <row r="252" spans="1:19" x14ac:dyDescent="0.35">
      <c r="C252" s="31">
        <f>B252*F252</f>
        <v>0</v>
      </c>
      <c r="R252" s="2">
        <f>SUM(R246:R251)</f>
        <v>1413207428.4846363</v>
      </c>
    </row>
    <row r="253" spans="1:19" x14ac:dyDescent="0.35">
      <c r="A253" s="114" t="s">
        <v>356</v>
      </c>
      <c r="B253" s="114">
        <v>1165.6261363636365</v>
      </c>
      <c r="C253" s="114">
        <f>B253*F253</f>
        <v>453519092.06728184</v>
      </c>
      <c r="D253" s="114">
        <f>'[2]GAP analysis Sc. 2'!$K$23</f>
        <v>0.4088902535163324</v>
      </c>
      <c r="E253" s="114">
        <f>'[1]Conversion factors selected IV '!$O$7</f>
        <v>0.95154545454545458</v>
      </c>
      <c r="F253" s="114">
        <f>D253*E253*1000000</f>
        <v>389077.66214140464</v>
      </c>
      <c r="G253" s="301">
        <f>'LCoP CONVENTIONAL'!$B$31</f>
        <v>1203</v>
      </c>
      <c r="H253" s="114">
        <f>G253*F253</f>
        <v>468060427.55610979</v>
      </c>
      <c r="I253" s="308">
        <f>'LCoP CONVENTIONAL'!$C$31</f>
        <v>0.75062344139650872</v>
      </c>
      <c r="J253" s="114"/>
      <c r="K253" s="114">
        <f>I253*G253</f>
        <v>903</v>
      </c>
      <c r="L253" s="114">
        <f>I253*H253</f>
        <v>351337128.91368836</v>
      </c>
      <c r="M253" s="308">
        <f>'LCoP CONVENTIONAL'!$F$31</f>
        <v>8.3125519534497094E-2</v>
      </c>
      <c r="N253" s="114"/>
      <c r="O253" s="114">
        <f>M253*H253</f>
        <v>38907766.214140467</v>
      </c>
      <c r="P253" s="308">
        <f>'LCoP CONVENTIONAL'!$I$31</f>
        <v>0.16625103906899419</v>
      </c>
      <c r="Q253" s="114"/>
      <c r="R253" s="114">
        <f>P253*H253</f>
        <v>77815532.428280935</v>
      </c>
      <c r="S253" s="114">
        <f>SUM(L253,O253,R253)</f>
        <v>468060427.55610979</v>
      </c>
    </row>
    <row r="254" spans="1:19" x14ac:dyDescent="0.35">
      <c r="C254">
        <f>C253/$C$229</f>
        <v>2.8581058442776003E-2</v>
      </c>
      <c r="I254" t="s">
        <v>353</v>
      </c>
      <c r="J254" s="147" t="s">
        <v>179</v>
      </c>
      <c r="L254" s="2">
        <f>$L$253</f>
        <v>351337128.91368836</v>
      </c>
      <c r="M254" t="str">
        <f>'LCoP CONVENTIONAL'!$F$32</f>
        <v>Machinery and equipment</v>
      </c>
      <c r="N254" s="59">
        <f>'LCoP CONVENTIONAL'!$G$32</f>
        <v>0.57999999999999996</v>
      </c>
      <c r="O254" s="2">
        <f>N254*$O$253</f>
        <v>22566504.40420147</v>
      </c>
      <c r="P254" t="str">
        <f>'LCoP CONVENTIONAL'!$I$32</f>
        <v>Chemical and chemical products</v>
      </c>
      <c r="Q254" s="59">
        <f>'LCoP CONVENTIONAL'!$J$32</f>
        <v>0.35</v>
      </c>
      <c r="R254" s="2">
        <f t="shared" ref="R254:R259" si="51">Q254*$R$253</f>
        <v>27235436.349898327</v>
      </c>
    </row>
    <row r="255" spans="1:19" x14ac:dyDescent="0.35">
      <c r="M255" t="str">
        <f>'LCoP CONVENTIONAL'!$F$33</f>
        <v>Architectural and engineering services</v>
      </c>
      <c r="N255" s="59">
        <f>'LCoP CONVENTIONAL'!$G$33</f>
        <v>0.25</v>
      </c>
      <c r="O255" s="2">
        <f>N255*$O$253</f>
        <v>9726941.5535351168</v>
      </c>
      <c r="P255" t="str">
        <f>'LCoP CONVENTIONAL'!$I$33</f>
        <v>Electricity, gas, steam &amp; AC</v>
      </c>
      <c r="Q255" s="59">
        <f>'LCoP CONVENTIONAL'!$J$33</f>
        <v>0.15</v>
      </c>
      <c r="R255" s="2">
        <f t="shared" si="51"/>
        <v>11672329.86424214</v>
      </c>
    </row>
    <row r="256" spans="1:19" x14ac:dyDescent="0.35">
      <c r="M256" t="str">
        <f>'LCoP CONVENTIONAL'!$F$34</f>
        <v>Constructions and construction works</v>
      </c>
      <c r="N256" s="59">
        <f>'LCoP CONVENTIONAL'!$G$34</f>
        <v>0.08</v>
      </c>
      <c r="O256" s="2">
        <f>N256*$O$253</f>
        <v>3112621.2971312376</v>
      </c>
      <c r="P256" t="str">
        <f>'LCoP CONVENTIONAL'!$I$34</f>
        <v>Legal and accounting services; services of head offices; management consultancy services</v>
      </c>
      <c r="Q256" s="59">
        <f>'LCoP CONVENTIONAL'!$J$34</f>
        <v>0.18</v>
      </c>
      <c r="R256" s="2">
        <f t="shared" si="51"/>
        <v>14006795.837090569</v>
      </c>
    </row>
    <row r="257" spans="1:19" x14ac:dyDescent="0.35">
      <c r="M257" t="str">
        <f>'LCoP CONVENTIONAL'!$F$35</f>
        <v>Fabricated metal products</v>
      </c>
      <c r="N257" s="59">
        <f>'LCoP CONVENTIONAL'!$G$35</f>
        <v>0.06</v>
      </c>
      <c r="O257" s="2">
        <f>N257*$O$253</f>
        <v>2334465.9728484279</v>
      </c>
      <c r="P257" t="str">
        <f>'LCoP CONVENTIONAL'!$I$35</f>
        <v>Repair and installation services</v>
      </c>
      <c r="Q257" s="59">
        <f>'LCoP CONVENTIONAL'!$J$35</f>
        <v>0.15</v>
      </c>
      <c r="R257" s="2">
        <f t="shared" si="51"/>
        <v>11672329.86424214</v>
      </c>
    </row>
    <row r="258" spans="1:19" x14ac:dyDescent="0.35">
      <c r="M258" t="str">
        <f>'LCoP CONVENTIONAL'!$F$36</f>
        <v>Computer, electronic and optical products</v>
      </c>
      <c r="N258" s="59">
        <f>'LCoP CONVENTIONAL'!$G$36</f>
        <v>0.03</v>
      </c>
      <c r="O258" s="2">
        <f>N258*$O$253</f>
        <v>1167232.986424214</v>
      </c>
      <c r="P258" s="299" t="str">
        <f>'LCoP CONVENTIONAL'!$I$36</f>
        <v>Land transport services and transport services via pipelines</v>
      </c>
      <c r="Q258" s="59">
        <f>'LCoP CONVENTIONAL'!$J$36</f>
        <v>0.17</v>
      </c>
      <c r="R258" s="2">
        <f t="shared" si="51"/>
        <v>13228640.51280776</v>
      </c>
    </row>
    <row r="259" spans="1:19" x14ac:dyDescent="0.35">
      <c r="P259" t="str">
        <f>'LCoP CONVENTIONAL'!$I$37</f>
        <v>Waste management services</v>
      </c>
      <c r="Q259" s="59">
        <f>'LCoP CONVENTIONAL'!$J$37</f>
        <v>0</v>
      </c>
      <c r="R259" s="2">
        <f t="shared" si="51"/>
        <v>0</v>
      </c>
    </row>
    <row r="260" spans="1:19" s="151" customFormat="1" ht="29.5" customHeight="1" x14ac:dyDescent="0.35">
      <c r="A260" s="151" t="s">
        <v>328</v>
      </c>
      <c r="F260" s="230"/>
    </row>
    <row r="261" spans="1:19" x14ac:dyDescent="0.35">
      <c r="B261" s="2">
        <f>C261/1000000</f>
        <v>3347.9235528354948</v>
      </c>
      <c r="C261" s="2">
        <f>C262</f>
        <v>3347923552.835495</v>
      </c>
      <c r="D261" s="2">
        <f>D262</f>
        <v>2.1188287720039565</v>
      </c>
      <c r="F261" s="1">
        <f>F262</f>
        <v>3285597.1491208021</v>
      </c>
    </row>
    <row r="262" spans="1:19" s="114" customFormat="1" x14ac:dyDescent="0.35">
      <c r="A262" s="114" t="s">
        <v>329</v>
      </c>
      <c r="B262" s="114">
        <v>1018.96958174905</v>
      </c>
      <c r="C262" s="114">
        <f>B262*F262</f>
        <v>3347923552.835495</v>
      </c>
      <c r="D262" s="114">
        <f>'[3]Scenario 3 2030'!$K$8</f>
        <v>2.1188287720039565</v>
      </c>
      <c r="E262" s="114">
        <f>'[1]Conversion factors selected IV '!$O$17</f>
        <v>1.5506666666666669</v>
      </c>
      <c r="F262" s="114">
        <f>D262*E262*1000000</f>
        <v>3285597.1491208021</v>
      </c>
      <c r="G262" s="301">
        <f>'LCoP CONVENTIONAL'!$B$53</f>
        <v>903.57</v>
      </c>
      <c r="H262" s="114">
        <f>G262*F262</f>
        <v>2968767016.0310831</v>
      </c>
      <c r="I262" s="308">
        <f>'LCoP CONVENTIONAL'!$C$53</f>
        <v>0.7</v>
      </c>
      <c r="K262" s="114">
        <f>I262*G262</f>
        <v>632.49900000000002</v>
      </c>
      <c r="L262" s="114">
        <f>I262*H262</f>
        <v>2078136911.2217581</v>
      </c>
      <c r="M262" s="308">
        <f>'LCoP CONVENTIONAL'!$F$53</f>
        <v>0.1</v>
      </c>
      <c r="O262" s="114">
        <f>M262*H262</f>
        <v>296876701.60310835</v>
      </c>
      <c r="P262" s="308">
        <f>'LCoP CONVENTIONAL'!$I$53</f>
        <v>0.2</v>
      </c>
      <c r="R262" s="114">
        <f>P262*H262</f>
        <v>593753403.20621669</v>
      </c>
      <c r="S262" s="114">
        <f>SUM(L262,O262,R262)</f>
        <v>2968767016.0310831</v>
      </c>
    </row>
    <row r="263" spans="1:19" x14ac:dyDescent="0.35">
      <c r="I263" t="s">
        <v>362</v>
      </c>
      <c r="J263" s="147" t="s">
        <v>179</v>
      </c>
      <c r="L263" s="2">
        <f>L262</f>
        <v>2078136911.2217581</v>
      </c>
      <c r="M263" t="str">
        <f>'LCoP CONVENTIONAL'!$F$54</f>
        <v>Machinery and equipment</v>
      </c>
      <c r="N263" s="59">
        <f>'LCoP CONVENTIONAL'!$G$54</f>
        <v>0.5</v>
      </c>
      <c r="O263" s="2">
        <f>N263*$O$262</f>
        <v>148438350.80155417</v>
      </c>
      <c r="P263" t="str">
        <f>'LCoP CONVENTIONAL'!$I$54</f>
        <v>Chemical and chemical products</v>
      </c>
      <c r="Q263" s="59">
        <f>'LCoP CONVENTIONAL'!$J$54</f>
        <v>0.15</v>
      </c>
      <c r="R263" s="2">
        <f t="shared" ref="R263:R268" si="52">Q263*$R$262</f>
        <v>89063010.480932504</v>
      </c>
    </row>
    <row r="264" spans="1:19" x14ac:dyDescent="0.35">
      <c r="M264" t="str">
        <f>'LCoP CONVENTIONAL'!$F$55</f>
        <v>Architectural and engineering services</v>
      </c>
      <c r="N264" s="59">
        <f>'LCoP CONVENTIONAL'!$G$55</f>
        <v>0.25</v>
      </c>
      <c r="O264" s="2">
        <f>N264*$O$262</f>
        <v>74219175.400777087</v>
      </c>
      <c r="P264" t="str">
        <f>'LCoP CONVENTIONAL'!$I$55</f>
        <v>Electricity, gas, steam &amp; AC</v>
      </c>
      <c r="Q264" s="59">
        <f>'LCoP CONVENTIONAL'!$J$55</f>
        <v>0.4</v>
      </c>
      <c r="R264" s="2">
        <f t="shared" si="52"/>
        <v>237501361.28248668</v>
      </c>
    </row>
    <row r="265" spans="1:19" x14ac:dyDescent="0.35">
      <c r="M265" t="str">
        <f>'LCoP CONVENTIONAL'!$F$56</f>
        <v>Constructions and construction works</v>
      </c>
      <c r="N265" s="59">
        <f>'LCoP CONVENTIONAL'!$G$56</f>
        <v>0.15</v>
      </c>
      <c r="O265" s="2">
        <f>N265*$O$262</f>
        <v>44531505.240466252</v>
      </c>
      <c r="P265" t="str">
        <f>'LCoP CONVENTIONAL'!$I$56</f>
        <v>Legal and accounting services; services of head offices; management consultancy services</v>
      </c>
      <c r="Q265" s="59">
        <f>'LCoP CONVENTIONAL'!$J$56</f>
        <v>0.2</v>
      </c>
      <c r="R265" s="2">
        <f t="shared" si="52"/>
        <v>118750680.64124334</v>
      </c>
    </row>
    <row r="266" spans="1:19" x14ac:dyDescent="0.35">
      <c r="M266" t="str">
        <f>'LCoP CONVENTIONAL'!$F$57</f>
        <v>Fabricated metal products</v>
      </c>
      <c r="N266" s="59">
        <f>'LCoP CONVENTIONAL'!$G$57</f>
        <v>7.0000000000000007E-2</v>
      </c>
      <c r="O266" s="2">
        <f>N266*$O$262</f>
        <v>20781369.112217586</v>
      </c>
      <c r="P266" t="str">
        <f>'LCoP CONVENTIONAL'!$I$57</f>
        <v>Repair and installation services</v>
      </c>
      <c r="Q266" s="59">
        <f>'LCoP CONVENTIONAL'!$J$57</f>
        <v>0.15</v>
      </c>
      <c r="R266" s="2">
        <f t="shared" si="52"/>
        <v>89063010.480932504</v>
      </c>
    </row>
    <row r="267" spans="1:19" x14ac:dyDescent="0.35">
      <c r="M267" t="str">
        <f>'LCoP CONVENTIONAL'!$F$58</f>
        <v>Computer, electronic and optical products</v>
      </c>
      <c r="N267" s="59">
        <f>'LCoP CONVENTIONAL'!$G$58</f>
        <v>0.03</v>
      </c>
      <c r="O267" s="2">
        <f>N267*$O$262</f>
        <v>8906301.04809325</v>
      </c>
      <c r="P267" s="102" t="str">
        <f>'LCoP CONVENTIONAL'!$I$58</f>
        <v>Land transport services and transport services via pipelines</v>
      </c>
      <c r="Q267" s="59">
        <f>'LCoP CONVENTIONAL'!$J$58</f>
        <v>0.1</v>
      </c>
      <c r="R267" s="2">
        <f t="shared" si="52"/>
        <v>59375340.320621669</v>
      </c>
    </row>
    <row r="268" spans="1:19" x14ac:dyDescent="0.35">
      <c r="N268" s="59"/>
      <c r="P268" t="str">
        <f>'LCoP CONVENTIONAL'!$I$59</f>
        <v>Waste management services</v>
      </c>
      <c r="Q268" s="59">
        <f>'LCoP CONVENTIONAL'!$J$59</f>
        <v>0</v>
      </c>
      <c r="R268" s="2">
        <f t="shared" si="52"/>
        <v>0</v>
      </c>
    </row>
    <row r="269" spans="1:19" s="103" customFormat="1" ht="34" customHeight="1" x14ac:dyDescent="0.35">
      <c r="A269" s="33" t="s">
        <v>345</v>
      </c>
      <c r="B269" s="33"/>
      <c r="C269" s="33"/>
      <c r="F269" s="227"/>
    </row>
    <row r="271" spans="1:19" s="157" customFormat="1" x14ac:dyDescent="0.35">
      <c r="A271" s="157" t="s">
        <v>346</v>
      </c>
      <c r="B271" s="157">
        <f>2100</f>
        <v>2100</v>
      </c>
      <c r="C271" s="157">
        <f>B271*F271</f>
        <v>4446198240.6267967</v>
      </c>
      <c r="D271" s="157">
        <f>'[3]Scenario 3 2030'!$J$28</f>
        <v>2.1744817538448755</v>
      </c>
      <c r="E271" s="157">
        <f>'[1]Conversion factors selected IV '!$O$12</f>
        <v>0.97367441860465131</v>
      </c>
      <c r="F271" s="157">
        <f>D271*E271*1000000</f>
        <v>2117237.2574413316</v>
      </c>
      <c r="G271" s="304">
        <f>'LCoP CONVENTIONAL'!$B$45</f>
        <v>2903</v>
      </c>
      <c r="H271" s="157">
        <f>G271*F271</f>
        <v>6146339758.3521862</v>
      </c>
      <c r="I271" s="304">
        <f>'LCoP CONVENTIONAL'!$C$45</f>
        <v>0.67550809507406129</v>
      </c>
      <c r="K271" s="157">
        <f>I271*G271</f>
        <v>1961</v>
      </c>
      <c r="L271" s="157">
        <f>I271*H271</f>
        <v>4151902261.8424516</v>
      </c>
      <c r="M271" s="304">
        <f>'LCoP CONVENTIONAL'!$F$45</f>
        <v>0.12952118498105408</v>
      </c>
      <c r="O271" s="157">
        <f>M271*H271</f>
        <v>796081208.79794073</v>
      </c>
      <c r="P271" s="304">
        <f>'LCoP CONVENTIONAL'!$I$45</f>
        <v>0.1949707199448846</v>
      </c>
      <c r="R271" s="157">
        <f>P271*H271</f>
        <v>1198356287.7117939</v>
      </c>
      <c r="S271" s="157">
        <f>SUM(L271,O271,R271)</f>
        <v>6146339758.3521862</v>
      </c>
    </row>
    <row r="272" spans="1:19" x14ac:dyDescent="0.35">
      <c r="H272" s="191" t="s">
        <v>252</v>
      </c>
      <c r="I272" t="s">
        <v>233</v>
      </c>
      <c r="J272" t="s">
        <v>178</v>
      </c>
      <c r="K272" s="59">
        <v>0.42676656092472498</v>
      </c>
      <c r="L272" s="2">
        <f>K272*$L$271</f>
        <v>1771893049.5820901</v>
      </c>
      <c r="M272" t="str">
        <f>'LCoP CONVENTIONAL'!$F$46</f>
        <v>Machinery and equipment</v>
      </c>
      <c r="N272" s="59">
        <f>'LCoP CONVENTIONAL'!$G$46</f>
        <v>0.6</v>
      </c>
      <c r="O272" s="1">
        <f>N272*$O$271</f>
        <v>477648725.27876443</v>
      </c>
      <c r="P272" s="1" t="str">
        <f>'LCoP CONVENTIONAL'!$I$46</f>
        <v>Chemical and chemical products</v>
      </c>
      <c r="Q272" s="1">
        <f>'LCoP CONVENTIONAL'!$J$46</f>
        <v>0.15</v>
      </c>
      <c r="R272" s="1">
        <f>Q272*$R$271</f>
        <v>179753443.15676907</v>
      </c>
    </row>
    <row r="273" spans="8:18" x14ac:dyDescent="0.35">
      <c r="H273" s="192" t="s">
        <v>254</v>
      </c>
      <c r="I273" t="s">
        <v>268</v>
      </c>
      <c r="J273" t="s">
        <v>178</v>
      </c>
      <c r="K273" s="59">
        <v>0.28451104061648402</v>
      </c>
      <c r="L273" s="2">
        <f t="shared" ref="L273:L274" si="53">K273*$L$271</f>
        <v>1181262033.0547297</v>
      </c>
      <c r="M273" t="str">
        <f>'LCoP CONVENTIONAL'!$F$47</f>
        <v>Architectural and engineering services</v>
      </c>
      <c r="N273" s="59">
        <f>'LCoP CONVENTIONAL'!$G$47</f>
        <v>0.25</v>
      </c>
      <c r="O273" s="1">
        <f t="shared" ref="O273:O276" si="54">N273*$O$271</f>
        <v>199020302.19948518</v>
      </c>
      <c r="P273" s="1" t="str">
        <f>'LCoP CONVENTIONAL'!$I$47</f>
        <v>Electricity, gas, steam &amp; AC</v>
      </c>
      <c r="Q273" s="1">
        <f>'LCoP CONVENTIONAL'!$J$47</f>
        <v>0.4</v>
      </c>
      <c r="R273" s="1">
        <f t="shared" ref="R273:R277" si="55">Q273*$R$271</f>
        <v>479342515.08471757</v>
      </c>
    </row>
    <row r="274" spans="8:18" x14ac:dyDescent="0.35">
      <c r="H274" s="192" t="s">
        <v>254</v>
      </c>
      <c r="I274" t="s">
        <v>267</v>
      </c>
      <c r="J274" t="s">
        <v>178</v>
      </c>
      <c r="K274" s="59">
        <v>0.288722398458791</v>
      </c>
      <c r="L274" s="2">
        <f t="shared" si="53"/>
        <v>1198747179.205632</v>
      </c>
      <c r="M274" t="str">
        <f>'LCoP CONVENTIONAL'!$F$48</f>
        <v>Constructions and construction works</v>
      </c>
      <c r="N274" s="59">
        <f>'LCoP CONVENTIONAL'!$G$48</f>
        <v>7.0000000000000007E-2</v>
      </c>
      <c r="O274" s="1">
        <f t="shared" si="54"/>
        <v>55725684.615855858</v>
      </c>
      <c r="P274" s="1" t="str">
        <f>'LCoP CONVENTIONAL'!$I$48</f>
        <v>Legal and accounting services; services of head offices; management consultancy services</v>
      </c>
      <c r="Q274" s="1">
        <f>'LCoP CONVENTIONAL'!$J$48</f>
        <v>0.2</v>
      </c>
      <c r="R274" s="1">
        <f t="shared" si="55"/>
        <v>239671257.54235879</v>
      </c>
    </row>
    <row r="275" spans="8:18" x14ac:dyDescent="0.35">
      <c r="K275">
        <v>1</v>
      </c>
      <c r="M275" t="str">
        <f>'LCoP CONVENTIONAL'!$F$49</f>
        <v>Fabricated metal products</v>
      </c>
      <c r="N275" s="59">
        <f>'LCoP CONVENTIONAL'!$G$49</f>
        <v>0.05</v>
      </c>
      <c r="O275" s="1">
        <f t="shared" si="54"/>
        <v>39804060.439897038</v>
      </c>
      <c r="P275" t="str">
        <f>'LCoP CONVENTIONAL'!$I$49</f>
        <v>Repair and installation services</v>
      </c>
      <c r="Q275">
        <f>'LCoP CONVENTIONAL'!$J$49</f>
        <v>0.15</v>
      </c>
      <c r="R275" s="1">
        <f t="shared" si="55"/>
        <v>179753443.15676907</v>
      </c>
    </row>
    <row r="276" spans="8:18" x14ac:dyDescent="0.35">
      <c r="M276" t="str">
        <f>'LCoP CONVENTIONAL'!$F$50</f>
        <v>Computer, electronic and optical products</v>
      </c>
      <c r="N276" s="59">
        <f>'LCoP CONVENTIONAL'!$G$50</f>
        <v>0.03</v>
      </c>
      <c r="O276" s="1">
        <f t="shared" si="54"/>
        <v>23882436.263938222</v>
      </c>
      <c r="P276" s="2" t="str">
        <f>'LCoP CONVENTIONAL'!$I$50</f>
        <v>Land transport services and transport services via pipelines</v>
      </c>
      <c r="Q276">
        <f>'LCoP CONVENTIONAL'!$J$50</f>
        <v>0.1</v>
      </c>
      <c r="R276" s="1">
        <f t="shared" si="55"/>
        <v>119835628.77117939</v>
      </c>
    </row>
    <row r="277" spans="8:18" x14ac:dyDescent="0.35">
      <c r="P277" t="str">
        <f>'LCoP CONVENTIONAL'!$I$51</f>
        <v>Waste management services</v>
      </c>
      <c r="Q277">
        <f>'LCoP CONVENTIONAL'!$J$51</f>
        <v>0</v>
      </c>
      <c r="R277" s="1">
        <f t="shared" si="55"/>
        <v>0</v>
      </c>
    </row>
  </sheetData>
  <pageMargins left="0.7" right="0.7" top="0.78740157499999996" bottom="0.78740157499999996"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C321-360A-4904-9570-4448E4CDEF7A}">
  <sheetPr codeName="Tabelle2"/>
  <dimension ref="A1:P120"/>
  <sheetViews>
    <sheetView zoomScale="92" zoomScaleNormal="92" workbookViewId="0">
      <pane ySplit="2" topLeftCell="A3" activePane="bottomLeft" state="frozen"/>
      <selection pane="bottomLeft" activeCell="A7" sqref="A7"/>
    </sheetView>
  </sheetViews>
  <sheetFormatPr baseColWidth="10" defaultRowHeight="14.5" x14ac:dyDescent="0.35"/>
  <cols>
    <col min="1" max="1" width="35.1796875" customWidth="1"/>
    <col min="2" max="2" width="17.453125" style="18" customWidth="1"/>
    <col min="3" max="3" width="15.7265625" customWidth="1"/>
    <col min="4" max="4" width="30.26953125" customWidth="1"/>
    <col min="5" max="5" width="18.6328125" style="50" hidden="1" customWidth="1"/>
    <col min="6" max="6" width="17.54296875" customWidth="1"/>
    <col min="7" max="7" width="14.54296875" customWidth="1"/>
    <col min="8" max="8" width="19.7265625" style="50" hidden="1" customWidth="1"/>
    <col min="9" max="9" width="14.1796875" customWidth="1"/>
    <col min="10" max="14" width="21.26953125" customWidth="1"/>
    <col min="15" max="15" width="15.81640625" customWidth="1"/>
    <col min="16" max="16" width="20.90625" customWidth="1"/>
  </cols>
  <sheetData>
    <row r="1" spans="1:16" ht="38" customHeight="1" x14ac:dyDescent="0.35">
      <c r="E1" s="134" t="s">
        <v>189</v>
      </c>
      <c r="F1" s="134"/>
      <c r="G1" s="134"/>
      <c r="H1" s="136" t="s">
        <v>190</v>
      </c>
      <c r="I1" s="136"/>
      <c r="J1" s="136"/>
      <c r="K1" s="232" t="s">
        <v>337</v>
      </c>
      <c r="L1" s="232"/>
      <c r="M1" s="182" t="s">
        <v>374</v>
      </c>
      <c r="N1" s="182"/>
      <c r="O1" s="43" t="s">
        <v>336</v>
      </c>
      <c r="P1" s="43"/>
    </row>
    <row r="2" spans="1:16" s="33" customFormat="1" ht="37" customHeight="1" x14ac:dyDescent="0.35">
      <c r="A2" s="33" t="s">
        <v>152</v>
      </c>
      <c r="B2" s="293" t="s">
        <v>83</v>
      </c>
      <c r="C2" s="33" t="s">
        <v>65</v>
      </c>
      <c r="D2" s="33" t="s">
        <v>69</v>
      </c>
      <c r="E2" s="133" t="s">
        <v>183</v>
      </c>
      <c r="F2" s="134" t="s">
        <v>186</v>
      </c>
      <c r="G2" s="134" t="s">
        <v>184</v>
      </c>
      <c r="H2" s="135" t="s">
        <v>185</v>
      </c>
      <c r="I2" s="136" t="s">
        <v>187</v>
      </c>
      <c r="J2" s="136" t="s">
        <v>184</v>
      </c>
      <c r="K2" s="232"/>
      <c r="L2" s="232"/>
      <c r="M2" s="182"/>
      <c r="N2" s="182"/>
      <c r="O2" s="43"/>
      <c r="P2" s="43"/>
    </row>
    <row r="3" spans="1:16" s="80" customFormat="1" x14ac:dyDescent="0.35">
      <c r="A3" s="80" t="s">
        <v>62</v>
      </c>
      <c r="B3" s="82"/>
      <c r="E3" s="121"/>
      <c r="G3" s="79">
        <f>G4</f>
        <v>1000</v>
      </c>
      <c r="H3" s="121"/>
    </row>
    <row r="4" spans="1:16" x14ac:dyDescent="0.35">
      <c r="A4" t="s">
        <v>384</v>
      </c>
      <c r="B4" s="18">
        <v>1000</v>
      </c>
      <c r="C4">
        <v>1</v>
      </c>
      <c r="D4">
        <f>B4/C4</f>
        <v>1000</v>
      </c>
      <c r="E4" s="51">
        <v>1</v>
      </c>
      <c r="F4" s="34">
        <v>1</v>
      </c>
      <c r="G4" s="6">
        <f>D4*F4</f>
        <v>1000</v>
      </c>
      <c r="H4" s="51">
        <v>1</v>
      </c>
      <c r="I4" s="34">
        <v>1</v>
      </c>
      <c r="J4" s="6">
        <f>B4*I4</f>
        <v>1000</v>
      </c>
      <c r="K4" s="34">
        <v>1</v>
      </c>
      <c r="L4" s="6">
        <f>K4*D4</f>
        <v>1000</v>
      </c>
      <c r="M4" s="6">
        <f>(I4+O4)/2</f>
        <v>1</v>
      </c>
      <c r="N4" s="6">
        <f>M4*D4</f>
        <v>1000</v>
      </c>
      <c r="O4" s="34">
        <v>1</v>
      </c>
    </row>
    <row r="5" spans="1:16" s="80" customFormat="1" x14ac:dyDescent="0.35">
      <c r="A5" s="80" t="s">
        <v>63</v>
      </c>
      <c r="B5" s="82"/>
      <c r="E5" s="121"/>
      <c r="F5" s="86">
        <f>SUM(F6:F7)</f>
        <v>0.99999999999999989</v>
      </c>
      <c r="G5" s="79">
        <f>SUM(G6:G7)</f>
        <v>1757.1544791795002</v>
      </c>
      <c r="H5" s="121"/>
      <c r="J5" s="79">
        <f>J7+J6</f>
        <v>1672.4228622062476</v>
      </c>
      <c r="K5" s="79">
        <f>SUM(K6:K7)</f>
        <v>1</v>
      </c>
      <c r="L5" s="79">
        <f>SUM(L6:L7)</f>
        <v>1797.9346769414303</v>
      </c>
      <c r="M5" s="79">
        <f t="shared" ref="M5:N5" si="0">SUM(M6:M7)</f>
        <v>1</v>
      </c>
      <c r="N5" s="79">
        <f t="shared" si="0"/>
        <v>1755.568868454804</v>
      </c>
      <c r="O5" s="79">
        <f t="shared" ref="O5" si="1">SUM(O6:O7)</f>
        <v>0.99999999999999989</v>
      </c>
      <c r="P5" s="79">
        <f t="shared" ref="P5" si="2">SUM(P6:P7)</f>
        <v>1838.7148747033607</v>
      </c>
    </row>
    <row r="6" spans="1:16" x14ac:dyDescent="0.35">
      <c r="A6" t="s">
        <v>132</v>
      </c>
      <c r="B6" s="18">
        <v>730</v>
      </c>
      <c r="C6" s="6">
        <f>'[1]Conversion factors selected IV '!$O$9</f>
        <v>0.95154545454545458</v>
      </c>
      <c r="D6">
        <f>B6/C6</f>
        <v>767.17301996751689</v>
      </c>
      <c r="E6" s="98">
        <f>'[1]Availabilities EU Austria'!$N$13/'[1]Availabilities EU Austria'!$N$10</f>
        <v>6.301154684279596E-2</v>
      </c>
      <c r="F6" s="61">
        <f>'[1]Availabilities EU Austria'!$AB$13/'[1]Availabilities EU Austria'!$AB$10</f>
        <v>0.16279945283889141</v>
      </c>
      <c r="G6" s="107">
        <f>F6*D6</f>
        <v>124.89534788347167</v>
      </c>
      <c r="H6" s="122">
        <f>'[1]Availabilities EU Austria'!$Q$13/'[1]Availabilities EU Austria'!$Q$10</f>
        <v>8.9199176736213054E-2</v>
      </c>
      <c r="I6" s="59">
        <f>'[1]Availabilities EU Austria'!$AC$13/'[1]Availabilities EU Austria'!$AC$10</f>
        <v>0.2344546898453686</v>
      </c>
      <c r="J6" s="6">
        <f>I6*D6</f>
        <v>179.86731245421893</v>
      </c>
      <c r="K6" s="6">
        <f>(F6+O6)/2</f>
        <v>0.12831274244453492</v>
      </c>
      <c r="L6" s="6">
        <f>K6*D6</f>
        <v>98.438074121488043</v>
      </c>
      <c r="M6" s="6">
        <f>(I6+O6)/2</f>
        <v>0.16414036094777351</v>
      </c>
      <c r="N6" s="6">
        <f>M6*D6</f>
        <v>125.92405640686168</v>
      </c>
      <c r="O6" s="3">
        <f>'[1]Availabilities EU Austria'!$X$13/'[1]Availabilities EU Austria'!$X$10</f>
        <v>9.3826032050178407E-2</v>
      </c>
      <c r="P6">
        <f>O6*D6</f>
        <v>71.9808003595044</v>
      </c>
    </row>
    <row r="7" spans="1:16" x14ac:dyDescent="0.35">
      <c r="A7" t="s">
        <v>131</v>
      </c>
      <c r="B7" s="18">
        <v>300</v>
      </c>
      <c r="C7" s="6">
        <f>'[1]Conversion factors selected IV '!$G$10</f>
        <v>0.15387272727272727</v>
      </c>
      <c r="D7" s="6">
        <f>B7/C7</f>
        <v>1949.6632399858206</v>
      </c>
      <c r="E7" s="98">
        <f>('[1]Availabilities EU Austria'!$N$15+'[1]Availabilities EU Austria'!$N$14)/'[1]Availabilities EU Austria'!$N$10</f>
        <v>0.93698845315720403</v>
      </c>
      <c r="F7" s="61">
        <f>('[1]Availabilities EU Austria'!$AB$14+'[1]Availabilities EU Austria'!$AB$15)/'[1]Availabilities EU Austria'!$AB$10</f>
        <v>0.83720054716110848</v>
      </c>
      <c r="G7" s="107">
        <f>F7*D7</f>
        <v>1632.2591312960285</v>
      </c>
      <c r="H7" s="122">
        <f>('[1]Availabilities EU Austria'!$Q$14+'[1]Availabilities EU Austria'!$Q$15)/'[1]Availabilities EU Austria'!$Q$10</f>
        <v>0.91080082326378686</v>
      </c>
      <c r="I7" s="59">
        <f>('[1]Availabilities EU Austria'!$AC$14+'[1]Availabilities EU Austria'!$AC$15)/'[1]Availabilities EU Austria'!$AC$10</f>
        <v>0.76554531015463145</v>
      </c>
      <c r="J7" s="6">
        <f>I7*D7</f>
        <v>1492.5555497520286</v>
      </c>
      <c r="K7" s="6">
        <f>(F7+O7)/2</f>
        <v>0.87168725755546506</v>
      </c>
      <c r="L7" s="6">
        <f>K7*D7</f>
        <v>1699.4966028199424</v>
      </c>
      <c r="M7" s="6">
        <f t="shared" ref="M7:M63" si="3">(I7+O7)/2</f>
        <v>0.83585963905222649</v>
      </c>
      <c r="N7" s="6">
        <f>M7*D7</f>
        <v>1629.6448120479424</v>
      </c>
      <c r="O7" s="3">
        <f>('[1]Availabilities EU Austria'!$X$14+'[1]Availabilities EU Austria'!$X$15)/'[1]Availabilities EU Austria'!$X$10</f>
        <v>0.90617396794982152</v>
      </c>
      <c r="P7">
        <f>O7*D7</f>
        <v>1766.7340743438563</v>
      </c>
    </row>
    <row r="8" spans="1:16" s="80" customFormat="1" x14ac:dyDescent="0.35">
      <c r="A8" s="80" t="s">
        <v>74</v>
      </c>
      <c r="B8" s="82"/>
      <c r="E8" s="121"/>
      <c r="F8" s="80">
        <f>SUM(F9:F11)</f>
        <v>1</v>
      </c>
      <c r="G8" s="79">
        <f>SUM(G9:G11)</f>
        <v>1658.411635968431</v>
      </c>
      <c r="H8" s="121"/>
      <c r="I8" s="86">
        <f>SUM(I9:I11)</f>
        <v>1</v>
      </c>
      <c r="J8" s="79">
        <f>SUM(J9:J11)</f>
        <v>1555.6028145761195</v>
      </c>
      <c r="K8" s="79">
        <f t="shared" ref="K8:L8" si="4">SUM(K9:K11)</f>
        <v>1</v>
      </c>
      <c r="L8" s="79">
        <f t="shared" si="4"/>
        <v>1682.758230470301</v>
      </c>
      <c r="M8" s="79">
        <f t="shared" ref="M8" si="5">SUM(M9:M11)</f>
        <v>1</v>
      </c>
      <c r="N8" s="79">
        <f t="shared" ref="N8" si="6">SUM(N9:N11)</f>
        <v>1631.3538197741454</v>
      </c>
      <c r="O8" s="80">
        <f>SUM(O9:O11)</f>
        <v>1</v>
      </c>
      <c r="P8" s="79">
        <f>SUM(P9:P11)</f>
        <v>1707.1048249721707</v>
      </c>
    </row>
    <row r="9" spans="1:16" x14ac:dyDescent="0.35">
      <c r="A9" t="s">
        <v>66</v>
      </c>
      <c r="B9" s="18">
        <v>520</v>
      </c>
      <c r="C9" s="6">
        <f>'[1]Conversion factors selected IV '!$G$12</f>
        <v>0.42350471353132874</v>
      </c>
      <c r="D9" s="6">
        <f>B9/C9</f>
        <v>1227.849380149893</v>
      </c>
      <c r="E9" s="98">
        <f>'[1]Availabilities EU Austria'!$N$21/'[1]Availabilities EU Austria'!$N$16</f>
        <v>7.2434800518989706E-2</v>
      </c>
      <c r="F9" s="61">
        <f>'[1]Availabilities EU Austria'!$AB$21/'[1]Availabilities EU Austria'!$AB$16</f>
        <v>0.28750596065868644</v>
      </c>
      <c r="G9" s="6">
        <f>D9*F9</f>
        <v>353.01401558416768</v>
      </c>
      <c r="H9" s="122">
        <f>'[1]Availabilities EU Austria'!$Q$21/'[1]Availabilities EU Austria'!$Q$16</f>
        <v>0.11542721613047531</v>
      </c>
      <c r="I9" s="59">
        <f>'[1]Availabilities EU Austria'!$AC$21/'[1]Availabilities EU Austria'!$AC$16</f>
        <v>0.40686830205328323</v>
      </c>
      <c r="J9" s="6">
        <f>D9*I9</f>
        <v>499.57299247876324</v>
      </c>
      <c r="K9" s="6">
        <f>(F9+O9)/2</f>
        <v>0.24357774811778438</v>
      </c>
      <c r="L9" s="6">
        <f>K9*D9</f>
        <v>299.07678704472829</v>
      </c>
      <c r="M9" s="6">
        <f t="shared" si="3"/>
        <v>0.30325891881508277</v>
      </c>
      <c r="N9" s="6">
        <f>M9*D9</f>
        <v>372.3562754920261</v>
      </c>
      <c r="O9" s="3">
        <f>'[1]Availabilities EU Austria'!$AD$21/'[1]Availabilities EU Austria'!$AD$16</f>
        <v>0.19964953557688228</v>
      </c>
      <c r="P9" s="6">
        <f>O9*D9</f>
        <v>245.13955850528893</v>
      </c>
    </row>
    <row r="10" spans="1:16" x14ac:dyDescent="0.35">
      <c r="A10" t="s">
        <v>132</v>
      </c>
      <c r="B10" s="18">
        <v>520</v>
      </c>
      <c r="C10" s="6">
        <f>'[1]Conversion factors selected IV '!$G$12</f>
        <v>0.42350471353132874</v>
      </c>
      <c r="D10" s="6">
        <f>B10/C10</f>
        <v>1227.849380149893</v>
      </c>
      <c r="E10" s="98">
        <f>'[1]Availabilities EU Austria'!$N$23/'[1]Availabilities EU Austria'!$N$16</f>
        <v>5.8447318016845058E-2</v>
      </c>
      <c r="F10" s="61">
        <f>'[1]Availabilities EU Austria'!$AB$23/'[1]Availabilities EU Austria'!$AB$16</f>
        <v>0.11599363975573744</v>
      </c>
      <c r="G10" s="6">
        <f>D10*F10</f>
        <v>142.4227186754122</v>
      </c>
      <c r="H10" s="122">
        <f>'[1]Availabilities EU Austria'!$Q$23/'[1]Availabilities EU Austria'!$Q$16</f>
        <v>7.8903164084421717E-2</v>
      </c>
      <c r="I10" s="59">
        <f>'[1]Availabilities EU Austria'!$AC$23/'[1]Availabilities EU Austria'!$AC$16</f>
        <v>0.13906250827955435</v>
      </c>
      <c r="J10" s="6">
        <f>D10*I10</f>
        <v>170.74781459314019</v>
      </c>
      <c r="K10" s="6">
        <f>(F10+O10)/2</f>
        <v>0.12619211135289515</v>
      </c>
      <c r="L10" s="6">
        <f>K10*D10</f>
        <v>154.94490570445859</v>
      </c>
      <c r="M10" s="6">
        <f t="shared" si="3"/>
        <v>0.1377265456148036</v>
      </c>
      <c r="N10" s="6">
        <f>M10*D10</f>
        <v>169.10745366332256</v>
      </c>
      <c r="O10" s="3">
        <f>'[1]Availabilities EU Austria'!$AD$23/'[1]Availabilities EU Austria'!$AD$16</f>
        <v>0.13639058295005285</v>
      </c>
      <c r="P10" s="6">
        <f>O10*D10</f>
        <v>167.46709273350496</v>
      </c>
    </row>
    <row r="11" spans="1:16" x14ac:dyDescent="0.35">
      <c r="A11" t="s">
        <v>131</v>
      </c>
      <c r="B11" s="18">
        <v>300</v>
      </c>
      <c r="C11" s="6">
        <f>'[1]Conversion factors selected IV '!$G$15</f>
        <v>0.15387272727272727</v>
      </c>
      <c r="D11" s="6">
        <f>B11/C11</f>
        <v>1949.6632399858206</v>
      </c>
      <c r="E11" s="98">
        <f>('[1]Availabilities EU Austria'!$N$24+'[1]Availabilities EU Austria'!$N$25)/'[1]Availabilities EU Austria'!$N$16</f>
        <v>0.86911788146416524</v>
      </c>
      <c r="F11" s="61">
        <f>('[1]Availabilities EU Austria'!$AB$24+'[1]Availabilities EU Austria'!$AB$25)/'[1]Availabilities EU Austria'!$AB$16</f>
        <v>0.59650039958557621</v>
      </c>
      <c r="G11" s="6">
        <f>D11*F11</f>
        <v>1162.9749017088511</v>
      </c>
      <c r="H11" s="122">
        <f>('[1]Availabilities EU Austria'!$Q$24+'[1]Availabilities EU Austria'!$Q$25)/'[1]Availabilities EU Austria'!$Q$16</f>
        <v>0.80566961978510288</v>
      </c>
      <c r="I11" s="59">
        <f>('[1]Availabilities EU Austria'!$AC$24+'[1]Availabilities EU Austria'!$AC$25)/'[1]Availabilities EU Austria'!$AC$16</f>
        <v>0.45406918966716248</v>
      </c>
      <c r="J11" s="6">
        <f>D11*I11</f>
        <v>885.28200750421604</v>
      </c>
      <c r="K11" s="6">
        <f>(F11+O11)/2</f>
        <v>0.63023014052932047</v>
      </c>
      <c r="L11" s="6">
        <f>K11*D11</f>
        <v>1228.736537721114</v>
      </c>
      <c r="M11" s="6">
        <f t="shared" si="3"/>
        <v>0.55901453557011371</v>
      </c>
      <c r="N11" s="6">
        <f>M11*D11</f>
        <v>1089.8900906187966</v>
      </c>
      <c r="O11" s="3">
        <f>('[1]Availabilities EU Austria'!$AD$24+'[1]Availabilities EU Austria'!$AD$25)/'[1]Availabilities EU Austria'!$AD$16</f>
        <v>0.66395988147306484</v>
      </c>
      <c r="P11" s="6">
        <f>O11*D11</f>
        <v>1294.4981737333769</v>
      </c>
    </row>
    <row r="12" spans="1:16" s="80" customFormat="1" x14ac:dyDescent="0.35">
      <c r="A12" s="80" t="s">
        <v>75</v>
      </c>
      <c r="B12" s="82"/>
      <c r="E12" s="121"/>
      <c r="F12" s="79">
        <f>SUM(F13:F16)</f>
        <v>1</v>
      </c>
      <c r="G12" s="79">
        <f>SUM(G13:G16)</f>
        <v>339.87863731123906</v>
      </c>
      <c r="H12" s="79">
        <f t="shared" ref="H12:O12" si="7">SUM(H13:H16)</f>
        <v>1.0000000000000002</v>
      </c>
      <c r="I12" s="79">
        <f t="shared" si="7"/>
        <v>1</v>
      </c>
      <c r="J12" s="79">
        <f t="shared" si="7"/>
        <v>342.22949834722374</v>
      </c>
      <c r="K12" s="79">
        <f t="shared" si="7"/>
        <v>1</v>
      </c>
      <c r="L12" s="79">
        <f t="shared" si="7"/>
        <v>344.58151396473244</v>
      </c>
      <c r="M12" s="79">
        <f t="shared" si="7"/>
        <v>1</v>
      </c>
      <c r="N12" s="79">
        <f t="shared" si="7"/>
        <v>345.7569444827248</v>
      </c>
      <c r="O12" s="79">
        <f t="shared" si="7"/>
        <v>1</v>
      </c>
      <c r="P12" s="79">
        <f>SUM(P13:P16)</f>
        <v>349.28439061822587</v>
      </c>
    </row>
    <row r="13" spans="1:16" x14ac:dyDescent="0.35">
      <c r="A13" s="7" t="s">
        <v>4</v>
      </c>
      <c r="B13" s="18">
        <v>65</v>
      </c>
      <c r="C13" s="6">
        <f>'[1]Conversion factors selected IV '!$G$17</f>
        <v>0.18050496028765164</v>
      </c>
      <c r="D13" s="6">
        <f>B13/C13</f>
        <v>360.100907456595</v>
      </c>
      <c r="E13" s="98">
        <f>'[1]Availabilities EU Austria'!$N$27/'[1]Availabilities EU Austria'!$N$26</f>
        <v>0.73688392593424479</v>
      </c>
      <c r="F13" s="59">
        <f>'[1]Availabilities EU Austria'!$AB$27/'[1]Availabilities EU Austria'!$AB$26</f>
        <v>0.71068977507791309</v>
      </c>
      <c r="G13" s="6">
        <f>D13*F13</f>
        <v>255.92003292567989</v>
      </c>
      <c r="H13" s="122">
        <f>'[1]Availabilities EU Austria'!$Q$27/'[1]Availabilities EU Austria'!$Q$26</f>
        <v>0.7478949467942918</v>
      </c>
      <c r="I13" s="59">
        <f>'[1]Availabilities EU Austria'!$AC27/'[1]Availabilities EU Austria'!$AC$26</f>
        <v>0.72394932816334623</v>
      </c>
      <c r="J13" s="6">
        <f>D13*I13</f>
        <v>260.69481002421327</v>
      </c>
      <c r="K13" s="6">
        <f>(F13+O13)/2</f>
        <v>0.64236331120335322</v>
      </c>
      <c r="L13" s="6">
        <f>K13*D13</f>
        <v>231.31561128115064</v>
      </c>
      <c r="M13" s="6">
        <f t="shared" si="3"/>
        <v>0.64899308774606979</v>
      </c>
      <c r="N13" s="6">
        <f>M13*D13</f>
        <v>233.7029998304173</v>
      </c>
      <c r="O13" s="3">
        <f>'[1]Availabilities EU Austria'!$AD$27/'[1]Availabilities EU Austria'!$AD$26</f>
        <v>0.57403684732879334</v>
      </c>
      <c r="P13" s="6">
        <f>O13*D13</f>
        <v>206.71118963662136</v>
      </c>
    </row>
    <row r="14" spans="1:16" x14ac:dyDescent="0.35">
      <c r="A14" s="7" t="s">
        <v>7</v>
      </c>
      <c r="B14" s="18">
        <v>69</v>
      </c>
      <c r="C14" s="6">
        <f>'[1]Conversion factors selected IV '!$G$18</f>
        <v>0.18050496028765164</v>
      </c>
      <c r="D14" s="6">
        <f t="shared" ref="D14:D38" si="8">B14/C14</f>
        <v>382.26096330007778</v>
      </c>
      <c r="E14" s="98">
        <f>'[1]Availabilities EU Austria'!$N$28/'[1]Availabilities EU Austria'!$N$26</f>
        <v>2.8841348280385298E-2</v>
      </c>
      <c r="F14" s="59">
        <f>'[1]Availabilities EU Austria'!$AB$28/'[1]Availabilities EU Austria'!$AB$26</f>
        <v>2.7816119474099968E-2</v>
      </c>
      <c r="G14" s="6">
        <f t="shared" ref="G14:G86" si="9">D14*F14</f>
        <v>10.633016625439506</v>
      </c>
      <c r="H14" s="122">
        <f>'[1]Availabilities EU Austria'!$Q$28/'[1]Availabilities EU Austria'!$Q$26</f>
        <v>3.1508835735500146E-2</v>
      </c>
      <c r="I14" s="59">
        <f>'[1]Availabilities EU Austria'!$AC28/'[1]Availabilities EU Austria'!$AC$26</f>
        <v>3.0500006130137244E-2</v>
      </c>
      <c r="J14" s="6">
        <f>D14*I14</f>
        <v>11.65896172396454</v>
      </c>
      <c r="K14" s="6">
        <f>(F14+O14)/2</f>
        <v>0.112755263570506</v>
      </c>
      <c r="L14" s="6">
        <f>K14*D14</f>
        <v>43.101935669615791</v>
      </c>
      <c r="M14" s="6">
        <f t="shared" si="3"/>
        <v>0.11409720689852465</v>
      </c>
      <c r="N14" s="6">
        <f>M14*D14</f>
        <v>43.614908218878313</v>
      </c>
      <c r="O14" s="3">
        <f>'[1]Availabilities EU Austria'!$AD$28/'[1]Availabilities EU Austria'!$AD$26</f>
        <v>0.19769440766691204</v>
      </c>
      <c r="P14" s="6">
        <f>O14*D14</f>
        <v>75.570854713792073</v>
      </c>
    </row>
    <row r="15" spans="1:16" x14ac:dyDescent="0.35">
      <c r="A15" s="7" t="s">
        <v>8</v>
      </c>
      <c r="B15" s="18">
        <v>69</v>
      </c>
      <c r="C15" s="6">
        <f>'[1]Conversion factors selected IV '!$G$19</f>
        <v>0.18050496028765164</v>
      </c>
      <c r="D15" s="6">
        <f t="shared" si="8"/>
        <v>382.26096330007778</v>
      </c>
      <c r="E15" s="98">
        <f>'[1]Availabilities EU Austria'!$N$29/'[1]Availabilities EU Austria'!$N$26</f>
        <v>1.3130549170812876E-2</v>
      </c>
      <c r="F15" s="59">
        <f>'[1]Availabilities EU Austria'!$AB$29/'[1]Availabilities EU Austria'!$AB$26</f>
        <v>1.2663795081461978E-2</v>
      </c>
      <c r="G15" s="6">
        <f>D15*F15</f>
        <v>4.8408745068744423</v>
      </c>
      <c r="H15" s="122">
        <f>'[1]Availabilities EU Austria'!$Q$29/'[1]Availabilities EU Austria'!$Q$26</f>
        <v>2.2137974335744163E-2</v>
      </c>
      <c r="I15" s="59">
        <f>'[1]Availabilities EU Austria'!$AC29/'[1]Availabilities EU Austria'!$AC$26</f>
        <v>2.142917493420041E-2</v>
      </c>
      <c r="J15" s="6">
        <f>D15*I15</f>
        <v>8.1915370530733291</v>
      </c>
      <c r="K15" s="6">
        <f>(F15+O15)/2</f>
        <v>2.584301959508898E-2</v>
      </c>
      <c r="L15" s="6">
        <f>K15*D15</f>
        <v>9.8787775650014993</v>
      </c>
      <c r="M15" s="6">
        <f>(I15+O15)/2</f>
        <v>3.0225709521458199E-2</v>
      </c>
      <c r="N15" s="6">
        <f>M15*D15</f>
        <v>11.554108838100944</v>
      </c>
      <c r="O15" s="3">
        <f>'[1]Availabilities EU Austria'!$AD$29/'[1]Availabilities EU Austria'!$AD$26</f>
        <v>3.9022244108715985E-2</v>
      </c>
      <c r="P15" s="6">
        <f>O15*D15</f>
        <v>14.916680623128558</v>
      </c>
    </row>
    <row r="16" spans="1:16" ht="13" customHeight="1" x14ac:dyDescent="0.35">
      <c r="A16" s="7" t="s">
        <v>10</v>
      </c>
      <c r="B16" s="18">
        <v>65</v>
      </c>
      <c r="C16" s="6">
        <f>'[1]Conversion factors selected IV '!$G$20</f>
        <v>0.23616905737803762</v>
      </c>
      <c r="D16" s="6">
        <f t="shared" si="8"/>
        <v>275.22657168400349</v>
      </c>
      <c r="E16" s="98">
        <f>'[1]Availabilities EU Austria'!$N$30/'[1]Availabilities EU Austria'!$N$26</f>
        <v>0.22114417661455707</v>
      </c>
      <c r="F16" s="59">
        <f>'[1]Availabilities EU Austria'!$AB$30/'[1]Availabilities EU Austria'!$AB$26</f>
        <v>0.24883031036652495</v>
      </c>
      <c r="G16" s="6">
        <f t="shared" si="9"/>
        <v>68.484713253245218</v>
      </c>
      <c r="H16" s="122">
        <f>'[1]Availabilities EU Austria'!$Q$30/'[1]Availabilities EU Austria'!$Q$26</f>
        <v>0.19845824313446406</v>
      </c>
      <c r="I16" s="59">
        <f>'[1]Availabilities EU Austria'!$AC30/'[1]Availabilities EU Austria'!$AC$26</f>
        <v>0.22412149077231625</v>
      </c>
      <c r="J16" s="6">
        <f>D16*I16</f>
        <v>61.684189545972622</v>
      </c>
      <c r="K16" s="6">
        <f>(F16+O16)/2</f>
        <v>0.21903840563105181</v>
      </c>
      <c r="L16" s="6">
        <f>K16*D16</f>
        <v>60.285189448964516</v>
      </c>
      <c r="M16" s="6">
        <f t="shared" si="3"/>
        <v>0.20668399583394748</v>
      </c>
      <c r="N16" s="6">
        <f>M16*D16</f>
        <v>56.884927595328222</v>
      </c>
      <c r="O16" s="3">
        <f>'[1]Availabilities EU Austria'!$AD$30/'[1]Availabilities EU Austria'!$AD$26</f>
        <v>0.18924650089557868</v>
      </c>
      <c r="P16" s="6">
        <f>O16*D16</f>
        <v>52.085665644683814</v>
      </c>
    </row>
    <row r="17" spans="1:16" s="80" customFormat="1" x14ac:dyDescent="0.35">
      <c r="A17" s="80" t="s">
        <v>17</v>
      </c>
      <c r="B17" s="82"/>
      <c r="E17" s="121"/>
      <c r="G17" s="79">
        <f>G18</f>
        <v>1063.8297872340427</v>
      </c>
      <c r="H17" s="79">
        <f t="shared" ref="H17:N17" si="10">H18</f>
        <v>1</v>
      </c>
      <c r="I17" s="79">
        <f t="shared" si="10"/>
        <v>1</v>
      </c>
      <c r="J17" s="79">
        <f t="shared" si="10"/>
        <v>1063.8297872340427</v>
      </c>
      <c r="K17" s="79">
        <f t="shared" si="10"/>
        <v>1</v>
      </c>
      <c r="L17" s="79">
        <f t="shared" si="10"/>
        <v>1063.8297872340427</v>
      </c>
      <c r="M17" s="79">
        <f t="shared" si="10"/>
        <v>1</v>
      </c>
      <c r="N17" s="79">
        <f t="shared" si="10"/>
        <v>1063.8297872340427</v>
      </c>
    </row>
    <row r="18" spans="1:16" x14ac:dyDescent="0.35">
      <c r="A18" s="35" t="s">
        <v>16</v>
      </c>
      <c r="B18" s="18">
        <v>500</v>
      </c>
      <c r="C18" s="6">
        <f>'[1]Conversion factors selected IV '!$G$27</f>
        <v>0.47</v>
      </c>
      <c r="D18" s="6">
        <f t="shared" si="8"/>
        <v>1063.8297872340427</v>
      </c>
      <c r="E18" s="98">
        <v>1</v>
      </c>
      <c r="F18" s="61">
        <v>1</v>
      </c>
      <c r="G18" s="6">
        <f t="shared" si="9"/>
        <v>1063.8297872340427</v>
      </c>
      <c r="H18" s="128">
        <v>1</v>
      </c>
      <c r="I18">
        <f>100%</f>
        <v>1</v>
      </c>
      <c r="J18" s="6">
        <f>D18</f>
        <v>1063.8297872340427</v>
      </c>
      <c r="K18" s="6">
        <f>(F18+O18)/2</f>
        <v>1</v>
      </c>
      <c r="L18" s="6">
        <f>K18*D18</f>
        <v>1063.8297872340427</v>
      </c>
      <c r="M18" s="6">
        <f t="shared" si="3"/>
        <v>1</v>
      </c>
      <c r="N18" s="6">
        <f>M18*D18</f>
        <v>1063.8297872340427</v>
      </c>
      <c r="O18" s="34">
        <v>1</v>
      </c>
      <c r="P18" s="6">
        <v>205.19148936170214</v>
      </c>
    </row>
    <row r="19" spans="1:16" s="80" customFormat="1" x14ac:dyDescent="0.35">
      <c r="A19" s="79" t="s">
        <v>206</v>
      </c>
      <c r="B19" s="82"/>
      <c r="E19" s="124">
        <f>SUM(E20:E28)</f>
        <v>2</v>
      </c>
      <c r="F19" s="86">
        <f>SUM(F20:F28)</f>
        <v>1</v>
      </c>
      <c r="G19" s="79">
        <f>SUM(G20:G28)</f>
        <v>-17.804006218534383</v>
      </c>
      <c r="H19" s="79">
        <f t="shared" ref="H19:I19" si="11">SUM(H20:H28)</f>
        <v>0.99999999999999989</v>
      </c>
      <c r="I19" s="79">
        <f t="shared" si="11"/>
        <v>0.99999999999999978</v>
      </c>
      <c r="J19" s="79">
        <f>SUM(J20:J28)</f>
        <v>-12.642394445402832</v>
      </c>
      <c r="K19" s="79">
        <f t="shared" ref="K19:L19" si="12">SUM(K20:K28)</f>
        <v>1</v>
      </c>
      <c r="L19" s="79">
        <f t="shared" si="12"/>
        <v>-8.8418010256828765</v>
      </c>
      <c r="M19" s="79">
        <f t="shared" ref="M19" si="13">SUM(M20:M28)</f>
        <v>1.0000000000000002</v>
      </c>
      <c r="N19" s="79">
        <f t="shared" ref="N19" si="14">SUM(N20:N28)</f>
        <v>-6.2609951391171048</v>
      </c>
      <c r="O19" s="79">
        <f>SUM(O20:O28)</f>
        <v>1</v>
      </c>
      <c r="P19" s="79">
        <f>SUM(P20:P28)</f>
        <v>0.12040416716862246</v>
      </c>
    </row>
    <row r="20" spans="1:16" x14ac:dyDescent="0.35">
      <c r="A20" s="5" t="s">
        <v>19</v>
      </c>
      <c r="B20" s="18">
        <v>44</v>
      </c>
      <c r="C20" s="6">
        <f>'[1]Conversion factors selected IV '!$G$29</f>
        <v>0.50565325955726736</v>
      </c>
      <c r="D20" s="6">
        <f t="shared" si="8"/>
        <v>87.01615023410487</v>
      </c>
      <c r="E20" s="98">
        <f>'[1]Availabilities EU Austria'!$N$41/('[1]Availabilities EU Austria'!$N$40-'[1]Availabilities EU Austria'!$N$48)</f>
        <v>3.2760716410893592E-2</v>
      </c>
      <c r="F20" s="336">
        <f>'[1]Availabilities EU Austria'!$AB41/('[1]Availabilities EU Austria'!$AB$40)</f>
        <v>9.7424065359679353E-3</v>
      </c>
      <c r="G20" s="6">
        <f>D20*F20</f>
        <v>0.84774671077551111</v>
      </c>
      <c r="H20" s="129">
        <f>'[1]Availabilities EU Austria'!$Q41/('[1]Availabilities EU Austria'!$Q$40)</f>
        <v>3.0105110315257085E-2</v>
      </c>
      <c r="I20" s="34">
        <f>'[1]Availabilities EU Austria'!$AC41/('[1]Availabilities EU Austria'!$AC$40)</f>
        <v>1.0265563613376615E-2</v>
      </c>
      <c r="J20" s="6">
        <f t="shared" ref="J20:J28" si="15">I20*D20</f>
        <v>0.89326982561933999</v>
      </c>
      <c r="K20" s="6">
        <f t="shared" ref="K20:K28" si="16">(F20+O20)/2</f>
        <v>9.822259592723516E-3</v>
      </c>
      <c r="L20" s="6">
        <f t="shared" ref="L20:L28" si="17">K20*D20</f>
        <v>0.85469521635880719</v>
      </c>
      <c r="M20" s="6">
        <f t="shared" si="3"/>
        <v>1.0083838131427856E-2</v>
      </c>
      <c r="N20" s="6">
        <f t="shared" ref="N20:N28" si="18">M20*D20</f>
        <v>0.87745677378072162</v>
      </c>
      <c r="O20" s="3">
        <f>'[1]Availabilities EU Austria'!$AD$41/'[1]Availabilities EU Austria'!$AD$40</f>
        <v>9.9021126494790966E-3</v>
      </c>
      <c r="P20" s="6">
        <f t="shared" ref="P20:P28" si="19">O20*D20</f>
        <v>0.86164372194210326</v>
      </c>
    </row>
    <row r="21" spans="1:16" x14ac:dyDescent="0.35">
      <c r="A21" s="5" t="s">
        <v>7</v>
      </c>
      <c r="B21" s="18">
        <v>69</v>
      </c>
      <c r="C21" s="6">
        <f>'[1]Conversion factors selected IV '!$G$30</f>
        <v>0.50565325955726736</v>
      </c>
      <c r="D21" s="6">
        <f t="shared" si="8"/>
        <v>136.45714468530082</v>
      </c>
      <c r="E21" s="98">
        <f>'[1]Availabilities EU Austria'!$N$42/('[1]Availabilities EU Austria'!$N$40-'[1]Availabilities EU Austria'!$N$48)</f>
        <v>1.9756369964879113E-2</v>
      </c>
      <c r="F21" s="336">
        <f>'[1]Availabilities EU Austria'!$AB42/('[1]Availabilities EU Austria'!$AB$40)</f>
        <v>5.0358550193933035E-3</v>
      </c>
      <c r="G21" s="6">
        <f t="shared" si="9"/>
        <v>0.68717839699555039</v>
      </c>
      <c r="H21" s="129">
        <f>'[1]Availabilities EU Austria'!$Q42/('[1]Availabilities EU Austria'!$Q$40)</f>
        <v>2.1462821483630018E-2</v>
      </c>
      <c r="I21" s="34">
        <f>'[1]Availabilities EU Austria'!$AC42/('[1]Availabilities EU Austria'!$AC$40)</f>
        <v>6.2731056134087467E-3</v>
      </c>
      <c r="J21" s="6">
        <f t="shared" si="15"/>
        <v>0.85601008031509007</v>
      </c>
      <c r="K21" s="6">
        <f t="shared" si="16"/>
        <v>2.791130857705014E-2</v>
      </c>
      <c r="L21" s="6">
        <f t="shared" si="17"/>
        <v>3.8086974728546088</v>
      </c>
      <c r="M21" s="6">
        <f t="shared" si="3"/>
        <v>2.8529933874057861E-2</v>
      </c>
      <c r="N21" s="6">
        <f t="shared" si="18"/>
        <v>3.8931133145143786</v>
      </c>
      <c r="O21" s="3">
        <f>'[1]Availabilities EU Austria'!$AD$42/'[1]Availabilities EU Austria'!$AD$40</f>
        <v>5.0786762134706974E-2</v>
      </c>
      <c r="P21" s="6">
        <f t="shared" si="19"/>
        <v>6.9302165487136662</v>
      </c>
    </row>
    <row r="22" spans="1:16" x14ac:dyDescent="0.35">
      <c r="A22" s="5" t="s">
        <v>8</v>
      </c>
      <c r="B22" s="18">
        <v>69</v>
      </c>
      <c r="C22" s="6">
        <f>'[1]Conversion factors selected IV '!$G$31</f>
        <v>0.50565325955726736</v>
      </c>
      <c r="D22" s="6">
        <f t="shared" si="8"/>
        <v>136.45714468530082</v>
      </c>
      <c r="E22" s="98">
        <f>'[1]Availabilities EU Austria'!$N$43/('[1]Availabilities EU Austria'!$N$40-'[1]Availabilities EU Austria'!$N$48)</f>
        <v>8.9944473031810107E-3</v>
      </c>
      <c r="F22" s="336">
        <f>'[1]Availabilities EU Austria'!$AB43/('[1]Availabilities EU Austria'!$AB$40)</f>
        <v>2.2926647293461844E-3</v>
      </c>
      <c r="G22" s="6">
        <f t="shared" si="9"/>
        <v>0.31285048268727833</v>
      </c>
      <c r="H22" s="129">
        <f>'[1]Availabilities EU Austria'!$Q43/('[1]Availabilities EU Austria'!$Q$40)</f>
        <v>1.5079687334874409E-2</v>
      </c>
      <c r="I22" s="34">
        <f>'[1]Availabilities EU Austria'!$AC43/('[1]Availabilities EU Austria'!$AC$40)</f>
        <v>4.4074573951518653E-3</v>
      </c>
      <c r="J22" s="6">
        <f t="shared" si="15"/>
        <v>0.60142905146453718</v>
      </c>
      <c r="K22" s="6">
        <f t="shared" si="16"/>
        <v>6.1586477176974247E-3</v>
      </c>
      <c r="L22" s="6">
        <f t="shared" si="17"/>
        <v>0.84039148267963515</v>
      </c>
      <c r="M22" s="6">
        <f t="shared" si="3"/>
        <v>7.2160440506002649E-3</v>
      </c>
      <c r="N22" s="6">
        <f t="shared" si="18"/>
        <v>0.98468076706826457</v>
      </c>
      <c r="O22" s="3">
        <f>'[1]Availabilities EU Austria'!$AD$43/'[1]Availabilities EU Austria'!$AD$40</f>
        <v>1.0024630706048665E-2</v>
      </c>
      <c r="P22" s="6">
        <f t="shared" si="19"/>
        <v>1.3679324826719921</v>
      </c>
    </row>
    <row r="23" spans="1:16" x14ac:dyDescent="0.35">
      <c r="A23" s="5" t="s">
        <v>20</v>
      </c>
      <c r="B23" s="18">
        <v>44</v>
      </c>
      <c r="C23" s="6">
        <f>'[1]Conversion factors selected IV '!$G$32</f>
        <v>0.50565325955726736</v>
      </c>
      <c r="D23" s="6">
        <f t="shared" si="8"/>
        <v>87.01615023410487</v>
      </c>
      <c r="E23" s="125">
        <f>'[1]Availabilities EU Austria'!$N$44/('[1]Availabilities EU Austria'!$N$40-'[1]Availabilities EU Austria'!$N$48)</f>
        <v>2.5238729020282836E-2</v>
      </c>
      <c r="F23" s="336">
        <f>'[1]Availabilities EU Austria'!$AB44/('[1]Availabilities EU Austria'!$AB$40)</f>
        <v>4.5033073541389065E-2</v>
      </c>
      <c r="G23" s="6">
        <f t="shared" si="9"/>
        <v>3.9186046927810039</v>
      </c>
      <c r="H23" s="129">
        <f>'[1]Availabilities EU Austria'!$Q44/('[1]Availabilities EU Austria'!$Q$40)</f>
        <v>2.4015372776648152E-2</v>
      </c>
      <c r="I23" s="34">
        <f>'[1]Availabilities EU Austria'!$AC44/('[1]Availabilities EU Austria'!$AC$40)</f>
        <v>4.9134117302209804E-2</v>
      </c>
      <c r="J23" s="6">
        <f t="shared" si="15"/>
        <v>4.2754617327892195</v>
      </c>
      <c r="K23" s="6">
        <f t="shared" si="16"/>
        <v>4.9250793663166495E-2</v>
      </c>
      <c r="L23" s="6">
        <f t="shared" si="17"/>
        <v>4.2856144605429956</v>
      </c>
      <c r="M23" s="6">
        <f t="shared" si="3"/>
        <v>5.1301315543576864E-2</v>
      </c>
      <c r="N23" s="6">
        <f t="shared" si="18"/>
        <v>4.464042980547104</v>
      </c>
      <c r="O23" s="3">
        <f>'[1]Availabilities EU Austria'!$AD$44/'[1]Availabilities EU Austria'!$AD$40</f>
        <v>5.3468513784943925E-2</v>
      </c>
      <c r="P23" s="6">
        <f t="shared" si="19"/>
        <v>4.6526242283049877</v>
      </c>
    </row>
    <row r="24" spans="1:16" x14ac:dyDescent="0.35">
      <c r="A24" s="5" t="s">
        <v>4</v>
      </c>
      <c r="B24" s="18">
        <v>65</v>
      </c>
      <c r="C24" s="6">
        <f>'[1]Conversion factors selected IV '!$G$33</f>
        <v>0.50565325955726736</v>
      </c>
      <c r="D24" s="6">
        <f t="shared" si="8"/>
        <v>128.54658557310947</v>
      </c>
      <c r="E24" s="125">
        <f>'[1]Availabilities EU Austria'!$N$45/('[1]Availabilities EU Austria'!$N$40-'[1]Availabilities EU Austria'!$N$48)</f>
        <v>0.50476667458124236</v>
      </c>
      <c r="F24" s="336">
        <f>'[1]Availabilities EU Austria'!$AB45/('[1]Availabilities EU Austria'!$AB$40)</f>
        <v>0.12866390922680662</v>
      </c>
      <c r="G24" s="6">
        <f t="shared" si="9"/>
        <v>16.539306217594486</v>
      </c>
      <c r="H24" s="129">
        <f>'[1]Availabilities EU Austria'!$Q45/('[1]Availabilities EU Austria'!$Q$40)</f>
        <v>0.50944236297089118</v>
      </c>
      <c r="I24" s="34">
        <f>'[1]Availabilities EU Austria'!$AC45/('[1]Availabilities EU Austria'!$AC$40)</f>
        <v>0.14889867808379167</v>
      </c>
      <c r="J24" s="6">
        <f t="shared" si="15"/>
        <v>19.140416664021007</v>
      </c>
      <c r="K24" s="6">
        <f t="shared" si="16"/>
        <v>0.13806563571723132</v>
      </c>
      <c r="L24" s="6">
        <f t="shared" si="17"/>
        <v>17.747866056430833</v>
      </c>
      <c r="M24" s="6">
        <f t="shared" si="3"/>
        <v>0.14818302014572385</v>
      </c>
      <c r="N24" s="6">
        <f t="shared" si="18"/>
        <v>19.048421279644096</v>
      </c>
      <c r="O24" s="3">
        <f>'[1]Availabilities EU Austria'!$AD$45/'[1]Availabilities EU Austria'!$AD$40</f>
        <v>0.14746736220765602</v>
      </c>
      <c r="P24" s="6">
        <f t="shared" si="19"/>
        <v>18.956425895267184</v>
      </c>
    </row>
    <row r="25" spans="1:16" x14ac:dyDescent="0.35">
      <c r="A25" s="5" t="s">
        <v>21</v>
      </c>
      <c r="B25" s="18">
        <v>0</v>
      </c>
      <c r="C25" s="6">
        <f>'[1]Conversion factors selected IV '!$G$34</f>
        <v>0.11659945531529187</v>
      </c>
      <c r="D25" s="6">
        <f t="shared" si="8"/>
        <v>0</v>
      </c>
      <c r="E25" s="98">
        <f>'[1]Availabilities EU Austria'!$N$46/('[1]Availabilities EU Austria'!$N$40-'[1]Availabilities EU Austria'!$N$48)</f>
        <v>0.37200916367212594</v>
      </c>
      <c r="F25" s="336">
        <f>'[1]Availabilities EU Austria'!$AB46/('[1]Availabilities EU Austria'!$AB$40)</f>
        <v>0.66377019271669135</v>
      </c>
      <c r="G25" s="6">
        <f t="shared" si="9"/>
        <v>0</v>
      </c>
      <c r="H25" s="129">
        <f>'[1]Availabilities EU Austria'!$Q46/('[1]Availabilities EU Austria'!$Q$40)</f>
        <v>0.31592460328846689</v>
      </c>
      <c r="I25" s="34">
        <f>'[1]Availabilities EU Austria'!$AC46/('[1]Availabilities EU Austria'!$AC$40)</f>
        <v>0.64636417102479571</v>
      </c>
      <c r="J25" s="6">
        <f t="shared" si="15"/>
        <v>0</v>
      </c>
      <c r="K25" s="6">
        <f t="shared" si="16"/>
        <v>0.63783015783938524</v>
      </c>
      <c r="L25" s="6">
        <f t="shared" si="17"/>
        <v>0</v>
      </c>
      <c r="M25" s="6">
        <f t="shared" si="3"/>
        <v>0.62912714699343741</v>
      </c>
      <c r="N25" s="6">
        <f t="shared" si="18"/>
        <v>0</v>
      </c>
      <c r="O25" s="3">
        <f>'[1]Availabilities EU Austria'!$AD$46/'[1]Availabilities EU Austria'!$AD$40</f>
        <v>0.61189012296207901</v>
      </c>
      <c r="P25" s="6">
        <f t="shared" si="19"/>
        <v>0</v>
      </c>
    </row>
    <row r="26" spans="1:16" x14ac:dyDescent="0.35">
      <c r="A26" s="5" t="s">
        <v>22</v>
      </c>
      <c r="B26" s="18">
        <v>0</v>
      </c>
      <c r="C26" s="6">
        <f>'[1]Conversion factors selected IV '!$G$35</f>
        <v>0.11659945531529187</v>
      </c>
      <c r="D26" s="6">
        <f t="shared" si="8"/>
        <v>0</v>
      </c>
      <c r="E26" s="126">
        <f>'[1]Availabilities EU Austria'!$N$47/('[1]Availabilities EU Austria'!$N$40-'[1]Availabilities EU Austria'!$N$48)</f>
        <v>3.4001984286291011E-2</v>
      </c>
      <c r="F26" s="336">
        <f>'[1]Availabilities EU Austria'!$AB47/('[1]Availabilities EU Austria'!$AB$40)</f>
        <v>1.5167303568329005E-2</v>
      </c>
      <c r="G26" s="6">
        <f t="shared" si="9"/>
        <v>0</v>
      </c>
      <c r="H26" s="129">
        <f>'[1]Availabilities EU Austria'!$Q47/('[1]Availabilities EU Austria'!$Q$40)</f>
        <v>2.4204717383445484E-2</v>
      </c>
      <c r="I26" s="34">
        <f>'[1]Availabilities EU Austria'!$AC47/('[1]Availabilities EU Austria'!$AC$40)</f>
        <v>1.2380376459755248E-2</v>
      </c>
      <c r="J26" s="6">
        <f t="shared" si="15"/>
        <v>0</v>
      </c>
      <c r="K26" s="6">
        <f t="shared" si="16"/>
        <v>1.328274211874295E-2</v>
      </c>
      <c r="L26" s="6">
        <f t="shared" si="17"/>
        <v>0</v>
      </c>
      <c r="M26" s="6">
        <f t="shared" si="3"/>
        <v>1.1889278564456072E-2</v>
      </c>
      <c r="N26" s="6">
        <f t="shared" si="18"/>
        <v>0</v>
      </c>
      <c r="O26" s="3">
        <f>'[1]Availabilities EU Austria'!$AD$47/'[1]Availabilities EU Austria'!$AD$40</f>
        <v>1.1398180669156894E-2</v>
      </c>
      <c r="P26" s="6">
        <f t="shared" si="19"/>
        <v>0</v>
      </c>
    </row>
    <row r="27" spans="1:16" x14ac:dyDescent="0.35">
      <c r="A27" s="12" t="s">
        <v>23</v>
      </c>
      <c r="B27" s="18">
        <f>-(55+70)/2</f>
        <v>-62.5</v>
      </c>
      <c r="C27" s="6">
        <f>'[1]Conversion factors selected IV '!$G$36</f>
        <v>0.18593291119169406</v>
      </c>
      <c r="D27" s="6">
        <f t="shared" si="8"/>
        <v>-336.14274955101109</v>
      </c>
      <c r="E27" s="125">
        <f>'[1]Availabilities EU Austria'!$N$48/'[1]Availabilities EU Austria'!$N$48</f>
        <v>1</v>
      </c>
      <c r="F27" s="337">
        <f>'[1]Availabilities EU Austria'!$AB$48/'[1]Availabilities EU Austria'!$AB$40</f>
        <v>0.12588399541457132</v>
      </c>
      <c r="G27" s="6">
        <f>D27*F27</f>
        <v>-42.314992343120878</v>
      </c>
      <c r="H27" s="129">
        <f>'[1]Availabilities EU Austria'!$Q48/('[1]Availabilities EU Austria'!$Q$40)</f>
        <v>5.8190890064802624E-2</v>
      </c>
      <c r="I27" s="34">
        <f>'[1]Availabilities EU Austria'!$AC48/('[1]Availabilities EU Austria'!$AC$40)</f>
        <v>0.11905532530996848</v>
      </c>
      <c r="J27" s="6">
        <f t="shared" si="15"/>
        <v>-40.019584398382889</v>
      </c>
      <c r="K27" s="6">
        <f t="shared" si="16"/>
        <v>0.11387803476461558</v>
      </c>
      <c r="L27" s="6">
        <f t="shared" si="17"/>
        <v>-38.279275719243508</v>
      </c>
      <c r="M27" s="6">
        <f t="shared" si="3"/>
        <v>0.11046369971231418</v>
      </c>
      <c r="N27" s="6">
        <f t="shared" si="18"/>
        <v>-37.131571746874521</v>
      </c>
      <c r="O27" s="3">
        <f>'[1]Availabilities EU Austria'!$AD$48/'[1]Availabilities EU Austria'!$AD$40</f>
        <v>0.10187207411465986</v>
      </c>
      <c r="P27" s="6">
        <f t="shared" si="19"/>
        <v>-34.243559095366152</v>
      </c>
    </row>
    <row r="28" spans="1:16" x14ac:dyDescent="0.35">
      <c r="A28" s="13" t="s">
        <v>24</v>
      </c>
      <c r="B28" s="18">
        <v>300</v>
      </c>
      <c r="C28" s="24">
        <f>0.6</f>
        <v>0.6</v>
      </c>
      <c r="D28" s="6">
        <f t="shared" si="8"/>
        <v>500</v>
      </c>
      <c r="E28" s="97">
        <f>'[1]Availabilities EU Austria'!$N$49/('[1]Availabilities EU Austria'!$N$40-'[1]Availabilities EU Austria'!$N$48)</f>
        <v>2.471914761104197E-3</v>
      </c>
      <c r="F28" s="336">
        <f>'[1]Availabilities EU Austria'!$AB49/('[1]Availabilities EU Austria'!$AB$40)</f>
        <v>4.4105992475053325E-3</v>
      </c>
      <c r="G28" s="6">
        <f t="shared" si="9"/>
        <v>2.2052996237526661</v>
      </c>
      <c r="H28" s="129">
        <f>'[1]Availabilities EU Austria'!$Q49/('[1]Availabilities EU Austria'!$Q$40)</f>
        <v>1.5744343819841437E-3</v>
      </c>
      <c r="I28" s="34">
        <f>'[1]Availabilities EU Austria'!$AC49/('[1]Availabilities EU Austria'!$AC$40)</f>
        <v>3.2212051975417265E-3</v>
      </c>
      <c r="J28" s="6">
        <f t="shared" si="15"/>
        <v>1.6106025987708632</v>
      </c>
      <c r="K28" s="6">
        <f t="shared" si="16"/>
        <v>3.8004200093875017E-3</v>
      </c>
      <c r="L28" s="6">
        <f t="shared" si="17"/>
        <v>1.9002100046937509</v>
      </c>
      <c r="M28" s="6">
        <f t="shared" si="3"/>
        <v>3.2057229844056987E-3</v>
      </c>
      <c r="N28" s="6">
        <f t="shared" si="18"/>
        <v>1.6028614922028495</v>
      </c>
      <c r="O28" s="3">
        <f>'[1]Availabilities EU Austria'!$AD$49/'[1]Availabilities EU Austria'!$AD$40</f>
        <v>3.190240771269671E-3</v>
      </c>
      <c r="P28" s="6">
        <f t="shared" si="19"/>
        <v>1.5951203856348355</v>
      </c>
    </row>
    <row r="29" spans="1:16" s="80" customFormat="1" x14ac:dyDescent="0.35">
      <c r="A29" s="81" t="s">
        <v>26</v>
      </c>
      <c r="B29" s="82"/>
      <c r="E29" s="121"/>
      <c r="F29" s="86">
        <f>SUM(F30:F39)</f>
        <v>0.99999999999999978</v>
      </c>
      <c r="G29" s="79">
        <f>SUM(G30:G39)</f>
        <v>136.38488968932074</v>
      </c>
      <c r="H29" s="79">
        <f t="shared" ref="H29:P29" si="20">SUM(H30:H39)</f>
        <v>1</v>
      </c>
      <c r="I29" s="79">
        <f t="shared" si="20"/>
        <v>0.99999999999999978</v>
      </c>
      <c r="J29" s="79">
        <f t="shared" si="20"/>
        <v>138.68457111316235</v>
      </c>
      <c r="K29" s="79">
        <f t="shared" si="20"/>
        <v>0.99999999999999989</v>
      </c>
      <c r="L29" s="79">
        <f t="shared" si="20"/>
        <v>139.28499505438765</v>
      </c>
      <c r="M29" s="79">
        <f t="shared" si="20"/>
        <v>0.99999999999999989</v>
      </c>
      <c r="N29" s="79">
        <f t="shared" si="20"/>
        <v>140.43483576630845</v>
      </c>
      <c r="O29" s="79">
        <f t="shared" si="20"/>
        <v>1</v>
      </c>
      <c r="P29" s="79">
        <f t="shared" si="20"/>
        <v>142.18510041945453</v>
      </c>
    </row>
    <row r="30" spans="1:16" x14ac:dyDescent="0.35">
      <c r="A30" s="5" t="s">
        <v>4</v>
      </c>
      <c r="B30" s="18">
        <v>65</v>
      </c>
      <c r="C30" s="6">
        <f>'[1]Conversion factors selected IV '!$G$39</f>
        <v>0.44129562342499795</v>
      </c>
      <c r="D30" s="6">
        <f t="shared" si="8"/>
        <v>147.2935523255814</v>
      </c>
      <c r="E30" s="125">
        <f>'[1]Availabilities EU Austria'!$N$51/'[1]Availabilities EU Austria'!$N$50</f>
        <v>0.51783810219756787</v>
      </c>
      <c r="F30" s="63">
        <f>'[1]Availabilities EU Austria'!$AB51/'[1]Availabilities EU Austria'!$AB$50</f>
        <v>0.4478191237333573</v>
      </c>
      <c r="G30" s="6">
        <f t="shared" si="9"/>
        <v>65.960869534015274</v>
      </c>
      <c r="H30" s="123">
        <f>'[1]Availabilities EU Austria'!$Q$51/'[1]Availabilities EU Austria'!$Q$50</f>
        <v>0.56804068512978889</v>
      </c>
      <c r="I30" s="59">
        <f>'[1]Availabilities EU Austria'!$AC51/'[1]Availabilities EU Austria'!$AC$50</f>
        <v>0.50267796963201805</v>
      </c>
      <c r="J30" s="6">
        <f t="shared" ref="J30:J39" si="21">I30*D30</f>
        <v>74.041223822910666</v>
      </c>
      <c r="K30" s="6">
        <f t="shared" ref="K30:K38" si="22">(F30+O30)/2</f>
        <v>0.43418777317495794</v>
      </c>
      <c r="L30" s="6">
        <f t="shared" ref="L30:L39" si="23">K30*D30</f>
        <v>63.953059487273336</v>
      </c>
      <c r="M30" s="6">
        <f t="shared" si="3"/>
        <v>0.46161719612428831</v>
      </c>
      <c r="N30" s="6">
        <f t="shared" ref="N30:N39" si="24">M30*D30</f>
        <v>67.993236631721032</v>
      </c>
      <c r="O30" s="3">
        <f>'[1]Availabilities EU Austria'!$AD$70/'[1]Availabilities EU Austria'!$AD$69</f>
        <v>0.42055642261655857</v>
      </c>
      <c r="P30" s="6">
        <f t="shared" ref="P30:P39" si="25">O30*D30</f>
        <v>61.945249440531398</v>
      </c>
    </row>
    <row r="31" spans="1:16" x14ac:dyDescent="0.35">
      <c r="A31" s="5" t="s">
        <v>5</v>
      </c>
      <c r="B31" s="18">
        <v>44</v>
      </c>
      <c r="C31" s="6">
        <f>'[1]Conversion factors selected IV '!$G$40</f>
        <v>0.44129562342499795</v>
      </c>
      <c r="D31" s="6">
        <f t="shared" si="8"/>
        <v>99.706404651162799</v>
      </c>
      <c r="E31" s="98">
        <f>'[1]Availabilities EU Austria'!$N$52/'[1]Availabilities EU Austria'!$N$50</f>
        <v>3.3609087261800549E-2</v>
      </c>
      <c r="F31" s="63">
        <f>'[1]Availabilities EU Austria'!$AB52/'[1]Availabilities EU Austria'!$AB$50</f>
        <v>3.3908778181926356E-2</v>
      </c>
      <c r="G31" s="6">
        <f>D31*F31</f>
        <v>3.3809223586336699</v>
      </c>
      <c r="H31" s="123">
        <f>'[1]Availabilities EU Austria'!$Q$52/'[1]Availabilities EU Austria'!$Q$50</f>
        <v>3.3570731675220726E-2</v>
      </c>
      <c r="I31" s="59">
        <f>'[1]Availabilities EU Austria'!$AC52/'[1]Availabilities EU Austria'!$AC$50</f>
        <v>3.4659157860596541E-2</v>
      </c>
      <c r="J31" s="6">
        <f t="shared" si="21"/>
        <v>3.4557400185171687</v>
      </c>
      <c r="K31" s="6">
        <f t="shared" si="22"/>
        <v>3.1075451352417523E-2</v>
      </c>
      <c r="L31" s="6">
        <f t="shared" si="23"/>
        <v>3.098421527261666</v>
      </c>
      <c r="M31" s="6">
        <f t="shared" si="3"/>
        <v>3.1450641191752615E-2</v>
      </c>
      <c r="N31" s="6">
        <f t="shared" si="24"/>
        <v>3.1358303572034152</v>
      </c>
      <c r="O31" s="3">
        <f>'[1]Availabilities EU Austria'!$AD$71/'[1]Availabilities EU Austria'!$AD$69</f>
        <v>2.8242124522908689E-2</v>
      </c>
      <c r="P31" s="6">
        <f t="shared" si="25"/>
        <v>2.8159206958896617</v>
      </c>
    </row>
    <row r="32" spans="1:16" x14ac:dyDescent="0.35">
      <c r="A32" s="5" t="s">
        <v>22</v>
      </c>
      <c r="B32" s="18">
        <v>0</v>
      </c>
      <c r="C32" s="6">
        <f>'[1]Conversion factors selected IV '!$G$41</f>
        <v>0.30788066750581256</v>
      </c>
      <c r="D32" s="6">
        <f t="shared" si="8"/>
        <v>0</v>
      </c>
      <c r="E32" s="126">
        <f>'[1]Availabilities EU Austria'!$N$53/'[1]Availabilities EU Austria'!$N$50</f>
        <v>3.4882498985044481E-2</v>
      </c>
      <c r="F32" s="63">
        <f>'[1]Availabilities EU Austria'!$AB53/'[1]Availabilities EU Austria'!$AB$50</f>
        <v>5.2790317301751842E-2</v>
      </c>
      <c r="G32" s="6">
        <f t="shared" si="9"/>
        <v>0</v>
      </c>
      <c r="H32" s="123">
        <f>'[1]Availabilities EU Austria'!$Q$53/'[1]Availabilities EU Austria'!$Q$50</f>
        <v>2.6988851429010231E-2</v>
      </c>
      <c r="I32" s="59">
        <f>'[1]Availabilities EU Austria'!$AC53/'[1]Availabilities EU Austria'!$AC$50</f>
        <v>4.1795821038569984E-2</v>
      </c>
      <c r="J32" s="6">
        <f t="shared" si="21"/>
        <v>0</v>
      </c>
      <c r="K32" s="6">
        <f t="shared" si="22"/>
        <v>4.264817224926036E-2</v>
      </c>
      <c r="L32" s="6">
        <f t="shared" si="23"/>
        <v>0</v>
      </c>
      <c r="M32" s="6">
        <f t="shared" si="3"/>
        <v>3.7150924117669432E-2</v>
      </c>
      <c r="N32" s="6">
        <f t="shared" si="24"/>
        <v>0</v>
      </c>
      <c r="O32" s="3">
        <f>'[1]Availabilities EU Austria'!$AD$72/'[1]Availabilities EU Austria'!$AD$69</f>
        <v>3.2506027196768886E-2</v>
      </c>
      <c r="P32" s="6">
        <f t="shared" si="25"/>
        <v>0</v>
      </c>
    </row>
    <row r="33" spans="1:16" x14ac:dyDescent="0.35">
      <c r="A33" s="5" t="s">
        <v>6</v>
      </c>
      <c r="B33" s="18">
        <v>44</v>
      </c>
      <c r="C33" s="6">
        <f>'[1]Conversion factors selected IV '!$G$42</f>
        <v>0.44129562342499795</v>
      </c>
      <c r="D33" s="6">
        <f t="shared" si="8"/>
        <v>99.706404651162799</v>
      </c>
      <c r="E33" s="125">
        <f>'[1]Availabilities EU Austria'!$N$54/'[1]Availabilities EU Austria'!$N$50</f>
        <v>1.366290786845722E-2</v>
      </c>
      <c r="F33" s="63">
        <f>'[1]Availabilities EU Austria'!$AB54/'[1]Availabilities EU Austria'!$AB$50</f>
        <v>1.6541687381966423E-2</v>
      </c>
      <c r="G33" s="6">
        <f t="shared" si="9"/>
        <v>1.649312175719378</v>
      </c>
      <c r="H33" s="123">
        <f>'[1]Availabilities EU Austria'!$Q$54/'[1]Availabilities EU Austria'!$Q$50</f>
        <v>1.4187521465099827E-2</v>
      </c>
      <c r="I33" s="59">
        <f>'[1]Availabilities EU Austria'!$AC54/'[1]Availabilities EU Austria'!$AC$50</f>
        <v>1.7577009075644957E-2</v>
      </c>
      <c r="J33" s="6">
        <f t="shared" si="21"/>
        <v>1.7525403794534171</v>
      </c>
      <c r="K33" s="6">
        <f t="shared" si="22"/>
        <v>1.4584253792434245E-2</v>
      </c>
      <c r="L33" s="6">
        <f t="shared" si="23"/>
        <v>1.4541435101637046</v>
      </c>
      <c r="M33" s="6">
        <f t="shared" si="3"/>
        <v>1.5101914639273514E-2</v>
      </c>
      <c r="N33" s="6">
        <f t="shared" si="24"/>
        <v>1.5057576120307243</v>
      </c>
      <c r="O33" s="3">
        <f>'[1]Availabilities EU Austria'!$AD$73/'[1]Availabilities EU Austria'!$AD$69</f>
        <v>1.2626820202902069E-2</v>
      </c>
      <c r="P33" s="6">
        <f t="shared" si="25"/>
        <v>1.2589748446080313</v>
      </c>
    </row>
    <row r="34" spans="1:16" x14ac:dyDescent="0.35">
      <c r="A34" s="5" t="s">
        <v>7</v>
      </c>
      <c r="B34" s="18">
        <v>69</v>
      </c>
      <c r="C34" s="6">
        <f>'[1]Conversion factors selected IV '!$G$43</f>
        <v>0.44129562342499795</v>
      </c>
      <c r="D34" s="6">
        <f t="shared" si="8"/>
        <v>156.35777093023256</v>
      </c>
      <c r="E34" s="98">
        <f>'[1]Availabilities EU Austria'!$N$55/'[1]Availabilities EU Austria'!$N$50</f>
        <v>2.0267980522710626E-2</v>
      </c>
      <c r="F34" s="63">
        <f>'[1]Availabilities EU Austria'!$AB55/'[1]Availabilities EU Austria'!$AB$50</f>
        <v>1.752746512666262E-2</v>
      </c>
      <c r="G34" s="6">
        <f t="shared" si="9"/>
        <v>2.7405553772623534</v>
      </c>
      <c r="H34" s="123">
        <f>'[1]Availabilities EU Austria'!$Q$55/'[1]Availabilities EU Austria'!$Q$50</f>
        <v>2.3931570490686043E-2</v>
      </c>
      <c r="I34" s="59">
        <f>'[1]Availabilities EU Austria'!$AC55/'[1]Availabilities EU Austria'!$AC$50</f>
        <v>2.1177837396655713E-2</v>
      </c>
      <c r="J34" s="6">
        <f t="shared" si="21"/>
        <v>3.3113194484640065</v>
      </c>
      <c r="K34" s="6">
        <f t="shared" si="22"/>
        <v>8.1182126301107091E-2</v>
      </c>
      <c r="L34" s="6">
        <f t="shared" si="23"/>
        <v>12.69345630781771</v>
      </c>
      <c r="M34" s="6">
        <f t="shared" si="3"/>
        <v>8.3007312436103639E-2</v>
      </c>
      <c r="N34" s="6">
        <f t="shared" si="24"/>
        <v>12.978838343418538</v>
      </c>
      <c r="O34" s="3">
        <f>'[1]Availabilities EU Austria'!$AD$74/'[1]Availabilities EU Austria'!$AD$69</f>
        <v>0.14483678747555156</v>
      </c>
      <c r="P34" s="6">
        <f t="shared" si="25"/>
        <v>22.646357238373067</v>
      </c>
    </row>
    <row r="35" spans="1:16" x14ac:dyDescent="0.35">
      <c r="A35" s="5" t="s">
        <v>8</v>
      </c>
      <c r="B35" s="18">
        <v>69</v>
      </c>
      <c r="C35" s="6">
        <f>'[1]Conversion factors selected IV '!$G$44</f>
        <v>0.44129562342499795</v>
      </c>
      <c r="D35" s="6">
        <f t="shared" si="8"/>
        <v>156.35777093023256</v>
      </c>
      <c r="E35" s="98">
        <f>'[1]Availabilities EU Austria'!$N$56/'[1]Availabilities EU Austria'!$N$50</f>
        <v>9.2273673289927829E-3</v>
      </c>
      <c r="F35" s="63">
        <f>'[1]Availabilities EU Austria'!$AB56/'[1]Availabilities EU Austria'!$AB$50</f>
        <v>7.9796977744577523E-3</v>
      </c>
      <c r="G35" s="6">
        <f t="shared" si="9"/>
        <v>1.2476877567111517</v>
      </c>
      <c r="H35" s="123">
        <f>'[1]Availabilities EU Austria'!$Q$56/'[1]Availabilities EU Austria'!$Q$50</f>
        <v>1.6814219915461764E-2</v>
      </c>
      <c r="I35" s="59">
        <f>'[1]Availabilities EU Austria'!$AC56/'[1]Availabilities EU Austria'!$AC$50</f>
        <v>1.4879458724192218E-2</v>
      </c>
      <c r="J35" s="6">
        <f t="shared" si="21"/>
        <v>2.3265189987630972</v>
      </c>
      <c r="K35" s="6">
        <f t="shared" si="22"/>
        <v>1.8284275683346937E-2</v>
      </c>
      <c r="L35" s="6">
        <f t="shared" si="23"/>
        <v>2.8588885889219817</v>
      </c>
      <c r="M35" s="6">
        <f t="shared" si="3"/>
        <v>2.1734156158214172E-2</v>
      </c>
      <c r="N35" s="6">
        <f t="shared" si="24"/>
        <v>3.398304209947955</v>
      </c>
      <c r="O35" s="3">
        <f>'[1]Availabilities EU Austria'!$AD$75/'[1]Availabilities EU Austria'!$AD$69</f>
        <v>2.8588853592236126E-2</v>
      </c>
      <c r="P35" s="6">
        <f t="shared" si="25"/>
        <v>4.4700894211328128</v>
      </c>
    </row>
    <row r="36" spans="1:16" x14ac:dyDescent="0.35">
      <c r="A36" s="5" t="s">
        <v>9</v>
      </c>
      <c r="B36" s="18">
        <v>69</v>
      </c>
      <c r="C36" s="6">
        <f>'[1]Conversion factors selected IV '!$G$45</f>
        <v>0.48747772355086988</v>
      </c>
      <c r="D36" s="6">
        <f t="shared" si="8"/>
        <v>141.54492947368419</v>
      </c>
      <c r="E36" s="126">
        <f>'[1]Availabilities EU Austria'!$N$57/'[1]Availabilities EU Austria'!$N$50</f>
        <v>0.14802813399529377</v>
      </c>
      <c r="F36" s="63">
        <f>'[1]Availabilities EU Austria'!$AB57/'[1]Availabilities EU Austria'!$AB$50</f>
        <v>0.17921771411040624</v>
      </c>
      <c r="G36" s="6">
        <f t="shared" si="9"/>
        <v>25.367358704192348</v>
      </c>
      <c r="H36" s="123">
        <f>'[1]Availabilities EU Austria'!$Q$57/'[1]Availabilities EU Austria'!$Q$50</f>
        <v>0.10247463906007917</v>
      </c>
      <c r="I36" s="59">
        <f>'[1]Availabilities EU Austria'!$AC57/'[1]Availabilities EU Austria'!$AC$50</f>
        <v>0.12695647123518053</v>
      </c>
      <c r="J36" s="6">
        <f t="shared" si="21"/>
        <v>17.970044767211444</v>
      </c>
      <c r="K36" s="6">
        <f t="shared" si="22"/>
        <v>0.14373173439523354</v>
      </c>
      <c r="L36" s="6">
        <f t="shared" si="23"/>
        <v>20.344498208103641</v>
      </c>
      <c r="M36" s="6">
        <f t="shared" si="3"/>
        <v>0.11760111295762068</v>
      </c>
      <c r="N36" s="6">
        <f t="shared" si="24"/>
        <v>16.645841239613187</v>
      </c>
      <c r="O36" s="3">
        <f>'[1]Availabilities EU Austria'!$AD$76/'[1]Availabilities EU Austria'!$AD$69</f>
        <v>0.10824575468006085</v>
      </c>
      <c r="P36" s="6">
        <f t="shared" si="25"/>
        <v>15.321637712014935</v>
      </c>
    </row>
    <row r="37" spans="1:16" x14ac:dyDescent="0.35">
      <c r="A37" s="5" t="s">
        <v>10</v>
      </c>
      <c r="B37" s="18">
        <v>65</v>
      </c>
      <c r="C37" s="6">
        <f>'[1]Conversion factors selected IV '!$G$46</f>
        <v>0.48747772355086988</v>
      </c>
      <c r="D37" s="6">
        <f t="shared" si="8"/>
        <v>133.33942631578947</v>
      </c>
      <c r="E37" s="126">
        <f>'[1]Availabilities EU Austria'!$N$58/'[1]Availabilities EU Austria'!$N$50</f>
        <v>0.15540694633138846</v>
      </c>
      <c r="F37" s="63">
        <f>'[1]Availabilities EU Austria'!$AB58/'[1]Availabilities EU Austria'!$AB$50</f>
        <v>0.15679270400987594</v>
      </c>
      <c r="G37" s="6">
        <f t="shared" si="9"/>
        <v>20.90664920317824</v>
      </c>
      <c r="H37" s="123">
        <f>'[1]Availabilities EU Austria'!$Q$58/'[1]Availabilities EU Austria'!$Q$50</f>
        <v>0.15073287616524328</v>
      </c>
      <c r="I37" s="59">
        <f>'[1]Availabilities EU Austria'!$AC58/'[1]Availabilities EU Austria'!$AC$50</f>
        <v>0.1556199191705156</v>
      </c>
      <c r="J37" s="6">
        <f t="shared" si="21"/>
        <v>20.750270745506079</v>
      </c>
      <c r="K37" s="6">
        <f t="shared" si="22"/>
        <v>0.14772015219276763</v>
      </c>
      <c r="L37" s="6">
        <f t="shared" si="23"/>
        <v>19.696920348664744</v>
      </c>
      <c r="M37" s="6">
        <f t="shared" si="3"/>
        <v>0.14713375977308746</v>
      </c>
      <c r="N37" s="6">
        <f t="shared" si="24"/>
        <v>19.618731119828663</v>
      </c>
      <c r="O37" s="3">
        <f>'[1]Availabilities EU Austria'!$AD$77/'[1]Availabilities EU Austria'!$AD$69</f>
        <v>0.13864760037565935</v>
      </c>
      <c r="P37" s="6">
        <f t="shared" si="25"/>
        <v>18.487191494151254</v>
      </c>
    </row>
    <row r="38" spans="1:16" x14ac:dyDescent="0.35">
      <c r="A38" s="5" t="s">
        <v>11</v>
      </c>
      <c r="B38" s="18">
        <v>25</v>
      </c>
      <c r="C38" s="6">
        <f>'[1]Conversion factors selected IV '!$G$47</f>
        <v>0.41050755667441674</v>
      </c>
      <c r="D38" s="6">
        <f t="shared" si="8"/>
        <v>60.900218749999993</v>
      </c>
      <c r="E38" s="125">
        <f>'[1]Availabilities EU Austria'!$N$59/'[1]Availabilities EU Austria'!$N$50</f>
        <v>4.6552014319949722E-2</v>
      </c>
      <c r="F38" s="63">
        <f>'[1]Availabilities EU Austria'!$AB59/'[1]Availabilities EU Austria'!$AB$50</f>
        <v>5.6360540178946879E-2</v>
      </c>
      <c r="G38" s="6">
        <f t="shared" si="9"/>
        <v>3.4323692257660285</v>
      </c>
      <c r="H38" s="123">
        <f>'[1]Availabilities EU Austria'!$Q$59/'[1]Availabilities EU Austria'!$Q$50</f>
        <v>4.2968416306665501E-2</v>
      </c>
      <c r="I38" s="59">
        <f>'[1]Availabilities EU Austria'!$AC59/'[1]Availabilities EU Austria'!$AC$50</f>
        <v>5.3233839698232026E-2</v>
      </c>
      <c r="J38" s="6">
        <f t="shared" si="21"/>
        <v>3.2419524825247641</v>
      </c>
      <c r="K38" s="6">
        <f t="shared" si="22"/>
        <v>5.5191495955882811E-2</v>
      </c>
      <c r="L38" s="6">
        <f t="shared" si="23"/>
        <v>3.361174176853003</v>
      </c>
      <c r="M38" s="6">
        <f t="shared" si="3"/>
        <v>5.3628145715525391E-2</v>
      </c>
      <c r="N38" s="6">
        <f t="shared" si="24"/>
        <v>3.265965805232371</v>
      </c>
      <c r="O38" s="3">
        <f>'[1]Availabilities EU Austria'!$AD$78/'[1]Availabilities EU Austria'!$AD$69</f>
        <v>5.4022451732818749E-2</v>
      </c>
      <c r="P38" s="6">
        <f t="shared" si="25"/>
        <v>3.2899791279399779</v>
      </c>
    </row>
    <row r="39" spans="1:16" x14ac:dyDescent="0.35">
      <c r="A39" s="13" t="s">
        <v>25</v>
      </c>
      <c r="B39" s="18">
        <v>300</v>
      </c>
      <c r="C39" s="37">
        <f>'[1]Conversion factors selected IV '!$G$48</f>
        <v>0.79651764705882355</v>
      </c>
      <c r="D39" s="6">
        <f>B39/C39</f>
        <v>376.63948954271535</v>
      </c>
      <c r="E39" s="98">
        <f>'[1]Availabilities EU Austria'!$N$60/'[1]Availabilities EU Austria'!$N$50</f>
        <v>2.052496118879454E-2</v>
      </c>
      <c r="F39" s="63">
        <f>'[1]Availabilities EU Austria'!$AB60/'[1]Availabilities EU Austria'!$AB$50</f>
        <v>3.1061972200648619E-2</v>
      </c>
      <c r="G39" s="6">
        <f t="shared" si="9"/>
        <v>11.699165353842311</v>
      </c>
      <c r="H39" s="123">
        <f>'[1]Availabilities EU Austria'!$Q$60/'[1]Availabilities EU Austria'!$Q$50</f>
        <v>2.0290488362744687E-2</v>
      </c>
      <c r="I39" s="59">
        <f>'[1]Availabilities EU Austria'!$AC60/'[1]Availabilities EU Austria'!$AC$50</f>
        <v>3.1422516168394234E-2</v>
      </c>
      <c r="J39" s="6">
        <f t="shared" si="21"/>
        <v>11.834960449811724</v>
      </c>
      <c r="K39" s="6">
        <f>(F39+O39)/2</f>
        <v>3.139456490259189E-2</v>
      </c>
      <c r="L39" s="6">
        <f t="shared" si="23"/>
        <v>11.824432899327856</v>
      </c>
      <c r="M39" s="6">
        <f t="shared" si="3"/>
        <v>3.1574836886464702E-2</v>
      </c>
      <c r="N39" s="6">
        <f t="shared" si="24"/>
        <v>11.892330447312565</v>
      </c>
      <c r="O39" s="3">
        <f>'[1]Availabilities EU Austria'!$AD$79/'[1]Availabilities EU Austria'!$AD$69</f>
        <v>3.1727157604535164E-2</v>
      </c>
      <c r="P39" s="6">
        <f t="shared" si="25"/>
        <v>11.949700444813404</v>
      </c>
    </row>
    <row r="40" spans="1:16" s="80" customFormat="1" x14ac:dyDescent="0.35">
      <c r="A40" s="81" t="s">
        <v>27</v>
      </c>
      <c r="B40" s="82"/>
      <c r="E40" s="121"/>
      <c r="G40" s="79">
        <f>SUM(G41)</f>
        <v>429.92261392949263</v>
      </c>
      <c r="H40" s="79">
        <f t="shared" ref="H40:N40" si="26">SUM(H41)</f>
        <v>1</v>
      </c>
      <c r="I40" s="79">
        <f t="shared" si="26"/>
        <v>1</v>
      </c>
      <c r="J40" s="79">
        <f t="shared" si="26"/>
        <v>429.92261392949263</v>
      </c>
      <c r="K40" s="79">
        <f t="shared" si="26"/>
        <v>1</v>
      </c>
      <c r="L40" s="79">
        <f t="shared" si="26"/>
        <v>429.92261392949263</v>
      </c>
      <c r="M40" s="79">
        <f t="shared" si="26"/>
        <v>1</v>
      </c>
      <c r="N40" s="79">
        <f t="shared" si="26"/>
        <v>429.92261392949263</v>
      </c>
      <c r="P40" s="79">
        <v>46.068596541511404</v>
      </c>
    </row>
    <row r="41" spans="1:16" x14ac:dyDescent="0.35">
      <c r="A41" s="13" t="s">
        <v>28</v>
      </c>
      <c r="B41" s="18">
        <v>900</v>
      </c>
      <c r="C41" s="6">
        <f>'[1]Conversion factors selected IV '!$O$49</f>
        <v>2.0934000000000004</v>
      </c>
      <c r="D41" s="6">
        <f>B41/C41</f>
        <v>429.92261392949263</v>
      </c>
      <c r="E41" s="126">
        <v>1</v>
      </c>
      <c r="F41" s="66">
        <v>1</v>
      </c>
      <c r="G41" s="6">
        <f t="shared" si="9"/>
        <v>429.92261392949263</v>
      </c>
      <c r="H41" s="123">
        <v>1</v>
      </c>
      <c r="I41" s="34">
        <v>1</v>
      </c>
      <c r="J41" s="6">
        <f>I41*D41</f>
        <v>429.92261392949263</v>
      </c>
      <c r="K41" s="6">
        <f>(F41+O41)/2</f>
        <v>1</v>
      </c>
      <c r="L41" s="6">
        <f>K41*D41</f>
        <v>429.92261392949263</v>
      </c>
      <c r="M41" s="6">
        <f t="shared" si="3"/>
        <v>1</v>
      </c>
      <c r="N41" s="6">
        <f>M41*D41</f>
        <v>429.92261392949263</v>
      </c>
      <c r="O41" s="34">
        <v>1</v>
      </c>
      <c r="P41" s="6">
        <v>46.068596541511404</v>
      </c>
    </row>
    <row r="42" spans="1:16" s="80" customFormat="1" x14ac:dyDescent="0.35">
      <c r="A42" s="81" t="s">
        <v>29</v>
      </c>
      <c r="B42" s="82"/>
      <c r="C42" s="79"/>
      <c r="E42" s="121"/>
      <c r="G42" s="79">
        <f>SUM(G43)</f>
        <v>291.86968567880001</v>
      </c>
      <c r="H42" s="79">
        <f t="shared" ref="H42:N42" si="27">SUM(H43)</f>
        <v>1</v>
      </c>
      <c r="I42" s="79">
        <f t="shared" si="27"/>
        <v>1</v>
      </c>
      <c r="J42" s="79">
        <f t="shared" si="27"/>
        <v>291.86968567880001</v>
      </c>
      <c r="K42" s="79">
        <f t="shared" si="27"/>
        <v>1</v>
      </c>
      <c r="L42" s="79">
        <f t="shared" si="27"/>
        <v>291.86968567880001</v>
      </c>
      <c r="M42" s="79">
        <f t="shared" si="27"/>
        <v>1</v>
      </c>
      <c r="N42" s="79">
        <f t="shared" si="27"/>
        <v>291.86968567880001</v>
      </c>
      <c r="P42" s="79">
        <v>96.44</v>
      </c>
    </row>
    <row r="43" spans="1:16" x14ac:dyDescent="0.35">
      <c r="A43" s="15" t="s">
        <v>30</v>
      </c>
      <c r="B43" s="18">
        <f>(427+795)/2</f>
        <v>611</v>
      </c>
      <c r="C43" s="6">
        <f>'[1]Conversion factors selected IV '!$O$50</f>
        <v>2.0934000000000004</v>
      </c>
      <c r="D43" s="6">
        <f>B43/C43</f>
        <v>291.86968567880001</v>
      </c>
      <c r="E43" s="98">
        <v>1</v>
      </c>
      <c r="F43" s="61">
        <v>1</v>
      </c>
      <c r="G43" s="6">
        <f t="shared" si="9"/>
        <v>291.86968567880001</v>
      </c>
      <c r="H43" s="123">
        <v>1</v>
      </c>
      <c r="I43" s="34">
        <v>1</v>
      </c>
      <c r="J43" s="6">
        <f>I43*D43</f>
        <v>291.86968567880001</v>
      </c>
      <c r="K43" s="6">
        <f>(F43+O43)/2</f>
        <v>1</v>
      </c>
      <c r="L43" s="6">
        <f>K43*D43</f>
        <v>291.86968567880001</v>
      </c>
      <c r="M43" s="6">
        <f t="shared" si="3"/>
        <v>1</v>
      </c>
      <c r="N43" s="6">
        <f>M43*D43</f>
        <v>291.86968567880001</v>
      </c>
      <c r="O43" s="34">
        <v>1</v>
      </c>
      <c r="P43" s="37">
        <v>96.44</v>
      </c>
    </row>
    <row r="44" spans="1:16" s="80" customFormat="1" x14ac:dyDescent="0.35">
      <c r="A44" s="81" t="s">
        <v>31</v>
      </c>
      <c r="B44" s="82"/>
      <c r="C44" s="79"/>
      <c r="E44" s="121"/>
      <c r="F44" s="86">
        <f>SUM(F45:F54)</f>
        <v>0.99999999999999978</v>
      </c>
      <c r="G44" s="79">
        <f>SUM(G45:G54)</f>
        <v>233.90131741669694</v>
      </c>
      <c r="H44" s="79">
        <f t="shared" ref="H44:P44" si="28">SUM(H45:H54)</f>
        <v>1</v>
      </c>
      <c r="I44" s="79">
        <f t="shared" si="28"/>
        <v>0.99999999999999978</v>
      </c>
      <c r="J44" s="79">
        <f t="shared" si="28"/>
        <v>237.89336952552932</v>
      </c>
      <c r="K44" s="79">
        <f t="shared" si="28"/>
        <v>0.99999999999999989</v>
      </c>
      <c r="L44" s="79">
        <f t="shared" si="28"/>
        <v>238.97161726978987</v>
      </c>
      <c r="M44" s="79">
        <f t="shared" si="28"/>
        <v>0.99999999999999989</v>
      </c>
      <c r="N44" s="79">
        <f t="shared" si="28"/>
        <v>240.96764332420608</v>
      </c>
      <c r="O44" s="79">
        <f t="shared" si="28"/>
        <v>1</v>
      </c>
      <c r="P44" s="79">
        <f t="shared" si="28"/>
        <v>244.04191712288286</v>
      </c>
    </row>
    <row r="45" spans="1:16" x14ac:dyDescent="0.35">
      <c r="A45" s="5" t="s">
        <v>4</v>
      </c>
      <c r="B45" s="18">
        <v>65</v>
      </c>
      <c r="C45" s="6">
        <f>'[1]Conversion factors selected IV '!$G$52</f>
        <v>0.24762705465272858</v>
      </c>
      <c r="D45" s="6">
        <f t="shared" ref="D45:D53" si="29">B45/C45</f>
        <v>262.49151204885834</v>
      </c>
      <c r="E45" s="125">
        <f>'[1]Availabilities EU Austria'!$N$51/'[1]Availabilities EU Austria'!$N$50</f>
        <v>0.51783810219756787</v>
      </c>
      <c r="F45" s="63">
        <f>'[1]Availabilities EU Austria'!$AB70/'[1]Availabilities EU Austria'!$AB$69</f>
        <v>0.4478191237333573</v>
      </c>
      <c r="G45" s="6">
        <f t="shared" si="9"/>
        <v>117.54871891316374</v>
      </c>
      <c r="H45" s="123">
        <f>'[1]Availabilities EU Austria'!$Q$51/'[1]Availabilities EU Austria'!$Q$50</f>
        <v>0.56804068512978889</v>
      </c>
      <c r="I45" s="3">
        <f>'[1]Availabilities EU Austria'!$AC70/'[1]Availabilities EU Austria'!$AC$69</f>
        <v>0.50267796963201805</v>
      </c>
      <c r="J45" s="6">
        <f t="shared" ref="J45:J54" si="30">I45*D45</f>
        <v>131.94870032235852</v>
      </c>
      <c r="K45" s="6">
        <f t="shared" ref="K45:K54" si="31">(F45+O45)/2</f>
        <v>0.43418777317495794</v>
      </c>
      <c r="L45" s="6">
        <f t="shared" ref="L45:L54" si="32">K45*D45</f>
        <v>113.97060509382145</v>
      </c>
      <c r="M45" s="6">
        <f t="shared" si="3"/>
        <v>0.46161719612428831</v>
      </c>
      <c r="N45" s="6">
        <f t="shared" ref="N45:N54" si="33">M45*D45</f>
        <v>121.17059579841883</v>
      </c>
      <c r="O45" s="3">
        <f>'[1]Availabilities EU Austria'!$AD$70/'[1]Availabilities EU Austria'!$AD$69</f>
        <v>0.42055642261655857</v>
      </c>
      <c r="P45" s="6">
        <f t="shared" ref="P45:P54" si="34">O45*D45</f>
        <v>110.39249127447914</v>
      </c>
    </row>
    <row r="46" spans="1:16" x14ac:dyDescent="0.35">
      <c r="A46" s="5" t="s">
        <v>5</v>
      </c>
      <c r="B46" s="18">
        <v>44</v>
      </c>
      <c r="C46" s="6">
        <f>'[1]Conversion factors selected IV '!$G$53</f>
        <v>0.24762705465272858</v>
      </c>
      <c r="D46" s="6">
        <f t="shared" si="29"/>
        <v>177.6865620023041</v>
      </c>
      <c r="E46" s="98">
        <f>'[1]Availabilities EU Austria'!$N$52/'[1]Availabilities EU Austria'!$N$50</f>
        <v>3.3609087261800549E-2</v>
      </c>
      <c r="F46" s="63">
        <f>'[1]Availabilities EU Austria'!$AB71/'[1]Availabilities EU Austria'!$AB$69</f>
        <v>3.3908778181926356E-2</v>
      </c>
      <c r="G46" s="6">
        <f t="shared" si="9"/>
        <v>6.0251342168452338</v>
      </c>
      <c r="H46" s="123">
        <f>'[1]Availabilities EU Austria'!$Q$52/'[1]Availabilities EU Austria'!$Q$50</f>
        <v>3.3570731675220726E-2</v>
      </c>
      <c r="I46" s="3">
        <f>'[1]Availabilities EU Austria'!$AC71/'[1]Availabilities EU Austria'!$AC$69</f>
        <v>3.4659157860596541E-2</v>
      </c>
      <c r="J46" s="6">
        <f t="shared" si="30"/>
        <v>6.1584666021445331</v>
      </c>
      <c r="K46" s="6">
        <f t="shared" si="31"/>
        <v>3.1075451352417523E-2</v>
      </c>
      <c r="L46" s="6">
        <f t="shared" si="32"/>
        <v>5.5216901134809211</v>
      </c>
      <c r="M46" s="6">
        <f t="shared" si="3"/>
        <v>3.1450641191752615E-2</v>
      </c>
      <c r="N46" s="6">
        <f t="shared" si="33"/>
        <v>5.5883563061305708</v>
      </c>
      <c r="O46" s="3">
        <f>'[1]Availabilities EU Austria'!$AD$71/'[1]Availabilities EU Austria'!$AD$69</f>
        <v>2.8242124522908689E-2</v>
      </c>
      <c r="P46" s="6">
        <f t="shared" si="34"/>
        <v>5.0182460101166075</v>
      </c>
    </row>
    <row r="47" spans="1:16" x14ac:dyDescent="0.35">
      <c r="A47" s="5" t="s">
        <v>22</v>
      </c>
      <c r="B47" s="18">
        <v>0</v>
      </c>
      <c r="C47" s="6">
        <f>'[1]Conversion factors selected IV '!$G$54</f>
        <v>0.17276306138562458</v>
      </c>
      <c r="D47" s="6">
        <f t="shared" si="29"/>
        <v>0</v>
      </c>
      <c r="E47" s="126">
        <f>'[1]Availabilities EU Austria'!$N$53/'[1]Availabilities EU Austria'!$N$50</f>
        <v>3.4882498985044481E-2</v>
      </c>
      <c r="F47" s="63">
        <f>'[1]Availabilities EU Austria'!$AB72/'[1]Availabilities EU Austria'!$AB$69</f>
        <v>5.2790317301751842E-2</v>
      </c>
      <c r="G47" s="6">
        <f t="shared" si="9"/>
        <v>0</v>
      </c>
      <c r="H47" s="123">
        <f>'[1]Availabilities EU Austria'!$Q$53/'[1]Availabilities EU Austria'!$Q$50</f>
        <v>2.6988851429010231E-2</v>
      </c>
      <c r="I47" s="3">
        <f>'[1]Availabilities EU Austria'!$AC72/'[1]Availabilities EU Austria'!$AC$69</f>
        <v>4.1795821038569984E-2</v>
      </c>
      <c r="J47" s="6">
        <f t="shared" si="30"/>
        <v>0</v>
      </c>
      <c r="K47" s="6">
        <f t="shared" si="31"/>
        <v>4.264817224926036E-2</v>
      </c>
      <c r="L47" s="6">
        <f t="shared" si="32"/>
        <v>0</v>
      </c>
      <c r="M47" s="6">
        <f t="shared" si="3"/>
        <v>3.7150924117669432E-2</v>
      </c>
      <c r="N47" s="6">
        <f t="shared" si="33"/>
        <v>0</v>
      </c>
      <c r="O47" s="3">
        <f>'[1]Availabilities EU Austria'!$AD$72/'[1]Availabilities EU Austria'!$AD$69</f>
        <v>3.2506027196768886E-2</v>
      </c>
      <c r="P47" s="6">
        <f t="shared" si="34"/>
        <v>0</v>
      </c>
    </row>
    <row r="48" spans="1:16" x14ac:dyDescent="0.35">
      <c r="A48" s="5" t="s">
        <v>6</v>
      </c>
      <c r="B48" s="18">
        <v>44</v>
      </c>
      <c r="C48" s="6">
        <f>'[1]Conversion factors selected IV '!$G$55</f>
        <v>0.24762705465272858</v>
      </c>
      <c r="D48" s="6">
        <f t="shared" si="29"/>
        <v>177.6865620023041</v>
      </c>
      <c r="E48" s="125">
        <f>'[1]Availabilities EU Austria'!$N$54/'[1]Availabilities EU Austria'!$N$50</f>
        <v>1.366290786845722E-2</v>
      </c>
      <c r="F48" s="63">
        <f>'[1]Availabilities EU Austria'!$AB73/'[1]Availabilities EU Austria'!$AB$69</f>
        <v>1.6541687381966423E-2</v>
      </c>
      <c r="G48" s="6">
        <f t="shared" si="9"/>
        <v>2.9392355606185081</v>
      </c>
      <c r="H48" s="123">
        <f>'[1]Availabilities EU Austria'!$Q$54/'[1]Availabilities EU Austria'!$Q$50</f>
        <v>1.4187521465099827E-2</v>
      </c>
      <c r="I48" s="3">
        <f>'[1]Availabilities EU Austria'!$AC73/'[1]Availabilities EU Austria'!$AC$69</f>
        <v>1.7577009075644957E-2</v>
      </c>
      <c r="J48" s="6">
        <f t="shared" si="30"/>
        <v>3.1231983129346497</v>
      </c>
      <c r="K48" s="6">
        <f t="shared" si="31"/>
        <v>1.4584253792434245E-2</v>
      </c>
      <c r="L48" s="6">
        <f t="shared" si="32"/>
        <v>2.5914259157467061</v>
      </c>
      <c r="M48" s="6">
        <f t="shared" si="3"/>
        <v>1.5101914639273514E-2</v>
      </c>
      <c r="N48" s="6">
        <f t="shared" si="33"/>
        <v>2.6834072919047771</v>
      </c>
      <c r="O48" s="3">
        <f>'[1]Availabilities EU Austria'!$AD$73/'[1]Availabilities EU Austria'!$AD$69</f>
        <v>1.2626820202902069E-2</v>
      </c>
      <c r="P48" s="6">
        <f t="shared" si="34"/>
        <v>2.2436162708749046</v>
      </c>
    </row>
    <row r="49" spans="1:16" x14ac:dyDescent="0.35">
      <c r="A49" s="5" t="s">
        <v>7</v>
      </c>
      <c r="B49" s="18">
        <v>69</v>
      </c>
      <c r="C49" s="6">
        <f>'[1]Conversion factors selected IV '!$G$56</f>
        <v>0.24762705465272858</v>
      </c>
      <c r="D49" s="6">
        <f t="shared" si="29"/>
        <v>278.64483586724958</v>
      </c>
      <c r="E49" s="98">
        <f>'[1]Availabilities EU Austria'!$N$55/'[1]Availabilities EU Austria'!$N$50</f>
        <v>2.0267980522710626E-2</v>
      </c>
      <c r="F49" s="63">
        <f>'[1]Availabilities EU Austria'!$AB74/'[1]Availabilities EU Austria'!$AB$69</f>
        <v>1.752746512666262E-2</v>
      </c>
      <c r="G49" s="6">
        <f t="shared" si="9"/>
        <v>4.8839376433878465</v>
      </c>
      <c r="H49" s="123">
        <f>'[1]Availabilities EU Austria'!$Q$55/'[1]Availabilities EU Austria'!$Q$50</f>
        <v>2.3931570490686043E-2</v>
      </c>
      <c r="I49" s="3">
        <f>'[1]Availabilities EU Austria'!$AC74/'[1]Availabilities EU Austria'!$AC$69</f>
        <v>2.1177837396655713E-2</v>
      </c>
      <c r="J49" s="6">
        <f t="shared" si="30"/>
        <v>5.9010950254144312</v>
      </c>
      <c r="K49" s="6">
        <f t="shared" si="31"/>
        <v>8.1182126301107091E-2</v>
      </c>
      <c r="L49" s="6">
        <f t="shared" si="32"/>
        <v>22.620980258526309</v>
      </c>
      <c r="M49" s="6">
        <f t="shared" si="3"/>
        <v>8.3007312436103639E-2</v>
      </c>
      <c r="N49" s="6">
        <f t="shared" si="33"/>
        <v>23.129558949539604</v>
      </c>
      <c r="O49" s="3">
        <f>'[1]Availabilities EU Austria'!$AD$74/'[1]Availabilities EU Austria'!$AD$69</f>
        <v>0.14483678747555156</v>
      </c>
      <c r="P49" s="6">
        <f t="shared" si="34"/>
        <v>40.358022873664773</v>
      </c>
    </row>
    <row r="50" spans="1:16" x14ac:dyDescent="0.35">
      <c r="A50" s="5" t="s">
        <v>8</v>
      </c>
      <c r="B50" s="18">
        <v>69</v>
      </c>
      <c r="C50" s="6">
        <f>'[1]Conversion factors selected IV '!$G$57</f>
        <v>0.24762705465272858</v>
      </c>
      <c r="D50" s="6">
        <f t="shared" si="29"/>
        <v>278.64483586724958</v>
      </c>
      <c r="E50" s="98">
        <f>'[1]Availabilities EU Austria'!$N$56/'[1]Availabilities EU Austria'!$N$50</f>
        <v>9.2273673289927829E-3</v>
      </c>
      <c r="F50" s="63">
        <f>'[1]Availabilities EU Austria'!$AB75/'[1]Availabilities EU Austria'!$AB$69</f>
        <v>7.9796977744577523E-3</v>
      </c>
      <c r="G50" s="6">
        <f t="shared" si="9"/>
        <v>2.2235015766340371</v>
      </c>
      <c r="H50" s="123">
        <f>'[1]Availabilities EU Austria'!$Q$56/'[1]Availabilities EU Austria'!$Q$50</f>
        <v>1.6814219915461764E-2</v>
      </c>
      <c r="I50" s="3">
        <f>'[1]Availabilities EU Austria'!$AC75/'[1]Availabilities EU Austria'!$AC$69</f>
        <v>1.4879458724192218E-2</v>
      </c>
      <c r="J50" s="6">
        <f t="shared" si="30"/>
        <v>4.1460843339960558</v>
      </c>
      <c r="K50" s="6">
        <f t="shared" si="31"/>
        <v>1.8284275683346937E-2</v>
      </c>
      <c r="L50" s="6">
        <f t="shared" si="32"/>
        <v>5.0948189967377502</v>
      </c>
      <c r="M50" s="6">
        <f t="shared" si="3"/>
        <v>2.1734156158214172E-2</v>
      </c>
      <c r="N50" s="6">
        <f t="shared" si="33"/>
        <v>6.0561103754187595</v>
      </c>
      <c r="O50" s="3">
        <f>'[1]Availabilities EU Austria'!$AD$75/'[1]Availabilities EU Austria'!$AD$69</f>
        <v>2.8588853592236126E-2</v>
      </c>
      <c r="P50" s="6">
        <f t="shared" si="34"/>
        <v>7.9661364168414641</v>
      </c>
    </row>
    <row r="51" spans="1:16" x14ac:dyDescent="0.35">
      <c r="A51" s="5" t="s">
        <v>9</v>
      </c>
      <c r="B51" s="18">
        <v>69</v>
      </c>
      <c r="C51" s="6">
        <f>'[1]Conversion factors selected IV '!$G$58</f>
        <v>0.27354151386057229</v>
      </c>
      <c r="D51" s="6">
        <f t="shared" si="29"/>
        <v>252.24690404824699</v>
      </c>
      <c r="E51" s="126">
        <f>'[1]Availabilities EU Austria'!$N$57/'[1]Availabilities EU Austria'!$N$50</f>
        <v>0.14802813399529377</v>
      </c>
      <c r="F51" s="63">
        <f>'[1]Availabilities EU Austria'!$AB76/'[1]Availabilities EU Austria'!$AB$69</f>
        <v>0.17921771411040624</v>
      </c>
      <c r="G51" s="6">
        <f t="shared" si="9"/>
        <v>45.207113534953805</v>
      </c>
      <c r="H51" s="123">
        <f>'[1]Availabilities EU Austria'!$Q$57/'[1]Availabilities EU Austria'!$Q$50</f>
        <v>0.10247463906007917</v>
      </c>
      <c r="I51" s="3">
        <f>'[1]Availabilities EU Austria'!$AC76/'[1]Availabilities EU Austria'!$AC$69</f>
        <v>0.12695647123518053</v>
      </c>
      <c r="J51" s="6">
        <f t="shared" si="30"/>
        <v>32.024376817964615</v>
      </c>
      <c r="K51" s="6">
        <f t="shared" si="31"/>
        <v>0.14373173439523354</v>
      </c>
      <c r="L51" s="6">
        <f t="shared" si="32"/>
        <v>36.255885014682598</v>
      </c>
      <c r="M51" s="6">
        <f t="shared" si="3"/>
        <v>0.11760111295762068</v>
      </c>
      <c r="N51" s="6">
        <f t="shared" si="33"/>
        <v>29.664516656187999</v>
      </c>
      <c r="O51" s="3">
        <f>'[1]Availabilities EU Austria'!$AD$76/'[1]Availabilities EU Austria'!$AD$69</f>
        <v>0.10824575468006085</v>
      </c>
      <c r="P51" s="6">
        <f t="shared" si="34"/>
        <v>27.304656494411393</v>
      </c>
    </row>
    <row r="52" spans="1:16" x14ac:dyDescent="0.35">
      <c r="A52" s="5" t="s">
        <v>10</v>
      </c>
      <c r="B52" s="18">
        <v>65</v>
      </c>
      <c r="C52" s="6">
        <f>'[1]Conversion factors selected IV '!$G$59</f>
        <v>0.27354151386057229</v>
      </c>
      <c r="D52" s="6">
        <f t="shared" si="29"/>
        <v>237.62389511791383</v>
      </c>
      <c r="E52" s="126">
        <f>'[1]Availabilities EU Austria'!$N$58/'[1]Availabilities EU Austria'!$N$50</f>
        <v>0.15540694633138846</v>
      </c>
      <c r="F52" s="63">
        <f>'[1]Availabilities EU Austria'!$AB77/'[1]Availabilities EU Austria'!$AB$69</f>
        <v>0.15679270400987594</v>
      </c>
      <c r="G52" s="6">
        <f t="shared" si="9"/>
        <v>37.257693052896869</v>
      </c>
      <c r="H52" s="123">
        <f>'[1]Availabilities EU Austria'!$Q$58/'[1]Availabilities EU Austria'!$Q$50</f>
        <v>0.15073287616524328</v>
      </c>
      <c r="I52" s="3">
        <f>'[1]Availabilities EU Austria'!$AC77/'[1]Availabilities EU Austria'!$AC$69</f>
        <v>0.1556199191705156</v>
      </c>
      <c r="J52" s="6">
        <f t="shared" si="30"/>
        <v>36.979011351232828</v>
      </c>
      <c r="K52" s="6">
        <f t="shared" si="31"/>
        <v>0.14772015219276763</v>
      </c>
      <c r="L52" s="6">
        <f t="shared" si="32"/>
        <v>35.101837951456481</v>
      </c>
      <c r="M52" s="6">
        <f t="shared" si="3"/>
        <v>0.14713375977308746</v>
      </c>
      <c r="N52" s="6">
        <f t="shared" si="33"/>
        <v>34.962497100624461</v>
      </c>
      <c r="O52" s="3">
        <f>'[1]Availabilities EU Austria'!$AD$77/'[1]Availabilities EU Austria'!$AD$69</f>
        <v>0.13864760037565935</v>
      </c>
      <c r="P52" s="6">
        <f t="shared" si="34"/>
        <v>32.945982850016108</v>
      </c>
    </row>
    <row r="53" spans="1:16" x14ac:dyDescent="0.35">
      <c r="A53" s="5" t="s">
        <v>11</v>
      </c>
      <c r="B53" s="18">
        <v>25</v>
      </c>
      <c r="C53" s="6">
        <f>'[1]Conversion factors selected IV '!$G$60</f>
        <v>0.23035074851416612</v>
      </c>
      <c r="D53" s="6">
        <f t="shared" si="29"/>
        <v>108.53014440481641</v>
      </c>
      <c r="E53" s="125">
        <f>'[1]Availabilities EU Austria'!$N$59/'[1]Availabilities EU Austria'!$N$50</f>
        <v>4.6552014319949722E-2</v>
      </c>
      <c r="F53" s="63">
        <f>'[1]Availabilities EU Austria'!$AB78/'[1]Availabilities EU Austria'!$AB$69</f>
        <v>5.6360540178946879E-2</v>
      </c>
      <c r="G53" s="6">
        <f t="shared" si="9"/>
        <v>6.1168175643545624</v>
      </c>
      <c r="H53" s="123">
        <f>'[1]Availabilities EU Austria'!$Q$59/'[1]Availabilities EU Austria'!$Q$50</f>
        <v>4.2968416306665501E-2</v>
      </c>
      <c r="I53" s="3">
        <f>'[1]Availabilities EU Austria'!$AC78/'[1]Availabilities EU Austria'!$AC$69</f>
        <v>5.3233839698232026E-2</v>
      </c>
      <c r="J53" s="6">
        <f t="shared" si="30"/>
        <v>5.7774763096719699</v>
      </c>
      <c r="K53" s="6">
        <f t="shared" si="31"/>
        <v>5.5191495955882811E-2</v>
      </c>
      <c r="L53" s="6">
        <f t="shared" si="32"/>
        <v>5.9899410260098023</v>
      </c>
      <c r="M53" s="6">
        <f t="shared" si="3"/>
        <v>5.3628145715525391E-2</v>
      </c>
      <c r="N53" s="6">
        <f t="shared" si="33"/>
        <v>5.8202703986685069</v>
      </c>
      <c r="O53" s="3">
        <f>'[1]Availabilities EU Austria'!$AD$78/'[1]Availabilities EU Austria'!$AD$69</f>
        <v>5.4022451732818749E-2</v>
      </c>
      <c r="P53" s="6">
        <f t="shared" si="34"/>
        <v>5.8630644876650431</v>
      </c>
    </row>
    <row r="54" spans="1:16" x14ac:dyDescent="0.35">
      <c r="A54" s="13" t="s">
        <v>32</v>
      </c>
      <c r="B54" s="18">
        <v>300</v>
      </c>
      <c r="C54" s="6">
        <f>'[1]Conversion factors selected IV '!$G$61</f>
        <v>0.79651764705882355</v>
      </c>
      <c r="D54" s="6">
        <f>B54/C54</f>
        <v>376.63948954271535</v>
      </c>
      <c r="E54" s="98">
        <f>'[1]Availabilities EU Austria'!$N$60/'[1]Availabilities EU Austria'!$N$50</f>
        <v>2.052496118879454E-2</v>
      </c>
      <c r="F54" s="63">
        <f>'[1]Availabilities EU Austria'!$AB79/'[1]Availabilities EU Austria'!$AB$69</f>
        <v>3.1061972200648619E-2</v>
      </c>
      <c r="G54" s="6">
        <f t="shared" si="9"/>
        <v>11.699165353842311</v>
      </c>
      <c r="H54" s="123">
        <f>'[1]Availabilities EU Austria'!$Q$60/'[1]Availabilities EU Austria'!$Q$50</f>
        <v>2.0290488362744687E-2</v>
      </c>
      <c r="I54" s="3">
        <f>'[1]Availabilities EU Austria'!$AC79/'[1]Availabilities EU Austria'!$AC$69</f>
        <v>3.1422516168394234E-2</v>
      </c>
      <c r="J54" s="6">
        <f t="shared" si="30"/>
        <v>11.834960449811724</v>
      </c>
      <c r="K54" s="6">
        <f t="shared" si="31"/>
        <v>3.139456490259189E-2</v>
      </c>
      <c r="L54" s="6">
        <f t="shared" si="32"/>
        <v>11.824432899327856</v>
      </c>
      <c r="M54" s="6">
        <f t="shared" si="3"/>
        <v>3.1574836886464702E-2</v>
      </c>
      <c r="N54" s="6">
        <f t="shared" si="33"/>
        <v>11.892330447312565</v>
      </c>
      <c r="O54" s="3">
        <f>'[1]Availabilities EU Austria'!$AD$79/'[1]Availabilities EU Austria'!$AD$69</f>
        <v>3.1727157604535164E-2</v>
      </c>
      <c r="P54" s="6">
        <f t="shared" si="34"/>
        <v>11.949700444813404</v>
      </c>
    </row>
    <row r="55" spans="1:16" s="80" customFormat="1" x14ac:dyDescent="0.35">
      <c r="A55" s="81" t="s">
        <v>33</v>
      </c>
      <c r="B55" s="82"/>
      <c r="C55" s="79"/>
      <c r="E55" s="121"/>
      <c r="G55" s="79">
        <f>SUM(G56)</f>
        <v>1696.5649183147032</v>
      </c>
      <c r="H55" s="79">
        <f t="shared" ref="H55:N55" si="35">SUM(H56)</f>
        <v>1</v>
      </c>
      <c r="I55" s="79">
        <f t="shared" si="35"/>
        <v>1</v>
      </c>
      <c r="J55" s="79">
        <f t="shared" si="35"/>
        <v>1696.5649183147032</v>
      </c>
      <c r="K55" s="79">
        <f t="shared" si="35"/>
        <v>1</v>
      </c>
      <c r="L55" s="79">
        <f t="shared" si="35"/>
        <v>1696.5649183147032</v>
      </c>
      <c r="M55" s="79">
        <f t="shared" si="35"/>
        <v>1</v>
      </c>
      <c r="N55" s="79">
        <f t="shared" si="35"/>
        <v>1696.5649183147032</v>
      </c>
      <c r="P55" s="79">
        <v>115.26362854686155</v>
      </c>
    </row>
    <row r="56" spans="1:16" x14ac:dyDescent="0.35">
      <c r="A56" s="15" t="s">
        <v>30</v>
      </c>
      <c r="B56" s="18">
        <f>(976+1863)/2</f>
        <v>1419.5</v>
      </c>
      <c r="C56" s="6">
        <f>'[1]Conversion factors selected IV '!$O$62</f>
        <v>0.83669064748201449</v>
      </c>
      <c r="D56" s="6">
        <f>B56/C56</f>
        <v>1696.5649183147032</v>
      </c>
      <c r="E56" s="123">
        <v>1</v>
      </c>
      <c r="F56" s="3">
        <v>1</v>
      </c>
      <c r="G56" s="6">
        <f t="shared" si="9"/>
        <v>1696.5649183147032</v>
      </c>
      <c r="H56" s="123">
        <v>1</v>
      </c>
      <c r="I56" s="34">
        <v>1</v>
      </c>
      <c r="J56" s="6">
        <f>I56*D56</f>
        <v>1696.5649183147032</v>
      </c>
      <c r="K56" s="6">
        <f>(F56+O56)/2</f>
        <v>1</v>
      </c>
      <c r="L56" s="6">
        <f>K56*D56</f>
        <v>1696.5649183147032</v>
      </c>
      <c r="M56" s="6">
        <f t="shared" si="3"/>
        <v>1</v>
      </c>
      <c r="N56" s="6">
        <f>M56*D56</f>
        <v>1696.5649183147032</v>
      </c>
      <c r="O56" s="34">
        <v>1</v>
      </c>
      <c r="P56" s="6">
        <v>115.26362854686155</v>
      </c>
    </row>
    <row r="57" spans="1:16" s="81" customFormat="1" x14ac:dyDescent="0.35">
      <c r="A57" s="81" t="s">
        <v>306</v>
      </c>
      <c r="F57" s="86">
        <f>SUM(F58:F67)</f>
        <v>0.99999999999999978</v>
      </c>
      <c r="G57" s="79">
        <f>SUM(G58:G67)</f>
        <v>335.37715289092154</v>
      </c>
      <c r="I57" s="86">
        <f>SUM(I58:I67)</f>
        <v>0.99999999999999978</v>
      </c>
      <c r="J57" s="79">
        <f>SUM(J58:J67)</f>
        <v>341.0270558784427</v>
      </c>
      <c r="K57" s="79">
        <f t="shared" ref="K57:N57" si="36">SUM(K58:K67)</f>
        <v>1</v>
      </c>
      <c r="L57" s="79">
        <f t="shared" si="36"/>
        <v>351.80487041205919</v>
      </c>
      <c r="M57" s="6">
        <f t="shared" si="3"/>
        <v>1</v>
      </c>
      <c r="N57" s="79">
        <f t="shared" si="36"/>
        <v>354.62982190581977</v>
      </c>
      <c r="O57" s="79">
        <f t="shared" ref="O57:P57" si="37">SUM(O58:O67)</f>
        <v>1.0000000000000002</v>
      </c>
      <c r="P57" s="79">
        <f t="shared" si="37"/>
        <v>368.2325879331969</v>
      </c>
    </row>
    <row r="58" spans="1:16" x14ac:dyDescent="0.35">
      <c r="A58" s="5" t="s">
        <v>4</v>
      </c>
      <c r="B58" s="18">
        <v>65</v>
      </c>
      <c r="C58" s="6">
        <f>'[1]Conversion factors selected IV '!$G64</f>
        <v>0.17998143851508122</v>
      </c>
      <c r="D58" s="6">
        <f>B58/C58</f>
        <v>361.14835249832413</v>
      </c>
      <c r="E58" s="123"/>
      <c r="F58" s="3">
        <f>'[1]Availabilities EU Austria'!$AB94/'[1]Availabilities EU Austria'!$AB$93</f>
        <v>0.4478191237333573</v>
      </c>
      <c r="G58" s="6">
        <f t="shared" si="9"/>
        <v>161.72913875354516</v>
      </c>
      <c r="I58" s="3">
        <f>'[1]Availabilities EU Austria'!$AC94/'[1]Availabilities EU Austria'!$AC$93</f>
        <v>0.50267796963201805</v>
      </c>
      <c r="J58" s="6">
        <f t="shared" ref="J58:J67" si="38">I58*D58</f>
        <v>181.54132056980592</v>
      </c>
      <c r="K58" s="6">
        <f t="shared" ref="K58:K67" si="39">(F58+O58)/2</f>
        <v>0.42772140277673421</v>
      </c>
      <c r="L58" s="6">
        <f t="shared" ref="L58:L67" si="40">K58*D58</f>
        <v>154.47087994108969</v>
      </c>
      <c r="M58" s="6">
        <f t="shared" si="3"/>
        <v>0.45515082572606458</v>
      </c>
      <c r="N58" s="6">
        <f t="shared" ref="N58:N67" si="41">M58*D58</f>
        <v>164.37697084922007</v>
      </c>
      <c r="O58" s="3">
        <f>'[1]Availabilities EU Austria'!$AD$94/'[1]Availabilities EU Austria'!$AD$93</f>
        <v>0.40762368182011105</v>
      </c>
      <c r="P58" s="6">
        <f t="shared" ref="P58:P67" si="42">O58*D58</f>
        <v>147.21262112863417</v>
      </c>
    </row>
    <row r="59" spans="1:16" x14ac:dyDescent="0.35">
      <c r="A59" s="5" t="s">
        <v>5</v>
      </c>
      <c r="B59" s="18">
        <v>44</v>
      </c>
      <c r="C59" s="6">
        <f>'[1]Conversion factors selected IV '!$G65</f>
        <v>0.17998143851508122</v>
      </c>
      <c r="D59" s="6">
        <f t="shared" ref="D59:D67" si="43">B59/C59</f>
        <v>244.46965399886554</v>
      </c>
      <c r="E59" s="123"/>
      <c r="F59" s="3">
        <f>'[1]Availabilities EU Austria'!$AB95/'[1]Availabilities EU Austria'!$AB$93</f>
        <v>3.3908778181926356E-2</v>
      </c>
      <c r="G59" s="6">
        <f t="shared" si="9"/>
        <v>8.2896672696598177</v>
      </c>
      <c r="H59" s="123"/>
      <c r="I59" s="3">
        <f>'[1]Availabilities EU Austria'!$AC95/'[1]Availabilities EU Austria'!$AC$93</f>
        <v>3.4659157860596541E-2</v>
      </c>
      <c r="J59" s="6">
        <f t="shared" si="38"/>
        <v>8.4731123300720981</v>
      </c>
      <c r="K59" s="6">
        <f t="shared" si="39"/>
        <v>3.0641207507414128E-2</v>
      </c>
      <c r="L59" s="6">
        <f t="shared" si="40"/>
        <v>7.4908453974449731</v>
      </c>
      <c r="M59" s="6">
        <f t="shared" si="3"/>
        <v>3.1016397346749221E-2</v>
      </c>
      <c r="N59" s="6">
        <f t="shared" si="41"/>
        <v>7.5825679276511133</v>
      </c>
      <c r="O59" s="3">
        <f>'[1]Availabilities EU Austria'!$AD$95/'[1]Availabilities EU Austria'!$AD$93</f>
        <v>2.73736368329019E-2</v>
      </c>
      <c r="P59" s="6">
        <f t="shared" si="42"/>
        <v>6.6920235252301286</v>
      </c>
    </row>
    <row r="60" spans="1:16" x14ac:dyDescent="0.35">
      <c r="A60" s="5" t="s">
        <v>22</v>
      </c>
      <c r="B60" s="18">
        <v>0</v>
      </c>
      <c r="C60" s="6">
        <f>'[1]Conversion factors selected IV '!$G66</f>
        <v>0.17998143851508122</v>
      </c>
      <c r="D60" s="6">
        <f t="shared" si="43"/>
        <v>0</v>
      </c>
      <c r="E60" s="123"/>
      <c r="F60" s="3">
        <f>'[1]Availabilities EU Austria'!$AB96/'[1]Availabilities EU Austria'!$AB$93</f>
        <v>5.2790317301751842E-2</v>
      </c>
      <c r="G60" s="6">
        <f t="shared" si="9"/>
        <v>0</v>
      </c>
      <c r="H60" s="123"/>
      <c r="I60" s="3">
        <f>'[1]Availabilities EU Austria'!$AC96/'[1]Availabilities EU Austria'!$AC$93</f>
        <v>4.1795821038569984E-2</v>
      </c>
      <c r="J60" s="6">
        <f t="shared" si="38"/>
        <v>0</v>
      </c>
      <c r="K60" s="6">
        <f t="shared" si="39"/>
        <v>4.2148367702889926E-2</v>
      </c>
      <c r="L60" s="6">
        <f t="shared" si="40"/>
        <v>0</v>
      </c>
      <c r="M60" s="6">
        <f t="shared" si="3"/>
        <v>3.6651119571298997E-2</v>
      </c>
      <c r="N60" s="6">
        <f t="shared" si="41"/>
        <v>0</v>
      </c>
      <c r="O60" s="3">
        <f>'[1]Availabilities EU Austria'!$AD$96/'[1]Availabilities EU Austria'!$AD$93</f>
        <v>3.150641810402801E-2</v>
      </c>
      <c r="P60" s="6">
        <f t="shared" si="42"/>
        <v>0</v>
      </c>
    </row>
    <row r="61" spans="1:16" x14ac:dyDescent="0.35">
      <c r="A61" s="5" t="s">
        <v>6</v>
      </c>
      <c r="B61" s="18">
        <v>44</v>
      </c>
      <c r="C61" s="6">
        <f>'[1]Conversion factors selected IV '!$G67</f>
        <v>0.17998143851508122</v>
      </c>
      <c r="D61" s="6">
        <f t="shared" si="43"/>
        <v>244.46965399886554</v>
      </c>
      <c r="E61" s="123"/>
      <c r="F61" s="3">
        <f>'[1]Availabilities EU Austria'!$AB97/'[1]Availabilities EU Austria'!$AB$93</f>
        <v>1.6541687381966423E-2</v>
      </c>
      <c r="G61" s="6">
        <f t="shared" si="9"/>
        <v>4.0439405908267316</v>
      </c>
      <c r="H61" s="123"/>
      <c r="I61" s="3">
        <f>'[1]Availabilities EU Austria'!$AC97/'[1]Availabilities EU Austria'!$AC$93</f>
        <v>1.7577009075644957E-2</v>
      </c>
      <c r="J61" s="6">
        <f t="shared" si="38"/>
        <v>4.2970453270578419</v>
      </c>
      <c r="K61" s="6">
        <f t="shared" si="39"/>
        <v>1.4390106962204562E-2</v>
      </c>
      <c r="L61" s="6">
        <f t="shared" si="40"/>
        <v>3.5179444700568152</v>
      </c>
      <c r="M61" s="6">
        <f t="shared" si="3"/>
        <v>1.4907767809043829E-2</v>
      </c>
      <c r="N61" s="6">
        <f t="shared" si="41"/>
        <v>3.6444968381723708</v>
      </c>
      <c r="O61" s="3">
        <f>'[1]Availabilities EU Austria'!$AD$97/'[1]Availabilities EU Austria'!$AD$93</f>
        <v>1.2238526542442701E-2</v>
      </c>
      <c r="P61" s="6">
        <f t="shared" si="42"/>
        <v>2.9919483492868992</v>
      </c>
    </row>
    <row r="62" spans="1:16" x14ac:dyDescent="0.35">
      <c r="A62" s="5" t="s">
        <v>7</v>
      </c>
      <c r="B62" s="18">
        <v>69</v>
      </c>
      <c r="C62" s="6">
        <f>'[1]Conversion factors selected IV '!$G68</f>
        <v>0.17998143851508122</v>
      </c>
      <c r="D62" s="6">
        <f t="shared" si="43"/>
        <v>383.37286649822096</v>
      </c>
      <c r="E62" s="123"/>
      <c r="F62" s="3">
        <f>'[1]Availabilities EU Austria'!$AB98/'[1]Availabilities EU Austria'!$AB$93</f>
        <v>1.752746512666262E-2</v>
      </c>
      <c r="G62" s="6">
        <f t="shared" si="9"/>
        <v>6.7195545480562524</v>
      </c>
      <c r="H62" s="123"/>
      <c r="I62" s="3">
        <f>'[1]Availabilities EU Austria'!$AC98/'[1]Availabilities EU Austria'!$AC$93</f>
        <v>2.1177837396655713E-2</v>
      </c>
      <c r="J62" s="6">
        <f t="shared" si="38"/>
        <v>8.1190082289891219</v>
      </c>
      <c r="K62" s="6">
        <f t="shared" si="39"/>
        <v>7.8955152071873536E-2</v>
      </c>
      <c r="L62" s="6">
        <f t="shared" si="40"/>
        <v>30.269262974597108</v>
      </c>
      <c r="M62" s="6">
        <f t="shared" si="3"/>
        <v>8.0780338206870084E-2</v>
      </c>
      <c r="N62" s="6">
        <f t="shared" si="41"/>
        <v>30.968989815063541</v>
      </c>
      <c r="O62" s="3">
        <f>'[1]Availabilities EU Austria'!$AD$98/'[1]Availabilities EU Austria'!$AD$93</f>
        <v>0.14038283901708445</v>
      </c>
      <c r="P62" s="6">
        <f t="shared" si="42"/>
        <v>53.818971401137965</v>
      </c>
    </row>
    <row r="63" spans="1:16" x14ac:dyDescent="0.35">
      <c r="A63" s="5" t="s">
        <v>8</v>
      </c>
      <c r="B63" s="18">
        <v>69</v>
      </c>
      <c r="C63" s="6">
        <f>'[1]Conversion factors selected IV '!$G69</f>
        <v>0.17998143851508122</v>
      </c>
      <c r="D63" s="6">
        <f t="shared" si="43"/>
        <v>383.37286649822096</v>
      </c>
      <c r="E63" s="123"/>
      <c r="F63" s="3">
        <f>'[1]Availabilities EU Austria'!$AB99/'[1]Availabilities EU Austria'!$AB$93</f>
        <v>7.9796977744577523E-3</v>
      </c>
      <c r="G63" s="6">
        <f t="shared" si="9"/>
        <v>3.0591996095833429</v>
      </c>
      <c r="H63" s="123"/>
      <c r="I63" s="3">
        <f>'[1]Availabilities EU Austria'!$AC99/'[1]Availabilities EU Austria'!$AC$93</f>
        <v>1.4879458724192218E-2</v>
      </c>
      <c r="J63" s="6">
        <f t="shared" si="38"/>
        <v>5.7043807430355322</v>
      </c>
      <c r="K63" s="6">
        <f t="shared" si="39"/>
        <v>1.7844700618869704E-2</v>
      </c>
      <c r="L63" s="6">
        <f t="shared" si="40"/>
        <v>6.8411740280586555</v>
      </c>
      <c r="M63" s="6">
        <f t="shared" si="3"/>
        <v>2.1294581093736935E-2</v>
      </c>
      <c r="N63" s="6">
        <f t="shared" si="41"/>
        <v>8.1637645947847499</v>
      </c>
      <c r="O63" s="3">
        <f>'[1]Availabilities EU Austria'!$AD$99/'[1]Availabilities EU Austria'!$AD$93</f>
        <v>2.7709703463281655E-2</v>
      </c>
      <c r="P63" s="6">
        <f t="shared" si="42"/>
        <v>10.623148446533969</v>
      </c>
    </row>
    <row r="64" spans="1:16" x14ac:dyDescent="0.35">
      <c r="A64" s="5" t="s">
        <v>9</v>
      </c>
      <c r="B64" s="18">
        <v>69</v>
      </c>
      <c r="C64" s="6">
        <f>'[1]Conversion factors selected IV '!$G70</f>
        <v>0.19881670533642692</v>
      </c>
      <c r="D64" s="6">
        <f t="shared" si="43"/>
        <v>347.05333177733689</v>
      </c>
      <c r="E64" s="123"/>
      <c r="F64" s="3">
        <f>'[1]Availabilities EU Austria'!$AB100/'[1]Availabilities EU Austria'!$AB$93</f>
        <v>0.17921771411040624</v>
      </c>
      <c r="G64" s="6">
        <f t="shared" si="9"/>
        <v>62.198104795534725</v>
      </c>
      <c r="H64" s="123"/>
      <c r="I64" s="3">
        <f>'[1]Availabilities EU Austria'!$AC100/'[1]Availabilities EU Austria'!$AC$93</f>
        <v>0.12695647123518053</v>
      </c>
      <c r="J64" s="6">
        <f t="shared" si="38"/>
        <v>44.060666332863036</v>
      </c>
      <c r="K64" s="6">
        <f t="shared" si="39"/>
        <v>0.14206737473704156</v>
      </c>
      <c r="L64" s="6">
        <f t="shared" si="40"/>
        <v>49.304955739349737</v>
      </c>
      <c r="M64" s="6">
        <f t="shared" ref="M64:M118" si="44">(I64+O64)/2</f>
        <v>0.11593675329942871</v>
      </c>
      <c r="N64" s="6">
        <f t="shared" si="41"/>
        <v>40.236236508013889</v>
      </c>
      <c r="O64" s="3">
        <f>'[1]Availabilities EU Austria'!$AD$100/'[1]Availabilities EU Austria'!$AD$93</f>
        <v>0.10491703536367689</v>
      </c>
      <c r="P64" s="6">
        <f t="shared" si="42"/>
        <v>36.411806683164741</v>
      </c>
    </row>
    <row r="65" spans="1:16" x14ac:dyDescent="0.35">
      <c r="A65" s="5" t="s">
        <v>10</v>
      </c>
      <c r="B65" s="18">
        <v>65</v>
      </c>
      <c r="C65" s="6">
        <f>'[1]Conversion factors selected IV '!$G71</f>
        <v>0.19881670533642692</v>
      </c>
      <c r="D65" s="6">
        <f t="shared" si="43"/>
        <v>326.93429805111447</v>
      </c>
      <c r="E65" s="123"/>
      <c r="F65" s="3">
        <f>'[1]Availabilities EU Austria'!$AB101/'[1]Availabilities EU Austria'!$AB$93</f>
        <v>0.15679270400987594</v>
      </c>
      <c r="G65" s="6">
        <f t="shared" si="9"/>
        <v>51.260912625004948</v>
      </c>
      <c r="H65" s="123"/>
      <c r="I65" s="3">
        <f>'[1]Availabilities EU Austria'!$AC101/'[1]Availabilities EU Austria'!$AC$93</f>
        <v>0.1556199191705156</v>
      </c>
      <c r="J65" s="6">
        <f t="shared" si="38"/>
        <v>50.877489036783686</v>
      </c>
      <c r="K65" s="6">
        <f t="shared" si="39"/>
        <v>0.14558834135683768</v>
      </c>
      <c r="L65" s="6">
        <f t="shared" si="40"/>
        <v>47.597822185923768</v>
      </c>
      <c r="M65" s="6">
        <f t="shared" si="44"/>
        <v>0.14500194893715751</v>
      </c>
      <c r="N65" s="6">
        <f t="shared" si="41"/>
        <v>47.406110391813137</v>
      </c>
      <c r="O65" s="3">
        <f>'[1]Availabilities EU Austria'!$AD$101/'[1]Availabilities EU Austria'!$AD$93</f>
        <v>0.13438397870379942</v>
      </c>
      <c r="P65" s="6">
        <f t="shared" si="42"/>
        <v>43.93473174684258</v>
      </c>
    </row>
    <row r="66" spans="1:16" x14ac:dyDescent="0.35">
      <c r="A66" s="5" t="s">
        <v>11</v>
      </c>
      <c r="B66" s="18">
        <v>25</v>
      </c>
      <c r="C66" s="6">
        <f>'[1]Conversion factors selected IV '!$G72</f>
        <v>0.16742459396751741</v>
      </c>
      <c r="D66" s="6">
        <f t="shared" si="43"/>
        <v>149.32095343680709</v>
      </c>
      <c r="E66" s="123"/>
      <c r="F66" s="3">
        <f>'[1]Availabilities EU Austria'!$AB102/'[1]Availabilities EU Austria'!$AB$93</f>
        <v>5.6360540178946879E-2</v>
      </c>
      <c r="G66" s="6">
        <f t="shared" si="9"/>
        <v>8.4158095957338226</v>
      </c>
      <c r="H66" s="123"/>
      <c r="I66" s="3">
        <f>'[1]Availabilities EU Austria'!$AC102/'[1]Availabilities EU Austria'!$AC$93</f>
        <v>5.3233839698232026E-2</v>
      </c>
      <c r="J66" s="6">
        <f t="shared" si="38"/>
        <v>7.9489276988421569</v>
      </c>
      <c r="K66" s="6">
        <f t="shared" si="39"/>
        <v>5.4360860245812895E-2</v>
      </c>
      <c r="L66" s="6">
        <f t="shared" si="40"/>
        <v>8.1172154815498043</v>
      </c>
      <c r="M66" s="6">
        <f t="shared" si="44"/>
        <v>5.2797510005455461E-2</v>
      </c>
      <c r="N66" s="6">
        <f t="shared" si="41"/>
        <v>7.8837745331039715</v>
      </c>
      <c r="O66" s="3">
        <f>'[1]Availabilities EU Austria'!$AD$102/'[1]Availabilities EU Austria'!$AD$93</f>
        <v>5.2361180312678904E-2</v>
      </c>
      <c r="P66" s="6">
        <f t="shared" si="42"/>
        <v>7.8186213673657869</v>
      </c>
    </row>
    <row r="67" spans="1:16" x14ac:dyDescent="0.35">
      <c r="A67" s="13" t="s">
        <v>32</v>
      </c>
      <c r="B67" s="18">
        <v>300</v>
      </c>
      <c r="C67" s="221">
        <f>'[1]Conversion factors selected IV '!$G73</f>
        <v>0.31417169373549886</v>
      </c>
      <c r="D67" s="6">
        <f t="shared" si="43"/>
        <v>954.89188231123705</v>
      </c>
      <c r="E67" s="123"/>
      <c r="F67" s="3">
        <f>'[1]Availabilities EU Austria'!$AB103/'[1]Availabilities EU Austria'!$AB$93</f>
        <v>3.1061972200648619E-2</v>
      </c>
      <c r="G67" s="6">
        <f t="shared" si="9"/>
        <v>29.660825102976677</v>
      </c>
      <c r="H67" s="123"/>
      <c r="I67" s="3">
        <f>'[1]Availabilities EU Austria'!$AC103/'[1]Availabilities EU Austria'!$AC$93</f>
        <v>3.1422516168394234E-2</v>
      </c>
      <c r="J67" s="6">
        <f t="shared" si="38"/>
        <v>30.005105610993251</v>
      </c>
      <c r="K67" s="6">
        <f t="shared" si="39"/>
        <v>4.628248602032186E-2</v>
      </c>
      <c r="L67" s="6">
        <f t="shared" si="40"/>
        <v>44.194770193988653</v>
      </c>
      <c r="M67" s="6">
        <f t="shared" si="44"/>
        <v>4.6462758004194665E-2</v>
      </c>
      <c r="N67" s="6">
        <f t="shared" si="41"/>
        <v>44.366910447996936</v>
      </c>
      <c r="O67" s="3">
        <f>'[1]Availabilities EU Austria'!$AD$103/'[1]Availabilities EU Austria'!$AD$93</f>
        <v>6.1502999839995104E-2</v>
      </c>
      <c r="P67" s="6">
        <f t="shared" si="42"/>
        <v>58.728715285000639</v>
      </c>
    </row>
    <row r="68" spans="1:16" s="80" customFormat="1" x14ac:dyDescent="0.35">
      <c r="A68" s="81" t="s">
        <v>305</v>
      </c>
      <c r="B68" s="82"/>
      <c r="C68" s="79"/>
      <c r="E68" s="121"/>
      <c r="F68" s="86">
        <f>SUM(F69:F78)</f>
        <v>0.99999999999999978</v>
      </c>
      <c r="G68" s="79">
        <f>SUM(G69:G78)</f>
        <v>612.89647443844615</v>
      </c>
      <c r="H68" s="79">
        <f t="shared" ref="H68:P68" si="45">SUM(H69:H78)</f>
        <v>1</v>
      </c>
      <c r="I68" s="79">
        <f t="shared" si="45"/>
        <v>0.99999999999999978</v>
      </c>
      <c r="J68" s="79">
        <f t="shared" si="45"/>
        <v>623.52471030380718</v>
      </c>
      <c r="K68" s="79">
        <f t="shared" si="45"/>
        <v>1</v>
      </c>
      <c r="L68" s="79">
        <f t="shared" si="45"/>
        <v>617.40129748963523</v>
      </c>
      <c r="M68" s="79">
        <f t="shared" si="45"/>
        <v>0.99999999999999989</v>
      </c>
      <c r="N68" s="79">
        <f t="shared" si="45"/>
        <v>622.71541542231569</v>
      </c>
      <c r="O68" s="79">
        <f t="shared" si="45"/>
        <v>1.0000000000000002</v>
      </c>
      <c r="P68" s="79">
        <f t="shared" si="45"/>
        <v>621.9061205408243</v>
      </c>
    </row>
    <row r="69" spans="1:16" x14ac:dyDescent="0.35">
      <c r="A69" s="5" t="s">
        <v>4</v>
      </c>
      <c r="B69" s="18">
        <v>65</v>
      </c>
      <c r="C69" s="6">
        <f>'[1]Conversion factors selected IV '!$G$75</f>
        <v>8.9990719257540611E-2</v>
      </c>
      <c r="D69" s="6">
        <f t="shared" ref="D69:D77" si="46">B69/C69</f>
        <v>722.29670499664826</v>
      </c>
      <c r="E69" s="123">
        <f>'[1]Availabilities EU Austria'!$N$105/'[1]Availabilities EU Austria'!$N$104</f>
        <v>0.51783810219756787</v>
      </c>
      <c r="F69" s="3">
        <f>'[1]Availabilities EU Austria'!$AB94/'[1]Availabilities EU Austria'!$AB$93</f>
        <v>0.4478191237333573</v>
      </c>
      <c r="G69" s="6">
        <f t="shared" si="9"/>
        <v>323.45827750709032</v>
      </c>
      <c r="H69" s="123">
        <f>'[1]Availabilities EU Austria'!$Q$105/'[1]Availabilities EU Austria'!$Q$104</f>
        <v>0.56804068512978889</v>
      </c>
      <c r="I69" s="3">
        <f>'[1]Availabilities EU Austria'!$AC94/'[1]Availabilities EU Austria'!$AC$93</f>
        <v>0.50267796963201805</v>
      </c>
      <c r="J69" s="6">
        <f t="shared" ref="J69:J77" si="47">I69*D69</f>
        <v>363.08264113961184</v>
      </c>
      <c r="K69" s="6">
        <f t="shared" ref="K69:K78" si="48">(F69+O69)/2</f>
        <v>0.42772140277673421</v>
      </c>
      <c r="L69" s="6">
        <f t="shared" ref="L69:L78" si="49">K69*D69</f>
        <v>308.94175988217938</v>
      </c>
      <c r="M69" s="6">
        <f t="shared" si="44"/>
        <v>0.45515082572606458</v>
      </c>
      <c r="N69" s="6">
        <f t="shared" ref="N69:N78" si="50">M69*D69</f>
        <v>328.75394169844014</v>
      </c>
      <c r="O69" s="3">
        <f>'[1]Availabilities EU Austria'!$AD$94/'[1]Availabilities EU Austria'!$AD$93</f>
        <v>0.40762368182011105</v>
      </c>
      <c r="P69" s="6">
        <f t="shared" ref="P69:P78" si="51">O69*D69</f>
        <v>294.42524225726834</v>
      </c>
    </row>
    <row r="70" spans="1:16" x14ac:dyDescent="0.35">
      <c r="A70" s="5" t="s">
        <v>5</v>
      </c>
      <c r="B70" s="18">
        <v>44</v>
      </c>
      <c r="C70" s="6">
        <f>'[1]Conversion factors selected IV '!$G$76</f>
        <v>8.9990719257540611E-2</v>
      </c>
      <c r="D70" s="6">
        <f t="shared" si="46"/>
        <v>488.93930799773108</v>
      </c>
      <c r="E70" s="123">
        <f>'[1]Availabilities EU Austria'!$N$106/'[1]Availabilities EU Austria'!$N$104</f>
        <v>3.3609087261800549E-2</v>
      </c>
      <c r="F70" s="3">
        <f>'[1]Availabilities EU Austria'!$AB95/'[1]Availabilities EU Austria'!$AB$93</f>
        <v>3.3908778181926356E-2</v>
      </c>
      <c r="G70" s="6">
        <f t="shared" si="9"/>
        <v>16.579334539319635</v>
      </c>
      <c r="H70" s="123">
        <f>'[1]Availabilities EU Austria'!$Q$106/'[1]Availabilities EU Austria'!$Q$104</f>
        <v>3.3570731675220726E-2</v>
      </c>
      <c r="I70" s="3">
        <f>'[1]Availabilities EU Austria'!$AC95/'[1]Availabilities EU Austria'!$AC$93</f>
        <v>3.4659157860596541E-2</v>
      </c>
      <c r="J70" s="6">
        <f t="shared" si="47"/>
        <v>16.946224660144196</v>
      </c>
      <c r="K70" s="6">
        <f t="shared" si="48"/>
        <v>3.0641207507414128E-2</v>
      </c>
      <c r="L70" s="6">
        <f t="shared" si="49"/>
        <v>14.981690794889946</v>
      </c>
      <c r="M70" s="6">
        <f t="shared" si="44"/>
        <v>3.1016397346749221E-2</v>
      </c>
      <c r="N70" s="6">
        <f t="shared" si="50"/>
        <v>15.165135855302227</v>
      </c>
      <c r="O70" s="3">
        <f>'[1]Availabilities EU Austria'!$AD$95/'[1]Availabilities EU Austria'!$AD$93</f>
        <v>2.73736368329019E-2</v>
      </c>
      <c r="P70" s="6">
        <f t="shared" si="51"/>
        <v>13.384047050460257</v>
      </c>
    </row>
    <row r="71" spans="1:16" x14ac:dyDescent="0.35">
      <c r="A71" s="5" t="s">
        <v>22</v>
      </c>
      <c r="B71" s="18">
        <v>0</v>
      </c>
      <c r="C71" s="6">
        <f>'[1]Conversion factors selected IV '!$G$77</f>
        <v>8.9990719257540611E-2</v>
      </c>
      <c r="D71" s="6">
        <f t="shared" si="46"/>
        <v>0</v>
      </c>
      <c r="E71" s="123">
        <f>'[1]Availabilities EU Austria'!$N$107/'[1]Availabilities EU Austria'!$N$104</f>
        <v>3.4882498985044481E-2</v>
      </c>
      <c r="F71" s="3">
        <f>'[1]Availabilities EU Austria'!$AB96/'[1]Availabilities EU Austria'!$AB$93</f>
        <v>5.2790317301751842E-2</v>
      </c>
      <c r="G71" s="6">
        <f t="shared" si="9"/>
        <v>0</v>
      </c>
      <c r="H71" s="123">
        <f>'[1]Availabilities EU Austria'!$Q$107/'[1]Availabilities EU Austria'!$Q$104</f>
        <v>2.6988851429010231E-2</v>
      </c>
      <c r="I71" s="3">
        <f>'[1]Availabilities EU Austria'!$AC96/'[1]Availabilities EU Austria'!$AC$93</f>
        <v>4.1795821038569984E-2</v>
      </c>
      <c r="J71" s="6">
        <f t="shared" si="47"/>
        <v>0</v>
      </c>
      <c r="K71" s="6">
        <f t="shared" si="48"/>
        <v>4.2148367702889926E-2</v>
      </c>
      <c r="L71" s="6">
        <f t="shared" si="49"/>
        <v>0</v>
      </c>
      <c r="M71" s="6">
        <f t="shared" si="44"/>
        <v>3.6651119571298997E-2</v>
      </c>
      <c r="N71" s="6">
        <f t="shared" si="50"/>
        <v>0</v>
      </c>
      <c r="O71" s="3">
        <f>'[1]Availabilities EU Austria'!$AD$96/'[1]Availabilities EU Austria'!$AD$93</f>
        <v>3.150641810402801E-2</v>
      </c>
      <c r="P71" s="6">
        <f t="shared" si="51"/>
        <v>0</v>
      </c>
    </row>
    <row r="72" spans="1:16" x14ac:dyDescent="0.35">
      <c r="A72" s="5" t="s">
        <v>6</v>
      </c>
      <c r="B72" s="18">
        <v>44</v>
      </c>
      <c r="C72" s="6">
        <f>'[1]Conversion factors selected IV '!$G$78</f>
        <v>8.9990719257540611E-2</v>
      </c>
      <c r="D72" s="6">
        <f t="shared" si="46"/>
        <v>488.93930799773108</v>
      </c>
      <c r="E72" s="123">
        <f>'[1]Availabilities EU Austria'!$N$108/'[1]Availabilities EU Austria'!$N$104</f>
        <v>1.366290786845722E-2</v>
      </c>
      <c r="F72" s="3">
        <f>'[1]Availabilities EU Austria'!$AB97/'[1]Availabilities EU Austria'!$AB$93</f>
        <v>1.6541687381966423E-2</v>
      </c>
      <c r="G72" s="6">
        <f t="shared" si="9"/>
        <v>8.0878811816534633</v>
      </c>
      <c r="H72" s="123">
        <f>'[1]Availabilities EU Austria'!$Q$108/'[1]Availabilities EU Austria'!$Q$104</f>
        <v>1.4187521465099827E-2</v>
      </c>
      <c r="I72" s="3">
        <f>'[1]Availabilities EU Austria'!$AC97/'[1]Availabilities EU Austria'!$AC$93</f>
        <v>1.7577009075644957E-2</v>
      </c>
      <c r="J72" s="6">
        <f t="shared" si="47"/>
        <v>8.5940906541156838</v>
      </c>
      <c r="K72" s="6">
        <f t="shared" si="48"/>
        <v>1.4390106962204562E-2</v>
      </c>
      <c r="L72" s="6">
        <f t="shared" si="49"/>
        <v>7.0358889401136304</v>
      </c>
      <c r="M72" s="6">
        <f t="shared" si="44"/>
        <v>1.4907767809043829E-2</v>
      </c>
      <c r="N72" s="6">
        <f t="shared" si="50"/>
        <v>7.2889936763447416</v>
      </c>
      <c r="O72" s="3">
        <f>'[1]Availabilities EU Austria'!$AD$97/'[1]Availabilities EU Austria'!$AD$93</f>
        <v>1.2238526542442701E-2</v>
      </c>
      <c r="P72" s="6">
        <f t="shared" si="51"/>
        <v>5.9838966985737985</v>
      </c>
    </row>
    <row r="73" spans="1:16" x14ac:dyDescent="0.35">
      <c r="A73" s="5" t="s">
        <v>7</v>
      </c>
      <c r="B73" s="18">
        <v>69</v>
      </c>
      <c r="C73" s="6">
        <f>'[1]Conversion factors selected IV '!$G$79</f>
        <v>8.9990719257540611E-2</v>
      </c>
      <c r="D73" s="6">
        <f t="shared" si="46"/>
        <v>766.74573299644192</v>
      </c>
      <c r="E73" s="123">
        <f>'[1]Availabilities EU Austria'!$N$109/'[1]Availabilities EU Austria'!$N$104</f>
        <v>2.0267980522710626E-2</v>
      </c>
      <c r="F73" s="3">
        <f>'[1]Availabilities EU Austria'!$AB98/'[1]Availabilities EU Austria'!$AB$93</f>
        <v>1.752746512666262E-2</v>
      </c>
      <c r="G73" s="6">
        <f t="shared" si="9"/>
        <v>13.439109096112505</v>
      </c>
      <c r="H73" s="123">
        <f>'[1]Availabilities EU Austria'!$Q$109/'[1]Availabilities EU Austria'!$Q$104</f>
        <v>2.3931570490686043E-2</v>
      </c>
      <c r="I73" s="3">
        <f>'[1]Availabilities EU Austria'!$AC98/'[1]Availabilities EU Austria'!$AC$93</f>
        <v>2.1177837396655713E-2</v>
      </c>
      <c r="J73" s="6">
        <f t="shared" si="47"/>
        <v>16.238016457978244</v>
      </c>
      <c r="K73" s="6">
        <f t="shared" si="48"/>
        <v>7.8955152071873536E-2</v>
      </c>
      <c r="L73" s="6">
        <f t="shared" si="49"/>
        <v>60.538525949194216</v>
      </c>
      <c r="M73" s="6">
        <f t="shared" si="44"/>
        <v>8.0780338206870084E-2</v>
      </c>
      <c r="N73" s="6">
        <f t="shared" si="50"/>
        <v>61.937979630127082</v>
      </c>
      <c r="O73" s="3">
        <f>'[1]Availabilities EU Austria'!$AD$98/'[1]Availabilities EU Austria'!$AD$93</f>
        <v>0.14038283901708445</v>
      </c>
      <c r="P73" s="6">
        <f t="shared" si="51"/>
        <v>107.63794280227593</v>
      </c>
    </row>
    <row r="74" spans="1:16" x14ac:dyDescent="0.35">
      <c r="A74" s="5" t="s">
        <v>8</v>
      </c>
      <c r="B74" s="18">
        <v>69</v>
      </c>
      <c r="C74" s="6">
        <f>'[1]Conversion factors selected IV '!$G$80</f>
        <v>8.9990719257540611E-2</v>
      </c>
      <c r="D74" s="6">
        <f t="shared" si="46"/>
        <v>766.74573299644192</v>
      </c>
      <c r="E74" s="123">
        <f>'[1]Availabilities EU Austria'!$N$110/'[1]Availabilities EU Austria'!$N$104</f>
        <v>9.2273673289927829E-3</v>
      </c>
      <c r="F74" s="3">
        <f>'[1]Availabilities EU Austria'!$AB99/'[1]Availabilities EU Austria'!$AB$93</f>
        <v>7.9796977744577523E-3</v>
      </c>
      <c r="G74" s="6">
        <f t="shared" si="9"/>
        <v>6.1183992191666858</v>
      </c>
      <c r="H74" s="123">
        <f>'[1]Availabilities EU Austria'!$Q$110/'[1]Availabilities EU Austria'!$Q$104</f>
        <v>1.6814219915461764E-2</v>
      </c>
      <c r="I74" s="3">
        <f>'[1]Availabilities EU Austria'!$AC99/'[1]Availabilities EU Austria'!$AC$93</f>
        <v>1.4879458724192218E-2</v>
      </c>
      <c r="J74" s="6">
        <f t="shared" si="47"/>
        <v>11.408761486071064</v>
      </c>
      <c r="K74" s="6">
        <f t="shared" si="48"/>
        <v>1.7844700618869704E-2</v>
      </c>
      <c r="L74" s="6">
        <f t="shared" si="49"/>
        <v>13.682348056117311</v>
      </c>
      <c r="M74" s="6">
        <f t="shared" si="44"/>
        <v>2.1294581093736935E-2</v>
      </c>
      <c r="N74" s="6">
        <f t="shared" si="50"/>
        <v>16.3275291895695</v>
      </c>
      <c r="O74" s="3">
        <f>'[1]Availabilities EU Austria'!$AD$99/'[1]Availabilities EU Austria'!$AD$93</f>
        <v>2.7709703463281655E-2</v>
      </c>
      <c r="P74" s="6">
        <f t="shared" si="51"/>
        <v>21.246296893067939</v>
      </c>
    </row>
    <row r="75" spans="1:16" x14ac:dyDescent="0.35">
      <c r="A75" s="5" t="s">
        <v>9</v>
      </c>
      <c r="B75" s="18">
        <v>69</v>
      </c>
      <c r="C75" s="6">
        <f>'[1]Conversion factors selected IV '!$G$81</f>
        <v>9.9408352668213462E-2</v>
      </c>
      <c r="D75" s="6">
        <f t="shared" si="46"/>
        <v>694.10666355467379</v>
      </c>
      <c r="E75" s="123">
        <f>'[1]Availabilities EU Austria'!$N$111/'[1]Availabilities EU Austria'!$N$104</f>
        <v>0.14802813399529377</v>
      </c>
      <c r="F75" s="3">
        <f>'[1]Availabilities EU Austria'!$AB100/'[1]Availabilities EU Austria'!$AB$93</f>
        <v>0.17921771411040624</v>
      </c>
      <c r="G75" s="6">
        <f t="shared" si="9"/>
        <v>124.39620959106945</v>
      </c>
      <c r="H75" s="123">
        <f>'[1]Availabilities EU Austria'!$Q$111/'[1]Availabilities EU Austria'!$Q$104</f>
        <v>0.10247463906007917</v>
      </c>
      <c r="I75" s="3">
        <f>'[1]Availabilities EU Austria'!$AC100/'[1]Availabilities EU Austria'!$AC$93</f>
        <v>0.12695647123518053</v>
      </c>
      <c r="J75" s="6">
        <f t="shared" si="47"/>
        <v>88.121332665726072</v>
      </c>
      <c r="K75" s="6">
        <f t="shared" si="48"/>
        <v>0.14206737473704156</v>
      </c>
      <c r="L75" s="6">
        <f t="shared" si="49"/>
        <v>98.609911478699473</v>
      </c>
      <c r="M75" s="6">
        <f t="shared" si="44"/>
        <v>0.11593675329942871</v>
      </c>
      <c r="N75" s="6">
        <f t="shared" si="50"/>
        <v>80.472473016027777</v>
      </c>
      <c r="O75" s="3">
        <f>'[1]Availabilities EU Austria'!$AD$100/'[1]Availabilities EU Austria'!$AD$93</f>
        <v>0.10491703536367689</v>
      </c>
      <c r="P75" s="6">
        <f t="shared" si="51"/>
        <v>72.823613366329482</v>
      </c>
    </row>
    <row r="76" spans="1:16" x14ac:dyDescent="0.35">
      <c r="A76" s="5" t="s">
        <v>10</v>
      </c>
      <c r="B76" s="18">
        <v>65</v>
      </c>
      <c r="C76" s="6">
        <f>'[1]Conversion factors selected IV '!$G$82</f>
        <v>9.9408352668213462E-2</v>
      </c>
      <c r="D76" s="6">
        <f t="shared" si="46"/>
        <v>653.86859610222893</v>
      </c>
      <c r="E76" s="123">
        <f>'[1]Availabilities EU Austria'!$N$112/'[1]Availabilities EU Austria'!$N$104</f>
        <v>0.15540694633138846</v>
      </c>
      <c r="F76" s="3">
        <f>'[1]Availabilities EU Austria'!$AB101/'[1]Availabilities EU Austria'!$AB$93</f>
        <v>0.15679270400987594</v>
      </c>
      <c r="G76" s="6">
        <f t="shared" si="9"/>
        <v>102.5218252500099</v>
      </c>
      <c r="H76" s="123">
        <f>'[1]Availabilities EU Austria'!$Q$112/'[1]Availabilities EU Austria'!$Q$104</f>
        <v>0.15073287616524328</v>
      </c>
      <c r="I76" s="3">
        <f>'[1]Availabilities EU Austria'!$AC101/'[1]Availabilities EU Austria'!$AC$93</f>
        <v>0.1556199191705156</v>
      </c>
      <c r="J76" s="6">
        <f t="shared" si="47"/>
        <v>101.75497807356737</v>
      </c>
      <c r="K76" s="6">
        <f t="shared" si="48"/>
        <v>0.14558834135683768</v>
      </c>
      <c r="L76" s="6">
        <f t="shared" si="49"/>
        <v>95.195644371847536</v>
      </c>
      <c r="M76" s="6">
        <f t="shared" si="44"/>
        <v>0.14500194893715751</v>
      </c>
      <c r="N76" s="6">
        <f t="shared" si="50"/>
        <v>94.812220783626273</v>
      </c>
      <c r="O76" s="3">
        <f>'[1]Availabilities EU Austria'!$AD$101/'[1]Availabilities EU Austria'!$AD$93</f>
        <v>0.13438397870379942</v>
      </c>
      <c r="P76" s="6">
        <f t="shared" si="51"/>
        <v>87.86946349368516</v>
      </c>
    </row>
    <row r="77" spans="1:16" x14ac:dyDescent="0.35">
      <c r="A77" s="5" t="s">
        <v>11</v>
      </c>
      <c r="B77" s="18">
        <v>25</v>
      </c>
      <c r="C77" s="6">
        <f>'[1]Conversion factors selected IV '!$G$83</f>
        <v>8.3712296983758705E-2</v>
      </c>
      <c r="D77" s="6">
        <f t="shared" si="46"/>
        <v>298.64190687361418</v>
      </c>
      <c r="E77" s="123">
        <f>'[1]Availabilities EU Austria'!$N$113/'[1]Availabilities EU Austria'!$N$104</f>
        <v>4.6552014319949722E-2</v>
      </c>
      <c r="F77" s="3">
        <f>'[1]Availabilities EU Austria'!$AB102/'[1]Availabilities EU Austria'!$AB$93</f>
        <v>5.6360540178946879E-2</v>
      </c>
      <c r="G77" s="6">
        <f t="shared" si="9"/>
        <v>16.831619191467645</v>
      </c>
      <c r="H77" s="123">
        <f>'[1]Availabilities EU Austria'!$Q$113/'[1]Availabilities EU Austria'!$Q$104</f>
        <v>4.2968416306665501E-2</v>
      </c>
      <c r="I77" s="3">
        <f>'[1]Availabilities EU Austria'!$AC102/'[1]Availabilities EU Austria'!$AC$93</f>
        <v>5.3233839698232026E-2</v>
      </c>
      <c r="J77" s="6">
        <f t="shared" si="47"/>
        <v>15.897855397684314</v>
      </c>
      <c r="K77" s="6">
        <f t="shared" si="48"/>
        <v>5.4360860245812895E-2</v>
      </c>
      <c r="L77" s="6">
        <f t="shared" si="49"/>
        <v>16.234430963099609</v>
      </c>
      <c r="M77" s="6">
        <f t="shared" si="44"/>
        <v>5.2797510005455461E-2</v>
      </c>
      <c r="N77" s="6">
        <f t="shared" si="50"/>
        <v>15.767549066207943</v>
      </c>
      <c r="O77" s="3">
        <f>'[1]Availabilities EU Austria'!$AD$102/'[1]Availabilities EU Austria'!$AD$93</f>
        <v>5.2361180312678904E-2</v>
      </c>
      <c r="P77" s="6">
        <f t="shared" si="51"/>
        <v>15.637242734731574</v>
      </c>
    </row>
    <row r="78" spans="1:16" x14ac:dyDescent="0.35">
      <c r="A78" s="13" t="s">
        <v>32</v>
      </c>
      <c r="B78" s="18">
        <v>300</v>
      </c>
      <c r="C78" s="6">
        <f>'[1]Conversion factors selected IV '!$G$84</f>
        <v>0.15708584686774943</v>
      </c>
      <c r="D78" s="6">
        <f>B78*C78</f>
        <v>47.12575406032483</v>
      </c>
      <c r="E78" s="123">
        <f>'[1]Availabilities EU Austria'!$N$114/'[1]Availabilities EU Austria'!$N$104</f>
        <v>2.052496118879454E-2</v>
      </c>
      <c r="F78" s="3">
        <f>'[1]Availabilities EU Austria'!$AB103/'[1]Availabilities EU Austria'!$AB$93</f>
        <v>3.1061972200648619E-2</v>
      </c>
      <c r="G78" s="6">
        <f t="shared" si="9"/>
        <v>1.4638188625564137</v>
      </c>
      <c r="H78" s="123">
        <f>'[1]Availabilities EU Austria'!$Q$114/'[1]Availabilities EU Austria'!$Q$104</f>
        <v>2.0290488362744687E-2</v>
      </c>
      <c r="I78" s="3">
        <f>'[1]Availabilities EU Austria'!$AC103/'[1]Availabilities EU Austria'!$AC$93</f>
        <v>3.1422516168394234E-2</v>
      </c>
      <c r="J78" s="6">
        <f>I78*D78</f>
        <v>1.4808097689083273</v>
      </c>
      <c r="K78" s="6">
        <f t="shared" si="48"/>
        <v>4.628248602032186E-2</v>
      </c>
      <c r="L78" s="6">
        <f t="shared" si="49"/>
        <v>2.1810970534941099</v>
      </c>
      <c r="M78" s="6">
        <f t="shared" si="44"/>
        <v>4.6462758004194665E-2</v>
      </c>
      <c r="N78" s="6">
        <f t="shared" si="50"/>
        <v>2.1895925066700666</v>
      </c>
      <c r="O78" s="3">
        <f>'[1]Availabilities EU Austria'!$AD$103/'[1]Availabilities EU Austria'!$AD$93</f>
        <v>6.1502999839995104E-2</v>
      </c>
      <c r="P78" s="6">
        <f t="shared" si="51"/>
        <v>2.8983752444318065</v>
      </c>
    </row>
    <row r="79" spans="1:16" s="80" customFormat="1" x14ac:dyDescent="0.35">
      <c r="A79" s="81" t="s">
        <v>139</v>
      </c>
      <c r="B79" s="82"/>
      <c r="E79" s="121"/>
      <c r="G79" s="79">
        <f>SUM(G80)</f>
        <v>593.6</v>
      </c>
      <c r="H79" s="79">
        <f t="shared" ref="H79:N79" si="52">SUM(H80)</f>
        <v>1</v>
      </c>
      <c r="I79" s="79">
        <f t="shared" si="52"/>
        <v>1</v>
      </c>
      <c r="J79" s="79">
        <f t="shared" si="52"/>
        <v>593.6</v>
      </c>
      <c r="K79" s="79">
        <f t="shared" si="52"/>
        <v>1</v>
      </c>
      <c r="L79" s="79">
        <f t="shared" si="52"/>
        <v>593.6</v>
      </c>
      <c r="M79" s="79">
        <f t="shared" si="52"/>
        <v>1</v>
      </c>
      <c r="N79" s="79">
        <f t="shared" si="52"/>
        <v>593.6</v>
      </c>
      <c r="P79" s="79">
        <v>317.03814186666671</v>
      </c>
    </row>
    <row r="80" spans="1:16" x14ac:dyDescent="0.35">
      <c r="A80" s="16" t="s">
        <v>36</v>
      </c>
      <c r="B80" s="18">
        <v>280</v>
      </c>
      <c r="C80" s="6">
        <f>'[1]Conversion factors selected IV '!$G$86</f>
        <v>0.47169811320754712</v>
      </c>
      <c r="D80" s="6">
        <f t="shared" ref="D80" si="53">B80/C80</f>
        <v>593.6</v>
      </c>
      <c r="E80" s="127">
        <v>1</v>
      </c>
      <c r="F80" s="120">
        <f>100%</f>
        <v>1</v>
      </c>
      <c r="G80" s="6">
        <f t="shared" si="9"/>
        <v>593.6</v>
      </c>
      <c r="H80" s="130">
        <v>1</v>
      </c>
      <c r="I80" s="34">
        <v>1</v>
      </c>
      <c r="J80" s="6">
        <f>I80*D80</f>
        <v>593.6</v>
      </c>
      <c r="K80" s="6">
        <f>(F80+O80)/2</f>
        <v>1</v>
      </c>
      <c r="L80" s="6">
        <f>K80*D80</f>
        <v>593.6</v>
      </c>
      <c r="M80" s="6">
        <f t="shared" si="44"/>
        <v>1</v>
      </c>
      <c r="N80" s="6">
        <f>M80*D80</f>
        <v>593.6</v>
      </c>
      <c r="O80" s="34">
        <v>1</v>
      </c>
      <c r="P80" s="6">
        <v>317.03814186666671</v>
      </c>
    </row>
    <row r="81" spans="1:16" s="81" customFormat="1" x14ac:dyDescent="0.35">
      <c r="A81" s="81" t="s">
        <v>188</v>
      </c>
      <c r="G81" s="137">
        <f>G82</f>
        <v>989.3333333333336</v>
      </c>
      <c r="J81" s="137">
        <f>J82</f>
        <v>989.3333333333336</v>
      </c>
      <c r="K81" s="137">
        <f t="shared" ref="K81:L81" si="54">K82</f>
        <v>1</v>
      </c>
      <c r="L81" s="137">
        <f t="shared" si="54"/>
        <v>989.3333333333336</v>
      </c>
      <c r="M81" s="137">
        <f t="shared" ref="M81" si="55">M82</f>
        <v>1</v>
      </c>
      <c r="N81" s="137">
        <f t="shared" ref="N81" si="56">N82</f>
        <v>989.3333333333336</v>
      </c>
      <c r="P81" s="137">
        <v>340.75466666666671</v>
      </c>
    </row>
    <row r="82" spans="1:16" x14ac:dyDescent="0.35">
      <c r="A82" s="16" t="s">
        <v>36</v>
      </c>
      <c r="B82" s="18">
        <v>280</v>
      </c>
      <c r="C82" s="6">
        <f>'[1]Conversion factors selected IV '!$G$87</f>
        <v>0.28301886792452824</v>
      </c>
      <c r="D82" s="6">
        <f t="shared" ref="D82" si="57">B82/C82</f>
        <v>989.3333333333336</v>
      </c>
      <c r="E82" s="127">
        <v>1</v>
      </c>
      <c r="F82" s="120">
        <f>100%</f>
        <v>1</v>
      </c>
      <c r="G82" s="6">
        <f t="shared" si="9"/>
        <v>989.3333333333336</v>
      </c>
      <c r="H82" s="130">
        <v>1</v>
      </c>
      <c r="I82" s="34">
        <v>1</v>
      </c>
      <c r="J82" s="6">
        <f>I82*D82</f>
        <v>989.3333333333336</v>
      </c>
      <c r="K82" s="6">
        <f>(F82+O82)/2</f>
        <v>1</v>
      </c>
      <c r="L82" s="6">
        <f>K82*D82</f>
        <v>989.3333333333336</v>
      </c>
      <c r="M82" s="6">
        <f t="shared" si="44"/>
        <v>1</v>
      </c>
      <c r="N82" s="6">
        <f>M82*D82</f>
        <v>989.3333333333336</v>
      </c>
      <c r="O82" s="34">
        <v>1</v>
      </c>
      <c r="P82" s="6">
        <v>340.75466666666671</v>
      </c>
    </row>
    <row r="83" spans="1:16" s="80" customFormat="1" x14ac:dyDescent="0.35">
      <c r="A83" s="82" t="s">
        <v>193</v>
      </c>
      <c r="B83" s="82"/>
      <c r="E83" s="124">
        <f>SUM(E84:E91)</f>
        <v>1</v>
      </c>
      <c r="F83" s="86">
        <f>SUM(F84:F91)</f>
        <v>1</v>
      </c>
      <c r="G83" s="79">
        <f>SUM(G84:G91)</f>
        <v>228.15753420264849</v>
      </c>
      <c r="H83" s="131"/>
      <c r="I83" s="83">
        <f>SUM(I84:I91)</f>
        <v>1</v>
      </c>
      <c r="J83" s="84">
        <f>SUM(J84:J91)</f>
        <v>228.38971904427797</v>
      </c>
      <c r="K83" s="84">
        <f t="shared" ref="K83:L83" si="58">SUM(K84:K91)</f>
        <v>0.99999999999999978</v>
      </c>
      <c r="L83" s="84">
        <f t="shared" si="58"/>
        <v>229.74444515555439</v>
      </c>
      <c r="M83" s="84">
        <f t="shared" ref="M83" si="59">SUM(M84:M91)</f>
        <v>1</v>
      </c>
      <c r="N83" s="84">
        <f t="shared" ref="N83" si="60">SUM(N84:N91)</f>
        <v>229.86053757636907</v>
      </c>
      <c r="O83" s="84">
        <f t="shared" ref="O83:P83" si="61">SUM(O84:O91)</f>
        <v>0.99999999999999967</v>
      </c>
      <c r="P83" s="84">
        <f t="shared" si="61"/>
        <v>231.3313561084602</v>
      </c>
    </row>
    <row r="84" spans="1:16" x14ac:dyDescent="0.35">
      <c r="A84" s="5" t="s">
        <v>4</v>
      </c>
      <c r="B84" s="18">
        <v>65</v>
      </c>
      <c r="C84" s="6">
        <f>'[1]Conversion factors selected IV '!$G98</f>
        <v>0.27123986095017383</v>
      </c>
      <c r="D84" s="6">
        <f>B84/C84</f>
        <v>239.64029391660969</v>
      </c>
      <c r="E84" s="98">
        <f>'[1]Availabilities EU Austria'!$N120/'[1]Availabilities EU Austria'!$N$119</f>
        <v>0.54821320343358704</v>
      </c>
      <c r="F84" s="59">
        <f>'[1]Availabilities EU Austria'!$AB$120/'[1]Availabilities EU Austria'!$AB$119</f>
        <v>0.48880668324775634</v>
      </c>
      <c r="G84" s="6">
        <f>D84*F84</f>
        <v>117.13777724189546</v>
      </c>
      <c r="H84" s="123" t="e">
        <f>'[1]Availabilities EU Austria'!#REF!/'[1]Availabilities EU Austria'!#REF!</f>
        <v>#REF!</v>
      </c>
      <c r="I84" s="3">
        <f>'[1]Availabilities EU Austria'!$AC$120/'[1]Availabilities EU Austria'!$AC$119</f>
        <v>0.5423909317725395</v>
      </c>
      <c r="J84" s="6">
        <f t="shared" ref="J84:J91" si="62">I84*D84</f>
        <v>129.97872230767516</v>
      </c>
      <c r="K84" s="6">
        <f t="shared" ref="K84:K91" si="63">(F84+O84)/2</f>
        <v>0.46911553262375871</v>
      </c>
      <c r="L84" s="6">
        <f t="shared" ref="L84:L91" si="64">K84*D84</f>
        <v>112.41898411880445</v>
      </c>
      <c r="M84" s="6">
        <f t="shared" si="44"/>
        <v>0.49590765688615024</v>
      </c>
      <c r="N84" s="6">
        <f t="shared" ref="N84:N91" si="65">M84*D84</f>
        <v>118.83945665169428</v>
      </c>
      <c r="O84" s="3">
        <f>'[1]Availabilities EU Austria'!$AD$120/'[1]Availabilities EU Austria'!$AD$119</f>
        <v>0.44942438199976104</v>
      </c>
      <c r="P84" s="6">
        <f t="shared" ref="P84:P91" si="66">O84*D84</f>
        <v>107.7001909957134</v>
      </c>
    </row>
    <row r="85" spans="1:16" x14ac:dyDescent="0.35">
      <c r="A85" s="5" t="s">
        <v>5</v>
      </c>
      <c r="B85" s="18">
        <v>44</v>
      </c>
      <c r="C85" s="6">
        <f>'[1]Conversion factors selected IV '!$G99</f>
        <v>0.27123986095017383</v>
      </c>
      <c r="D85" s="6">
        <f>B85/C85</f>
        <v>162.21804511278194</v>
      </c>
      <c r="E85" s="98">
        <f>'[1]Availabilities EU Austria'!$N121/'[1]Availabilities EU Austria'!$N$119</f>
        <v>3.5580513125782073E-2</v>
      </c>
      <c r="F85" s="59">
        <f>'[1]Availabilities EU Austria'!$AB121/'[1]Availabilities EU Austria'!$AB$119</f>
        <v>3.7012348329189218E-2</v>
      </c>
      <c r="G85" s="6">
        <f>D85*F85</f>
        <v>6.0040707909944153</v>
      </c>
      <c r="H85" s="123" t="e">
        <f>'[1]Availabilities EU Austria'!#REF!/'[1]Availabilities EU Austria'!#REF!</f>
        <v>#REF!</v>
      </c>
      <c r="I85" s="3">
        <f>'[1]Availabilities EU Austria'!$AC121/'[1]Availabilities EU Austria'!$AC$119</f>
        <v>3.7397328035326548E-2</v>
      </c>
      <c r="J85" s="6">
        <f t="shared" si="62"/>
        <v>6.0665214463321062</v>
      </c>
      <c r="K85" s="6">
        <f t="shared" si="63"/>
        <v>3.359653859310445E-2</v>
      </c>
      <c r="L85" s="6">
        <f t="shared" si="64"/>
        <v>5.4499648131295366</v>
      </c>
      <c r="M85" s="6">
        <f t="shared" si="44"/>
        <v>3.3789028446173111E-2</v>
      </c>
      <c r="N85" s="6">
        <f t="shared" si="65"/>
        <v>5.4811901407983816</v>
      </c>
      <c r="O85" s="3">
        <f>'[1]Availabilities EU Austria'!$AD$121/'[1]Availabilities EU Austria'!$AD$119</f>
        <v>3.0180728857019678E-2</v>
      </c>
      <c r="P85" s="6">
        <f t="shared" si="66"/>
        <v>4.8958588352646579</v>
      </c>
    </row>
    <row r="86" spans="1:16" x14ac:dyDescent="0.35">
      <c r="A86" s="5" t="s">
        <v>6</v>
      </c>
      <c r="B86" s="18">
        <v>44</v>
      </c>
      <c r="C86" s="6">
        <f>'[1]Conversion factors selected IV '!$G100</f>
        <v>0.27123986095017383</v>
      </c>
      <c r="D86" s="6">
        <f t="shared" ref="D86:D91" si="67">B86/C86</f>
        <v>162.21804511278194</v>
      </c>
      <c r="E86" s="98">
        <f>'[1]Availabilities EU Austria'!$N122/'[1]Availabilities EU Austria'!$N$119</f>
        <v>1.4464340223321777E-2</v>
      </c>
      <c r="F86" s="59">
        <f>'[1]Availabilities EU Austria'!$AB122/'[1]Availabilities EU Austria'!$AB$119</f>
        <v>1.8055699089158796E-2</v>
      </c>
      <c r="G86" s="6">
        <f t="shared" si="9"/>
        <v>2.9289602093879772</v>
      </c>
      <c r="H86" s="123" t="e">
        <f>'[1]Availabilities EU Austria'!#REF!/'[1]Availabilities EU Austria'!#REF!</f>
        <v>#REF!</v>
      </c>
      <c r="I86" s="3">
        <f>'[1]Availabilities EU Austria'!$AC122/'[1]Availabilities EU Austria'!$AC$119</f>
        <v>1.896564183485595E-2</v>
      </c>
      <c r="J86" s="6">
        <f t="shared" si="62"/>
        <v>3.0765693427595271</v>
      </c>
      <c r="K86" s="6">
        <f t="shared" si="63"/>
        <v>1.5774626625053741E-2</v>
      </c>
      <c r="L86" s="6">
        <f t="shared" si="64"/>
        <v>2.5589290935002591</v>
      </c>
      <c r="M86" s="6">
        <f t="shared" si="44"/>
        <v>1.6229597997902318E-2</v>
      </c>
      <c r="N86" s="6">
        <f t="shared" si="65"/>
        <v>2.6327336601860338</v>
      </c>
      <c r="O86" s="3">
        <f>'[1]Availabilities EU Austria'!$AD$122/'[1]Availabilities EU Austria'!$AD$119</f>
        <v>1.3493554160948688E-2</v>
      </c>
      <c r="P86" s="6">
        <f t="shared" si="66"/>
        <v>2.1888979776125406</v>
      </c>
    </row>
    <row r="87" spans="1:16" x14ac:dyDescent="0.35">
      <c r="A87" s="5" t="s">
        <v>7</v>
      </c>
      <c r="B87" s="18">
        <v>69</v>
      </c>
      <c r="C87" s="6">
        <f>'[1]Conversion factors selected IV '!$G101</f>
        <v>0.27123986095017383</v>
      </c>
      <c r="D87" s="6">
        <f t="shared" si="67"/>
        <v>254.3873889268626</v>
      </c>
      <c r="E87" s="98">
        <f>'[1]Availabilities EU Austria'!$N123/'[1]Availabilities EU Austria'!$N$119</f>
        <v>2.1456850089500667E-2</v>
      </c>
      <c r="F87" s="59">
        <f>'[1]Availabilities EU Austria'!$AB123/'[1]Availabilities EU Austria'!$AB$119</f>
        <v>1.9131702154385883E-2</v>
      </c>
      <c r="G87" s="6">
        <f t="shared" ref="G87:G118" si="68">D87*F87</f>
        <v>4.8668637567806563</v>
      </c>
      <c r="H87" s="123" t="e">
        <f>'[1]Availabilities EU Austria'!#REF!/'[1]Availabilities EU Austria'!#REF!</f>
        <v>#REF!</v>
      </c>
      <c r="I87" s="3">
        <f>'[1]Availabilities EU Austria'!$AC123/'[1]Availabilities EU Austria'!$AC$119</f>
        <v>2.2850945640025086E-2</v>
      </c>
      <c r="J87" s="6">
        <f t="shared" si="62"/>
        <v>5.8129923958756571</v>
      </c>
      <c r="K87" s="6">
        <f t="shared" si="63"/>
        <v>8.6955209795153907E-2</v>
      </c>
      <c r="L87" s="6">
        <f t="shared" si="64"/>
        <v>22.120308773376749</v>
      </c>
      <c r="M87" s="6">
        <f t="shared" si="44"/>
        <v>8.881483153797351E-2</v>
      </c>
      <c r="N87" s="6">
        <f t="shared" si="65"/>
        <v>22.593373092924249</v>
      </c>
      <c r="O87" s="3">
        <f>'[1]Availabilities EU Austria'!$AD$123/'[1]Availabilities EU Austria'!$AD$119</f>
        <v>0.15477871743592192</v>
      </c>
      <c r="P87" s="6">
        <f t="shared" si="66"/>
        <v>39.373753789972838</v>
      </c>
    </row>
    <row r="88" spans="1:16" x14ac:dyDescent="0.35">
      <c r="A88" s="5" t="s">
        <v>8</v>
      </c>
      <c r="B88" s="18">
        <v>69</v>
      </c>
      <c r="C88" s="6">
        <f>'[1]Conversion factors selected IV '!$G102</f>
        <v>0.27123986095017383</v>
      </c>
      <c r="D88" s="6">
        <f t="shared" si="67"/>
        <v>254.3873889268626</v>
      </c>
      <c r="E88" s="98">
        <f>'[1]Availabilities EU Austria'!$N124/'[1]Availabilities EU Austria'!$N$119</f>
        <v>9.7686218553991021E-3</v>
      </c>
      <c r="F88" s="59">
        <f>'[1]Availabilities EU Austria'!$AB124/'[1]Availabilities EU Austria'!$AB$119</f>
        <v>8.7100559036747821E-3</v>
      </c>
      <c r="G88" s="6">
        <f t="shared" si="68"/>
        <v>2.2157283787428326</v>
      </c>
      <c r="H88" s="123" t="e">
        <f>'[1]Availabilities EU Austria'!#REF!/'[1]Availabilities EU Austria'!#REF!</f>
        <v>#REF!</v>
      </c>
      <c r="I88" s="3">
        <f>'[1]Availabilities EU Austria'!$AC124/'[1]Availabilities EU Austria'!$AC$119</f>
        <v>1.6054977479107748E-2</v>
      </c>
      <c r="J88" s="6">
        <f t="shared" si="62"/>
        <v>4.0841838001898028</v>
      </c>
      <c r="K88" s="6">
        <f t="shared" si="63"/>
        <v>1.96306570551016E-2</v>
      </c>
      <c r="L88" s="6">
        <f t="shared" si="64"/>
        <v>4.9937915911659898</v>
      </c>
      <c r="M88" s="6">
        <f t="shared" si="44"/>
        <v>2.3303117842818084E-2</v>
      </c>
      <c r="N88" s="6">
        <f t="shared" si="65"/>
        <v>5.9280193018894751</v>
      </c>
      <c r="O88" s="3">
        <f>'[1]Availabilities EU Austria'!$AD$124/'[1]Availabilities EU Austria'!$AD$119</f>
        <v>3.0551258206528417E-2</v>
      </c>
      <c r="P88" s="6">
        <f t="shared" si="66"/>
        <v>7.7718548035891475</v>
      </c>
    </row>
    <row r="89" spans="1:16" x14ac:dyDescent="0.35">
      <c r="A89" s="5" t="s">
        <v>9</v>
      </c>
      <c r="B89" s="18">
        <v>67</v>
      </c>
      <c r="C89" s="6">
        <f>'[1]Conversion factors selected IV '!$G103</f>
        <v>0.27123986095017383</v>
      </c>
      <c r="D89" s="6">
        <f t="shared" si="67"/>
        <v>247.01384142173615</v>
      </c>
      <c r="E89" s="98">
        <f>'[1]Availabilities EU Austria'!$N125/'[1]Availabilities EU Austria'!$N$119</f>
        <v>0.15671109791163104</v>
      </c>
      <c r="F89" s="59">
        <f>'[1]Availabilities EU Austria'!$AB125/'[1]Availabilities EU Austria'!$AB$119</f>
        <v>0.19562098126410787</v>
      </c>
      <c r="G89" s="6">
        <f t="shared" si="68"/>
        <v>48.321090044736764</v>
      </c>
      <c r="H89" s="123" t="e">
        <f>'[1]Availabilities EU Austria'!#REF!/'[1]Availabilities EU Austria'!#REF!</f>
        <v>#REF!</v>
      </c>
      <c r="I89" s="3">
        <f>'[1]Availabilities EU Austria'!$AC125/'[1]Availabilities EU Austria'!$AC$119</f>
        <v>0.13698638668850296</v>
      </c>
      <c r="J89" s="6">
        <f t="shared" si="62"/>
        <v>33.837533598410502</v>
      </c>
      <c r="K89" s="6">
        <f t="shared" si="63"/>
        <v>0.15564848665944911</v>
      </c>
      <c r="L89" s="6">
        <f t="shared" si="64"/>
        <v>38.447330601230377</v>
      </c>
      <c r="M89" s="6">
        <f t="shared" si="44"/>
        <v>0.12633118937164667</v>
      </c>
      <c r="N89" s="6">
        <f t="shared" si="65"/>
        <v>31.205552378067249</v>
      </c>
      <c r="O89" s="3">
        <f>'[1]Availabilities EU Austria'!$AD$125/'[1]Availabilities EU Austria'!$AD$119</f>
        <v>0.11567599205479036</v>
      </c>
      <c r="P89" s="6">
        <f t="shared" si="66"/>
        <v>28.573571157723997</v>
      </c>
    </row>
    <row r="90" spans="1:16" x14ac:dyDescent="0.35">
      <c r="A90" s="5" t="s">
        <v>10</v>
      </c>
      <c r="B90" s="18">
        <v>65</v>
      </c>
      <c r="C90" s="6">
        <f>'[1]Conversion factors selected IV '!$G104</f>
        <v>0.27123986095017383</v>
      </c>
      <c r="D90" s="6">
        <f t="shared" si="67"/>
        <v>239.64029391660969</v>
      </c>
      <c r="E90" s="98">
        <f>'[1]Availabilities EU Austria'!$N126/'[1]Availabilities EU Austria'!$N$119</f>
        <v>0.16452273311409904</v>
      </c>
      <c r="F90" s="59">
        <f>'[1]Availabilities EU Austria'!$AB126/'[1]Availabilities EU Austria'!$AB$119</f>
        <v>0.17114347633387092</v>
      </c>
      <c r="G90" s="6">
        <f t="shared" si="68"/>
        <v>41.012872970559165</v>
      </c>
      <c r="H90" s="123" t="e">
        <f>'[1]Availabilities EU Austria'!#REF!/'[1]Availabilities EU Austria'!#REF!</f>
        <v>#REF!</v>
      </c>
      <c r="I90" s="3">
        <f>'[1]Availabilities EU Austria'!$AC126/'[1]Availabilities EU Austria'!$AC$119</f>
        <v>0.16791432698562994</v>
      </c>
      <c r="J90" s="6">
        <f t="shared" si="62"/>
        <v>40.239038671646064</v>
      </c>
      <c r="K90" s="6">
        <f t="shared" si="63"/>
        <v>0.15965408332159858</v>
      </c>
      <c r="L90" s="6">
        <f t="shared" si="64"/>
        <v>38.259551452174776</v>
      </c>
      <c r="M90" s="6">
        <f t="shared" si="44"/>
        <v>0.15803950864747812</v>
      </c>
      <c r="N90" s="6">
        <f t="shared" si="65"/>
        <v>37.872634302718239</v>
      </c>
      <c r="O90" s="3">
        <f>'[1]Availabilities EU Austria'!$AD$126/'[1]Availabilities EU Austria'!$AD$119</f>
        <v>0.14816469030932627</v>
      </c>
      <c r="P90" s="6">
        <f t="shared" si="66"/>
        <v>35.506229933790401</v>
      </c>
    </row>
    <row r="91" spans="1:16" x14ac:dyDescent="0.35">
      <c r="A91" s="5" t="s">
        <v>11</v>
      </c>
      <c r="B91" s="18">
        <v>25</v>
      </c>
      <c r="C91" s="6">
        <f>'[1]Conversion factors selected IV '!$G105</f>
        <v>0.27123986095017383</v>
      </c>
      <c r="D91" s="6">
        <f t="shared" si="67"/>
        <v>92.169343814080648</v>
      </c>
      <c r="E91" s="98">
        <f>'[1]Availabilities EU Austria'!$N127/'[1]Availabilities EU Austria'!$N$119</f>
        <v>4.9282640246679235E-2</v>
      </c>
      <c r="F91" s="59">
        <f>'[1]Availabilities EU Austria'!$AB127/'[1]Availabilities EU Austria'!$AB$119</f>
        <v>6.1519053677856192E-2</v>
      </c>
      <c r="G91" s="6">
        <f t="shared" si="68"/>
        <v>5.6701708095512098</v>
      </c>
      <c r="H91" s="123" t="e">
        <f>'[1]Availabilities EU Austria'!#REF!/'[1]Availabilities EU Austria'!#REF!</f>
        <v>#REF!</v>
      </c>
      <c r="I91" s="3">
        <f>'[1]Availabilities EU Austria'!$AC127/'[1]Availabilities EU Austria'!$AC$119</f>
        <v>5.7439461564012355E-2</v>
      </c>
      <c r="J91" s="6">
        <f t="shared" si="62"/>
        <v>5.2941574813891252</v>
      </c>
      <c r="K91" s="6">
        <f t="shared" si="63"/>
        <v>5.9624865326779838E-2</v>
      </c>
      <c r="L91" s="6">
        <f t="shared" si="64"/>
        <v>5.495584712172227</v>
      </c>
      <c r="M91" s="6">
        <f t="shared" si="44"/>
        <v>5.7585069269857916E-2</v>
      </c>
      <c r="N91" s="6">
        <f t="shared" si="65"/>
        <v>5.3075780480911847</v>
      </c>
      <c r="O91" s="3">
        <f>'[1]Availabilities EU Austria'!$AD$127/'[1]Availabilities EU Austria'!$AD$119</f>
        <v>5.7730676975703485E-2</v>
      </c>
      <c r="P91" s="6">
        <f t="shared" si="66"/>
        <v>5.3209986147932442</v>
      </c>
    </row>
    <row r="92" spans="1:16" s="82" customFormat="1" x14ac:dyDescent="0.35">
      <c r="A92" s="82" t="s">
        <v>196</v>
      </c>
      <c r="C92" s="159"/>
      <c r="G92" s="79">
        <f>SUM(G93:G100)</f>
        <v>720.75477937327389</v>
      </c>
      <c r="H92" s="79" t="e">
        <f t="shared" ref="H92:I92" si="69">SUM(H93:H100)</f>
        <v>#REF!</v>
      </c>
      <c r="I92" s="79">
        <f t="shared" si="69"/>
        <v>1</v>
      </c>
      <c r="J92" s="84">
        <f>SUM(J93:J100)</f>
        <v>726.38922465199596</v>
      </c>
      <c r="K92" s="84">
        <f t="shared" ref="K92:L92" si="70">SUM(K93:K100)</f>
        <v>0.99999999999999978</v>
      </c>
      <c r="L92" s="84">
        <f t="shared" si="70"/>
        <v>729.96231633217417</v>
      </c>
      <c r="M92" s="84">
        <f t="shared" ref="M92" si="71">SUM(M93:M100)</f>
        <v>1</v>
      </c>
      <c r="N92" s="84">
        <f t="shared" ref="N92" si="72">SUM(N93:N100)</f>
        <v>732.7795389715352</v>
      </c>
      <c r="O92" s="84">
        <f t="shared" ref="O92:P92" si="73">SUM(O93:O100)</f>
        <v>0.99999999999999967</v>
      </c>
      <c r="P92" s="84">
        <f t="shared" si="73"/>
        <v>739.16985329107445</v>
      </c>
    </row>
    <row r="93" spans="1:16" x14ac:dyDescent="0.35">
      <c r="A93" s="5" t="s">
        <v>4</v>
      </c>
      <c r="B93" s="18">
        <v>65</v>
      </c>
      <c r="C93" s="6">
        <f>'[1]Conversion factors selected IV '!$G107</f>
        <v>8.2474864655839128E-2</v>
      </c>
      <c r="D93" s="6">
        <f>B93/C93</f>
        <v>788.11890472618165</v>
      </c>
      <c r="E93" s="98"/>
      <c r="F93" s="59">
        <f>'[1]Availabilities EU Austria'!$AB120/'[1]Availabilities EU Austria'!$AB$119</f>
        <v>0.48880668324775634</v>
      </c>
      <c r="G93" s="6">
        <f t="shared" si="68"/>
        <v>385.23778782405935</v>
      </c>
      <c r="H93" s="123" t="e">
        <f>'[1]Availabilities EU Austria'!#REF!/'[1]Availabilities EU Austria'!#REF!</f>
        <v>#REF!</v>
      </c>
      <c r="I93" s="3">
        <f>'[1]Availabilities EU Austria'!$AC120/'[1]Availabilities EU Austria'!$AC$119</f>
        <v>0.5423909317725395</v>
      </c>
      <c r="J93" s="6">
        <f t="shared" ref="J93:J100" si="74">I93*D93</f>
        <v>427.46854708198697</v>
      </c>
      <c r="K93" s="6">
        <f t="shared" ref="K93:K100" si="75">(F93+O93)/2</f>
        <v>0.46911553262375871</v>
      </c>
      <c r="L93" s="6">
        <f t="shared" ref="L93:L100" si="76">K93*D93</f>
        <v>369.71881976147603</v>
      </c>
      <c r="M93" s="6">
        <f t="shared" si="44"/>
        <v>0.49590765688615024</v>
      </c>
      <c r="N93" s="6">
        <f t="shared" ref="N93:N100" si="77">M93*D93</f>
        <v>390.83419939043984</v>
      </c>
      <c r="O93" s="3">
        <f>'[1]Availabilities EU Austria'!$AD$120/'[1]Availabilities EU Austria'!$AD$119</f>
        <v>0.44942438199976104</v>
      </c>
      <c r="P93" s="6">
        <f t="shared" ref="P93:P100" si="78">O93*D93</f>
        <v>354.19985169889276</v>
      </c>
    </row>
    <row r="94" spans="1:16" x14ac:dyDescent="0.35">
      <c r="A94" s="5" t="s">
        <v>5</v>
      </c>
      <c r="B94" s="18">
        <v>44</v>
      </c>
      <c r="C94" s="6">
        <f>'[1]Conversion factors selected IV '!$G108</f>
        <v>8.2474864655839128E-2</v>
      </c>
      <c r="D94" s="6">
        <f t="shared" ref="D94:D109" si="79">B94/C94</f>
        <v>533.49587396849211</v>
      </c>
      <c r="E94" s="98"/>
      <c r="F94" s="59">
        <f>'[1]Availabilities EU Austria'!$AB121/'[1]Availabilities EU Austria'!$AB$119</f>
        <v>3.7012348329189218E-2</v>
      </c>
      <c r="G94" s="6">
        <f t="shared" si="68"/>
        <v>19.74593511950706</v>
      </c>
      <c r="H94" s="123" t="e">
        <f>'[1]Availabilities EU Austria'!#REF!/'[1]Availabilities EU Austria'!#REF!</f>
        <v>#REF!</v>
      </c>
      <c r="I94" s="3">
        <f>'[1]Availabilities EU Austria'!$AC121/'[1]Availabilities EU Austria'!$AC$119</f>
        <v>3.7397328035326548E-2</v>
      </c>
      <c r="J94" s="6">
        <f t="shared" si="74"/>
        <v>19.95132020429293</v>
      </c>
      <c r="K94" s="6">
        <f t="shared" si="75"/>
        <v>3.359653859310445E-2</v>
      </c>
      <c r="L94" s="6">
        <f t="shared" si="76"/>
        <v>17.923614719044433</v>
      </c>
      <c r="M94" s="6">
        <f t="shared" si="44"/>
        <v>3.3789028446173111E-2</v>
      </c>
      <c r="N94" s="6">
        <f t="shared" si="77"/>
        <v>18.026307261437363</v>
      </c>
      <c r="O94" s="3">
        <f>'[1]Availabilities EU Austria'!$AD$121/'[1]Availabilities EU Austria'!$AD$119</f>
        <v>3.0180728857019678E-2</v>
      </c>
      <c r="P94" s="6">
        <f t="shared" si="78"/>
        <v>16.101294318581804</v>
      </c>
    </row>
    <row r="95" spans="1:16" x14ac:dyDescent="0.35">
      <c r="A95" s="5" t="s">
        <v>6</v>
      </c>
      <c r="B95" s="18">
        <v>44</v>
      </c>
      <c r="C95" s="6">
        <f>'[1]Conversion factors selected IV '!$G109</f>
        <v>8.2474864655839128E-2</v>
      </c>
      <c r="D95" s="6">
        <f t="shared" si="79"/>
        <v>533.49587396849211</v>
      </c>
      <c r="E95" s="98"/>
      <c r="F95" s="59">
        <f>'[1]Availabilities EU Austria'!$AB122/'[1]Availabilities EU Austria'!$AB$119</f>
        <v>1.8055699089158796E-2</v>
      </c>
      <c r="G95" s="6">
        <f t="shared" si="68"/>
        <v>9.6326409656828798</v>
      </c>
      <c r="H95" s="123" t="e">
        <f>'[1]Availabilities EU Austria'!#REF!/'[1]Availabilities EU Austria'!#REF!</f>
        <v>#REF!</v>
      </c>
      <c r="I95" s="3">
        <f>'[1]Availabilities EU Austria'!$AC122/'[1]Availabilities EU Austria'!$AC$119</f>
        <v>1.896564183485595E-2</v>
      </c>
      <c r="J95" s="6">
        <f t="shared" si="74"/>
        <v>10.118091666059872</v>
      </c>
      <c r="K95" s="6">
        <f t="shared" si="75"/>
        <v>1.5774626625053741E-2</v>
      </c>
      <c r="L95" s="6">
        <f t="shared" si="76"/>
        <v>8.4156982178596902</v>
      </c>
      <c r="M95" s="6">
        <f t="shared" si="44"/>
        <v>1.6229597997902318E-2</v>
      </c>
      <c r="N95" s="6">
        <f t="shared" si="77"/>
        <v>8.6584235680481871</v>
      </c>
      <c r="O95" s="3">
        <f>'[1]Availabilities EU Austria'!$AD$122/'[1]Availabilities EU Austria'!$AD$119</f>
        <v>1.3493554160948688E-2</v>
      </c>
      <c r="P95" s="6">
        <f t="shared" si="78"/>
        <v>7.1987554700365033</v>
      </c>
    </row>
    <row r="96" spans="1:16" x14ac:dyDescent="0.35">
      <c r="A96" s="5" t="s">
        <v>7</v>
      </c>
      <c r="B96" s="18">
        <v>69</v>
      </c>
      <c r="C96" s="6">
        <f>'[1]Conversion factors selected IV '!$G110</f>
        <v>8.2474864655839128E-2</v>
      </c>
      <c r="D96" s="6">
        <f t="shared" si="79"/>
        <v>836.61852963240813</v>
      </c>
      <c r="E96" s="98"/>
      <c r="F96" s="59">
        <f>'[1]Availabilities EU Austria'!$AB123/'[1]Availabilities EU Austria'!$AB$119</f>
        <v>1.9131702154385883E-2</v>
      </c>
      <c r="G96" s="6">
        <f t="shared" si="68"/>
        <v>16.005936525767492</v>
      </c>
      <c r="H96" s="123" t="e">
        <f>'[1]Availabilities EU Austria'!#REF!/'[1]Availabilities EU Austria'!#REF!</f>
        <v>#REF!</v>
      </c>
      <c r="I96" s="3">
        <f>'[1]Availabilities EU Austria'!$AC123/'[1]Availabilities EU Austria'!$AC$119</f>
        <v>2.2850945640025086E-2</v>
      </c>
      <c r="J96" s="6">
        <f t="shared" si="74"/>
        <v>19.117524542067876</v>
      </c>
      <c r="K96" s="6">
        <f t="shared" si="75"/>
        <v>8.6955209795153907E-2</v>
      </c>
      <c r="L96" s="6">
        <f t="shared" si="76"/>
        <v>72.748339762699231</v>
      </c>
      <c r="M96" s="6">
        <f t="shared" si="44"/>
        <v>8.881483153797351E-2</v>
      </c>
      <c r="N96" s="6">
        <f t="shared" si="77"/>
        <v>74.304133770849432</v>
      </c>
      <c r="O96" s="3">
        <f>'[1]Availabilities EU Austria'!$AD$123/'[1]Availabilities EU Austria'!$AD$119</f>
        <v>0.15477871743592192</v>
      </c>
      <c r="P96" s="6">
        <f t="shared" si="78"/>
        <v>129.49074299963095</v>
      </c>
    </row>
    <row r="97" spans="1:16" x14ac:dyDescent="0.35">
      <c r="A97" s="5" t="s">
        <v>8</v>
      </c>
      <c r="B97" s="18">
        <v>69</v>
      </c>
      <c r="C97" s="6">
        <f>'[1]Conversion factors selected IV '!$G111</f>
        <v>8.2474864655839128E-2</v>
      </c>
      <c r="D97" s="6">
        <f t="shared" si="79"/>
        <v>836.61852963240813</v>
      </c>
      <c r="E97" s="98"/>
      <c r="F97" s="59">
        <f>'[1]Availabilities EU Austria'!$AB124/'[1]Availabilities EU Austria'!$AB$119</f>
        <v>8.7100559036747821E-3</v>
      </c>
      <c r="G97" s="6">
        <f t="shared" si="68"/>
        <v>7.2869941631484716</v>
      </c>
      <c r="H97" s="123" t="e">
        <f>'[1]Availabilities EU Austria'!#REF!/'[1]Availabilities EU Austria'!#REF!</f>
        <v>#REF!</v>
      </c>
      <c r="I97" s="3">
        <f>'[1]Availabilities EU Austria'!$AC124/'[1]Availabilities EU Austria'!$AC$119</f>
        <v>1.6054977479107748E-2</v>
      </c>
      <c r="J97" s="6">
        <f t="shared" si="74"/>
        <v>13.431891651852551</v>
      </c>
      <c r="K97" s="6">
        <f t="shared" si="75"/>
        <v>1.96306570551016E-2</v>
      </c>
      <c r="L97" s="6">
        <f t="shared" si="76"/>
        <v>16.423371441157158</v>
      </c>
      <c r="M97" s="6">
        <f t="shared" si="44"/>
        <v>2.3303117842818084E-2</v>
      </c>
      <c r="N97" s="6">
        <f t="shared" si="77"/>
        <v>19.495820185509199</v>
      </c>
      <c r="O97" s="3">
        <f>'[1]Availabilities EU Austria'!$AD$124/'[1]Availabilities EU Austria'!$AD$119</f>
        <v>3.0551258206528417E-2</v>
      </c>
      <c r="P97" s="6">
        <f t="shared" si="78"/>
        <v>25.559748719165846</v>
      </c>
    </row>
    <row r="98" spans="1:16" x14ac:dyDescent="0.35">
      <c r="A98" s="5" t="s">
        <v>9</v>
      </c>
      <c r="B98" s="18">
        <v>67</v>
      </c>
      <c r="C98" s="6">
        <f>'[1]Conversion factors selected IV '!$G112</f>
        <v>9.1105955143078107E-2</v>
      </c>
      <c r="D98" s="6">
        <f t="shared" si="79"/>
        <v>735.40747028862484</v>
      </c>
      <c r="E98" s="98"/>
      <c r="F98" s="59">
        <f>'[1]Availabilities EU Austria'!$AB125/'[1]Availabilities EU Austria'!$AB$119</f>
        <v>0.19562098126410787</v>
      </c>
      <c r="G98" s="6">
        <f t="shared" si="68"/>
        <v>143.86113096681603</v>
      </c>
      <c r="H98" s="123" t="e">
        <f>'[1]Availabilities EU Austria'!#REF!/'[1]Availabilities EU Austria'!#REF!</f>
        <v>#REF!</v>
      </c>
      <c r="I98" s="3">
        <f>'[1]Availabilities EU Austria'!$AC125/'[1]Availabilities EU Austria'!$AC$119</f>
        <v>0.13698638668850296</v>
      </c>
      <c r="J98" s="6">
        <f t="shared" si="74"/>
        <v>100.74081209857131</v>
      </c>
      <c r="K98" s="6">
        <f t="shared" si="75"/>
        <v>0.15564848665944911</v>
      </c>
      <c r="L98" s="6">
        <f t="shared" si="76"/>
        <v>114.46505982847825</v>
      </c>
      <c r="M98" s="6">
        <f t="shared" si="44"/>
        <v>0.12633118937164667</v>
      </c>
      <c r="N98" s="6">
        <f t="shared" si="77"/>
        <v>92.904900394355892</v>
      </c>
      <c r="O98" s="3">
        <f>'[1]Availabilities EU Austria'!$AD$125/'[1]Availabilities EU Austria'!$AD$119</f>
        <v>0.11567599205479036</v>
      </c>
      <c r="P98" s="6">
        <f t="shared" si="78"/>
        <v>85.068988690140444</v>
      </c>
    </row>
    <row r="99" spans="1:16" x14ac:dyDescent="0.35">
      <c r="A99" s="5" t="s">
        <v>10</v>
      </c>
      <c r="B99" s="18">
        <v>65</v>
      </c>
      <c r="C99" s="6">
        <f>'[1]Conversion factors selected IV '!$G113</f>
        <v>9.1105955143078107E-2</v>
      </c>
      <c r="D99" s="6">
        <f t="shared" si="79"/>
        <v>713.45500848896438</v>
      </c>
      <c r="E99" s="98"/>
      <c r="F99" s="59">
        <f>'[1]Availabilities EU Austria'!$AB126/'[1]Availabilities EU Austria'!$AB$119</f>
        <v>0.17114347633387092</v>
      </c>
      <c r="G99" s="6">
        <f t="shared" si="68"/>
        <v>122.10317036061275</v>
      </c>
      <c r="H99" s="123" t="e">
        <f>'[1]Availabilities EU Austria'!#REF!/'[1]Availabilities EU Austria'!#REF!</f>
        <v>#REF!</v>
      </c>
      <c r="I99" s="3">
        <f>'[1]Availabilities EU Austria'!$AC126/'[1]Availabilities EU Austria'!$AC$119</f>
        <v>0.16791432698562994</v>
      </c>
      <c r="J99" s="6">
        <f t="shared" si="74"/>
        <v>119.79931758495135</v>
      </c>
      <c r="K99" s="6">
        <f t="shared" si="75"/>
        <v>0.15965408332159858</v>
      </c>
      <c r="L99" s="6">
        <f t="shared" si="76"/>
        <v>113.90600537150894</v>
      </c>
      <c r="M99" s="6">
        <f t="shared" si="44"/>
        <v>0.15803950864747812</v>
      </c>
      <c r="N99" s="6">
        <f t="shared" si="77"/>
        <v>112.75407898367827</v>
      </c>
      <c r="O99" s="3">
        <f>'[1]Availabilities EU Austria'!$AD$126/'[1]Availabilities EU Austria'!$AD$119</f>
        <v>0.14816469030932627</v>
      </c>
      <c r="P99" s="6">
        <f t="shared" si="78"/>
        <v>105.70884038240516</v>
      </c>
    </row>
    <row r="100" spans="1:16" x14ac:dyDescent="0.35">
      <c r="A100" s="5" t="s">
        <v>11</v>
      </c>
      <c r="B100" s="18">
        <v>25</v>
      </c>
      <c r="C100" s="6">
        <f>'[1]Conversion factors selected IV '!$G114</f>
        <v>9.1105955143078107E-2</v>
      </c>
      <c r="D100" s="6">
        <f t="shared" si="79"/>
        <v>274.40577249575551</v>
      </c>
      <c r="E100" s="98"/>
      <c r="F100" s="59">
        <f>'[1]Availabilities EU Austria'!$AB127/'[1]Availabilities EU Austria'!$AB$119</f>
        <v>6.1519053677856192E-2</v>
      </c>
      <c r="G100" s="6">
        <f t="shared" si="68"/>
        <v>16.881183447679977</v>
      </c>
      <c r="H100" s="123" t="e">
        <f>'[1]Availabilities EU Austria'!#REF!/'[1]Availabilities EU Austria'!#REF!</f>
        <v>#REF!</v>
      </c>
      <c r="I100" s="3">
        <f>'[1]Availabilities EU Austria'!$AC127/'[1]Availabilities EU Austria'!$AC$119</f>
        <v>5.7439461564012355E-2</v>
      </c>
      <c r="J100" s="6">
        <f t="shared" si="74"/>
        <v>15.761719822213067</v>
      </c>
      <c r="K100" s="6">
        <f t="shared" si="75"/>
        <v>5.9624865326779838E-2</v>
      </c>
      <c r="L100" s="6">
        <f t="shared" si="76"/>
        <v>16.361407229950409</v>
      </c>
      <c r="M100" s="6">
        <f t="shared" si="44"/>
        <v>5.7585069269857916E-2</v>
      </c>
      <c r="N100" s="6">
        <f t="shared" si="77"/>
        <v>15.801675417216954</v>
      </c>
      <c r="O100" s="3">
        <f>'[1]Availabilities EU Austria'!$AD$127/'[1]Availabilities EU Austria'!$AD$119</f>
        <v>5.7730676975703485E-2</v>
      </c>
      <c r="P100" s="6">
        <f t="shared" si="78"/>
        <v>15.841631012220841</v>
      </c>
    </row>
    <row r="101" spans="1:16" s="85" customFormat="1" x14ac:dyDescent="0.35">
      <c r="A101" s="85" t="s">
        <v>194</v>
      </c>
      <c r="B101" s="294"/>
      <c r="C101" s="158"/>
      <c r="G101" s="158">
        <f t="shared" ref="G101:I101" si="80">SUM(G102:G109)</f>
        <v>228.64993549590196</v>
      </c>
      <c r="H101" s="85">
        <f t="shared" si="80"/>
        <v>0</v>
      </c>
      <c r="I101" s="85">
        <f t="shared" si="80"/>
        <v>1</v>
      </c>
      <c r="J101" s="84">
        <f>SUM(J102:J109)</f>
        <v>228.97051856720603</v>
      </c>
      <c r="K101" s="84">
        <f t="shared" ref="K101:L101" si="81">SUM(K102:K109)</f>
        <v>0.99999999999999989</v>
      </c>
      <c r="L101" s="84">
        <f t="shared" si="81"/>
        <v>229.99064580218112</v>
      </c>
      <c r="M101" s="84">
        <f t="shared" ref="M101" si="82">SUM(M102:M109)</f>
        <v>0.99999999999999989</v>
      </c>
      <c r="N101" s="84">
        <f t="shared" ref="N101" si="83">SUM(N102:N109)</f>
        <v>230.15093733783311</v>
      </c>
      <c r="O101" s="84">
        <f t="shared" ref="O101:P101" si="84">SUM(O102:O109)</f>
        <v>0.99999999999999967</v>
      </c>
      <c r="P101" s="84">
        <f t="shared" si="84"/>
        <v>231.3313561084602</v>
      </c>
    </row>
    <row r="102" spans="1:16" x14ac:dyDescent="0.35">
      <c r="A102" s="5" t="s">
        <v>4</v>
      </c>
      <c r="B102" s="18">
        <v>65</v>
      </c>
      <c r="C102" s="6">
        <f>'[1]Conversion factors selected IV '!$G116</f>
        <v>0.27123986095017383</v>
      </c>
      <c r="D102" s="6">
        <f t="shared" si="79"/>
        <v>239.64029391660969</v>
      </c>
      <c r="E102" s="98"/>
      <c r="F102" s="59">
        <f>'[1]Availabilities EU Austria'!$AB129/'[1]Availabilities EU Austria'!$AB$128</f>
        <v>0.47963053471346939</v>
      </c>
      <c r="G102" s="6">
        <f t="shared" si="68"/>
        <v>114.93880231011647</v>
      </c>
      <c r="H102" s="123"/>
      <c r="I102" s="109">
        <f>'[1]Availabilities EU Austria'!$AC129/'[1]Availabilities EU Austria'!$AC$128</f>
        <v>0.53027367680943094</v>
      </c>
      <c r="J102" s="6">
        <f t="shared" ref="J102:J109" si="85">I102*D102</f>
        <v>127.07493976685333</v>
      </c>
      <c r="K102" s="6">
        <f t="shared" ref="K102:K109" si="86">(F102+O102)/2</f>
        <v>0.46452745835661524</v>
      </c>
      <c r="L102" s="6">
        <f t="shared" ref="L102:L109" si="87">K102*D102</f>
        <v>111.31949665291495</v>
      </c>
      <c r="M102" s="6">
        <f t="shared" si="44"/>
        <v>0.48984902940459596</v>
      </c>
      <c r="N102" s="6">
        <f t="shared" ref="N102:N109" si="88">M102*D102</f>
        <v>117.38756538128337</v>
      </c>
      <c r="O102" s="3">
        <f>'[1]Availabilities EU Austria'!$AD$120/'[1]Availabilities EU Austria'!$AD$119</f>
        <v>0.44942438199976104</v>
      </c>
      <c r="P102" s="6">
        <f t="shared" ref="P102:P109" si="89">O102*D102</f>
        <v>107.7001909957134</v>
      </c>
    </row>
    <row r="103" spans="1:16" x14ac:dyDescent="0.35">
      <c r="A103" s="5" t="s">
        <v>5</v>
      </c>
      <c r="B103" s="18">
        <v>44</v>
      </c>
      <c r="C103" s="6">
        <f>'[1]Conversion factors selected IV '!$G117</f>
        <v>0.27123986095017383</v>
      </c>
      <c r="D103" s="6">
        <f t="shared" si="79"/>
        <v>162.21804511278194</v>
      </c>
      <c r="E103" s="98"/>
      <c r="F103" s="59">
        <f>'[1]Availabilities EU Austria'!$AB130/'[1]Availabilities EU Austria'!$AB$128</f>
        <v>3.6317532121655366E-2</v>
      </c>
      <c r="G103" s="6">
        <f t="shared" si="68"/>
        <v>5.8913590640955968</v>
      </c>
      <c r="H103" s="123"/>
      <c r="I103" s="109">
        <f>'[1]Availabilities EU Austria'!$AC130/'[1]Availabilities EU Austria'!$AC$128</f>
        <v>3.6561855072564896E-2</v>
      </c>
      <c r="J103" s="6">
        <f t="shared" si="85"/>
        <v>5.9309926555683274</v>
      </c>
      <c r="K103" s="6">
        <f t="shared" si="86"/>
        <v>3.3249130489337524E-2</v>
      </c>
      <c r="L103" s="6">
        <f t="shared" si="87"/>
        <v>5.3936089496801278</v>
      </c>
      <c r="M103" s="6">
        <f t="shared" si="44"/>
        <v>3.3371291964792285E-2</v>
      </c>
      <c r="N103" s="6">
        <f t="shared" si="88"/>
        <v>5.4134257454164922</v>
      </c>
      <c r="O103" s="3">
        <f>'[1]Availabilities EU Austria'!$AD$121/'[1]Availabilities EU Austria'!$AD$119</f>
        <v>3.0180728857019678E-2</v>
      </c>
      <c r="P103" s="6">
        <f t="shared" si="89"/>
        <v>4.8958588352646579</v>
      </c>
    </row>
    <row r="104" spans="1:16" x14ac:dyDescent="0.35">
      <c r="A104" s="5" t="s">
        <v>6</v>
      </c>
      <c r="B104" s="18">
        <v>44</v>
      </c>
      <c r="C104" s="6">
        <f>'[1]Conversion factors selected IV '!$G118</f>
        <v>0.27123986095017383</v>
      </c>
      <c r="D104" s="6">
        <f t="shared" si="79"/>
        <v>162.21804511278194</v>
      </c>
      <c r="E104" s="98"/>
      <c r="F104" s="59">
        <f>'[1]Availabilities EU Austria'!$AB131/'[1]Availabilities EU Austria'!$AB$128</f>
        <v>1.7716747551852312E-2</v>
      </c>
      <c r="G104" s="6">
        <f t="shared" si="68"/>
        <v>2.8739761536181474</v>
      </c>
      <c r="H104" s="123"/>
      <c r="I104" s="109">
        <f>'[1]Availabilities EU Austria'!$AC131/'[1]Availabilities EU Austria'!$AC$128</f>
        <v>1.8541940950143661E-2</v>
      </c>
      <c r="J104" s="6">
        <f t="shared" si="85"/>
        <v>3.0078374135289434</v>
      </c>
      <c r="K104" s="6">
        <f t="shared" si="86"/>
        <v>1.5605150856400501E-2</v>
      </c>
      <c r="L104" s="6">
        <f t="shared" si="87"/>
        <v>2.5314370656153442</v>
      </c>
      <c r="M104" s="6">
        <f t="shared" si="44"/>
        <v>1.6017747555546174E-2</v>
      </c>
      <c r="N104" s="6">
        <f t="shared" si="88"/>
        <v>2.598367695570742</v>
      </c>
      <c r="O104" s="3">
        <f>'[1]Availabilities EU Austria'!$AD$122/'[1]Availabilities EU Austria'!$AD$119</f>
        <v>1.3493554160948688E-2</v>
      </c>
      <c r="P104" s="6">
        <f t="shared" si="89"/>
        <v>2.1888979776125406</v>
      </c>
    </row>
    <row r="105" spans="1:16" x14ac:dyDescent="0.35">
      <c r="A105" s="5" t="s">
        <v>7</v>
      </c>
      <c r="B105" s="18">
        <v>69</v>
      </c>
      <c r="C105" s="6">
        <f>'[1]Conversion factors selected IV '!$G119</f>
        <v>0.27123986095017383</v>
      </c>
      <c r="D105" s="6">
        <f t="shared" si="79"/>
        <v>254.3873889268626</v>
      </c>
      <c r="E105" s="98"/>
      <c r="F105" s="59">
        <f>'[1]Availabilities EU Austria'!$AB132/'[1]Availabilities EU Austria'!$AB$128</f>
        <v>3.7545102588689108E-2</v>
      </c>
      <c r="G105" s="6">
        <f t="shared" si="68"/>
        <v>9.5510006145278119</v>
      </c>
      <c r="H105" s="123"/>
      <c r="I105" s="109">
        <f>'[1]Availabilities EU Austria'!$AC132/'[1]Availabilities EU Austria'!$AC$128</f>
        <v>4.4680890676063539E-2</v>
      </c>
      <c r="J105" s="6">
        <f t="shared" si="85"/>
        <v>11.366255114010404</v>
      </c>
      <c r="K105" s="6">
        <f t="shared" si="86"/>
        <v>9.6161910012305507E-2</v>
      </c>
      <c r="L105" s="6">
        <f t="shared" si="87"/>
        <v>24.462377202250323</v>
      </c>
      <c r="M105" s="6">
        <f t="shared" si="44"/>
        <v>9.972980405599273E-2</v>
      </c>
      <c r="N105" s="6">
        <f t="shared" si="88"/>
        <v>25.370004451991623</v>
      </c>
      <c r="O105" s="3">
        <f>'[1]Availabilities EU Austria'!$AD$123/'[1]Availabilities EU Austria'!$AD$119</f>
        <v>0.15477871743592192</v>
      </c>
      <c r="P105" s="6">
        <f t="shared" si="89"/>
        <v>39.373753789972838</v>
      </c>
    </row>
    <row r="106" spans="1:16" x14ac:dyDescent="0.35">
      <c r="A106" s="5" t="s">
        <v>8</v>
      </c>
      <c r="B106" s="18">
        <v>69</v>
      </c>
      <c r="C106" s="6">
        <f>'[1]Conversion factors selected IV '!$G120</f>
        <v>0.27123986095017383</v>
      </c>
      <c r="D106" s="6">
        <f t="shared" si="79"/>
        <v>254.3873889268626</v>
      </c>
      <c r="E106" s="98"/>
      <c r="F106" s="59">
        <f>'[1]Availabilities EU Austria'!$AB133/'[1]Availabilities EU Austria'!$AB$128</f>
        <v>8.5465459324464386E-3</v>
      </c>
      <c r="G106" s="6">
        <f t="shared" si="68"/>
        <v>2.1741335040985477</v>
      </c>
      <c r="H106" s="123"/>
      <c r="I106" s="109">
        <f>'[1]Availabilities EU Austria'!$AC133/'[1]Availabilities EU Austria'!$AC$128</f>
        <v>1.5696302132332411E-2</v>
      </c>
      <c r="J106" s="6">
        <f t="shared" si="85"/>
        <v>3.9929413152511879</v>
      </c>
      <c r="K106" s="6">
        <f t="shared" si="86"/>
        <v>1.954890206948743E-2</v>
      </c>
      <c r="L106" s="6">
        <f t="shared" si="87"/>
        <v>4.9729941538438478</v>
      </c>
      <c r="M106" s="6">
        <f t="shared" si="44"/>
        <v>2.3123780169430414E-2</v>
      </c>
      <c r="N106" s="6">
        <f t="shared" si="88"/>
        <v>5.8823980594201677</v>
      </c>
      <c r="O106" s="3">
        <f>'[1]Availabilities EU Austria'!$AD$124/'[1]Availabilities EU Austria'!$AD$119</f>
        <v>3.0551258206528417E-2</v>
      </c>
      <c r="P106" s="6">
        <f t="shared" si="89"/>
        <v>7.7718548035891475</v>
      </c>
    </row>
    <row r="107" spans="1:16" x14ac:dyDescent="0.35">
      <c r="A107" s="5" t="s">
        <v>9</v>
      </c>
      <c r="B107" s="18">
        <v>67</v>
      </c>
      <c r="C107" s="6">
        <f>'[1]Conversion factors selected IV '!$G121</f>
        <v>0.27123986095017383</v>
      </c>
      <c r="D107" s="6">
        <f t="shared" si="79"/>
        <v>247.01384142173615</v>
      </c>
      <c r="E107" s="98"/>
      <c r="F107" s="59">
        <f>'[1]Availabilities EU Austria'!$AB134/'[1]Availabilities EU Austria'!$AB$128</f>
        <v>0.19194867635907739</v>
      </c>
      <c r="G107" s="6">
        <f t="shared" si="68"/>
        <v>47.413979903273294</v>
      </c>
      <c r="H107" s="123"/>
      <c r="I107" s="109">
        <f>'[1]Availabilities EU Austria'!$AC134/'[1]Availabilities EU Austria'!$AC$128</f>
        <v>0.13392604980463399</v>
      </c>
      <c r="J107" s="6">
        <f t="shared" si="85"/>
        <v>33.081588028681395</v>
      </c>
      <c r="K107" s="6">
        <f t="shared" si="86"/>
        <v>0.15381233420693388</v>
      </c>
      <c r="L107" s="6">
        <f t="shared" si="87"/>
        <v>37.993775530498645</v>
      </c>
      <c r="M107" s="6">
        <f t="shared" si="44"/>
        <v>0.12480102092971218</v>
      </c>
      <c r="N107" s="6">
        <f t="shared" si="88"/>
        <v>30.827579593202699</v>
      </c>
      <c r="O107" s="3">
        <f>'[1]Availabilities EU Austria'!$AD$125/'[1]Availabilities EU Austria'!$AD$119</f>
        <v>0.11567599205479036</v>
      </c>
      <c r="P107" s="6">
        <f t="shared" si="89"/>
        <v>28.573571157723997</v>
      </c>
    </row>
    <row r="108" spans="1:16" x14ac:dyDescent="0.35">
      <c r="A108" s="5" t="s">
        <v>10</v>
      </c>
      <c r="B108" s="18">
        <v>65</v>
      </c>
      <c r="C108" s="6">
        <f>'[1]Conversion factors selected IV '!$G122</f>
        <v>0.27123986095017383</v>
      </c>
      <c r="D108" s="6">
        <f t="shared" si="79"/>
        <v>239.64029391660969</v>
      </c>
      <c r="E108" s="98"/>
      <c r="F108" s="59">
        <f>'[1]Availabilities EU Austria'!$AB135/'[1]Availabilities EU Austria'!$AB$128</f>
        <v>0.16793067664570088</v>
      </c>
      <c r="G108" s="6">
        <f t="shared" si="68"/>
        <v>40.242956708990903</v>
      </c>
      <c r="H108" s="123"/>
      <c r="I108" s="109">
        <f>'[1]Availabilities EU Austria'!$AC135/'[1]Availabilities EU Austria'!$AC$128</f>
        <v>0.16416304614213509</v>
      </c>
      <c r="J108" s="6">
        <f t="shared" si="85"/>
        <v>39.340080627747213</v>
      </c>
      <c r="K108" s="6">
        <f t="shared" si="86"/>
        <v>0.15804768347751358</v>
      </c>
      <c r="L108" s="6">
        <f t="shared" si="87"/>
        <v>37.874593321390648</v>
      </c>
      <c r="M108" s="6">
        <f t="shared" si="44"/>
        <v>0.1561638682257307</v>
      </c>
      <c r="N108" s="6">
        <f t="shared" si="88"/>
        <v>37.42315528076881</v>
      </c>
      <c r="O108" s="3">
        <f>'[1]Availabilities EU Austria'!$AD$126/'[1]Availabilities EU Austria'!$AD$119</f>
        <v>0.14816469030932627</v>
      </c>
      <c r="P108" s="6">
        <f t="shared" si="89"/>
        <v>35.506229933790401</v>
      </c>
    </row>
    <row r="109" spans="1:16" x14ac:dyDescent="0.35">
      <c r="A109" s="5" t="s">
        <v>11</v>
      </c>
      <c r="B109" s="18">
        <v>25</v>
      </c>
      <c r="C109" s="6">
        <f>'[1]Conversion factors selected IV '!$G123</f>
        <v>0.27123986095017383</v>
      </c>
      <c r="D109" s="6">
        <f t="shared" si="79"/>
        <v>92.169343814080648</v>
      </c>
      <c r="E109" s="98"/>
      <c r="F109" s="59">
        <f>'[1]Availabilities EU Austria'!$AB136/'[1]Availabilities EU Austria'!$AB$128</f>
        <v>6.0364184087109099E-2</v>
      </c>
      <c r="G109" s="6">
        <f t="shared" si="68"/>
        <v>5.5637272371812143</v>
      </c>
      <c r="H109" s="123"/>
      <c r="I109" s="109">
        <f>'[1]Availabilities EU Austria'!$AC136/'[1]Availabilities EU Austria'!$AC$128</f>
        <v>5.6156238412695562E-2</v>
      </c>
      <c r="J109" s="6">
        <f t="shared" si="85"/>
        <v>5.1758836455652197</v>
      </c>
      <c r="K109" s="6">
        <f t="shared" si="86"/>
        <v>5.9047430531406292E-2</v>
      </c>
      <c r="L109" s="6">
        <f t="shared" si="87"/>
        <v>5.4423629259872293</v>
      </c>
      <c r="M109" s="6">
        <f t="shared" si="44"/>
        <v>5.694345769419952E-2</v>
      </c>
      <c r="N109" s="6">
        <f t="shared" si="88"/>
        <v>5.2484411301792315</v>
      </c>
      <c r="O109" s="3">
        <f>'[1]Availabilities EU Austria'!$AD$127/'[1]Availabilities EU Austria'!$AD$119</f>
        <v>5.7730676975703485E-2</v>
      </c>
      <c r="P109" s="6">
        <f t="shared" si="89"/>
        <v>5.3209986147932442</v>
      </c>
    </row>
    <row r="110" spans="1:16" s="85" customFormat="1" x14ac:dyDescent="0.35">
      <c r="A110" s="85" t="s">
        <v>195</v>
      </c>
      <c r="B110" s="294"/>
      <c r="F110" s="85">
        <f t="shared" ref="F110:P110" si="90">SUM(F111:F118)</f>
        <v>0.99999999999999989</v>
      </c>
      <c r="G110" s="158">
        <f t="shared" si="90"/>
        <v>682.67388373606661</v>
      </c>
      <c r="H110" s="85" t="e">
        <f t="shared" si="90"/>
        <v>#REF!</v>
      </c>
      <c r="I110" s="85">
        <f t="shared" si="90"/>
        <v>1</v>
      </c>
      <c r="J110" s="158">
        <f t="shared" si="90"/>
        <v>688.26608153300685</v>
      </c>
      <c r="K110" s="158">
        <f t="shared" si="90"/>
        <v>0.99999999999999989</v>
      </c>
      <c r="L110" s="158">
        <f t="shared" si="90"/>
        <v>690.34173338713697</v>
      </c>
      <c r="M110" s="158">
        <f t="shared" si="90"/>
        <v>0.99999999999999989</v>
      </c>
      <c r="N110" s="158">
        <f t="shared" si="90"/>
        <v>693.13783228560703</v>
      </c>
      <c r="O110" s="158">
        <f t="shared" si="90"/>
        <v>0.99999999999999967</v>
      </c>
      <c r="P110" s="158">
        <f t="shared" si="90"/>
        <v>698.0095830382071</v>
      </c>
    </row>
    <row r="111" spans="1:16" x14ac:dyDescent="0.35">
      <c r="A111" s="5" t="s">
        <v>4</v>
      </c>
      <c r="B111" s="18">
        <v>65</v>
      </c>
      <c r="C111" s="6">
        <f>'[1]Conversion factors selected IV '!$G$125</f>
        <v>8.7338247338247313E-2</v>
      </c>
      <c r="D111" s="6">
        <f t="shared" ref="D111:D118" si="91">B111/C111</f>
        <v>744.23293323330859</v>
      </c>
      <c r="E111" s="98">
        <f>'[1]Availabilities EU Austria'!$N$120/'[1]Availabilities EU Austria'!$N$119</f>
        <v>0.54821320343358704</v>
      </c>
      <c r="F111" s="59">
        <f>'[1]Availabilities EU Austria'!$AB$129/'[1]Availabilities EU Austria'!$AB$128</f>
        <v>0.47963053471346939</v>
      </c>
      <c r="G111" s="6">
        <f t="shared" si="68"/>
        <v>356.95683971806557</v>
      </c>
      <c r="H111" s="123" t="e">
        <f>'[1]Availabilities EU Austria'!#REF!/'[1]Availabilities EU Austria'!#REF!</f>
        <v>#REF!</v>
      </c>
      <c r="I111" s="109">
        <f>'[1]Availabilities EU Austria'!$AC$129/'[1]Availabilities EU Austria'!$AC$128</f>
        <v>0.53027367680943094</v>
      </c>
      <c r="J111" s="6">
        <f t="shared" ref="J111:J118" si="92">I111*D111</f>
        <v>394.64713390829428</v>
      </c>
      <c r="K111" s="6">
        <f t="shared" ref="K111:K118" si="93">(F111+O111)/2</f>
        <v>0.46452745835661524</v>
      </c>
      <c r="L111" s="6">
        <f t="shared" ref="L111:L118" si="94">K111*D111</f>
        <v>345.71663290015738</v>
      </c>
      <c r="M111" s="6">
        <f t="shared" si="44"/>
        <v>0.48984902940459596</v>
      </c>
      <c r="N111" s="6">
        <f t="shared" ref="N111:N118" si="95">M111*D111</f>
        <v>364.56177999527171</v>
      </c>
      <c r="O111" s="3">
        <f>'[1]Availabilities EU Austria'!$AD$120/'[1]Availabilities EU Austria'!$AD$119</f>
        <v>0.44942438199976104</v>
      </c>
      <c r="P111" s="6">
        <f t="shared" ref="P111:P118" si="96">O111*D111</f>
        <v>334.47642608224913</v>
      </c>
    </row>
    <row r="112" spans="1:16" x14ac:dyDescent="0.35">
      <c r="A112" s="5" t="s">
        <v>5</v>
      </c>
      <c r="B112" s="18">
        <v>44</v>
      </c>
      <c r="C112" s="6">
        <f>'[1]Conversion factors selected IV '!$G$126</f>
        <v>8.7338247338247313E-2</v>
      </c>
      <c r="D112" s="6">
        <f t="shared" si="91"/>
        <v>503.78844711177811</v>
      </c>
      <c r="E112" s="98">
        <f>'[1]Availabilities EU Austria'!$N$121/'[1]Availabilities EU Austria'!$N$119</f>
        <v>3.5580513125782073E-2</v>
      </c>
      <c r="F112" s="59">
        <f>'[1]Availabilities EU Austria'!$AB130/'[1]Availabilities EU Austria'!$AB$128</f>
        <v>3.6317532121655366E-2</v>
      </c>
      <c r="G112" s="6">
        <f t="shared" si="68"/>
        <v>18.296353110500878</v>
      </c>
      <c r="H112" s="123" t="e">
        <f>'[1]Availabilities EU Austria'!#REF!/'[1]Availabilities EU Austria'!#REF!</f>
        <v>#REF!</v>
      </c>
      <c r="I112" s="109">
        <f>'[1]Availabilities EU Austria'!$AC130/'[1]Availabilities EU Austria'!$AC$128</f>
        <v>3.6561855072564896E-2</v>
      </c>
      <c r="J112" s="6">
        <f t="shared" si="92"/>
        <v>18.419440190533358</v>
      </c>
      <c r="K112" s="6">
        <f t="shared" si="93"/>
        <v>3.3249130489337524E-2</v>
      </c>
      <c r="L112" s="6">
        <f t="shared" si="94"/>
        <v>16.750527817040226</v>
      </c>
      <c r="M112" s="6">
        <f t="shared" si="44"/>
        <v>3.3371291964792285E-2</v>
      </c>
      <c r="N112" s="6">
        <f t="shared" si="95"/>
        <v>16.812071357056464</v>
      </c>
      <c r="O112" s="3">
        <f>'[1]Availabilities EU Austria'!$AD$121/'[1]Availabilities EU Austria'!$AD$119</f>
        <v>3.0180728857019678E-2</v>
      </c>
      <c r="P112" s="6">
        <f t="shared" si="96"/>
        <v>15.204702523579574</v>
      </c>
    </row>
    <row r="113" spans="1:16" x14ac:dyDescent="0.35">
      <c r="A113" s="5" t="s">
        <v>6</v>
      </c>
      <c r="B113" s="18">
        <v>44</v>
      </c>
      <c r="C113" s="6">
        <f>'[1]Conversion factors selected IV '!$G$127</f>
        <v>8.7338247338247313E-2</v>
      </c>
      <c r="D113" s="6">
        <f t="shared" si="91"/>
        <v>503.78844711177811</v>
      </c>
      <c r="E113" s="126">
        <f>'[1]Availabilities EU Austria'!$N$122/'[1]Availabilities EU Austria'!$N$119</f>
        <v>1.4464340223321777E-2</v>
      </c>
      <c r="F113" s="59">
        <f>'[1]Availabilities EU Austria'!$AB131/'[1]Availabilities EU Austria'!$AB$128</f>
        <v>1.7716747551852312E-2</v>
      </c>
      <c r="G113" s="6">
        <f t="shared" si="68"/>
        <v>8.9254927370190735</v>
      </c>
      <c r="H113" s="123" t="e">
        <f>'[1]Availabilities EU Austria'!#REF!/'[1]Availabilities EU Austria'!#REF!</f>
        <v>#REF!</v>
      </c>
      <c r="I113" s="109">
        <f>'[1]Availabilities EU Austria'!$AC131/'[1]Availabilities EU Austria'!$AC$128</f>
        <v>1.8541940950143661E-2</v>
      </c>
      <c r="J113" s="6">
        <f t="shared" si="92"/>
        <v>9.3412156377111621</v>
      </c>
      <c r="K113" s="6">
        <f t="shared" si="93"/>
        <v>1.5605150856400501E-2</v>
      </c>
      <c r="L113" s="6">
        <f t="shared" si="94"/>
        <v>7.8616947168910425</v>
      </c>
      <c r="M113" s="6">
        <f t="shared" si="44"/>
        <v>1.6017747555546174E-2</v>
      </c>
      <c r="N113" s="6">
        <f t="shared" si="95"/>
        <v>8.0695561672370868</v>
      </c>
      <c r="O113" s="3">
        <f>'[1]Availabilities EU Austria'!$AD$122/'[1]Availabilities EU Austria'!$AD$119</f>
        <v>1.3493554160948688E-2</v>
      </c>
      <c r="P113" s="6">
        <f t="shared" si="96"/>
        <v>6.7978966967630114</v>
      </c>
    </row>
    <row r="114" spans="1:16" x14ac:dyDescent="0.35">
      <c r="A114" s="5" t="s">
        <v>7</v>
      </c>
      <c r="B114" s="18">
        <v>69</v>
      </c>
      <c r="C114" s="6">
        <f>'[1]Conversion factors selected IV '!$G$128</f>
        <v>8.7338247338247313E-2</v>
      </c>
      <c r="D114" s="6">
        <f t="shared" si="91"/>
        <v>790.03188297074291</v>
      </c>
      <c r="E114" s="98">
        <f>'[1]Availabilities EU Austria'!$N$123/'[1]Availabilities EU Austria'!$N$119</f>
        <v>2.1456850089500667E-2</v>
      </c>
      <c r="F114" s="59">
        <f>'[1]Availabilities EU Austria'!$AB132/'[1]Availabilities EU Austria'!$AB$128</f>
        <v>3.7545102588689108E-2</v>
      </c>
      <c r="G114" s="6">
        <f t="shared" si="68"/>
        <v>29.661828094471769</v>
      </c>
      <c r="H114" s="123" t="e">
        <f>'[1]Availabilities EU Austria'!#REF!/'[1]Availabilities EU Austria'!#REF!</f>
        <v>#REF!</v>
      </c>
      <c r="I114" s="109">
        <f>'[1]Availabilities EU Austria'!$AC132/'[1]Availabilities EU Austria'!$AC$128</f>
        <v>4.4680890676063539E-2</v>
      </c>
      <c r="J114" s="6">
        <f t="shared" si="92"/>
        <v>35.29932819362039</v>
      </c>
      <c r="K114" s="6">
        <f t="shared" si="93"/>
        <v>9.6161910012305507E-2</v>
      </c>
      <c r="L114" s="6">
        <f t="shared" si="94"/>
        <v>75.970974837084853</v>
      </c>
      <c r="M114" s="6">
        <f t="shared" si="44"/>
        <v>9.972980405599273E-2</v>
      </c>
      <c r="N114" s="6">
        <f t="shared" si="95"/>
        <v>78.789724886659172</v>
      </c>
      <c r="O114" s="3">
        <f>'[1]Availabilities EU Austria'!$AD$123/'[1]Availabilities EU Austria'!$AD$119</f>
        <v>0.15477871743592192</v>
      </c>
      <c r="P114" s="6">
        <f t="shared" si="96"/>
        <v>122.28012157969795</v>
      </c>
    </row>
    <row r="115" spans="1:16" x14ac:dyDescent="0.35">
      <c r="A115" s="5" t="s">
        <v>8</v>
      </c>
      <c r="B115" s="18">
        <v>69</v>
      </c>
      <c r="C115" s="6">
        <f>'[1]Conversion factors selected IV '!$G$129</f>
        <v>8.7338247338247313E-2</v>
      </c>
      <c r="D115" s="6">
        <f t="shared" si="91"/>
        <v>790.03188297074291</v>
      </c>
      <c r="E115" s="98">
        <f>'[1]Availabilities EU Austria'!$N$124/'[1]Availabilities EU Austria'!$N$119</f>
        <v>9.7686218553991021E-3</v>
      </c>
      <c r="F115" s="59">
        <f>'[1]Availabilities EU Austria'!$AB133/'[1]Availabilities EU Austria'!$AB$128</f>
        <v>8.5465459324464386E-3</v>
      </c>
      <c r="G115" s="6">
        <f t="shared" si="68"/>
        <v>6.7520437759066034</v>
      </c>
      <c r="H115" s="123" t="e">
        <f>'[1]Availabilities EU Austria'!#REF!/'[1]Availabilities EU Austria'!#REF!</f>
        <v>#REF!</v>
      </c>
      <c r="I115" s="109">
        <f>'[1]Availabilities EU Austria'!$AC133/'[1]Availabilities EU Austria'!$AC$128</f>
        <v>1.5696302132332411E-2</v>
      </c>
      <c r="J115" s="6">
        <f t="shared" si="92"/>
        <v>12.400579129284262</v>
      </c>
      <c r="K115" s="6">
        <f t="shared" si="93"/>
        <v>1.954890206948743E-2</v>
      </c>
      <c r="L115" s="6">
        <f t="shared" si="94"/>
        <v>15.444255911967806</v>
      </c>
      <c r="M115" s="6">
        <f t="shared" si="44"/>
        <v>2.3123780169430414E-2</v>
      </c>
      <c r="N115" s="6">
        <f t="shared" si="95"/>
        <v>18.268523588656635</v>
      </c>
      <c r="O115" s="3">
        <f>'[1]Availabilities EU Austria'!$AD$124/'[1]Availabilities EU Austria'!$AD$119</f>
        <v>3.0551258206528417E-2</v>
      </c>
      <c r="P115" s="6">
        <f t="shared" si="96"/>
        <v>24.136468048029009</v>
      </c>
    </row>
    <row r="116" spans="1:16" x14ac:dyDescent="0.35">
      <c r="A116" s="5" t="s">
        <v>9</v>
      </c>
      <c r="B116" s="18">
        <v>67</v>
      </c>
      <c r="C116" s="6">
        <f>'[1]Conversion factors selected IV '!$G$130</f>
        <v>9.6478296478296463E-2</v>
      </c>
      <c r="D116" s="6">
        <f t="shared" si="91"/>
        <v>694.4567062818337</v>
      </c>
      <c r="E116" s="126">
        <f>'[1]Availabilities EU Austria'!$N$125/'[1]Availabilities EU Austria'!$N$119</f>
        <v>0.15671109791163104</v>
      </c>
      <c r="F116" s="59">
        <f>'[1]Availabilities EU Austria'!$AB134/'[1]Availabilities EU Austria'!$AB$128</f>
        <v>0.19194867635907739</v>
      </c>
      <c r="G116" s="6">
        <f t="shared" si="68"/>
        <v>133.30004555948256</v>
      </c>
      <c r="H116" s="123" t="e">
        <f>'[1]Availabilities EU Austria'!#REF!/'[1]Availabilities EU Austria'!#REF!</f>
        <v>#REF!</v>
      </c>
      <c r="I116" s="109">
        <f>'[1]Availabilities EU Austria'!$AC134/'[1]Availabilities EU Austria'!$AC$128</f>
        <v>0.13392604980463399</v>
      </c>
      <c r="J116" s="6">
        <f t="shared" si="92"/>
        <v>93.005843432662942</v>
      </c>
      <c r="K116" s="6">
        <f t="shared" si="93"/>
        <v>0.15381233420693388</v>
      </c>
      <c r="L116" s="6">
        <f t="shared" si="94"/>
        <v>106.81600699886792</v>
      </c>
      <c r="M116" s="6">
        <f t="shared" si="44"/>
        <v>0.12480102092971218</v>
      </c>
      <c r="N116" s="6">
        <f t="shared" si="95"/>
        <v>86.668905935458113</v>
      </c>
      <c r="O116" s="3">
        <f>'[1]Availabilities EU Austria'!$AD$125/'[1]Availabilities EU Austria'!$AD$119</f>
        <v>0.11567599205479036</v>
      </c>
      <c r="P116" s="6">
        <f t="shared" si="96"/>
        <v>80.33196843825327</v>
      </c>
    </row>
    <row r="117" spans="1:16" x14ac:dyDescent="0.35">
      <c r="A117" s="5" t="s">
        <v>10</v>
      </c>
      <c r="B117" s="18">
        <v>65</v>
      </c>
      <c r="C117" s="6">
        <f>'[1]Conversion factors selected IV '!$G$131</f>
        <v>9.6478296478296463E-2</v>
      </c>
      <c r="D117" s="6">
        <f>B117/C117</f>
        <v>673.72665534804764</v>
      </c>
      <c r="E117" s="126">
        <f>'[1]Availabilities EU Austria'!$N$126/'[1]Availabilities EU Austria'!$N$119</f>
        <v>0.16452273311409904</v>
      </c>
      <c r="F117" s="59">
        <f>'[1]Availabilities EU Austria'!$AB135/'[1]Availabilities EU Austria'!$AB$128</f>
        <v>0.16793067664570088</v>
      </c>
      <c r="G117" s="6">
        <f t="shared" si="68"/>
        <v>113.13937310684256</v>
      </c>
      <c r="H117" s="123" t="e">
        <f>'[1]Availabilities EU Austria'!#REF!/'[1]Availabilities EU Austria'!#REF!</f>
        <v>#REF!</v>
      </c>
      <c r="I117" s="109">
        <f>'[1]Availabilities EU Austria'!$AC135/'[1]Availabilities EU Austria'!$AC$128</f>
        <v>0.16416304614213509</v>
      </c>
      <c r="J117" s="6">
        <f t="shared" si="92"/>
        <v>110.60102000908789</v>
      </c>
      <c r="K117" s="6">
        <f t="shared" si="93"/>
        <v>0.15804768347751358</v>
      </c>
      <c r="L117" s="6">
        <f t="shared" si="94"/>
        <v>106.48093717481211</v>
      </c>
      <c r="M117" s="6">
        <f t="shared" si="44"/>
        <v>0.1561638682257307</v>
      </c>
      <c r="N117" s="6">
        <f t="shared" si="95"/>
        <v>105.21176062593479</v>
      </c>
      <c r="O117" s="3">
        <f>'[1]Availabilities EU Austria'!$AD$126/'[1]Availabilities EU Austria'!$AD$119</f>
        <v>0.14816469030932627</v>
      </c>
      <c r="P117" s="6">
        <f t="shared" si="96"/>
        <v>99.822501242781684</v>
      </c>
    </row>
    <row r="118" spans="1:16" x14ac:dyDescent="0.35">
      <c r="A118" s="5" t="s">
        <v>11</v>
      </c>
      <c r="B118" s="18">
        <v>25</v>
      </c>
      <c r="C118" s="6">
        <f>'[1]Conversion factors selected IV '!$G$132</f>
        <v>9.6478296478296463E-2</v>
      </c>
      <c r="D118" s="6">
        <f t="shared" si="91"/>
        <v>259.12563667232604</v>
      </c>
      <c r="E118" s="125">
        <f>'[1]Availabilities EU Austria'!$N$127/'[1]Availabilities EU Austria'!$N$119</f>
        <v>4.9282640246679235E-2</v>
      </c>
      <c r="F118" s="59">
        <f>'[1]Availabilities EU Austria'!$AB136/'[1]Availabilities EU Austria'!$AB$128</f>
        <v>6.0364184087109099E-2</v>
      </c>
      <c r="G118" s="6">
        <f t="shared" si="68"/>
        <v>15.641907633777638</v>
      </c>
      <c r="H118" s="123" t="e">
        <f>'[1]Availabilities EU Austria'!#REF!/'[1]Availabilities EU Austria'!#REF!</f>
        <v>#REF!</v>
      </c>
      <c r="I118" s="109">
        <f>'[1]Availabilities EU Austria'!$AC136/'[1]Availabilities EU Austria'!$AC$128</f>
        <v>5.6156238412695562E-2</v>
      </c>
      <c r="J118" s="6">
        <f t="shared" si="92"/>
        <v>14.551521031812669</v>
      </c>
      <c r="K118" s="6">
        <f t="shared" si="93"/>
        <v>5.9047430531406292E-2</v>
      </c>
      <c r="L118" s="6">
        <f t="shared" si="94"/>
        <v>15.300703030315599</v>
      </c>
      <c r="M118" s="6">
        <f t="shared" si="44"/>
        <v>5.694345769419952E-2</v>
      </c>
      <c r="N118" s="6">
        <f t="shared" si="95"/>
        <v>14.755509729333113</v>
      </c>
      <c r="O118" s="3">
        <f>'[1]Availabilities EU Austria'!$AD$127/'[1]Availabilities EU Austria'!$AD$119</f>
        <v>5.7730676975703485E-2</v>
      </c>
      <c r="P118" s="6">
        <f t="shared" si="96"/>
        <v>14.959498426853559</v>
      </c>
    </row>
    <row r="119" spans="1:16" s="85" customFormat="1" x14ac:dyDescent="0.35">
      <c r="A119" s="85" t="s">
        <v>418</v>
      </c>
    </row>
    <row r="120" spans="1:16" x14ac:dyDescent="0.35">
      <c r="B120" s="18" t="s">
        <v>265</v>
      </c>
    </row>
  </sheetData>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C35A-DC34-4048-A78B-25866E3CBA11}">
  <sheetPr>
    <tabColor theme="4" tint="0.39997558519241921"/>
  </sheetPr>
  <dimension ref="A1:S260"/>
  <sheetViews>
    <sheetView zoomScale="80" zoomScaleNormal="80" workbookViewId="0">
      <selection activeCell="I23" sqref="I23"/>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20.6328125" customWidth="1"/>
    <col min="13" max="13" width="15.7265625" bestFit="1" customWidth="1"/>
    <col min="15" max="15" width="18.1796875" customWidth="1"/>
    <col min="17" max="17" width="14.36328125" bestFit="1" customWidth="1"/>
    <col min="18" max="18" width="16.81640625" customWidth="1"/>
    <col min="19" max="19" width="19.26953125" customWidth="1"/>
  </cols>
  <sheetData>
    <row r="1" spans="1:19" s="46" customFormat="1" ht="24" customHeight="1" x14ac:dyDescent="0.35">
      <c r="A1" s="46" t="s">
        <v>333</v>
      </c>
      <c r="F1" s="224"/>
    </row>
    <row r="2" spans="1:19" s="46" customFormat="1" ht="24" customHeight="1" x14ac:dyDescent="0.35">
      <c r="A2" s="46" t="s">
        <v>286</v>
      </c>
      <c r="F2" s="224"/>
    </row>
    <row r="3" spans="1:19" s="46" customFormat="1" ht="24" customHeight="1" x14ac:dyDescent="0.35">
      <c r="A3" s="46" t="s">
        <v>334</v>
      </c>
      <c r="E3" s="46" t="s">
        <v>338</v>
      </c>
      <c r="F3" s="224"/>
    </row>
    <row r="4" spans="1:19" ht="19" customHeight="1" x14ac:dyDescent="0.35">
      <c r="A4" s="46" t="s">
        <v>339</v>
      </c>
      <c r="B4" s="46"/>
      <c r="C4" s="326">
        <f>C6+C182+C200</f>
        <v>37529378856.986465</v>
      </c>
    </row>
    <row r="5" spans="1:19" s="47" customFormat="1" ht="37" customHeight="1" x14ac:dyDescent="0.35">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90" customFormat="1" ht="37" customHeight="1" x14ac:dyDescent="0.35">
      <c r="A6" s="229" t="s">
        <v>322</v>
      </c>
      <c r="B6" s="229"/>
      <c r="C6" s="274">
        <f>C8+C42+C84+C118+C151</f>
        <v>13006840281.2251</v>
      </c>
      <c r="D6" s="274">
        <f>D8+D42+D84+D118+D151</f>
        <v>7.9271292056767377</v>
      </c>
      <c r="F6" s="228">
        <f>F8+F42+F84+F118+F151</f>
        <v>8514455.0961484164</v>
      </c>
      <c r="I6" s="229"/>
      <c r="M6" s="229"/>
      <c r="P6" s="229"/>
    </row>
    <row r="7" spans="1:19" s="91" customFormat="1" ht="40" customHeight="1" x14ac:dyDescent="0.35">
      <c r="A7" s="91" t="s">
        <v>77</v>
      </c>
      <c r="F7" s="169"/>
    </row>
    <row r="8" spans="1:19" s="200" customFormat="1" x14ac:dyDescent="0.35">
      <c r="A8" s="200" t="s">
        <v>156</v>
      </c>
      <c r="C8" s="207">
        <f>C9+C23+C16</f>
        <v>4083938421.662046</v>
      </c>
      <c r="D8" s="204">
        <f>D9+D23+D41+D16</f>
        <v>2.4737706260492134</v>
      </c>
      <c r="F8" s="207">
        <f>F9+F23+F16</f>
        <v>2675247.4157980578</v>
      </c>
      <c r="L8" s="207">
        <f>L9+L16+L23</f>
        <v>2716199534.4825854</v>
      </c>
      <c r="M8" s="207"/>
      <c r="N8" s="207"/>
      <c r="O8" s="207">
        <f>O9+O16+O23</f>
        <v>345404720.68851858</v>
      </c>
      <c r="P8" s="218"/>
      <c r="Q8" s="207"/>
      <c r="R8" s="207">
        <f>R9+R16+R23</f>
        <v>559798740.82159925</v>
      </c>
    </row>
    <row r="9" spans="1:19" s="202" customFormat="1" ht="16" customHeight="1" x14ac:dyDescent="0.35">
      <c r="A9" s="202" t="s">
        <v>153</v>
      </c>
      <c r="B9" s="250">
        <v>1450</v>
      </c>
      <c r="C9" s="202">
        <f>B9*F9</f>
        <v>2889098687.2586827</v>
      </c>
      <c r="D9" s="202">
        <f>'[2]GAP analysis Sc. 1'!$C$74</f>
        <v>1.7608156246161375</v>
      </c>
      <c r="E9" s="202">
        <f>'[1]Conversion factors selected IV '!$O$4</f>
        <v>1.1315675675675676</v>
      </c>
      <c r="F9" s="202">
        <f>D9*E9*1000000</f>
        <v>1992481.85328185</v>
      </c>
      <c r="G9" s="202">
        <f>'LCoP 2030 MEDIUM'!E2</f>
        <v>1283.25</v>
      </c>
      <c r="H9" s="202">
        <f>G9*F9</f>
        <v>2556852338.2239342</v>
      </c>
      <c r="I9" s="209">
        <f>'LCoP 2030 MEDIUM'!H2</f>
        <v>0.77927138125852324</v>
      </c>
      <c r="L9" s="202">
        <f>I9*H9</f>
        <v>1992481853.2818501</v>
      </c>
      <c r="M9" s="202">
        <f>'LCoP 2030 MEDIUM'!F2</f>
        <v>6.4679524644457434E-2</v>
      </c>
      <c r="O9" s="202">
        <f>M9*H9</f>
        <v>165375993.82239357</v>
      </c>
      <c r="P9" s="219">
        <f>'LCoP 2030 MEDIUM'!G2</f>
        <v>0.15604909409701928</v>
      </c>
      <c r="R9" s="202">
        <f>P9*H9</f>
        <v>398994491.11969048</v>
      </c>
      <c r="S9" s="202">
        <f>L9+O9+R9</f>
        <v>2556852338.2239342</v>
      </c>
    </row>
    <row r="10" spans="1:19" x14ac:dyDescent="0.35">
      <c r="C10">
        <f>C9/$C$8</f>
        <v>0.70742954201618502</v>
      </c>
      <c r="D10" s="31"/>
      <c r="E10" s="31"/>
      <c r="F10" s="31"/>
      <c r="G10" s="2"/>
      <c r="H10" s="205" t="s">
        <v>252</v>
      </c>
      <c r="I10" s="102" t="s">
        <v>265</v>
      </c>
      <c r="J10" s="150" t="s">
        <v>178</v>
      </c>
      <c r="K10" s="102">
        <f>'Feedstock MIX per IVC'!G4</f>
        <v>1000</v>
      </c>
      <c r="L10" s="102">
        <f>K10*F9</f>
        <v>1992481853.2818501</v>
      </c>
      <c r="M10" s="5" t="s">
        <v>211</v>
      </c>
      <c r="N10" s="118">
        <v>0.05</v>
      </c>
      <c r="O10" s="117">
        <f t="shared" ref="O10:O15" si="0">N10*O$9</f>
        <v>8268799.6911196783</v>
      </c>
      <c r="P10" s="18" t="s">
        <v>217</v>
      </c>
      <c r="Q10" s="118">
        <v>0.35</v>
      </c>
      <c r="R10" s="102">
        <f>Q10*R$9</f>
        <v>139648071.89189166</v>
      </c>
      <c r="S10" s="18"/>
    </row>
    <row r="11" spans="1:19" x14ac:dyDescent="0.35">
      <c r="D11" s="31"/>
      <c r="E11" s="31"/>
      <c r="F11" s="31"/>
      <c r="G11" s="2"/>
      <c r="H11" s="24"/>
      <c r="I11" s="102"/>
      <c r="J11" s="107"/>
      <c r="K11" s="102"/>
      <c r="L11" s="102"/>
      <c r="M11" t="s">
        <v>212</v>
      </c>
      <c r="N11" s="118">
        <v>0.02</v>
      </c>
      <c r="O11" s="117">
        <f t="shared" si="0"/>
        <v>3307519.8764478713</v>
      </c>
      <c r="P11" s="18" t="s">
        <v>177</v>
      </c>
      <c r="Q11" s="118">
        <v>0.25</v>
      </c>
      <c r="R11" s="102">
        <f>Q11*R$9</f>
        <v>99748622.779922619</v>
      </c>
      <c r="S11" s="18"/>
    </row>
    <row r="12" spans="1:19" x14ac:dyDescent="0.35">
      <c r="D12" s="31"/>
      <c r="E12" s="31"/>
      <c r="F12" s="31"/>
      <c r="G12" s="2"/>
      <c r="H12" s="24"/>
      <c r="I12" s="102"/>
      <c r="J12" s="107"/>
      <c r="K12" s="102"/>
      <c r="L12" s="102"/>
      <c r="M12" s="5" t="s">
        <v>210</v>
      </c>
      <c r="N12" s="118">
        <v>0.45</v>
      </c>
      <c r="O12" s="117">
        <f t="shared" si="0"/>
        <v>74419197.220077112</v>
      </c>
      <c r="P12" s="18" t="s">
        <v>218</v>
      </c>
      <c r="Q12" s="118">
        <v>0.2</v>
      </c>
      <c r="R12" s="102">
        <f>Q12*R$9</f>
        <v>79798898.223938093</v>
      </c>
      <c r="S12" s="18"/>
    </row>
    <row r="13" spans="1:19" x14ac:dyDescent="0.35">
      <c r="D13" s="31"/>
      <c r="E13" s="31"/>
      <c r="F13" s="31"/>
      <c r="G13" s="2"/>
      <c r="H13" s="24"/>
      <c r="I13" s="102"/>
      <c r="J13" s="107"/>
      <c r="K13" s="102"/>
      <c r="L13" s="102"/>
      <c r="M13" t="s">
        <v>213</v>
      </c>
      <c r="N13" s="118">
        <v>0.15</v>
      </c>
      <c r="O13" s="117">
        <f t="shared" si="0"/>
        <v>24806399.073359035</v>
      </c>
      <c r="P13" s="18" t="s">
        <v>219</v>
      </c>
      <c r="Q13" s="118">
        <v>0.15</v>
      </c>
      <c r="R13" s="102">
        <f>Q13*R$9</f>
        <v>59849173.667953573</v>
      </c>
      <c r="S13" s="102"/>
    </row>
    <row r="14" spans="1:19" x14ac:dyDescent="0.35">
      <c r="D14" s="31"/>
      <c r="E14" s="31"/>
      <c r="F14" s="31"/>
      <c r="G14" s="2"/>
      <c r="H14" s="24"/>
      <c r="I14" s="102"/>
      <c r="J14" s="107"/>
      <c r="K14" s="102"/>
      <c r="L14" s="102"/>
      <c r="M14" t="s">
        <v>214</v>
      </c>
      <c r="N14" s="118">
        <v>0.3</v>
      </c>
      <c r="O14" s="117">
        <f t="shared" si="0"/>
        <v>49612798.14671807</v>
      </c>
      <c r="P14" s="18" t="s">
        <v>220</v>
      </c>
      <c r="Q14" s="118">
        <v>0.05</v>
      </c>
      <c r="R14" s="102">
        <f>Q14*R$9</f>
        <v>19949724.555984523</v>
      </c>
      <c r="S14" s="18"/>
    </row>
    <row r="15" spans="1:19" x14ac:dyDescent="0.35">
      <c r="D15" s="31"/>
      <c r="E15" s="31"/>
      <c r="F15" s="31"/>
      <c r="G15" s="2"/>
      <c r="H15" s="24"/>
      <c r="I15" s="102"/>
      <c r="J15" s="107"/>
      <c r="K15" s="102"/>
      <c r="L15" s="102"/>
      <c r="M15" t="s">
        <v>216</v>
      </c>
      <c r="N15" s="118">
        <v>0.03</v>
      </c>
      <c r="O15" s="117">
        <f t="shared" si="0"/>
        <v>4961279.814671807</v>
      </c>
      <c r="P15" s="18"/>
      <c r="Q15" s="102"/>
      <c r="R15" s="102"/>
      <c r="S15" s="18"/>
    </row>
    <row r="16" spans="1:19" s="201" customFormat="1" x14ac:dyDescent="0.35">
      <c r="A16" s="201" t="s">
        <v>294</v>
      </c>
      <c r="B16" s="201">
        <v>1750</v>
      </c>
      <c r="C16" s="202">
        <f>B16*F16</f>
        <v>1037500000.0000006</v>
      </c>
      <c r="D16" s="203">
        <f>'[2]GAP analysis Sc. 1'!$C$75</f>
        <v>0.62304658177401118</v>
      </c>
      <c r="E16" s="208">
        <f>'[1]Conversion factors selected IV '!$O$7</f>
        <v>0.95154545454545458</v>
      </c>
      <c r="F16" s="202">
        <f>D16*E16*1000000</f>
        <v>592857.14285714319</v>
      </c>
      <c r="G16" s="208">
        <f>'LCoP 2030 MEDIUM'!E23</f>
        <v>1572.75</v>
      </c>
      <c r="H16" s="202">
        <f>G16*F16</f>
        <v>932416071.42857194</v>
      </c>
      <c r="I16" s="206">
        <f>'LCoP 2030 MEDIUM'!H3</f>
        <v>0.7541744714780324</v>
      </c>
      <c r="L16" s="202">
        <f>I16*H16</f>
        <v>703204397.86726654</v>
      </c>
      <c r="M16" s="206">
        <f>'LCoP 2030 MEDIUM'!F3</f>
        <v>0.1154553769924212</v>
      </c>
      <c r="O16" s="202">
        <f>M16*H16</f>
        <v>107652449.04057811</v>
      </c>
      <c r="P16" s="219">
        <f>'LCoP 2030 MEDIUM'!G3</f>
        <v>0.13037015152954626</v>
      </c>
      <c r="R16" s="202">
        <f>P16*H16</f>
        <v>121559224.52072716</v>
      </c>
      <c r="S16" s="202">
        <f>L16+O16+R16</f>
        <v>932416071.42857182</v>
      </c>
    </row>
    <row r="17" spans="1:19" x14ac:dyDescent="0.35">
      <c r="C17">
        <f>C16/$C$8</f>
        <v>0.25404398717103277</v>
      </c>
      <c r="F17" s="31"/>
      <c r="G17" s="147"/>
      <c r="H17" s="205" t="s">
        <v>252</v>
      </c>
      <c r="I17" s="102" t="s">
        <v>265</v>
      </c>
      <c r="J17" s="150" t="s">
        <v>178</v>
      </c>
      <c r="K17" s="102">
        <f>'Feedstock MIX per IVC'!G11</f>
        <v>1162.9749017088511</v>
      </c>
      <c r="L17" s="2">
        <f>K17*$F$16</f>
        <v>689477977.44167638</v>
      </c>
      <c r="M17" s="5" t="s">
        <v>211</v>
      </c>
      <c r="N17" s="118">
        <v>0.05</v>
      </c>
      <c r="O17" s="2">
        <f t="shared" ref="O17:O22" si="1">N17*O$16</f>
        <v>5382622.452028906</v>
      </c>
      <c r="P17" s="18" t="s">
        <v>217</v>
      </c>
      <c r="Q17" s="118">
        <v>0.35</v>
      </c>
      <c r="R17" s="102">
        <f>Q17*R$16</f>
        <v>42545728.582254499</v>
      </c>
    </row>
    <row r="18" spans="1:19" x14ac:dyDescent="0.35">
      <c r="F18" s="31"/>
      <c r="G18" s="151"/>
      <c r="H18" s="262"/>
      <c r="I18" s="216"/>
      <c r="J18" s="151"/>
      <c r="K18" s="6"/>
      <c r="L18" s="2">
        <f>K18*$F$16</f>
        <v>0</v>
      </c>
      <c r="M18" t="s">
        <v>212</v>
      </c>
      <c r="N18" s="118">
        <v>0.02</v>
      </c>
      <c r="O18" s="2">
        <f t="shared" si="1"/>
        <v>2153048.9808115624</v>
      </c>
      <c r="P18" s="18" t="s">
        <v>177</v>
      </c>
      <c r="Q18" s="118">
        <v>0.25</v>
      </c>
      <c r="R18" s="102">
        <f>Q18*R$16</f>
        <v>30389806.130181789</v>
      </c>
    </row>
    <row r="19" spans="1:19" x14ac:dyDescent="0.35">
      <c r="F19" s="31"/>
      <c r="G19" s="240"/>
      <c r="H19" s="262"/>
      <c r="I19" s="217"/>
      <c r="J19" s="240"/>
      <c r="L19" s="2">
        <f>K19*$F$16</f>
        <v>0</v>
      </c>
      <c r="M19" s="5" t="s">
        <v>210</v>
      </c>
      <c r="N19" s="118">
        <v>0.45</v>
      </c>
      <c r="O19" s="2">
        <f t="shared" si="1"/>
        <v>48443602.068260148</v>
      </c>
      <c r="P19" s="18" t="s">
        <v>218</v>
      </c>
      <c r="Q19" s="118">
        <v>0.2</v>
      </c>
      <c r="R19" s="102">
        <f>Q19*R$16</f>
        <v>24311844.904145434</v>
      </c>
      <c r="S19" s="2"/>
    </row>
    <row r="20" spans="1:19" x14ac:dyDescent="0.35">
      <c r="F20" s="31"/>
      <c r="G20" s="286"/>
      <c r="H20" s="262"/>
      <c r="L20" s="2">
        <f>SUM(L17:L19)</f>
        <v>689477977.44167638</v>
      </c>
      <c r="M20" t="s">
        <v>213</v>
      </c>
      <c r="N20" s="118">
        <v>0.15</v>
      </c>
      <c r="O20" s="2">
        <f t="shared" si="1"/>
        <v>16147867.356086716</v>
      </c>
      <c r="P20" s="18" t="s">
        <v>219</v>
      </c>
      <c r="Q20" s="118">
        <v>0.15</v>
      </c>
      <c r="R20" s="102">
        <f>Q20*R$16</f>
        <v>18233883.678109072</v>
      </c>
    </row>
    <row r="21" spans="1:19" x14ac:dyDescent="0.35">
      <c r="F21" s="31"/>
      <c r="M21" t="s">
        <v>214</v>
      </c>
      <c r="N21" s="118">
        <v>0.3</v>
      </c>
      <c r="O21" s="2">
        <f t="shared" si="1"/>
        <v>32295734.712173432</v>
      </c>
      <c r="P21" s="18" t="s">
        <v>220</v>
      </c>
      <c r="Q21" s="118">
        <v>0.05</v>
      </c>
      <c r="R21" s="102">
        <f>Q21*R$16</f>
        <v>6077961.2260363586</v>
      </c>
    </row>
    <row r="22" spans="1:19" x14ac:dyDescent="0.35">
      <c r="F22" s="31"/>
      <c r="M22" t="s">
        <v>216</v>
      </c>
      <c r="N22" s="118">
        <v>0.03</v>
      </c>
      <c r="O22" s="2">
        <f t="shared" si="1"/>
        <v>3229573.4712173431</v>
      </c>
      <c r="P22" s="18"/>
      <c r="Q22" s="118"/>
      <c r="R22" s="102"/>
    </row>
    <row r="23" spans="1:19" s="201" customFormat="1" x14ac:dyDescent="0.35">
      <c r="A23" s="201" t="s">
        <v>295</v>
      </c>
      <c r="B23" s="201">
        <v>1750</v>
      </c>
      <c r="C23" s="202">
        <f>B23*F23</f>
        <v>157339734.40336281</v>
      </c>
      <c r="D23" s="203">
        <f>'[2]GAP analysis Sc. 1'!$C$76</f>
        <v>8.9908419659064473E-2</v>
      </c>
      <c r="E23" s="201">
        <f>'[1]Conversion factors selected IV '!$O$89</f>
        <v>1</v>
      </c>
      <c r="F23" s="202">
        <f>D23*E23*1000000</f>
        <v>89908.419659064471</v>
      </c>
      <c r="G23" s="208">
        <f>'LCoP 2030 MEDIUM'!E19</f>
        <v>1469.6575342026485</v>
      </c>
      <c r="H23" s="203">
        <f>G23*F23</f>
        <v>132134586.34019762</v>
      </c>
      <c r="I23" s="206">
        <f>'LCoP 2030 MEDIUM'!H19</f>
        <v>0.15524537444462094</v>
      </c>
      <c r="L23" s="202">
        <f>I23*H23</f>
        <v>20513283.333469074</v>
      </c>
      <c r="M23" s="206">
        <f>'LCoP 2030 MEDIUM'!F19</f>
        <v>0.5477466561192752</v>
      </c>
      <c r="O23" s="202">
        <f>M23*H23</f>
        <v>72376277.825546905</v>
      </c>
      <c r="P23" s="219">
        <f>'LCoP 2030 MEDIUM'!G19</f>
        <v>0.29700796943610386</v>
      </c>
      <c r="R23" s="202">
        <f>P23*H23</f>
        <v>39245025.181181639</v>
      </c>
      <c r="S23" s="202">
        <f>L23+O23+R23</f>
        <v>132134586.34019762</v>
      </c>
    </row>
    <row r="24" spans="1:19" x14ac:dyDescent="0.35">
      <c r="C24">
        <f>C23/$C$8</f>
        <v>3.8526470812782244E-2</v>
      </c>
      <c r="D24" s="2"/>
      <c r="F24" s="147" t="s">
        <v>179</v>
      </c>
      <c r="G24" s="6">
        <f>SUMIF($J$24:$J$31,F24,$L$24:$L$31)/$L$23</f>
        <v>0.57076546090627278</v>
      </c>
      <c r="H24" s="192" t="s">
        <v>254</v>
      </c>
      <c r="I24" s="12" t="s">
        <v>4</v>
      </c>
      <c r="J24" s="147" t="s">
        <v>179</v>
      </c>
      <c r="K24" s="6">
        <f>'Feedstock MIX per IVC'!G84</f>
        <v>117.13777724189546</v>
      </c>
      <c r="L24" s="2">
        <f t="shared" ref="L24:L31" si="2">K24*F$23</f>
        <v>10531672.434194349</v>
      </c>
      <c r="M24" s="5" t="s">
        <v>211</v>
      </c>
      <c r="N24" s="167">
        <v>0.15</v>
      </c>
      <c r="O24" s="2">
        <f t="shared" ref="O24:O29" si="3">N24*O$23</f>
        <v>10856441.673832035</v>
      </c>
      <c r="P24" s="18" t="s">
        <v>217</v>
      </c>
      <c r="Q24" s="118">
        <v>0.15</v>
      </c>
      <c r="R24" s="2">
        <f>Q24*R$23</f>
        <v>5886753.7771772454</v>
      </c>
    </row>
    <row r="25" spans="1:19" x14ac:dyDescent="0.35">
      <c r="D25" s="2"/>
      <c r="F25" s="171" t="s">
        <v>222</v>
      </c>
      <c r="G25" s="6">
        <f t="shared" ref="G25:G28" si="4">SUMIF($J$24:$J$31,F25,$L$24:$L$31)/$L$23</f>
        <v>0.21178827257932317</v>
      </c>
      <c r="H25" s="192" t="s">
        <v>254</v>
      </c>
      <c r="I25" s="12" t="s">
        <v>5</v>
      </c>
      <c r="J25" s="147" t="s">
        <v>179</v>
      </c>
      <c r="K25" s="6">
        <f>'Feedstock MIX per IVC'!G85</f>
        <v>6.0040707909944153</v>
      </c>
      <c r="L25" s="2">
        <f t="shared" si="2"/>
        <v>539816.51633945701</v>
      </c>
      <c r="M25" t="s">
        <v>212</v>
      </c>
      <c r="N25" s="34">
        <v>0.02</v>
      </c>
      <c r="O25" s="2">
        <f t="shared" si="3"/>
        <v>1447525.5565109381</v>
      </c>
      <c r="P25" s="18" t="s">
        <v>177</v>
      </c>
      <c r="Q25" s="118">
        <v>0.25</v>
      </c>
      <c r="R25" s="2">
        <f>Q25*R$23</f>
        <v>9811256.2952954099</v>
      </c>
    </row>
    <row r="26" spans="1:19" x14ac:dyDescent="0.35">
      <c r="D26" s="2"/>
      <c r="F26" s="149" t="s">
        <v>176</v>
      </c>
      <c r="G26" s="6">
        <f t="shared" si="4"/>
        <v>0.17975682071551369</v>
      </c>
      <c r="H26" s="192" t="s">
        <v>254</v>
      </c>
      <c r="I26" s="12" t="s">
        <v>6</v>
      </c>
      <c r="J26" s="150" t="s">
        <v>178</v>
      </c>
      <c r="K26" s="6">
        <f>'Feedstock MIX per IVC'!G86</f>
        <v>2.9289602093879772</v>
      </c>
      <c r="L26" s="2">
        <f t="shared" si="2"/>
        <v>263338.18367035559</v>
      </c>
      <c r="M26" s="5" t="s">
        <v>210</v>
      </c>
      <c r="N26" s="167">
        <v>0.45</v>
      </c>
      <c r="O26" s="2">
        <f t="shared" si="3"/>
        <v>32569325.02149611</v>
      </c>
      <c r="P26" s="18" t="s">
        <v>218</v>
      </c>
      <c r="Q26" s="118">
        <v>0.2</v>
      </c>
      <c r="R26" s="2">
        <f>Q26*R$23</f>
        <v>7849005.0362363281</v>
      </c>
    </row>
    <row r="27" spans="1:19" x14ac:dyDescent="0.35">
      <c r="D27" s="2"/>
      <c r="F27" s="150" t="s">
        <v>178</v>
      </c>
      <c r="G27" s="6">
        <f t="shared" si="4"/>
        <v>1.2837446808951257E-2</v>
      </c>
      <c r="H27" s="192" t="s">
        <v>254</v>
      </c>
      <c r="I27" s="12" t="s">
        <v>7</v>
      </c>
      <c r="J27" s="147" t="s">
        <v>179</v>
      </c>
      <c r="K27" s="6">
        <f>'Feedstock MIX per IVC'!G87</f>
        <v>4.8668637567806563</v>
      </c>
      <c r="L27" s="2">
        <f t="shared" si="2"/>
        <v>437572.02906812634</v>
      </c>
      <c r="M27" t="s">
        <v>213</v>
      </c>
      <c r="N27" s="34">
        <v>0.1</v>
      </c>
      <c r="O27" s="2">
        <f t="shared" si="3"/>
        <v>7237627.7825546907</v>
      </c>
      <c r="P27" s="18" t="s">
        <v>219</v>
      </c>
      <c r="Q27" s="118">
        <v>0.3</v>
      </c>
      <c r="R27" s="2">
        <f>Q27*R$23</f>
        <v>11773507.554354491</v>
      </c>
      <c r="S27" s="2"/>
    </row>
    <row r="28" spans="1:19" x14ac:dyDescent="0.35">
      <c r="D28" s="2"/>
      <c r="F28" s="152" t="s">
        <v>180</v>
      </c>
      <c r="G28" s="6">
        <f t="shared" si="4"/>
        <v>2.4851998989939075E-2</v>
      </c>
      <c r="H28" s="192" t="s">
        <v>254</v>
      </c>
      <c r="I28" s="12" t="s">
        <v>8</v>
      </c>
      <c r="J28" s="147" t="s">
        <v>179</v>
      </c>
      <c r="K28" s="6">
        <f>'Feedstock MIX per IVC'!G88</f>
        <v>2.2157283787428326</v>
      </c>
      <c r="L28" s="2">
        <f t="shared" si="2"/>
        <v>199212.63692650915</v>
      </c>
      <c r="M28" t="s">
        <v>214</v>
      </c>
      <c r="N28" s="34">
        <v>0.25</v>
      </c>
      <c r="O28" s="2">
        <f t="shared" si="3"/>
        <v>18094069.456386726</v>
      </c>
      <c r="P28" s="18" t="s">
        <v>220</v>
      </c>
      <c r="Q28" s="118">
        <v>0.1</v>
      </c>
      <c r="R28" s="2">
        <f>Q28*R$23</f>
        <v>3924502.518118164</v>
      </c>
    </row>
    <row r="29" spans="1:19" x14ac:dyDescent="0.35">
      <c r="D29" s="2"/>
      <c r="F29" s="31"/>
      <c r="G29" s="6">
        <f>SUM(G24:G28)</f>
        <v>1</v>
      </c>
      <c r="H29" s="192" t="s">
        <v>254</v>
      </c>
      <c r="I29" s="12" t="s">
        <v>9</v>
      </c>
      <c r="J29" s="171" t="s">
        <v>222</v>
      </c>
      <c r="K29" s="6">
        <f>'Feedstock MIX per IVC'!G89</f>
        <v>48.321090044736764</v>
      </c>
      <c r="L29" s="2">
        <f t="shared" si="2"/>
        <v>4344472.8421256356</v>
      </c>
      <c r="M29" t="s">
        <v>216</v>
      </c>
      <c r="N29" s="34">
        <v>0.03</v>
      </c>
      <c r="O29" s="2">
        <f t="shared" si="3"/>
        <v>2171288.334766407</v>
      </c>
      <c r="P29" s="18"/>
      <c r="Q29" s="118">
        <f>SUM(Q24:Q28)</f>
        <v>1.0000000000000002</v>
      </c>
      <c r="R29" s="2"/>
    </row>
    <row r="30" spans="1:19" x14ac:dyDescent="0.35">
      <c r="D30" s="2"/>
      <c r="F30" s="31"/>
      <c r="G30" s="6"/>
      <c r="H30" s="192" t="s">
        <v>254</v>
      </c>
      <c r="I30" s="12" t="s">
        <v>10</v>
      </c>
      <c r="J30" s="149" t="s">
        <v>176</v>
      </c>
      <c r="K30" s="6">
        <f>'Feedstock MIX per IVC'!G90</f>
        <v>41.012872970559165</v>
      </c>
      <c r="L30" s="2">
        <f t="shared" si="2"/>
        <v>3687402.5944609353</v>
      </c>
    </row>
    <row r="31" spans="1:19" x14ac:dyDescent="0.35">
      <c r="D31" s="2"/>
      <c r="F31" s="31"/>
      <c r="G31" s="6"/>
      <c r="H31" s="192" t="s">
        <v>254</v>
      </c>
      <c r="I31" s="12" t="s">
        <v>11</v>
      </c>
      <c r="J31" s="152" t="s">
        <v>180</v>
      </c>
      <c r="K31" s="6">
        <f>'Feedstock MIX per IVC'!G91</f>
        <v>5.6701708095512098</v>
      </c>
      <c r="L31" s="2">
        <f t="shared" si="2"/>
        <v>509796.0966837075</v>
      </c>
    </row>
    <row r="32" spans="1:19" x14ac:dyDescent="0.35">
      <c r="D32" s="6"/>
      <c r="E32" s="6"/>
      <c r="F32" s="31"/>
      <c r="G32" s="6"/>
      <c r="H32" s="6"/>
      <c r="I32" s="6"/>
      <c r="J32" s="6"/>
      <c r="K32" s="6"/>
      <c r="L32" s="2"/>
    </row>
    <row r="33" spans="1:19" x14ac:dyDescent="0.35">
      <c r="D33" s="6"/>
      <c r="E33" s="6"/>
      <c r="F33" s="31"/>
      <c r="G33" s="6"/>
      <c r="H33" s="6"/>
      <c r="I33" s="212" t="s">
        <v>281</v>
      </c>
      <c r="J33" s="6"/>
      <c r="K33" s="6"/>
      <c r="L33" s="2"/>
      <c r="M33" s="78" t="s">
        <v>181</v>
      </c>
      <c r="O33" s="90">
        <f>SUM(O34:O39)</f>
        <v>345404720.68851858</v>
      </c>
      <c r="P33" s="78" t="s">
        <v>181</v>
      </c>
      <c r="Q33" s="78"/>
      <c r="R33" s="90">
        <f>SUM(R34:R38)</f>
        <v>559798740.82159925</v>
      </c>
    </row>
    <row r="34" spans="1:19" x14ac:dyDescent="0.35">
      <c r="D34" s="6"/>
      <c r="E34" s="6"/>
      <c r="F34" s="31"/>
      <c r="G34" s="6"/>
      <c r="H34" s="6"/>
      <c r="I34" s="6"/>
      <c r="J34" s="147" t="s">
        <v>179</v>
      </c>
      <c r="K34" s="6"/>
      <c r="L34" s="2">
        <f>L24+L25+L27+L28</f>
        <v>11708273.61652844</v>
      </c>
      <c r="M34" s="5" t="s">
        <v>211</v>
      </c>
      <c r="O34" s="2">
        <f t="shared" ref="O34:O39" si="5">O10+O17+O24</f>
        <v>24507863.816980619</v>
      </c>
      <c r="P34" s="18" t="s">
        <v>217</v>
      </c>
      <c r="R34" s="2">
        <f>R10+R17+R24</f>
        <v>188080554.2513234</v>
      </c>
    </row>
    <row r="35" spans="1:19" x14ac:dyDescent="0.35">
      <c r="D35" s="6"/>
      <c r="E35" s="6"/>
      <c r="F35" s="31"/>
      <c r="G35" s="6"/>
      <c r="H35" s="6"/>
      <c r="I35" s="6"/>
      <c r="J35" s="171" t="s">
        <v>222</v>
      </c>
      <c r="K35" s="6"/>
      <c r="L35" s="2">
        <f>L29</f>
        <v>4344472.8421256356</v>
      </c>
      <c r="M35" t="s">
        <v>212</v>
      </c>
      <c r="O35" s="2">
        <f t="shared" si="5"/>
        <v>6908094.413770372</v>
      </c>
      <c r="P35" s="18" t="s">
        <v>177</v>
      </c>
      <c r="R35" s="2">
        <f>R11+R18+R25</f>
        <v>139949685.20539981</v>
      </c>
    </row>
    <row r="36" spans="1:19" x14ac:dyDescent="0.35">
      <c r="D36" s="6"/>
      <c r="E36" s="6"/>
      <c r="F36" s="31"/>
      <c r="G36" s="6"/>
      <c r="H36" s="6"/>
      <c r="I36" s="6"/>
      <c r="J36" s="149" t="s">
        <v>176</v>
      </c>
      <c r="K36" s="6"/>
      <c r="L36" s="2">
        <v>0</v>
      </c>
      <c r="M36" s="5" t="s">
        <v>210</v>
      </c>
      <c r="O36" s="2">
        <f t="shared" si="5"/>
        <v>155432124.30983338</v>
      </c>
      <c r="P36" s="18" t="s">
        <v>218</v>
      </c>
      <c r="R36" s="2">
        <f>R12+R19+R26</f>
        <v>111959748.16431986</v>
      </c>
    </row>
    <row r="37" spans="1:19" x14ac:dyDescent="0.35">
      <c r="D37" s="6"/>
      <c r="E37" s="6"/>
      <c r="F37" s="31"/>
      <c r="G37" s="6"/>
      <c r="H37" s="6"/>
      <c r="I37" s="6"/>
      <c r="J37" s="150" t="s">
        <v>178</v>
      </c>
      <c r="K37" s="6"/>
      <c r="L37" s="2">
        <f>L26</f>
        <v>263338.18367035559</v>
      </c>
      <c r="M37" t="s">
        <v>213</v>
      </c>
      <c r="O37" s="2">
        <f t="shared" si="5"/>
        <v>48191894.212000445</v>
      </c>
      <c r="P37" s="18" t="s">
        <v>219</v>
      </c>
      <c r="R37" s="2">
        <f>R13+R20+R27</f>
        <v>89856564.900417134</v>
      </c>
    </row>
    <row r="38" spans="1:19" x14ac:dyDescent="0.35">
      <c r="D38" s="6"/>
      <c r="E38" s="6"/>
      <c r="F38" s="31"/>
      <c r="G38" s="6"/>
      <c r="H38" s="6"/>
      <c r="I38" s="6"/>
      <c r="J38" s="152" t="s">
        <v>180</v>
      </c>
      <c r="K38" s="6"/>
      <c r="L38" s="2">
        <f>L31</f>
        <v>509796.0966837075</v>
      </c>
      <c r="M38" t="s">
        <v>214</v>
      </c>
      <c r="O38" s="2">
        <f t="shared" si="5"/>
        <v>100002602.31527823</v>
      </c>
      <c r="P38" s="18" t="s">
        <v>220</v>
      </c>
      <c r="R38" s="2">
        <f>R14+R21+R28</f>
        <v>29952188.300139047</v>
      </c>
    </row>
    <row r="39" spans="1:19" x14ac:dyDescent="0.35">
      <c r="D39" s="6"/>
      <c r="E39" s="6"/>
      <c r="F39" s="31"/>
      <c r="G39" s="6"/>
      <c r="H39" s="6"/>
      <c r="I39" s="212" t="s">
        <v>299</v>
      </c>
      <c r="J39" s="105"/>
      <c r="K39" s="6"/>
      <c r="L39" s="2"/>
      <c r="M39" t="s">
        <v>216</v>
      </c>
      <c r="O39" s="2">
        <f t="shared" si="5"/>
        <v>10362141.620655557</v>
      </c>
    </row>
    <row r="40" spans="1:19" x14ac:dyDescent="0.35">
      <c r="D40" s="6"/>
      <c r="E40" s="6"/>
      <c r="F40" s="31"/>
      <c r="G40" s="6"/>
      <c r="J40" s="147" t="s">
        <v>179</v>
      </c>
      <c r="L40" s="2">
        <f>L10+L17</f>
        <v>2681959830.7235265</v>
      </c>
    </row>
    <row r="41" spans="1:19" s="91" customFormat="1" ht="41" customHeight="1" x14ac:dyDescent="0.35">
      <c r="A41" s="91" t="s">
        <v>78</v>
      </c>
      <c r="F41" s="169"/>
    </row>
    <row r="42" spans="1:19" ht="17.5" customHeight="1" x14ac:dyDescent="0.35">
      <c r="C42" s="2">
        <f>C43+C50+C57+C66</f>
        <v>936805946.65766382</v>
      </c>
      <c r="D42" s="2">
        <f>D43+D50+D57+D66</f>
        <v>0.59662031124903658</v>
      </c>
      <c r="F42" s="2">
        <f>F43+F50+F57+F66</f>
        <v>867025.41191582242</v>
      </c>
      <c r="L42" s="2">
        <f>L43+L50+L57+L66</f>
        <v>385479504.2839855</v>
      </c>
      <c r="O42" s="2">
        <f>O43+O50+O57+O66</f>
        <v>393717590.02816463</v>
      </c>
      <c r="R42" s="2">
        <f>R43+R50+R57+R66</f>
        <v>306538305.26475585</v>
      </c>
    </row>
    <row r="43" spans="1:19" s="201" customFormat="1" ht="17.5" customHeight="1" x14ac:dyDescent="0.35">
      <c r="A43" s="201" t="s">
        <v>297</v>
      </c>
      <c r="B43" s="201">
        <v>1000</v>
      </c>
      <c r="C43" s="202">
        <f>B43*F43</f>
        <v>357142857.14285773</v>
      </c>
      <c r="D43" s="203">
        <f>'[2]GAP analysis Sc. 1'!$C$78</f>
        <v>0.23031568603365718</v>
      </c>
      <c r="E43" s="210">
        <f>'[1]Conversion factors selected IV '!$O$17</f>
        <v>1.5506666666666669</v>
      </c>
      <c r="F43" s="202">
        <f>D43*E43*1000000</f>
        <v>357142.85714285774</v>
      </c>
      <c r="G43" s="208">
        <f>'LCoP 2030 MEDIUM'!E5</f>
        <v>1281.8786373112391</v>
      </c>
      <c r="H43" s="203">
        <f>G43*F43</f>
        <v>457813799.039729</v>
      </c>
      <c r="I43" s="206">
        <f>'LCoP 2030 MEDIUM'!H5</f>
        <v>0.26514104176362585</v>
      </c>
      <c r="L43" s="202">
        <f>I43*H43</f>
        <v>121385227.611157</v>
      </c>
      <c r="M43" s="206">
        <f>'LCoP 2030 MEDIUM'!F5</f>
        <v>0.43295830341951974</v>
      </c>
      <c r="O43" s="202">
        <f>M43*H43</f>
        <v>198214285.71428603</v>
      </c>
      <c r="P43" s="219">
        <f>'LCoP 2030 MEDIUM'!G5</f>
        <v>0.30190065481685435</v>
      </c>
      <c r="R43" s="202">
        <f>P43*H43</f>
        <v>138214285.71428594</v>
      </c>
      <c r="S43" s="203">
        <f>R43+O43+L43</f>
        <v>457813799.03972894</v>
      </c>
    </row>
    <row r="44" spans="1:19" ht="15" customHeight="1" x14ac:dyDescent="0.35">
      <c r="C44">
        <f>C43/$C$42</f>
        <v>0.38123461792388486</v>
      </c>
      <c r="F44" s="147" t="s">
        <v>179</v>
      </c>
      <c r="G44" s="2">
        <f>SUMIF($J$44:$J$47,F44,$L$44:$L$47)/$L$43</f>
        <v>0.79850244841798845</v>
      </c>
      <c r="H44" s="192" t="s">
        <v>254</v>
      </c>
      <c r="I44" s="7" t="s">
        <v>4</v>
      </c>
      <c r="J44" s="147" t="s">
        <v>179</v>
      </c>
      <c r="K44" s="6">
        <f>'Feedstock MIX per IVC'!G13</f>
        <v>255.92003292567989</v>
      </c>
      <c r="L44">
        <f>K44*F$43</f>
        <v>91400011.759171546</v>
      </c>
      <c r="M44" s="5" t="s">
        <v>211</v>
      </c>
      <c r="N44" s="34">
        <v>0</v>
      </c>
      <c r="O44" s="2">
        <f t="shared" ref="O44:O49" si="6">N44*O$43</f>
        <v>0</v>
      </c>
      <c r="P44" s="18" t="s">
        <v>217</v>
      </c>
      <c r="Q44" s="34">
        <v>0.2</v>
      </c>
      <c r="R44" s="2">
        <f>Q44*R$43</f>
        <v>27642857.14285719</v>
      </c>
    </row>
    <row r="45" spans="1:19" ht="15" customHeight="1" x14ac:dyDescent="0.35">
      <c r="F45" s="149" t="s">
        <v>176</v>
      </c>
      <c r="G45" s="2">
        <f>SUMIF($J$44:$J$47,F45,$L$44:$L$47)/$L$43</f>
        <v>0.20149755158201166</v>
      </c>
      <c r="H45" s="192" t="s">
        <v>254</v>
      </c>
      <c r="I45" s="7" t="s">
        <v>7</v>
      </c>
      <c r="J45" s="147" t="s">
        <v>179</v>
      </c>
      <c r="K45" s="6">
        <f>'Feedstock MIX per IVC'!G14</f>
        <v>10.633016625439506</v>
      </c>
      <c r="L45">
        <f>K45*F$43</f>
        <v>3797505.9376569726</v>
      </c>
      <c r="M45" t="s">
        <v>212</v>
      </c>
      <c r="N45" s="34">
        <v>0.02</v>
      </c>
      <c r="O45" s="2">
        <f t="shared" si="6"/>
        <v>3964285.7142857206</v>
      </c>
      <c r="P45" s="18" t="s">
        <v>177</v>
      </c>
      <c r="Q45" s="34">
        <v>0.5</v>
      </c>
      <c r="R45" s="2">
        <f>Q45*R$43</f>
        <v>69107142.85714297</v>
      </c>
    </row>
    <row r="46" spans="1:19" ht="15" customHeight="1" x14ac:dyDescent="0.35">
      <c r="F46" s="31"/>
      <c r="H46" s="192" t="s">
        <v>254</v>
      </c>
      <c r="I46" s="7" t="s">
        <v>8</v>
      </c>
      <c r="J46" s="147" t="s">
        <v>179</v>
      </c>
      <c r="K46" s="6">
        <f>'Feedstock MIX per IVC'!G15</f>
        <v>4.8408745068744423</v>
      </c>
      <c r="L46">
        <f>K46*F$43</f>
        <v>1728883.752455161</v>
      </c>
      <c r="M46" s="5" t="s">
        <v>210</v>
      </c>
      <c r="N46" s="34">
        <v>0.5</v>
      </c>
      <c r="O46" s="2">
        <f t="shared" si="6"/>
        <v>99107142.857143015</v>
      </c>
      <c r="P46" s="18" t="s">
        <v>218</v>
      </c>
      <c r="Q46" s="34">
        <v>0.15</v>
      </c>
      <c r="R46" s="2">
        <f>Q46*R$43</f>
        <v>20732142.857142892</v>
      </c>
    </row>
    <row r="47" spans="1:19" ht="15" customHeight="1" x14ac:dyDescent="0.35">
      <c r="F47" s="31"/>
      <c r="H47" s="192" t="s">
        <v>254</v>
      </c>
      <c r="I47" s="7" t="s">
        <v>10</v>
      </c>
      <c r="J47" s="149" t="s">
        <v>176</v>
      </c>
      <c r="K47" s="6">
        <f>'Feedstock MIX per IVC'!G16</f>
        <v>68.484713253245218</v>
      </c>
      <c r="L47">
        <f>K47*F$43</f>
        <v>24458826.161873333</v>
      </c>
      <c r="M47" t="s">
        <v>213</v>
      </c>
      <c r="N47" s="34">
        <v>0.15</v>
      </c>
      <c r="O47" s="2">
        <f t="shared" si="6"/>
        <v>29732142.857142903</v>
      </c>
      <c r="P47" s="18" t="s">
        <v>219</v>
      </c>
      <c r="Q47" s="34">
        <v>0.1</v>
      </c>
      <c r="R47" s="2">
        <f>Q47*R$43</f>
        <v>13821428.571428595</v>
      </c>
    </row>
    <row r="48" spans="1:19" ht="15" customHeight="1" x14ac:dyDescent="0.35">
      <c r="F48" s="31"/>
      <c r="M48" t="s">
        <v>214</v>
      </c>
      <c r="N48" s="34">
        <v>0.3</v>
      </c>
      <c r="O48" s="2">
        <f t="shared" si="6"/>
        <v>59464285.714285806</v>
      </c>
      <c r="P48" s="18" t="s">
        <v>220</v>
      </c>
      <c r="Q48" s="34">
        <v>0.05</v>
      </c>
      <c r="R48" s="2">
        <f>Q48*R$43</f>
        <v>6910714.2857142976</v>
      </c>
    </row>
    <row r="49" spans="1:19" ht="15" customHeight="1" x14ac:dyDescent="0.35">
      <c r="F49" s="31"/>
      <c r="M49" t="s">
        <v>216</v>
      </c>
      <c r="N49" s="34">
        <v>0.03</v>
      </c>
      <c r="O49" s="2">
        <f t="shared" si="6"/>
        <v>5946428.5714285802</v>
      </c>
      <c r="R49" s="2"/>
    </row>
    <row r="50" spans="1:19" s="201" customFormat="1" ht="17.5" customHeight="1" x14ac:dyDescent="0.35">
      <c r="A50" s="201" t="s">
        <v>303</v>
      </c>
      <c r="B50" s="201">
        <v>1000</v>
      </c>
      <c r="C50" s="202">
        <f>B50*F50</f>
        <v>404312668.46361142</v>
      </c>
      <c r="D50" s="208">
        <f>'[2]GAP analysis Sc. 1'!$C$79</f>
        <v>0.26073473890602628</v>
      </c>
      <c r="E50" s="201">
        <f>'[1]Conversion factors selected IV '!$O$86</f>
        <v>1.5506666666666669</v>
      </c>
      <c r="F50" s="202">
        <f>D50*E50*1000000</f>
        <v>404312.66846361145</v>
      </c>
      <c r="G50" s="208">
        <f>'LCoP 2030 MEDIUM'!E17</f>
        <v>1166.3499999999999</v>
      </c>
      <c r="H50" s="203">
        <f>G50*F50</f>
        <v>471570080.86253315</v>
      </c>
      <c r="I50" s="206">
        <f>'LCoP 2030 MEDIUM'!H17</f>
        <v>0.50893814035238139</v>
      </c>
      <c r="L50" s="202">
        <f>I50*H50</f>
        <v>239999999.99999973</v>
      </c>
      <c r="M50" s="206">
        <f>'LCoP 2030 MEDIUM'!F17</f>
        <v>0.2383504093968363</v>
      </c>
      <c r="O50" s="202">
        <f>M50*H50</f>
        <v>112398921.83288397</v>
      </c>
      <c r="P50" s="219">
        <f>'LCoP 2030 MEDIUM'!G17</f>
        <v>0.2527114502507824</v>
      </c>
      <c r="R50" s="202">
        <f>P50*H50</f>
        <v>119171159.02964948</v>
      </c>
      <c r="S50" s="203">
        <f>R50+O50+L50</f>
        <v>471570080.86253321</v>
      </c>
    </row>
    <row r="51" spans="1:19" ht="14.5" customHeight="1" x14ac:dyDescent="0.35">
      <c r="C51">
        <f>C50/$C$42</f>
        <v>0.43158635991383076</v>
      </c>
      <c r="D51" s="6"/>
      <c r="F51" s="31"/>
      <c r="I51" s="16" t="s">
        <v>36</v>
      </c>
      <c r="J51" s="190" t="s">
        <v>79</v>
      </c>
      <c r="K51" s="6">
        <f>'Feedstock MIX per IVC'!G80</f>
        <v>593.6</v>
      </c>
      <c r="L51" s="31">
        <f>K51*F50</f>
        <v>239999999.99999976</v>
      </c>
      <c r="M51" s="5" t="s">
        <v>211</v>
      </c>
      <c r="N51" s="34">
        <v>0</v>
      </c>
      <c r="O51" s="2">
        <f t="shared" ref="O51:O56" si="7">N51*O$50</f>
        <v>0</v>
      </c>
      <c r="P51" s="18" t="s">
        <v>217</v>
      </c>
      <c r="Q51" s="34">
        <v>0.2</v>
      </c>
      <c r="R51" s="2">
        <f>Q51*R$50</f>
        <v>23834231.805929899</v>
      </c>
    </row>
    <row r="52" spans="1:19" ht="14.5" customHeight="1" x14ac:dyDescent="0.35">
      <c r="D52" s="6"/>
      <c r="F52" s="31"/>
      <c r="M52" t="s">
        <v>212</v>
      </c>
      <c r="N52" s="34">
        <v>0.02</v>
      </c>
      <c r="O52" s="2">
        <f t="shared" si="7"/>
        <v>2247978.4366576793</v>
      </c>
      <c r="P52" s="18" t="s">
        <v>177</v>
      </c>
      <c r="Q52" s="34">
        <v>0.5</v>
      </c>
      <c r="R52" s="2">
        <f>Q52*R$50</f>
        <v>59585579.514824741</v>
      </c>
    </row>
    <row r="53" spans="1:19" ht="14.5" customHeight="1" x14ac:dyDescent="0.35">
      <c r="D53" s="6"/>
      <c r="F53" s="31"/>
      <c r="M53" s="5" t="s">
        <v>210</v>
      </c>
      <c r="N53" s="34">
        <v>0.5</v>
      </c>
      <c r="O53" s="2">
        <f t="shared" si="7"/>
        <v>56199460.916441984</v>
      </c>
      <c r="P53" s="18" t="s">
        <v>218</v>
      </c>
      <c r="Q53" s="34">
        <v>0.15</v>
      </c>
      <c r="R53" s="2">
        <f>Q53*R$50</f>
        <v>17875673.854447421</v>
      </c>
    </row>
    <row r="54" spans="1:19" ht="14.5" customHeight="1" x14ac:dyDescent="0.35">
      <c r="D54" s="6"/>
      <c r="F54" s="31"/>
      <c r="M54" t="s">
        <v>213</v>
      </c>
      <c r="N54" s="34">
        <v>0.15</v>
      </c>
      <c r="O54" s="2">
        <f t="shared" si="7"/>
        <v>16859838.274932593</v>
      </c>
      <c r="P54" s="18" t="s">
        <v>219</v>
      </c>
      <c r="Q54" s="34">
        <v>0.1</v>
      </c>
      <c r="R54" s="2">
        <f>Q54*R$50</f>
        <v>11917115.90296495</v>
      </c>
    </row>
    <row r="55" spans="1:19" ht="14.5" customHeight="1" x14ac:dyDescent="0.35">
      <c r="F55" s="31"/>
      <c r="M55" t="s">
        <v>214</v>
      </c>
      <c r="N55" s="34">
        <v>0.3</v>
      </c>
      <c r="O55" s="2">
        <f t="shared" si="7"/>
        <v>33719676.549865186</v>
      </c>
      <c r="P55" s="18" t="s">
        <v>220</v>
      </c>
      <c r="Q55" s="34">
        <v>0.05</v>
      </c>
      <c r="R55" s="2">
        <f>Q55*R$50</f>
        <v>5958557.9514824748</v>
      </c>
    </row>
    <row r="56" spans="1:19" ht="14.5" customHeight="1" x14ac:dyDescent="0.35">
      <c r="F56" s="31"/>
      <c r="M56" t="s">
        <v>216</v>
      </c>
      <c r="N56" s="34">
        <v>0.03</v>
      </c>
      <c r="O56" s="2">
        <f t="shared" si="7"/>
        <v>3371967.6549865189</v>
      </c>
    </row>
    <row r="57" spans="1:19" s="201" customFormat="1" ht="17.5" customHeight="1" x14ac:dyDescent="0.35">
      <c r="A57" s="201" t="s">
        <v>295</v>
      </c>
      <c r="B57" s="201">
        <v>1750</v>
      </c>
      <c r="C57" s="202">
        <f>B57*F57</f>
        <v>157339734.40336281</v>
      </c>
      <c r="D57" s="203">
        <f>'[2]GAP analysis Sc. 1'!$C$80</f>
        <v>8.9908419659064473E-2</v>
      </c>
      <c r="E57" s="201">
        <f>'[1]Conversion factors selected IV '!$O$89</f>
        <v>1</v>
      </c>
      <c r="F57" s="202">
        <f>D57*E57*1000000</f>
        <v>89908.419659064471</v>
      </c>
      <c r="G57" s="208">
        <f>'LCoP 2030 MEDIUM'!E19</f>
        <v>1469.6575342026485</v>
      </c>
      <c r="H57" s="203">
        <f>G57*F57</f>
        <v>132134586.34019762</v>
      </c>
      <c r="I57" s="206">
        <f>'LCoP 2030 MEDIUM'!H19</f>
        <v>0.15524537444462094</v>
      </c>
      <c r="L57" s="202">
        <f>I57*H57</f>
        <v>20513283.333469074</v>
      </c>
      <c r="M57" s="206">
        <f>'LCoP 2030 MEDIUM'!F19</f>
        <v>0.5477466561192752</v>
      </c>
      <c r="O57" s="202">
        <f>M57*H57</f>
        <v>72376277.825546905</v>
      </c>
      <c r="P57" s="219">
        <f>'LCoP 2030 MEDIUM'!G19</f>
        <v>0.29700796943610386</v>
      </c>
      <c r="R57" s="202">
        <f>P57*H57</f>
        <v>39245025.181181639</v>
      </c>
      <c r="S57" s="203">
        <f>R57+O57+L57</f>
        <v>132134586.34019762</v>
      </c>
    </row>
    <row r="58" spans="1:19" ht="17.5" customHeight="1" x14ac:dyDescent="0.35">
      <c r="C58">
        <f>C57/$C$42</f>
        <v>0.16795338988263206</v>
      </c>
      <c r="F58" s="147" t="s">
        <v>179</v>
      </c>
      <c r="G58" s="2">
        <f>SUMIF($J$58:$J$65,F58,$L$58:$L$65)/$L$57</f>
        <v>0.57076546090627278</v>
      </c>
      <c r="H58" s="192" t="s">
        <v>254</v>
      </c>
      <c r="I58" s="5" t="s">
        <v>4</v>
      </c>
      <c r="J58" s="147" t="s">
        <v>179</v>
      </c>
      <c r="K58" s="6">
        <f>'Feedstock MIX per IVC'!G84</f>
        <v>117.13777724189546</v>
      </c>
      <c r="L58">
        <f t="shared" ref="L58:L65" si="8">K58*F$57</f>
        <v>10531672.434194349</v>
      </c>
      <c r="M58" s="5" t="s">
        <v>211</v>
      </c>
      <c r="N58" s="167">
        <v>0.15</v>
      </c>
      <c r="O58" s="2">
        <f t="shared" ref="O58:O63" si="9">N58*O$57</f>
        <v>10856441.673832035</v>
      </c>
      <c r="P58" s="18" t="s">
        <v>217</v>
      </c>
      <c r="Q58" s="118">
        <v>0.15</v>
      </c>
      <c r="R58" s="2">
        <f>Q58*R$57</f>
        <v>5886753.7771772454</v>
      </c>
    </row>
    <row r="59" spans="1:19" ht="17.5" customHeight="1" x14ac:dyDescent="0.35">
      <c r="F59" s="171" t="s">
        <v>222</v>
      </c>
      <c r="G59" s="2">
        <f t="shared" ref="G59:G63" si="10">SUMIF($J$58:$J$65,F59,$L$58:$L$65)/$L$57</f>
        <v>0.21178827257932317</v>
      </c>
      <c r="H59" s="192" t="s">
        <v>254</v>
      </c>
      <c r="I59" s="5" t="s">
        <v>5</v>
      </c>
      <c r="J59" s="147" t="s">
        <v>179</v>
      </c>
      <c r="K59" s="6">
        <f>'Feedstock MIX per IVC'!G85</f>
        <v>6.0040707909944153</v>
      </c>
      <c r="L59">
        <f t="shared" si="8"/>
        <v>539816.51633945701</v>
      </c>
      <c r="M59" t="s">
        <v>212</v>
      </c>
      <c r="N59" s="34">
        <v>0.02</v>
      </c>
      <c r="O59" s="2">
        <f t="shared" si="9"/>
        <v>1447525.5565109381</v>
      </c>
      <c r="P59" s="18" t="s">
        <v>177</v>
      </c>
      <c r="Q59" s="118">
        <v>0.25</v>
      </c>
      <c r="R59" s="2">
        <f>Q59*R$57</f>
        <v>9811256.2952954099</v>
      </c>
    </row>
    <row r="60" spans="1:19" ht="17.5" customHeight="1" x14ac:dyDescent="0.35">
      <c r="F60" s="149" t="s">
        <v>176</v>
      </c>
      <c r="G60" s="2">
        <f t="shared" si="10"/>
        <v>0.17975682071551369</v>
      </c>
      <c r="H60" s="192" t="s">
        <v>254</v>
      </c>
      <c r="I60" s="5" t="s">
        <v>6</v>
      </c>
      <c r="J60" s="150" t="s">
        <v>178</v>
      </c>
      <c r="K60" s="6">
        <f>'Feedstock MIX per IVC'!G86</f>
        <v>2.9289602093879772</v>
      </c>
      <c r="L60">
        <f t="shared" si="8"/>
        <v>263338.18367035559</v>
      </c>
      <c r="M60" s="5" t="s">
        <v>210</v>
      </c>
      <c r="N60" s="167">
        <v>0.45</v>
      </c>
      <c r="O60" s="2">
        <f t="shared" si="9"/>
        <v>32569325.02149611</v>
      </c>
      <c r="P60" s="18" t="s">
        <v>218</v>
      </c>
      <c r="Q60" s="118">
        <v>0.2</v>
      </c>
      <c r="R60" s="2">
        <f>Q60*R$57</f>
        <v>7849005.0362363281</v>
      </c>
    </row>
    <row r="61" spans="1:19" ht="17.5" customHeight="1" x14ac:dyDescent="0.35">
      <c r="F61" s="150" t="s">
        <v>178</v>
      </c>
      <c r="G61" s="2">
        <f t="shared" si="10"/>
        <v>1.2837446808951257E-2</v>
      </c>
      <c r="H61" s="192" t="s">
        <v>254</v>
      </c>
      <c r="I61" s="5" t="s">
        <v>7</v>
      </c>
      <c r="J61" s="147" t="s">
        <v>179</v>
      </c>
      <c r="K61" s="6">
        <f>'Feedstock MIX per IVC'!G87</f>
        <v>4.8668637567806563</v>
      </c>
      <c r="L61">
        <f t="shared" si="8"/>
        <v>437572.02906812634</v>
      </c>
      <c r="M61" t="s">
        <v>213</v>
      </c>
      <c r="N61" s="34">
        <v>0.1</v>
      </c>
      <c r="O61" s="2">
        <f t="shared" si="9"/>
        <v>7237627.7825546907</v>
      </c>
      <c r="P61" s="18" t="s">
        <v>219</v>
      </c>
      <c r="Q61" s="118">
        <v>0.3</v>
      </c>
      <c r="R61" s="2">
        <f>Q61*R$57</f>
        <v>11773507.554354491</v>
      </c>
    </row>
    <row r="62" spans="1:19" ht="17.5" customHeight="1" x14ac:dyDescent="0.35">
      <c r="F62" s="152" t="s">
        <v>180</v>
      </c>
      <c r="G62" s="2">
        <f>SUMIF($J$58:$J$65,F62,$L$58:$L$65)/$L$57</f>
        <v>2.4851998989939075E-2</v>
      </c>
      <c r="H62" s="192" t="s">
        <v>254</v>
      </c>
      <c r="I62" s="5" t="s">
        <v>8</v>
      </c>
      <c r="J62" s="147" t="s">
        <v>179</v>
      </c>
      <c r="K62" s="6">
        <f>'Feedstock MIX per IVC'!G88</f>
        <v>2.2157283787428326</v>
      </c>
      <c r="L62">
        <f t="shared" si="8"/>
        <v>199212.63692650915</v>
      </c>
      <c r="M62" t="s">
        <v>214</v>
      </c>
      <c r="N62" s="34">
        <v>0.25</v>
      </c>
      <c r="O62" s="2">
        <f t="shared" si="9"/>
        <v>18094069.456386726</v>
      </c>
      <c r="P62" s="18" t="s">
        <v>220</v>
      </c>
      <c r="Q62" s="118">
        <v>0.1</v>
      </c>
      <c r="R62" s="2">
        <f>Q62*R$57</f>
        <v>3924502.518118164</v>
      </c>
    </row>
    <row r="63" spans="1:19" ht="17.5" customHeight="1" x14ac:dyDescent="0.35">
      <c r="F63" s="190" t="s">
        <v>79</v>
      </c>
      <c r="G63" s="2">
        <f t="shared" si="10"/>
        <v>0</v>
      </c>
      <c r="H63" s="192" t="s">
        <v>254</v>
      </c>
      <c r="I63" s="5" t="s">
        <v>9</v>
      </c>
      <c r="J63" s="171" t="s">
        <v>222</v>
      </c>
      <c r="K63" s="6">
        <f>'Feedstock MIX per IVC'!G89</f>
        <v>48.321090044736764</v>
      </c>
      <c r="L63">
        <f t="shared" si="8"/>
        <v>4344472.8421256356</v>
      </c>
      <c r="M63" t="s">
        <v>216</v>
      </c>
      <c r="N63" s="34">
        <v>0.03</v>
      </c>
      <c r="O63" s="2">
        <f t="shared" si="9"/>
        <v>2171288.334766407</v>
      </c>
      <c r="Q63" s="34"/>
      <c r="R63" s="2"/>
    </row>
    <row r="64" spans="1:19" ht="17.5" customHeight="1" x14ac:dyDescent="0.35">
      <c r="F64" s="31"/>
      <c r="G64" s="2">
        <f>SUM(G58:G63)</f>
        <v>1</v>
      </c>
      <c r="H64" s="192" t="s">
        <v>254</v>
      </c>
      <c r="I64" s="5" t="s">
        <v>10</v>
      </c>
      <c r="J64" s="149" t="s">
        <v>176</v>
      </c>
      <c r="K64" s="6">
        <f>'Feedstock MIX per IVC'!G90</f>
        <v>41.012872970559165</v>
      </c>
      <c r="L64">
        <f t="shared" si="8"/>
        <v>3687402.5944609353</v>
      </c>
      <c r="O64" s="2"/>
    </row>
    <row r="65" spans="1:19" ht="17.5" customHeight="1" x14ac:dyDescent="0.35">
      <c r="F65" s="31"/>
      <c r="H65" s="192" t="s">
        <v>254</v>
      </c>
      <c r="I65" s="5" t="s">
        <v>11</v>
      </c>
      <c r="J65" s="152" t="s">
        <v>180</v>
      </c>
      <c r="K65" s="6">
        <f>'Feedstock MIX per IVC'!G91</f>
        <v>5.6701708095512098</v>
      </c>
      <c r="L65">
        <f t="shared" si="8"/>
        <v>509796.0966837075</v>
      </c>
    </row>
    <row r="66" spans="1:19" s="201" customFormat="1" x14ac:dyDescent="0.35">
      <c r="A66" s="201" t="s">
        <v>298</v>
      </c>
      <c r="B66" s="201">
        <v>1150</v>
      </c>
      <c r="C66" s="202">
        <f>B66*F66</f>
        <v>18010686.64783195</v>
      </c>
      <c r="D66" s="208">
        <f>'[2]GAP analysis Sc. 1'!$C$81</f>
        <v>1.5661466650288652E-2</v>
      </c>
      <c r="E66" s="208">
        <f>'[1]Conversion factors selected IV '!$O$125</f>
        <v>1</v>
      </c>
      <c r="F66" s="202">
        <f>D66*E66*1000000</f>
        <v>15661.466650288652</v>
      </c>
      <c r="G66" s="208">
        <f>'LCoP 2030 MEDIUM'!$E$21</f>
        <v>1546.2749354959019</v>
      </c>
      <c r="H66" s="203">
        <f>G66*F66</f>
        <v>24216933.334446304</v>
      </c>
      <c r="I66" s="206">
        <f>'LCoP 2030 MEDIUM'!H$21</f>
        <v>0.14787146208418117</v>
      </c>
      <c r="L66" s="202">
        <f>I66*H66</f>
        <v>3580993.3393597198</v>
      </c>
      <c r="M66" s="206">
        <f>'LCoP 2030 MEDIUM'!F21</f>
        <v>0.44300013165531615</v>
      </c>
      <c r="O66" s="202">
        <f>M66*H66</f>
        <v>10728104.655447727</v>
      </c>
      <c r="P66" s="219">
        <f>'LCoP 2030 MEDIUM'!G21</f>
        <v>0.40912840626050273</v>
      </c>
      <c r="R66" s="202">
        <f>P66*H66</f>
        <v>9907835.339638859</v>
      </c>
      <c r="S66" s="202">
        <f>L66+O66+R66</f>
        <v>24216933.334446304</v>
      </c>
    </row>
    <row r="67" spans="1:19" x14ac:dyDescent="0.35">
      <c r="C67">
        <f>C66/$C$42</f>
        <v>1.9225632279652446E-2</v>
      </c>
      <c r="D67" s="6"/>
      <c r="E67" s="6"/>
      <c r="F67" s="147" t="s">
        <v>179</v>
      </c>
      <c r="G67" s="2">
        <f>SUMIF($J$67:$J$74,F67,$L$67:$L$74)/$L$66</f>
        <v>0.57973029909389229</v>
      </c>
      <c r="H67" s="192" t="s">
        <v>254</v>
      </c>
      <c r="I67" s="5" t="s">
        <v>4</v>
      </c>
      <c r="J67" s="147" t="s">
        <v>179</v>
      </c>
      <c r="K67" s="6">
        <f>'Feedstock MIX per IVC'!G102</f>
        <v>114.93880231011647</v>
      </c>
      <c r="L67" s="2">
        <f t="shared" ref="L67:L74" si="11">K67*F$66</f>
        <v>1800110.2192040095</v>
      </c>
      <c r="M67" s="5" t="s">
        <v>211</v>
      </c>
      <c r="N67" s="167">
        <v>0.15</v>
      </c>
      <c r="O67" s="2">
        <f t="shared" ref="O67:O72" si="12">N67*O$66</f>
        <v>1609215.698317159</v>
      </c>
      <c r="P67" s="18" t="s">
        <v>217</v>
      </c>
      <c r="Q67" s="118">
        <v>0.15</v>
      </c>
      <c r="R67" s="2">
        <f>Q67*R$66</f>
        <v>1486175.3009458289</v>
      </c>
    </row>
    <row r="68" spans="1:19" x14ac:dyDescent="0.35">
      <c r="D68" s="6"/>
      <c r="E68" s="6"/>
      <c r="F68" s="171" t="s">
        <v>222</v>
      </c>
      <c r="G68" s="2">
        <f t="shared" ref="G68:G72" si="13">SUMIF($J$67:$J$74,F68,$L$67:$L$74)/$L$66</f>
        <v>0.20736493889858582</v>
      </c>
      <c r="H68" s="192" t="s">
        <v>254</v>
      </c>
      <c r="I68" s="5" t="s">
        <v>5</v>
      </c>
      <c r="J68" s="147" t="s">
        <v>179</v>
      </c>
      <c r="K68" s="6">
        <f>'Feedstock MIX per IVC'!G103</f>
        <v>5.8913590640955968</v>
      </c>
      <c r="L68" s="2">
        <f t="shared" si="11"/>
        <v>92267.323507208959</v>
      </c>
      <c r="M68" t="s">
        <v>212</v>
      </c>
      <c r="N68" s="34">
        <v>0.02</v>
      </c>
      <c r="O68" s="2">
        <f t="shared" si="12"/>
        <v>214562.09310895455</v>
      </c>
      <c r="P68" s="18" t="s">
        <v>177</v>
      </c>
      <c r="Q68" s="118">
        <v>0.25</v>
      </c>
      <c r="R68" s="2">
        <f>Q68*R$66</f>
        <v>2476958.8349097148</v>
      </c>
    </row>
    <row r="69" spans="1:19" x14ac:dyDescent="0.35">
      <c r="D69" s="6"/>
      <c r="E69" s="6"/>
      <c r="F69" s="149" t="s">
        <v>176</v>
      </c>
      <c r="G69" s="2">
        <f t="shared" si="13"/>
        <v>0.1760024844166736</v>
      </c>
      <c r="H69" s="192" t="s">
        <v>254</v>
      </c>
      <c r="I69" s="5" t="s">
        <v>6</v>
      </c>
      <c r="J69" s="150" t="s">
        <v>178</v>
      </c>
      <c r="K69" s="6">
        <f>'Feedstock MIX per IVC'!G104</f>
        <v>2.8739761536181474</v>
      </c>
      <c r="L69" s="2">
        <f t="shared" si="11"/>
        <v>45010.681683615469</v>
      </c>
      <c r="M69" s="5" t="s">
        <v>210</v>
      </c>
      <c r="N69" s="167">
        <v>0.45</v>
      </c>
      <c r="O69" s="2">
        <f t="shared" si="12"/>
        <v>4827647.0949514769</v>
      </c>
      <c r="P69" s="18" t="s">
        <v>218</v>
      </c>
      <c r="Q69" s="118">
        <v>0.2</v>
      </c>
      <c r="R69" s="2">
        <f>Q69*R$66</f>
        <v>1981567.0679277719</v>
      </c>
    </row>
    <row r="70" spans="1:19" x14ac:dyDescent="0.35">
      <c r="D70" s="6"/>
      <c r="E70" s="6"/>
      <c r="F70" s="150" t="s">
        <v>178</v>
      </c>
      <c r="G70" s="2">
        <f t="shared" si="13"/>
        <v>1.2569328512535954E-2</v>
      </c>
      <c r="H70" s="192" t="s">
        <v>254</v>
      </c>
      <c r="I70" s="5" t="s">
        <v>7</v>
      </c>
      <c r="J70" s="147" t="s">
        <v>179</v>
      </c>
      <c r="K70" s="6">
        <f>'Feedstock MIX per IVC'!G105</f>
        <v>9.5510006145278119</v>
      </c>
      <c r="L70" s="2">
        <f t="shared" si="11"/>
        <v>149582.67760131374</v>
      </c>
      <c r="M70" t="s">
        <v>213</v>
      </c>
      <c r="N70" s="34">
        <v>0.1</v>
      </c>
      <c r="O70" s="2">
        <f t="shared" si="12"/>
        <v>1072810.4655447728</v>
      </c>
      <c r="P70" s="18" t="s">
        <v>219</v>
      </c>
      <c r="Q70" s="118">
        <v>0.3</v>
      </c>
      <c r="R70" s="2">
        <f>Q70*R$66</f>
        <v>2972350.6018916578</v>
      </c>
    </row>
    <row r="71" spans="1:19" x14ac:dyDescent="0.35">
      <c r="D71" s="6"/>
      <c r="E71" s="6"/>
      <c r="F71" s="152" t="s">
        <v>180</v>
      </c>
      <c r="G71" s="2">
        <f t="shared" si="13"/>
        <v>2.4332949078312478E-2</v>
      </c>
      <c r="H71" s="192" t="s">
        <v>254</v>
      </c>
      <c r="I71" s="5" t="s">
        <v>8</v>
      </c>
      <c r="J71" s="147" t="s">
        <v>179</v>
      </c>
      <c r="K71" s="6">
        <f>'Feedstock MIX per IVC'!G106</f>
        <v>2.1741335040985477</v>
      </c>
      <c r="L71" s="2">
        <f t="shared" si="11"/>
        <v>34050.119367714608</v>
      </c>
      <c r="M71" t="s">
        <v>214</v>
      </c>
      <c r="N71" s="34">
        <v>0.25</v>
      </c>
      <c r="O71" s="2">
        <f t="shared" si="12"/>
        <v>2682026.1638619318</v>
      </c>
      <c r="P71" s="18" t="s">
        <v>220</v>
      </c>
      <c r="Q71" s="118">
        <v>0.1</v>
      </c>
      <c r="R71" s="2">
        <f>Q71*R$66</f>
        <v>990783.53396388597</v>
      </c>
    </row>
    <row r="72" spans="1:19" x14ac:dyDescent="0.35">
      <c r="D72" s="6"/>
      <c r="E72" s="6"/>
      <c r="F72" s="190" t="s">
        <v>79</v>
      </c>
      <c r="G72" s="2">
        <f t="shared" si="13"/>
        <v>0</v>
      </c>
      <c r="H72" s="192" t="s">
        <v>254</v>
      </c>
      <c r="I72" s="5" t="s">
        <v>9</v>
      </c>
      <c r="J72" s="171" t="s">
        <v>222</v>
      </c>
      <c r="K72" s="6">
        <f>'Feedstock MIX per IVC'!G107</f>
        <v>47.413979903273294</v>
      </c>
      <c r="L72" s="2">
        <f t="shared" si="11"/>
        <v>742572.46501257108</v>
      </c>
      <c r="M72" t="s">
        <v>216</v>
      </c>
      <c r="N72" s="34">
        <v>0.03</v>
      </c>
      <c r="O72" s="2">
        <f t="shared" si="12"/>
        <v>321843.13966343179</v>
      </c>
      <c r="Q72" s="34"/>
      <c r="R72" s="2"/>
    </row>
    <row r="73" spans="1:19" x14ac:dyDescent="0.35">
      <c r="D73" s="6"/>
      <c r="E73" s="6"/>
      <c r="F73" s="31"/>
      <c r="G73" s="243">
        <f>SUM(G67:G72)</f>
        <v>1.0000000000000002</v>
      </c>
      <c r="H73" s="192" t="s">
        <v>254</v>
      </c>
      <c r="I73" s="5" t="s">
        <v>10</v>
      </c>
      <c r="J73" s="149" t="s">
        <v>176</v>
      </c>
      <c r="K73" s="6">
        <f>'Feedstock MIX per IVC'!G108</f>
        <v>40.242956708990903</v>
      </c>
      <c r="L73" s="2">
        <f t="shared" si="11"/>
        <v>630263.72440687101</v>
      </c>
      <c r="M73" s="2"/>
      <c r="R73" s="2"/>
    </row>
    <row r="74" spans="1:19" x14ac:dyDescent="0.35">
      <c r="D74" s="6"/>
      <c r="E74" s="6"/>
      <c r="F74" s="31"/>
      <c r="G74" s="6"/>
      <c r="H74" s="192" t="s">
        <v>254</v>
      </c>
      <c r="I74" s="5" t="s">
        <v>11</v>
      </c>
      <c r="J74" s="152" t="s">
        <v>180</v>
      </c>
      <c r="K74" s="6">
        <f>'Feedstock MIX per IVC'!G109</f>
        <v>5.5637272371812143</v>
      </c>
      <c r="L74" s="2">
        <f t="shared" si="11"/>
        <v>87136.128576416217</v>
      </c>
    </row>
    <row r="75" spans="1:19" s="78" customFormat="1" x14ac:dyDescent="0.35">
      <c r="D75" s="90"/>
      <c r="E75" s="90"/>
      <c r="F75" s="213"/>
      <c r="G75" s="6"/>
      <c r="L75" s="90"/>
    </row>
    <row r="76" spans="1:19" s="78" customFormat="1" x14ac:dyDescent="0.35">
      <c r="F76" s="213"/>
      <c r="I76" s="78" t="s">
        <v>281</v>
      </c>
      <c r="L76" s="213">
        <f>SUM(L77:L82)</f>
        <v>385479504.28398556</v>
      </c>
      <c r="M76" s="78" t="s">
        <v>181</v>
      </c>
      <c r="O76" s="90">
        <f>SUM(O77:O82)</f>
        <v>393717590.02816463</v>
      </c>
      <c r="P76" s="78" t="s">
        <v>181</v>
      </c>
      <c r="R76" s="90">
        <f>SUM(R77:R81)</f>
        <v>306538305.2647559</v>
      </c>
    </row>
    <row r="77" spans="1:19" x14ac:dyDescent="0.35">
      <c r="D77" s="2"/>
      <c r="E77" s="2"/>
      <c r="G77" s="2"/>
      <c r="H77" s="6"/>
      <c r="J77" s="147" t="s">
        <v>179</v>
      </c>
      <c r="L77" s="2">
        <f>L44+L45+L46+L58+L59+L61+L62+L67+L68+L70+L71</f>
        <v>110710685.40549234</v>
      </c>
      <c r="M77" s="5" t="s">
        <v>211</v>
      </c>
      <c r="O77" s="2">
        <f t="shared" ref="O77:O82" si="14">O44+O51+O58+O67</f>
        <v>12465657.372149194</v>
      </c>
      <c r="P77" s="18" t="s">
        <v>217</v>
      </c>
      <c r="R77" s="2">
        <f>R44+R51+R58+R67</f>
        <v>58850018.026910163</v>
      </c>
    </row>
    <row r="78" spans="1:19" x14ac:dyDescent="0.35">
      <c r="D78" s="2"/>
      <c r="E78" s="2"/>
      <c r="G78" s="2"/>
      <c r="H78" s="6"/>
      <c r="J78" s="171" t="s">
        <v>222</v>
      </c>
      <c r="L78" s="2">
        <f>L72+L63</f>
        <v>5087045.3071382064</v>
      </c>
      <c r="M78" t="s">
        <v>212</v>
      </c>
      <c r="O78" s="2">
        <f t="shared" si="14"/>
        <v>7874351.8005632935</v>
      </c>
      <c r="P78" s="18" t="s">
        <v>177</v>
      </c>
      <c r="R78" s="2">
        <f>R45+R52+R59+R68</f>
        <v>140980937.50217283</v>
      </c>
    </row>
    <row r="79" spans="1:19" x14ac:dyDescent="0.35">
      <c r="D79" s="1"/>
      <c r="E79" s="1"/>
      <c r="G79" s="2"/>
      <c r="H79" s="6"/>
      <c r="J79" s="149" t="s">
        <v>176</v>
      </c>
      <c r="L79" s="2">
        <f>L64+L47+L73</f>
        <v>28776492.48074114</v>
      </c>
      <c r="M79" s="5" t="s">
        <v>210</v>
      </c>
      <c r="O79" s="2">
        <f t="shared" si="14"/>
        <v>192703575.89003259</v>
      </c>
      <c r="P79" s="18" t="s">
        <v>218</v>
      </c>
      <c r="R79" s="2">
        <f>R46+R53+R60+R69</f>
        <v>48438388.815754414</v>
      </c>
    </row>
    <row r="80" spans="1:19" x14ac:dyDescent="0.35">
      <c r="D80" s="1"/>
      <c r="E80" s="1"/>
      <c r="G80" s="2"/>
      <c r="H80" s="6"/>
      <c r="J80" s="150" t="s">
        <v>178</v>
      </c>
      <c r="L80" s="2">
        <f>L60+L69</f>
        <v>308348.86535397108</v>
      </c>
      <c r="M80" t="s">
        <v>213</v>
      </c>
      <c r="O80" s="2">
        <f t="shared" si="14"/>
        <v>54902419.380174965</v>
      </c>
      <c r="P80" s="18" t="s">
        <v>219</v>
      </c>
      <c r="R80" s="2">
        <f>R47+R54+R61+R70</f>
        <v>40484402.630639695</v>
      </c>
    </row>
    <row r="81" spans="1:19" s="78" customFormat="1" x14ac:dyDescent="0.35">
      <c r="D81" s="90"/>
      <c r="E81" s="90"/>
      <c r="F81" s="213"/>
      <c r="G81" s="1"/>
      <c r="H81" s="6"/>
      <c r="J81" s="152" t="s">
        <v>180</v>
      </c>
      <c r="L81" s="90">
        <f>L65+L74</f>
        <v>596932.22526012373</v>
      </c>
      <c r="M81" t="s">
        <v>214</v>
      </c>
      <c r="O81" s="2">
        <f t="shared" si="14"/>
        <v>113960057.88439965</v>
      </c>
      <c r="P81" s="18" t="s">
        <v>220</v>
      </c>
      <c r="R81" s="2">
        <f>R48+R55+R62+R71</f>
        <v>17784558.289278824</v>
      </c>
    </row>
    <row r="82" spans="1:19" s="78" customFormat="1" x14ac:dyDescent="0.35">
      <c r="D82" s="90"/>
      <c r="E82" s="90"/>
      <c r="F82" s="213"/>
      <c r="G82" s="1"/>
      <c r="H82" s="6"/>
      <c r="J82" s="190" t="s">
        <v>79</v>
      </c>
      <c r="L82" s="2">
        <f>L51</f>
        <v>239999999.99999976</v>
      </c>
      <c r="M82" t="s">
        <v>216</v>
      </c>
      <c r="O82" s="2">
        <f t="shared" si="14"/>
        <v>11811527.700844938</v>
      </c>
    </row>
    <row r="83" spans="1:19" s="91" customFormat="1" ht="32.5" customHeight="1" x14ac:dyDescent="0.35">
      <c r="A83" s="91" t="s">
        <v>79</v>
      </c>
      <c r="D83" s="214"/>
      <c r="E83" s="92"/>
      <c r="F83" s="169"/>
    </row>
    <row r="84" spans="1:19" ht="16.5" customHeight="1" x14ac:dyDescent="0.35">
      <c r="C84" s="102">
        <f>C85+C95</f>
        <v>3288639388.4797864</v>
      </c>
      <c r="D84" s="324">
        <f>D85+D95</f>
        <v>2.6982196588710563</v>
      </c>
      <c r="E84" s="102"/>
      <c r="F84" s="102">
        <f>F85</f>
        <v>2043360.8677152386</v>
      </c>
    </row>
    <row r="85" spans="1:19" s="202" customFormat="1" x14ac:dyDescent="0.35">
      <c r="A85" s="202" t="s">
        <v>58</v>
      </c>
      <c r="B85" s="202">
        <v>1275</v>
      </c>
      <c r="C85" s="202">
        <f>B85*F85</f>
        <v>2605285106.3369293</v>
      </c>
      <c r="D85" s="202">
        <f>'[2]GAP analysis Sc. 1'!$C$83+'[2]GAP analysis Sc. 1'!$E$91+'[2]GAP analysis Sc. 1'!$C$93</f>
        <v>2.442193986349253</v>
      </c>
      <c r="E85" s="202">
        <f>'[1]Conversion factors selected IV '!$O$29</f>
        <v>0.83669064748201449</v>
      </c>
      <c r="F85" s="202">
        <f>D85*E85*1000000</f>
        <v>2043360.8677152386</v>
      </c>
      <c r="G85" s="202">
        <f>'LCoP 2030 MEDIUM'!E9</f>
        <v>917.57099378146563</v>
      </c>
      <c r="H85" s="202">
        <f>G85*F85</f>
        <v>1874928662.0436294</v>
      </c>
      <c r="I85" s="209">
        <f>'LCoP 2030 MEDIUM'!H9</f>
        <v>-1.9403410024069152E-2</v>
      </c>
      <c r="L85" s="202">
        <f>I85*H85</f>
        <v>-36380009.595511921</v>
      </c>
      <c r="M85" s="209">
        <f>'LCoP 2030 MEDIUM'!F9</f>
        <v>0.65934952619490772</v>
      </c>
      <c r="O85" s="202">
        <f>M85*H85</f>
        <v>1236233324.9677193</v>
      </c>
      <c r="P85" s="219">
        <f>'LCoP 2030 MEDIUM'!G9</f>
        <v>0.36005388382916148</v>
      </c>
      <c r="R85" s="202">
        <f>P85*H85</f>
        <v>675075346.67142212</v>
      </c>
      <c r="S85" s="202">
        <f>L85+O85+R85</f>
        <v>1874928662.0436296</v>
      </c>
    </row>
    <row r="86" spans="1:19" x14ac:dyDescent="0.35">
      <c r="C86">
        <f>C85/C84</f>
        <v>0.79220759669282381</v>
      </c>
      <c r="D86" s="2"/>
      <c r="E86" s="2"/>
      <c r="F86" s="150" t="s">
        <v>178</v>
      </c>
      <c r="G86" s="2">
        <f>SUMIF($J$86:$J$94,F86,$L$86:$L$94)/$L$85</f>
        <v>-0.22009679420925193</v>
      </c>
      <c r="I86" s="5" t="s">
        <v>19</v>
      </c>
      <c r="J86" s="147" t="s">
        <v>179</v>
      </c>
      <c r="K86" s="6">
        <f>'Feedstock MIX per IVC'!G20</f>
        <v>0.84774671077551111</v>
      </c>
      <c r="L86" s="2">
        <f t="shared" ref="L86:L94" si="15">K86*F$85</f>
        <v>1732252.4545329879</v>
      </c>
      <c r="M86" s="5" t="s">
        <v>211</v>
      </c>
      <c r="N86" s="34">
        <v>0.05</v>
      </c>
      <c r="O86" s="2">
        <f t="shared" ref="O86:O91" si="16">N86*O$85</f>
        <v>61811666.248385966</v>
      </c>
      <c r="P86" s="18" t="s">
        <v>217</v>
      </c>
      <c r="Q86" s="34">
        <v>0.2</v>
      </c>
      <c r="R86" s="2">
        <f>Q86*R$85</f>
        <v>135015069.33428442</v>
      </c>
    </row>
    <row r="87" spans="1:19" x14ac:dyDescent="0.35">
      <c r="D87" s="2"/>
      <c r="E87" s="2"/>
      <c r="F87" s="147" t="s">
        <v>179</v>
      </c>
      <c r="G87" s="2">
        <f t="shared" ref="G87:G89" si="17">SUMIF($J$86:$J$94,F87,$L$86:$L$94)/$L$85</f>
        <v>-1.0327496846699282</v>
      </c>
      <c r="I87" s="5" t="s">
        <v>7</v>
      </c>
      <c r="J87" s="147" t="s">
        <v>179</v>
      </c>
      <c r="K87" s="6">
        <f>'Feedstock MIX per IVC'!G21</f>
        <v>0.68717839699555039</v>
      </c>
      <c r="L87" s="2">
        <f t="shared" si="15"/>
        <v>1404153.4455599946</v>
      </c>
      <c r="M87" t="s">
        <v>212</v>
      </c>
      <c r="N87" s="34">
        <v>0.02</v>
      </c>
      <c r="O87" s="2">
        <f t="shared" si="16"/>
        <v>24724666.499354389</v>
      </c>
      <c r="P87" s="18" t="s">
        <v>177</v>
      </c>
      <c r="Q87" s="34">
        <v>0.5</v>
      </c>
      <c r="R87" s="2">
        <f>Q87*R$85</f>
        <v>337537673.33571106</v>
      </c>
    </row>
    <row r="88" spans="1:19" x14ac:dyDescent="0.35">
      <c r="D88" s="2"/>
      <c r="E88" s="2"/>
      <c r="F88" s="152" t="s">
        <v>180</v>
      </c>
      <c r="G88" s="2">
        <f t="shared" si="17"/>
        <v>2.3767118379834078</v>
      </c>
      <c r="I88" s="5" t="s">
        <v>8</v>
      </c>
      <c r="J88" s="147" t="s">
        <v>179</v>
      </c>
      <c r="K88" s="6">
        <f>'Feedstock MIX per IVC'!G22</f>
        <v>0.31285048268727833</v>
      </c>
      <c r="L88" s="2">
        <f t="shared" si="15"/>
        <v>639266.43376900826</v>
      </c>
      <c r="M88" s="5" t="s">
        <v>210</v>
      </c>
      <c r="N88" s="34">
        <v>0.4</v>
      </c>
      <c r="O88" s="2">
        <f t="shared" si="16"/>
        <v>494493329.98708773</v>
      </c>
      <c r="P88" s="18" t="s">
        <v>218</v>
      </c>
      <c r="Q88" s="34">
        <v>0.15</v>
      </c>
      <c r="R88" s="2">
        <f>Q88*R$85</f>
        <v>101261302.00071332</v>
      </c>
    </row>
    <row r="89" spans="1:19" x14ac:dyDescent="0.35">
      <c r="D89" s="2"/>
      <c r="E89" s="2"/>
      <c r="F89" s="239" t="s">
        <v>259</v>
      </c>
      <c r="G89" s="2">
        <f t="shared" si="17"/>
        <v>-0.12386535910422779</v>
      </c>
      <c r="I89" s="5" t="s">
        <v>20</v>
      </c>
      <c r="J89" s="150" t="s">
        <v>178</v>
      </c>
      <c r="K89" s="6">
        <f>'Feedstock MIX per IVC'!G23</f>
        <v>3.9186046927810039</v>
      </c>
      <c r="L89" s="2">
        <f t="shared" si="15"/>
        <v>8007123.4852739982</v>
      </c>
      <c r="M89" t="s">
        <v>213</v>
      </c>
      <c r="N89" s="34">
        <v>0.3</v>
      </c>
      <c r="O89" s="2">
        <f t="shared" si="16"/>
        <v>370869997.49031579</v>
      </c>
      <c r="P89" s="18" t="s">
        <v>219</v>
      </c>
      <c r="Q89" s="34">
        <v>0.1</v>
      </c>
      <c r="R89" s="2">
        <f>Q89*R$85</f>
        <v>67507534.667142212</v>
      </c>
    </row>
    <row r="90" spans="1:19" x14ac:dyDescent="0.35">
      <c r="D90" s="2"/>
      <c r="E90" s="2"/>
      <c r="G90" s="2">
        <f>SUM(G86:G89)</f>
        <v>0.99999999999999978</v>
      </c>
      <c r="I90" s="5" t="s">
        <v>4</v>
      </c>
      <c r="J90" s="147" t="s">
        <v>179</v>
      </c>
      <c r="K90" s="6">
        <f>'Feedstock MIX per IVC'!G24</f>
        <v>16.539306217594486</v>
      </c>
      <c r="L90" s="2">
        <f t="shared" si="15"/>
        <v>33795771.104191907</v>
      </c>
      <c r="M90" t="s">
        <v>214</v>
      </c>
      <c r="N90" s="34">
        <v>0.2</v>
      </c>
      <c r="O90" s="2">
        <f t="shared" si="16"/>
        <v>247246664.99354386</v>
      </c>
      <c r="P90" s="18" t="s">
        <v>220</v>
      </c>
      <c r="Q90" s="34">
        <v>0.05</v>
      </c>
      <c r="R90" s="2">
        <f>Q90*R$85</f>
        <v>33753767.333571106</v>
      </c>
    </row>
    <row r="91" spans="1:19" x14ac:dyDescent="0.35">
      <c r="D91" s="2"/>
      <c r="E91" s="2"/>
      <c r="G91" s="2"/>
      <c r="I91" s="5" t="s">
        <v>21</v>
      </c>
      <c r="J91" s="147" t="s">
        <v>179</v>
      </c>
      <c r="K91" s="6">
        <f>'Feedstock MIX per IVC'!G25</f>
        <v>0</v>
      </c>
      <c r="L91" s="2">
        <f t="shared" si="15"/>
        <v>0</v>
      </c>
      <c r="M91" t="s">
        <v>216</v>
      </c>
      <c r="N91" s="34">
        <v>0.03</v>
      </c>
      <c r="O91" s="2">
        <f t="shared" si="16"/>
        <v>37086999.749031581</v>
      </c>
      <c r="R91" s="2"/>
    </row>
    <row r="92" spans="1:19" x14ac:dyDescent="0.35">
      <c r="D92" s="2"/>
      <c r="E92" s="2"/>
      <c r="G92" s="2"/>
      <c r="I92" s="5" t="s">
        <v>22</v>
      </c>
      <c r="J92" s="152" t="s">
        <v>180</v>
      </c>
      <c r="K92" s="6">
        <f>'Feedstock MIX per IVC'!G26</f>
        <v>0</v>
      </c>
      <c r="L92" s="2">
        <f t="shared" si="15"/>
        <v>0</v>
      </c>
      <c r="N92" s="34">
        <f>SUM(N86:N91)</f>
        <v>1</v>
      </c>
      <c r="O92" s="2"/>
    </row>
    <row r="93" spans="1:19" x14ac:dyDescent="0.35">
      <c r="D93" s="2"/>
      <c r="E93" s="2"/>
      <c r="G93" s="2"/>
      <c r="I93" s="12" t="s">
        <v>23</v>
      </c>
      <c r="J93" s="152" t="s">
        <v>180</v>
      </c>
      <c r="K93" s="6">
        <f>'Feedstock MIX per IVC'!G27</f>
        <v>-42.314992343120878</v>
      </c>
      <c r="L93" s="2">
        <f t="shared" si="15"/>
        <v>-86464799.471603155</v>
      </c>
      <c r="M93" s="2"/>
    </row>
    <row r="94" spans="1:19" s="78" customFormat="1" x14ac:dyDescent="0.35">
      <c r="D94" s="93"/>
      <c r="E94" s="93"/>
      <c r="F94" s="213"/>
      <c r="G94" s="220"/>
      <c r="I94" s="13" t="s">
        <v>24</v>
      </c>
      <c r="J94" s="239" t="s">
        <v>259</v>
      </c>
      <c r="K94" s="6">
        <f>'Feedstock MIX per IVC'!G28</f>
        <v>2.2052996237526661</v>
      </c>
      <c r="L94" s="2">
        <f t="shared" si="15"/>
        <v>4506222.9527633367</v>
      </c>
    </row>
    <row r="95" spans="1:19" s="78" customFormat="1" x14ac:dyDescent="0.35">
      <c r="A95" s="202" t="s">
        <v>59</v>
      </c>
      <c r="B95" s="202">
        <v>1275</v>
      </c>
      <c r="C95" s="203">
        <f>B95*F95</f>
        <v>683354282.14285696</v>
      </c>
      <c r="D95" s="202">
        <f>'[2]GAP analysis Sc. 1'!$S$13</f>
        <v>0.25602567252180314</v>
      </c>
      <c r="E95" s="202">
        <f>'[1]Conversion factors selected IV '!$O$50</f>
        <v>2.0934000000000004</v>
      </c>
      <c r="F95" s="202">
        <f>D95*E95*1000000</f>
        <v>535964.14285714272</v>
      </c>
      <c r="G95" s="202">
        <f>'LCoP 2030 MEDIUM'!E13</f>
        <v>1303.9013174166969</v>
      </c>
      <c r="H95" s="202">
        <f>G95*F95</f>
        <v>698844351.95953918</v>
      </c>
      <c r="I95" s="202">
        <f>'LCoP 2030 MEDIUM'!H13</f>
        <v>0.17938575127763864</v>
      </c>
      <c r="J95" s="202"/>
      <c r="K95" s="202"/>
      <c r="L95" s="202">
        <f>I95*H95</f>
        <v>125362719.10239646</v>
      </c>
      <c r="M95" s="202">
        <f>'LCoP 2030 MEDIUM'!F13</f>
        <v>0.61354336353073746</v>
      </c>
      <c r="N95" s="202"/>
      <c r="O95" s="202">
        <f>M95*H95</f>
        <v>428771314.28571421</v>
      </c>
      <c r="P95" s="202">
        <f>'LCoP 2030 MEDIUM'!G13</f>
        <v>0.20707088519162389</v>
      </c>
      <c r="Q95" s="202"/>
      <c r="R95" s="202">
        <v>299326405.695804</v>
      </c>
      <c r="S95" s="202"/>
    </row>
    <row r="96" spans="1:19" s="78" customFormat="1" x14ac:dyDescent="0.35">
      <c r="C96" s="78">
        <f>C95/C84</f>
        <v>0.20779240330717616</v>
      </c>
      <c r="D96" s="93"/>
      <c r="E96" s="93"/>
      <c r="F96" s="213"/>
      <c r="G96" s="152" t="s">
        <v>180</v>
      </c>
      <c r="H96" s="2">
        <f>(SUMIF($J$96:$J$105,G96,$L$96:$L$105)/$L$95)</f>
        <v>2.6151274528554303E-2</v>
      </c>
      <c r="I96" s="5" t="s">
        <v>4</v>
      </c>
      <c r="J96" s="147" t="s">
        <v>179</v>
      </c>
      <c r="K96" s="6">
        <f>'Feedstock MIX per IVC'!G45</f>
        <v>117.54871891316374</v>
      </c>
      <c r="L96" s="2">
        <f t="shared" ref="L96:L105" si="18">K96*$F$95</f>
        <v>63001898.376249008</v>
      </c>
      <c r="M96" s="5" t="s">
        <v>211</v>
      </c>
      <c r="N96" s="34">
        <v>0</v>
      </c>
      <c r="O96" s="2">
        <f t="shared" ref="O96:O101" ca="1" si="19">N96*O$99</f>
        <v>0</v>
      </c>
      <c r="P96" s="18" t="s">
        <v>217</v>
      </c>
      <c r="Q96" s="34">
        <v>0.25</v>
      </c>
      <c r="R96" s="102">
        <f ca="1">Q96*R$99</f>
        <v>0</v>
      </c>
    </row>
    <row r="97" spans="3:18" s="78" customFormat="1" x14ac:dyDescent="0.35">
      <c r="C97" s="78" t="s">
        <v>391</v>
      </c>
      <c r="D97" s="93"/>
      <c r="E97" s="93"/>
      <c r="F97" s="213"/>
      <c r="G97" s="150" t="s">
        <v>178</v>
      </c>
      <c r="H97" s="2">
        <f t="shared" ref="H97:H101" si="20">(SUMIF($J$96:$J$105,G97,$L$96:$L$105)/$L$95)</f>
        <v>1.256613512519144E-2</v>
      </c>
      <c r="I97" s="5" t="s">
        <v>5</v>
      </c>
      <c r="J97" s="147" t="s">
        <v>179</v>
      </c>
      <c r="K97" s="6">
        <f>'Feedstock MIX per IVC'!G46</f>
        <v>6.0251342168452338</v>
      </c>
      <c r="L97" s="2">
        <f t="shared" si="18"/>
        <v>3229255.8961306978</v>
      </c>
      <c r="M97" t="s">
        <v>212</v>
      </c>
      <c r="N97" s="34">
        <v>0.02</v>
      </c>
      <c r="O97" s="2">
        <f t="shared" ca="1" si="19"/>
        <v>0</v>
      </c>
      <c r="P97" s="18" t="s">
        <v>177</v>
      </c>
      <c r="Q97" s="34">
        <v>0.15</v>
      </c>
      <c r="R97" s="102">
        <f ca="1">Q97*R$99</f>
        <v>0</v>
      </c>
    </row>
    <row r="98" spans="3:18" s="78" customFormat="1" x14ac:dyDescent="0.35">
      <c r="D98" s="93"/>
      <c r="E98" s="93"/>
      <c r="F98" s="213"/>
      <c r="G98" s="147" t="s">
        <v>179</v>
      </c>
      <c r="H98" s="2">
        <f t="shared" si="20"/>
        <v>0.55870267766479131</v>
      </c>
      <c r="I98" s="5" t="s">
        <v>22</v>
      </c>
      <c r="J98" s="152" t="s">
        <v>180</v>
      </c>
      <c r="K98" s="6">
        <f>'Feedstock MIX per IVC'!G47</f>
        <v>0</v>
      </c>
      <c r="L98" s="2">
        <f t="shared" si="18"/>
        <v>0</v>
      </c>
      <c r="M98" s="5" t="s">
        <v>210</v>
      </c>
      <c r="N98" s="34">
        <v>0.55000000000000004</v>
      </c>
      <c r="O98" s="2">
        <f t="shared" ca="1" si="19"/>
        <v>0</v>
      </c>
      <c r="P98" s="18" t="s">
        <v>218</v>
      </c>
      <c r="Q98" s="34">
        <v>0.3</v>
      </c>
      <c r="R98" s="102">
        <f ca="1">Q98*R$99</f>
        <v>0</v>
      </c>
    </row>
    <row r="99" spans="3:18" s="78" customFormat="1" x14ac:dyDescent="0.35">
      <c r="D99" s="93"/>
      <c r="E99" s="93"/>
      <c r="F99" s="213"/>
      <c r="G99" s="171" t="s">
        <v>222</v>
      </c>
      <c r="H99" s="2">
        <f t="shared" si="20"/>
        <v>0.19327430060779432</v>
      </c>
      <c r="I99" s="5" t="s">
        <v>6</v>
      </c>
      <c r="J99" s="150" t="s">
        <v>178</v>
      </c>
      <c r="K99" s="6">
        <f>'Feedstock MIX per IVC'!G48</f>
        <v>2.9392355606185081</v>
      </c>
      <c r="L99" s="2">
        <f t="shared" si="18"/>
        <v>1575324.867902132</v>
      </c>
      <c r="M99" t="s">
        <v>213</v>
      </c>
      <c r="N99" s="34">
        <v>0.1</v>
      </c>
      <c r="O99" s="2">
        <f t="shared" ca="1" si="19"/>
        <v>0</v>
      </c>
      <c r="P99" s="18" t="s">
        <v>219</v>
      </c>
      <c r="Q99" s="34">
        <v>0.3</v>
      </c>
      <c r="R99" s="102">
        <f ca="1">Q99*R$99</f>
        <v>0</v>
      </c>
    </row>
    <row r="100" spans="3:18" s="78" customFormat="1" x14ac:dyDescent="0.35">
      <c r="D100" s="93"/>
      <c r="E100" s="93"/>
      <c r="F100" s="213"/>
      <c r="G100" s="149" t="s">
        <v>176</v>
      </c>
      <c r="H100" s="2">
        <f t="shared" si="20"/>
        <v>0.15928808552421281</v>
      </c>
      <c r="I100" s="5" t="s">
        <v>7</v>
      </c>
      <c r="J100" s="147" t="s">
        <v>179</v>
      </c>
      <c r="K100" s="6">
        <f>'Feedstock MIX per IVC'!G49</f>
        <v>4.8839376433878465</v>
      </c>
      <c r="L100" s="2">
        <f t="shared" si="18"/>
        <v>2617615.4528061007</v>
      </c>
      <c r="M100" t="s">
        <v>214</v>
      </c>
      <c r="N100" s="34">
        <v>0.3</v>
      </c>
      <c r="O100" s="2">
        <f t="shared" ca="1" si="19"/>
        <v>0</v>
      </c>
      <c r="P100" s="18" t="s">
        <v>220</v>
      </c>
      <c r="Q100" s="223">
        <v>0</v>
      </c>
      <c r="R100" s="102">
        <f ca="1">Q100*R$99</f>
        <v>0</v>
      </c>
    </row>
    <row r="101" spans="3:18" s="78" customFormat="1" x14ac:dyDescent="0.35">
      <c r="D101" s="93"/>
      <c r="E101" s="93"/>
      <c r="F101" s="213"/>
      <c r="G101" s="151" t="s">
        <v>77</v>
      </c>
      <c r="H101" s="2">
        <f t="shared" si="20"/>
        <v>5.0017526549455724E-2</v>
      </c>
      <c r="I101" s="5" t="s">
        <v>8</v>
      </c>
      <c r="J101" s="147" t="s">
        <v>179</v>
      </c>
      <c r="K101" s="6">
        <f>'Feedstock MIX per IVC'!G50</f>
        <v>2.2235015766340371</v>
      </c>
      <c r="L101" s="2">
        <f t="shared" si="18"/>
        <v>1191717.1166621672</v>
      </c>
      <c r="M101" t="s">
        <v>216</v>
      </c>
      <c r="N101" s="34">
        <v>0.03</v>
      </c>
      <c r="O101" s="2">
        <f t="shared" ca="1" si="19"/>
        <v>0</v>
      </c>
      <c r="P101"/>
      <c r="Q101"/>
      <c r="R101" s="102"/>
    </row>
    <row r="102" spans="3:18" s="78" customFormat="1" x14ac:dyDescent="0.35">
      <c r="D102" s="93"/>
      <c r="E102" s="93"/>
      <c r="F102" s="213"/>
      <c r="G102" s="220"/>
      <c r="I102" s="5" t="s">
        <v>9</v>
      </c>
      <c r="J102" s="171" t="s">
        <v>222</v>
      </c>
      <c r="K102" s="6">
        <f>'Feedstock MIX per IVC'!G51</f>
        <v>45.207113534953805</v>
      </c>
      <c r="L102" s="2">
        <f t="shared" si="18"/>
        <v>24229391.856807053</v>
      </c>
      <c r="M102"/>
      <c r="N102" s="118"/>
      <c r="O102" s="2"/>
      <c r="P102" s="18"/>
      <c r="Q102" s="118"/>
      <c r="R102" s="2"/>
    </row>
    <row r="103" spans="3:18" s="78" customFormat="1" x14ac:dyDescent="0.35">
      <c r="D103" s="93"/>
      <c r="E103" s="93"/>
      <c r="F103" s="213"/>
      <c r="G103" s="220"/>
      <c r="H103" s="2">
        <f>SUM(H96:H101)</f>
        <v>0.99999999999999978</v>
      </c>
      <c r="I103" s="5" t="s">
        <v>10</v>
      </c>
      <c r="J103" s="149" t="s">
        <v>176</v>
      </c>
      <c r="K103" s="6">
        <f>'Feedstock MIX per IVC'!G52</f>
        <v>37.257693052896869</v>
      </c>
      <c r="L103" s="2">
        <f t="shared" si="18"/>
        <v>19968787.521930393</v>
      </c>
    </row>
    <row r="104" spans="3:18" s="78" customFormat="1" x14ac:dyDescent="0.35">
      <c r="D104" s="93"/>
      <c r="E104" s="93"/>
      <c r="F104" s="213"/>
      <c r="G104" s="220"/>
      <c r="I104" s="5" t="s">
        <v>11</v>
      </c>
      <c r="J104" s="152" t="s">
        <v>180</v>
      </c>
      <c r="K104" s="6">
        <f>'Feedstock MIX per IVC'!G53</f>
        <v>6.1168175643545624</v>
      </c>
      <c r="L104" s="2">
        <f t="shared" si="18"/>
        <v>3278394.8828928084</v>
      </c>
    </row>
    <row r="105" spans="3:18" s="78" customFormat="1" x14ac:dyDescent="0.35">
      <c r="D105" s="93"/>
      <c r="E105" s="93"/>
      <c r="F105" s="213"/>
      <c r="G105" s="220"/>
      <c r="I105" s="235" t="s">
        <v>32</v>
      </c>
      <c r="J105" s="151" t="s">
        <v>77</v>
      </c>
      <c r="K105" s="6">
        <f>'Feedstock MIX per IVC'!G54</f>
        <v>11.699165353842311</v>
      </c>
      <c r="L105" s="2">
        <f t="shared" si="18"/>
        <v>6270333.1310160747</v>
      </c>
    </row>
    <row r="106" spans="3:18" s="78" customFormat="1" x14ac:dyDescent="0.35">
      <c r="D106" s="93"/>
      <c r="E106" s="93"/>
      <c r="F106" s="213"/>
      <c r="G106" s="220"/>
      <c r="I106" s="14"/>
      <c r="J106"/>
      <c r="K106" s="6"/>
      <c r="L106" s="2">
        <f>SUM(L96:L105)</f>
        <v>125362719.10239644</v>
      </c>
    </row>
    <row r="107" spans="3:18" s="78" customFormat="1" x14ac:dyDescent="0.35">
      <c r="D107" s="93"/>
      <c r="E107" s="93"/>
      <c r="F107" s="213"/>
      <c r="G107" s="220"/>
      <c r="I107" s="14"/>
      <c r="J107"/>
      <c r="K107" s="6"/>
      <c r="L107" s="2"/>
    </row>
    <row r="108" spans="3:18" s="78" customFormat="1" x14ac:dyDescent="0.35">
      <c r="D108" s="93"/>
      <c r="E108" s="93"/>
      <c r="F108" s="213"/>
      <c r="G108" s="220"/>
      <c r="I108" s="14"/>
      <c r="J108"/>
      <c r="K108" s="6"/>
      <c r="L108" s="2"/>
    </row>
    <row r="109" spans="3:18" s="78" customFormat="1" x14ac:dyDescent="0.35">
      <c r="D109" s="93"/>
      <c r="E109" s="93"/>
      <c r="F109" s="213"/>
      <c r="G109" s="220"/>
      <c r="I109" s="145" t="s">
        <v>181</v>
      </c>
      <c r="J109"/>
      <c r="K109" s="6"/>
      <c r="L109" s="2">
        <f>SUM(L110:L113)</f>
        <v>-36380009.595511928</v>
      </c>
      <c r="O109" s="2">
        <f>SUM(O110:O115)</f>
        <v>1236233324.9677193</v>
      </c>
      <c r="R109" s="2">
        <f>SUM(R110:R115)</f>
        <v>675075346.67142212</v>
      </c>
    </row>
    <row r="110" spans="3:18" s="78" customFormat="1" x14ac:dyDescent="0.35">
      <c r="D110" s="93"/>
      <c r="E110" s="93"/>
      <c r="F110" s="213"/>
      <c r="G110" s="220"/>
      <c r="I110" s="14"/>
      <c r="J110" s="150" t="s">
        <v>178</v>
      </c>
      <c r="K110" s="6"/>
      <c r="L110" s="2">
        <f>SUMIF($J$86:$J$94, J110, $L$86:$L$94)</f>
        <v>8007123.4852739982</v>
      </c>
      <c r="M110" s="5" t="s">
        <v>211</v>
      </c>
      <c r="O110" s="1">
        <f t="shared" ref="O110:O115" si="21">SUMIF($M$86:$M$91, M110, $O$86:$O$91)</f>
        <v>61811666.248385966</v>
      </c>
      <c r="P110" s="18" t="s">
        <v>217</v>
      </c>
      <c r="R110">
        <f>SUMIF($P$86:$P$90, P110, $R$86:$R$90)</f>
        <v>135015069.33428442</v>
      </c>
    </row>
    <row r="111" spans="3:18" s="78" customFormat="1" x14ac:dyDescent="0.35">
      <c r="D111" s="93"/>
      <c r="E111" s="93"/>
      <c r="F111" s="213"/>
      <c r="G111" s="220"/>
      <c r="I111" s="14"/>
      <c r="J111" s="147" t="s">
        <v>179</v>
      </c>
      <c r="K111" s="6"/>
      <c r="L111" s="2">
        <f>SUMIF($J$86:$J$94, J111, $L$86:$L$94)</f>
        <v>37571443.438053899</v>
      </c>
      <c r="M111" t="s">
        <v>212</v>
      </c>
      <c r="O111" s="1">
        <f t="shared" si="21"/>
        <v>24724666.499354389</v>
      </c>
      <c r="P111" s="18" t="s">
        <v>177</v>
      </c>
      <c r="R111">
        <f>SUMIF($P$86:$P$90, P111, $R$86:$R$90)</f>
        <v>337537673.33571106</v>
      </c>
    </row>
    <row r="112" spans="3:18" s="78" customFormat="1" x14ac:dyDescent="0.35">
      <c r="D112" s="93"/>
      <c r="E112" s="93"/>
      <c r="F112" s="213"/>
      <c r="G112" s="220"/>
      <c r="I112" s="14"/>
      <c r="J112" s="152" t="s">
        <v>180</v>
      </c>
      <c r="K112" s="6"/>
      <c r="L112" s="2">
        <f>SUMIF($J$86:$J$94, J112, $L$86:$L$94)</f>
        <v>-86464799.471603155</v>
      </c>
      <c r="M112" s="5" t="s">
        <v>210</v>
      </c>
      <c r="O112" s="1">
        <f t="shared" si="21"/>
        <v>494493329.98708773</v>
      </c>
      <c r="P112" s="18" t="s">
        <v>218</v>
      </c>
      <c r="R112">
        <f>SUMIF($P$86:$P$90, P112, $R$86:$R$90)</f>
        <v>101261302.00071332</v>
      </c>
    </row>
    <row r="113" spans="1:19" s="78" customFormat="1" x14ac:dyDescent="0.35">
      <c r="D113" s="93"/>
      <c r="E113" s="93"/>
      <c r="F113" s="213"/>
      <c r="G113" s="220"/>
      <c r="I113" s="14"/>
      <c r="J113" s="239" t="s">
        <v>259</v>
      </c>
      <c r="K113" s="6"/>
      <c r="L113" s="2">
        <f>SUMIF($J$86:$J$94, J113, $L$86:$L$94)</f>
        <v>4506222.9527633367</v>
      </c>
      <c r="M113" t="s">
        <v>213</v>
      </c>
      <c r="O113" s="1">
        <f t="shared" si="21"/>
        <v>370869997.49031579</v>
      </c>
      <c r="P113" s="18" t="s">
        <v>219</v>
      </c>
      <c r="R113">
        <f>SUMIF($P$86:$P$90, P113, $R$86:$R$90)</f>
        <v>67507534.667142212</v>
      </c>
    </row>
    <row r="114" spans="1:19" s="78" customFormat="1" x14ac:dyDescent="0.35">
      <c r="D114" s="93"/>
      <c r="E114" s="93"/>
      <c r="F114" s="213"/>
      <c r="G114" s="220"/>
      <c r="I114" s="14"/>
      <c r="K114" s="6"/>
      <c r="L114" s="2"/>
      <c r="M114" t="s">
        <v>214</v>
      </c>
      <c r="O114" s="1">
        <f t="shared" si="21"/>
        <v>247246664.99354386</v>
      </c>
      <c r="P114" s="18" t="s">
        <v>220</v>
      </c>
      <c r="R114">
        <f>SUMIF($P$86:$P$90, P114, $R$86:$R$90)</f>
        <v>33753767.333571106</v>
      </c>
    </row>
    <row r="115" spans="1:19" s="78" customFormat="1" x14ac:dyDescent="0.35">
      <c r="D115" s="93"/>
      <c r="E115" s="93"/>
      <c r="F115" s="213"/>
      <c r="G115" s="220"/>
      <c r="I115" s="14"/>
      <c r="K115" s="6"/>
      <c r="L115" s="2"/>
      <c r="M115" t="s">
        <v>216</v>
      </c>
      <c r="O115" s="1">
        <f t="shared" si="21"/>
        <v>37086999.749031581</v>
      </c>
    </row>
    <row r="116" spans="1:19" s="78" customFormat="1" x14ac:dyDescent="0.35">
      <c r="D116" s="93"/>
      <c r="E116" s="93"/>
      <c r="F116" s="213"/>
      <c r="G116" s="220"/>
      <c r="I116" s="14"/>
      <c r="J116" s="14"/>
      <c r="K116" s="6"/>
      <c r="L116" s="2"/>
    </row>
    <row r="117" spans="1:19" s="91" customFormat="1" ht="26" customHeight="1" x14ac:dyDescent="0.35">
      <c r="A117" s="91" t="s">
        <v>80</v>
      </c>
      <c r="D117" s="92"/>
      <c r="E117" s="92"/>
      <c r="F117" s="169"/>
      <c r="I117" s="94"/>
    </row>
    <row r="118" spans="1:19" ht="16" customHeight="1" x14ac:dyDescent="0.35">
      <c r="C118" s="2">
        <f>C119+C126+C138</f>
        <v>3213661588.9139953</v>
      </c>
      <c r="D118" s="2">
        <f>D119+D126+D138</f>
        <v>1.3853744421242267</v>
      </c>
      <c r="E118" s="2"/>
      <c r="F118" s="2">
        <f>F119+F126+F138</f>
        <v>1350277.978535292</v>
      </c>
      <c r="I118" s="6"/>
    </row>
    <row r="119" spans="1:19" s="202" customFormat="1" x14ac:dyDescent="0.35">
      <c r="A119" s="202" t="s">
        <v>74</v>
      </c>
      <c r="B119" s="202">
        <v>2380</v>
      </c>
      <c r="C119" s="202">
        <f>B119*F119</f>
        <v>2880669767.4418602</v>
      </c>
      <c r="D119" s="202">
        <f>'[2]GAP analysis Sc. 1'!$C$96</f>
        <v>1.24309052941899</v>
      </c>
      <c r="E119" s="202">
        <f>'[1]Conversion factors selected IV '!$O$78</f>
        <v>0.97367441860465131</v>
      </c>
      <c r="F119" s="202">
        <f>D119*E119*1000000</f>
        <v>1210365.4485049832</v>
      </c>
      <c r="G119" s="202">
        <f>'LCoP 2030 MEDIUM'!E4</f>
        <v>2458.9116359684313</v>
      </c>
      <c r="H119" s="202">
        <f>G119*F119</f>
        <v>2976181685.1030521</v>
      </c>
      <c r="I119" s="209">
        <f>'LCoP 2030 MEDIUM'!H4</f>
        <v>0.67444946443359</v>
      </c>
      <c r="K119" s="202">
        <f>I119*G119</f>
        <v>1658.411635968431</v>
      </c>
      <c r="L119" s="202">
        <f>I119*H119</f>
        <v>2007284143.5748129</v>
      </c>
      <c r="M119" s="209">
        <f>'LCoP 2030 MEDIUM'!F4</f>
        <v>0.15291318097810136</v>
      </c>
      <c r="O119" s="202">
        <f>M119*H119</f>
        <v>455097408.63787371</v>
      </c>
      <c r="P119" s="219">
        <f>'LCoP 2030 MEDIUM'!G4</f>
        <v>0.17263735458830856</v>
      </c>
      <c r="R119" s="202">
        <f>P119*H119</f>
        <v>513800132.8903653</v>
      </c>
      <c r="S119" s="202">
        <f>SUM(L119,O119,R119)</f>
        <v>2976181685.1030517</v>
      </c>
    </row>
    <row r="120" spans="1:19" x14ac:dyDescent="0.35">
      <c r="C120">
        <f>C119/$C$118</f>
        <v>0.89638242476406349</v>
      </c>
      <c r="D120" s="2"/>
      <c r="E120" s="2"/>
      <c r="F120" s="147" t="s">
        <v>179</v>
      </c>
      <c r="G120" s="276">
        <f>SUMIF($J$120:$J$123,F120,$L$120:$L$123)/$L$119</f>
        <v>0.29874171376653974</v>
      </c>
      <c r="I120" s="4" t="s">
        <v>1</v>
      </c>
      <c r="J120" s="147" t="s">
        <v>179</v>
      </c>
      <c r="K120" s="6">
        <f>'Feedstock MIX per IVC'!G9</f>
        <v>353.01401558416768</v>
      </c>
      <c r="L120" s="2">
        <f>K120*F$119</f>
        <v>427275967.30107623</v>
      </c>
      <c r="M120" s="5" t="s">
        <v>210</v>
      </c>
      <c r="N120" s="118">
        <v>0.45</v>
      </c>
      <c r="O120" s="2">
        <f t="shared" ref="O120:O125" si="22">N120*$O$119</f>
        <v>204793833.88704318</v>
      </c>
      <c r="P120" s="18" t="s">
        <v>217</v>
      </c>
      <c r="Q120" s="118">
        <v>0.35</v>
      </c>
      <c r="R120" s="2">
        <f t="shared" ref="R120:R125" si="23">Q120*$R$119</f>
        <v>179830046.51162785</v>
      </c>
    </row>
    <row r="121" spans="1:19" x14ac:dyDescent="0.35">
      <c r="D121" s="2"/>
      <c r="E121" s="2"/>
      <c r="F121" s="151" t="s">
        <v>77</v>
      </c>
      <c r="G121" s="276">
        <f>SUMIF($J$120:$J$123,F121,$L$120:$L$123)/$L$119/2</f>
        <v>0.2980347716492206</v>
      </c>
      <c r="I121" s="215" t="s">
        <v>132</v>
      </c>
      <c r="J121" s="147" t="s">
        <v>179</v>
      </c>
      <c r="K121" s="6">
        <f>'Feedstock MIX per IVC'!G10</f>
        <v>142.4227186754122</v>
      </c>
      <c r="L121" s="2">
        <f>K121*F$119</f>
        <v>172383537.76686433</v>
      </c>
      <c r="M121" t="s">
        <v>213</v>
      </c>
      <c r="N121" s="118">
        <v>0.15</v>
      </c>
      <c r="O121" s="2">
        <f t="shared" si="22"/>
        <v>68264611.295681059</v>
      </c>
      <c r="P121" s="18" t="s">
        <v>177</v>
      </c>
      <c r="Q121" s="118">
        <v>0.25</v>
      </c>
      <c r="R121" s="2">
        <f t="shared" si="23"/>
        <v>128450033.22259133</v>
      </c>
    </row>
    <row r="122" spans="1:19" x14ac:dyDescent="0.35">
      <c r="D122" s="2"/>
      <c r="E122" s="2"/>
      <c r="F122" s="239" t="s">
        <v>259</v>
      </c>
      <c r="G122" s="276">
        <f>SUMIF($J$120:$J$123,F122,$L$120:$L$123)/$L$119</f>
        <v>0.10518874293501905</v>
      </c>
      <c r="I122" s="216" t="s">
        <v>300</v>
      </c>
      <c r="J122" s="151" t="s">
        <v>77</v>
      </c>
      <c r="K122" s="6">
        <f>'Feedstock MIX per IVC'!G11*0.85</f>
        <v>988.52866645252345</v>
      </c>
      <c r="L122" s="2">
        <f>K122*F$119</f>
        <v>1196480942.7308414</v>
      </c>
      <c r="M122" s="5" t="s">
        <v>214</v>
      </c>
      <c r="N122" s="118">
        <v>0.3</v>
      </c>
      <c r="O122" s="2">
        <f t="shared" si="22"/>
        <v>136529222.59136212</v>
      </c>
      <c r="P122" s="18" t="s">
        <v>218</v>
      </c>
      <c r="Q122" s="118">
        <v>0.2</v>
      </c>
      <c r="R122" s="2">
        <f t="shared" si="23"/>
        <v>102760026.57807307</v>
      </c>
    </row>
    <row r="123" spans="1:19" x14ac:dyDescent="0.35">
      <c r="D123" s="2"/>
      <c r="E123" s="2"/>
      <c r="F123" s="1" t="s">
        <v>78</v>
      </c>
      <c r="G123" s="276">
        <f>G121</f>
        <v>0.2980347716492206</v>
      </c>
      <c r="I123" s="217" t="s">
        <v>301</v>
      </c>
      <c r="J123" s="239" t="s">
        <v>259</v>
      </c>
      <c r="K123" s="6">
        <f>'Feedstock MIX per IVC'!G11*0.15</f>
        <v>174.44623525632767</v>
      </c>
      <c r="L123" s="2">
        <f>K123*F$119</f>
        <v>211143695.77603087</v>
      </c>
      <c r="M123" t="s">
        <v>211</v>
      </c>
      <c r="N123" s="118">
        <v>0.05</v>
      </c>
      <c r="O123" s="2">
        <f t="shared" si="22"/>
        <v>22754870.431893688</v>
      </c>
      <c r="P123" s="18" t="s">
        <v>219</v>
      </c>
      <c r="Q123" s="118">
        <v>0.15</v>
      </c>
      <c r="R123" s="2">
        <f t="shared" si="23"/>
        <v>77070019.933554798</v>
      </c>
    </row>
    <row r="124" spans="1:19" x14ac:dyDescent="0.35">
      <c r="D124" s="2"/>
      <c r="E124" s="2"/>
      <c r="G124" s="2">
        <f>SUM(G120:G123)</f>
        <v>1</v>
      </c>
      <c r="L124" s="2"/>
      <c r="M124" t="s">
        <v>216</v>
      </c>
      <c r="N124" s="118">
        <v>0.03</v>
      </c>
      <c r="O124" s="2">
        <f t="shared" si="22"/>
        <v>13652922.259136211</v>
      </c>
      <c r="P124" s="102" t="s">
        <v>220</v>
      </c>
      <c r="Q124" s="118">
        <v>0.05</v>
      </c>
      <c r="R124" s="2">
        <f t="shared" si="23"/>
        <v>25690006.644518267</v>
      </c>
    </row>
    <row r="125" spans="1:19" x14ac:dyDescent="0.35">
      <c r="D125" s="2"/>
      <c r="E125" s="2"/>
      <c r="G125" s="2"/>
      <c r="M125" t="s">
        <v>212</v>
      </c>
      <c r="N125" s="118">
        <v>0.02</v>
      </c>
      <c r="O125" s="2">
        <f t="shared" si="22"/>
        <v>9101948.1727574747</v>
      </c>
      <c r="P125" t="s">
        <v>262</v>
      </c>
      <c r="Q125" s="118">
        <v>0</v>
      </c>
      <c r="R125">
        <f t="shared" si="23"/>
        <v>0</v>
      </c>
    </row>
    <row r="126" spans="1:19" s="202" customFormat="1" x14ac:dyDescent="0.35">
      <c r="A126" s="202" t="s">
        <v>414</v>
      </c>
      <c r="B126" s="202">
        <v>2380</v>
      </c>
      <c r="C126" s="202">
        <f>B126*F126</f>
        <v>208744186.04651168</v>
      </c>
      <c r="D126" s="202">
        <f>'[2]GAP analysis Sc. 1'!$C$98</f>
        <v>9.0079023870941327E-2</v>
      </c>
      <c r="E126" s="202">
        <f>'[1]Conversion factors selected IV '!$O$76</f>
        <v>0.97367441860465131</v>
      </c>
      <c r="F126" s="202">
        <f>D126*E126*1000000</f>
        <v>87707.641196013312</v>
      </c>
      <c r="G126" s="202">
        <f>'LCoP 2030 MEDIUM'!E16</f>
        <v>2774.1464744384461</v>
      </c>
      <c r="H126" s="202">
        <f>G126*F126</f>
        <v>243313843.60523254</v>
      </c>
      <c r="I126" s="222">
        <f>'LCoP 2030 MEDIUM'!H16</f>
        <v>0.22093154780607291</v>
      </c>
      <c r="L126" s="202">
        <f>I126*H126</f>
        <v>53755704.070348777</v>
      </c>
      <c r="M126" s="202">
        <f>'LCoP 2030 MEDIUM'!F16</f>
        <v>0.52088093159987259</v>
      </c>
      <c r="O126" s="202">
        <f>M126*H126</f>
        <v>126737541.52823922</v>
      </c>
      <c r="P126" s="202">
        <f>'LCoP 2030 MEDIUM'!G16</f>
        <v>0.25818752059405448</v>
      </c>
      <c r="R126" s="202">
        <f>P126*H126</f>
        <v>62820598.006644525</v>
      </c>
    </row>
    <row r="127" spans="1:19" s="78" customFormat="1" x14ac:dyDescent="0.35">
      <c r="C127">
        <f>C126/$C$118</f>
        <v>6.4955248171308974E-2</v>
      </c>
      <c r="F127" s="147" t="s">
        <v>179</v>
      </c>
      <c r="G127" s="2">
        <f>SUMIF($J$127:$J$136,F127,$L$127:$L$136)/$L$126</f>
        <v>0.5867142908452212</v>
      </c>
      <c r="I127" s="5" t="s">
        <v>4</v>
      </c>
      <c r="J127" s="147" t="s">
        <v>179</v>
      </c>
      <c r="K127" s="6">
        <f>'Feedstock MIX per IVC'!G69</f>
        <v>323.45827750709032</v>
      </c>
      <c r="L127" s="90">
        <f t="shared" ref="L127:L136" si="24">K127*F$126</f>
        <v>28369762.54547238</v>
      </c>
      <c r="M127" s="5" t="s">
        <v>211</v>
      </c>
      <c r="N127" s="34">
        <v>0</v>
      </c>
      <c r="O127" s="2">
        <f t="shared" ref="O127:O132" si="25">N127*O$126</f>
        <v>0</v>
      </c>
      <c r="P127" s="18" t="s">
        <v>217</v>
      </c>
      <c r="Q127" s="34">
        <v>0.25</v>
      </c>
      <c r="R127" s="2">
        <f>Q127*R$126</f>
        <v>15705149.501661131</v>
      </c>
    </row>
    <row r="128" spans="1:19" x14ac:dyDescent="0.35">
      <c r="F128" s="171" t="s">
        <v>222</v>
      </c>
      <c r="G128" s="2">
        <f t="shared" ref="G128:G132" si="26">SUMIF($J$127:$J$136,F128,$L$127:$L$136)/$L$126</f>
        <v>0.20296447243401905</v>
      </c>
      <c r="I128" s="5" t="s">
        <v>5</v>
      </c>
      <c r="J128" s="147" t="s">
        <v>179</v>
      </c>
      <c r="K128" s="6">
        <f>'Feedstock MIX per IVC'!G70</f>
        <v>16.579334539319635</v>
      </c>
      <c r="L128" s="90">
        <f t="shared" si="24"/>
        <v>1454134.3250433172</v>
      </c>
      <c r="M128" t="s">
        <v>212</v>
      </c>
      <c r="N128" s="34">
        <v>0.02</v>
      </c>
      <c r="O128" s="2">
        <f t="shared" si="25"/>
        <v>2534750.8305647844</v>
      </c>
      <c r="P128" s="18" t="s">
        <v>177</v>
      </c>
      <c r="Q128" s="34">
        <v>0.15</v>
      </c>
      <c r="R128" s="2">
        <f>Q128*R$126</f>
        <v>9423089.7009966783</v>
      </c>
    </row>
    <row r="129" spans="1:19" x14ac:dyDescent="0.35">
      <c r="F129" s="149" t="s">
        <v>176</v>
      </c>
      <c r="G129" s="2">
        <f t="shared" si="26"/>
        <v>0.16727429431527308</v>
      </c>
      <c r="I129" s="5" t="s">
        <v>22</v>
      </c>
      <c r="J129" s="152" t="s">
        <v>180</v>
      </c>
      <c r="K129" s="6">
        <f>'Feedstock MIX per IVC'!G71</f>
        <v>0</v>
      </c>
      <c r="L129" s="90">
        <f t="shared" si="24"/>
        <v>0</v>
      </c>
      <c r="M129" s="5" t="s">
        <v>210</v>
      </c>
      <c r="N129" s="34">
        <v>0.55000000000000004</v>
      </c>
      <c r="O129" s="2">
        <f t="shared" si="25"/>
        <v>69705647.840531573</v>
      </c>
      <c r="P129" s="18" t="s">
        <v>218</v>
      </c>
      <c r="Q129" s="34">
        <v>0.3</v>
      </c>
      <c r="R129" s="2">
        <f>Q129*R$126</f>
        <v>18846179.401993357</v>
      </c>
    </row>
    <row r="130" spans="1:19" x14ac:dyDescent="0.35">
      <c r="F130" s="152" t="s">
        <v>180</v>
      </c>
      <c r="G130" s="2">
        <f t="shared" si="26"/>
        <v>2.7462418032163219E-2</v>
      </c>
      <c r="H130" s="24"/>
      <c r="I130" s="5" t="s">
        <v>6</v>
      </c>
      <c r="J130" s="150" t="s">
        <v>178</v>
      </c>
      <c r="K130" s="6">
        <f>'Feedstock MIX per IVC'!G72</f>
        <v>8.0878811816534633</v>
      </c>
      <c r="L130" s="90">
        <f t="shared" si="24"/>
        <v>709368.98071645014</v>
      </c>
      <c r="M130" t="s">
        <v>213</v>
      </c>
      <c r="N130" s="34">
        <v>0.1</v>
      </c>
      <c r="O130" s="2">
        <f t="shared" si="25"/>
        <v>12673754.152823923</v>
      </c>
      <c r="P130" s="18" t="s">
        <v>219</v>
      </c>
      <c r="Q130" s="34">
        <v>0.3</v>
      </c>
      <c r="R130" s="2">
        <f>Q130*R$126</f>
        <v>18846179.401993357</v>
      </c>
    </row>
    <row r="131" spans="1:19" s="78" customFormat="1" x14ac:dyDescent="0.35">
      <c r="F131" s="150" t="s">
        <v>178</v>
      </c>
      <c r="G131" s="2">
        <f t="shared" si="26"/>
        <v>1.3196162025672965E-2</v>
      </c>
      <c r="I131" s="5" t="s">
        <v>7</v>
      </c>
      <c r="J131" s="147" t="s">
        <v>179</v>
      </c>
      <c r="K131" s="6">
        <f>'Feedstock MIX per IVC'!G73</f>
        <v>13.439109096112505</v>
      </c>
      <c r="L131" s="90">
        <f t="shared" si="24"/>
        <v>1178712.5585959144</v>
      </c>
      <c r="M131" t="s">
        <v>214</v>
      </c>
      <c r="N131" s="34">
        <v>0.3</v>
      </c>
      <c r="O131" s="2">
        <f t="shared" si="25"/>
        <v>38021262.458471768</v>
      </c>
      <c r="P131" s="18" t="s">
        <v>220</v>
      </c>
      <c r="Q131" s="223">
        <v>0</v>
      </c>
      <c r="R131" s="2">
        <f>Q131*R$126</f>
        <v>0</v>
      </c>
    </row>
    <row r="132" spans="1:19" x14ac:dyDescent="0.35">
      <c r="F132" s="151" t="s">
        <v>77</v>
      </c>
      <c r="G132" s="2">
        <f t="shared" si="26"/>
        <v>2.3883623476503237E-3</v>
      </c>
      <c r="I132" s="5" t="s">
        <v>8</v>
      </c>
      <c r="J132" s="147" t="s">
        <v>179</v>
      </c>
      <c r="K132" s="6">
        <f>'Feedstock MIX per IVC'!G74</f>
        <v>6.1183992191666858</v>
      </c>
      <c r="L132" s="90">
        <f t="shared" si="24"/>
        <v>536630.36340863968</v>
      </c>
      <c r="M132" t="s">
        <v>216</v>
      </c>
      <c r="N132" s="34">
        <v>0.03</v>
      </c>
      <c r="O132" s="2">
        <f t="shared" si="25"/>
        <v>3802126.2458471763</v>
      </c>
    </row>
    <row r="133" spans="1:19" x14ac:dyDescent="0.35">
      <c r="G133" s="2">
        <f>SUM(G127:G132)</f>
        <v>0.99999999999999978</v>
      </c>
      <c r="I133" s="5" t="s">
        <v>9</v>
      </c>
      <c r="J133" s="171" t="s">
        <v>222</v>
      </c>
      <c r="K133" s="6">
        <f>'Feedstock MIX per IVC'!G75</f>
        <v>124.39620959106945</v>
      </c>
      <c r="L133" s="90">
        <f t="shared" si="24"/>
        <v>10910498.11695759</v>
      </c>
      <c r="N133" s="34"/>
    </row>
    <row r="134" spans="1:19" x14ac:dyDescent="0.35">
      <c r="I134" s="5" t="s">
        <v>10</v>
      </c>
      <c r="J134" s="149" t="s">
        <v>176</v>
      </c>
      <c r="K134" s="6">
        <f>'Feedstock MIX per IVC'!G76</f>
        <v>102.5218252500099</v>
      </c>
      <c r="L134" s="90">
        <f t="shared" si="24"/>
        <v>8991947.4637882449</v>
      </c>
    </row>
    <row r="135" spans="1:19" x14ac:dyDescent="0.35">
      <c r="I135" s="5" t="s">
        <v>11</v>
      </c>
      <c r="J135" s="152" t="s">
        <v>180</v>
      </c>
      <c r="K135" s="6">
        <f>'Feedstock MIX per IVC'!G77</f>
        <v>16.831619191467645</v>
      </c>
      <c r="L135" s="90">
        <f t="shared" si="24"/>
        <v>1476261.6167931759</v>
      </c>
    </row>
    <row r="136" spans="1:19" x14ac:dyDescent="0.35">
      <c r="I136" s="13" t="s">
        <v>32</v>
      </c>
      <c r="J136" s="151" t="s">
        <v>77</v>
      </c>
      <c r="K136" s="6">
        <f>'Feedstock MIX per IVC'!G78</f>
        <v>1.4638188625564137</v>
      </c>
      <c r="L136" s="90">
        <f t="shared" si="24"/>
        <v>128388.09957305426</v>
      </c>
    </row>
    <row r="137" spans="1:19" x14ac:dyDescent="0.35">
      <c r="A137" s="78"/>
      <c r="B137" s="78"/>
      <c r="C137" s="78"/>
      <c r="D137" s="90"/>
      <c r="E137" s="90"/>
      <c r="F137" s="213"/>
      <c r="L137" s="2">
        <f>SUM(L127:L136)</f>
        <v>53755704.070348769</v>
      </c>
    </row>
    <row r="138" spans="1:19" s="201" customFormat="1" x14ac:dyDescent="0.35">
      <c r="A138" s="201" t="s">
        <v>335</v>
      </c>
      <c r="B138" s="202">
        <v>2380</v>
      </c>
      <c r="C138" s="202">
        <f>B138*F138</f>
        <v>124247635.4256233</v>
      </c>
      <c r="D138" s="208">
        <f>'[2]GAP analysis Sc. 1'!$C$99</f>
        <v>5.2204888834295506E-2</v>
      </c>
      <c r="E138" s="208">
        <f>'[1]Conversion factors selected IV '!$O$125</f>
        <v>1</v>
      </c>
      <c r="F138" s="202">
        <f>D138*E138*1000000</f>
        <v>52204.888834295503</v>
      </c>
      <c r="G138" s="208">
        <f>'LCoP 2030 MEDIUM'!E22</f>
        <v>2000.2988837360667</v>
      </c>
      <c r="H138" s="203">
        <f>G138*F138</f>
        <v>104425380.86080675</v>
      </c>
      <c r="I138" s="206">
        <f>'LCoP 2030 MEDIUM'!H22</f>
        <v>0.34128593945970692</v>
      </c>
      <c r="L138" s="202">
        <f>I138*H138</f>
        <v>35638914.210518129</v>
      </c>
      <c r="M138" s="206">
        <f>'LCoP 2030 MEDIUM'!F22</f>
        <v>0.3424488238080643</v>
      </c>
      <c r="O138" s="202">
        <f>M138*H138</f>
        <v>35760348.85149242</v>
      </c>
      <c r="P138" s="219">
        <f>'LCoP 2030 MEDIUM'!G22</f>
        <v>0.31626523673222873</v>
      </c>
      <c r="R138" s="202">
        <f>P138*H138</f>
        <v>33026117.798796192</v>
      </c>
      <c r="S138" s="202">
        <f>L138+O138+R138</f>
        <v>104425380.86080675</v>
      </c>
    </row>
    <row r="139" spans="1:19" x14ac:dyDescent="0.35">
      <c r="A139" s="78"/>
      <c r="B139" s="78"/>
      <c r="C139">
        <f>C138/$C$118</f>
        <v>3.8662327064627473E-2</v>
      </c>
      <c r="D139" s="90"/>
      <c r="E139" s="90"/>
      <c r="F139" s="147" t="s">
        <v>179</v>
      </c>
      <c r="G139" s="2">
        <f>SUMIF($J$139:$J$146,F139,$L$139:$L$146)/$L$138</f>
        <v>0.60302155173421335</v>
      </c>
      <c r="H139" s="192" t="s">
        <v>254</v>
      </c>
      <c r="I139" s="5" t="s">
        <v>4</v>
      </c>
      <c r="J139" s="147" t="s">
        <v>179</v>
      </c>
      <c r="K139" s="6">
        <f>'Feedstock MIX per IVC'!G111</f>
        <v>356.95683971806557</v>
      </c>
      <c r="L139" s="2">
        <f t="shared" ref="L139:L146" si="27">K139*F$138</f>
        <v>18634892.13612305</v>
      </c>
      <c r="M139" s="5" t="s">
        <v>211</v>
      </c>
      <c r="N139" s="167">
        <v>0.15</v>
      </c>
      <c r="O139" s="2">
        <f t="shared" ref="O139:O144" si="28">N139*O$138</f>
        <v>5364052.3277238626</v>
      </c>
      <c r="P139" s="18" t="s">
        <v>217</v>
      </c>
      <c r="Q139" s="118">
        <v>0.15</v>
      </c>
      <c r="R139" s="2">
        <f>Q139*R$138</f>
        <v>4953917.6698194286</v>
      </c>
    </row>
    <row r="140" spans="1:19" x14ac:dyDescent="0.35">
      <c r="A140" s="78"/>
      <c r="B140" s="78"/>
      <c r="C140" s="78"/>
      <c r="D140" s="90"/>
      <c r="E140" s="90"/>
      <c r="F140" s="171" t="s">
        <v>222</v>
      </c>
      <c r="G140" s="2">
        <f t="shared" ref="G140:G143" si="29">SUMIF($J$139:$J$146,F140,$L$139:$L$146)/$L$138</f>
        <v>0.19526167432972819</v>
      </c>
      <c r="H140" s="192" t="s">
        <v>254</v>
      </c>
      <c r="I140" s="5" t="s">
        <v>5</v>
      </c>
      <c r="J140" s="147" t="s">
        <v>179</v>
      </c>
      <c r="K140" s="6">
        <f>'Feedstock MIX per IVC'!G112</f>
        <v>18.296353110500878</v>
      </c>
      <c r="L140" s="2">
        <f t="shared" si="27"/>
        <v>955159.08020671504</v>
      </c>
      <c r="M140" t="s">
        <v>212</v>
      </c>
      <c r="N140" s="34">
        <v>0.02</v>
      </c>
      <c r="O140" s="2">
        <f t="shared" si="28"/>
        <v>715206.97702984838</v>
      </c>
      <c r="P140" s="18" t="s">
        <v>177</v>
      </c>
      <c r="Q140" s="118">
        <v>0.25</v>
      </c>
      <c r="R140" s="2">
        <f>Q140*R$138</f>
        <v>8256529.449699048</v>
      </c>
    </row>
    <row r="141" spans="1:19" x14ac:dyDescent="0.35">
      <c r="A141" s="78"/>
      <c r="B141" s="78"/>
      <c r="C141" s="78"/>
      <c r="D141" s="90"/>
      <c r="E141" s="90"/>
      <c r="F141" s="149" t="s">
        <v>176</v>
      </c>
      <c r="G141" s="2">
        <f t="shared" si="29"/>
        <v>0.16572975149959623</v>
      </c>
      <c r="H141" s="192" t="s">
        <v>254</v>
      </c>
      <c r="I141" s="5" t="s">
        <v>6</v>
      </c>
      <c r="J141" s="150" t="s">
        <v>178</v>
      </c>
      <c r="K141" s="6">
        <f>'Feedstock MIX per IVC'!G113</f>
        <v>8.9254927370190735</v>
      </c>
      <c r="L141" s="2">
        <f t="shared" si="27"/>
        <v>465954.35612739262</v>
      </c>
      <c r="M141" s="5" t="s">
        <v>210</v>
      </c>
      <c r="N141" s="167">
        <v>0.45</v>
      </c>
      <c r="O141" s="2">
        <f t="shared" si="28"/>
        <v>16092156.98317159</v>
      </c>
      <c r="P141" s="18" t="s">
        <v>218</v>
      </c>
      <c r="Q141" s="118">
        <v>0.2</v>
      </c>
      <c r="R141" s="2">
        <f>Q141*R$138</f>
        <v>6605223.5597592387</v>
      </c>
    </row>
    <row r="142" spans="1:19" x14ac:dyDescent="0.35">
      <c r="A142" s="78"/>
      <c r="B142" s="78"/>
      <c r="C142" s="78"/>
      <c r="D142" s="90"/>
      <c r="E142" s="90"/>
      <c r="F142" s="152" t="s">
        <v>180</v>
      </c>
      <c r="G142" s="2">
        <f t="shared" si="29"/>
        <v>2.2912708405035554E-2</v>
      </c>
      <c r="H142" s="192" t="s">
        <v>254</v>
      </c>
      <c r="I142" s="5" t="s">
        <v>7</v>
      </c>
      <c r="J142" s="147" t="s">
        <v>179</v>
      </c>
      <c r="K142" s="6">
        <f>'Feedstock MIX per IVC'!G114</f>
        <v>29.661828094471769</v>
      </c>
      <c r="L142" s="2">
        <f t="shared" si="27"/>
        <v>1548492.4382938819</v>
      </c>
      <c r="M142" t="s">
        <v>213</v>
      </c>
      <c r="N142" s="34">
        <v>0.1</v>
      </c>
      <c r="O142" s="2">
        <f t="shared" si="28"/>
        <v>3576034.8851492424</v>
      </c>
      <c r="P142" s="18" t="s">
        <v>219</v>
      </c>
      <c r="Q142" s="118">
        <v>0.3</v>
      </c>
      <c r="R142" s="2">
        <f>Q142*R$138</f>
        <v>9907835.3396388572</v>
      </c>
    </row>
    <row r="143" spans="1:19" x14ac:dyDescent="0.35">
      <c r="A143" s="78"/>
      <c r="B143" s="78"/>
      <c r="C143" s="78"/>
      <c r="D143" s="90"/>
      <c r="E143" s="90"/>
      <c r="F143" s="150" t="s">
        <v>178</v>
      </c>
      <c r="G143" s="2">
        <f t="shared" si="29"/>
        <v>1.3074314031426785E-2</v>
      </c>
      <c r="H143" s="192" t="s">
        <v>254</v>
      </c>
      <c r="I143" s="5" t="s">
        <v>8</v>
      </c>
      <c r="J143" s="147" t="s">
        <v>179</v>
      </c>
      <c r="K143" s="6">
        <f>'Feedstock MIX per IVC'!G115</f>
        <v>6.7520437759066034</v>
      </c>
      <c r="L143" s="2">
        <f t="shared" si="27"/>
        <v>352489.69472550112</v>
      </c>
      <c r="M143" t="s">
        <v>214</v>
      </c>
      <c r="N143" s="34">
        <v>0.25</v>
      </c>
      <c r="O143" s="2">
        <f t="shared" si="28"/>
        <v>8940087.212873105</v>
      </c>
      <c r="P143" s="18" t="s">
        <v>220</v>
      </c>
      <c r="Q143" s="118">
        <v>0.1</v>
      </c>
      <c r="R143" s="2">
        <f>Q143*R$138</f>
        <v>3302611.7798796194</v>
      </c>
    </row>
    <row r="144" spans="1:19" x14ac:dyDescent="0.35">
      <c r="A144" s="78"/>
      <c r="B144" s="78"/>
      <c r="C144" s="78"/>
      <c r="D144" s="90"/>
      <c r="E144" s="90"/>
      <c r="F144" s="213"/>
      <c r="G144" s="2">
        <f>SUM(G139:G143)</f>
        <v>1.0000000000000002</v>
      </c>
      <c r="H144" s="192" t="s">
        <v>254</v>
      </c>
      <c r="I144" s="5" t="s">
        <v>9</v>
      </c>
      <c r="J144" s="171" t="s">
        <v>222</v>
      </c>
      <c r="K144" s="6">
        <f>'Feedstock MIX per IVC'!G116</f>
        <v>133.30004555948256</v>
      </c>
      <c r="L144" s="2">
        <f t="shared" si="27"/>
        <v>6958914.0600393126</v>
      </c>
      <c r="M144" t="s">
        <v>216</v>
      </c>
      <c r="N144" s="34">
        <v>0.03</v>
      </c>
      <c r="O144" s="2">
        <f t="shared" si="28"/>
        <v>1072810.4655447726</v>
      </c>
      <c r="Q144" s="34"/>
    </row>
    <row r="145" spans="1:18" x14ac:dyDescent="0.35">
      <c r="A145" s="78"/>
      <c r="B145" s="78"/>
      <c r="C145" s="78"/>
      <c r="D145" s="90"/>
      <c r="E145" s="90"/>
      <c r="F145" s="213"/>
      <c r="H145" s="192" t="s">
        <v>254</v>
      </c>
      <c r="I145" s="5" t="s">
        <v>10</v>
      </c>
      <c r="J145" s="149" t="s">
        <v>176</v>
      </c>
      <c r="K145" s="6">
        <f>'Feedstock MIX per IVC'!G117</f>
        <v>113.13937310684256</v>
      </c>
      <c r="L145" s="2">
        <f t="shared" si="27"/>
        <v>5906428.3958245981</v>
      </c>
      <c r="M145" s="2"/>
      <c r="O145" s="2"/>
    </row>
    <row r="146" spans="1:18" x14ac:dyDescent="0.35">
      <c r="A146" s="78"/>
      <c r="B146" s="78"/>
      <c r="C146" s="78"/>
      <c r="D146" s="90"/>
      <c r="E146" s="90"/>
      <c r="F146" s="213"/>
      <c r="H146" s="192" t="s">
        <v>254</v>
      </c>
      <c r="I146" s="5" t="s">
        <v>11</v>
      </c>
      <c r="J146" s="152" t="s">
        <v>180</v>
      </c>
      <c r="K146" s="6">
        <f>'Feedstock MIX per IVC'!G118</f>
        <v>15.641907633777638</v>
      </c>
      <c r="L146" s="2">
        <f t="shared" si="27"/>
        <v>816584.04917767982</v>
      </c>
    </row>
    <row r="147" spans="1:18" x14ac:dyDescent="0.35">
      <c r="A147" s="78"/>
      <c r="B147" s="78"/>
      <c r="C147" s="78"/>
      <c r="D147" s="90"/>
      <c r="E147" s="90"/>
      <c r="F147" s="213"/>
      <c r="L147" s="2"/>
    </row>
    <row r="148" spans="1:18" x14ac:dyDescent="0.35">
      <c r="A148" s="78"/>
      <c r="B148" s="78"/>
      <c r="C148" s="78"/>
      <c r="D148" s="90"/>
      <c r="E148" s="90"/>
      <c r="F148" s="213"/>
      <c r="L148" s="2"/>
    </row>
    <row r="149" spans="1:18" x14ac:dyDescent="0.35">
      <c r="A149" s="78"/>
      <c r="B149" s="78"/>
      <c r="C149" s="78"/>
      <c r="D149" s="90"/>
      <c r="E149" s="90"/>
      <c r="F149" s="213"/>
      <c r="L149" s="2"/>
    </row>
    <row r="150" spans="1:18" s="91" customFormat="1" ht="34" customHeight="1" x14ac:dyDescent="0.35">
      <c r="A150" s="91" t="s">
        <v>81</v>
      </c>
      <c r="F150" s="169"/>
    </row>
    <row r="151" spans="1:18" ht="19" customHeight="1" x14ac:dyDescent="0.35">
      <c r="C151" s="2">
        <f>C152+C163+C171</f>
        <v>1483794935.5116079</v>
      </c>
      <c r="D151" s="2">
        <f>D152+D163+D171</f>
        <v>0.77314416738320424</v>
      </c>
      <c r="E151" s="2"/>
      <c r="F151" s="2">
        <f>F152+F163+F171</f>
        <v>1578543.4221840068</v>
      </c>
    </row>
    <row r="152" spans="1:18" s="202" customFormat="1" x14ac:dyDescent="0.35">
      <c r="A152" s="202" t="s">
        <v>309</v>
      </c>
      <c r="B152" s="202">
        <v>935</v>
      </c>
      <c r="C152" s="202">
        <f>B152*F152</f>
        <v>720885000</v>
      </c>
      <c r="D152" s="202">
        <f>'[2]GAP analysis Sc. 1'!$C$90</f>
        <v>0.36830037259959869</v>
      </c>
      <c r="E152" s="202">
        <f>'[1]Conversion factors selected IV '!$O$49</f>
        <v>2.0934000000000004</v>
      </c>
      <c r="F152" s="202">
        <f>D152*E152*1000000</f>
        <v>771000</v>
      </c>
      <c r="G152" s="202">
        <f>'LCoP 2030 MEDIUM'!E10</f>
        <v>556.88488968932074</v>
      </c>
      <c r="H152" s="202">
        <f>G152*F152</f>
        <v>429358249.95046628</v>
      </c>
      <c r="I152" s="209">
        <f>'LCoP 2030 MEDIUM'!H10</f>
        <v>0.24490678812529498</v>
      </c>
      <c r="L152" s="202">
        <f>I152*H152</f>
        <v>105152749.95046629</v>
      </c>
      <c r="M152" s="209">
        <f>'LCoP 2030 MEDIUM'!F10</f>
        <v>0.50459261007560552</v>
      </c>
      <c r="O152" s="202">
        <f>M152*H152</f>
        <v>216651000</v>
      </c>
      <c r="P152" s="209">
        <f>'LCoP 2030 MEDIUM'!G10</f>
        <v>0.2505006017990995</v>
      </c>
      <c r="R152" s="202">
        <f>P152*H152</f>
        <v>107554499.99999999</v>
      </c>
    </row>
    <row r="153" spans="1:18" x14ac:dyDescent="0.35">
      <c r="C153">
        <f>C152/$C$151</f>
        <v>0.48583869829117665</v>
      </c>
      <c r="D153" s="2"/>
      <c r="E153" s="2"/>
      <c r="F153" s="147" t="s">
        <v>179</v>
      </c>
      <c r="G153" s="2">
        <f>SUMIF($J$153:$J$162,F153,$L$153:$L$162)/$L$152</f>
        <v>0.53766979020671057</v>
      </c>
      <c r="I153" s="5" t="s">
        <v>4</v>
      </c>
      <c r="J153" s="147" t="s">
        <v>179</v>
      </c>
      <c r="K153" s="6">
        <f>'Feedstock MIX per IVC'!G30</f>
        <v>65.960869534015274</v>
      </c>
      <c r="L153" s="2">
        <f t="shared" ref="L153:L162" si="30">K153*F$152</f>
        <v>50855830.410725772</v>
      </c>
      <c r="M153" s="5" t="s">
        <v>211</v>
      </c>
      <c r="N153" s="34">
        <v>0</v>
      </c>
      <c r="O153" s="2">
        <f t="shared" ref="O153:O158" si="31">N153*O$152</f>
        <v>0</v>
      </c>
      <c r="P153" s="18" t="s">
        <v>217</v>
      </c>
      <c r="Q153" s="34">
        <v>0.25</v>
      </c>
      <c r="R153" s="2">
        <f>Q153*R$152</f>
        <v>26888624.999999996</v>
      </c>
    </row>
    <row r="154" spans="1:18" x14ac:dyDescent="0.35">
      <c r="D154" s="2"/>
      <c r="E154" s="2"/>
      <c r="F154" s="171" t="s">
        <v>222</v>
      </c>
      <c r="G154" s="2">
        <f t="shared" ref="G154:G158" si="32">SUMIF($J$153:$J$162,F154,$L$153:$L$162)/$L$152</f>
        <v>0.1859983078915719</v>
      </c>
      <c r="I154" s="5" t="s">
        <v>5</v>
      </c>
      <c r="J154" s="147" t="s">
        <v>179</v>
      </c>
      <c r="K154" s="6">
        <f>'Feedstock MIX per IVC'!G31</f>
        <v>3.3809223586336699</v>
      </c>
      <c r="L154" s="2">
        <f t="shared" si="30"/>
        <v>2606691.1385065597</v>
      </c>
      <c r="M154" t="s">
        <v>212</v>
      </c>
      <c r="N154" s="34">
        <v>0.02</v>
      </c>
      <c r="O154" s="2">
        <f t="shared" si="31"/>
        <v>4333020</v>
      </c>
      <c r="P154" s="18" t="s">
        <v>177</v>
      </c>
      <c r="Q154" s="34">
        <v>0.15</v>
      </c>
      <c r="R154" s="2">
        <f>Q154*R$152</f>
        <v>16133174.999999996</v>
      </c>
    </row>
    <row r="155" spans="1:18" x14ac:dyDescent="0.35">
      <c r="D155" s="2"/>
      <c r="E155" s="2"/>
      <c r="F155" s="149" t="s">
        <v>176</v>
      </c>
      <c r="G155" s="2">
        <f t="shared" si="32"/>
        <v>0.15329153582044713</v>
      </c>
      <c r="I155" s="5" t="s">
        <v>22</v>
      </c>
      <c r="J155" s="152" t="s">
        <v>180</v>
      </c>
      <c r="K155" s="6">
        <f>'Feedstock MIX per IVC'!G32</f>
        <v>0</v>
      </c>
      <c r="L155" s="2">
        <f t="shared" si="30"/>
        <v>0</v>
      </c>
      <c r="M155" s="5" t="s">
        <v>210</v>
      </c>
      <c r="N155" s="34">
        <v>0.55000000000000004</v>
      </c>
      <c r="O155" s="2">
        <f t="shared" si="31"/>
        <v>119158050.00000001</v>
      </c>
      <c r="P155" s="18" t="s">
        <v>218</v>
      </c>
      <c r="Q155" s="34">
        <v>0.3</v>
      </c>
      <c r="R155" s="2">
        <f>Q155*R$152</f>
        <v>32266349.999999993</v>
      </c>
    </row>
    <row r="156" spans="1:18" x14ac:dyDescent="0.35">
      <c r="D156" s="2"/>
      <c r="E156" s="2"/>
      <c r="F156" s="152" t="s">
        <v>180</v>
      </c>
      <c r="G156" s="2">
        <f t="shared" si="32"/>
        <v>2.5166785217811346E-2</v>
      </c>
      <c r="I156" s="5" t="s">
        <v>6</v>
      </c>
      <c r="J156" s="150" t="s">
        <v>178</v>
      </c>
      <c r="K156" s="6">
        <f>'Feedstock MIX per IVC'!G33</f>
        <v>1.649312175719378</v>
      </c>
      <c r="L156" s="2">
        <f t="shared" si="30"/>
        <v>1271619.6874796406</v>
      </c>
      <c r="M156" t="s">
        <v>213</v>
      </c>
      <c r="N156" s="34">
        <v>0.1</v>
      </c>
      <c r="O156" s="2">
        <f t="shared" si="31"/>
        <v>21665100</v>
      </c>
      <c r="P156" s="18" t="s">
        <v>219</v>
      </c>
      <c r="Q156" s="34">
        <v>0.3</v>
      </c>
      <c r="R156" s="2">
        <f>Q156*R$152</f>
        <v>32266349.999999993</v>
      </c>
    </row>
    <row r="157" spans="1:18" x14ac:dyDescent="0.35">
      <c r="D157" s="2"/>
      <c r="E157" s="2"/>
      <c r="F157" s="150" t="s">
        <v>178</v>
      </c>
      <c r="G157" s="2">
        <f t="shared" si="32"/>
        <v>1.2093071156756768E-2</v>
      </c>
      <c r="I157" s="5" t="s">
        <v>7</v>
      </c>
      <c r="J157" s="147" t="s">
        <v>179</v>
      </c>
      <c r="K157" s="6">
        <f>'Feedstock MIX per IVC'!G34</f>
        <v>2.7405553772623534</v>
      </c>
      <c r="L157" s="2">
        <f t="shared" si="30"/>
        <v>2112968.1958692744</v>
      </c>
      <c r="M157" t="s">
        <v>214</v>
      </c>
      <c r="N157" s="34">
        <v>0.3</v>
      </c>
      <c r="O157" s="2">
        <f t="shared" si="31"/>
        <v>64995300</v>
      </c>
      <c r="P157" s="18" t="s">
        <v>220</v>
      </c>
      <c r="Q157" s="223">
        <v>0</v>
      </c>
      <c r="R157" s="2">
        <f>Q157*R$152</f>
        <v>0</v>
      </c>
    </row>
    <row r="158" spans="1:18" x14ac:dyDescent="0.35">
      <c r="D158" s="2"/>
      <c r="E158" s="2"/>
      <c r="F158" s="151" t="s">
        <v>77</v>
      </c>
      <c r="G158" s="2">
        <f t="shared" si="32"/>
        <v>8.5780509706702382E-2</v>
      </c>
      <c r="I158" s="5" t="s">
        <v>8</v>
      </c>
      <c r="J158" s="147" t="s">
        <v>179</v>
      </c>
      <c r="K158" s="6">
        <f>'Feedstock MIX per IVC'!G35</f>
        <v>1.2476877567111517</v>
      </c>
      <c r="L158" s="2">
        <f t="shared" si="30"/>
        <v>961967.260424298</v>
      </c>
      <c r="M158" t="s">
        <v>216</v>
      </c>
      <c r="N158" s="34">
        <v>0.03</v>
      </c>
      <c r="O158" s="2">
        <f t="shared" si="31"/>
        <v>6499530</v>
      </c>
    </row>
    <row r="159" spans="1:18" x14ac:dyDescent="0.35">
      <c r="D159" s="2"/>
      <c r="E159" s="2"/>
      <c r="G159" s="2">
        <f>SUM(G153:G158)</f>
        <v>1</v>
      </c>
      <c r="I159" s="5" t="s">
        <v>9</v>
      </c>
      <c r="J159" s="171" t="s">
        <v>222</v>
      </c>
      <c r="K159" s="6">
        <f>'Feedstock MIX per IVC'!G36</f>
        <v>25.367358704192348</v>
      </c>
      <c r="L159" s="2">
        <f t="shared" si="30"/>
        <v>19558233.560932301</v>
      </c>
      <c r="M159" s="2"/>
    </row>
    <row r="160" spans="1:18" x14ac:dyDescent="0.35">
      <c r="D160" s="2"/>
      <c r="E160" s="2"/>
      <c r="G160" s="2"/>
      <c r="I160" s="5" t="s">
        <v>10</v>
      </c>
      <c r="J160" s="149" t="s">
        <v>176</v>
      </c>
      <c r="K160" s="6">
        <f>'Feedstock MIX per IVC'!G37</f>
        <v>20.90664920317824</v>
      </c>
      <c r="L160" s="2">
        <f t="shared" si="30"/>
        <v>16119026.535650423</v>
      </c>
    </row>
    <row r="161" spans="1:19" s="31" customFormat="1" x14ac:dyDescent="0.35">
      <c r="I161" s="5" t="s">
        <v>11</v>
      </c>
      <c r="J161" s="152" t="s">
        <v>180</v>
      </c>
      <c r="K161" s="6">
        <f>'Feedstock MIX per IVC'!G38</f>
        <v>3.4323692257660285</v>
      </c>
      <c r="L161" s="2">
        <f t="shared" si="30"/>
        <v>2646356.6730656079</v>
      </c>
    </row>
    <row r="162" spans="1:19" x14ac:dyDescent="0.35">
      <c r="D162" s="2"/>
      <c r="E162" s="2"/>
      <c r="I162" s="13" t="s">
        <v>25</v>
      </c>
      <c r="J162" s="151" t="s">
        <v>77</v>
      </c>
      <c r="K162" s="6">
        <f>'Feedstock MIX per IVC'!G39</f>
        <v>11.699165353842311</v>
      </c>
      <c r="L162" s="2">
        <f t="shared" si="30"/>
        <v>9020056.4878124222</v>
      </c>
    </row>
    <row r="163" spans="1:19" s="202" customFormat="1" x14ac:dyDescent="0.35">
      <c r="A163" s="202" t="s">
        <v>27</v>
      </c>
      <c r="B163" s="202">
        <v>935</v>
      </c>
      <c r="C163" s="202">
        <f>B163*F163</f>
        <v>720885000</v>
      </c>
      <c r="D163" s="202">
        <f>'[2]GAP analysis Sc. 1'!$C$91</f>
        <v>0.36830037259959869</v>
      </c>
      <c r="E163" s="202">
        <f>'[1]Conversion factors selected IV '!$O$49</f>
        <v>2.0934000000000004</v>
      </c>
      <c r="F163" s="202">
        <f>D163*E163*1000000</f>
        <v>771000</v>
      </c>
      <c r="G163" s="202">
        <f>'LCoP 2030 MEDIUM'!E11</f>
        <v>936</v>
      </c>
      <c r="H163" s="202">
        <f>G163*F163</f>
        <v>721656000</v>
      </c>
      <c r="I163" s="209">
        <f>'LCoP 2030 MEDIUM'!H11</f>
        <v>0.45931903197595364</v>
      </c>
      <c r="L163" s="202">
        <f>I163*H163</f>
        <v>331470335.33963883</v>
      </c>
      <c r="M163" s="209">
        <f>'LCoP 2030 MEDIUM'!F11</f>
        <v>0.27034048401202315</v>
      </c>
      <c r="O163" s="202">
        <f>M163*H163</f>
        <v>195092832.33018059</v>
      </c>
      <c r="P163" s="209">
        <f>'LCoP 2030 MEDIUM'!G11</f>
        <v>0.27034048401202315</v>
      </c>
      <c r="R163" s="202">
        <f>P163*H163</f>
        <v>195092832.33018059</v>
      </c>
      <c r="S163" s="209"/>
    </row>
    <row r="164" spans="1:19" x14ac:dyDescent="0.35">
      <c r="C164">
        <f>C163/$C$151</f>
        <v>0.48583869829117665</v>
      </c>
      <c r="I164" s="13" t="s">
        <v>28</v>
      </c>
      <c r="L164" s="2">
        <f>L163</f>
        <v>331470335.33963883</v>
      </c>
      <c r="M164" s="5" t="s">
        <v>211</v>
      </c>
      <c r="N164" s="34">
        <v>0</v>
      </c>
      <c r="O164" s="2">
        <f t="shared" ref="O164:O169" si="33">N164*O$163</f>
        <v>0</v>
      </c>
      <c r="P164" s="18" t="s">
        <v>217</v>
      </c>
      <c r="Q164" s="34">
        <v>0.25</v>
      </c>
      <c r="R164" s="2">
        <f t="shared" ref="R164:R169" si="34">Q164*R$163</f>
        <v>48773208.082545146</v>
      </c>
    </row>
    <row r="165" spans="1:19" x14ac:dyDescent="0.35">
      <c r="M165" t="s">
        <v>212</v>
      </c>
      <c r="N165" s="34">
        <v>0.02</v>
      </c>
      <c r="O165" s="2">
        <f t="shared" si="33"/>
        <v>3901856.6466036118</v>
      </c>
      <c r="P165" s="18" t="s">
        <v>177</v>
      </c>
      <c r="Q165" s="34">
        <v>0.15</v>
      </c>
      <c r="R165" s="2">
        <f t="shared" si="34"/>
        <v>29263924.849527087</v>
      </c>
    </row>
    <row r="166" spans="1:19" x14ac:dyDescent="0.35">
      <c r="M166" s="5" t="s">
        <v>210</v>
      </c>
      <c r="N166" s="34">
        <v>0.55000000000000004</v>
      </c>
      <c r="O166" s="2">
        <f t="shared" si="33"/>
        <v>107301057.78159933</v>
      </c>
      <c r="P166" s="18" t="s">
        <v>218</v>
      </c>
      <c r="Q166" s="34">
        <v>0.3</v>
      </c>
      <c r="R166" s="2">
        <f t="shared" si="34"/>
        <v>58527849.699054174</v>
      </c>
    </row>
    <row r="167" spans="1:19" x14ac:dyDescent="0.35">
      <c r="M167" t="s">
        <v>213</v>
      </c>
      <c r="N167" s="34">
        <v>0.1</v>
      </c>
      <c r="O167" s="2">
        <f t="shared" si="33"/>
        <v>19509283.233018059</v>
      </c>
      <c r="P167" s="18" t="s">
        <v>219</v>
      </c>
      <c r="Q167" s="34">
        <v>0.3</v>
      </c>
      <c r="R167" s="2">
        <f t="shared" si="34"/>
        <v>58527849.699054174</v>
      </c>
    </row>
    <row r="168" spans="1:19" x14ac:dyDescent="0.35">
      <c r="M168" t="s">
        <v>214</v>
      </c>
      <c r="N168" s="34">
        <v>0.3</v>
      </c>
      <c r="O168" s="2">
        <f t="shared" si="33"/>
        <v>58527849.699054174</v>
      </c>
      <c r="P168" s="18" t="s">
        <v>220</v>
      </c>
      <c r="Q168" s="223">
        <v>0</v>
      </c>
      <c r="R168" s="2">
        <f t="shared" si="34"/>
        <v>0</v>
      </c>
    </row>
    <row r="169" spans="1:19" x14ac:dyDescent="0.35">
      <c r="M169" t="s">
        <v>216</v>
      </c>
      <c r="N169" s="34">
        <v>0.03</v>
      </c>
      <c r="O169" s="2">
        <f t="shared" si="33"/>
        <v>5852784.9699054174</v>
      </c>
      <c r="R169" s="2">
        <f t="shared" si="34"/>
        <v>0</v>
      </c>
    </row>
    <row r="171" spans="1:19" x14ac:dyDescent="0.35">
      <c r="A171" s="201" t="s">
        <v>296</v>
      </c>
      <c r="B171" s="201">
        <v>1150</v>
      </c>
      <c r="C171" s="202">
        <f>B171*F171</f>
        <v>42024935.511607878</v>
      </c>
      <c r="D171" s="208">
        <f>'[2]GAP analysis Sc. 1'!$C$88</f>
        <v>3.654342218400685E-2</v>
      </c>
      <c r="E171" s="208">
        <f>'[1]Conversion factors selected IV '!$O$125</f>
        <v>1</v>
      </c>
      <c r="F171" s="202">
        <f>D171*E171*1000000</f>
        <v>36543.422184006849</v>
      </c>
      <c r="G171" s="208">
        <f>'LCoP 2030 MEDIUM'!E22</f>
        <v>2000.2988837360667</v>
      </c>
      <c r="H171" s="203">
        <f>G171*F171</f>
        <v>73097766.602564722</v>
      </c>
      <c r="I171" s="206">
        <f>'LCoP 2030 MEDIUM'!H22</f>
        <v>0.34128593945970692</v>
      </c>
      <c r="J171" s="201"/>
      <c r="K171" s="201"/>
      <c r="L171" s="202">
        <f>I171*H171</f>
        <v>24947239.947362691</v>
      </c>
      <c r="M171" s="206">
        <f>'LCoP 2030 MEDIUM'!F22</f>
        <v>0.3424488238080643</v>
      </c>
      <c r="N171" s="201"/>
      <c r="O171" s="202">
        <f>M171*H171</f>
        <v>25032244.196044695</v>
      </c>
      <c r="P171" s="219">
        <f>'LCoP 2030 MEDIUM'!G22</f>
        <v>0.31626523673222873</v>
      </c>
      <c r="Q171" s="201"/>
      <c r="R171" s="202">
        <f>P171*H171</f>
        <v>23118282.459157337</v>
      </c>
      <c r="S171" s="203">
        <f>R171+O171+L171</f>
        <v>73097766.602564722</v>
      </c>
    </row>
    <row r="172" spans="1:19" x14ac:dyDescent="0.35">
      <c r="C172">
        <f>C171/$C$151</f>
        <v>2.8322603417646666E-2</v>
      </c>
      <c r="D172" s="6"/>
      <c r="E172" s="6"/>
      <c r="F172" s="147" t="s">
        <v>179</v>
      </c>
      <c r="G172" s="6">
        <f>SUMIF($J$172:$J$179,F172,$L$172:$L$179)/$L$171</f>
        <v>0.60302155173421323</v>
      </c>
      <c r="H172" s="192" t="s">
        <v>254</v>
      </c>
      <c r="I172" s="5" t="s">
        <v>4</v>
      </c>
      <c r="J172" s="147" t="s">
        <v>179</v>
      </c>
      <c r="K172" s="6">
        <f>'Feedstock MIX per IVC'!G111</f>
        <v>356.95683971806557</v>
      </c>
      <c r="L172" s="2">
        <f t="shared" ref="L172:L179" si="35">K172*F$171</f>
        <v>13044424.495286135</v>
      </c>
      <c r="M172" s="5" t="s">
        <v>211</v>
      </c>
      <c r="N172" s="167">
        <v>0.15</v>
      </c>
      <c r="O172" s="2">
        <f t="shared" ref="O172:O177" si="36">N172*O$171</f>
        <v>3754836.6294067041</v>
      </c>
      <c r="P172" s="18" t="s">
        <v>217</v>
      </c>
      <c r="Q172" s="118">
        <v>0.15</v>
      </c>
      <c r="R172" s="2">
        <f>Q172*R$171</f>
        <v>3467742.3688736004</v>
      </c>
    </row>
    <row r="173" spans="1:19" x14ac:dyDescent="0.35">
      <c r="D173" s="6"/>
      <c r="E173" s="6"/>
      <c r="F173" s="171" t="s">
        <v>222</v>
      </c>
      <c r="G173" s="6">
        <f>SUMIF($J$172:$J$179,F173,$L$172:$L$179)/$L$171</f>
        <v>0.19526167432972819</v>
      </c>
      <c r="H173" s="192" t="s">
        <v>254</v>
      </c>
      <c r="I173" s="5" t="s">
        <v>5</v>
      </c>
      <c r="J173" s="147" t="s">
        <v>179</v>
      </c>
      <c r="K173" s="6">
        <f>'Feedstock MIX per IVC'!G112</f>
        <v>18.296353110500878</v>
      </c>
      <c r="L173" s="2">
        <f t="shared" si="35"/>
        <v>668611.35614470055</v>
      </c>
      <c r="M173" t="s">
        <v>212</v>
      </c>
      <c r="N173" s="34">
        <v>0.02</v>
      </c>
      <c r="O173" s="2">
        <f t="shared" si="36"/>
        <v>500644.88392089389</v>
      </c>
      <c r="P173" s="18" t="s">
        <v>177</v>
      </c>
      <c r="Q173" s="118">
        <v>0.25</v>
      </c>
      <c r="R173" s="2">
        <f>Q173*R$171</f>
        <v>5779570.6147893341</v>
      </c>
    </row>
    <row r="174" spans="1:19" x14ac:dyDescent="0.35">
      <c r="D174" s="6"/>
      <c r="E174" s="6"/>
      <c r="F174" s="149" t="s">
        <v>176</v>
      </c>
      <c r="G174" s="6">
        <f>SUMIF($J$172:$J$179,F174,$L$172:$L$179)/$L$171</f>
        <v>0.16572975149959621</v>
      </c>
      <c r="H174" s="192" t="s">
        <v>254</v>
      </c>
      <c r="I174" s="5" t="s">
        <v>6</v>
      </c>
      <c r="J174" s="150" t="s">
        <v>178</v>
      </c>
      <c r="K174" s="6">
        <f>'Feedstock MIX per IVC'!G113</f>
        <v>8.9254927370190735</v>
      </c>
      <c r="L174" s="2">
        <f t="shared" si="35"/>
        <v>326168.04928917484</v>
      </c>
      <c r="M174" s="5" t="s">
        <v>210</v>
      </c>
      <c r="N174" s="167">
        <v>0.45</v>
      </c>
      <c r="O174" s="2">
        <f t="shared" si="36"/>
        <v>11264509.888220113</v>
      </c>
      <c r="P174" s="18" t="s">
        <v>218</v>
      </c>
      <c r="Q174" s="118">
        <v>0.2</v>
      </c>
      <c r="R174" s="2">
        <f>Q174*R$171</f>
        <v>4623656.4918314675</v>
      </c>
      <c r="S174" s="2"/>
    </row>
    <row r="175" spans="1:19" x14ac:dyDescent="0.35">
      <c r="D175" s="6"/>
      <c r="E175" s="6"/>
      <c r="F175" s="150" t="s">
        <v>178</v>
      </c>
      <c r="G175" s="6">
        <f>SUMIF($J$172:$J$179,F175,$L$172:$L$179)/$L$171</f>
        <v>1.3074314031426785E-2</v>
      </c>
      <c r="H175" s="192" t="s">
        <v>254</v>
      </c>
      <c r="I175" s="5" t="s">
        <v>7</v>
      </c>
      <c r="J175" s="147" t="s">
        <v>179</v>
      </c>
      <c r="K175" s="6">
        <f>'Feedstock MIX per IVC'!G114</f>
        <v>29.661828094471769</v>
      </c>
      <c r="L175" s="2">
        <f t="shared" si="35"/>
        <v>1083944.7068057172</v>
      </c>
      <c r="M175" t="s">
        <v>213</v>
      </c>
      <c r="N175" s="34">
        <v>0.1</v>
      </c>
      <c r="O175" s="2">
        <f t="shared" si="36"/>
        <v>2503224.4196044696</v>
      </c>
      <c r="P175" s="18" t="s">
        <v>219</v>
      </c>
      <c r="Q175" s="118">
        <v>0.3</v>
      </c>
      <c r="R175" s="2">
        <f>Q175*R$171</f>
        <v>6935484.7377472008</v>
      </c>
    </row>
    <row r="176" spans="1:19" x14ac:dyDescent="0.35">
      <c r="D176" s="6"/>
      <c r="E176" s="6"/>
      <c r="F176" s="152" t="s">
        <v>180</v>
      </c>
      <c r="G176" s="6">
        <f>SUMIF($J$172:$J$179,F176,$L$172:$L$179)/$L$171</f>
        <v>2.2912708405035551E-2</v>
      </c>
      <c r="H176" s="192" t="s">
        <v>254</v>
      </c>
      <c r="I176" s="5" t="s">
        <v>8</v>
      </c>
      <c r="J176" s="147" t="s">
        <v>179</v>
      </c>
      <c r="K176" s="6">
        <f>'Feedstock MIX per IVC'!G115</f>
        <v>6.7520437759066034</v>
      </c>
      <c r="L176" s="2">
        <f t="shared" si="35"/>
        <v>246742.78630785074</v>
      </c>
      <c r="M176" t="s">
        <v>214</v>
      </c>
      <c r="N176" s="34">
        <v>0.25</v>
      </c>
      <c r="O176" s="2">
        <f t="shared" si="36"/>
        <v>6258061.0490111737</v>
      </c>
      <c r="P176" s="18" t="s">
        <v>220</v>
      </c>
      <c r="Q176" s="118">
        <v>0.1</v>
      </c>
      <c r="R176" s="2">
        <f>Q176*R$171</f>
        <v>2311828.2459157337</v>
      </c>
    </row>
    <row r="177" spans="1:19" x14ac:dyDescent="0.35">
      <c r="D177" s="6"/>
      <c r="E177" s="6"/>
      <c r="F177" s="31"/>
      <c r="G177" s="6">
        <f>SUM(G172:G176)</f>
        <v>1</v>
      </c>
      <c r="H177" s="192" t="s">
        <v>254</v>
      </c>
      <c r="I177" s="5" t="s">
        <v>9</v>
      </c>
      <c r="J177" s="171" t="s">
        <v>222</v>
      </c>
      <c r="K177" s="6">
        <f>'Feedstock MIX per IVC'!G116</f>
        <v>133.30004555948256</v>
      </c>
      <c r="L177" s="2">
        <f t="shared" si="35"/>
        <v>4871239.8420275189</v>
      </c>
      <c r="M177" t="s">
        <v>216</v>
      </c>
      <c r="N177" s="34">
        <v>0.03</v>
      </c>
      <c r="O177" s="2">
        <f t="shared" si="36"/>
        <v>750967.32588134077</v>
      </c>
      <c r="Q177" s="34"/>
      <c r="R177" s="2"/>
    </row>
    <row r="178" spans="1:19" x14ac:dyDescent="0.35">
      <c r="D178" s="6"/>
      <c r="E178" s="6"/>
      <c r="F178" s="31"/>
      <c r="G178" s="6"/>
      <c r="H178" s="192" t="s">
        <v>254</v>
      </c>
      <c r="I178" s="5" t="s">
        <v>10</v>
      </c>
      <c r="J178" s="149" t="s">
        <v>176</v>
      </c>
      <c r="K178" s="6">
        <f>'Feedstock MIX per IVC'!G117</f>
        <v>113.13937310684256</v>
      </c>
      <c r="L178" s="2">
        <f t="shared" si="35"/>
        <v>4134499.8770772181</v>
      </c>
    </row>
    <row r="179" spans="1:19" x14ac:dyDescent="0.35">
      <c r="D179" s="6"/>
      <c r="E179" s="6"/>
      <c r="F179" s="31"/>
      <c r="G179" s="6"/>
      <c r="H179" s="192" t="s">
        <v>254</v>
      </c>
      <c r="I179" s="5" t="s">
        <v>11</v>
      </c>
      <c r="J179" s="152" t="s">
        <v>180</v>
      </c>
      <c r="K179" s="6">
        <f>'Feedstock MIX per IVC'!G118</f>
        <v>15.641907633777638</v>
      </c>
      <c r="L179" s="2">
        <f t="shared" si="35"/>
        <v>571608.83442437579</v>
      </c>
    </row>
    <row r="180" spans="1:19" x14ac:dyDescent="0.35">
      <c r="D180" s="6"/>
      <c r="E180" s="6"/>
      <c r="F180" s="31"/>
      <c r="G180" s="6"/>
      <c r="H180" s="192"/>
      <c r="I180" s="21"/>
      <c r="J180" s="237"/>
      <c r="K180" s="6"/>
      <c r="L180" s="2"/>
    </row>
    <row r="181" spans="1:19" ht="23" customHeight="1" x14ac:dyDescent="0.35">
      <c r="A181" s="229" t="s">
        <v>350</v>
      </c>
      <c r="B181" s="229"/>
      <c r="C181" s="229"/>
      <c r="D181" s="190"/>
      <c r="E181" s="190"/>
      <c r="F181" s="198"/>
      <c r="G181" s="190"/>
      <c r="H181" s="190"/>
      <c r="I181" s="190"/>
      <c r="J181" s="190"/>
      <c r="K181" s="190"/>
      <c r="L181" s="190"/>
      <c r="M181" s="190"/>
      <c r="N181" s="190"/>
      <c r="O181" s="190"/>
      <c r="P181" s="190"/>
      <c r="Q181" s="190"/>
      <c r="R181" s="190"/>
      <c r="S181" s="190"/>
    </row>
    <row r="182" spans="1:19" x14ac:dyDescent="0.35">
      <c r="B182" s="2">
        <f>C182/1000000</f>
        <v>994.00821428571419</v>
      </c>
      <c r="C182" s="2">
        <f>C183+C191</f>
        <v>994008214.28571415</v>
      </c>
      <c r="D182" s="297">
        <f>D183+D191</f>
        <v>0.62432604512140188</v>
      </c>
      <c r="F182" s="2">
        <f>F183+F191</f>
        <v>985214.28571428568</v>
      </c>
      <c r="H182" s="2">
        <f>H183+H191</f>
        <v>700855416.2316258</v>
      </c>
      <c r="L182" s="2">
        <f>L183+L191</f>
        <v>588459969.80305433</v>
      </c>
      <c r="O182" s="2">
        <f>O183+O191</f>
        <v>71366428.571428567</v>
      </c>
      <c r="R182" s="2">
        <f>R183+R191</f>
        <v>41029017.857142851</v>
      </c>
    </row>
    <row r="183" spans="1:19" x14ac:dyDescent="0.35">
      <c r="A183" s="202" t="s">
        <v>351</v>
      </c>
      <c r="B183" s="202">
        <v>935</v>
      </c>
      <c r="C183" s="250">
        <f>B183*F183</f>
        <v>720885000</v>
      </c>
      <c r="D183" s="284">
        <f>'[2]GAP analysis Sc. 1'!$C$106+'[2]GAP analysis Sc. 1'!$C$107</f>
        <v>0.36830037259959869</v>
      </c>
      <c r="E183" s="202">
        <f>'[1]Conversion factors selected IV '!$O$50</f>
        <v>2.0934000000000004</v>
      </c>
      <c r="F183" s="202">
        <f>D183*E183*1000000</f>
        <v>771000</v>
      </c>
      <c r="G183" s="202">
        <f>'LCoP 2030 MEDIUM'!$E$12</f>
        <v>370.61968567880001</v>
      </c>
      <c r="H183" s="202">
        <f>G183*F183</f>
        <v>285747777.65835482</v>
      </c>
      <c r="I183" s="202">
        <f>'LCoP 2030 MEDIUM'!$H$12</f>
        <v>0.78751803251959696</v>
      </c>
      <c r="J183" s="202"/>
      <c r="K183" s="202"/>
      <c r="L183" s="202">
        <f>I183*H183</f>
        <v>225031527.65835482</v>
      </c>
      <c r="M183" s="202">
        <f>'LCoP 2030 MEDIUM'!$F$12</f>
        <v>0.1537964717001013</v>
      </c>
      <c r="N183" s="202"/>
      <c r="O183" s="202">
        <f>M183*H183</f>
        <v>43947000.000000007</v>
      </c>
      <c r="P183" s="202">
        <f>'LCoP 2030 MEDIUM'!$G$12</f>
        <v>5.8685495780301807E-2</v>
      </c>
      <c r="Q183" s="202"/>
      <c r="R183" s="202">
        <f>P183*H183</f>
        <v>16769250</v>
      </c>
      <c r="S183" s="202"/>
    </row>
    <row r="184" spans="1:19" x14ac:dyDescent="0.35">
      <c r="E184" s="1"/>
      <c r="I184" s="15" t="s">
        <v>30</v>
      </c>
      <c r="J184" s="242" t="s">
        <v>177</v>
      </c>
      <c r="L184" s="2">
        <f>L183</f>
        <v>225031527.65835482</v>
      </c>
      <c r="M184" s="5" t="s">
        <v>211</v>
      </c>
      <c r="N184" s="77">
        <v>0.2</v>
      </c>
      <c r="O184" s="2">
        <f t="shared" ref="O184:O189" si="37">N184*$O$183</f>
        <v>8789400.0000000019</v>
      </c>
      <c r="P184" s="18" t="s">
        <v>217</v>
      </c>
      <c r="Q184" s="77">
        <v>0.35</v>
      </c>
      <c r="R184" s="2">
        <f>Q184*$R$183</f>
        <v>5869237.5</v>
      </c>
    </row>
    <row r="185" spans="1:19" x14ac:dyDescent="0.35">
      <c r="E185" s="1"/>
      <c r="M185" t="s">
        <v>212</v>
      </c>
      <c r="N185" s="77">
        <v>7.0000000000000007E-2</v>
      </c>
      <c r="O185" s="2">
        <f t="shared" si="37"/>
        <v>3076290.0000000009</v>
      </c>
      <c r="P185" s="18" t="s">
        <v>177</v>
      </c>
      <c r="Q185" s="77">
        <v>0.15</v>
      </c>
      <c r="R185" s="2">
        <f>Q185*$R$183</f>
        <v>2515387.5</v>
      </c>
    </row>
    <row r="186" spans="1:19" x14ac:dyDescent="0.35">
      <c r="E186" s="1"/>
      <c r="M186" s="5" t="s">
        <v>210</v>
      </c>
      <c r="N186" s="77">
        <v>0.4</v>
      </c>
      <c r="O186" s="2">
        <f t="shared" si="37"/>
        <v>17578800.000000004</v>
      </c>
      <c r="P186" s="18" t="s">
        <v>218</v>
      </c>
      <c r="Q186" s="77">
        <v>0.12</v>
      </c>
      <c r="R186" s="2">
        <f>Q186*$R$183</f>
        <v>2012310</v>
      </c>
    </row>
    <row r="187" spans="1:19" x14ac:dyDescent="0.35">
      <c r="E187" s="1"/>
      <c r="M187" t="s">
        <v>213</v>
      </c>
      <c r="N187" s="77">
        <v>0.15</v>
      </c>
      <c r="O187" s="2">
        <f t="shared" si="37"/>
        <v>6592050.0000000009</v>
      </c>
      <c r="P187" s="18" t="s">
        <v>219</v>
      </c>
      <c r="Q187" s="77">
        <v>0.3</v>
      </c>
      <c r="R187" s="2">
        <f>Q187*$R$183</f>
        <v>5030775</v>
      </c>
    </row>
    <row r="188" spans="1:19" x14ac:dyDescent="0.35">
      <c r="E188" s="1"/>
      <c r="M188" t="s">
        <v>214</v>
      </c>
      <c r="N188" s="77">
        <v>0.15</v>
      </c>
      <c r="O188" s="2">
        <f t="shared" si="37"/>
        <v>6592050.0000000009</v>
      </c>
      <c r="P188" s="18" t="s">
        <v>220</v>
      </c>
      <c r="Q188" s="77">
        <v>0.08</v>
      </c>
      <c r="R188" s="2">
        <f>Q188*$R$183</f>
        <v>1341540</v>
      </c>
    </row>
    <row r="189" spans="1:19" x14ac:dyDescent="0.35">
      <c r="E189" s="1"/>
      <c r="M189" t="s">
        <v>216</v>
      </c>
      <c r="N189" s="77">
        <v>0.03</v>
      </c>
      <c r="O189" s="2">
        <f t="shared" si="37"/>
        <v>1318410.0000000002</v>
      </c>
      <c r="Q189" s="77">
        <f>SUM(Q184:Q188)</f>
        <v>0.99999999999999989</v>
      </c>
    </row>
    <row r="190" spans="1:19" x14ac:dyDescent="0.35">
      <c r="E190" s="1"/>
      <c r="O190" s="2">
        <f>SUM(O184:O189)</f>
        <v>43947000.000000007</v>
      </c>
      <c r="R190" s="2">
        <f>SUM(R184:R189)</f>
        <v>16769250</v>
      </c>
    </row>
    <row r="191" spans="1:19" x14ac:dyDescent="0.35">
      <c r="A191" s="202" t="s">
        <v>352</v>
      </c>
      <c r="B191" s="202">
        <v>1275</v>
      </c>
      <c r="C191" s="250">
        <f>B191*F191</f>
        <v>273123214.28571421</v>
      </c>
      <c r="D191" s="284">
        <f>'[2]GAP analysis Sc. 1'!$C$105</f>
        <v>0.25602567252180314</v>
      </c>
      <c r="E191" s="202">
        <f>'[1]Conversion factors selected IV '!$O$62</f>
        <v>0.83669064748201449</v>
      </c>
      <c r="F191" s="202">
        <f>D191*E191*1000000</f>
        <v>214214.28571428565</v>
      </c>
      <c r="G191" s="202">
        <f>'LCoP 2030 MEDIUM'!$E$14</f>
        <v>1937.8149183147032</v>
      </c>
      <c r="H191" s="202">
        <f>G191*F191</f>
        <v>415107638.57327092</v>
      </c>
      <c r="I191" s="202">
        <f>'LCoP 2030 MEDIUM'!$H$14</f>
        <v>0.87550410634168685</v>
      </c>
      <c r="J191" s="202"/>
      <c r="K191" s="202"/>
      <c r="L191" s="202">
        <f>I191*H191</f>
        <v>363428442.14469951</v>
      </c>
      <c r="M191" s="253">
        <f>'LCoP 2030 MEDIUM'!$F$14</f>
        <v>6.6053779847726757E-2</v>
      </c>
      <c r="N191" s="202"/>
      <c r="O191" s="202">
        <f>M191*H191</f>
        <v>27419428.571428563</v>
      </c>
      <c r="P191" s="253">
        <f>'LCoP 2030 MEDIUM'!$G$14</f>
        <v>5.8442113810586366E-2</v>
      </c>
      <c r="Q191" s="202"/>
      <c r="R191" s="202">
        <f>P191*H191</f>
        <v>24259767.857142851</v>
      </c>
      <c r="S191" s="202"/>
    </row>
    <row r="192" spans="1:19" x14ac:dyDescent="0.35">
      <c r="E192" s="1"/>
      <c r="I192" s="15" t="s">
        <v>30</v>
      </c>
      <c r="J192" s="242" t="s">
        <v>177</v>
      </c>
      <c r="L192" s="2">
        <f>L191</f>
        <v>363428442.14469951</v>
      </c>
      <c r="M192" s="5" t="s">
        <v>211</v>
      </c>
      <c r="N192" s="77">
        <v>0.2</v>
      </c>
      <c r="O192" s="2">
        <f t="shared" ref="O192:O197" si="38">N192*$O$191</f>
        <v>5483885.7142857127</v>
      </c>
      <c r="P192" s="18" t="s">
        <v>217</v>
      </c>
      <c r="Q192" s="77">
        <v>0.35</v>
      </c>
      <c r="R192" s="2">
        <f>Q192*$R$191</f>
        <v>8490918.7499999981</v>
      </c>
    </row>
    <row r="193" spans="1:19" x14ac:dyDescent="0.35">
      <c r="M193" t="s">
        <v>212</v>
      </c>
      <c r="N193" s="77">
        <v>7.0000000000000007E-2</v>
      </c>
      <c r="O193" s="2">
        <f t="shared" si="38"/>
        <v>1919359.9999999995</v>
      </c>
      <c r="P193" s="18" t="s">
        <v>177</v>
      </c>
      <c r="Q193" s="77">
        <v>0.15</v>
      </c>
      <c r="R193" s="2">
        <f>Q193*$R$191</f>
        <v>3638965.1785714277</v>
      </c>
    </row>
    <row r="194" spans="1:19" x14ac:dyDescent="0.35">
      <c r="M194" s="5" t="s">
        <v>210</v>
      </c>
      <c r="N194" s="77">
        <v>0.4</v>
      </c>
      <c r="O194" s="2">
        <f t="shared" si="38"/>
        <v>10967771.428571425</v>
      </c>
      <c r="P194" s="18" t="s">
        <v>218</v>
      </c>
      <c r="Q194" s="77">
        <v>0.12</v>
      </c>
      <c r="R194" s="2">
        <f>Q194*$R$191</f>
        <v>2911172.1428571418</v>
      </c>
    </row>
    <row r="195" spans="1:19" x14ac:dyDescent="0.35">
      <c r="M195" t="s">
        <v>213</v>
      </c>
      <c r="N195" s="77">
        <v>0.15</v>
      </c>
      <c r="O195" s="2">
        <f t="shared" si="38"/>
        <v>4112914.2857142845</v>
      </c>
      <c r="P195" s="18" t="s">
        <v>219</v>
      </c>
      <c r="Q195" s="77">
        <v>0.3</v>
      </c>
      <c r="R195" s="2">
        <f>Q195*$R$191</f>
        <v>7277930.3571428554</v>
      </c>
    </row>
    <row r="196" spans="1:19" x14ac:dyDescent="0.35">
      <c r="M196" t="s">
        <v>214</v>
      </c>
      <c r="N196" s="77">
        <v>0.15</v>
      </c>
      <c r="O196" s="2">
        <f t="shared" si="38"/>
        <v>4112914.2857142845</v>
      </c>
      <c r="P196" s="18" t="s">
        <v>220</v>
      </c>
      <c r="Q196" s="77">
        <v>0.08</v>
      </c>
      <c r="R196" s="2">
        <f>Q196*$R$191</f>
        <v>1940781.4285714282</v>
      </c>
    </row>
    <row r="197" spans="1:19" x14ac:dyDescent="0.35">
      <c r="M197" t="s">
        <v>216</v>
      </c>
      <c r="N197" s="77">
        <v>0.03</v>
      </c>
      <c r="O197" s="2">
        <f t="shared" si="38"/>
        <v>822582.85714285693</v>
      </c>
      <c r="Q197" s="77">
        <f>SUM(Q192:Q196)</f>
        <v>0.99999999999999989</v>
      </c>
    </row>
    <row r="198" spans="1:19" x14ac:dyDescent="0.35">
      <c r="O198" s="2">
        <f>SUM(O192:O197)</f>
        <v>27419428.571428563</v>
      </c>
      <c r="R198" s="2">
        <f>SUM(R192:R197)</f>
        <v>24259767.857142851</v>
      </c>
    </row>
    <row r="199" spans="1:19" s="190" customFormat="1" ht="32.5" customHeight="1" x14ac:dyDescent="0.35">
      <c r="A199" s="229" t="s">
        <v>323</v>
      </c>
      <c r="B199" s="229"/>
      <c r="C199" s="229"/>
      <c r="F199" s="198"/>
    </row>
    <row r="200" spans="1:19" x14ac:dyDescent="0.35">
      <c r="C200" s="2">
        <f>C202+C244+C253</f>
        <v>23528530361.475651</v>
      </c>
      <c r="D200" s="2">
        <f>D202+D244+D253</f>
        <v>15.890533746292068</v>
      </c>
    </row>
    <row r="201" spans="1:19" s="151" customFormat="1" ht="29.5" customHeight="1" x14ac:dyDescent="0.35">
      <c r="A201" s="151" t="s">
        <v>224</v>
      </c>
      <c r="F201" s="230"/>
    </row>
    <row r="202" spans="1:19" ht="17.5" customHeight="1" x14ac:dyDescent="0.35">
      <c r="C202" s="2">
        <f>C203+C211+C218+C226+C233</f>
        <v>16263168128.328335</v>
      </c>
      <c r="D202" s="2">
        <f>'[2]GAP analysis Sc. 1'!$F$73+'[2]GAP analysis Sc. 1'!$F$86</f>
        <v>11.75649033218982</v>
      </c>
      <c r="E202" s="2"/>
      <c r="F202" s="2">
        <f t="shared" ref="F202" si="39">F203+F211+F218+F226</f>
        <v>9211861.6750282999</v>
      </c>
    </row>
    <row r="203" spans="1:19" s="114" customFormat="1" x14ac:dyDescent="0.35">
      <c r="A203" s="114" t="s">
        <v>266</v>
      </c>
      <c r="B203" s="114">
        <v>1165.6261363636365</v>
      </c>
      <c r="C203" s="114">
        <f>B203*F203</f>
        <v>4370104500.9129858</v>
      </c>
      <c r="D203" s="114">
        <f>'[2]GAP analysis Sc. 1'!$S$18</f>
        <v>3.3132335769261889</v>
      </c>
      <c r="E203" s="114">
        <f>'[1]Conversion factors selected IV '!$O$4</f>
        <v>1.1315675675675676</v>
      </c>
      <c r="F203" s="114">
        <f>D203*E203*1000000</f>
        <v>3749147.659425559</v>
      </c>
      <c r="G203" s="301">
        <f>'LCoP CONVENTIONAL'!$B$3</f>
        <v>800</v>
      </c>
      <c r="H203" s="114">
        <f>G203*F203</f>
        <v>2999318127.5404472</v>
      </c>
      <c r="I203" s="308">
        <f>'LCoP CONVENTIONAL'!$C$3</f>
        <v>0.75</v>
      </c>
      <c r="K203" s="114">
        <f>I203*G203</f>
        <v>600</v>
      </c>
      <c r="L203" s="114">
        <f>I203*H203</f>
        <v>2249488595.6553354</v>
      </c>
      <c r="M203" s="309">
        <f>'LCoP CONVENTIONAL'!$F$3</f>
        <v>6.5000000000000002E-2</v>
      </c>
      <c r="O203" s="114">
        <f>M203*H203</f>
        <v>194955678.29012907</v>
      </c>
      <c r="P203" s="309">
        <f>'LCoP CONVENTIONAL'!$I$3</f>
        <v>0.185</v>
      </c>
      <c r="R203" s="114">
        <f>P203*H203</f>
        <v>554873853.59498274</v>
      </c>
      <c r="S203" s="114">
        <f>SUM(L203,O203,R203)</f>
        <v>2999318127.5404472</v>
      </c>
    </row>
    <row r="204" spans="1:19" x14ac:dyDescent="0.35">
      <c r="D204" s="2"/>
      <c r="H204" s="192" t="s">
        <v>254</v>
      </c>
      <c r="I204" s="18" t="s">
        <v>225</v>
      </c>
      <c r="J204" s="154" t="s">
        <v>178</v>
      </c>
      <c r="K204" s="107">
        <f>'Feedtstocks only CONVENTIONAL'!$J$4</f>
        <v>0.76052615016678204</v>
      </c>
      <c r="L204" s="2">
        <f>K204*$L$203</f>
        <v>1710794901.4978333</v>
      </c>
      <c r="M204" t="str">
        <f>'LCoP CONVENTIONAL'!$F$4</f>
        <v>Machinery and equipment</v>
      </c>
      <c r="N204" s="59">
        <f>'LCoP CONVENTIONAL'!$G$4</f>
        <v>0.45</v>
      </c>
      <c r="O204" s="2">
        <f>N204*$O$203</f>
        <v>87730055.230558082</v>
      </c>
      <c r="P204" t="str">
        <f>'LCoP CONVENTIONAL'!$I$4</f>
        <v>Chemical and chemical products</v>
      </c>
      <c r="Q204" s="59">
        <f>'LCoP CONVENTIONAL'!$J$4</f>
        <v>0.3</v>
      </c>
      <c r="R204" s="2">
        <f t="shared" ref="R204:R209" si="40">Q204*$R$203</f>
        <v>166462156.07849482</v>
      </c>
    </row>
    <row r="205" spans="1:19" x14ac:dyDescent="0.35">
      <c r="D205" s="2"/>
      <c r="H205" s="191" t="s">
        <v>252</v>
      </c>
      <c r="I205" s="18" t="s">
        <v>226</v>
      </c>
      <c r="J205" s="154" t="s">
        <v>178</v>
      </c>
      <c r="K205" s="107">
        <f>'Feedtstocks only CONVENTIONAL'!$J$5</f>
        <v>0.16011076845616465</v>
      </c>
      <c r="L205" s="2">
        <f>K205*$L$203</f>
        <v>360167347.68375438</v>
      </c>
      <c r="M205" t="str">
        <f>'LCoP CONVENTIONAL'!$F$5</f>
        <v>Architectural and engineering services</v>
      </c>
      <c r="N205" s="59">
        <f>'LCoP CONVENTIONAL'!$G$5</f>
        <v>0.3</v>
      </c>
      <c r="O205" s="2">
        <f>N205*$O$203</f>
        <v>58486703.487038717</v>
      </c>
      <c r="P205" t="str">
        <f>'LCoP CONVENTIONAL'!$I$5</f>
        <v>Electricity, gas, steam &amp; AC</v>
      </c>
      <c r="Q205" s="59">
        <f>'LCoP CONVENTIONAL'!$J$5</f>
        <v>0.2</v>
      </c>
      <c r="R205" s="2">
        <f t="shared" si="40"/>
        <v>110974770.71899655</v>
      </c>
    </row>
    <row r="206" spans="1:19" x14ac:dyDescent="0.35">
      <c r="C206" s="2"/>
      <c r="D206" s="2"/>
      <c r="H206" s="192" t="s">
        <v>254</v>
      </c>
      <c r="I206" s="18" t="s">
        <v>228</v>
      </c>
      <c r="J206" s="154" t="s">
        <v>178</v>
      </c>
      <c r="K206" s="107">
        <f>'Feedtstocks only CONVENTIONAL'!$J$6</f>
        <v>4.0027692114041162E-2</v>
      </c>
      <c r="L206" s="2">
        <f>K206*$L$203</f>
        <v>90041836.920938596</v>
      </c>
      <c r="M206" t="str">
        <f>'LCoP CONVENTIONAL'!$F$6</f>
        <v>Constructions and construction works</v>
      </c>
      <c r="N206" s="59">
        <f>'LCoP CONVENTIONAL'!$G$6</f>
        <v>0.15</v>
      </c>
      <c r="O206" s="2">
        <f>N206*$O$203</f>
        <v>29243351.743519358</v>
      </c>
      <c r="P206" t="str">
        <f>'LCoP CONVENTIONAL'!$I$6</f>
        <v>Legal and accounting services; services of head offices; management consultancy services</v>
      </c>
      <c r="Q206" s="59">
        <f>'LCoP CONVENTIONAL'!$J$6</f>
        <v>0.25</v>
      </c>
      <c r="R206" s="2">
        <f t="shared" si="40"/>
        <v>138718463.39874569</v>
      </c>
    </row>
    <row r="207" spans="1:19" x14ac:dyDescent="0.35">
      <c r="D207" s="2"/>
      <c r="H207" s="191" t="s">
        <v>252</v>
      </c>
      <c r="I207" s="18" t="s">
        <v>227</v>
      </c>
      <c r="J207" s="154" t="s">
        <v>178</v>
      </c>
      <c r="K207" s="107">
        <f>'Feedtstocks only CONVENTIONAL'!$J$7</f>
        <v>3.9335389263012145E-2</v>
      </c>
      <c r="L207" s="2">
        <f>K207*$L$203</f>
        <v>88484509.552809149</v>
      </c>
      <c r="M207" t="str">
        <f>'LCoP CONVENTIONAL'!$F$7</f>
        <v>Fabricated metal products</v>
      </c>
      <c r="N207" s="59">
        <f>'LCoP CONVENTIONAL'!$G$7</f>
        <v>7.0000000000000007E-2</v>
      </c>
      <c r="O207" s="2">
        <f>N207*$O$203</f>
        <v>13646897.480309036</v>
      </c>
      <c r="P207" t="str">
        <f>'LCoP CONVENTIONAL'!$I$7</f>
        <v>Repair and installation services</v>
      </c>
      <c r="Q207" s="59">
        <f>'LCoP CONVENTIONAL'!$J$7</f>
        <v>0.15</v>
      </c>
      <c r="R207" s="2">
        <f t="shared" si="40"/>
        <v>83231078.039247409</v>
      </c>
    </row>
    <row r="208" spans="1:19" x14ac:dyDescent="0.35">
      <c r="D208" s="2"/>
      <c r="L208" s="2">
        <f>SUM(L204:L207)</f>
        <v>2249488595.6553354</v>
      </c>
      <c r="M208" t="str">
        <f>'LCoP CONVENTIONAL'!$F$8</f>
        <v>Computer, electronic and optical products</v>
      </c>
      <c r="N208" s="59">
        <f>'LCoP CONVENTIONAL'!$G$8</f>
        <v>0.03</v>
      </c>
      <c r="O208" s="2">
        <f>N208*$O$203</f>
        <v>5848670.3487038715</v>
      </c>
      <c r="P208" s="102" t="str">
        <f>'LCoP CONVENTIONAL'!$I$8</f>
        <v>Land transport services and transport services via pipelines</v>
      </c>
      <c r="Q208" s="59">
        <f>'LCoP CONVENTIONAL'!$J$8</f>
        <v>0.1</v>
      </c>
      <c r="R208" s="2">
        <f t="shared" si="40"/>
        <v>55487385.359498277</v>
      </c>
    </row>
    <row r="209" spans="1:19" x14ac:dyDescent="0.35">
      <c r="D209" s="2"/>
      <c r="O209" s="2">
        <f>SUM(O204:O208)</f>
        <v>194955678.29012907</v>
      </c>
      <c r="P209" t="str">
        <f>'LCoP CONVENTIONAL'!$I$9</f>
        <v>Waste management services</v>
      </c>
      <c r="Q209" s="59">
        <f>'LCoP CONVENTIONAL'!$J$9</f>
        <v>0</v>
      </c>
      <c r="R209" s="2">
        <f t="shared" si="40"/>
        <v>0</v>
      </c>
    </row>
    <row r="210" spans="1:19" s="117" customFormat="1" x14ac:dyDescent="0.35"/>
    <row r="211" spans="1:19" s="114" customFormat="1" x14ac:dyDescent="0.35">
      <c r="A211" s="114" t="s">
        <v>330</v>
      </c>
      <c r="B211" s="114">
        <v>1165.6261363636365</v>
      </c>
      <c r="C211" s="114">
        <f>B211*F211</f>
        <v>3150354095.7028723</v>
      </c>
      <c r="D211" s="269">
        <f>D202-D203-D226-D233</f>
        <v>2.8403414704910812</v>
      </c>
      <c r="E211" s="114">
        <f>'[1]Conversion factors selected IV '!$O$7</f>
        <v>0.95154545454545458</v>
      </c>
      <c r="F211" s="114">
        <f>D211*E211*1000000</f>
        <v>2702714.0156027409</v>
      </c>
      <c r="G211" s="301">
        <f>'LCoP CONVENTIONAL'!$B$24</f>
        <v>900</v>
      </c>
      <c r="H211" s="114">
        <f>G211*F211</f>
        <v>2432442614.0424666</v>
      </c>
      <c r="I211" s="308">
        <f>'LCoP CONVENTIONAL'!$C$24</f>
        <v>0.66666666666666663</v>
      </c>
      <c r="K211" s="114">
        <f>I211*G211</f>
        <v>600</v>
      </c>
      <c r="L211" s="114">
        <f>I211*H211</f>
        <v>1621628409.3616443</v>
      </c>
      <c r="M211" s="308">
        <f>'LCoP CONVENTIONAL'!$F$24</f>
        <v>0.1111111111111111</v>
      </c>
      <c r="O211" s="114">
        <f>M211*H211</f>
        <v>270271401.56027406</v>
      </c>
      <c r="P211" s="309">
        <f>'LCoP CONVENTIONAL'!$I$24</f>
        <v>0.22222222222222221</v>
      </c>
      <c r="R211" s="114">
        <f>P211*H211</f>
        <v>540542803.12054813</v>
      </c>
      <c r="S211" s="114">
        <f>SUM(L211,O211,R211)</f>
        <v>2432442614.0424666</v>
      </c>
    </row>
    <row r="212" spans="1:19" x14ac:dyDescent="0.35">
      <c r="D212" s="2"/>
      <c r="I212" s="18" t="s">
        <v>225</v>
      </c>
      <c r="J212" s="154" t="s">
        <v>178</v>
      </c>
      <c r="K212" s="59">
        <f>'Feedtstocks only CONVENTIONAL'!J23</f>
        <v>0.76052615016678204</v>
      </c>
      <c r="L212" s="2">
        <f>K212*$L$211</f>
        <v>1233290811.1728938</v>
      </c>
      <c r="M212" t="str">
        <f>'LCoP CONVENTIONAL'!$F$25</f>
        <v>Machinery and equipment</v>
      </c>
      <c r="N212" s="59">
        <f>'LCoP CONVENTIONAL'!$G$25</f>
        <v>0.55000000000000004</v>
      </c>
      <c r="O212" s="2">
        <f>N212*$O$211</f>
        <v>148649270.85815075</v>
      </c>
      <c r="P212" t="str">
        <f>'LCoP CONVENTIONAL'!$I$25</f>
        <v>Chemical and chemical products</v>
      </c>
      <c r="Q212" s="59">
        <f>'LCoP CONVENTIONAL'!$J$25</f>
        <v>0.4</v>
      </c>
      <c r="R212" s="2">
        <f t="shared" ref="R212:R217" si="41">Q212*$R$211</f>
        <v>216217121.24821925</v>
      </c>
    </row>
    <row r="213" spans="1:19" x14ac:dyDescent="0.35">
      <c r="D213" s="2"/>
      <c r="I213" s="18" t="s">
        <v>226</v>
      </c>
      <c r="J213" s="154" t="s">
        <v>178</v>
      </c>
      <c r="K213" s="59">
        <f>'Feedtstocks only CONVENTIONAL'!J24</f>
        <v>0.16011076845616465</v>
      </c>
      <c r="L213" s="2">
        <f>K213*$L$211</f>
        <v>259640170.7732408</v>
      </c>
      <c r="M213" t="str">
        <f>'LCoP CONVENTIONAL'!$F$26</f>
        <v>Architectural and engineering services</v>
      </c>
      <c r="N213" s="59">
        <f>'LCoP CONVENTIONAL'!$G$26</f>
        <v>0.25</v>
      </c>
      <c r="O213" s="2">
        <f>N213*$O$211</f>
        <v>67567850.390068516</v>
      </c>
      <c r="P213" t="str">
        <f>'LCoP CONVENTIONAL'!$I$26</f>
        <v>Electricity, gas, steam &amp; AC</v>
      </c>
      <c r="Q213" s="59">
        <f>'LCoP CONVENTIONAL'!$J$26</f>
        <v>0.2</v>
      </c>
      <c r="R213" s="2">
        <f t="shared" si="41"/>
        <v>108108560.62410963</v>
      </c>
    </row>
    <row r="214" spans="1:19" x14ac:dyDescent="0.35">
      <c r="D214" s="2"/>
      <c r="I214" s="18" t="s">
        <v>228</v>
      </c>
      <c r="J214" s="154" t="s">
        <v>178</v>
      </c>
      <c r="K214" s="59">
        <f>'Feedtstocks only CONVENTIONAL'!J25</f>
        <v>4.0027692114041162E-2</v>
      </c>
      <c r="L214" s="2">
        <f>K214*$L$211</f>
        <v>64910042.693310201</v>
      </c>
      <c r="M214" t="str">
        <f>'LCoP CONVENTIONAL'!$F$27</f>
        <v>Constructions and construction works</v>
      </c>
      <c r="N214" s="59">
        <f>'LCoP CONVENTIONAL'!$G$27</f>
        <v>0.1</v>
      </c>
      <c r="O214" s="2">
        <f>N214*$O$211</f>
        <v>27027140.156027406</v>
      </c>
      <c r="P214" t="str">
        <f>'LCoP CONVENTIONAL'!$I$27</f>
        <v>Legal and accounting services; services of head offices; management consultancy services</v>
      </c>
      <c r="Q214" s="59">
        <f>'LCoP CONVENTIONAL'!$J$27</f>
        <v>0.2</v>
      </c>
      <c r="R214" s="2">
        <f t="shared" si="41"/>
        <v>108108560.62410963</v>
      </c>
    </row>
    <row r="215" spans="1:19" x14ac:dyDescent="0.35">
      <c r="D215" s="2"/>
      <c r="I215" s="18" t="s">
        <v>227</v>
      </c>
      <c r="J215" s="154" t="s">
        <v>178</v>
      </c>
      <c r="K215" s="59">
        <f>'Feedtstocks only CONVENTIONAL'!J26</f>
        <v>3.9335389263012145E-2</v>
      </c>
      <c r="L215" s="2">
        <f>K215*$L$211</f>
        <v>63787384.722199485</v>
      </c>
      <c r="M215" t="str">
        <f>'LCoP CONVENTIONAL'!$F$28</f>
        <v>Fabricated metal products</v>
      </c>
      <c r="N215" s="59">
        <f>'LCoP CONVENTIONAL'!$G$28</f>
        <v>7.0000000000000007E-2</v>
      </c>
      <c r="O215" s="2">
        <f>N215*$O$211</f>
        <v>18918998.109219186</v>
      </c>
      <c r="P215" t="str">
        <f>'LCoP CONVENTIONAL'!$I$28</f>
        <v>Repair and installation services</v>
      </c>
      <c r="Q215" s="59">
        <f>'LCoP CONVENTIONAL'!$J$28</f>
        <v>0.15</v>
      </c>
      <c r="R215" s="2">
        <f t="shared" si="41"/>
        <v>81081420.468082219</v>
      </c>
    </row>
    <row r="216" spans="1:19" x14ac:dyDescent="0.35">
      <c r="D216" s="2"/>
      <c r="M216" t="str">
        <f>'LCoP CONVENTIONAL'!$F$29</f>
        <v>Computer, electronic and optical products</v>
      </c>
      <c r="N216" s="59">
        <f>'LCoP CONVENTIONAL'!$G$29</f>
        <v>0.03</v>
      </c>
      <c r="O216" s="2">
        <f>N216*$O$211</f>
        <v>8108142.0468082214</v>
      </c>
      <c r="P216" s="299" t="str">
        <f>'LCoP CONVENTIONAL'!$I$29</f>
        <v>Land transport services and transport services via pipelines</v>
      </c>
      <c r="Q216" s="59">
        <f>'LCoP CONVENTIONAL'!$J$29</f>
        <v>0.05</v>
      </c>
      <c r="R216" s="2">
        <f t="shared" si="41"/>
        <v>27027140.156027406</v>
      </c>
    </row>
    <row r="217" spans="1:19" x14ac:dyDescent="0.35">
      <c r="D217" s="2"/>
      <c r="P217" t="str">
        <f>'LCoP CONVENTIONAL'!$I$30</f>
        <v>Waste management services</v>
      </c>
      <c r="Q217" s="59">
        <f>'LCoP CONVENTIONAL'!$J$30</f>
        <v>0</v>
      </c>
      <c r="R217" s="2">
        <f t="shared" si="41"/>
        <v>0</v>
      </c>
    </row>
    <row r="218" spans="1:19" s="114" customFormat="1" x14ac:dyDescent="0.35">
      <c r="A218" s="114" t="s">
        <v>244</v>
      </c>
      <c r="B218" s="114">
        <v>1165.6261363636365</v>
      </c>
      <c r="C218" s="114">
        <f>B218*F218</f>
        <v>0</v>
      </c>
      <c r="D218" s="114">
        <v>0</v>
      </c>
      <c r="E218" s="114">
        <f>'[1]Conversion factors selected IV '!$O$4</f>
        <v>1.1315675675675676</v>
      </c>
      <c r="F218" s="114">
        <f>D218*E218*1000000</f>
        <v>0</v>
      </c>
      <c r="G218" s="301">
        <f>'LCoP CONVENTIONAL'!$B$10</f>
        <v>1253</v>
      </c>
      <c r="H218" s="114">
        <f>G218*F218</f>
        <v>0</v>
      </c>
      <c r="I218" s="308">
        <f>'LCoP CONVENTIONAL'!$C$10</f>
        <v>0.72067039106145248</v>
      </c>
      <c r="K218" s="114">
        <f>I218*G218</f>
        <v>903</v>
      </c>
      <c r="L218" s="114">
        <f>I218*H218</f>
        <v>0</v>
      </c>
      <c r="M218" s="308">
        <f>'LCoP CONVENTIONAL'!$F$10</f>
        <v>6.6241021548284124E-2</v>
      </c>
      <c r="O218" s="114">
        <f>M218*H218</f>
        <v>0</v>
      </c>
      <c r="P218" s="308">
        <f>'LCoP CONVENTIONAL'!$I$10</f>
        <v>0.21308858739026337</v>
      </c>
      <c r="R218" s="114">
        <f>P218*H218</f>
        <v>0</v>
      </c>
      <c r="S218" s="114">
        <f>SUM(L218,O218,R218)</f>
        <v>0</v>
      </c>
    </row>
    <row r="219" spans="1:19" x14ac:dyDescent="0.35">
      <c r="A219" s="117"/>
      <c r="B219" s="117"/>
      <c r="C219" s="117"/>
      <c r="D219" s="117"/>
      <c r="E219" s="117"/>
      <c r="F219" s="117"/>
      <c r="G219" s="117"/>
      <c r="H219" s="117"/>
      <c r="I219" t="s">
        <v>396</v>
      </c>
      <c r="J219" s="147" t="s">
        <v>179</v>
      </c>
      <c r="L219" s="2">
        <f>$L$218</f>
        <v>0</v>
      </c>
      <c r="M219" t="str">
        <f>'LCoP CONVENTIONAL'!$F$11</f>
        <v>Machinery and equipment</v>
      </c>
      <c r="N219" s="59">
        <f>'LCoP CONVENTIONAL'!$G$11</f>
        <v>0.48</v>
      </c>
      <c r="O219" s="2">
        <f>N219*$O$218</f>
        <v>0</v>
      </c>
      <c r="P219" t="str">
        <f>'LCoP CONVENTIONAL'!$I$11</f>
        <v>Chemical and chemical products</v>
      </c>
      <c r="Q219" s="59">
        <f>'LCoP CONVENTIONAL'!$J$11</f>
        <v>0.25</v>
      </c>
      <c r="R219" s="2">
        <f t="shared" ref="R219:R224" si="42">Q219*$R$218</f>
        <v>0</v>
      </c>
      <c r="S219" s="117"/>
    </row>
    <row r="220" spans="1:19" x14ac:dyDescent="0.35">
      <c r="A220" s="117"/>
      <c r="B220" s="117"/>
      <c r="C220" s="117"/>
      <c r="D220" s="117"/>
      <c r="E220" s="117"/>
      <c r="F220" s="117"/>
      <c r="G220" s="117"/>
      <c r="H220" s="117"/>
      <c r="M220" t="str">
        <f>'LCoP CONVENTIONAL'!$F$12</f>
        <v>Architectural and engineering services</v>
      </c>
      <c r="N220" s="59">
        <f>'LCoP CONVENTIONAL'!$G$12</f>
        <v>0.3</v>
      </c>
      <c r="O220" s="2">
        <f>N220*$O$218</f>
        <v>0</v>
      </c>
      <c r="P220" t="str">
        <f>'LCoP CONVENTIONAL'!$I$12</f>
        <v>Electricity, gas, steam &amp; AC</v>
      </c>
      <c r="Q220" s="59">
        <f>'LCoP CONVENTIONAL'!$J$12</f>
        <v>0.15</v>
      </c>
      <c r="R220" s="2">
        <f t="shared" si="42"/>
        <v>0</v>
      </c>
      <c r="S220" s="117"/>
    </row>
    <row r="221" spans="1:19" x14ac:dyDescent="0.35">
      <c r="A221" s="117"/>
      <c r="B221" s="117"/>
      <c r="C221" s="117"/>
      <c r="D221" s="117"/>
      <c r="E221" s="117"/>
      <c r="F221" s="117"/>
      <c r="G221" s="117"/>
      <c r="H221" s="117"/>
      <c r="M221" t="str">
        <f>'LCoP CONVENTIONAL'!$F$13</f>
        <v>Constructions and construction works</v>
      </c>
      <c r="N221" s="59">
        <f>'LCoP CONVENTIONAL'!$G$13</f>
        <v>0.12</v>
      </c>
      <c r="O221" s="2">
        <f>N221*$O$218</f>
        <v>0</v>
      </c>
      <c r="P221" t="str">
        <f>'LCoP CONVENTIONAL'!$I$13</f>
        <v>Legal and accounting services; services of head offices; management consultancy services</v>
      </c>
      <c r="Q221" s="59">
        <f>'LCoP CONVENTIONAL'!$J$13</f>
        <v>0.2</v>
      </c>
      <c r="R221" s="2">
        <f t="shared" si="42"/>
        <v>0</v>
      </c>
      <c r="S221" s="117"/>
    </row>
    <row r="222" spans="1:19" x14ac:dyDescent="0.35">
      <c r="A222" s="117"/>
      <c r="B222" s="117"/>
      <c r="C222" s="117"/>
      <c r="D222" s="117"/>
      <c r="E222" s="117"/>
      <c r="F222" s="117"/>
      <c r="G222" s="117"/>
      <c r="H222" s="117"/>
      <c r="M222" t="str">
        <f>'LCoP CONVENTIONAL'!$F$14</f>
        <v>Fabricated metal products</v>
      </c>
      <c r="N222" s="59">
        <f>'LCoP CONVENTIONAL'!$G$14</f>
        <v>7.0000000000000007E-2</v>
      </c>
      <c r="O222" s="2">
        <f>N222*$O$218</f>
        <v>0</v>
      </c>
      <c r="P222" t="str">
        <f>'LCoP CONVENTIONAL'!$I$14</f>
        <v>Repair and installation services</v>
      </c>
      <c r="Q222" s="59">
        <f>'LCoP CONVENTIONAL'!$J$14</f>
        <v>0.15</v>
      </c>
      <c r="R222" s="2">
        <f t="shared" si="42"/>
        <v>0</v>
      </c>
      <c r="S222" s="117"/>
    </row>
    <row r="223" spans="1:19" x14ac:dyDescent="0.35">
      <c r="A223" s="117"/>
      <c r="B223" s="117"/>
      <c r="C223" s="117"/>
      <c r="D223" s="117"/>
      <c r="E223" s="117"/>
      <c r="F223" s="117"/>
      <c r="G223" s="117"/>
      <c r="H223" s="117"/>
      <c r="M223" t="str">
        <f>'LCoP CONVENTIONAL'!$F$15</f>
        <v>Computer, electronic and optical products</v>
      </c>
      <c r="N223" s="59">
        <f>'LCoP CONVENTIONAL'!$G$15</f>
        <v>0.03</v>
      </c>
      <c r="O223" s="2">
        <f>N223*$O$218</f>
        <v>0</v>
      </c>
      <c r="P223" s="299" t="str">
        <f>'LCoP CONVENTIONAL'!$I$15</f>
        <v>Land transport services and transport services via pipelines</v>
      </c>
      <c r="Q223" s="59">
        <f>'LCoP CONVENTIONAL'!$J$15</f>
        <v>0.25</v>
      </c>
      <c r="R223" s="2">
        <f t="shared" si="42"/>
        <v>0</v>
      </c>
      <c r="S223" s="117"/>
    </row>
    <row r="224" spans="1:19" x14ac:dyDescent="0.35">
      <c r="A224" s="117"/>
      <c r="B224" s="117"/>
      <c r="C224" s="117"/>
      <c r="D224" s="117"/>
      <c r="E224" s="117"/>
      <c r="F224" s="117"/>
      <c r="G224" s="117"/>
      <c r="H224" s="117"/>
      <c r="I224" s="117"/>
      <c r="J224" s="117"/>
      <c r="K224" s="117"/>
      <c r="L224" s="117"/>
      <c r="M224" s="117"/>
      <c r="N224" s="117"/>
      <c r="O224" s="117"/>
      <c r="P224" t="str">
        <f>'LCoP CONVENTIONAL'!$I$16</f>
        <v>Waste management services</v>
      </c>
      <c r="Q224" s="300">
        <f>'LCoP CONVENTIONAL'!$J$16</f>
        <v>0</v>
      </c>
      <c r="R224" s="117">
        <f t="shared" si="42"/>
        <v>0</v>
      </c>
      <c r="S224" s="117"/>
    </row>
    <row r="226" spans="1:19" s="114" customFormat="1" x14ac:dyDescent="0.35">
      <c r="A226" s="114" t="s">
        <v>246</v>
      </c>
      <c r="B226" s="114">
        <v>1165.6261363636365</v>
      </c>
      <c r="C226" s="114">
        <f>B226*F226</f>
        <v>3217128136.363637</v>
      </c>
      <c r="D226" s="114">
        <f>'[2]GAP analysis Sc. 1'!$S$22</f>
        <v>2.9005445686443103</v>
      </c>
      <c r="E226" s="114">
        <f>'[1]Conversion factors selected IV '!$O$7</f>
        <v>0.95154545454545458</v>
      </c>
      <c r="F226" s="114">
        <f>D226*E226*1000000</f>
        <v>2760000</v>
      </c>
      <c r="G226" s="301">
        <f>'LCoP CONVENTIONAL'!$B$31</f>
        <v>1203</v>
      </c>
      <c r="H226" s="114">
        <f>G226*F226</f>
        <v>3320280000</v>
      </c>
      <c r="I226" s="308">
        <f>'LCoP CONVENTIONAL'!$C$31</f>
        <v>0.75062344139650872</v>
      </c>
      <c r="K226" s="114">
        <f>I226*G226</f>
        <v>903</v>
      </c>
      <c r="L226" s="114">
        <f>I226*H226</f>
        <v>2492280000</v>
      </c>
      <c r="M226" s="308">
        <f>'LCoP CONVENTIONAL'!$F$31</f>
        <v>8.3125519534497094E-2</v>
      </c>
      <c r="O226" s="114">
        <f>M226*H226</f>
        <v>276000000</v>
      </c>
      <c r="P226" s="308">
        <f>'LCoP CONVENTIONAL'!$I$31</f>
        <v>0.16625103906899419</v>
      </c>
      <c r="R226" s="114">
        <f>P226*H226</f>
        <v>552000000</v>
      </c>
      <c r="S226" s="114">
        <f>L226+O226+R226</f>
        <v>3320280000</v>
      </c>
    </row>
    <row r="227" spans="1:19" s="117" customFormat="1" x14ac:dyDescent="0.35">
      <c r="I227" t="s">
        <v>353</v>
      </c>
      <c r="J227" s="147" t="s">
        <v>179</v>
      </c>
      <c r="K227"/>
      <c r="L227" s="2">
        <f>$L$226</f>
        <v>2492280000</v>
      </c>
      <c r="M227" t="str">
        <f>'LCoP CONVENTIONAL'!F32</f>
        <v>Machinery and equipment</v>
      </c>
      <c r="N227" s="59">
        <f>'LCoP CONVENTIONAL'!G32</f>
        <v>0.57999999999999996</v>
      </c>
      <c r="O227" s="2">
        <f>N227*$O$226</f>
        <v>160080000</v>
      </c>
      <c r="P227" t="str">
        <f>'LCoP CONVENTIONAL'!I32</f>
        <v>Chemical and chemical products</v>
      </c>
      <c r="Q227" s="59">
        <f>'LCoP CONVENTIONAL'!J32</f>
        <v>0.35</v>
      </c>
      <c r="R227" s="2">
        <f t="shared" ref="R227:R232" si="43">Q227*$R$226</f>
        <v>193200000</v>
      </c>
    </row>
    <row r="228" spans="1:19" s="117" customFormat="1" x14ac:dyDescent="0.35">
      <c r="I228"/>
      <c r="J228"/>
      <c r="K228"/>
      <c r="L228"/>
      <c r="M228" t="str">
        <f>'LCoP CONVENTIONAL'!F33</f>
        <v>Architectural and engineering services</v>
      </c>
      <c r="N228" s="59">
        <f>'LCoP CONVENTIONAL'!G33</f>
        <v>0.25</v>
      </c>
      <c r="O228" s="2">
        <f>N228*$O$226</f>
        <v>69000000</v>
      </c>
      <c r="P228" t="str">
        <f>'LCoP CONVENTIONAL'!I33</f>
        <v>Electricity, gas, steam &amp; AC</v>
      </c>
      <c r="Q228" s="59">
        <f>'LCoP CONVENTIONAL'!J33</f>
        <v>0.15</v>
      </c>
      <c r="R228" s="2">
        <f t="shared" si="43"/>
        <v>82800000</v>
      </c>
    </row>
    <row r="229" spans="1:19" s="117" customFormat="1" x14ac:dyDescent="0.35">
      <c r="I229"/>
      <c r="J229"/>
      <c r="K229"/>
      <c r="L229"/>
      <c r="M229" t="str">
        <f>'LCoP CONVENTIONAL'!F34</f>
        <v>Constructions and construction works</v>
      </c>
      <c r="N229" s="59">
        <f>'LCoP CONVENTIONAL'!G34</f>
        <v>0.08</v>
      </c>
      <c r="O229" s="2">
        <f>N229*$O$226</f>
        <v>22080000</v>
      </c>
      <c r="P229" t="str">
        <f>'LCoP CONVENTIONAL'!I34</f>
        <v>Legal and accounting services; services of head offices; management consultancy services</v>
      </c>
      <c r="Q229" s="59">
        <f>'LCoP CONVENTIONAL'!J34</f>
        <v>0.18</v>
      </c>
      <c r="R229" s="2">
        <f t="shared" si="43"/>
        <v>99360000</v>
      </c>
    </row>
    <row r="230" spans="1:19" s="117" customFormat="1" x14ac:dyDescent="0.35">
      <c r="I230"/>
      <c r="J230"/>
      <c r="K230"/>
      <c r="L230"/>
      <c r="M230" t="str">
        <f>'LCoP CONVENTIONAL'!F35</f>
        <v>Fabricated metal products</v>
      </c>
      <c r="N230" s="59">
        <f>'LCoP CONVENTIONAL'!G35</f>
        <v>0.06</v>
      </c>
      <c r="O230" s="2">
        <f>N230*$O$226</f>
        <v>16560000</v>
      </c>
      <c r="P230" t="str">
        <f>'LCoP CONVENTIONAL'!I35</f>
        <v>Repair and installation services</v>
      </c>
      <c r="Q230" s="59">
        <f>'LCoP CONVENTIONAL'!J35</f>
        <v>0.15</v>
      </c>
      <c r="R230" s="2">
        <f t="shared" si="43"/>
        <v>82800000</v>
      </c>
    </row>
    <row r="231" spans="1:19" s="117" customFormat="1" x14ac:dyDescent="0.35">
      <c r="I231"/>
      <c r="J231"/>
      <c r="K231"/>
      <c r="L231"/>
      <c r="M231" t="str">
        <f>'LCoP CONVENTIONAL'!F36</f>
        <v>Computer, electronic and optical products</v>
      </c>
      <c r="N231" s="59">
        <f>'LCoP CONVENTIONAL'!G36</f>
        <v>0.03</v>
      </c>
      <c r="O231" s="2">
        <f>N231*$O$226</f>
        <v>8280000</v>
      </c>
      <c r="P231" s="299" t="str">
        <f>'LCoP CONVENTIONAL'!I36</f>
        <v>Land transport services and transport services via pipelines</v>
      </c>
      <c r="Q231" s="59">
        <f>'LCoP CONVENTIONAL'!J36</f>
        <v>0.17</v>
      </c>
      <c r="R231" s="2">
        <f t="shared" si="43"/>
        <v>93840000</v>
      </c>
    </row>
    <row r="232" spans="1:19" s="117" customFormat="1" x14ac:dyDescent="0.35">
      <c r="I232"/>
      <c r="J232"/>
      <c r="K232"/>
      <c r="L232"/>
      <c r="M232"/>
      <c r="N232" s="59"/>
      <c r="O232" s="2"/>
      <c r="P232" s="299" t="str">
        <f>'LCoP CONVENTIONAL'!$I$37</f>
        <v>Waste management services</v>
      </c>
      <c r="Q232" s="59">
        <f>'LCoP CONVENTIONAL'!$J$37</f>
        <v>0</v>
      </c>
      <c r="R232" s="2">
        <f t="shared" si="43"/>
        <v>0</v>
      </c>
    </row>
    <row r="233" spans="1:19" s="114" customFormat="1" x14ac:dyDescent="0.35">
      <c r="A233" s="114" t="s">
        <v>326</v>
      </c>
      <c r="B233" s="114">
        <f>2100</f>
        <v>2100</v>
      </c>
      <c r="C233" s="114">
        <f>B233*F233</f>
        <v>5525581395.3488379</v>
      </c>
      <c r="D233" s="114">
        <f>'[2]GAP analysis Sc. 1'!$S$24</f>
        <v>2.7023707161282395</v>
      </c>
      <c r="E233" s="114">
        <f>'[1]Conversion factors selected IV '!$O$12</f>
        <v>0.97367441860465131</v>
      </c>
      <c r="F233" s="114">
        <f>D233*E233*1000000</f>
        <v>2631229.2358803991</v>
      </c>
      <c r="G233" s="301">
        <f>'LCoP CONVENTIONAL'!$B$45</f>
        <v>2903</v>
      </c>
      <c r="H233" s="114">
        <f>G233*F233</f>
        <v>7638458471.7607985</v>
      </c>
      <c r="I233" s="309">
        <f>'LCoP CONVENTIONAL'!$C$45</f>
        <v>0.67550809507406129</v>
      </c>
      <c r="K233" s="114">
        <f>I233*G233</f>
        <v>1961</v>
      </c>
      <c r="L233" s="114">
        <f>I233*H233</f>
        <v>5159840531.5614624</v>
      </c>
      <c r="M233" s="309">
        <f>'LCoP CONVENTIONAL'!$F$45</f>
        <v>0.12952118498105408</v>
      </c>
      <c r="O233" s="114">
        <f>M233*H233</f>
        <v>989342192.69103003</v>
      </c>
      <c r="P233" s="309">
        <f>'LCoP CONVENTIONAL'!$I$45</f>
        <v>0.1949707199448846</v>
      </c>
      <c r="R233" s="114">
        <f>P233*H233</f>
        <v>1489275747.5083058</v>
      </c>
      <c r="S233" s="114">
        <f>SUM(L233,O233,R233)</f>
        <v>7638458471.7607985</v>
      </c>
    </row>
    <row r="234" spans="1:19" x14ac:dyDescent="0.35">
      <c r="A234" t="s">
        <v>403</v>
      </c>
      <c r="H234" s="192" t="s">
        <v>254</v>
      </c>
      <c r="I234" s="18" t="s">
        <v>268</v>
      </c>
      <c r="J234" s="154" t="s">
        <v>178</v>
      </c>
      <c r="K234" s="59">
        <v>0.42676656092472498</v>
      </c>
      <c r="L234" s="102">
        <f>K234*L233</f>
        <v>2202047398.5744901</v>
      </c>
      <c r="M234" t="str">
        <f>'LCoP CONVENTIONAL'!$F$46</f>
        <v>Machinery and equipment</v>
      </c>
      <c r="N234" s="59">
        <f>'LCoP CONVENTIONAL'!$G$46</f>
        <v>0.6</v>
      </c>
      <c r="O234" s="2">
        <f>N234*$O$233</f>
        <v>593605315.61461794</v>
      </c>
      <c r="P234" t="str">
        <f>'LCoP CONVENTIONAL'!$I$46</f>
        <v>Chemical and chemical products</v>
      </c>
      <c r="Q234" s="59">
        <f>'LCoP CONVENTIONAL'!$J$46</f>
        <v>0.15</v>
      </c>
      <c r="R234" s="2">
        <f t="shared" ref="R234:R239" si="44">Q234*$R$233</f>
        <v>223391362.12624586</v>
      </c>
    </row>
    <row r="235" spans="1:19" x14ac:dyDescent="0.35">
      <c r="H235" s="191" t="s">
        <v>252</v>
      </c>
      <c r="I235" s="18" t="s">
        <v>269</v>
      </c>
      <c r="J235" s="154" t="s">
        <v>178</v>
      </c>
      <c r="K235" s="59">
        <v>0.28451104061648402</v>
      </c>
      <c r="L235" s="102">
        <f>K235*L233</f>
        <v>1468031599.0496638</v>
      </c>
      <c r="M235" t="str">
        <f>'LCoP CONVENTIONAL'!$F$47</f>
        <v>Architectural and engineering services</v>
      </c>
      <c r="N235" s="59">
        <f>'LCoP CONVENTIONAL'!$G$47</f>
        <v>0.25</v>
      </c>
      <c r="O235" s="2">
        <f>N235*$O$233</f>
        <v>247335548.17275751</v>
      </c>
      <c r="P235" t="str">
        <f>'LCoP CONVENTIONAL'!$I$47</f>
        <v>Electricity, gas, steam &amp; AC</v>
      </c>
      <c r="Q235" s="59">
        <f>'LCoP CONVENTIONAL'!$J$47</f>
        <v>0.4</v>
      </c>
      <c r="R235" s="2">
        <f t="shared" si="44"/>
        <v>595710299.00332236</v>
      </c>
    </row>
    <row r="236" spans="1:19" x14ac:dyDescent="0.35">
      <c r="H236" s="192" t="s">
        <v>254</v>
      </c>
      <c r="I236" s="18" t="s">
        <v>267</v>
      </c>
      <c r="J236" s="154" t="s">
        <v>178</v>
      </c>
      <c r="K236" s="59">
        <v>0.288722398458791</v>
      </c>
      <c r="L236" s="102">
        <f>K236*L233</f>
        <v>1489761533.9373085</v>
      </c>
      <c r="M236" t="str">
        <f>'LCoP CONVENTIONAL'!$F$48</f>
        <v>Constructions and construction works</v>
      </c>
      <c r="N236" s="59">
        <f>'LCoP CONVENTIONAL'!$G$48</f>
        <v>7.0000000000000007E-2</v>
      </c>
      <c r="O236" s="2">
        <f>N236*$O$233</f>
        <v>69253953.488372102</v>
      </c>
      <c r="P236" t="str">
        <f>'LCoP CONVENTIONAL'!$I$48</f>
        <v>Legal and accounting services; services of head offices; management consultancy services</v>
      </c>
      <c r="Q236" s="59">
        <f>'LCoP CONVENTIONAL'!$J$48</f>
        <v>0.2</v>
      </c>
      <c r="R236" s="2">
        <f t="shared" si="44"/>
        <v>297855149.50166118</v>
      </c>
    </row>
    <row r="237" spans="1:19" x14ac:dyDescent="0.35">
      <c r="H237" s="18"/>
      <c r="I237" s="18"/>
      <c r="J237" s="18"/>
      <c r="K237" s="102">
        <v>1</v>
      </c>
      <c r="L237" s="102">
        <f>SUM(L234:L236)</f>
        <v>5159840531.5614624</v>
      </c>
      <c r="M237" t="str">
        <f>'LCoP CONVENTIONAL'!$F$49</f>
        <v>Fabricated metal products</v>
      </c>
      <c r="N237" s="59">
        <f>'LCoP CONVENTIONAL'!$G$49</f>
        <v>0.05</v>
      </c>
      <c r="O237" s="2">
        <f>N237*$O$233</f>
        <v>49467109.634551503</v>
      </c>
      <c r="P237" t="str">
        <f>'LCoP CONVENTIONAL'!$I$49</f>
        <v>Repair and installation services</v>
      </c>
      <c r="Q237" s="59">
        <f>'LCoP CONVENTIONAL'!$J$49</f>
        <v>0.15</v>
      </c>
      <c r="R237" s="2">
        <f t="shared" si="44"/>
        <v>223391362.12624586</v>
      </c>
    </row>
    <row r="238" spans="1:19" x14ac:dyDescent="0.35">
      <c r="M238" t="str">
        <f>'LCoP CONVENTIONAL'!$F$50</f>
        <v>Computer, electronic and optical products</v>
      </c>
      <c r="N238" s="59">
        <f>'LCoP CONVENTIONAL'!$G$50</f>
        <v>0.03</v>
      </c>
      <c r="O238" s="2">
        <f>N238*$O$233</f>
        <v>29680265.780730899</v>
      </c>
      <c r="P238" s="299" t="str">
        <f>'LCoP CONVENTIONAL'!$I$50</f>
        <v>Land transport services and transport services via pipelines</v>
      </c>
      <c r="Q238" s="59">
        <f>'LCoP CONVENTIONAL'!$J$50</f>
        <v>0.1</v>
      </c>
      <c r="R238" s="2">
        <f t="shared" si="44"/>
        <v>148927574.75083059</v>
      </c>
    </row>
    <row r="239" spans="1:19" s="117" customFormat="1" x14ac:dyDescent="0.35">
      <c r="I239"/>
      <c r="J239"/>
      <c r="K239"/>
      <c r="L239"/>
      <c r="M239"/>
      <c r="N239" s="59"/>
      <c r="O239" s="2"/>
      <c r="P239" t="str">
        <f>'LCoP CONVENTIONAL'!$I$51</f>
        <v>Waste management services</v>
      </c>
      <c r="Q239" s="59">
        <f>'LCoP CONVENTIONAL'!$J$51</f>
        <v>0</v>
      </c>
      <c r="R239" s="2">
        <f t="shared" si="44"/>
        <v>0</v>
      </c>
    </row>
    <row r="240" spans="1:19" s="117" customFormat="1" x14ac:dyDescent="0.35">
      <c r="I240"/>
      <c r="J240"/>
      <c r="K240"/>
      <c r="L240"/>
      <c r="M240"/>
      <c r="N240" s="59"/>
      <c r="O240" s="2"/>
      <c r="Q240" s="59"/>
      <c r="R240" s="2"/>
    </row>
    <row r="241" spans="1:19" s="117" customFormat="1" x14ac:dyDescent="0.35">
      <c r="I241"/>
      <c r="J241"/>
      <c r="K241"/>
      <c r="L241"/>
      <c r="M241"/>
      <c r="N241" s="59"/>
      <c r="O241" s="2"/>
      <c r="P241" s="199"/>
      <c r="Q241" s="59"/>
      <c r="R241" s="2"/>
    </row>
    <row r="242" spans="1:19" s="117" customFormat="1" x14ac:dyDescent="0.35"/>
    <row r="243" spans="1:19" s="151" customFormat="1" ht="29" customHeight="1" x14ac:dyDescent="0.35">
      <c r="A243" s="151" t="s">
        <v>328</v>
      </c>
    </row>
    <row r="244" spans="1:19" x14ac:dyDescent="0.35">
      <c r="C244" s="2">
        <f>C245</f>
        <v>4038618047.1008029</v>
      </c>
      <c r="D244" s="2">
        <f>D245</f>
        <v>2.5559544542420078</v>
      </c>
      <c r="F244" s="2">
        <f>F245</f>
        <v>3963433.373711274</v>
      </c>
    </row>
    <row r="245" spans="1:19" s="114" customFormat="1" x14ac:dyDescent="0.35">
      <c r="A245" s="114" t="s">
        <v>329</v>
      </c>
      <c r="B245" s="114">
        <v>1018.96958174905</v>
      </c>
      <c r="C245" s="114">
        <f>B245*F245</f>
        <v>4038618047.1008029</v>
      </c>
      <c r="D245" s="114">
        <f>'[2]GAP analysis Sc. 1'!$F$77</f>
        <v>2.5559544542420078</v>
      </c>
      <c r="E245" s="114">
        <f>'[1]Conversion factors selected IV '!$O$17</f>
        <v>1.5506666666666669</v>
      </c>
      <c r="F245" s="114">
        <f>D245*E245*1000000</f>
        <v>3963433.373711274</v>
      </c>
      <c r="G245" s="301">
        <f>'LCoP CONVENTIONAL'!$B$53</f>
        <v>903.57</v>
      </c>
      <c r="H245" s="114">
        <f>G245*F245</f>
        <v>3581239493.4842958</v>
      </c>
      <c r="I245" s="308">
        <f>'LCoP CONVENTIONAL'!$C$53</f>
        <v>0.7</v>
      </c>
      <c r="K245" s="114">
        <f>I245*G245</f>
        <v>632.49900000000002</v>
      </c>
      <c r="L245" s="114">
        <f>I245*H245</f>
        <v>2506867645.4390068</v>
      </c>
      <c r="M245" s="308">
        <f>'LCoP CONVENTIONAL'!$F$53</f>
        <v>0.1</v>
      </c>
      <c r="O245" s="114">
        <f>M245*H245</f>
        <v>358123949.34842962</v>
      </c>
      <c r="P245" s="308">
        <f>'LCoP CONVENTIONAL'!$I$53</f>
        <v>0.2</v>
      </c>
      <c r="R245" s="114">
        <f>P245*H245</f>
        <v>716247898.69685924</v>
      </c>
      <c r="S245" s="114">
        <f>SUM(L245,O245,R245)</f>
        <v>3581239493.4842958</v>
      </c>
    </row>
    <row r="246" spans="1:19" x14ac:dyDescent="0.35">
      <c r="A246" s="117"/>
      <c r="B246" s="117"/>
      <c r="C246" s="117"/>
      <c r="D246" s="117"/>
      <c r="E246" s="117"/>
      <c r="F246" s="117"/>
      <c r="G246" s="117"/>
      <c r="H246" s="117"/>
      <c r="I246" t="s">
        <v>362</v>
      </c>
      <c r="J246" s="147" t="s">
        <v>179</v>
      </c>
      <c r="L246" s="2">
        <f>$L$245</f>
        <v>2506867645.4390068</v>
      </c>
      <c r="M246" t="str">
        <f>'LCoP CONVENTIONAL'!$F$54</f>
        <v>Machinery and equipment</v>
      </c>
      <c r="N246" s="59">
        <f>'LCoP CONVENTIONAL'!$G$54</f>
        <v>0.5</v>
      </c>
      <c r="O246" s="2">
        <f>N246*$O$245</f>
        <v>179061974.67421481</v>
      </c>
      <c r="P246" t="str">
        <f>'LCoP CONVENTIONAL'!$I$54</f>
        <v>Chemical and chemical products</v>
      </c>
      <c r="Q246" s="59">
        <f>'LCoP CONVENTIONAL'!$J$54</f>
        <v>0.15</v>
      </c>
      <c r="R246" s="2">
        <f t="shared" ref="R246:R251" si="45">Q246*$R$245</f>
        <v>107437184.80452888</v>
      </c>
      <c r="S246" s="117"/>
    </row>
    <row r="247" spans="1:19" x14ac:dyDescent="0.35">
      <c r="A247" s="117"/>
      <c r="B247" s="117"/>
      <c r="C247" s="117"/>
      <c r="D247" s="117"/>
      <c r="E247" s="117"/>
      <c r="F247" s="117"/>
      <c r="G247" s="117"/>
      <c r="H247" s="117"/>
      <c r="M247" t="str">
        <f>'LCoP CONVENTIONAL'!$F$55</f>
        <v>Architectural and engineering services</v>
      </c>
      <c r="N247" s="59">
        <f>'LCoP CONVENTIONAL'!$G$55</f>
        <v>0.25</v>
      </c>
      <c r="O247" s="2">
        <f>N247*$O$245</f>
        <v>89530987.337107405</v>
      </c>
      <c r="P247" t="str">
        <f>'LCoP CONVENTIONAL'!$I$55</f>
        <v>Electricity, gas, steam &amp; AC</v>
      </c>
      <c r="Q247" s="59">
        <f>'LCoP CONVENTIONAL'!$J$55</f>
        <v>0.4</v>
      </c>
      <c r="R247" s="2">
        <f t="shared" si="45"/>
        <v>286499159.47874373</v>
      </c>
      <c r="S247" s="117"/>
    </row>
    <row r="248" spans="1:19" x14ac:dyDescent="0.35">
      <c r="A248" s="117"/>
      <c r="B248" s="117"/>
      <c r="C248" s="117"/>
      <c r="D248" s="117"/>
      <c r="E248" s="117"/>
      <c r="F248" s="117"/>
      <c r="G248" s="117"/>
      <c r="H248" s="117"/>
      <c r="M248" t="str">
        <f>'LCoP CONVENTIONAL'!$F$56</f>
        <v>Constructions and construction works</v>
      </c>
      <c r="N248" s="59">
        <f>'LCoP CONVENTIONAL'!$G$56</f>
        <v>0.15</v>
      </c>
      <c r="O248" s="2">
        <f>N248*$O$245</f>
        <v>53718592.402264439</v>
      </c>
      <c r="P248" t="str">
        <f>'LCoP CONVENTIONAL'!$I$56</f>
        <v>Legal and accounting services; services of head offices; management consultancy services</v>
      </c>
      <c r="Q248" s="59">
        <f>'LCoP CONVENTIONAL'!$J$56</f>
        <v>0.2</v>
      </c>
      <c r="R248" s="2">
        <f t="shared" si="45"/>
        <v>143249579.73937187</v>
      </c>
      <c r="S248" s="117"/>
    </row>
    <row r="249" spans="1:19" x14ac:dyDescent="0.35">
      <c r="A249" s="117"/>
      <c r="B249" s="117"/>
      <c r="C249" s="117"/>
      <c r="D249" s="117"/>
      <c r="E249" s="117"/>
      <c r="F249" s="117"/>
      <c r="G249" s="117"/>
      <c r="H249" s="117"/>
      <c r="M249" t="str">
        <f>'LCoP CONVENTIONAL'!$F$57</f>
        <v>Fabricated metal products</v>
      </c>
      <c r="N249" s="59">
        <f>'LCoP CONVENTIONAL'!$G$57</f>
        <v>7.0000000000000007E-2</v>
      </c>
      <c r="O249" s="2">
        <f>N249*$O$245</f>
        <v>25068676.454390075</v>
      </c>
      <c r="P249" t="str">
        <f>'LCoP CONVENTIONAL'!$I$57</f>
        <v>Repair and installation services</v>
      </c>
      <c r="Q249" s="59">
        <f>'LCoP CONVENTIONAL'!$J$57</f>
        <v>0.15</v>
      </c>
      <c r="R249" s="2">
        <f t="shared" si="45"/>
        <v>107437184.80452888</v>
      </c>
      <c r="S249" s="117"/>
    </row>
    <row r="250" spans="1:19" x14ac:dyDescent="0.35">
      <c r="A250" s="117"/>
      <c r="B250" s="117"/>
      <c r="C250" s="117"/>
      <c r="D250" s="117"/>
      <c r="E250" s="117"/>
      <c r="F250" s="117"/>
      <c r="G250" s="117"/>
      <c r="H250" s="117"/>
      <c r="M250" t="str">
        <f>'LCoP CONVENTIONAL'!$F$58</f>
        <v>Computer, electronic and optical products</v>
      </c>
      <c r="N250" s="59">
        <f>'LCoP CONVENTIONAL'!$G$58</f>
        <v>0.03</v>
      </c>
      <c r="O250" s="2">
        <f>N250*$O$245</f>
        <v>10743718.480452888</v>
      </c>
      <c r="P250" s="299" t="str">
        <f>'LCoP CONVENTIONAL'!$I$58</f>
        <v>Land transport services and transport services via pipelines</v>
      </c>
      <c r="Q250" s="59">
        <f>'LCoP CONVENTIONAL'!$J$58</f>
        <v>0.1</v>
      </c>
      <c r="R250" s="2">
        <f t="shared" si="45"/>
        <v>71624789.869685933</v>
      </c>
      <c r="S250" s="117"/>
    </row>
    <row r="251" spans="1:19" x14ac:dyDescent="0.35">
      <c r="A251" s="117"/>
      <c r="B251" s="117"/>
      <c r="C251" s="117"/>
      <c r="D251" s="117"/>
      <c r="E251" s="117"/>
      <c r="F251" s="117"/>
      <c r="G251" s="117"/>
      <c r="H251" s="117"/>
      <c r="I251" s="117"/>
      <c r="J251" s="117"/>
      <c r="K251" s="117"/>
      <c r="L251" s="117"/>
      <c r="M251" s="117"/>
      <c r="N251" s="117"/>
      <c r="O251" s="117"/>
      <c r="P251" t="str">
        <f>'LCoP CONVENTIONAL'!$I$59</f>
        <v>Waste management services</v>
      </c>
      <c r="Q251" s="59">
        <f>'LCoP CONVENTIONAL'!$J$59</f>
        <v>0</v>
      </c>
      <c r="R251" s="117">
        <f t="shared" si="45"/>
        <v>0</v>
      </c>
      <c r="S251" s="117"/>
    </row>
    <row r="252" spans="1:19" s="103" customFormat="1" ht="34" customHeight="1" x14ac:dyDescent="0.35">
      <c r="A252" s="33" t="s">
        <v>345</v>
      </c>
      <c r="B252" s="33"/>
      <c r="C252" s="33"/>
      <c r="F252" s="227"/>
    </row>
    <row r="253" spans="1:19" x14ac:dyDescent="0.35">
      <c r="C253" s="6">
        <f>C254</f>
        <v>3226744186.0465112</v>
      </c>
      <c r="D253" s="6">
        <f>D254</f>
        <v>1.5780889598602408</v>
      </c>
    </row>
    <row r="254" spans="1:19" s="157" customFormat="1" x14ac:dyDescent="0.35">
      <c r="A254" s="157" t="s">
        <v>346</v>
      </c>
      <c r="B254" s="157">
        <f>2100</f>
        <v>2100</v>
      </c>
      <c r="C254" s="157">
        <f>B254*F254</f>
        <v>3226744186.0465112</v>
      </c>
      <c r="D254" s="157">
        <f>'[2]GAP analysis Sc. 1'!$F$95</f>
        <v>1.5780889598602408</v>
      </c>
      <c r="E254" s="157">
        <f>'[1]Conversion factors selected IV '!$O$12</f>
        <v>0.97367441860465131</v>
      </c>
      <c r="F254" s="157">
        <f>D254*E254*1000000</f>
        <v>1536544.8504983387</v>
      </c>
      <c r="G254" s="304">
        <f>'LCoP CONVENTIONAL'!$B$45</f>
        <v>2903</v>
      </c>
      <c r="H254" s="157">
        <f>G254*F254</f>
        <v>4460589700.9966774</v>
      </c>
      <c r="I254" s="304">
        <f>'LCoP CONVENTIONAL'!$C$45</f>
        <v>0.67550809507406129</v>
      </c>
      <c r="K254" s="157">
        <f>I254*G254</f>
        <v>1961</v>
      </c>
      <c r="L254" s="157">
        <f>I254*H254</f>
        <v>3013164451.8272424</v>
      </c>
      <c r="M254" s="304">
        <f>'LCoP CONVENTIONAL'!$F$45</f>
        <v>0.12952118498105408</v>
      </c>
      <c r="O254" s="157">
        <f>M254*H254</f>
        <v>577740863.78737533</v>
      </c>
      <c r="P254" s="304">
        <f>'LCoP CONVENTIONAL'!$I$45</f>
        <v>0.1949707199448846</v>
      </c>
      <c r="R254" s="157">
        <f>P254*H254</f>
        <v>869684385.38205969</v>
      </c>
      <c r="S254" s="157">
        <f>SUM(L254,O254,R254)</f>
        <v>4460589700.9966774</v>
      </c>
    </row>
    <row r="255" spans="1:19" x14ac:dyDescent="0.35">
      <c r="H255" s="191" t="s">
        <v>252</v>
      </c>
      <c r="I255" t="s">
        <v>233</v>
      </c>
      <c r="J255" t="s">
        <v>178</v>
      </c>
      <c r="K255" s="59">
        <v>0.42676656092472498</v>
      </c>
      <c r="L255" s="2">
        <f>K255*$L$254</f>
        <v>1285917830.6069465</v>
      </c>
      <c r="M255" t="str">
        <f>'LCoP CONVENTIONAL'!$F$46</f>
        <v>Machinery and equipment</v>
      </c>
      <c r="N255" s="59">
        <f>'LCoP CONVENTIONAL'!$G$46</f>
        <v>0.6</v>
      </c>
      <c r="O255" s="1">
        <f>N255*$O$254</f>
        <v>346644518.27242517</v>
      </c>
      <c r="P255" s="1" t="str">
        <f>'LCoP CONVENTIONAL'!$I$46</f>
        <v>Chemical and chemical products</v>
      </c>
      <c r="Q255" s="1">
        <f>'LCoP CONVENTIONAL'!$J$46</f>
        <v>0.15</v>
      </c>
      <c r="R255" s="1">
        <f t="shared" ref="R255:R260" si="46">Q255*$R$254</f>
        <v>130452657.80730894</v>
      </c>
    </row>
    <row r="256" spans="1:19" x14ac:dyDescent="0.35">
      <c r="H256" s="192" t="s">
        <v>254</v>
      </c>
      <c r="I256" t="s">
        <v>268</v>
      </c>
      <c r="J256" t="s">
        <v>178</v>
      </c>
      <c r="K256" s="59">
        <v>0.28451104061648402</v>
      </c>
      <c r="L256" s="2">
        <f>K256*$L$254</f>
        <v>857278553.73796642</v>
      </c>
      <c r="M256" t="str">
        <f>'LCoP CONVENTIONAL'!$F$47</f>
        <v>Architectural and engineering services</v>
      </c>
      <c r="N256" s="59">
        <f>'LCoP CONVENTIONAL'!$G$47</f>
        <v>0.25</v>
      </c>
      <c r="O256" s="1">
        <f>N256*$O$254</f>
        <v>144435215.94684383</v>
      </c>
      <c r="P256" s="1" t="str">
        <f>'LCoP CONVENTIONAL'!$I$47</f>
        <v>Electricity, gas, steam &amp; AC</v>
      </c>
      <c r="Q256" s="1">
        <f>'LCoP CONVENTIONAL'!$J$47</f>
        <v>0.4</v>
      </c>
      <c r="R256" s="1">
        <f t="shared" si="46"/>
        <v>347873754.15282393</v>
      </c>
    </row>
    <row r="257" spans="8:18" x14ac:dyDescent="0.35">
      <c r="H257" s="192" t="s">
        <v>254</v>
      </c>
      <c r="I257" t="s">
        <v>267</v>
      </c>
      <c r="J257" t="s">
        <v>178</v>
      </c>
      <c r="K257" s="59">
        <v>0.288722398458791</v>
      </c>
      <c r="L257" s="2">
        <f>K257*$L$254</f>
        <v>869968067.48232961</v>
      </c>
      <c r="M257" t="str">
        <f>'LCoP CONVENTIONAL'!$F$48</f>
        <v>Constructions and construction works</v>
      </c>
      <c r="N257" s="59">
        <f>'LCoP CONVENTIONAL'!$G$48</f>
        <v>7.0000000000000007E-2</v>
      </c>
      <c r="O257" s="1">
        <f>N257*$O$254</f>
        <v>40441860.465116277</v>
      </c>
      <c r="P257" s="1" t="str">
        <f>'LCoP CONVENTIONAL'!$I$48</f>
        <v>Legal and accounting services; services of head offices; management consultancy services</v>
      </c>
      <c r="Q257" s="1">
        <f>'LCoP CONVENTIONAL'!$J$48</f>
        <v>0.2</v>
      </c>
      <c r="R257" s="1">
        <f t="shared" si="46"/>
        <v>173936877.07641196</v>
      </c>
    </row>
    <row r="258" spans="8:18" x14ac:dyDescent="0.35">
      <c r="K258">
        <v>1</v>
      </c>
      <c r="M258" t="str">
        <f>'LCoP CONVENTIONAL'!$F$49</f>
        <v>Fabricated metal products</v>
      </c>
      <c r="N258" s="59">
        <f>'LCoP CONVENTIONAL'!$G$49</f>
        <v>0.05</v>
      </c>
      <c r="O258">
        <f>N258*$O$254</f>
        <v>28887043.18936877</v>
      </c>
      <c r="P258" t="str">
        <f>'LCoP CONVENTIONAL'!$I$49</f>
        <v>Repair and installation services</v>
      </c>
      <c r="Q258">
        <f>'LCoP CONVENTIONAL'!$J$49</f>
        <v>0.15</v>
      </c>
      <c r="R258">
        <f t="shared" si="46"/>
        <v>130452657.80730894</v>
      </c>
    </row>
    <row r="259" spans="8:18" x14ac:dyDescent="0.35">
      <c r="M259" t="str">
        <f>'LCoP CONVENTIONAL'!$F$50</f>
        <v>Computer, electronic and optical products</v>
      </c>
      <c r="N259" s="59">
        <f>'LCoP CONVENTIONAL'!$G$50</f>
        <v>0.03</v>
      </c>
      <c r="O259">
        <f>N259*$O$254</f>
        <v>17332225.913621258</v>
      </c>
      <c r="P259" s="2" t="str">
        <f>'LCoP CONVENTIONAL'!$I$50</f>
        <v>Land transport services and transport services via pipelines</v>
      </c>
      <c r="Q259">
        <f>'LCoP CONVENTIONAL'!$J$50</f>
        <v>0.1</v>
      </c>
      <c r="R259">
        <f t="shared" si="46"/>
        <v>86968438.538205981</v>
      </c>
    </row>
    <row r="260" spans="8:18" x14ac:dyDescent="0.35">
      <c r="P260" t="str">
        <f>'LCoP CONVENTIONAL'!$I$51</f>
        <v>Waste management services</v>
      </c>
      <c r="Q260">
        <f>'LCoP CONVENTIONAL'!$J$51</f>
        <v>0</v>
      </c>
      <c r="R260">
        <f t="shared" si="46"/>
        <v>0</v>
      </c>
    </row>
  </sheetData>
  <pageMargins left="0.7" right="0.7" top="0.78740157499999996" bottom="0.78740157499999996"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0BB-A502-4BD8-ACF3-C6B9ABB09610}">
  <sheetPr>
    <tabColor theme="7" tint="0.59999389629810485"/>
  </sheetPr>
  <dimension ref="A1:S267"/>
  <sheetViews>
    <sheetView topLeftCell="E1" zoomScale="96" zoomScaleNormal="96" workbookViewId="0">
      <pane ySplit="5" topLeftCell="A83" activePane="bottomLeft" state="frozen"/>
      <selection pane="bottomLeft" activeCell="M103" sqref="M103"/>
    </sheetView>
  </sheetViews>
  <sheetFormatPr baseColWidth="10" defaultRowHeight="14.5" x14ac:dyDescent="0.35"/>
  <cols>
    <col min="1" max="3" width="24.90625" customWidth="1"/>
    <col min="4" max="5" width="23" customWidth="1"/>
    <col min="6" max="6" width="23" style="1" customWidth="1"/>
    <col min="7" max="7" width="21.90625" customWidth="1"/>
    <col min="8" max="8" width="23" customWidth="1"/>
    <col min="10" max="10" width="13.26953125" customWidth="1"/>
    <col min="11" max="11" width="10.453125" customWidth="1"/>
    <col min="12" max="12" width="15.7265625" customWidth="1"/>
    <col min="13" max="13" width="15.7265625" bestFit="1" customWidth="1"/>
    <col min="15" max="15" width="18.1796875" customWidth="1"/>
    <col min="18" max="18" width="16.81640625" customWidth="1"/>
    <col min="19" max="19" width="19.1796875" customWidth="1"/>
  </cols>
  <sheetData>
    <row r="1" spans="1:19" s="46" customFormat="1" ht="24" customHeight="1" x14ac:dyDescent="0.35">
      <c r="A1" s="46" t="s">
        <v>314</v>
      </c>
      <c r="F1" s="224"/>
    </row>
    <row r="2" spans="1:19" s="46" customFormat="1" ht="24" customHeight="1" x14ac:dyDescent="0.35">
      <c r="A2" s="46" t="s">
        <v>286</v>
      </c>
      <c r="F2" s="224"/>
    </row>
    <row r="3" spans="1:19" s="46" customFormat="1" ht="24" customHeight="1" x14ac:dyDescent="0.35">
      <c r="A3" s="46" t="s">
        <v>313</v>
      </c>
      <c r="E3" s="46" t="s">
        <v>312</v>
      </c>
      <c r="F3" s="224"/>
    </row>
    <row r="4" spans="1:19" ht="19" customHeight="1" x14ac:dyDescent="0.35">
      <c r="B4" t="s">
        <v>417</v>
      </c>
      <c r="C4" s="2">
        <f>C6+C209+C227+C261</f>
        <v>81074146844.954056</v>
      </c>
    </row>
    <row r="5" spans="1:19" s="47" customFormat="1" ht="37" customHeight="1" x14ac:dyDescent="0.35">
      <c r="A5" s="47" t="s">
        <v>347</v>
      </c>
      <c r="B5" s="47" t="s">
        <v>375</v>
      </c>
      <c r="C5" s="47" t="s">
        <v>376</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77" customFormat="1" ht="37" customHeight="1" x14ac:dyDescent="0.35">
      <c r="C6" s="234">
        <f>C8+C45+C87+C122+C169</f>
        <v>45624374103.131012</v>
      </c>
      <c r="D6" s="234">
        <f>D8+D45+D87+D122+D169</f>
        <v>27.884847439262522</v>
      </c>
      <c r="F6" s="233"/>
      <c r="I6" s="184"/>
      <c r="M6" s="184"/>
      <c r="P6" s="184"/>
    </row>
    <row r="7" spans="1:19" s="91" customFormat="1" ht="40" customHeight="1" x14ac:dyDescent="0.35">
      <c r="A7" s="91" t="s">
        <v>77</v>
      </c>
      <c r="F7" s="169"/>
    </row>
    <row r="8" spans="1:19" s="200" customFormat="1" x14ac:dyDescent="0.35">
      <c r="A8" s="200" t="s">
        <v>156</v>
      </c>
      <c r="C8" s="207">
        <f>C9+C16+C27</f>
        <v>17004625766.169155</v>
      </c>
      <c r="D8" s="207">
        <f>D9+D16+D27</f>
        <v>10.094874463784956</v>
      </c>
      <c r="E8" s="207">
        <f>E9+E16+E27</f>
        <v>2.9030909090909112</v>
      </c>
      <c r="F8" s="207">
        <f>F9+F16+F27</f>
        <v>9716929.0092395172</v>
      </c>
      <c r="L8" s="207">
        <f>L9+L16+L27</f>
        <v>3055247144.2313161</v>
      </c>
      <c r="M8" s="207"/>
      <c r="N8" s="207"/>
      <c r="O8" s="207">
        <f>O9+O16+O27</f>
        <v>12572242761.52873</v>
      </c>
      <c r="P8" s="218"/>
      <c r="Q8" s="207"/>
      <c r="R8" s="207">
        <f>R9+R16+R27</f>
        <v>6317759271.6239624</v>
      </c>
    </row>
    <row r="9" spans="1:19" s="201" customFormat="1" x14ac:dyDescent="0.35">
      <c r="A9" s="201" t="s">
        <v>294</v>
      </c>
      <c r="B9" s="201">
        <v>1750</v>
      </c>
      <c r="C9" s="203">
        <f>B9*F9</f>
        <v>0</v>
      </c>
      <c r="D9" s="203">
        <f>'[2]GAP analysis Sc. 2'!$C$69</f>
        <v>0</v>
      </c>
      <c r="E9" s="208">
        <f>'[1]Conversion factors selected IV '!$O$7</f>
        <v>0.95154545454545458</v>
      </c>
      <c r="F9" s="202">
        <f>D9*E9*1000000</f>
        <v>0</v>
      </c>
      <c r="G9" s="208">
        <f>'LCoP 2030 HIGH'!E3</f>
        <v>2245.1728622062474</v>
      </c>
      <c r="H9" s="202">
        <f>G9*F9</f>
        <v>0</v>
      </c>
      <c r="I9" s="203">
        <f>'LCoP 2030 HIGH'!H3</f>
        <v>0.74489714817006125</v>
      </c>
      <c r="L9" s="202">
        <f>I9*H9</f>
        <v>0</v>
      </c>
      <c r="M9" s="203">
        <f>'LCoP 2030 HIGH'!F3</f>
        <v>0.11981260085945622</v>
      </c>
      <c r="O9" s="202">
        <f>M9*H9</f>
        <v>0</v>
      </c>
      <c r="P9" s="226">
        <f>'LCoP 2030 HIGH'!G3</f>
        <v>0.13529025097048261</v>
      </c>
      <c r="R9" s="202">
        <f>P9*H9</f>
        <v>0</v>
      </c>
      <c r="S9" s="202">
        <f>L9+O9+R9</f>
        <v>0</v>
      </c>
    </row>
    <row r="10" spans="1:19" x14ac:dyDescent="0.35">
      <c r="C10">
        <f>C9/$C$8</f>
        <v>0</v>
      </c>
      <c r="F10" s="31"/>
      <c r="H10" s="192" t="s">
        <v>254</v>
      </c>
      <c r="I10" s="215" t="s">
        <v>132</v>
      </c>
      <c r="J10" s="147" t="s">
        <v>179</v>
      </c>
      <c r="K10" s="6">
        <f>'Feedstock MIX per IVC'!J6</f>
        <v>179.86731245421893</v>
      </c>
      <c r="L10" s="2">
        <f>K10*$F$9</f>
        <v>0</v>
      </c>
      <c r="M10" s="5" t="s">
        <v>211</v>
      </c>
      <c r="N10" s="118">
        <v>0.05</v>
      </c>
      <c r="O10" s="2">
        <f t="shared" ref="O10:O15" si="0">N10*O$9</f>
        <v>0</v>
      </c>
      <c r="P10" s="18" t="s">
        <v>217</v>
      </c>
      <c r="Q10" s="118">
        <v>0.35</v>
      </c>
      <c r="R10" s="102">
        <f>Q10*R$9</f>
        <v>0</v>
      </c>
    </row>
    <row r="11" spans="1:19" x14ac:dyDescent="0.35">
      <c r="F11" s="31"/>
      <c r="I11" s="216" t="s">
        <v>300</v>
      </c>
      <c r="J11" s="151" t="s">
        <v>77</v>
      </c>
      <c r="K11" s="6">
        <f>'Feedstock MIX per IVC'!J7*0.85</f>
        <v>1268.6722172892244</v>
      </c>
      <c r="L11" s="2">
        <f>K11*$F$9</f>
        <v>0</v>
      </c>
      <c r="M11" t="s">
        <v>212</v>
      </c>
      <c r="N11" s="118">
        <v>0.02</v>
      </c>
      <c r="O11" s="2">
        <f t="shared" si="0"/>
        <v>0</v>
      </c>
      <c r="P11" s="18" t="s">
        <v>177</v>
      </c>
      <c r="Q11" s="118">
        <v>0.25</v>
      </c>
      <c r="R11" s="102">
        <f>Q11*R$9</f>
        <v>0</v>
      </c>
    </row>
    <row r="12" spans="1:19" x14ac:dyDescent="0.35">
      <c r="F12" s="31"/>
      <c r="I12" s="217" t="s">
        <v>316</v>
      </c>
      <c r="J12" s="240" t="s">
        <v>177</v>
      </c>
      <c r="K12" s="6">
        <f>'Feedstock MIX per IVC'!J7*0.15</f>
        <v>223.88333246280428</v>
      </c>
      <c r="L12" s="2">
        <f>K12*$F$9</f>
        <v>0</v>
      </c>
      <c r="M12" s="5" t="s">
        <v>210</v>
      </c>
      <c r="N12" s="118">
        <v>0.45</v>
      </c>
      <c r="O12" s="2">
        <f t="shared" si="0"/>
        <v>0</v>
      </c>
      <c r="P12" s="18" t="s">
        <v>218</v>
      </c>
      <c r="Q12" s="118">
        <v>0.2</v>
      </c>
      <c r="R12" s="102">
        <f>Q12*R$9</f>
        <v>0</v>
      </c>
      <c r="S12" s="2"/>
    </row>
    <row r="13" spans="1:19" x14ac:dyDescent="0.35">
      <c r="F13" s="31"/>
      <c r="L13" s="2">
        <f>SUM(L10:L12)</f>
        <v>0</v>
      </c>
      <c r="M13" t="s">
        <v>213</v>
      </c>
      <c r="N13" s="118">
        <v>0.15</v>
      </c>
      <c r="O13" s="2">
        <f t="shared" si="0"/>
        <v>0</v>
      </c>
      <c r="P13" s="18" t="s">
        <v>219</v>
      </c>
      <c r="Q13" s="118">
        <v>0.15</v>
      </c>
      <c r="R13" s="102">
        <f>Q13*R$9</f>
        <v>0</v>
      </c>
    </row>
    <row r="14" spans="1:19" x14ac:dyDescent="0.35">
      <c r="F14" s="31"/>
      <c r="M14" t="s">
        <v>214</v>
      </c>
      <c r="N14" s="118">
        <v>0.3</v>
      </c>
      <c r="O14" s="2">
        <f t="shared" si="0"/>
        <v>0</v>
      </c>
      <c r="P14" s="18" t="s">
        <v>220</v>
      </c>
      <c r="Q14" s="118">
        <v>0.05</v>
      </c>
      <c r="R14" s="102">
        <f>Q14*R$9</f>
        <v>0</v>
      </c>
    </row>
    <row r="15" spans="1:19" x14ac:dyDescent="0.35">
      <c r="F15" s="31"/>
      <c r="M15" t="s">
        <v>216</v>
      </c>
      <c r="N15" s="118">
        <v>0.03</v>
      </c>
      <c r="O15" s="2">
        <f t="shared" si="0"/>
        <v>0</v>
      </c>
      <c r="P15" s="18"/>
      <c r="Q15" s="118"/>
      <c r="R15" s="102"/>
    </row>
    <row r="16" spans="1:19" s="201" customFormat="1" x14ac:dyDescent="0.35">
      <c r="A16" s="201" t="s">
        <v>315</v>
      </c>
      <c r="B16" s="201">
        <v>1750</v>
      </c>
      <c r="C16" s="203">
        <f>B16*F16</f>
        <v>12988595454.545481</v>
      </c>
      <c r="D16" s="208">
        <f>'[2]GAP analysis Sc. 2'!$C$70</f>
        <v>7.8</v>
      </c>
      <c r="E16" s="210">
        <f>'[1]Conversion factors selected IV '!$O$64</f>
        <v>0.95154545454545658</v>
      </c>
      <c r="F16" s="202">
        <f>D16*E16*1000000</f>
        <v>7422054.5454545608</v>
      </c>
      <c r="G16" s="203">
        <f>'LCoP 2030 HIGH'!E15</f>
        <v>2502.2770558784428</v>
      </c>
      <c r="H16" s="202">
        <f>G16*F16</f>
        <v>18572036796.569252</v>
      </c>
      <c r="I16" s="203">
        <f>'LCoP 2030 HIGH'!H15</f>
        <v>0.13628668938848684</v>
      </c>
      <c r="L16" s="202">
        <f>I16*H16</f>
        <v>2531121410.2055817</v>
      </c>
      <c r="M16" s="203">
        <f>'LCoP 2030 HIGH'!F15</f>
        <v>0.57747402375182721</v>
      </c>
      <c r="O16" s="202">
        <f>M16*H16</f>
        <v>10724868818.181841</v>
      </c>
      <c r="P16" s="203">
        <f>'LCoP 2030 HIGH'!G15</f>
        <v>0.28623928685968597</v>
      </c>
      <c r="R16" s="202">
        <f>P16*H16</f>
        <v>5316046568.1818295</v>
      </c>
      <c r="S16" s="202">
        <f>L16+O16+R16</f>
        <v>18572036796.569252</v>
      </c>
    </row>
    <row r="17" spans="1:19" x14ac:dyDescent="0.35">
      <c r="C17">
        <f>C16/$C$8</f>
        <v>0.76382718638750635</v>
      </c>
      <c r="F17" s="31"/>
      <c r="G17" s="147" t="s">
        <v>179</v>
      </c>
      <c r="H17" s="2">
        <f>SUMIF($J$17:$J$26,G17,$L$17:$L$26)/$L$16</f>
        <v>0.59771744897730239</v>
      </c>
      <c r="I17" s="5" t="s">
        <v>4</v>
      </c>
      <c r="J17" s="147" t="s">
        <v>179</v>
      </c>
      <c r="K17" s="6">
        <f>'Feedstock MIX per IVC'!J58</f>
        <v>181.54132056980592</v>
      </c>
      <c r="L17" s="2">
        <f t="shared" ref="L17:L26" si="1">K17*F$16</f>
        <v>1347409583.5229516</v>
      </c>
      <c r="M17" s="5" t="s">
        <v>211</v>
      </c>
      <c r="N17" s="34">
        <v>0</v>
      </c>
      <c r="O17" s="2">
        <f t="shared" ref="O17:O22" si="2">N17*O$16</f>
        <v>0</v>
      </c>
      <c r="P17" s="18" t="s">
        <v>217</v>
      </c>
      <c r="Q17" s="34">
        <v>0.25</v>
      </c>
      <c r="R17" s="102">
        <f>Q17*R$16</f>
        <v>1329011642.0454574</v>
      </c>
    </row>
    <row r="18" spans="1:19" x14ac:dyDescent="0.35">
      <c r="F18" s="31"/>
      <c r="G18" s="171" t="s">
        <v>222</v>
      </c>
      <c r="H18" s="2">
        <f t="shared" ref="H18:H21" si="3">SUMIF($J$17:$J$26,G18,$L$17:$L$26)/$L$16</f>
        <v>0.1291999141222632</v>
      </c>
      <c r="I18" s="5" t="s">
        <v>5</v>
      </c>
      <c r="J18" s="147" t="s">
        <v>179</v>
      </c>
      <c r="K18" s="6">
        <f>'Feedstock MIX per IVC'!J59</f>
        <v>8.4731123300720981</v>
      </c>
      <c r="L18" s="2">
        <f t="shared" si="1"/>
        <v>62887901.883558698</v>
      </c>
      <c r="M18" t="s">
        <v>212</v>
      </c>
      <c r="N18" s="34">
        <v>0.02</v>
      </c>
      <c r="O18" s="2">
        <f t="shared" si="2"/>
        <v>214497376.36363682</v>
      </c>
      <c r="P18" s="18" t="s">
        <v>177</v>
      </c>
      <c r="Q18" s="34">
        <v>0.15</v>
      </c>
      <c r="R18" s="102">
        <f>Q18*R$16</f>
        <v>797406985.22727442</v>
      </c>
    </row>
    <row r="19" spans="1:19" x14ac:dyDescent="0.35">
      <c r="F19" s="31"/>
      <c r="G19" s="149" t="s">
        <v>176</v>
      </c>
      <c r="H19" s="2">
        <f t="shared" si="3"/>
        <v>0.1491890105485317</v>
      </c>
      <c r="I19" s="5" t="s">
        <v>22</v>
      </c>
      <c r="J19" s="152" t="s">
        <v>180</v>
      </c>
      <c r="K19" s="6">
        <f>'Feedstock MIX per IVC'!J60</f>
        <v>0</v>
      </c>
      <c r="L19" s="2">
        <f t="shared" si="1"/>
        <v>0</v>
      </c>
      <c r="M19" s="5" t="s">
        <v>210</v>
      </c>
      <c r="N19" s="34">
        <v>0.55000000000000004</v>
      </c>
      <c r="O19" s="2">
        <f t="shared" si="2"/>
        <v>5898677850.0000134</v>
      </c>
      <c r="P19" s="18" t="s">
        <v>218</v>
      </c>
      <c r="Q19" s="34">
        <v>0.3</v>
      </c>
      <c r="R19" s="102">
        <f>Q19*R$16</f>
        <v>1594813970.4545488</v>
      </c>
    </row>
    <row r="20" spans="1:19" x14ac:dyDescent="0.35">
      <c r="F20" s="31"/>
      <c r="G20" s="150" t="s">
        <v>178</v>
      </c>
      <c r="H20" s="2">
        <f t="shared" si="3"/>
        <v>1.2600306201480688E-2</v>
      </c>
      <c r="I20" s="5" t="s">
        <v>6</v>
      </c>
      <c r="J20" s="150" t="s">
        <v>178</v>
      </c>
      <c r="K20" s="6">
        <f>'Feedstock MIX per IVC'!J61</f>
        <v>4.2970453270578419</v>
      </c>
      <c r="L20" s="2">
        <f t="shared" si="1"/>
        <v>31892904.801713936</v>
      </c>
      <c r="M20" t="s">
        <v>213</v>
      </c>
      <c r="N20" s="34">
        <v>0.1</v>
      </c>
      <c r="O20" s="2">
        <f t="shared" si="2"/>
        <v>1072486881.8181841</v>
      </c>
      <c r="P20" s="18" t="s">
        <v>219</v>
      </c>
      <c r="Q20" s="34">
        <v>0.3</v>
      </c>
      <c r="R20" s="102">
        <f>Q20*R$16</f>
        <v>1594813970.4545488</v>
      </c>
    </row>
    <row r="21" spans="1:19" x14ac:dyDescent="0.35">
      <c r="F21" s="31"/>
      <c r="G21" s="152" t="s">
        <v>180</v>
      </c>
      <c r="H21" s="2">
        <f t="shared" si="3"/>
        <v>2.3308789029558734E-2</v>
      </c>
      <c r="I21" s="5" t="s">
        <v>7</v>
      </c>
      <c r="J21" s="147" t="s">
        <v>179</v>
      </c>
      <c r="K21" s="6">
        <f>'Feedstock MIX per IVC'!J62</f>
        <v>8.1190082289891219</v>
      </c>
      <c r="L21" s="2">
        <f t="shared" si="1"/>
        <v>60259721.930551693</v>
      </c>
      <c r="M21" t="s">
        <v>214</v>
      </c>
      <c r="N21" s="34">
        <v>0.3</v>
      </c>
      <c r="O21" s="2">
        <f t="shared" si="2"/>
        <v>3217460645.4545522</v>
      </c>
      <c r="P21" s="18" t="s">
        <v>220</v>
      </c>
      <c r="Q21" s="223">
        <v>0</v>
      </c>
      <c r="R21" s="102">
        <f>Q21*R$16</f>
        <v>0</v>
      </c>
    </row>
    <row r="22" spans="1:19" x14ac:dyDescent="0.35">
      <c r="F22" s="31"/>
      <c r="G22" s="151" t="s">
        <v>77</v>
      </c>
      <c r="H22" s="2">
        <f>SUMIF($J$17:$J$26,G22,$L$17:$L$26)/$L$16/2</f>
        <v>4.399226556043169E-2</v>
      </c>
      <c r="I22" s="5" t="s">
        <v>8</v>
      </c>
      <c r="J22" s="147" t="s">
        <v>179</v>
      </c>
      <c r="K22" s="6">
        <f>'Feedstock MIX per IVC'!J63</f>
        <v>5.7043807430355322</v>
      </c>
      <c r="L22" s="2">
        <f t="shared" si="1"/>
        <v>42338225.022850335</v>
      </c>
      <c r="M22" t="s">
        <v>216</v>
      </c>
      <c r="N22" s="34">
        <v>0.03</v>
      </c>
      <c r="O22" s="2">
        <f t="shared" si="2"/>
        <v>321746064.54545522</v>
      </c>
      <c r="R22" s="102"/>
    </row>
    <row r="23" spans="1:19" x14ac:dyDescent="0.35">
      <c r="F23" s="31"/>
      <c r="G23" s="190" t="s">
        <v>377</v>
      </c>
      <c r="H23" s="2">
        <f>H22</f>
        <v>4.399226556043169E-2</v>
      </c>
      <c r="I23" s="5" t="s">
        <v>9</v>
      </c>
      <c r="J23" s="171" t="s">
        <v>222</v>
      </c>
      <c r="K23" s="6">
        <f>'Feedstock MIX per IVC'!J64</f>
        <v>44.060666332863036</v>
      </c>
      <c r="L23" s="2">
        <f t="shared" si="1"/>
        <v>327020668.83158284</v>
      </c>
      <c r="N23" s="118"/>
      <c r="O23" s="2"/>
      <c r="P23" s="18"/>
      <c r="Q23" s="118"/>
      <c r="R23" s="2"/>
    </row>
    <row r="24" spans="1:19" x14ac:dyDescent="0.35">
      <c r="F24" s="31"/>
      <c r="H24" s="2">
        <f>SUM(H17:H22)</f>
        <v>0.95600773443956832</v>
      </c>
      <c r="I24" s="5" t="s">
        <v>10</v>
      </c>
      <c r="J24" s="149" t="s">
        <v>176</v>
      </c>
      <c r="K24" s="6">
        <f>'Feedstock MIX per IVC'!J65</f>
        <v>50.877489036783686</v>
      </c>
      <c r="L24" s="2">
        <f t="shared" si="1"/>
        <v>377615498.76677495</v>
      </c>
      <c r="N24" s="118"/>
      <c r="O24" s="2"/>
      <c r="P24" s="18"/>
      <c r="Q24" s="118"/>
      <c r="R24" s="102"/>
    </row>
    <row r="25" spans="1:19" x14ac:dyDescent="0.35">
      <c r="F25" s="31"/>
      <c r="I25" s="5" t="s">
        <v>11</v>
      </c>
      <c r="J25" s="152" t="s">
        <v>180</v>
      </c>
      <c r="K25" s="6">
        <f>'Feedstock MIX per IVC'!J66</f>
        <v>7.9489276988421569</v>
      </c>
      <c r="L25" s="2">
        <f t="shared" si="1"/>
        <v>58997374.958681092</v>
      </c>
      <c r="M25" s="2"/>
      <c r="N25" s="118"/>
      <c r="O25" s="2"/>
      <c r="P25" s="18"/>
      <c r="Q25" s="118"/>
      <c r="R25" s="102"/>
    </row>
    <row r="26" spans="1:19" x14ac:dyDescent="0.35">
      <c r="F26" s="31"/>
      <c r="I26" s="13" t="s">
        <v>32</v>
      </c>
      <c r="J26" s="151" t="s">
        <v>77</v>
      </c>
      <c r="K26" s="6">
        <f>'Feedstock MIX per IVC'!J67</f>
        <v>30.005105610993251</v>
      </c>
      <c r="L26" s="2">
        <f t="shared" si="1"/>
        <v>222699530.4869166</v>
      </c>
      <c r="N26" s="118"/>
      <c r="O26" s="2"/>
      <c r="P26" s="18"/>
      <c r="Q26" s="118"/>
      <c r="R26" s="102"/>
    </row>
    <row r="27" spans="1:19" s="201" customFormat="1" x14ac:dyDescent="0.35">
      <c r="A27" s="201" t="s">
        <v>295</v>
      </c>
      <c r="B27" s="201">
        <v>1750</v>
      </c>
      <c r="C27" s="203">
        <f>B27*F27</f>
        <v>4016030311.6236734</v>
      </c>
      <c r="D27" s="203">
        <f>'[2]GAP analysis Sc. 2'!$C$71</f>
        <v>2.2948744637849563</v>
      </c>
      <c r="E27" s="201">
        <f>'[1]Conversion factors selected IV '!$O$89</f>
        <v>1</v>
      </c>
      <c r="F27" s="202">
        <f>D27*E27*1000000</f>
        <v>2294874.4637849564</v>
      </c>
      <c r="G27" s="208">
        <f>'LCoP 2030 HIGH'!E19</f>
        <v>1469.8897190442781</v>
      </c>
      <c r="H27" s="203">
        <f>G27*F27</f>
        <v>3373212380.8147578</v>
      </c>
      <c r="I27" s="295">
        <f>'LCoP 2030 HIGH'!H19</f>
        <v>0.15537881249538701</v>
      </c>
      <c r="L27" s="202">
        <f>I27*H27</f>
        <v>524125734.02573425</v>
      </c>
      <c r="M27" s="203">
        <f>'LCoP 2030 HIGH'!F19</f>
        <v>0.5476601336618715</v>
      </c>
      <c r="O27" s="202">
        <f>M27*H27</f>
        <v>1847373943.34689</v>
      </c>
      <c r="P27" s="226">
        <f>'LCoP 2030 HIGH'!G19</f>
        <v>0.29696105384274146</v>
      </c>
      <c r="R27" s="202">
        <f>P27*H27</f>
        <v>1001712703.4421334</v>
      </c>
      <c r="S27" s="202">
        <f>L27+O27+R27</f>
        <v>3373212380.8147578</v>
      </c>
    </row>
    <row r="28" spans="1:19" x14ac:dyDescent="0.35">
      <c r="C28">
        <f>C27/$C$8</f>
        <v>0.23617281361249357</v>
      </c>
      <c r="D28" s="2"/>
      <c r="F28" s="147" t="s">
        <v>179</v>
      </c>
      <c r="G28" s="2">
        <f>SUMIF($J$28:$J$35,F28,$L$28:$L$35)/$L$27</f>
        <v>0.63900608381491475</v>
      </c>
      <c r="H28" s="192" t="s">
        <v>254</v>
      </c>
      <c r="I28" s="12" t="s">
        <v>4</v>
      </c>
      <c r="J28" s="147" t="s">
        <v>179</v>
      </c>
      <c r="K28" s="6">
        <f>'Feedstock MIX per IVC'!J84</f>
        <v>129.97872230767516</v>
      </c>
      <c r="L28" s="2">
        <f t="shared" ref="L28:L35" si="4">K28*F$27</f>
        <v>298284850.65927976</v>
      </c>
      <c r="M28" s="5" t="s">
        <v>211</v>
      </c>
      <c r="N28" s="167">
        <v>0.15</v>
      </c>
      <c r="O28" s="2">
        <f t="shared" ref="O28:O33" si="5">N28*O$27</f>
        <v>277106091.50203347</v>
      </c>
      <c r="P28" s="18" t="s">
        <v>217</v>
      </c>
      <c r="Q28" s="118">
        <v>0.15</v>
      </c>
      <c r="R28" s="2">
        <f>Q28*R$27</f>
        <v>150256905.51632002</v>
      </c>
    </row>
    <row r="29" spans="1:19" x14ac:dyDescent="0.35">
      <c r="D29" s="2"/>
      <c r="F29" s="171" t="s">
        <v>222</v>
      </c>
      <c r="G29" s="2">
        <f t="shared" ref="G29:G33" si="6">SUMIF($J$28:$J$35,F29,$L$28:$L$35)/$L$27</f>
        <v>0.14815699121662482</v>
      </c>
      <c r="H29" s="192" t="s">
        <v>254</v>
      </c>
      <c r="I29" s="12" t="s">
        <v>5</v>
      </c>
      <c r="J29" s="147" t="s">
        <v>179</v>
      </c>
      <c r="K29" s="6">
        <f>'Feedstock MIX per IVC'!J85</f>
        <v>6.0665214463321062</v>
      </c>
      <c r="L29" s="2">
        <f t="shared" si="4"/>
        <v>13921905.15119133</v>
      </c>
      <c r="M29" t="s">
        <v>212</v>
      </c>
      <c r="N29" s="34">
        <v>0.02</v>
      </c>
      <c r="O29" s="2">
        <f t="shared" si="5"/>
        <v>36947478.866937801</v>
      </c>
      <c r="P29" s="18" t="s">
        <v>177</v>
      </c>
      <c r="Q29" s="118">
        <v>0.25</v>
      </c>
      <c r="R29" s="2">
        <f>Q29*R$27</f>
        <v>250428175.86053336</v>
      </c>
    </row>
    <row r="30" spans="1:19" x14ac:dyDescent="0.35">
      <c r="D30" s="2"/>
      <c r="F30" s="149" t="s">
        <v>176</v>
      </c>
      <c r="G30" s="2">
        <f t="shared" si="6"/>
        <v>0.17618585827781902</v>
      </c>
      <c r="H30" s="192" t="s">
        <v>254</v>
      </c>
      <c r="I30" s="12" t="s">
        <v>6</v>
      </c>
      <c r="J30" s="150" t="s">
        <v>178</v>
      </c>
      <c r="K30" s="6">
        <f>'Feedstock MIX per IVC'!J86</f>
        <v>3.0765693427595271</v>
      </c>
      <c r="L30" s="2">
        <f t="shared" si="4"/>
        <v>7060340.4207625054</v>
      </c>
      <c r="M30" s="5" t="s">
        <v>210</v>
      </c>
      <c r="N30" s="167">
        <v>0.45</v>
      </c>
      <c r="O30" s="2">
        <f t="shared" si="5"/>
        <v>831318274.50610054</v>
      </c>
      <c r="P30" s="18" t="s">
        <v>218</v>
      </c>
      <c r="Q30" s="118">
        <v>0.2</v>
      </c>
      <c r="R30" s="2">
        <f>Q30*R$27</f>
        <v>200342540.6884267</v>
      </c>
    </row>
    <row r="31" spans="1:19" x14ac:dyDescent="0.35">
      <c r="D31" s="2"/>
      <c r="F31" s="150" t="s">
        <v>178</v>
      </c>
      <c r="G31" s="2">
        <f t="shared" si="6"/>
        <v>1.3470699800471631E-2</v>
      </c>
      <c r="H31" s="192" t="s">
        <v>254</v>
      </c>
      <c r="I31" s="12" t="s">
        <v>7</v>
      </c>
      <c r="J31" s="147" t="s">
        <v>179</v>
      </c>
      <c r="K31" s="6">
        <f>'Feedstock MIX per IVC'!J87</f>
        <v>5.8129923958756571</v>
      </c>
      <c r="L31" s="2">
        <f t="shared" si="4"/>
        <v>13340087.807471177</v>
      </c>
      <c r="M31" t="s">
        <v>213</v>
      </c>
      <c r="N31" s="34">
        <v>0.1</v>
      </c>
      <c r="O31" s="2">
        <f t="shared" si="5"/>
        <v>184737394.33468902</v>
      </c>
      <c r="P31" s="18" t="s">
        <v>219</v>
      </c>
      <c r="Q31" s="118">
        <v>0.3</v>
      </c>
      <c r="R31" s="2">
        <f>Q31*R$27</f>
        <v>300513811.03264004</v>
      </c>
      <c r="S31" s="2"/>
    </row>
    <row r="32" spans="1:19" x14ac:dyDescent="0.35">
      <c r="D32" s="2"/>
      <c r="F32" s="152" t="s">
        <v>180</v>
      </c>
      <c r="G32" s="2">
        <f t="shared" si="6"/>
        <v>2.318036689016963E-2</v>
      </c>
      <c r="H32" s="192" t="s">
        <v>254</v>
      </c>
      <c r="I32" s="12" t="s">
        <v>8</v>
      </c>
      <c r="J32" s="147" t="s">
        <v>179</v>
      </c>
      <c r="K32" s="6">
        <f>'Feedstock MIX per IVC'!J88</f>
        <v>4.0841838001898028</v>
      </c>
      <c r="L32" s="2">
        <f t="shared" si="4"/>
        <v>9372689.1084597781</v>
      </c>
      <c r="M32" t="s">
        <v>214</v>
      </c>
      <c r="N32" s="34">
        <v>0.25</v>
      </c>
      <c r="O32" s="2">
        <f t="shared" si="5"/>
        <v>461843485.83672249</v>
      </c>
      <c r="P32" s="18" t="s">
        <v>220</v>
      </c>
      <c r="Q32" s="118">
        <v>0.1</v>
      </c>
      <c r="R32" s="2">
        <f>Q32*R$27</f>
        <v>100171270.34421335</v>
      </c>
    </row>
    <row r="33" spans="1:19" x14ac:dyDescent="0.35">
      <c r="D33" s="2"/>
      <c r="F33" s="151" t="s">
        <v>77</v>
      </c>
      <c r="G33" s="2">
        <f t="shared" si="6"/>
        <v>0</v>
      </c>
      <c r="H33" s="192" t="s">
        <v>254</v>
      </c>
      <c r="I33" s="12" t="s">
        <v>9</v>
      </c>
      <c r="J33" s="171" t="s">
        <v>222</v>
      </c>
      <c r="K33" s="6">
        <f>'Feedstock MIX per IVC'!J89</f>
        <v>33.837533598410502</v>
      </c>
      <c r="L33" s="2">
        <f t="shared" si="4"/>
        <v>77652891.772457749</v>
      </c>
      <c r="M33" t="s">
        <v>216</v>
      </c>
      <c r="N33" s="34">
        <v>0.03</v>
      </c>
      <c r="O33" s="2">
        <f t="shared" si="5"/>
        <v>55421218.300406694</v>
      </c>
      <c r="P33" s="18"/>
      <c r="Q33" s="118">
        <f>SUM(Q28:Q32)</f>
        <v>1.0000000000000002</v>
      </c>
      <c r="R33" s="2"/>
    </row>
    <row r="34" spans="1:19" x14ac:dyDescent="0.35">
      <c r="D34" s="2"/>
      <c r="F34"/>
      <c r="G34" s="2">
        <f>SUM(G28:G33)</f>
        <v>0.99999999999999989</v>
      </c>
      <c r="H34" s="192" t="s">
        <v>254</v>
      </c>
      <c r="I34" s="12" t="s">
        <v>10</v>
      </c>
      <c r="J34" s="149" t="s">
        <v>176</v>
      </c>
      <c r="K34" s="6">
        <f>'Feedstock MIX per IVC'!J90</f>
        <v>40.239038671646064</v>
      </c>
      <c r="L34" s="2">
        <f t="shared" si="4"/>
        <v>92343542.294815883</v>
      </c>
    </row>
    <row r="35" spans="1:19" x14ac:dyDescent="0.35">
      <c r="D35" s="2"/>
      <c r="F35" s="31"/>
      <c r="G35" s="6"/>
      <c r="H35" s="192" t="s">
        <v>254</v>
      </c>
      <c r="I35" s="12" t="s">
        <v>11</v>
      </c>
      <c r="J35" s="152" t="s">
        <v>180</v>
      </c>
      <c r="K35" s="6">
        <f>'Feedstock MIX per IVC'!J91</f>
        <v>5.2941574813891252</v>
      </c>
      <c r="L35" s="2">
        <f t="shared" si="4"/>
        <v>12149426.811295984</v>
      </c>
    </row>
    <row r="36" spans="1:19" x14ac:dyDescent="0.35">
      <c r="D36" s="6"/>
      <c r="E36" s="6"/>
      <c r="F36" s="31"/>
      <c r="G36" s="6"/>
      <c r="H36" s="6" t="s">
        <v>317</v>
      </c>
      <c r="I36" s="212" t="s">
        <v>281</v>
      </c>
      <c r="J36" s="6"/>
      <c r="K36" s="6"/>
      <c r="L36" s="2"/>
      <c r="M36" s="78" t="s">
        <v>181</v>
      </c>
      <c r="O36" s="90">
        <f>SUM(O37:O42)</f>
        <v>12572242761.52873</v>
      </c>
      <c r="P36" s="78" t="s">
        <v>181</v>
      </c>
      <c r="Q36" s="78"/>
      <c r="R36" s="90">
        <f>SUM(R37:R41)</f>
        <v>6317759271.6239624</v>
      </c>
    </row>
    <row r="37" spans="1:19" x14ac:dyDescent="0.35">
      <c r="D37" s="6"/>
      <c r="E37" s="6"/>
      <c r="F37" s="31"/>
      <c r="G37" s="6"/>
      <c r="H37" s="6"/>
      <c r="I37" s="6"/>
      <c r="J37" s="147" t="s">
        <v>179</v>
      </c>
      <c r="K37" s="6"/>
      <c r="L37" s="2">
        <f>L28+L29+L31+L32</f>
        <v>334919532.72640204</v>
      </c>
      <c r="M37" s="5" t="s">
        <v>211</v>
      </c>
      <c r="O37" s="2">
        <f t="shared" ref="O37:O42" si="7">O10+O17+O28</f>
        <v>277106091.50203347</v>
      </c>
      <c r="P37" s="18" t="s">
        <v>217</v>
      </c>
      <c r="R37" s="2">
        <f>R10+R17+R28</f>
        <v>1479268547.5617774</v>
      </c>
    </row>
    <row r="38" spans="1:19" x14ac:dyDescent="0.35">
      <c r="D38" s="6"/>
      <c r="E38" s="6"/>
      <c r="F38" s="31"/>
      <c r="G38" s="6"/>
      <c r="H38" s="6"/>
      <c r="I38" s="6"/>
      <c r="J38" s="171" t="s">
        <v>222</v>
      </c>
      <c r="K38" s="6"/>
      <c r="L38" s="2">
        <f>L33</f>
        <v>77652891.772457749</v>
      </c>
      <c r="M38" t="s">
        <v>212</v>
      </c>
      <c r="O38" s="2">
        <f t="shared" si="7"/>
        <v>251444855.23057461</v>
      </c>
      <c r="P38" s="18" t="s">
        <v>177</v>
      </c>
      <c r="R38" s="2">
        <f>R11+R18+R29</f>
        <v>1047835161.0878078</v>
      </c>
    </row>
    <row r="39" spans="1:19" x14ac:dyDescent="0.35">
      <c r="D39" s="6"/>
      <c r="E39" s="6"/>
      <c r="F39" s="31"/>
      <c r="G39" s="6"/>
      <c r="H39" s="6"/>
      <c r="I39" s="6"/>
      <c r="J39" s="149" t="s">
        <v>176</v>
      </c>
      <c r="K39" s="6"/>
      <c r="L39" s="2">
        <v>0</v>
      </c>
      <c r="M39" s="5" t="s">
        <v>210</v>
      </c>
      <c r="O39" s="2">
        <f t="shared" si="7"/>
        <v>6729996124.506114</v>
      </c>
      <c r="P39" s="18" t="s">
        <v>218</v>
      </c>
      <c r="R39" s="2">
        <f>R12+R19+R30</f>
        <v>1795156511.1429756</v>
      </c>
    </row>
    <row r="40" spans="1:19" x14ac:dyDescent="0.35">
      <c r="D40" s="6"/>
      <c r="E40" s="6"/>
      <c r="F40" s="31"/>
      <c r="G40" s="6"/>
      <c r="H40" s="6"/>
      <c r="I40" s="6"/>
      <c r="J40" s="150" t="s">
        <v>178</v>
      </c>
      <c r="K40" s="6"/>
      <c r="L40" s="2">
        <f>L30</f>
        <v>7060340.4207625054</v>
      </c>
      <c r="M40" t="s">
        <v>213</v>
      </c>
      <c r="O40" s="2">
        <f t="shared" si="7"/>
        <v>1257224276.152873</v>
      </c>
      <c r="P40" s="18" t="s">
        <v>219</v>
      </c>
      <c r="R40" s="2">
        <f>R13+R20+R31</f>
        <v>1895327781.4871888</v>
      </c>
    </row>
    <row r="41" spans="1:19" x14ac:dyDescent="0.35">
      <c r="D41" s="6"/>
      <c r="E41" s="6"/>
      <c r="F41" s="31"/>
      <c r="G41" s="6"/>
      <c r="H41" s="6"/>
      <c r="I41" s="6"/>
      <c r="J41" s="152" t="s">
        <v>180</v>
      </c>
      <c r="K41" s="6"/>
      <c r="L41" s="2">
        <f>L35</f>
        <v>12149426.811295984</v>
      </c>
      <c r="M41" t="s">
        <v>214</v>
      </c>
      <c r="O41" s="2">
        <f t="shared" si="7"/>
        <v>3679304131.2912745</v>
      </c>
      <c r="P41" s="18" t="s">
        <v>220</v>
      </c>
      <c r="R41" s="2">
        <f>R14+R21+R32</f>
        <v>100171270.34421335</v>
      </c>
    </row>
    <row r="42" spans="1:19" x14ac:dyDescent="0.35">
      <c r="D42" s="6"/>
      <c r="E42" s="6"/>
      <c r="F42" s="31"/>
      <c r="G42" s="6"/>
      <c r="H42" s="6"/>
      <c r="I42" s="212"/>
      <c r="J42" s="105"/>
      <c r="K42" s="6"/>
      <c r="L42" s="2"/>
      <c r="M42" t="s">
        <v>216</v>
      </c>
      <c r="O42" s="2">
        <f t="shared" si="7"/>
        <v>377167282.84586191</v>
      </c>
    </row>
    <row r="43" spans="1:19" x14ac:dyDescent="0.35">
      <c r="D43" s="6"/>
      <c r="E43" s="6"/>
      <c r="F43" s="31"/>
      <c r="G43" s="6"/>
      <c r="J43" s="107"/>
      <c r="L43" s="2"/>
    </row>
    <row r="44" spans="1:19" s="91" customFormat="1" ht="41" customHeight="1" x14ac:dyDescent="0.35">
      <c r="A44" s="91" t="s">
        <v>78</v>
      </c>
      <c r="F44" s="169"/>
    </row>
    <row r="45" spans="1:19" ht="17.5" customHeight="1" x14ac:dyDescent="0.35">
      <c r="C45" s="2">
        <f>C46+C53+C60+C69</f>
        <v>8302496718.0902576</v>
      </c>
      <c r="D45" s="2">
        <f>D46+D53+D60+D69</f>
        <v>5.2370350293568846</v>
      </c>
      <c r="F45" s="2">
        <f>F46+F53+F60+F69</f>
        <v>6478071.5193812177</v>
      </c>
      <c r="L45" s="2">
        <f>L46+L53+L60+L69</f>
        <v>2317001231.1126356</v>
      </c>
      <c r="O45" s="2">
        <f>O46+O53+O60+O69</f>
        <v>3774527655.0606112</v>
      </c>
      <c r="R45" s="2">
        <f>R46+R53+R60+R69</f>
        <v>2628518887.211288</v>
      </c>
    </row>
    <row r="46" spans="1:19" s="201" customFormat="1" ht="17.5" customHeight="1" x14ac:dyDescent="0.35">
      <c r="A46" s="201" t="s">
        <v>297</v>
      </c>
      <c r="B46" s="201">
        <v>1000</v>
      </c>
      <c r="C46" s="203">
        <f>B46*F46</f>
        <v>1747367358.2303874</v>
      </c>
      <c r="D46" s="203">
        <f>'[2]GAP analysis Sc. 2'!$C$73</f>
        <v>1.1268491132182206</v>
      </c>
      <c r="E46" s="210">
        <f>'[1]Conversion factors selected IV '!$O$17</f>
        <v>1.5506666666666669</v>
      </c>
      <c r="F46" s="202">
        <f>D46*E46*1000000</f>
        <v>1747367.3582303876</v>
      </c>
      <c r="G46" s="208">
        <f>'LCoP 2030 HIGH'!E5</f>
        <v>1284.2294983472239</v>
      </c>
      <c r="H46" s="203">
        <f>G46*F46</f>
        <v>2244020705.8885245</v>
      </c>
      <c r="I46" s="203">
        <f>'LCoP 2030 HIGH'!H5</f>
        <v>0.26648624625712602</v>
      </c>
      <c r="L46" s="202">
        <f>I46*H46</f>
        <v>598000654.43549907</v>
      </c>
      <c r="M46" s="203">
        <f>'LCoP 2030 HIGH'!F5</f>
        <v>0.43216574663194796</v>
      </c>
      <c r="O46" s="202">
        <f>M46*H46</f>
        <v>969788883.81786513</v>
      </c>
      <c r="P46" s="226">
        <f>'LCoP 2030 HIGH'!G5</f>
        <v>0.30134800711092591</v>
      </c>
      <c r="R46" s="202">
        <f>P46*H46</f>
        <v>676231167.63516009</v>
      </c>
      <c r="S46" s="203">
        <f>R46+O46+L46</f>
        <v>2244020705.8885245</v>
      </c>
    </row>
    <row r="47" spans="1:19" ht="15" customHeight="1" x14ac:dyDescent="0.35">
      <c r="C47">
        <f>C46/$C$45</f>
        <v>0.21046287852460813</v>
      </c>
      <c r="F47" s="147" t="s">
        <v>179</v>
      </c>
      <c r="G47" s="2">
        <f>SUMIF($J$47:$J$50, F47,$L$47:$L$50)/$L$46</f>
        <v>0.8197578237882106</v>
      </c>
      <c r="H47" s="192" t="s">
        <v>254</v>
      </c>
      <c r="I47" s="7" t="s">
        <v>4</v>
      </c>
      <c r="J47" s="147" t="s">
        <v>179</v>
      </c>
      <c r="K47" s="6">
        <f>'Feedstock MIX per IVC'!J13</f>
        <v>260.69481002421327</v>
      </c>
      <c r="L47">
        <f>K47*F$46</f>
        <v>455529601.4963823</v>
      </c>
      <c r="M47" s="5" t="s">
        <v>211</v>
      </c>
      <c r="N47" s="34">
        <v>0</v>
      </c>
      <c r="O47" s="2">
        <f t="shared" ref="O47:O52" si="8">N47*O$46</f>
        <v>0</v>
      </c>
      <c r="P47" s="18" t="s">
        <v>217</v>
      </c>
      <c r="Q47" s="34">
        <v>0.2</v>
      </c>
      <c r="R47" s="2">
        <f>Q47*R$46</f>
        <v>135246233.52703202</v>
      </c>
    </row>
    <row r="48" spans="1:19" ht="15" customHeight="1" x14ac:dyDescent="0.35">
      <c r="F48" s="149" t="s">
        <v>176</v>
      </c>
      <c r="G48" s="2">
        <f>SUMIF($J$47:$J$50, F48,$L$47:$L$50)/$L$46</f>
        <v>0.18024217621178951</v>
      </c>
      <c r="H48" s="192" t="s">
        <v>254</v>
      </c>
      <c r="I48" s="7" t="s">
        <v>7</v>
      </c>
      <c r="J48" s="147" t="s">
        <v>179</v>
      </c>
      <c r="K48" s="6">
        <f>'Feedstock MIX per IVC'!J14</f>
        <v>11.65896172396454</v>
      </c>
      <c r="L48">
        <f>K48*F$46</f>
        <v>20372489.147313122</v>
      </c>
      <c r="M48" t="s">
        <v>212</v>
      </c>
      <c r="N48" s="34">
        <v>0.02</v>
      </c>
      <c r="O48" s="2">
        <f t="shared" si="8"/>
        <v>19395777.676357303</v>
      </c>
      <c r="P48" s="18" t="s">
        <v>177</v>
      </c>
      <c r="Q48" s="34">
        <v>0.5</v>
      </c>
      <c r="R48" s="2">
        <f>Q48*R$46</f>
        <v>338115583.81758004</v>
      </c>
    </row>
    <row r="49" spans="1:19" ht="15" customHeight="1" x14ac:dyDescent="0.35">
      <c r="F49" s="31"/>
      <c r="H49" s="192" t="s">
        <v>254</v>
      </c>
      <c r="I49" s="7" t="s">
        <v>8</v>
      </c>
      <c r="J49" s="147" t="s">
        <v>179</v>
      </c>
      <c r="K49" s="6">
        <f>'Feedstock MIX per IVC'!J15</f>
        <v>8.1915370530733291</v>
      </c>
      <c r="L49">
        <f>K49*F$46</f>
        <v>14313624.460275076</v>
      </c>
      <c r="M49" s="5" t="s">
        <v>210</v>
      </c>
      <c r="N49" s="34">
        <v>0.5</v>
      </c>
      <c r="O49" s="2">
        <f t="shared" si="8"/>
        <v>484894441.90893257</v>
      </c>
      <c r="P49" s="18" t="s">
        <v>218</v>
      </c>
      <c r="Q49" s="34">
        <v>0.15</v>
      </c>
      <c r="R49" s="2">
        <f>Q49*R$46</f>
        <v>101434675.14527401</v>
      </c>
    </row>
    <row r="50" spans="1:19" ht="15" customHeight="1" x14ac:dyDescent="0.35">
      <c r="F50" s="31"/>
      <c r="H50" s="192" t="s">
        <v>254</v>
      </c>
      <c r="I50" s="7" t="s">
        <v>10</v>
      </c>
      <c r="J50" s="149" t="s">
        <v>176</v>
      </c>
      <c r="K50" s="6">
        <f>'Feedstock MIX per IVC'!J16</f>
        <v>61.684189545972622</v>
      </c>
      <c r="L50">
        <f>K50*F$46</f>
        <v>107784939.33152866</v>
      </c>
      <c r="M50" t="s">
        <v>213</v>
      </c>
      <c r="N50" s="34">
        <v>0.15</v>
      </c>
      <c r="O50" s="2">
        <f t="shared" si="8"/>
        <v>145468332.57267976</v>
      </c>
      <c r="P50" s="18" t="s">
        <v>219</v>
      </c>
      <c r="Q50" s="34">
        <v>0.1</v>
      </c>
      <c r="R50" s="2">
        <f>Q50*R$46</f>
        <v>67623116.763516009</v>
      </c>
    </row>
    <row r="51" spans="1:19" ht="15" customHeight="1" x14ac:dyDescent="0.35">
      <c r="F51" s="31"/>
      <c r="M51" t="s">
        <v>214</v>
      </c>
      <c r="N51" s="34">
        <v>0.3</v>
      </c>
      <c r="O51" s="2">
        <f t="shared" si="8"/>
        <v>290936665.14535952</v>
      </c>
      <c r="P51" s="18" t="s">
        <v>220</v>
      </c>
      <c r="Q51" s="34">
        <v>0.05</v>
      </c>
      <c r="R51" s="2">
        <f>Q51*R$46</f>
        <v>33811558.381758004</v>
      </c>
    </row>
    <row r="52" spans="1:19" ht="15" customHeight="1" x14ac:dyDescent="0.35">
      <c r="F52" s="31"/>
      <c r="M52" t="s">
        <v>216</v>
      </c>
      <c r="N52" s="34">
        <v>0.03</v>
      </c>
      <c r="O52" s="2">
        <f t="shared" si="8"/>
        <v>29093666.514535952</v>
      </c>
      <c r="R52" s="2"/>
    </row>
    <row r="53" spans="1:19" s="201" customFormat="1" ht="17.5" customHeight="1" x14ac:dyDescent="0.35">
      <c r="A53" s="201" t="s">
        <v>303</v>
      </c>
      <c r="B53" s="201">
        <v>1000</v>
      </c>
      <c r="C53" s="203">
        <f>B53*F53</f>
        <v>1747367358.2303874</v>
      </c>
      <c r="D53" s="208">
        <f>'[2]GAP analysis Sc. 2'!$C$74</f>
        <v>1.1268491132182206</v>
      </c>
      <c r="E53" s="211">
        <f>'[1]Conversion factors selected IV '!$O$86</f>
        <v>1.5506666666666669</v>
      </c>
      <c r="F53" s="202">
        <f>D53*E53*1000000</f>
        <v>1747367.3582303876</v>
      </c>
      <c r="G53" s="208">
        <f>'LCoP 2030 HIGH'!E17</f>
        <v>1166.3499999999999</v>
      </c>
      <c r="H53" s="203">
        <f>G53*F53</f>
        <v>2038041918.2720125</v>
      </c>
      <c r="I53" s="203">
        <f>'LCoP 2030 HIGH'!H17</f>
        <v>0.50893814035238139</v>
      </c>
      <c r="L53" s="202">
        <f>I53*H53</f>
        <v>1037237263.845558</v>
      </c>
      <c r="M53" s="203">
        <f>'LCoP 2030 HIGH'!F17</f>
        <v>0.2383504093968363</v>
      </c>
      <c r="O53" s="202">
        <f>M53*H53</f>
        <v>485768125.58804774</v>
      </c>
      <c r="P53" s="226">
        <f>'LCoP 2030 HIGH'!G17</f>
        <v>0.2527114502507824</v>
      </c>
      <c r="R53" s="202">
        <f>P53*H53</f>
        <v>515036528.8384068</v>
      </c>
      <c r="S53" s="203">
        <f>R53+O53+L53</f>
        <v>2038041918.2720127</v>
      </c>
    </row>
    <row r="54" spans="1:19" ht="14.5" customHeight="1" x14ac:dyDescent="0.35">
      <c r="C54">
        <f>C53/$C$45</f>
        <v>0.21046287852460813</v>
      </c>
      <c r="D54" s="6"/>
      <c r="F54" s="31"/>
      <c r="I54" s="16" t="s">
        <v>36</v>
      </c>
      <c r="J54" s="190" t="s">
        <v>79</v>
      </c>
      <c r="K54" s="6">
        <f>'Feedstock MIX per IVC'!J80</f>
        <v>593.6</v>
      </c>
      <c r="L54" s="31">
        <f>K54*F53</f>
        <v>1037237263.845558</v>
      </c>
      <c r="M54" s="5" t="s">
        <v>211</v>
      </c>
      <c r="N54" s="34">
        <v>0</v>
      </c>
      <c r="O54" s="2">
        <f t="shared" ref="O54:O59" si="9">N54*O$53</f>
        <v>0</v>
      </c>
      <c r="P54" s="18" t="s">
        <v>217</v>
      </c>
      <c r="Q54" s="34">
        <v>0.2</v>
      </c>
      <c r="R54" s="2">
        <f>Q54*R$53</f>
        <v>103007305.76768136</v>
      </c>
    </row>
    <row r="55" spans="1:19" ht="14.5" customHeight="1" x14ac:dyDescent="0.35">
      <c r="D55" s="6"/>
      <c r="F55" s="31"/>
      <c r="M55" t="s">
        <v>212</v>
      </c>
      <c r="N55" s="34">
        <v>0.02</v>
      </c>
      <c r="O55" s="2">
        <f t="shared" si="9"/>
        <v>9715362.5117609557</v>
      </c>
      <c r="P55" s="18" t="s">
        <v>177</v>
      </c>
      <c r="Q55" s="34">
        <v>0.5</v>
      </c>
      <c r="R55" s="2">
        <f>Q55*R$53</f>
        <v>257518264.4192034</v>
      </c>
    </row>
    <row r="56" spans="1:19" ht="14.5" customHeight="1" x14ac:dyDescent="0.35">
      <c r="D56" s="6"/>
      <c r="F56" s="31"/>
      <c r="M56" s="5" t="s">
        <v>210</v>
      </c>
      <c r="N56" s="34">
        <v>0.5</v>
      </c>
      <c r="O56" s="2">
        <f t="shared" si="9"/>
        <v>242884062.79402387</v>
      </c>
      <c r="P56" s="18" t="s">
        <v>218</v>
      </c>
      <c r="Q56" s="34">
        <v>0.15</v>
      </c>
      <c r="R56" s="2">
        <f>Q56*R$53</f>
        <v>77255479.32576102</v>
      </c>
    </row>
    <row r="57" spans="1:19" ht="14.5" customHeight="1" x14ac:dyDescent="0.35">
      <c r="D57" s="6"/>
      <c r="F57" s="31"/>
      <c r="M57" t="s">
        <v>213</v>
      </c>
      <c r="N57" s="34">
        <v>0.15</v>
      </c>
      <c r="O57" s="2">
        <f t="shared" si="9"/>
        <v>72865218.838207155</v>
      </c>
      <c r="P57" s="18" t="s">
        <v>219</v>
      </c>
      <c r="Q57" s="34">
        <v>0.1</v>
      </c>
      <c r="R57" s="2">
        <f>Q57*R$53</f>
        <v>51503652.88384068</v>
      </c>
    </row>
    <row r="58" spans="1:19" ht="14.5" customHeight="1" x14ac:dyDescent="0.35">
      <c r="F58" s="31"/>
      <c r="M58" t="s">
        <v>214</v>
      </c>
      <c r="N58" s="34">
        <v>0.3</v>
      </c>
      <c r="O58" s="2">
        <f t="shared" si="9"/>
        <v>145730437.67641431</v>
      </c>
      <c r="P58" s="18" t="s">
        <v>220</v>
      </c>
      <c r="Q58" s="34">
        <v>0.05</v>
      </c>
      <c r="R58" s="2">
        <f>Q58*R$53</f>
        <v>25751826.44192034</v>
      </c>
    </row>
    <row r="59" spans="1:19" ht="14.5" customHeight="1" x14ac:dyDescent="0.35">
      <c r="F59" s="31"/>
      <c r="M59" t="s">
        <v>216</v>
      </c>
      <c r="N59" s="34">
        <v>0.03</v>
      </c>
      <c r="O59" s="2">
        <f t="shared" si="9"/>
        <v>14573043.767641433</v>
      </c>
    </row>
    <row r="60" spans="1:19" s="201" customFormat="1" ht="17.5" customHeight="1" x14ac:dyDescent="0.35">
      <c r="A60" s="201" t="s">
        <v>295</v>
      </c>
      <c r="B60" s="201">
        <v>1750</v>
      </c>
      <c r="C60" s="203">
        <f>B60*F60</f>
        <v>4016030311.6236734</v>
      </c>
      <c r="D60" s="203">
        <f>'[2]GAP analysis Sc. 2'!$C$75</f>
        <v>2.2948744637849563</v>
      </c>
      <c r="E60" s="201">
        <f>'[1]Conversion factors selected IV '!$O$89</f>
        <v>1</v>
      </c>
      <c r="F60" s="202">
        <f>D60*E60*1000000</f>
        <v>2294874.4637849564</v>
      </c>
      <c r="G60" s="208">
        <f>'LCoP 2030 HIGH'!E19</f>
        <v>1469.8897190442781</v>
      </c>
      <c r="H60" s="203">
        <f>G60*F60</f>
        <v>3373212380.8147578</v>
      </c>
      <c r="I60" s="203">
        <f>'LCoP 2030 HIGH'!H19</f>
        <v>0.15537881249538701</v>
      </c>
      <c r="L60" s="202">
        <f>I60*H60</f>
        <v>524125734.02573425</v>
      </c>
      <c r="M60" s="203">
        <f>'LCoP 2030 HIGH'!F19</f>
        <v>0.5476601336618715</v>
      </c>
      <c r="O60" s="202">
        <f>M60*H60</f>
        <v>1847373943.34689</v>
      </c>
      <c r="P60" s="226">
        <f>'LCoP 2030 HIGH'!G19</f>
        <v>0.29696105384274146</v>
      </c>
      <c r="R60" s="202">
        <f>P60*H60</f>
        <v>1001712703.4421334</v>
      </c>
      <c r="S60" s="203">
        <f>R60+O60+L60</f>
        <v>3373212380.8147578</v>
      </c>
    </row>
    <row r="61" spans="1:19" ht="17.5" customHeight="1" x14ac:dyDescent="0.35">
      <c r="C61">
        <f>C60/$C$45</f>
        <v>0.48371356809731347</v>
      </c>
      <c r="F61" s="147" t="s">
        <v>179</v>
      </c>
      <c r="G61" s="2">
        <f>SUMIF($J$61:$J$68, F61,$L$61:$L$68)/$L$60</f>
        <v>0.63900608381491475</v>
      </c>
      <c r="H61" s="192" t="s">
        <v>254</v>
      </c>
      <c r="I61" s="5" t="s">
        <v>4</v>
      </c>
      <c r="J61" s="147" t="s">
        <v>179</v>
      </c>
      <c r="K61" s="6">
        <f>'Feedstock MIX per IVC'!J84</f>
        <v>129.97872230767516</v>
      </c>
      <c r="L61">
        <f t="shared" ref="L61:L68" si="10">K61*F$60</f>
        <v>298284850.65927976</v>
      </c>
      <c r="M61" s="5" t="s">
        <v>211</v>
      </c>
      <c r="N61" s="167">
        <v>0.15</v>
      </c>
      <c r="O61" s="2">
        <f t="shared" ref="O61:O66" si="11">N61*O$60</f>
        <v>277106091.50203347</v>
      </c>
      <c r="P61" s="18" t="s">
        <v>217</v>
      </c>
      <c r="Q61" s="118">
        <v>0.15</v>
      </c>
      <c r="R61" s="2">
        <f>Q61*R$60</f>
        <v>150256905.51632002</v>
      </c>
    </row>
    <row r="62" spans="1:19" ht="17.5" customHeight="1" x14ac:dyDescent="0.35">
      <c r="F62" s="171" t="s">
        <v>222</v>
      </c>
      <c r="G62" s="2">
        <f t="shared" ref="G62:G65" si="12">SUMIF($J$61:$J$68, F62,$L$61:$L$68)/$L$60</f>
        <v>0.14815699121662482</v>
      </c>
      <c r="H62" s="192" t="s">
        <v>254</v>
      </c>
      <c r="I62" s="5" t="s">
        <v>5</v>
      </c>
      <c r="J62" s="147" t="s">
        <v>179</v>
      </c>
      <c r="K62" s="6">
        <f>'Feedstock MIX per IVC'!J85</f>
        <v>6.0665214463321062</v>
      </c>
      <c r="L62">
        <f t="shared" si="10"/>
        <v>13921905.15119133</v>
      </c>
      <c r="M62" t="s">
        <v>212</v>
      </c>
      <c r="N62" s="34">
        <v>0.02</v>
      </c>
      <c r="O62" s="2">
        <f t="shared" si="11"/>
        <v>36947478.866937801</v>
      </c>
      <c r="P62" s="18" t="s">
        <v>177</v>
      </c>
      <c r="Q62" s="118">
        <v>0.25</v>
      </c>
      <c r="R62" s="2">
        <f>Q62*R$60</f>
        <v>250428175.86053336</v>
      </c>
    </row>
    <row r="63" spans="1:19" ht="17.5" customHeight="1" x14ac:dyDescent="0.35">
      <c r="F63" s="149" t="s">
        <v>176</v>
      </c>
      <c r="G63" s="2">
        <f t="shared" si="12"/>
        <v>0.17618585827781902</v>
      </c>
      <c r="H63" s="192" t="s">
        <v>254</v>
      </c>
      <c r="I63" s="5" t="s">
        <v>6</v>
      </c>
      <c r="J63" s="150" t="s">
        <v>178</v>
      </c>
      <c r="K63" s="6">
        <f>'Feedstock MIX per IVC'!J86</f>
        <v>3.0765693427595271</v>
      </c>
      <c r="L63">
        <f t="shared" si="10"/>
        <v>7060340.4207625054</v>
      </c>
      <c r="M63" s="5" t="s">
        <v>210</v>
      </c>
      <c r="N63" s="167">
        <v>0.45</v>
      </c>
      <c r="O63" s="2">
        <f t="shared" si="11"/>
        <v>831318274.50610054</v>
      </c>
      <c r="P63" s="18" t="s">
        <v>218</v>
      </c>
      <c r="Q63" s="118">
        <v>0.2</v>
      </c>
      <c r="R63" s="2">
        <f>Q63*R$60</f>
        <v>200342540.6884267</v>
      </c>
    </row>
    <row r="64" spans="1:19" ht="17.5" customHeight="1" x14ac:dyDescent="0.35">
      <c r="F64" s="150" t="s">
        <v>178</v>
      </c>
      <c r="G64" s="2">
        <f t="shared" si="12"/>
        <v>1.3470699800471631E-2</v>
      </c>
      <c r="H64" s="192" t="s">
        <v>254</v>
      </c>
      <c r="I64" s="5" t="s">
        <v>7</v>
      </c>
      <c r="J64" s="147" t="s">
        <v>179</v>
      </c>
      <c r="K64" s="6">
        <f>'Feedstock MIX per IVC'!J87</f>
        <v>5.8129923958756571</v>
      </c>
      <c r="L64">
        <f t="shared" si="10"/>
        <v>13340087.807471177</v>
      </c>
      <c r="M64" t="s">
        <v>213</v>
      </c>
      <c r="N64" s="34">
        <v>0.1</v>
      </c>
      <c r="O64" s="2">
        <f t="shared" si="11"/>
        <v>184737394.33468902</v>
      </c>
      <c r="P64" s="18" t="s">
        <v>219</v>
      </c>
      <c r="Q64" s="118">
        <v>0.3</v>
      </c>
      <c r="R64" s="2">
        <f>Q64*R$60</f>
        <v>300513811.03264004</v>
      </c>
    </row>
    <row r="65" spans="1:19" ht="17.5" customHeight="1" x14ac:dyDescent="0.35">
      <c r="F65" s="152" t="s">
        <v>180</v>
      </c>
      <c r="G65" s="2">
        <f t="shared" si="12"/>
        <v>2.318036689016963E-2</v>
      </c>
      <c r="H65" s="192" t="s">
        <v>254</v>
      </c>
      <c r="I65" s="5" t="s">
        <v>8</v>
      </c>
      <c r="J65" s="147" t="s">
        <v>179</v>
      </c>
      <c r="K65" s="6">
        <f>'Feedstock MIX per IVC'!J88</f>
        <v>4.0841838001898028</v>
      </c>
      <c r="L65">
        <f t="shared" si="10"/>
        <v>9372689.1084597781</v>
      </c>
      <c r="M65" t="s">
        <v>214</v>
      </c>
      <c r="N65" s="34">
        <v>0.25</v>
      </c>
      <c r="O65" s="2">
        <f t="shared" si="11"/>
        <v>461843485.83672249</v>
      </c>
      <c r="P65" s="18" t="s">
        <v>220</v>
      </c>
      <c r="Q65" s="118">
        <v>0.1</v>
      </c>
      <c r="R65" s="2">
        <f>Q65*R$60</f>
        <v>100171270.34421335</v>
      </c>
    </row>
    <row r="66" spans="1:19" ht="17.5" customHeight="1" x14ac:dyDescent="0.35">
      <c r="F66"/>
      <c r="G66" s="2"/>
      <c r="H66" s="192" t="s">
        <v>254</v>
      </c>
      <c r="I66" s="5" t="s">
        <v>9</v>
      </c>
      <c r="J66" s="171" t="s">
        <v>222</v>
      </c>
      <c r="K66" s="6">
        <f>'Feedstock MIX per IVC'!J89</f>
        <v>33.837533598410502</v>
      </c>
      <c r="L66">
        <f t="shared" si="10"/>
        <v>77652891.772457749</v>
      </c>
      <c r="M66" t="s">
        <v>216</v>
      </c>
      <c r="N66" s="34">
        <v>0.03</v>
      </c>
      <c r="O66" s="2">
        <f t="shared" si="11"/>
        <v>55421218.300406694</v>
      </c>
      <c r="Q66" s="34"/>
      <c r="R66" s="2"/>
    </row>
    <row r="67" spans="1:19" ht="17.5" customHeight="1" x14ac:dyDescent="0.35">
      <c r="F67" s="31"/>
      <c r="G67" s="2">
        <f>SUM(G61:G66)</f>
        <v>0.99999999999999989</v>
      </c>
      <c r="H67" s="192" t="s">
        <v>254</v>
      </c>
      <c r="I67" s="5" t="s">
        <v>10</v>
      </c>
      <c r="J67" s="149" t="s">
        <v>176</v>
      </c>
      <c r="K67" s="6">
        <f>'Feedstock MIX per IVC'!J90</f>
        <v>40.239038671646064</v>
      </c>
      <c r="L67">
        <f t="shared" si="10"/>
        <v>92343542.294815883</v>
      </c>
      <c r="O67" s="2"/>
    </row>
    <row r="68" spans="1:19" ht="17.5" customHeight="1" x14ac:dyDescent="0.35">
      <c r="F68" s="31"/>
      <c r="H68" s="192" t="s">
        <v>254</v>
      </c>
      <c r="I68" s="5" t="s">
        <v>11</v>
      </c>
      <c r="J68" s="152" t="s">
        <v>180</v>
      </c>
      <c r="K68" s="6">
        <f>'Feedstock MIX per IVC'!J91</f>
        <v>5.2941574813891252</v>
      </c>
      <c r="L68">
        <f t="shared" si="10"/>
        <v>12149426.811295984</v>
      </c>
    </row>
    <row r="69" spans="1:19" s="201" customFormat="1" x14ac:dyDescent="0.35">
      <c r="A69" s="201" t="s">
        <v>298</v>
      </c>
      <c r="B69" s="201">
        <v>1150</v>
      </c>
      <c r="C69" s="203">
        <f>B69*F69</f>
        <v>791731690.0058099</v>
      </c>
      <c r="D69" s="208">
        <f>'[2]GAP analysis Sc. 2'!$C$76</f>
        <v>0.68846233913548682</v>
      </c>
      <c r="E69" s="208">
        <f>'[1]Conversion factors selected IV '!$O$125</f>
        <v>1</v>
      </c>
      <c r="F69" s="202">
        <f>D69*E69*1000000</f>
        <v>688462.33913548687</v>
      </c>
      <c r="G69" s="208">
        <f>'LCoP 2030 HIGH'!E21</f>
        <v>1546.595518567206</v>
      </c>
      <c r="H69" s="203">
        <f>G69*F69</f>
        <v>1064772768.40924</v>
      </c>
      <c r="I69" s="203">
        <f>'LCoP 2030 HIGH'!H21</f>
        <v>0.148048093905851</v>
      </c>
      <c r="L69" s="202">
        <f>I69*H69</f>
        <v>157637578.8058441</v>
      </c>
      <c r="M69" s="203">
        <f>'LCoP 2030 HIGH'!F21</f>
        <v>0.44290830522682256</v>
      </c>
      <c r="O69" s="202">
        <f>M69*H69</f>
        <v>471596702.30780852</v>
      </c>
      <c r="P69" s="226">
        <f>'LCoP 2030 HIGH'!G21</f>
        <v>0.40904360086732644</v>
      </c>
      <c r="R69" s="202">
        <f>P69*H69</f>
        <v>435538487.29558736</v>
      </c>
      <c r="S69" s="202">
        <f>L69+O69+R69</f>
        <v>1064772768.40924</v>
      </c>
    </row>
    <row r="70" spans="1:19" x14ac:dyDescent="0.35">
      <c r="C70">
        <f>C69/$C$45</f>
        <v>9.536067485347037E-2</v>
      </c>
      <c r="D70" s="6"/>
      <c r="E70" s="6"/>
      <c r="F70" s="147" t="s">
        <v>179</v>
      </c>
      <c r="G70" s="2">
        <f>SUMIF($J$70:$J$77, F70,$L$70:$L$77)/$L$69</f>
        <v>0.64796607781685234</v>
      </c>
      <c r="H70" s="192" t="s">
        <v>254</v>
      </c>
      <c r="I70" s="5" t="s">
        <v>4</v>
      </c>
      <c r="J70" s="147" t="s">
        <v>179</v>
      </c>
      <c r="K70" s="6">
        <f>'Feedstock MIX per IVC'!J102</f>
        <v>127.07493976685333</v>
      </c>
      <c r="L70" s="2">
        <f t="shared" ref="L70:L77" si="13">K70*F$69</f>
        <v>87486310.277388945</v>
      </c>
      <c r="M70" s="5" t="s">
        <v>211</v>
      </c>
      <c r="N70" s="167">
        <v>0.15</v>
      </c>
      <c r="O70" s="2">
        <f t="shared" ref="O70:O75" si="14">N70*O$69</f>
        <v>70739505.346171275</v>
      </c>
      <c r="P70" s="18" t="s">
        <v>217</v>
      </c>
      <c r="Q70" s="118">
        <v>0.15</v>
      </c>
      <c r="R70" s="2">
        <f>Q70*R$69</f>
        <v>65330773.094338104</v>
      </c>
    </row>
    <row r="71" spans="1:19" x14ac:dyDescent="0.35">
      <c r="D71" s="6"/>
      <c r="E71" s="6"/>
      <c r="F71" s="171" t="s">
        <v>222</v>
      </c>
      <c r="G71" s="2">
        <f t="shared" ref="G71:G74" si="15">SUMIF($J$70:$J$77, F71,$L$70:$L$77)/$L$69</f>
        <v>0.14447968339195374</v>
      </c>
      <c r="H71" s="192" t="s">
        <v>254</v>
      </c>
      <c r="I71" s="5" t="s">
        <v>5</v>
      </c>
      <c r="J71" s="147" t="s">
        <v>179</v>
      </c>
      <c r="K71" s="6">
        <f>'Feedstock MIX per IVC'!J103</f>
        <v>5.9309926555683274</v>
      </c>
      <c r="L71" s="2">
        <f t="shared" si="13"/>
        <v>4083265.0770479636</v>
      </c>
      <c r="M71" t="s">
        <v>212</v>
      </c>
      <c r="N71" s="34">
        <v>0.02</v>
      </c>
      <c r="O71" s="2">
        <f t="shared" si="14"/>
        <v>9431934.0461561698</v>
      </c>
      <c r="P71" s="18" t="s">
        <v>177</v>
      </c>
      <c r="Q71" s="118">
        <v>0.25</v>
      </c>
      <c r="R71" s="2">
        <f>Q71*R$69</f>
        <v>108884621.82389684</v>
      </c>
    </row>
    <row r="72" spans="1:19" x14ac:dyDescent="0.35">
      <c r="D72" s="6"/>
      <c r="E72" s="6"/>
      <c r="F72" s="149" t="s">
        <v>176</v>
      </c>
      <c r="G72" s="2">
        <f t="shared" si="15"/>
        <v>0.17181286426706657</v>
      </c>
      <c r="H72" s="192" t="s">
        <v>254</v>
      </c>
      <c r="I72" s="5" t="s">
        <v>6</v>
      </c>
      <c r="J72" s="150" t="s">
        <v>178</v>
      </c>
      <c r="K72" s="6">
        <f>'Feedstock MIX per IVC'!J104</f>
        <v>3.0078374135289434</v>
      </c>
      <c r="L72" s="2">
        <f t="shared" si="13"/>
        <v>2070782.781457369</v>
      </c>
      <c r="M72" s="5" t="s">
        <v>210</v>
      </c>
      <c r="N72" s="167">
        <v>0.45</v>
      </c>
      <c r="O72" s="2">
        <f t="shared" si="14"/>
        <v>212218516.03851384</v>
      </c>
      <c r="P72" s="18" t="s">
        <v>218</v>
      </c>
      <c r="Q72" s="118">
        <v>0.2</v>
      </c>
      <c r="R72" s="2">
        <f>Q72*R$69</f>
        <v>87107697.459117472</v>
      </c>
    </row>
    <row r="73" spans="1:19" x14ac:dyDescent="0.35">
      <c r="D73" s="6"/>
      <c r="E73" s="6"/>
      <c r="F73" s="150" t="s">
        <v>178</v>
      </c>
      <c r="G73" s="2">
        <f t="shared" si="15"/>
        <v>1.31363523668926E-2</v>
      </c>
      <c r="H73" s="192" t="s">
        <v>254</v>
      </c>
      <c r="I73" s="5" t="s">
        <v>7</v>
      </c>
      <c r="J73" s="147" t="s">
        <v>179</v>
      </c>
      <c r="K73" s="6">
        <f>'Feedstock MIX per IVC'!J105</f>
        <v>11.366255114010404</v>
      </c>
      <c r="L73" s="2">
        <f t="shared" si="13"/>
        <v>7825238.5830022926</v>
      </c>
      <c r="M73" t="s">
        <v>213</v>
      </c>
      <c r="N73" s="34">
        <v>0.1</v>
      </c>
      <c r="O73" s="2">
        <f t="shared" si="14"/>
        <v>47159670.230780855</v>
      </c>
      <c r="P73" s="18" t="s">
        <v>219</v>
      </c>
      <c r="Q73" s="118">
        <v>0.3</v>
      </c>
      <c r="R73" s="2">
        <f>Q73*R$69</f>
        <v>130661546.18867621</v>
      </c>
    </row>
    <row r="74" spans="1:19" x14ac:dyDescent="0.35">
      <c r="D74" s="6"/>
      <c r="E74" s="6"/>
      <c r="F74" s="152" t="s">
        <v>180</v>
      </c>
      <c r="G74" s="2">
        <f t="shared" si="15"/>
        <v>2.2605022157234735E-2</v>
      </c>
      <c r="H74" s="192" t="s">
        <v>254</v>
      </c>
      <c r="I74" s="5" t="s">
        <v>8</v>
      </c>
      <c r="J74" s="147" t="s">
        <v>179</v>
      </c>
      <c r="K74" s="6">
        <f>'Feedstock MIX per IVC'!J106</f>
        <v>3.9929413152511879</v>
      </c>
      <c r="L74" s="2">
        <f t="shared" si="13"/>
        <v>2748989.7179285605</v>
      </c>
      <c r="M74" t="s">
        <v>214</v>
      </c>
      <c r="N74" s="34">
        <v>0.25</v>
      </c>
      <c r="O74" s="2">
        <f t="shared" si="14"/>
        <v>117899175.57695213</v>
      </c>
      <c r="P74" s="18" t="s">
        <v>220</v>
      </c>
      <c r="Q74" s="118">
        <v>0.1</v>
      </c>
      <c r="R74" s="2">
        <f>Q74*R$69</f>
        <v>43553848.729558736</v>
      </c>
    </row>
    <row r="75" spans="1:19" x14ac:dyDescent="0.35">
      <c r="D75" s="6"/>
      <c r="E75" s="6"/>
      <c r="F75"/>
      <c r="G75" s="2"/>
      <c r="H75" s="192" t="s">
        <v>254</v>
      </c>
      <c r="I75" s="5" t="s">
        <v>9</v>
      </c>
      <c r="J75" s="171" t="s">
        <v>222</v>
      </c>
      <c r="K75" s="6">
        <f>'Feedstock MIX per IVC'!J107</f>
        <v>33.081588028681395</v>
      </c>
      <c r="L75" s="2">
        <f t="shared" si="13"/>
        <v>22775427.476542514</v>
      </c>
      <c r="M75" t="s">
        <v>216</v>
      </c>
      <c r="N75" s="34">
        <v>0.03</v>
      </c>
      <c r="O75" s="2">
        <f t="shared" si="14"/>
        <v>14147901.069234256</v>
      </c>
      <c r="Q75" s="34"/>
      <c r="R75" s="2"/>
    </row>
    <row r="76" spans="1:19" x14ac:dyDescent="0.35">
      <c r="D76" s="6"/>
      <c r="E76" s="6"/>
      <c r="F76" s="31"/>
      <c r="G76" s="296">
        <f>SUM(G70:G75)</f>
        <v>0.99999999999999989</v>
      </c>
      <c r="H76" s="192" t="s">
        <v>254</v>
      </c>
      <c r="I76" s="5" t="s">
        <v>10</v>
      </c>
      <c r="J76" s="149" t="s">
        <v>176</v>
      </c>
      <c r="K76" s="6">
        <f>'Feedstock MIX per IVC'!J108</f>
        <v>39.340080627747213</v>
      </c>
      <c r="L76" s="2">
        <f t="shared" si="13"/>
        <v>27084163.9307575</v>
      </c>
      <c r="M76" s="2"/>
      <c r="R76" s="2"/>
    </row>
    <row r="77" spans="1:19" x14ac:dyDescent="0.35">
      <c r="D77" s="6"/>
      <c r="E77" s="6"/>
      <c r="F77" s="31"/>
      <c r="G77" s="6"/>
      <c r="H77" s="192" t="s">
        <v>254</v>
      </c>
      <c r="I77" s="5" t="s">
        <v>11</v>
      </c>
      <c r="J77" s="152" t="s">
        <v>180</v>
      </c>
      <c r="K77" s="6">
        <f>'Feedstock MIX per IVC'!J109</f>
        <v>5.1758836455652197</v>
      </c>
      <c r="L77" s="2">
        <f t="shared" si="13"/>
        <v>3563400.9617189425</v>
      </c>
      <c r="M77" s="2"/>
    </row>
    <row r="78" spans="1:19" s="78" customFormat="1" x14ac:dyDescent="0.35">
      <c r="D78" s="90"/>
      <c r="E78" s="90"/>
      <c r="F78" s="213"/>
      <c r="G78" s="6"/>
      <c r="L78" s="90"/>
    </row>
    <row r="79" spans="1:19" s="78" customFormat="1" x14ac:dyDescent="0.35">
      <c r="F79" s="213"/>
      <c r="I79" s="78" t="s">
        <v>281</v>
      </c>
      <c r="L79" s="213">
        <f>SUM(L80:L85)</f>
        <v>2317001231.1126356</v>
      </c>
      <c r="M79" s="78" t="s">
        <v>181</v>
      </c>
      <c r="O79" s="90">
        <f>SUM(O80:O85)</f>
        <v>3774527655.0606112</v>
      </c>
      <c r="P79" s="78" t="s">
        <v>181</v>
      </c>
      <c r="R79" s="90">
        <f>SUM(R80:R84)</f>
        <v>2628518887.211288</v>
      </c>
    </row>
    <row r="80" spans="1:19" x14ac:dyDescent="0.35">
      <c r="D80" s="2"/>
      <c r="E80" s="2"/>
      <c r="G80" s="2"/>
      <c r="H80" s="6"/>
      <c r="J80" s="147" t="s">
        <v>179</v>
      </c>
      <c r="L80" s="2">
        <f>L47+L48+L49+L61+L62+L64+L65+L70+L71+L73+L74</f>
        <v>927279051.4857403</v>
      </c>
      <c r="M80" s="5" t="s">
        <v>211</v>
      </c>
      <c r="O80" s="2">
        <f t="shared" ref="O80:O85" si="16">O47+O54+O61+O70</f>
        <v>347845596.84820473</v>
      </c>
      <c r="P80" s="18" t="s">
        <v>217</v>
      </c>
      <c r="R80" s="2">
        <f>R47+R54+R61+R70</f>
        <v>453841217.90537149</v>
      </c>
    </row>
    <row r="81" spans="1:19" x14ac:dyDescent="0.35">
      <c r="D81" s="2"/>
      <c r="E81" s="2"/>
      <c r="G81" s="2"/>
      <c r="H81" s="6"/>
      <c r="J81" s="171" t="s">
        <v>222</v>
      </c>
      <c r="L81" s="2">
        <f>L75+L66</f>
        <v>100428319.24900027</v>
      </c>
      <c r="M81" t="s">
        <v>212</v>
      </c>
      <c r="O81" s="2">
        <f t="shared" si="16"/>
        <v>75490553.101212233</v>
      </c>
      <c r="P81" s="18" t="s">
        <v>177</v>
      </c>
      <c r="R81" s="2">
        <f>R48+R55+R62+R71</f>
        <v>954946645.92121375</v>
      </c>
    </row>
    <row r="82" spans="1:19" x14ac:dyDescent="0.35">
      <c r="D82" s="1"/>
      <c r="E82" s="1"/>
      <c r="G82" s="2"/>
      <c r="H82" s="6"/>
      <c r="J82" s="149" t="s">
        <v>176</v>
      </c>
      <c r="L82" s="2">
        <f>L67+L50+L76</f>
        <v>227212645.55710205</v>
      </c>
      <c r="M82" s="5" t="s">
        <v>210</v>
      </c>
      <c r="O82" s="2">
        <f t="shared" si="16"/>
        <v>1771315295.2475708</v>
      </c>
      <c r="P82" s="18" t="s">
        <v>218</v>
      </c>
      <c r="R82" s="2">
        <f>R49+R56+R63+R72</f>
        <v>466140392.61857921</v>
      </c>
    </row>
    <row r="83" spans="1:19" x14ac:dyDescent="0.35">
      <c r="D83" s="1"/>
      <c r="E83" s="1"/>
      <c r="G83" s="2"/>
      <c r="H83" s="6"/>
      <c r="J83" s="150" t="s">
        <v>178</v>
      </c>
      <c r="L83" s="2">
        <f>L63+L72</f>
        <v>9131123.2022198737</v>
      </c>
      <c r="M83" t="s">
        <v>213</v>
      </c>
      <c r="O83" s="2">
        <f t="shared" si="16"/>
        <v>450230615.97635674</v>
      </c>
      <c r="P83" s="18" t="s">
        <v>219</v>
      </c>
      <c r="R83" s="2">
        <f>R50+R57+R64+R73</f>
        <v>550302126.86867297</v>
      </c>
    </row>
    <row r="84" spans="1:19" s="78" customFormat="1" x14ac:dyDescent="0.35">
      <c r="D84" s="90"/>
      <c r="E84" s="90"/>
      <c r="F84" s="213"/>
      <c r="G84" s="1"/>
      <c r="H84" s="6"/>
      <c r="J84" s="152" t="s">
        <v>180</v>
      </c>
      <c r="L84" s="90">
        <f>L68+L77</f>
        <v>15712827.773014927</v>
      </c>
      <c r="M84" t="s">
        <v>214</v>
      </c>
      <c r="O84" s="2">
        <f t="shared" si="16"/>
        <v>1016409764.2354485</v>
      </c>
      <c r="P84" s="18" t="s">
        <v>220</v>
      </c>
      <c r="R84" s="2">
        <f>R51+R58+R65+R74</f>
        <v>203288503.89745042</v>
      </c>
    </row>
    <row r="85" spans="1:19" s="78" customFormat="1" x14ac:dyDescent="0.35">
      <c r="D85" s="90"/>
      <c r="E85" s="90"/>
      <c r="F85" s="213"/>
      <c r="G85" s="1"/>
      <c r="H85" s="6"/>
      <c r="J85" s="190" t="s">
        <v>79</v>
      </c>
      <c r="L85" s="2">
        <f>L54</f>
        <v>1037237263.845558</v>
      </c>
      <c r="M85" t="s">
        <v>216</v>
      </c>
      <c r="O85" s="2">
        <f t="shared" si="16"/>
        <v>113235829.65181834</v>
      </c>
    </row>
    <row r="86" spans="1:19" s="91" customFormat="1" ht="32.5" customHeight="1" x14ac:dyDescent="0.35">
      <c r="A86" s="91" t="s">
        <v>79</v>
      </c>
      <c r="C86" s="298"/>
      <c r="D86" s="214"/>
      <c r="E86" s="92"/>
      <c r="F86" s="169"/>
    </row>
    <row r="87" spans="1:19" s="18" customFormat="1" ht="16.5" customHeight="1" x14ac:dyDescent="0.35">
      <c r="C87" s="102">
        <f>C88+C98</f>
        <v>5220497110.8134346</v>
      </c>
      <c r="D87" s="102">
        <f>D88+D98</f>
        <v>4.8936934459768837</v>
      </c>
      <c r="E87" s="102"/>
      <c r="F87" s="102">
        <f>F88+F98</f>
        <v>4094507.5378928897</v>
      </c>
      <c r="L87" s="102">
        <f>L88+L98</f>
        <v>392760169.53237206</v>
      </c>
      <c r="O87" s="102">
        <f>O88+O98</f>
        <v>2823164737.6290188</v>
      </c>
      <c r="R87" s="102">
        <f>R88+R98</f>
        <v>1245599820.0817192</v>
      </c>
    </row>
    <row r="88" spans="1:19" s="202" customFormat="1" x14ac:dyDescent="0.35">
      <c r="A88" s="202" t="s">
        <v>58</v>
      </c>
      <c r="B88" s="202">
        <v>1275</v>
      </c>
      <c r="C88" s="203">
        <f>B88*F88</f>
        <v>2958269990.6346092</v>
      </c>
      <c r="D88" s="202">
        <f>'[2]GAP analysis Sc. 2'!$C$78+'[2]GAP analysis Sc. 2'!$C$87+'[2]GAP analysis Sc. 2'!$F$85</f>
        <v>2.7730819799923161</v>
      </c>
      <c r="E88" s="202">
        <f>'[1]Conversion factors selected IV '!$O$29</f>
        <v>0.83669064748201449</v>
      </c>
      <c r="F88" s="202">
        <f>D88*E88*1000000</f>
        <v>2320211.7573604779</v>
      </c>
      <c r="G88" s="202">
        <f>'LCoP 2030 HIGH'!E9</f>
        <v>922.73260555459717</v>
      </c>
      <c r="H88" s="202">
        <f>G88*F88</f>
        <v>2140935040.3076446</v>
      </c>
      <c r="I88" s="202">
        <f>'LCoP 2030 HIGH'!H9</f>
        <v>-1.370103794891292E-2</v>
      </c>
      <c r="L88" s="202">
        <f>I88*H88</f>
        <v>-29333032.233412448</v>
      </c>
      <c r="M88" s="202">
        <f>'LCoP 2030 HIGH'!F9</f>
        <v>0.65566123528968845</v>
      </c>
      <c r="O88" s="202">
        <f>M88*H88</f>
        <v>1403728113.2030892</v>
      </c>
      <c r="P88" s="226">
        <f>'LCoP 2030 HIGH'!G9</f>
        <v>0.35803980265922453</v>
      </c>
      <c r="R88" s="202">
        <f>P88*H88</f>
        <v>766539959.33796799</v>
      </c>
      <c r="S88" s="202">
        <f>L88+O88+R88</f>
        <v>2140935040.3076448</v>
      </c>
    </row>
    <row r="89" spans="1:19" x14ac:dyDescent="0.35">
      <c r="C89">
        <f>C88/C87</f>
        <v>0.56666442444858756</v>
      </c>
      <c r="D89" s="2"/>
      <c r="E89" s="2"/>
      <c r="G89" s="147" t="s">
        <v>179</v>
      </c>
      <c r="H89" s="2">
        <f>SUMIF($J$89:$J$97, G89,$L$89:$L$97)/$L$88</f>
        <v>-1.69992525658261</v>
      </c>
      <c r="I89" s="5" t="s">
        <v>19</v>
      </c>
      <c r="J89" s="147" t="s">
        <v>179</v>
      </c>
      <c r="K89" s="6">
        <f>'Feedstock MIX per IVC'!J20</f>
        <v>0.89326982561933999</v>
      </c>
      <c r="L89" s="2">
        <f t="shared" ref="L89:L97" si="17">K89*F$88</f>
        <v>2072575.1518973366</v>
      </c>
      <c r="M89" s="5" t="s">
        <v>211</v>
      </c>
      <c r="N89" s="34">
        <v>0.05</v>
      </c>
      <c r="O89" s="2">
        <f t="shared" ref="O89:O94" si="18">N89*O$88</f>
        <v>70186405.660154462</v>
      </c>
      <c r="P89" s="18" t="s">
        <v>217</v>
      </c>
      <c r="Q89" s="34">
        <v>0.2</v>
      </c>
      <c r="R89" s="2">
        <f>Q89*R$88</f>
        <v>153307991.86759362</v>
      </c>
    </row>
    <row r="90" spans="1:19" x14ac:dyDescent="0.35">
      <c r="C90" t="s">
        <v>402</v>
      </c>
      <c r="D90" s="2">
        <f>'[2]GAP analysis Sc. 2'!$C$78+'[2]GAP analysis Sc. 2'!$C$87</f>
        <v>0.99375108416252855</v>
      </c>
      <c r="E90" s="2"/>
      <c r="G90" s="152" t="s">
        <v>180</v>
      </c>
      <c r="H90" s="2">
        <f t="shared" ref="H90:H95" si="19">SUMIF($J$89:$J$97, G90,$L$89:$L$97)/$L$88</f>
        <v>3.1655067061236375</v>
      </c>
      <c r="I90" s="5" t="s">
        <v>7</v>
      </c>
      <c r="J90" s="147" t="s">
        <v>179</v>
      </c>
      <c r="K90" s="6">
        <f>'Feedstock MIX per IVC'!J21</f>
        <v>0.85601008031509007</v>
      </c>
      <c r="L90" s="2">
        <f t="shared" si="17"/>
        <v>1986124.652766159</v>
      </c>
      <c r="M90" t="s">
        <v>212</v>
      </c>
      <c r="N90" s="34">
        <v>0.02</v>
      </c>
      <c r="O90" s="2">
        <f t="shared" si="18"/>
        <v>28074562.264061786</v>
      </c>
      <c r="P90" s="18" t="s">
        <v>177</v>
      </c>
      <c r="Q90" s="34">
        <v>0.5</v>
      </c>
      <c r="R90" s="2">
        <f>Q90*R$88</f>
        <v>383269979.668984</v>
      </c>
    </row>
    <row r="91" spans="1:19" x14ac:dyDescent="0.35">
      <c r="D91" s="2"/>
      <c r="E91" s="2"/>
      <c r="G91" s="150" t="s">
        <v>178</v>
      </c>
      <c r="H91" s="2">
        <f t="shared" si="19"/>
        <v>-0.33818449117792798</v>
      </c>
      <c r="I91" s="5" t="s">
        <v>8</v>
      </c>
      <c r="J91" s="147" t="s">
        <v>179</v>
      </c>
      <c r="K91" s="6">
        <f>'Feedstock MIX per IVC'!J22</f>
        <v>0.60142905146453718</v>
      </c>
      <c r="L91" s="2">
        <f t="shared" si="17"/>
        <v>1395442.7564261791</v>
      </c>
      <c r="M91" s="5" t="s">
        <v>210</v>
      </c>
      <c r="N91" s="34">
        <v>0.4</v>
      </c>
      <c r="O91" s="2">
        <f t="shared" si="18"/>
        <v>561491245.28123569</v>
      </c>
      <c r="P91" s="18" t="s">
        <v>218</v>
      </c>
      <c r="Q91" s="34">
        <v>0.15</v>
      </c>
      <c r="R91" s="2">
        <f>Q91*R$88</f>
        <v>114980993.90069519</v>
      </c>
    </row>
    <row r="92" spans="1:19" x14ac:dyDescent="0.35">
      <c r="D92" s="2"/>
      <c r="E92" s="2"/>
      <c r="G92" s="171" t="s">
        <v>222</v>
      </c>
      <c r="H92" s="2">
        <f t="shared" si="19"/>
        <v>0</v>
      </c>
      <c r="I92" s="5" t="s">
        <v>20</v>
      </c>
      <c r="J92" s="150" t="s">
        <v>178</v>
      </c>
      <c r="K92" s="6">
        <f>'Feedstock MIX per IVC'!J23</f>
        <v>4.2754617327892195</v>
      </c>
      <c r="L92" s="2">
        <f t="shared" si="17"/>
        <v>9919976.5805623494</v>
      </c>
      <c r="M92" t="s">
        <v>213</v>
      </c>
      <c r="N92" s="34">
        <v>0.3</v>
      </c>
      <c r="O92" s="2">
        <f t="shared" si="18"/>
        <v>421118433.96092677</v>
      </c>
      <c r="P92" s="18" t="s">
        <v>219</v>
      </c>
      <c r="Q92" s="34">
        <v>0.1</v>
      </c>
      <c r="R92" s="2">
        <f>Q92*R$88</f>
        <v>76653995.933796808</v>
      </c>
    </row>
    <row r="93" spans="1:19" x14ac:dyDescent="0.35">
      <c r="D93" s="2"/>
      <c r="E93" s="2"/>
      <c r="G93" s="149" t="s">
        <v>176</v>
      </c>
      <c r="H93" s="2">
        <f t="shared" si="19"/>
        <v>0</v>
      </c>
      <c r="I93" s="5" t="s">
        <v>4</v>
      </c>
      <c r="J93" s="147" t="s">
        <v>179</v>
      </c>
      <c r="K93" s="6">
        <f>'Feedstock MIX per IVC'!J24</f>
        <v>19.140416664021007</v>
      </c>
      <c r="L93" s="2">
        <f t="shared" si="17"/>
        <v>44409819.784639955</v>
      </c>
      <c r="M93" t="s">
        <v>214</v>
      </c>
      <c r="N93" s="34">
        <v>0.2</v>
      </c>
      <c r="O93" s="2">
        <f t="shared" si="18"/>
        <v>280745622.64061785</v>
      </c>
      <c r="P93" s="18" t="s">
        <v>220</v>
      </c>
      <c r="Q93" s="34">
        <v>0.05</v>
      </c>
      <c r="R93" s="2">
        <f>Q93*R$88</f>
        <v>38326997.966898404</v>
      </c>
    </row>
    <row r="94" spans="1:19" x14ac:dyDescent="0.35">
      <c r="D94" s="2"/>
      <c r="E94" s="2"/>
      <c r="G94" s="239" t="s">
        <v>259</v>
      </c>
      <c r="H94" s="2">
        <f t="shared" si="19"/>
        <v>-0.12739695836309936</v>
      </c>
      <c r="I94" s="5" t="s">
        <v>21</v>
      </c>
      <c r="J94" s="147" t="s">
        <v>179</v>
      </c>
      <c r="K94" s="6">
        <f>'Feedstock MIX per IVC'!J25</f>
        <v>0</v>
      </c>
      <c r="L94" s="2">
        <f t="shared" si="17"/>
        <v>0</v>
      </c>
      <c r="M94" t="s">
        <v>216</v>
      </c>
      <c r="N94" s="34">
        <v>0.03</v>
      </c>
      <c r="O94" s="2">
        <f t="shared" si="18"/>
        <v>42111843.396092676</v>
      </c>
      <c r="R94" s="2"/>
    </row>
    <row r="95" spans="1:19" x14ac:dyDescent="0.35">
      <c r="D95" s="2"/>
      <c r="E95" s="2"/>
      <c r="G95" s="151" t="s">
        <v>77</v>
      </c>
      <c r="H95" s="2">
        <f t="shared" si="19"/>
        <v>0</v>
      </c>
      <c r="I95" s="5" t="s">
        <v>22</v>
      </c>
      <c r="J95" s="152" t="s">
        <v>180</v>
      </c>
      <c r="K95" s="6">
        <f>'Feedstock MIX per IVC'!J26</f>
        <v>0</v>
      </c>
      <c r="L95" s="2">
        <f t="shared" si="17"/>
        <v>0</v>
      </c>
      <c r="N95" s="34">
        <f>SUM(N89:N94)</f>
        <v>1</v>
      </c>
      <c r="O95" s="2"/>
    </row>
    <row r="96" spans="1:19" x14ac:dyDescent="0.35">
      <c r="D96" s="2"/>
      <c r="E96" s="2"/>
      <c r="H96" s="2">
        <f>SUM(H89:H95)</f>
        <v>1.0000000000000002</v>
      </c>
      <c r="I96" s="12" t="s">
        <v>23</v>
      </c>
      <c r="J96" s="152" t="s">
        <v>180</v>
      </c>
      <c r="K96" s="6">
        <f>'Feedstock MIX per IVC'!J27</f>
        <v>-40.019584398382889</v>
      </c>
      <c r="L96" s="2">
        <f t="shared" si="17"/>
        <v>-92853910.245807931</v>
      </c>
      <c r="M96" s="2"/>
    </row>
    <row r="97" spans="1:18" s="78" customFormat="1" x14ac:dyDescent="0.35">
      <c r="D97" s="93"/>
      <c r="E97" s="93"/>
      <c r="F97" s="213"/>
      <c r="G97" s="220"/>
      <c r="I97" s="13" t="s">
        <v>24</v>
      </c>
      <c r="J97" s="239" t="s">
        <v>259</v>
      </c>
      <c r="K97" s="6">
        <f>'Feedstock MIX per IVC'!J28</f>
        <v>1.6106025987708632</v>
      </c>
      <c r="L97" s="2">
        <f t="shared" si="17"/>
        <v>3736939.0861034971</v>
      </c>
    </row>
    <row r="98" spans="1:18" s="202" customFormat="1" x14ac:dyDescent="0.35">
      <c r="A98" s="202" t="s">
        <v>59</v>
      </c>
      <c r="B98" s="202">
        <v>1275</v>
      </c>
      <c r="C98" s="203">
        <f>B98*F98</f>
        <v>2262227120.1788249</v>
      </c>
      <c r="D98" s="202">
        <f>'[2]GAP analysis Sc. 2'!$C$79+'[2]GAP analysis Sc. 2'!$C$88+'[2]GAP analysis Sc. 2'!$F$74</f>
        <v>2.1206114659845676</v>
      </c>
      <c r="E98" s="202">
        <f>'[1]Conversion factors selected IV '!$O$52</f>
        <v>0.83669064748201449</v>
      </c>
      <c r="F98" s="202">
        <f>D98*E98*1000000</f>
        <v>1774295.7805324118</v>
      </c>
      <c r="G98" s="202">
        <f>'LCoP 2030 HIGH'!E13</f>
        <v>1307.8933695255294</v>
      </c>
      <c r="H98" s="202">
        <f>G98*F98</f>
        <v>2320589686.9354653</v>
      </c>
      <c r="I98" s="202">
        <f>'LCoP 2030 HIGH'!H13</f>
        <v>0.18189049280969366</v>
      </c>
      <c r="L98" s="202">
        <f>I98*H98</f>
        <v>422093201.7657845</v>
      </c>
      <c r="M98" s="202">
        <f>'LCoP 2030 HIGH'!F13</f>
        <v>0.61167065958153743</v>
      </c>
      <c r="O98" s="202">
        <f>M98*H98</f>
        <v>1419436624.4259295</v>
      </c>
      <c r="P98" s="202">
        <f>'LCoP 2030 HIGH'!G13</f>
        <v>0.20643884760876888</v>
      </c>
      <c r="R98" s="202">
        <f>P98*H98</f>
        <v>479059860.74375123</v>
      </c>
    </row>
    <row r="99" spans="1:18" s="78" customFormat="1" x14ac:dyDescent="0.35">
      <c r="C99">
        <f>C98/C87</f>
        <v>0.43333557555141233</v>
      </c>
      <c r="D99" s="93"/>
      <c r="E99" s="93"/>
      <c r="F99" s="213"/>
      <c r="G99" s="147" t="s">
        <v>179</v>
      </c>
      <c r="H99" s="2">
        <f>SUMIF($J$99:$J$108, G99,$L$99:$L$108)/$L$98</f>
        <v>0.6227762740063022</v>
      </c>
      <c r="I99" s="5" t="s">
        <v>4</v>
      </c>
      <c r="J99" s="147" t="s">
        <v>179</v>
      </c>
      <c r="K99" s="6">
        <f>'Feedstock MIX per IVC'!J45</f>
        <v>131.94870032235852</v>
      </c>
      <c r="L99" s="2">
        <f t="shared" ref="L99:L108" si="20">K99*F$98</f>
        <v>234116022.22869641</v>
      </c>
      <c r="M99" s="5" t="s">
        <v>211</v>
      </c>
      <c r="N99" s="34">
        <v>0</v>
      </c>
      <c r="O99" s="2">
        <f t="shared" ref="O99:O104" si="21">N99*O$98</f>
        <v>0</v>
      </c>
      <c r="P99" s="18" t="s">
        <v>217</v>
      </c>
      <c r="Q99" s="34">
        <v>0.25</v>
      </c>
      <c r="R99" s="2">
        <f>Q99*R$98</f>
        <v>119764965.18593781</v>
      </c>
    </row>
    <row r="100" spans="1:18" s="78" customFormat="1" x14ac:dyDescent="0.35">
      <c r="C100" t="s">
        <v>402</v>
      </c>
      <c r="D100" s="297">
        <f>'[2]GAP analysis Sc. 2'!$C$79+'[2]GAP analysis Sc. 2'!$C$88</f>
        <v>0.99375108416252855</v>
      </c>
      <c r="E100" s="93"/>
      <c r="F100" s="213"/>
      <c r="G100" s="152" t="s">
        <v>180</v>
      </c>
      <c r="H100" s="2">
        <f t="shared" ref="H100:H104" si="22">SUMIF($J$99:$J$108, G100,$L$99:$L$108)/$L$98</f>
        <v>2.4285991329623689E-2</v>
      </c>
      <c r="I100" s="5" t="s">
        <v>5</v>
      </c>
      <c r="J100" s="147" t="s">
        <v>179</v>
      </c>
      <c r="K100" s="6">
        <f>'Feedstock MIX per IVC'!J46</f>
        <v>6.1584666021445331</v>
      </c>
      <c r="L100" s="2">
        <f t="shared" si="20"/>
        <v>10926941.306734825</v>
      </c>
      <c r="M100" t="s">
        <v>212</v>
      </c>
      <c r="N100" s="34">
        <v>0.02</v>
      </c>
      <c r="O100" s="2">
        <f t="shared" si="21"/>
        <v>28388732.488518592</v>
      </c>
      <c r="P100" s="18" t="s">
        <v>177</v>
      </c>
      <c r="Q100" s="34">
        <v>0.15</v>
      </c>
      <c r="R100" s="2">
        <f>Q100*R$98</f>
        <v>71858979.111562684</v>
      </c>
    </row>
    <row r="101" spans="1:18" s="78" customFormat="1" x14ac:dyDescent="0.35">
      <c r="C101"/>
      <c r="D101" s="297"/>
      <c r="E101" s="93"/>
      <c r="F101" s="213"/>
      <c r="G101" s="150" t="s">
        <v>178</v>
      </c>
      <c r="H101" s="2">
        <f t="shared" si="22"/>
        <v>1.3128563940910873E-2</v>
      </c>
      <c r="I101" s="5" t="s">
        <v>22</v>
      </c>
      <c r="J101" s="152" t="s">
        <v>180</v>
      </c>
      <c r="K101" s="6">
        <f>'Feedstock MIX per IVC'!J47</f>
        <v>0</v>
      </c>
      <c r="L101" s="2">
        <f t="shared" si="20"/>
        <v>0</v>
      </c>
      <c r="M101" s="5" t="s">
        <v>210</v>
      </c>
      <c r="N101" s="34">
        <v>0.55000000000000004</v>
      </c>
      <c r="O101" s="2">
        <f t="shared" si="21"/>
        <v>780690143.43426132</v>
      </c>
      <c r="P101" s="18" t="s">
        <v>218</v>
      </c>
      <c r="Q101" s="34">
        <v>0.3</v>
      </c>
      <c r="R101" s="2">
        <f>Q101*R$98</f>
        <v>143717958.22312537</v>
      </c>
    </row>
    <row r="102" spans="1:18" s="78" customFormat="1" x14ac:dyDescent="0.35">
      <c r="D102" s="93"/>
      <c r="E102" s="93"/>
      <c r="F102" s="213"/>
      <c r="G102" s="171" t="s">
        <v>222</v>
      </c>
      <c r="H102" s="2">
        <f t="shared" si="22"/>
        <v>0.13461651697916677</v>
      </c>
      <c r="I102" s="5" t="s">
        <v>6</v>
      </c>
      <c r="J102" s="150" t="s">
        <v>178</v>
      </c>
      <c r="K102" s="6">
        <f>'Feedstock MIX per IVC'!J48</f>
        <v>3.1231983129346497</v>
      </c>
      <c r="L102" s="2">
        <f t="shared" si="20"/>
        <v>5541477.588405896</v>
      </c>
      <c r="M102" t="s">
        <v>213</v>
      </c>
      <c r="N102" s="34">
        <v>0.1</v>
      </c>
      <c r="O102" s="2">
        <f t="shared" si="21"/>
        <v>141943662.44259295</v>
      </c>
      <c r="P102" s="18" t="s">
        <v>219</v>
      </c>
      <c r="Q102" s="34">
        <v>0.3</v>
      </c>
      <c r="R102" s="2">
        <f>Q102*R$98</f>
        <v>143717958.22312537</v>
      </c>
    </row>
    <row r="103" spans="1:18" s="78" customFormat="1" x14ac:dyDescent="0.35">
      <c r="D103" s="93"/>
      <c r="E103" s="93"/>
      <c r="F103" s="213"/>
      <c r="G103" s="149" t="s">
        <v>176</v>
      </c>
      <c r="H103" s="2">
        <f t="shared" si="22"/>
        <v>0.15544364025355678</v>
      </c>
      <c r="I103" s="5" t="s">
        <v>7</v>
      </c>
      <c r="J103" s="147" t="s">
        <v>179</v>
      </c>
      <c r="K103" s="6">
        <f>'Feedstock MIX per IVC'!J49</f>
        <v>5.9010950254144312</v>
      </c>
      <c r="L103" s="2">
        <f t="shared" si="20"/>
        <v>10470288.004113631</v>
      </c>
      <c r="M103" t="s">
        <v>214</v>
      </c>
      <c r="N103" s="34">
        <v>0.3</v>
      </c>
      <c r="O103" s="2">
        <f t="shared" si="21"/>
        <v>425830987.32777888</v>
      </c>
      <c r="P103" s="18" t="s">
        <v>220</v>
      </c>
      <c r="Q103" s="223">
        <v>0</v>
      </c>
      <c r="R103" s="2">
        <f>Q103*R$98</f>
        <v>0</v>
      </c>
    </row>
    <row r="104" spans="1:18" s="78" customFormat="1" x14ac:dyDescent="0.35">
      <c r="D104" s="93"/>
      <c r="E104" s="93"/>
      <c r="F104" s="213"/>
      <c r="G104" s="239" t="s">
        <v>259</v>
      </c>
      <c r="H104" s="2">
        <f t="shared" si="22"/>
        <v>0</v>
      </c>
      <c r="I104" s="5" t="s">
        <v>8</v>
      </c>
      <c r="J104" s="147" t="s">
        <v>179</v>
      </c>
      <c r="K104" s="6">
        <f>'Feedstock MIX per IVC'!J50</f>
        <v>4.1460843339960558</v>
      </c>
      <c r="L104" s="2">
        <f t="shared" si="20"/>
        <v>7356379.9395407364</v>
      </c>
      <c r="M104" t="s">
        <v>216</v>
      </c>
      <c r="N104" s="34">
        <v>0.03</v>
      </c>
      <c r="O104" s="2">
        <f t="shared" si="21"/>
        <v>42583098.732777886</v>
      </c>
      <c r="R104"/>
    </row>
    <row r="105" spans="1:18" s="78" customFormat="1" x14ac:dyDescent="0.35">
      <c r="D105" s="93"/>
      <c r="E105" s="93"/>
      <c r="F105" s="213"/>
      <c r="G105" s="151" t="s">
        <v>77</v>
      </c>
      <c r="H105" s="2">
        <f>SUMIF($J$99:$J$108, G105,$L$99:$L$108)/$L$98/2</f>
        <v>2.487450674521987E-2</v>
      </c>
      <c r="I105" s="5" t="s">
        <v>9</v>
      </c>
      <c r="J105" s="171" t="s">
        <v>222</v>
      </c>
      <c r="K105" s="6">
        <f>'Feedstock MIX per IVC'!J51</f>
        <v>32.024376817964615</v>
      </c>
      <c r="L105" s="2">
        <f t="shared" si="20"/>
        <v>56820716.662294596</v>
      </c>
      <c r="M105" s="78" t="s">
        <v>320</v>
      </c>
      <c r="O105" s="90">
        <f>SUM(O99:O104)</f>
        <v>1419436624.4259295</v>
      </c>
      <c r="R105" s="90">
        <f>SUM(R99:R104)</f>
        <v>479059860.74375117</v>
      </c>
    </row>
    <row r="106" spans="1:18" s="78" customFormat="1" x14ac:dyDescent="0.35">
      <c r="D106" s="93"/>
      <c r="E106" s="93"/>
      <c r="F106" s="213"/>
      <c r="G106" s="190" t="s">
        <v>377</v>
      </c>
      <c r="H106" s="2">
        <f>H105</f>
        <v>2.487450674521987E-2</v>
      </c>
      <c r="I106" s="5" t="s">
        <v>10</v>
      </c>
      <c r="J106" s="149" t="s">
        <v>176</v>
      </c>
      <c r="K106" s="6">
        <f>'Feedstock MIX per IVC'!J52</f>
        <v>36.979011351232828</v>
      </c>
      <c r="L106" s="2">
        <f t="shared" si="20"/>
        <v>65611703.808752567</v>
      </c>
    </row>
    <row r="107" spans="1:18" s="78" customFormat="1" x14ac:dyDescent="0.35">
      <c r="D107" s="93"/>
      <c r="E107" s="93"/>
      <c r="F107" s="213"/>
      <c r="G107" s="220"/>
      <c r="H107" s="90">
        <f>SUM(H99:H106)</f>
        <v>1</v>
      </c>
      <c r="I107" s="5" t="s">
        <v>11</v>
      </c>
      <c r="J107" s="152" t="s">
        <v>180</v>
      </c>
      <c r="K107" s="6">
        <f>'Feedstock MIX per IVC'!J53</f>
        <v>5.7774763096719699</v>
      </c>
      <c r="L107" s="2">
        <f t="shared" si="20"/>
        <v>10250951.838376945</v>
      </c>
    </row>
    <row r="108" spans="1:18" s="78" customFormat="1" x14ac:dyDescent="0.35">
      <c r="D108" s="93"/>
      <c r="E108" s="93"/>
      <c r="F108" s="213"/>
      <c r="G108" s="220"/>
      <c r="I108" s="13" t="s">
        <v>32</v>
      </c>
      <c r="J108" s="151" t="s">
        <v>77</v>
      </c>
      <c r="K108" s="6">
        <f>'Feedstock MIX per IVC'!J54</f>
        <v>11.834960449811724</v>
      </c>
      <c r="L108" s="2">
        <f t="shared" si="20"/>
        <v>20998720.388868917</v>
      </c>
    </row>
    <row r="109" spans="1:18" s="78" customFormat="1" x14ac:dyDescent="0.35">
      <c r="D109" s="93"/>
      <c r="E109" s="93"/>
      <c r="F109" s="213"/>
      <c r="G109" s="220"/>
      <c r="I109" s="14"/>
      <c r="K109" s="6" t="s">
        <v>319</v>
      </c>
      <c r="L109" s="2">
        <f>SUM(L99:L108)</f>
        <v>422093201.76578456</v>
      </c>
    </row>
    <row r="110" spans="1:18" s="78" customFormat="1" x14ac:dyDescent="0.35">
      <c r="D110" s="93"/>
      <c r="E110" s="93"/>
      <c r="F110" s="213"/>
      <c r="G110" s="220"/>
      <c r="I110" s="14"/>
      <c r="K110" s="6"/>
      <c r="L110" s="2"/>
    </row>
    <row r="111" spans="1:18" s="78" customFormat="1" x14ac:dyDescent="0.35">
      <c r="D111" s="93"/>
      <c r="E111" s="93"/>
      <c r="F111" s="213"/>
      <c r="G111" s="220"/>
      <c r="I111" s="145" t="s">
        <v>181</v>
      </c>
      <c r="K111" s="6"/>
      <c r="L111" s="2"/>
    </row>
    <row r="112" spans="1:18" s="78" customFormat="1" x14ac:dyDescent="0.35">
      <c r="D112" s="93"/>
      <c r="E112" s="93"/>
      <c r="F112" s="213"/>
      <c r="G112" s="220"/>
      <c r="I112" s="14"/>
      <c r="J112" s="147" t="s">
        <v>179</v>
      </c>
      <c r="K112" s="6"/>
      <c r="L112" s="2">
        <f>L89+L90+L91+L93+L94+L99+L100+L103+L104</f>
        <v>312733593.82481521</v>
      </c>
      <c r="M112" s="5" t="s">
        <v>211</v>
      </c>
      <c r="O112" s="2">
        <f t="shared" ref="O112:O117" si="23">O89+O99</f>
        <v>70186405.660154462</v>
      </c>
      <c r="P112" s="18" t="s">
        <v>217</v>
      </c>
      <c r="R112" s="2">
        <f>R89+R99</f>
        <v>273072957.05353141</v>
      </c>
    </row>
    <row r="113" spans="1:19" s="78" customFormat="1" x14ac:dyDescent="0.35">
      <c r="D113" s="93"/>
      <c r="E113" s="93"/>
      <c r="F113" s="213"/>
      <c r="G113" s="220"/>
      <c r="I113" s="14"/>
      <c r="J113" s="152" t="s">
        <v>180</v>
      </c>
      <c r="K113" s="6"/>
      <c r="L113" s="2">
        <f>L95+L96+L101+L107</f>
        <v>-82602958.407430992</v>
      </c>
      <c r="M113" t="s">
        <v>212</v>
      </c>
      <c r="O113" s="2">
        <f t="shared" si="23"/>
        <v>56463294.752580374</v>
      </c>
      <c r="P113" s="18" t="s">
        <v>177</v>
      </c>
      <c r="R113" s="2">
        <f>R90+R100</f>
        <v>455128958.78054667</v>
      </c>
    </row>
    <row r="114" spans="1:19" s="78" customFormat="1" x14ac:dyDescent="0.35">
      <c r="D114" s="93"/>
      <c r="E114" s="93"/>
      <c r="F114" s="213"/>
      <c r="G114" s="220"/>
      <c r="I114" s="14"/>
      <c r="J114" s="150" t="s">
        <v>178</v>
      </c>
      <c r="K114" s="6"/>
      <c r="L114" s="2">
        <f>L92+L102</f>
        <v>15461454.168968245</v>
      </c>
      <c r="M114" s="5" t="s">
        <v>210</v>
      </c>
      <c r="O114" s="2">
        <f t="shared" si="23"/>
        <v>1342181388.715497</v>
      </c>
      <c r="P114" s="18" t="s">
        <v>218</v>
      </c>
      <c r="R114" s="2">
        <f>R91+R101</f>
        <v>258698952.12382054</v>
      </c>
    </row>
    <row r="115" spans="1:19" s="78" customFormat="1" x14ac:dyDescent="0.35">
      <c r="D115" s="93"/>
      <c r="E115" s="93"/>
      <c r="F115" s="213"/>
      <c r="G115" s="220"/>
      <c r="I115" s="14"/>
      <c r="J115" s="171" t="s">
        <v>222</v>
      </c>
      <c r="K115" s="6"/>
      <c r="L115" s="2">
        <f>L105</f>
        <v>56820716.662294596</v>
      </c>
      <c r="M115" t="s">
        <v>213</v>
      </c>
      <c r="O115" s="2">
        <f t="shared" si="23"/>
        <v>563062096.40351975</v>
      </c>
      <c r="P115" s="18" t="s">
        <v>219</v>
      </c>
      <c r="R115" s="2">
        <f>R92+R102</f>
        <v>220371954.15692216</v>
      </c>
    </row>
    <row r="116" spans="1:19" s="78" customFormat="1" x14ac:dyDescent="0.35">
      <c r="D116" s="93"/>
      <c r="E116" s="93"/>
      <c r="F116" s="213"/>
      <c r="G116" s="220"/>
      <c r="I116" s="14"/>
      <c r="J116" s="149" t="s">
        <v>176</v>
      </c>
      <c r="K116" s="6"/>
      <c r="L116" s="2">
        <f>L106</f>
        <v>65611703.808752567</v>
      </c>
      <c r="M116" t="s">
        <v>214</v>
      </c>
      <c r="O116" s="2">
        <f t="shared" si="23"/>
        <v>706576609.96839666</v>
      </c>
      <c r="P116" s="18" t="s">
        <v>220</v>
      </c>
      <c r="R116" s="2">
        <f>R93+R103</f>
        <v>38326997.966898404</v>
      </c>
    </row>
    <row r="117" spans="1:19" s="78" customFormat="1" x14ac:dyDescent="0.35">
      <c r="D117" s="93"/>
      <c r="E117" s="93"/>
      <c r="F117" s="213"/>
      <c r="G117" s="220"/>
      <c r="I117" s="14"/>
      <c r="J117" s="239" t="s">
        <v>259</v>
      </c>
      <c r="K117" s="6"/>
      <c r="L117" s="2">
        <f>L97+L108</f>
        <v>24735659.474972412</v>
      </c>
      <c r="M117" t="s">
        <v>216</v>
      </c>
      <c r="O117" s="2">
        <f t="shared" si="23"/>
        <v>84694942.128870562</v>
      </c>
    </row>
    <row r="118" spans="1:19" s="78" customFormat="1" x14ac:dyDescent="0.35">
      <c r="D118" s="93"/>
      <c r="E118" s="93"/>
      <c r="F118" s="213"/>
      <c r="G118" s="220"/>
      <c r="J118" s="151" t="s">
        <v>77</v>
      </c>
      <c r="O118" s="2">
        <f>SUM(O112:O117)</f>
        <v>2823164737.6290188</v>
      </c>
      <c r="R118" s="2">
        <f>SUM(R112:R117)</f>
        <v>1245599820.0817192</v>
      </c>
    </row>
    <row r="119" spans="1:19" s="78" customFormat="1" x14ac:dyDescent="0.35">
      <c r="D119" s="93"/>
      <c r="E119" s="93"/>
      <c r="F119" s="213"/>
      <c r="G119" s="220"/>
      <c r="I119" s="145" t="s">
        <v>319</v>
      </c>
      <c r="K119" s="6"/>
      <c r="L119" s="2">
        <f>SUM(L112:L117)</f>
        <v>392760169.53237206</v>
      </c>
    </row>
    <row r="120" spans="1:19" s="78" customFormat="1" x14ac:dyDescent="0.35">
      <c r="D120" s="93"/>
      <c r="E120" s="93"/>
      <c r="F120" s="213"/>
      <c r="G120" s="220"/>
      <c r="I120" s="14"/>
      <c r="K120" s="6"/>
      <c r="L120" s="2"/>
    </row>
    <row r="121" spans="1:19" s="91" customFormat="1" ht="26" customHeight="1" x14ac:dyDescent="0.35">
      <c r="A121" s="91" t="s">
        <v>80</v>
      </c>
      <c r="D121" s="92"/>
      <c r="E121" s="92"/>
      <c r="F121" s="169"/>
      <c r="I121" s="94"/>
    </row>
    <row r="122" spans="1:19" ht="16" customHeight="1" x14ac:dyDescent="0.35">
      <c r="C122" s="2">
        <f>C123+C130+C137+C150</f>
        <v>8242615363.3430805</v>
      </c>
      <c r="D122" s="2">
        <f>D123+D130+D137+D150</f>
        <v>3.4948744637849565</v>
      </c>
      <c r="E122" s="2"/>
      <c r="F122" s="2">
        <f>F123+F130+F137+F150</f>
        <v>3463283.766110538</v>
      </c>
      <c r="I122" s="6"/>
      <c r="L122" s="90">
        <f>SUM(L124:L127)+SUM(L138:L147)</f>
        <v>607110059.79069293</v>
      </c>
      <c r="M122" s="2"/>
      <c r="O122" s="90">
        <f>SUM(O124:O129)+SUM(O138:O147)</f>
        <v>1406959534.8837214</v>
      </c>
      <c r="R122" s="90">
        <f>SUM(R124:R129)+SUM(R138:R147)</f>
        <v>697394302.32558167</v>
      </c>
    </row>
    <row r="123" spans="1:19" s="202" customFormat="1" x14ac:dyDescent="0.35">
      <c r="A123" s="202" t="s">
        <v>74</v>
      </c>
      <c r="B123" s="202">
        <v>2380</v>
      </c>
      <c r="C123" s="203">
        <f>B123*F123</f>
        <v>0</v>
      </c>
      <c r="D123" s="202">
        <f>'[2]GAP analysis Sc. 2'!$C$90</f>
        <v>0</v>
      </c>
      <c r="E123" s="202">
        <f>'[1]Conversion factors selected IV '!$O$78</f>
        <v>0.97367441860465131</v>
      </c>
      <c r="F123" s="202">
        <f>D123*E123*1000000</f>
        <v>0</v>
      </c>
      <c r="G123" s="202">
        <f>'LCoP 2030 HIGH'!E4</f>
        <v>2356.1028145761193</v>
      </c>
      <c r="H123" s="202">
        <f>G123*F123</f>
        <v>0</v>
      </c>
      <c r="I123" s="202">
        <f>'LCoP 2030 HIGH'!H4</f>
        <v>0.66024402880567168</v>
      </c>
      <c r="K123" s="202">
        <f>I123*G123</f>
        <v>1555.6028145761195</v>
      </c>
      <c r="L123" s="202">
        <f>I123*H123</f>
        <v>0</v>
      </c>
      <c r="M123" s="202">
        <f>'LCoP 2030 HIGH'!F4</f>
        <v>0.15958556548290753</v>
      </c>
      <c r="O123" s="202">
        <f>M123*H123</f>
        <v>0</v>
      </c>
      <c r="P123" s="202">
        <f>'LCoP 2030 HIGH'!G4</f>
        <v>0.18017040571142087</v>
      </c>
      <c r="R123" s="202">
        <f>P123*H123</f>
        <v>0</v>
      </c>
      <c r="S123" s="202">
        <f>SUM(L123,O123,R123)</f>
        <v>0</v>
      </c>
    </row>
    <row r="124" spans="1:19" x14ac:dyDescent="0.35">
      <c r="C124">
        <f>C123/$C$122</f>
        <v>0</v>
      </c>
      <c r="D124" s="2"/>
      <c r="E124" s="2"/>
      <c r="G124" s="147" t="s">
        <v>179</v>
      </c>
      <c r="H124" s="2" t="e">
        <f>SUMIF($J$124:$J$127,G124,$L$124:$L$127)/$L$123</f>
        <v>#DIV/0!</v>
      </c>
      <c r="I124" s="4" t="s">
        <v>1</v>
      </c>
      <c r="J124" s="147" t="s">
        <v>179</v>
      </c>
      <c r="K124" s="6">
        <f>'Feedstock MIX per IVC'!J9</f>
        <v>499.57299247876324</v>
      </c>
      <c r="L124" s="2">
        <f>K124*F$123</f>
        <v>0</v>
      </c>
      <c r="M124" s="5" t="s">
        <v>210</v>
      </c>
      <c r="N124" s="118">
        <v>0.45</v>
      </c>
      <c r="O124" s="2">
        <f t="shared" ref="O124:O129" si="24">N124*$O$123</f>
        <v>0</v>
      </c>
      <c r="P124" s="18" t="s">
        <v>217</v>
      </c>
      <c r="Q124" s="118">
        <v>0.35</v>
      </c>
      <c r="R124" s="2">
        <f t="shared" ref="R124:R129" si="25">Q124*$R$123</f>
        <v>0</v>
      </c>
    </row>
    <row r="125" spans="1:19" x14ac:dyDescent="0.35">
      <c r="D125" s="2"/>
      <c r="E125" s="2"/>
      <c r="G125" s="190" t="s">
        <v>377</v>
      </c>
      <c r="H125" s="2" t="e">
        <f>SUMIF($J$124:$J$127,G125,$L$124:$L$127)/$L$123/2</f>
        <v>#DIV/0!</v>
      </c>
      <c r="I125" s="215" t="s">
        <v>132</v>
      </c>
      <c r="J125" s="147" t="s">
        <v>179</v>
      </c>
      <c r="K125" s="6">
        <f>'Feedstock MIX per IVC'!J10</f>
        <v>170.74781459314019</v>
      </c>
      <c r="L125" s="2">
        <f>K125*F$123</f>
        <v>0</v>
      </c>
      <c r="M125" t="s">
        <v>213</v>
      </c>
      <c r="N125" s="118">
        <v>0.15</v>
      </c>
      <c r="O125" s="2">
        <f t="shared" si="24"/>
        <v>0</v>
      </c>
      <c r="P125" s="18" t="s">
        <v>177</v>
      </c>
      <c r="Q125" s="118">
        <v>0.25</v>
      </c>
      <c r="R125" s="2">
        <f t="shared" si="25"/>
        <v>0</v>
      </c>
    </row>
    <row r="126" spans="1:19" x14ac:dyDescent="0.35">
      <c r="D126" s="2"/>
      <c r="E126" s="2"/>
      <c r="G126" s="239" t="s">
        <v>259</v>
      </c>
      <c r="H126" s="2" t="e">
        <f t="shared" ref="H126" si="26">SUMIF($J$124:$J$127,G126,$L$124:$L$127)/$L$123</f>
        <v>#DIV/0!</v>
      </c>
      <c r="I126" s="216" t="s">
        <v>300</v>
      </c>
      <c r="J126" s="190" t="s">
        <v>377</v>
      </c>
      <c r="K126" s="6">
        <f>'Feedstock MIX per IVC'!J11*0.85</f>
        <v>752.48970637858361</v>
      </c>
      <c r="L126" s="2">
        <f>K126*F$123</f>
        <v>0</v>
      </c>
      <c r="M126" s="5" t="s">
        <v>214</v>
      </c>
      <c r="N126" s="118">
        <v>0.3</v>
      </c>
      <c r="O126" s="2">
        <f t="shared" si="24"/>
        <v>0</v>
      </c>
      <c r="P126" s="18" t="s">
        <v>218</v>
      </c>
      <c r="Q126" s="118">
        <v>0.2</v>
      </c>
      <c r="R126" s="2">
        <f t="shared" si="25"/>
        <v>0</v>
      </c>
    </row>
    <row r="127" spans="1:19" x14ac:dyDescent="0.35">
      <c r="D127" s="2"/>
      <c r="E127" s="2"/>
      <c r="G127" s="151" t="s">
        <v>77</v>
      </c>
      <c r="H127" s="2" t="e">
        <f>H125</f>
        <v>#DIV/0!</v>
      </c>
      <c r="I127" s="217" t="s">
        <v>301</v>
      </c>
      <c r="J127" s="239" t="s">
        <v>259</v>
      </c>
      <c r="K127" s="6">
        <f>'Feedstock MIX per IVC'!J11*0.15</f>
        <v>132.79230112563241</v>
      </c>
      <c r="L127" s="2">
        <f>K127*F$123</f>
        <v>0</v>
      </c>
      <c r="M127" t="s">
        <v>211</v>
      </c>
      <c r="N127" s="118">
        <v>0.05</v>
      </c>
      <c r="O127" s="2">
        <f t="shared" si="24"/>
        <v>0</v>
      </c>
      <c r="P127" s="18" t="s">
        <v>219</v>
      </c>
      <c r="Q127" s="118">
        <v>0.15</v>
      </c>
      <c r="R127" s="2">
        <f t="shared" si="25"/>
        <v>0</v>
      </c>
    </row>
    <row r="128" spans="1:19" x14ac:dyDescent="0.35">
      <c r="D128" s="2"/>
      <c r="E128" s="2"/>
      <c r="G128" s="2"/>
      <c r="H128" s="2" t="e">
        <f>SUM(H124:H127)</f>
        <v>#DIV/0!</v>
      </c>
      <c r="L128" s="2">
        <f>SUM(L124:L127)</f>
        <v>0</v>
      </c>
      <c r="M128" t="s">
        <v>216</v>
      </c>
      <c r="N128" s="118">
        <v>0.03</v>
      </c>
      <c r="O128" s="2">
        <f t="shared" si="24"/>
        <v>0</v>
      </c>
      <c r="P128" s="102" t="s">
        <v>220</v>
      </c>
      <c r="Q128" s="118">
        <v>0.05</v>
      </c>
      <c r="R128" s="2">
        <f t="shared" si="25"/>
        <v>0</v>
      </c>
    </row>
    <row r="129" spans="1:19" x14ac:dyDescent="0.35">
      <c r="D129" s="2"/>
      <c r="E129" s="2"/>
      <c r="G129" s="2"/>
      <c r="M129" t="s">
        <v>212</v>
      </c>
      <c r="N129" s="118">
        <v>0.02</v>
      </c>
      <c r="O129" s="2">
        <f t="shared" si="24"/>
        <v>0</v>
      </c>
      <c r="P129" t="s">
        <v>262</v>
      </c>
      <c r="Q129" s="118">
        <v>0</v>
      </c>
      <c r="R129">
        <f t="shared" si="25"/>
        <v>0</v>
      </c>
    </row>
    <row r="130" spans="1:19" s="202" customFormat="1" x14ac:dyDescent="0.35">
      <c r="A130" s="202" t="s">
        <v>88</v>
      </c>
      <c r="B130" s="202">
        <v>2380</v>
      </c>
      <c r="C130" s="202">
        <f>B130*F130</f>
        <v>463469023.25581408</v>
      </c>
      <c r="D130" s="202">
        <f>'[2]GAP analysis Sc. 2'!$C$91</f>
        <v>0.2</v>
      </c>
      <c r="E130" s="202">
        <f>'[1]Conversion factors selected IV '!$O$27</f>
        <v>0.97367441860465131</v>
      </c>
      <c r="F130" s="202">
        <f>D130*E130*1000000</f>
        <v>194734.88372093029</v>
      </c>
      <c r="G130" s="202">
        <f>'LCoP 2030 HIGH'!E6</f>
        <v>2513.8297872340427</v>
      </c>
      <c r="H130" s="202">
        <f>G130*F130</f>
        <v>489530351.31123221</v>
      </c>
      <c r="I130" s="202">
        <f>'LCoP 2030 HIGH'!H6</f>
        <v>0.42319085907744397</v>
      </c>
      <c r="L130" s="202">
        <f>I130*H130</f>
        <v>207164769.9158833</v>
      </c>
      <c r="M130" s="202">
        <f>'LCoP 2030 HIGH'!F6</f>
        <v>0.29834955564959798</v>
      </c>
      <c r="O130" s="202">
        <f>M130*H130</f>
        <v>146051162.79069772</v>
      </c>
      <c r="P130" s="202">
        <f>'LCoP 2030 HIGH'!G6</f>
        <v>0.27845958527295811</v>
      </c>
      <c r="R130" s="202">
        <f>P130*H130</f>
        <v>136314418.60465121</v>
      </c>
      <c r="S130" s="202">
        <f>L130+O130+R130</f>
        <v>489530351.31123221</v>
      </c>
    </row>
    <row r="131" spans="1:19" x14ac:dyDescent="0.35">
      <c r="C131">
        <f>C130/$C$122</f>
        <v>5.6228393880536243E-2</v>
      </c>
      <c r="D131" s="2"/>
      <c r="E131" s="2"/>
      <c r="F131" s="8"/>
      <c r="G131" s="241" t="s">
        <v>81</v>
      </c>
      <c r="H131" s="2">
        <v>1</v>
      </c>
      <c r="I131" s="8" t="s">
        <v>16</v>
      </c>
      <c r="J131" s="241" t="s">
        <v>81</v>
      </c>
      <c r="L131" s="2">
        <f>L130</f>
        <v>207164769.9158833</v>
      </c>
      <c r="M131" s="5" t="s">
        <v>211</v>
      </c>
      <c r="N131" s="34">
        <v>0</v>
      </c>
      <c r="O131" s="2">
        <f t="shared" ref="O131:O136" si="27">N131*O$130</f>
        <v>0</v>
      </c>
      <c r="P131" s="18" t="s">
        <v>217</v>
      </c>
      <c r="Q131" s="34">
        <v>0.2</v>
      </c>
      <c r="R131" s="2">
        <f>Q131*$R$130</f>
        <v>27262883.720930245</v>
      </c>
    </row>
    <row r="132" spans="1:19" x14ac:dyDescent="0.35">
      <c r="D132" s="2"/>
      <c r="E132" s="2"/>
      <c r="G132" s="2"/>
      <c r="M132" t="s">
        <v>212</v>
      </c>
      <c r="N132" s="34">
        <v>0.02</v>
      </c>
      <c r="O132" s="2">
        <f t="shared" si="27"/>
        <v>2921023.2558139544</v>
      </c>
      <c r="P132" s="18" t="s">
        <v>177</v>
      </c>
      <c r="Q132" s="34">
        <v>0.5</v>
      </c>
      <c r="R132" s="2">
        <f>Q132*$R$130</f>
        <v>68157209.302325606</v>
      </c>
    </row>
    <row r="133" spans="1:19" x14ac:dyDescent="0.35">
      <c r="D133" s="2"/>
      <c r="E133" s="2"/>
      <c r="G133" s="2"/>
      <c r="M133" s="5" t="s">
        <v>210</v>
      </c>
      <c r="N133" s="34">
        <v>0.5</v>
      </c>
      <c r="O133" s="2">
        <f t="shared" si="27"/>
        <v>73025581.395348862</v>
      </c>
      <c r="P133" s="18" t="s">
        <v>218</v>
      </c>
      <c r="Q133" s="34">
        <v>0.15</v>
      </c>
      <c r="R133" s="2">
        <f>Q133*$R$130</f>
        <v>20447162.790697683</v>
      </c>
    </row>
    <row r="134" spans="1:19" x14ac:dyDescent="0.35">
      <c r="D134" s="2"/>
      <c r="E134" s="2"/>
      <c r="G134" s="2"/>
      <c r="M134" t="s">
        <v>213</v>
      </c>
      <c r="N134" s="34">
        <v>0.15</v>
      </c>
      <c r="O134" s="2">
        <f t="shared" si="27"/>
        <v>21907674.418604657</v>
      </c>
      <c r="P134" s="18" t="s">
        <v>219</v>
      </c>
      <c r="Q134" s="34">
        <v>0.1</v>
      </c>
      <c r="R134" s="2">
        <f>Q134*$R$130</f>
        <v>13631441.860465122</v>
      </c>
    </row>
    <row r="135" spans="1:19" x14ac:dyDescent="0.35">
      <c r="D135" s="2"/>
      <c r="E135" s="2"/>
      <c r="G135" s="2"/>
      <c r="M135" t="s">
        <v>214</v>
      </c>
      <c r="N135" s="34">
        <v>0.3</v>
      </c>
      <c r="O135" s="2">
        <f t="shared" si="27"/>
        <v>43815348.837209314</v>
      </c>
      <c r="P135" s="18" t="s">
        <v>220</v>
      </c>
      <c r="Q135" s="34">
        <v>0.05</v>
      </c>
      <c r="R135" s="2">
        <f>Q135*$R$130</f>
        <v>6815720.9302325612</v>
      </c>
    </row>
    <row r="136" spans="1:19" x14ac:dyDescent="0.35">
      <c r="D136" s="2"/>
      <c r="E136" s="2"/>
      <c r="G136" s="2"/>
      <c r="M136" t="s">
        <v>216</v>
      </c>
      <c r="N136" s="34">
        <v>0.03</v>
      </c>
      <c r="O136" s="2">
        <f t="shared" si="27"/>
        <v>4381534.8837209316</v>
      </c>
      <c r="Q136" s="118"/>
    </row>
    <row r="137" spans="1:19" s="202" customFormat="1" x14ac:dyDescent="0.35">
      <c r="A137" s="202" t="s">
        <v>318</v>
      </c>
      <c r="B137" s="202">
        <v>2380</v>
      </c>
      <c r="C137" s="203">
        <f>B137*F137</f>
        <v>2317345116.2790704</v>
      </c>
      <c r="D137" s="202">
        <f>'[2]GAP analysis Sc. 2'!$C$92</f>
        <v>1</v>
      </c>
      <c r="E137" s="202">
        <f>'[1]Conversion factors selected IV '!$O$76</f>
        <v>0.97367441860465131</v>
      </c>
      <c r="F137" s="202">
        <f>D137*E137*1000000</f>
        <v>973674.41860465135</v>
      </c>
      <c r="G137" s="202">
        <f>'LCoP 2030 HIGH'!E16</f>
        <v>2784.7747103038073</v>
      </c>
      <c r="H137" s="202">
        <f>G137*F137</f>
        <v>2711463896.9999962</v>
      </c>
      <c r="I137" s="202">
        <f>'LCoP 2030 HIGH'!H16</f>
        <v>0.223904902610877</v>
      </c>
      <c r="L137" s="202">
        <f>I137*H137</f>
        <v>607110059.79069316</v>
      </c>
      <c r="M137" s="202">
        <f>'LCoP 2030 HIGH'!F16</f>
        <v>0.51889296274252528</v>
      </c>
      <c r="O137" s="202">
        <f>M137*H137</f>
        <v>1406959534.8837214</v>
      </c>
      <c r="P137" s="202">
        <f>'LCoP 2030 HIGH'!G16</f>
        <v>0.25720213464659775</v>
      </c>
      <c r="R137" s="202">
        <f>P137*H137</f>
        <v>697394302.32558167</v>
      </c>
      <c r="S137" s="202">
        <f>L137+O137+R137</f>
        <v>2711463896.9999962</v>
      </c>
    </row>
    <row r="138" spans="1:19" s="78" customFormat="1" x14ac:dyDescent="0.35">
      <c r="C138">
        <f>C137/$C$122</f>
        <v>0.28114196940268121</v>
      </c>
      <c r="F138" s="213"/>
      <c r="G138" s="152" t="s">
        <v>180</v>
      </c>
      <c r="H138" s="2">
        <f>SUMIF($J$138:$J$147,G138,$L$138:$L$147)/$L$137</f>
        <v>2.5496752790981157E-2</v>
      </c>
      <c r="I138" s="5" t="s">
        <v>4</v>
      </c>
      <c r="J138" s="147" t="s">
        <v>179</v>
      </c>
      <c r="K138" s="6">
        <f>'Feedstock MIX per IVC'!J69</f>
        <v>363.08264113961184</v>
      </c>
      <c r="L138" s="2">
        <f t="shared" ref="L138:L147" si="28">K138*F$137</f>
        <v>353524279.51705283</v>
      </c>
      <c r="M138" s="5" t="s">
        <v>211</v>
      </c>
      <c r="N138" s="34">
        <v>0</v>
      </c>
      <c r="O138" s="2">
        <f t="shared" ref="O138:O143" si="29">N138*O$137</f>
        <v>0</v>
      </c>
      <c r="P138" s="18" t="s">
        <v>217</v>
      </c>
      <c r="Q138" s="34">
        <v>0.25</v>
      </c>
      <c r="R138" s="2">
        <f>Q138*R$137</f>
        <v>174348575.58139542</v>
      </c>
    </row>
    <row r="139" spans="1:19" x14ac:dyDescent="0.35">
      <c r="G139" s="150" t="s">
        <v>178</v>
      </c>
      <c r="H139" s="2">
        <f>SUMIF($J$138:$J$147,G139,$L$138:$L$147)/$L$137</f>
        <v>1.3783079502860895E-2</v>
      </c>
      <c r="I139" s="5" t="s">
        <v>5</v>
      </c>
      <c r="J139" s="147" t="s">
        <v>179</v>
      </c>
      <c r="K139" s="6">
        <f>'Feedstock MIX per IVC'!J70</f>
        <v>16.946224660144196</v>
      </c>
      <c r="L139" s="2">
        <f t="shared" si="28"/>
        <v>16500105.443509705</v>
      </c>
      <c r="M139" t="s">
        <v>212</v>
      </c>
      <c r="N139" s="34">
        <v>0.02</v>
      </c>
      <c r="O139" s="2">
        <f t="shared" si="29"/>
        <v>28139190.697674427</v>
      </c>
      <c r="P139" s="18" t="s">
        <v>177</v>
      </c>
      <c r="Q139" s="34">
        <v>0.15</v>
      </c>
      <c r="R139" s="2">
        <f>Q139*R$137</f>
        <v>104609145.34883724</v>
      </c>
    </row>
    <row r="140" spans="1:19" x14ac:dyDescent="0.35">
      <c r="G140" s="147" t="s">
        <v>179</v>
      </c>
      <c r="H140" s="2">
        <f t="shared" ref="H140:H142" si="30">SUMIF($J$138:$J$147,G140,$L$138:$L$147)/$L$137</f>
        <v>0.6538243585329101</v>
      </c>
      <c r="I140" s="5" t="s">
        <v>22</v>
      </c>
      <c r="J140" s="152" t="s">
        <v>180</v>
      </c>
      <c r="K140" s="6">
        <f>'Feedstock MIX per IVC'!J71</f>
        <v>0</v>
      </c>
      <c r="L140" s="2">
        <f t="shared" si="28"/>
        <v>0</v>
      </c>
      <c r="M140" s="5" t="s">
        <v>210</v>
      </c>
      <c r="N140" s="34">
        <v>0.55000000000000004</v>
      </c>
      <c r="O140" s="2">
        <f t="shared" si="29"/>
        <v>773827744.18604684</v>
      </c>
      <c r="P140" s="18" t="s">
        <v>218</v>
      </c>
      <c r="Q140" s="34">
        <v>0.3</v>
      </c>
      <c r="R140" s="2">
        <f>Q140*R$137</f>
        <v>209218290.69767448</v>
      </c>
    </row>
    <row r="141" spans="1:19" x14ac:dyDescent="0.35">
      <c r="G141" s="171" t="s">
        <v>222</v>
      </c>
      <c r="H141" s="2">
        <f t="shared" si="30"/>
        <v>0.14132773121820577</v>
      </c>
      <c r="I141" s="5" t="s">
        <v>6</v>
      </c>
      <c r="J141" s="150" t="s">
        <v>178</v>
      </c>
      <c r="K141" s="6">
        <f>'Feedstock MIX per IVC'!J72</f>
        <v>8.5940906541156838</v>
      </c>
      <c r="L141" s="2">
        <f t="shared" si="28"/>
        <v>8367846.2210817561</v>
      </c>
      <c r="M141" t="s">
        <v>213</v>
      </c>
      <c r="N141" s="34">
        <v>0.1</v>
      </c>
      <c r="O141" s="2">
        <f t="shared" si="29"/>
        <v>140695953.48837215</v>
      </c>
      <c r="P141" s="18" t="s">
        <v>219</v>
      </c>
      <c r="Q141" s="34">
        <v>0.3</v>
      </c>
      <c r="R141" s="2">
        <f>Q141*R$137</f>
        <v>209218290.69767448</v>
      </c>
    </row>
    <row r="142" spans="1:19" s="78" customFormat="1" x14ac:dyDescent="0.35">
      <c r="F142" s="213"/>
      <c r="G142" s="149" t="s">
        <v>176</v>
      </c>
      <c r="H142" s="2">
        <f t="shared" si="30"/>
        <v>0.16319317645645207</v>
      </c>
      <c r="I142" s="5" t="s">
        <v>7</v>
      </c>
      <c r="J142" s="147" t="s">
        <v>179</v>
      </c>
      <c r="K142" s="6">
        <f>'Feedstock MIX per IVC'!J73</f>
        <v>16.238016457978244</v>
      </c>
      <c r="L142" s="2">
        <f t="shared" si="28"/>
        <v>15810541.234014727</v>
      </c>
      <c r="M142" t="s">
        <v>214</v>
      </c>
      <c r="N142" s="34">
        <v>0.3</v>
      </c>
      <c r="O142" s="2">
        <f t="shared" si="29"/>
        <v>422087860.46511638</v>
      </c>
      <c r="P142" s="18" t="s">
        <v>220</v>
      </c>
      <c r="Q142" s="223">
        <v>0</v>
      </c>
      <c r="R142" s="2">
        <f>Q142*R$137</f>
        <v>0</v>
      </c>
    </row>
    <row r="143" spans="1:19" x14ac:dyDescent="0.35">
      <c r="G143" s="151" t="s">
        <v>77</v>
      </c>
      <c r="H143" s="243">
        <f>SUMIF($J$138:$J$147,G143,$L$138:$L$147)/$L$137/2</f>
        <v>1.1874507492949358E-3</v>
      </c>
      <c r="I143" s="5" t="s">
        <v>8</v>
      </c>
      <c r="J143" s="147" t="s">
        <v>179</v>
      </c>
      <c r="K143" s="6">
        <f>'Feedstock MIX per IVC'!J74</f>
        <v>11.408761486071064</v>
      </c>
      <c r="L143" s="2">
        <f t="shared" si="28"/>
        <v>11108419.206949381</v>
      </c>
      <c r="M143" t="s">
        <v>216</v>
      </c>
      <c r="N143" s="34">
        <v>0.03</v>
      </c>
      <c r="O143" s="2">
        <f t="shared" si="29"/>
        <v>42208786.046511643</v>
      </c>
    </row>
    <row r="144" spans="1:19" x14ac:dyDescent="0.35">
      <c r="G144" s="190" t="s">
        <v>377</v>
      </c>
      <c r="H144" s="2">
        <f>H143</f>
        <v>1.1874507492949358E-3</v>
      </c>
      <c r="I144" s="5" t="s">
        <v>9</v>
      </c>
      <c r="J144" s="171" t="s">
        <v>222</v>
      </c>
      <c r="K144" s="6">
        <f>'Feedstock MIX per IVC'!J75</f>
        <v>88.121332665726072</v>
      </c>
      <c r="L144" s="2">
        <f t="shared" si="28"/>
        <v>85801487.349967912</v>
      </c>
      <c r="N144" s="34"/>
    </row>
    <row r="145" spans="1:18" x14ac:dyDescent="0.35">
      <c r="H145" s="90">
        <f>SUM(H138:H144)</f>
        <v>0.99999999999999978</v>
      </c>
      <c r="I145" s="5" t="s">
        <v>10</v>
      </c>
      <c r="J145" s="149" t="s">
        <v>176</v>
      </c>
      <c r="K145" s="6">
        <f>'Feedstock MIX per IVC'!J76</f>
        <v>101.75497807356737</v>
      </c>
      <c r="L145" s="2">
        <f t="shared" si="28"/>
        <v>99076219.115909755</v>
      </c>
    </row>
    <row r="146" spans="1:18" x14ac:dyDescent="0.35">
      <c r="I146" s="5" t="s">
        <v>11</v>
      </c>
      <c r="J146" s="152" t="s">
        <v>180</v>
      </c>
      <c r="K146" s="6">
        <f>'Feedstock MIX per IVC'!J77</f>
        <v>15.897855397684314</v>
      </c>
      <c r="L146" s="2">
        <f t="shared" si="28"/>
        <v>15479335.111401092</v>
      </c>
    </row>
    <row r="147" spans="1:18" x14ac:dyDescent="0.35">
      <c r="F147" s="31"/>
      <c r="I147" s="13" t="s">
        <v>32</v>
      </c>
      <c r="J147" s="151" t="s">
        <v>77</v>
      </c>
      <c r="K147" s="6">
        <f>'Feedstock MIX per IVC'!J78</f>
        <v>1.4808097689083273</v>
      </c>
      <c r="L147" s="2">
        <f t="shared" si="28"/>
        <v>1441826.5908059038</v>
      </c>
    </row>
    <row r="148" spans="1:18" x14ac:dyDescent="0.35">
      <c r="A148" s="78"/>
      <c r="B148" s="78"/>
      <c r="C148" s="78"/>
      <c r="D148" s="90"/>
      <c r="E148" s="90"/>
      <c r="F148" s="220"/>
      <c r="G148" s="220"/>
      <c r="L148" s="2">
        <f>SUM(L138:L147)</f>
        <v>607110059.79069293</v>
      </c>
    </row>
    <row r="149" spans="1:18" x14ac:dyDescent="0.35">
      <c r="A149" s="78"/>
      <c r="B149" s="78"/>
      <c r="C149" s="78"/>
      <c r="D149" s="90"/>
      <c r="E149" s="90"/>
      <c r="F149" s="220"/>
      <c r="G149" s="220"/>
      <c r="L149" s="2"/>
    </row>
    <row r="150" spans="1:18" s="202" customFormat="1" x14ac:dyDescent="0.35">
      <c r="A150" s="202" t="s">
        <v>332</v>
      </c>
      <c r="B150" s="202">
        <v>2380</v>
      </c>
      <c r="C150" s="202">
        <f>B150*F150</f>
        <v>5461801223.8081961</v>
      </c>
      <c r="D150" s="202">
        <f>'[2]GAP analysis Sc. 2'!$C$93</f>
        <v>2.2948744637849563</v>
      </c>
      <c r="E150" s="202">
        <f>'[1]Conversion factors selected IV '!$O$108</f>
        <v>1</v>
      </c>
      <c r="F150" s="202">
        <f>D150*E150*1000000</f>
        <v>2294874.4637849564</v>
      </c>
      <c r="G150" s="202">
        <f>'LCoP 2030 HIGH'!$E$22</f>
        <v>2005.8910815330069</v>
      </c>
      <c r="H150" s="202">
        <f>G150*F150</f>
        <v>4603268220.1440849</v>
      </c>
      <c r="I150" s="209">
        <f>'LCoP 2030 HIGH'!H22</f>
        <v>0.34312235986761452</v>
      </c>
      <c r="L150" s="202">
        <f>I150*H150</f>
        <v>1579484254.799432</v>
      </c>
      <c r="M150" s="209">
        <f>'LCoP 2030 HIGH'!F22</f>
        <v>0.34149411516226852</v>
      </c>
      <c r="O150" s="202">
        <f>M150*H150</f>
        <v>1571989007.6926949</v>
      </c>
      <c r="P150" s="209">
        <f>'LCoP 2030 HIGH'!G22</f>
        <v>0.31538352497011696</v>
      </c>
      <c r="R150" s="202">
        <f>P150*H150</f>
        <v>1451794957.6519578</v>
      </c>
    </row>
    <row r="151" spans="1:18" x14ac:dyDescent="0.35">
      <c r="A151" s="78"/>
      <c r="B151" s="78"/>
      <c r="C151">
        <f>C150/$C$122</f>
        <v>0.66262963671678254</v>
      </c>
      <c r="D151" s="90"/>
      <c r="E151" s="90"/>
      <c r="G151" s="150" t="s">
        <v>178</v>
      </c>
      <c r="H151" s="2">
        <f>SUMIF($J$151:$J$158,G151,$L$151:$L$158)/$L$150</f>
        <v>1.3572099349869228E-2</v>
      </c>
      <c r="I151" s="5" t="s">
        <v>4</v>
      </c>
      <c r="J151" s="147" t="s">
        <v>179</v>
      </c>
      <c r="K151" s="6">
        <f>'Feedstock MIX per IVC'!J111</f>
        <v>394.64713390829428</v>
      </c>
      <c r="L151" s="2">
        <f t="shared" ref="L151:L158" si="31">K151*$F$150</f>
        <v>905665629.81206667</v>
      </c>
      <c r="M151" s="5" t="s">
        <v>211</v>
      </c>
      <c r="N151" s="167">
        <v>0.15</v>
      </c>
      <c r="O151" s="2">
        <f t="shared" ref="O151:O156" si="32">N151*$O$150</f>
        <v>235798351.15390423</v>
      </c>
      <c r="P151" s="18" t="s">
        <v>217</v>
      </c>
      <c r="Q151" s="118">
        <v>0.15</v>
      </c>
      <c r="R151" s="2">
        <f>Q151*$R$150</f>
        <v>217769243.64779365</v>
      </c>
    </row>
    <row r="152" spans="1:18" x14ac:dyDescent="0.35">
      <c r="A152" s="78"/>
      <c r="B152" s="78"/>
      <c r="C152" s="78"/>
      <c r="D152" s="90"/>
      <c r="E152" s="90"/>
      <c r="G152" s="147" t="s">
        <v>179</v>
      </c>
      <c r="H152" s="2">
        <f t="shared" ref="H152:H156" si="33">SUMIF($J$151:$J$158,G152,$L$151:$L$158)/$L$150</f>
        <v>0.66945981181499725</v>
      </c>
      <c r="I152" s="5" t="s">
        <v>5</v>
      </c>
      <c r="J152" s="147" t="s">
        <v>179</v>
      </c>
      <c r="K152" s="6">
        <f>'Feedstock MIX per IVC'!J112</f>
        <v>18.419440190533358</v>
      </c>
      <c r="L152" s="2">
        <f t="shared" si="31"/>
        <v>42270302.930469312</v>
      </c>
      <c r="M152" t="s">
        <v>212</v>
      </c>
      <c r="N152" s="34">
        <v>0.02</v>
      </c>
      <c r="O152" s="2">
        <f t="shared" si="32"/>
        <v>31439780.153853897</v>
      </c>
      <c r="P152" s="18" t="s">
        <v>177</v>
      </c>
      <c r="Q152" s="118">
        <v>0.25</v>
      </c>
      <c r="R152" s="2">
        <f>Q152*$R$150</f>
        <v>362948739.41298944</v>
      </c>
    </row>
    <row r="153" spans="1:18" x14ac:dyDescent="0.35">
      <c r="A153" s="78"/>
      <c r="B153" s="78"/>
      <c r="C153" s="78"/>
      <c r="D153" s="90"/>
      <c r="E153" s="90"/>
      <c r="G153" s="171" t="s">
        <v>222</v>
      </c>
      <c r="H153" s="2">
        <f t="shared" si="33"/>
        <v>0.13513065067147684</v>
      </c>
      <c r="I153" s="5" t="s">
        <v>6</v>
      </c>
      <c r="J153" s="150" t="s">
        <v>178</v>
      </c>
      <c r="K153" s="6">
        <f>'Feedstock MIX per IVC'!J113</f>
        <v>9.3412156377111621</v>
      </c>
      <c r="L153" s="2">
        <f t="shared" si="31"/>
        <v>21436917.227692053</v>
      </c>
      <c r="M153" s="5" t="s">
        <v>210</v>
      </c>
      <c r="N153" s="167">
        <v>0.45</v>
      </c>
      <c r="O153" s="2">
        <f t="shared" si="32"/>
        <v>707395053.46171272</v>
      </c>
      <c r="P153" s="18" t="s">
        <v>218</v>
      </c>
      <c r="Q153" s="118">
        <v>0.2</v>
      </c>
      <c r="R153" s="2">
        <f>Q153*$R$150</f>
        <v>290358991.53039157</v>
      </c>
    </row>
    <row r="154" spans="1:18" x14ac:dyDescent="0.35">
      <c r="A154" s="78"/>
      <c r="B154" s="78"/>
      <c r="C154" s="78"/>
      <c r="D154" s="90"/>
      <c r="E154" s="90"/>
      <c r="G154" s="149" t="s">
        <v>176</v>
      </c>
      <c r="H154" s="2">
        <f t="shared" si="33"/>
        <v>0.16069514825246237</v>
      </c>
      <c r="I154" s="5" t="s">
        <v>7</v>
      </c>
      <c r="J154" s="147" t="s">
        <v>179</v>
      </c>
      <c r="K154" s="6">
        <f>'Feedstock MIX per IVC'!J114</f>
        <v>35.29932819362039</v>
      </c>
      <c r="L154" s="2">
        <f t="shared" si="31"/>
        <v>81007526.860303789</v>
      </c>
      <c r="M154" t="s">
        <v>213</v>
      </c>
      <c r="N154" s="34">
        <v>0.1</v>
      </c>
      <c r="O154" s="2">
        <f t="shared" si="32"/>
        <v>157198900.7692695</v>
      </c>
      <c r="P154" s="18" t="s">
        <v>219</v>
      </c>
      <c r="Q154" s="118">
        <v>0.3</v>
      </c>
      <c r="R154" s="2">
        <f>Q154*$R$150</f>
        <v>435538487.2955873</v>
      </c>
    </row>
    <row r="155" spans="1:18" x14ac:dyDescent="0.35">
      <c r="A155" s="78"/>
      <c r="B155" s="78"/>
      <c r="C155" s="78"/>
      <c r="D155" s="90"/>
      <c r="E155" s="90"/>
      <c r="G155" s="152" t="s">
        <v>180</v>
      </c>
      <c r="H155" s="2">
        <f t="shared" si="33"/>
        <v>2.114228991119451E-2</v>
      </c>
      <c r="I155" s="5" t="s">
        <v>8</v>
      </c>
      <c r="J155" s="147" t="s">
        <v>179</v>
      </c>
      <c r="K155" s="6">
        <f>'Feedstock MIX per IVC'!J115</f>
        <v>12.400579129284262</v>
      </c>
      <c r="L155" s="2">
        <f t="shared" si="31"/>
        <v>28457772.379939143</v>
      </c>
      <c r="M155" t="s">
        <v>214</v>
      </c>
      <c r="N155" s="34">
        <v>0.25</v>
      </c>
      <c r="O155" s="2">
        <f t="shared" si="32"/>
        <v>392997251.92317373</v>
      </c>
      <c r="P155" s="18" t="s">
        <v>220</v>
      </c>
      <c r="Q155" s="118">
        <v>0.1</v>
      </c>
      <c r="R155" s="2">
        <f>Q155*$R$150</f>
        <v>145179495.76519579</v>
      </c>
    </row>
    <row r="156" spans="1:18" x14ac:dyDescent="0.35">
      <c r="A156" s="78"/>
      <c r="B156" s="78"/>
      <c r="C156" s="78"/>
      <c r="D156" s="90"/>
      <c r="E156" s="90"/>
      <c r="G156" s="151" t="s">
        <v>77</v>
      </c>
      <c r="H156" s="2">
        <f t="shared" si="33"/>
        <v>0</v>
      </c>
      <c r="I156" s="5" t="s">
        <v>9</v>
      </c>
      <c r="J156" s="171" t="s">
        <v>222</v>
      </c>
      <c r="K156" s="6">
        <f>'Feedstock MIX per IVC'!J116</f>
        <v>93.005843432662942</v>
      </c>
      <c r="L156" s="2">
        <f t="shared" si="31"/>
        <v>213436735.07639998</v>
      </c>
      <c r="M156" t="s">
        <v>216</v>
      </c>
      <c r="N156" s="34">
        <v>0.03</v>
      </c>
      <c r="O156" s="2">
        <f t="shared" si="32"/>
        <v>47159670.230780847</v>
      </c>
      <c r="Q156" s="34"/>
      <c r="R156" s="2"/>
    </row>
    <row r="157" spans="1:18" x14ac:dyDescent="0.35">
      <c r="A157" s="78"/>
      <c r="B157" s="78"/>
      <c r="C157" s="78"/>
      <c r="D157" s="90"/>
      <c r="E157" s="90"/>
      <c r="G157" s="213"/>
      <c r="H157" s="276">
        <f>SUM(H151:H156)</f>
        <v>1.0000000000000002</v>
      </c>
      <c r="I157" s="5" t="s">
        <v>10</v>
      </c>
      <c r="J157" s="149" t="s">
        <v>176</v>
      </c>
      <c r="K157" s="6">
        <f>'Feedstock MIX per IVC'!J117</f>
        <v>110.60102000908789</v>
      </c>
      <c r="L157" s="2">
        <f t="shared" si="31"/>
        <v>253815456.48742479</v>
      </c>
      <c r="M157" s="2"/>
      <c r="R157" s="2"/>
    </row>
    <row r="158" spans="1:18" x14ac:dyDescent="0.35">
      <c r="A158" s="78"/>
      <c r="B158" s="78"/>
      <c r="C158" s="78"/>
      <c r="D158" s="90"/>
      <c r="E158" s="90"/>
      <c r="F158" s="213"/>
      <c r="G158" s="213"/>
      <c r="I158" s="5" t="s">
        <v>11</v>
      </c>
      <c r="J158" s="152" t="s">
        <v>180</v>
      </c>
      <c r="K158" s="6">
        <f>'Feedstock MIX per IVC'!J118</f>
        <v>14.551521031812669</v>
      </c>
      <c r="L158" s="2">
        <f t="shared" si="31"/>
        <v>33393914.025136612</v>
      </c>
    </row>
    <row r="159" spans="1:18" x14ac:dyDescent="0.35">
      <c r="A159" s="78"/>
      <c r="B159" s="78"/>
      <c r="C159" s="78"/>
      <c r="D159" s="90"/>
      <c r="E159" s="90"/>
      <c r="F159" s="213"/>
      <c r="G159" s="213"/>
      <c r="I159" s="78"/>
      <c r="J159" s="78"/>
      <c r="K159" s="78"/>
      <c r="L159" s="2">
        <f>SUM(L151:L158)</f>
        <v>1579484254.7994325</v>
      </c>
      <c r="M159" s="78"/>
      <c r="N159" s="78"/>
      <c r="O159" s="2">
        <f>SUM(O151:O158)</f>
        <v>1571989007.6926949</v>
      </c>
      <c r="P159" s="78"/>
      <c r="Q159" s="78"/>
      <c r="R159" s="2">
        <f>SUM(R151:R158)</f>
        <v>1451794957.651958</v>
      </c>
    </row>
    <row r="160" spans="1:18" x14ac:dyDescent="0.35">
      <c r="A160" s="78"/>
      <c r="B160" s="78"/>
      <c r="C160" s="78"/>
      <c r="D160" s="90"/>
      <c r="E160" s="90"/>
      <c r="F160" s="220"/>
      <c r="G160" s="220"/>
      <c r="J160" s="152" t="s">
        <v>180</v>
      </c>
      <c r="L160" s="2">
        <f>L140+L146</f>
        <v>15479335.111401092</v>
      </c>
      <c r="M160" s="5" t="s">
        <v>211</v>
      </c>
      <c r="O160" s="2">
        <f t="shared" ref="O160:O165" si="34">O124+O138</f>
        <v>0</v>
      </c>
      <c r="P160" s="18" t="s">
        <v>217</v>
      </c>
      <c r="R160" s="2">
        <f>R124+R138</f>
        <v>174348575.58139542</v>
      </c>
    </row>
    <row r="161" spans="1:18" x14ac:dyDescent="0.35">
      <c r="A161" s="78"/>
      <c r="B161" s="78"/>
      <c r="C161" s="78"/>
      <c r="D161" s="90"/>
      <c r="E161" s="90"/>
      <c r="F161" s="220"/>
      <c r="G161" s="220"/>
      <c r="J161" s="150" t="s">
        <v>178</v>
      </c>
      <c r="L161" s="2">
        <f>L141</f>
        <v>8367846.2210817561</v>
      </c>
      <c r="M161" t="s">
        <v>212</v>
      </c>
      <c r="O161" s="2">
        <f t="shared" si="34"/>
        <v>28139190.697674427</v>
      </c>
      <c r="P161" s="18" t="s">
        <v>177</v>
      </c>
      <c r="R161" s="2">
        <f>R125+R139</f>
        <v>104609145.34883724</v>
      </c>
    </row>
    <row r="162" spans="1:18" x14ac:dyDescent="0.35">
      <c r="A162" s="78"/>
      <c r="B162" s="78"/>
      <c r="C162" s="78"/>
      <c r="D162" s="90"/>
      <c r="E162" s="90"/>
      <c r="F162" s="220"/>
      <c r="G162" s="220"/>
      <c r="J162" s="147" t="s">
        <v>179</v>
      </c>
      <c r="L162" s="2">
        <f>L124+L125+L138+L139+L142+L143</f>
        <v>396943345.40152663</v>
      </c>
      <c r="M162" s="5" t="s">
        <v>210</v>
      </c>
      <c r="O162" s="2">
        <f t="shared" si="34"/>
        <v>773827744.18604684</v>
      </c>
      <c r="P162" s="18" t="s">
        <v>218</v>
      </c>
      <c r="R162" s="2">
        <f>R126+R140</f>
        <v>209218290.69767448</v>
      </c>
    </row>
    <row r="163" spans="1:18" x14ac:dyDescent="0.35">
      <c r="A163" s="78"/>
      <c r="B163" s="78"/>
      <c r="C163" s="78"/>
      <c r="D163" s="90"/>
      <c r="E163" s="90"/>
      <c r="F163" s="220"/>
      <c r="G163" s="220"/>
      <c r="J163" s="171" t="s">
        <v>222</v>
      </c>
      <c r="L163" s="2">
        <f>L144</f>
        <v>85801487.349967912</v>
      </c>
      <c r="M163" t="s">
        <v>213</v>
      </c>
      <c r="O163" s="2">
        <f t="shared" si="34"/>
        <v>140695953.48837215</v>
      </c>
      <c r="P163" s="18" t="s">
        <v>219</v>
      </c>
      <c r="R163" s="2">
        <f>R127+R141</f>
        <v>209218290.69767448</v>
      </c>
    </row>
    <row r="164" spans="1:18" x14ac:dyDescent="0.35">
      <c r="A164" s="78"/>
      <c r="B164" s="78"/>
      <c r="C164" s="78"/>
      <c r="D164" s="90"/>
      <c r="E164" s="90"/>
      <c r="F164" s="220"/>
      <c r="G164" s="220"/>
      <c r="J164" s="149" t="s">
        <v>176</v>
      </c>
      <c r="L164" s="2">
        <f>L145</f>
        <v>99076219.115909755</v>
      </c>
      <c r="M164" t="s">
        <v>214</v>
      </c>
      <c r="O164" s="2">
        <f t="shared" si="34"/>
        <v>422087860.46511638</v>
      </c>
      <c r="P164" s="18" t="s">
        <v>220</v>
      </c>
      <c r="R164" s="2">
        <f>R128+R142</f>
        <v>0</v>
      </c>
    </row>
    <row r="165" spans="1:18" x14ac:dyDescent="0.35">
      <c r="A165" s="78"/>
      <c r="B165" s="78"/>
      <c r="C165" s="78"/>
      <c r="D165" s="90"/>
      <c r="E165" s="90"/>
      <c r="F165" s="220"/>
      <c r="G165" s="220"/>
      <c r="J165" s="18" t="s">
        <v>177</v>
      </c>
      <c r="L165" s="2">
        <f>L127+L147</f>
        <v>1441826.5908059038</v>
      </c>
      <c r="M165" t="s">
        <v>216</v>
      </c>
      <c r="O165" s="2">
        <f t="shared" si="34"/>
        <v>42208786.046511643</v>
      </c>
    </row>
    <row r="166" spans="1:18" x14ac:dyDescent="0.35">
      <c r="A166" s="78"/>
      <c r="B166" s="78"/>
      <c r="C166" s="78"/>
      <c r="D166" s="90"/>
      <c r="E166" s="90"/>
      <c r="F166" s="220"/>
      <c r="G166" s="220"/>
      <c r="J166" s="190" t="s">
        <v>302</v>
      </c>
      <c r="L166" s="2">
        <f>L126</f>
        <v>0</v>
      </c>
    </row>
    <row r="167" spans="1:18" x14ac:dyDescent="0.35">
      <c r="A167" s="78"/>
      <c r="B167" s="78"/>
      <c r="C167" s="78"/>
      <c r="D167" s="90"/>
      <c r="E167" s="90"/>
      <c r="F167" s="220"/>
      <c r="G167" s="220"/>
      <c r="I167" t="s">
        <v>319</v>
      </c>
      <c r="L167" s="2">
        <f>SUM(L160:L166)</f>
        <v>607110059.79069304</v>
      </c>
      <c r="O167" s="2">
        <f>SUM(O160:O166)</f>
        <v>1406959534.8837214</v>
      </c>
      <c r="R167" s="2">
        <f>SUM(R160:R166)</f>
        <v>697394302.32558167</v>
      </c>
    </row>
    <row r="168" spans="1:18" s="91" customFormat="1" ht="34" customHeight="1" x14ac:dyDescent="0.35">
      <c r="A168" s="91" t="s">
        <v>81</v>
      </c>
      <c r="F168" s="169"/>
    </row>
    <row r="169" spans="1:18" ht="19" customHeight="1" x14ac:dyDescent="0.35">
      <c r="C169" s="2">
        <f>C170+C181+C189</f>
        <v>6854139144.7150841</v>
      </c>
      <c r="D169" s="2">
        <f>D170+D181+D189</f>
        <v>4.1643700363588412</v>
      </c>
      <c r="E169" s="2"/>
      <c r="F169" s="2">
        <f>F170+F181+F189</f>
        <v>6961241.2170218695</v>
      </c>
    </row>
    <row r="170" spans="1:18" s="202" customFormat="1" x14ac:dyDescent="0.35">
      <c r="A170" s="202" t="s">
        <v>309</v>
      </c>
      <c r="B170" s="202">
        <v>935</v>
      </c>
      <c r="C170" s="203">
        <f>B170*F170</f>
        <v>2185749071.3352599</v>
      </c>
      <c r="D170" s="202">
        <f>'[2]GAP analysis Sc. 2'!$C$84</f>
        <v>1.1166998860872441</v>
      </c>
      <c r="E170" s="202">
        <f>'[1]Conversion factors selected IV '!$O$49</f>
        <v>2.0934000000000004</v>
      </c>
      <c r="F170" s="202">
        <f>D170*E170*1000000</f>
        <v>2337699.5415350376</v>
      </c>
      <c r="G170" s="202">
        <f>'LCoP 2030 HIGH'!E10</f>
        <v>559.18457111316229</v>
      </c>
      <c r="H170" s="202">
        <f>G170*F170</f>
        <v>1307205515.5247061</v>
      </c>
      <c r="I170" s="202">
        <f>'LCoP 2030 HIGH'!H10</f>
        <v>0.24801215605266894</v>
      </c>
      <c r="L170" s="202">
        <f>I170*H170</f>
        <v>324202858.30922294</v>
      </c>
      <c r="M170" s="202">
        <f>'LCoP 2030 HIGH'!F10</f>
        <v>0.50251744149631405</v>
      </c>
      <c r="O170" s="202">
        <f>M170*H170</f>
        <v>656893571.17134559</v>
      </c>
      <c r="P170" s="202">
        <f>'LCoP 2030 HIGH'!G10</f>
        <v>0.24947040245101712</v>
      </c>
      <c r="R170" s="202">
        <f>P170*H170</f>
        <v>326109086.04413772</v>
      </c>
    </row>
    <row r="171" spans="1:18" x14ac:dyDescent="0.35">
      <c r="C171">
        <f>C170/$C$169</f>
        <v>0.3188947620096963</v>
      </c>
      <c r="D171" s="2"/>
      <c r="E171" s="2"/>
      <c r="G171" s="150" t="s">
        <v>178</v>
      </c>
      <c r="H171" s="2">
        <f>SUMIF($J$171:$J$180,G171,$L$171:$L$180)/$L$170</f>
        <v>1.2636880695426444E-2</v>
      </c>
      <c r="I171" s="5" t="s">
        <v>4</v>
      </c>
      <c r="J171" s="147" t="s">
        <v>179</v>
      </c>
      <c r="K171" s="6">
        <f>'Feedstock MIX per IVC'!J30</f>
        <v>74.041223822910666</v>
      </c>
      <c r="L171" s="2">
        <f t="shared" ref="L171:L180" si="35">K171*F$170</f>
        <v>173086134.98551136</v>
      </c>
      <c r="M171" s="5" t="s">
        <v>211</v>
      </c>
      <c r="N171" s="34">
        <v>0</v>
      </c>
      <c r="O171" s="2">
        <f t="shared" ref="O171:O176" si="36">N171*O$170</f>
        <v>0</v>
      </c>
      <c r="P171" s="18" t="s">
        <v>217</v>
      </c>
      <c r="Q171" s="34">
        <v>0.25</v>
      </c>
      <c r="R171" s="2">
        <f>Q171*R$170</f>
        <v>81527271.511034429</v>
      </c>
    </row>
    <row r="172" spans="1:18" x14ac:dyDescent="0.35">
      <c r="D172" s="2"/>
      <c r="E172" s="2"/>
      <c r="G172" s="147" t="s">
        <v>179</v>
      </c>
      <c r="H172" s="2">
        <f t="shared" ref="H172:H175" si="37">SUMIF($J$171:$J$180,G172,$L$171:$L$180)/$L$170</f>
        <v>0.59945242373659213</v>
      </c>
      <c r="I172" s="5" t="s">
        <v>5</v>
      </c>
      <c r="J172" s="147" t="s">
        <v>179</v>
      </c>
      <c r="K172" s="6">
        <f>'Feedstock MIX per IVC'!J31</f>
        <v>3.4557400185171687</v>
      </c>
      <c r="L172" s="2">
        <f t="shared" si="35"/>
        <v>8078481.8569518672</v>
      </c>
      <c r="M172" t="s">
        <v>212</v>
      </c>
      <c r="N172" s="34">
        <v>0.02</v>
      </c>
      <c r="O172" s="2">
        <f t="shared" si="36"/>
        <v>13137871.423426911</v>
      </c>
      <c r="P172" s="18" t="s">
        <v>177</v>
      </c>
      <c r="Q172" s="34">
        <v>0.15</v>
      </c>
      <c r="R172" s="2">
        <f>Q172*R$170</f>
        <v>48916362.906620659</v>
      </c>
    </row>
    <row r="173" spans="1:18" x14ac:dyDescent="0.35">
      <c r="D173" s="2"/>
      <c r="E173" s="2"/>
      <c r="G173" s="171" t="s">
        <v>222</v>
      </c>
      <c r="H173" s="2">
        <f t="shared" si="37"/>
        <v>0.12957493845907661</v>
      </c>
      <c r="I173" s="5" t="s">
        <v>22</v>
      </c>
      <c r="J173" s="152" t="s">
        <v>180</v>
      </c>
      <c r="K173" s="6">
        <f>'Feedstock MIX per IVC'!J32</f>
        <v>0</v>
      </c>
      <c r="L173" s="2">
        <f t="shared" si="35"/>
        <v>0</v>
      </c>
      <c r="M173" s="5" t="s">
        <v>210</v>
      </c>
      <c r="N173" s="34">
        <v>0.55000000000000004</v>
      </c>
      <c r="O173" s="2">
        <f t="shared" si="36"/>
        <v>361291464.14424008</v>
      </c>
      <c r="P173" s="18" t="s">
        <v>218</v>
      </c>
      <c r="Q173" s="34">
        <v>0.3</v>
      </c>
      <c r="R173" s="2">
        <f>Q173*R$170</f>
        <v>97832725.813241318</v>
      </c>
    </row>
    <row r="174" spans="1:18" x14ac:dyDescent="0.35">
      <c r="D174" s="2"/>
      <c r="E174" s="2"/>
      <c r="G174" s="149" t="s">
        <v>176</v>
      </c>
      <c r="H174" s="2">
        <f t="shared" si="37"/>
        <v>0.14962205657740035</v>
      </c>
      <c r="I174" s="5" t="s">
        <v>6</v>
      </c>
      <c r="J174" s="150" t="s">
        <v>178</v>
      </c>
      <c r="K174" s="6">
        <f>'Feedstock MIX per IVC'!J33</f>
        <v>1.7525403794534171</v>
      </c>
      <c r="L174" s="2">
        <f t="shared" si="35"/>
        <v>4096912.841569894</v>
      </c>
      <c r="M174" t="s">
        <v>213</v>
      </c>
      <c r="N174" s="34">
        <v>0.1</v>
      </c>
      <c r="O174" s="2">
        <f t="shared" si="36"/>
        <v>65689357.117134564</v>
      </c>
      <c r="P174" s="18" t="s">
        <v>219</v>
      </c>
      <c r="Q174" s="34">
        <v>0.3</v>
      </c>
      <c r="R174" s="2">
        <f>Q174*R$170</f>
        <v>97832725.813241318</v>
      </c>
    </row>
    <row r="175" spans="1:18" x14ac:dyDescent="0.35">
      <c r="D175" s="2"/>
      <c r="E175" s="2"/>
      <c r="G175" s="152" t="s">
        <v>180</v>
      </c>
      <c r="H175" s="2">
        <f t="shared" si="37"/>
        <v>2.3376446684032576E-2</v>
      </c>
      <c r="I175" s="5" t="s">
        <v>7</v>
      </c>
      <c r="J175" s="147" t="s">
        <v>179</v>
      </c>
      <c r="K175" s="6">
        <f>'Feedstock MIX per IVC'!J34</f>
        <v>3.3113194484640065</v>
      </c>
      <c r="L175" s="2">
        <f t="shared" si="35"/>
        <v>7740869.9565503616</v>
      </c>
      <c r="M175" t="s">
        <v>214</v>
      </c>
      <c r="N175" s="34">
        <v>0.3</v>
      </c>
      <c r="O175" s="2">
        <f t="shared" si="36"/>
        <v>197068071.35140368</v>
      </c>
      <c r="P175" s="18" t="s">
        <v>220</v>
      </c>
      <c r="Q175" s="223">
        <v>0</v>
      </c>
      <c r="R175" s="2">
        <f>Q175*R$170</f>
        <v>0</v>
      </c>
    </row>
    <row r="176" spans="1:18" x14ac:dyDescent="0.35">
      <c r="D176" s="2"/>
      <c r="E176" s="2"/>
      <c r="G176" s="190" t="s">
        <v>377</v>
      </c>
      <c r="H176" s="2">
        <f>SUMIF($J$171:$J$180,G176,$L$171:$L$180)/$L$170/2</f>
        <v>4.2668626923736026E-2</v>
      </c>
      <c r="I176" s="5" t="s">
        <v>8</v>
      </c>
      <c r="J176" s="147" t="s">
        <v>179</v>
      </c>
      <c r="K176" s="6">
        <f>'Feedstock MIX per IVC'!J35</f>
        <v>2.3265189987630972</v>
      </c>
      <c r="L176" s="2">
        <f t="shared" si="35"/>
        <v>5438702.3967810469</v>
      </c>
      <c r="M176" t="s">
        <v>216</v>
      </c>
      <c r="N176" s="34">
        <v>0.03</v>
      </c>
      <c r="O176" s="2">
        <f t="shared" si="36"/>
        <v>19706807.135140367</v>
      </c>
    </row>
    <row r="177" spans="1:19" x14ac:dyDescent="0.35">
      <c r="D177" s="2"/>
      <c r="E177" s="2"/>
      <c r="G177" s="151" t="s">
        <v>77</v>
      </c>
      <c r="H177" s="2">
        <f>H176</f>
        <v>4.2668626923736026E-2</v>
      </c>
      <c r="I177" s="5" t="s">
        <v>9</v>
      </c>
      <c r="J177" s="171" t="s">
        <v>222</v>
      </c>
      <c r="K177" s="6">
        <f>'Feedstock MIX per IVC'!J36</f>
        <v>17.970044767211444</v>
      </c>
      <c r="L177" s="2">
        <f t="shared" si="35"/>
        <v>42008565.413674295</v>
      </c>
      <c r="M177" s="2"/>
    </row>
    <row r="178" spans="1:19" x14ac:dyDescent="0.35">
      <c r="D178" s="2"/>
      <c r="E178" s="2"/>
      <c r="G178" s="2"/>
      <c r="H178" s="276">
        <f>SUM(H171:H177)</f>
        <v>1.0000000000000002</v>
      </c>
      <c r="I178" s="5" t="s">
        <v>10</v>
      </c>
      <c r="J178" s="149" t="s">
        <v>176</v>
      </c>
      <c r="K178" s="6">
        <f>'Feedstock MIX per IVC'!J37</f>
        <v>20.750270745506079</v>
      </c>
      <c r="L178" s="2">
        <f t="shared" si="35"/>
        <v>48507898.40849746</v>
      </c>
    </row>
    <row r="179" spans="1:19" s="31" customFormat="1" x14ac:dyDescent="0.35">
      <c r="I179" s="5" t="s">
        <v>11</v>
      </c>
      <c r="J179" s="152" t="s">
        <v>180</v>
      </c>
      <c r="K179" s="6">
        <f>'Feedstock MIX per IVC'!J38</f>
        <v>3.2419524825247641</v>
      </c>
      <c r="L179" s="2">
        <f t="shared" si="35"/>
        <v>7578710.8320765179</v>
      </c>
    </row>
    <row r="180" spans="1:19" x14ac:dyDescent="0.35">
      <c r="D180" s="2"/>
      <c r="E180" s="2"/>
      <c r="I180" s="13" t="s">
        <v>25</v>
      </c>
      <c r="J180" s="190" t="s">
        <v>377</v>
      </c>
      <c r="K180" s="6">
        <f>'Feedstock MIX per IVC'!J39</f>
        <v>11.834960449811724</v>
      </c>
      <c r="L180" s="2">
        <f t="shared" si="35"/>
        <v>27666581.617610171</v>
      </c>
    </row>
    <row r="181" spans="1:19" s="202" customFormat="1" x14ac:dyDescent="0.35">
      <c r="A181" s="202" t="s">
        <v>27</v>
      </c>
      <c r="B181" s="202">
        <v>935</v>
      </c>
      <c r="C181" s="203">
        <f>B181*F181</f>
        <v>2821016130.0329347</v>
      </c>
      <c r="D181" s="202">
        <f>'[2]GAP analysis Sc. 2'!$C$85+'[2]GAP analysis Sc. 2'!$F$91</f>
        <v>1.4412580256221279</v>
      </c>
      <c r="E181" s="202">
        <f>'[1]Conversion factors selected IV '!$O$49</f>
        <v>2.0934000000000004</v>
      </c>
      <c r="F181" s="202">
        <f>D181*E181*1000000</f>
        <v>3017129.5508373631</v>
      </c>
      <c r="G181" s="202">
        <f>'LCoP 2030 HIGH'!E11</f>
        <v>936</v>
      </c>
      <c r="H181" s="202">
        <f>G181*F181</f>
        <v>2824033259.5837717</v>
      </c>
      <c r="I181" s="202">
        <f>'LCoP 2030 HIGH'!H11</f>
        <v>0.75641025641025639</v>
      </c>
      <c r="L181" s="202">
        <f>I181*H181</f>
        <v>2136127721.9928529</v>
      </c>
      <c r="M181" s="202">
        <f>'LCoP 2030 HIGH'!F11</f>
        <v>0.14529914529914531</v>
      </c>
      <c r="O181" s="202">
        <f>M181*H181</f>
        <v>410329618.91388136</v>
      </c>
      <c r="P181" s="202">
        <f>'LCoP 2030 HIGH'!G11</f>
        <v>9.8290598290598288E-2</v>
      </c>
      <c r="R181" s="202">
        <f>P181*H181</f>
        <v>277575918.67703736</v>
      </c>
      <c r="S181" s="202">
        <f>I181+M181+P181</f>
        <v>1</v>
      </c>
    </row>
    <row r="182" spans="1:19" x14ac:dyDescent="0.35">
      <c r="C182">
        <f>C181/$C$169</f>
        <v>0.41157847403901804</v>
      </c>
      <c r="G182" s="151" t="s">
        <v>79</v>
      </c>
      <c r="H182">
        <v>1</v>
      </c>
      <c r="I182" s="13" t="s">
        <v>28</v>
      </c>
      <c r="J182" s="151" t="s">
        <v>79</v>
      </c>
      <c r="L182" s="2">
        <f>L181</f>
        <v>2136127721.9928529</v>
      </c>
      <c r="M182" s="5" t="s">
        <v>211</v>
      </c>
      <c r="N182" s="34">
        <v>0</v>
      </c>
      <c r="O182" s="2">
        <f t="shared" ref="O182:O187" si="38">N182*O$181</f>
        <v>0</v>
      </c>
      <c r="P182" s="18" t="s">
        <v>217</v>
      </c>
      <c r="Q182" s="34">
        <v>0.25</v>
      </c>
      <c r="R182" s="2">
        <f>Q182*R181</f>
        <v>69393979.66925934</v>
      </c>
    </row>
    <row r="183" spans="1:19" x14ac:dyDescent="0.35">
      <c r="M183" t="s">
        <v>212</v>
      </c>
      <c r="N183" s="34">
        <v>0.02</v>
      </c>
      <c r="O183" s="2">
        <f t="shared" si="38"/>
        <v>8206592.3782776278</v>
      </c>
      <c r="P183" s="18" t="s">
        <v>177</v>
      </c>
      <c r="Q183" s="34">
        <v>0.15</v>
      </c>
      <c r="R183" s="2">
        <f>Q183*R182</f>
        <v>10409096.950388901</v>
      </c>
    </row>
    <row r="184" spans="1:19" x14ac:dyDescent="0.35">
      <c r="M184" s="5" t="s">
        <v>210</v>
      </c>
      <c r="N184" s="34">
        <v>0.55000000000000004</v>
      </c>
      <c r="O184" s="2">
        <f t="shared" si="38"/>
        <v>225681290.40263477</v>
      </c>
      <c r="P184" s="18" t="s">
        <v>218</v>
      </c>
      <c r="Q184" s="34">
        <v>0.3</v>
      </c>
      <c r="R184" s="2">
        <f>Q184*R183</f>
        <v>3122729.08511667</v>
      </c>
    </row>
    <row r="185" spans="1:19" x14ac:dyDescent="0.35">
      <c r="M185" t="s">
        <v>213</v>
      </c>
      <c r="N185" s="34">
        <v>0.1</v>
      </c>
      <c r="O185" s="2">
        <f t="shared" si="38"/>
        <v>41032961.891388141</v>
      </c>
      <c r="P185" s="18" t="s">
        <v>219</v>
      </c>
      <c r="Q185" s="34">
        <v>0.3</v>
      </c>
      <c r="R185" s="2">
        <f>Q185*R184</f>
        <v>936818.72553500102</v>
      </c>
    </row>
    <row r="186" spans="1:19" x14ac:dyDescent="0.35">
      <c r="M186" t="s">
        <v>214</v>
      </c>
      <c r="N186" s="34">
        <v>0.3</v>
      </c>
      <c r="O186" s="2">
        <f t="shared" si="38"/>
        <v>123098885.6741644</v>
      </c>
      <c r="P186" s="18" t="s">
        <v>220</v>
      </c>
      <c r="Q186" s="223">
        <v>0</v>
      </c>
      <c r="R186" s="2">
        <f>Q186*R185</f>
        <v>0</v>
      </c>
    </row>
    <row r="187" spans="1:19" x14ac:dyDescent="0.35">
      <c r="M187" t="s">
        <v>216</v>
      </c>
      <c r="N187" s="34">
        <v>0.03</v>
      </c>
      <c r="O187" s="2">
        <f t="shared" si="38"/>
        <v>12309888.567416441</v>
      </c>
    </row>
    <row r="189" spans="1:19" x14ac:dyDescent="0.35">
      <c r="A189" s="201" t="s">
        <v>296</v>
      </c>
      <c r="B189" s="201">
        <v>1150</v>
      </c>
      <c r="C189" s="203">
        <f>B189*F189</f>
        <v>1847373943.3468897</v>
      </c>
      <c r="D189" s="208">
        <f>'[2]GAP analysis Sc. 2'!$C$82</f>
        <v>1.6064121246494694</v>
      </c>
      <c r="E189" s="208">
        <f>'[1]Conversion factors selected IV '!$O$125</f>
        <v>1</v>
      </c>
      <c r="F189" s="202">
        <f>D189*E189*1000000</f>
        <v>1606412.1246494693</v>
      </c>
      <c r="G189" s="208">
        <f>'LCoP 2030 HIGH'!E22</f>
        <v>2005.8910815330069</v>
      </c>
      <c r="H189" s="203">
        <f>G189*F189</f>
        <v>3222287754.1008592</v>
      </c>
      <c r="I189" s="203">
        <f>'LCoP 2030 HIGH'!H22</f>
        <v>0.34312235986761452</v>
      </c>
      <c r="J189" s="201"/>
      <c r="K189" s="201"/>
      <c r="L189" s="202">
        <f>I189*H189</f>
        <v>1105638978.3596025</v>
      </c>
      <c r="M189" s="203">
        <f>'LCoP 2030 HIGH'!F22</f>
        <v>0.34149411516226852</v>
      </c>
      <c r="N189" s="201"/>
      <c r="O189" s="202">
        <f>M189*H189</f>
        <v>1100392305.3848863</v>
      </c>
      <c r="P189" s="226">
        <f>'LCoP 2030 HIGH'!G22</f>
        <v>0.31538352497011696</v>
      </c>
      <c r="Q189" s="201"/>
      <c r="R189" s="202">
        <f>P189*H189</f>
        <v>1016256470.3563704</v>
      </c>
      <c r="S189" s="203">
        <f>R189+O189+L189</f>
        <v>3222287754.1008592</v>
      </c>
    </row>
    <row r="190" spans="1:19" x14ac:dyDescent="0.35">
      <c r="C190">
        <f>C189/$C$169</f>
        <v>0.26952676395128572</v>
      </c>
      <c r="D190" s="6"/>
      <c r="E190" s="6"/>
      <c r="F190" s="147" t="s">
        <v>179</v>
      </c>
      <c r="G190" s="2">
        <f>SUMIF($J$190:$J$197,F190,$L$190:$L$197)/$L$189</f>
        <v>0.66945981181499714</v>
      </c>
      <c r="H190" s="192" t="s">
        <v>254</v>
      </c>
      <c r="I190" s="5" t="s">
        <v>4</v>
      </c>
      <c r="J190" s="147" t="s">
        <v>179</v>
      </c>
      <c r="K190" s="6">
        <f>'Feedstock MIX per IVC'!J111</f>
        <v>394.64713390829428</v>
      </c>
      <c r="L190" s="2">
        <f t="shared" ref="L190:L197" si="39">K190*F$189</f>
        <v>633965940.86844659</v>
      </c>
      <c r="M190" s="5" t="s">
        <v>211</v>
      </c>
      <c r="N190" s="167">
        <v>0.15</v>
      </c>
      <c r="O190" s="2">
        <f t="shared" ref="O190:O195" si="40">N190*O$189</f>
        <v>165058845.80773294</v>
      </c>
      <c r="P190" s="18" t="s">
        <v>217</v>
      </c>
      <c r="Q190" s="118">
        <v>0.15</v>
      </c>
      <c r="R190" s="2">
        <f>Q190*R$189</f>
        <v>152438470.55345556</v>
      </c>
    </row>
    <row r="191" spans="1:19" x14ac:dyDescent="0.35">
      <c r="D191" s="6"/>
      <c r="E191" s="6"/>
      <c r="F191" s="171" t="s">
        <v>222</v>
      </c>
      <c r="G191" s="2">
        <f>SUMIF($J$190:$J$197,F191,$L$190:$L$197)/$L$189</f>
        <v>0.13513065067147684</v>
      </c>
      <c r="H191" s="192" t="s">
        <v>254</v>
      </c>
      <c r="I191" s="5" t="s">
        <v>5</v>
      </c>
      <c r="J191" s="147" t="s">
        <v>179</v>
      </c>
      <c r="K191" s="6">
        <f>'Feedstock MIX per IVC'!J112</f>
        <v>18.419440190533358</v>
      </c>
      <c r="L191" s="2">
        <f t="shared" si="39"/>
        <v>29589212.051328517</v>
      </c>
      <c r="M191" t="s">
        <v>212</v>
      </c>
      <c r="N191" s="34">
        <v>0.02</v>
      </c>
      <c r="O191" s="2">
        <f t="shared" si="40"/>
        <v>22007846.107697725</v>
      </c>
      <c r="P191" s="18" t="s">
        <v>177</v>
      </c>
      <c r="Q191" s="118">
        <v>0.25</v>
      </c>
      <c r="R191" s="2">
        <f>Q191*R$189</f>
        <v>254064117.58909261</v>
      </c>
    </row>
    <row r="192" spans="1:19" x14ac:dyDescent="0.35">
      <c r="D192" s="6"/>
      <c r="E192" s="6"/>
      <c r="F192" s="149" t="s">
        <v>176</v>
      </c>
      <c r="G192" s="2">
        <f>SUMIF($J$190:$J$197,F192,$L$190:$L$197)/$L$189</f>
        <v>0.16069514825246234</v>
      </c>
      <c r="H192" s="192" t="s">
        <v>254</v>
      </c>
      <c r="I192" s="5" t="s">
        <v>6</v>
      </c>
      <c r="J192" s="150" t="s">
        <v>178</v>
      </c>
      <c r="K192" s="6">
        <f>'Feedstock MIX per IVC'!J113</f>
        <v>9.3412156377111621</v>
      </c>
      <c r="L192" s="2">
        <f t="shared" si="39"/>
        <v>15005842.059384435</v>
      </c>
      <c r="M192" s="5" t="s">
        <v>210</v>
      </c>
      <c r="N192" s="167">
        <v>0.45</v>
      </c>
      <c r="O192" s="2">
        <f t="shared" si="40"/>
        <v>495176537.42319882</v>
      </c>
      <c r="P192" s="18" t="s">
        <v>218</v>
      </c>
      <c r="Q192" s="118">
        <v>0.2</v>
      </c>
      <c r="R192" s="2">
        <f>Q192*R$189</f>
        <v>203251294.0712741</v>
      </c>
      <c r="S192" s="2"/>
    </row>
    <row r="193" spans="1:19" x14ac:dyDescent="0.35">
      <c r="D193" s="6"/>
      <c r="E193" s="6"/>
      <c r="F193" s="150" t="s">
        <v>178</v>
      </c>
      <c r="G193" s="2">
        <f>SUMIF($J$190:$J$197,F193,$L$190:$L$197)/$L$189</f>
        <v>1.3572099349869226E-2</v>
      </c>
      <c r="H193" s="192" t="s">
        <v>254</v>
      </c>
      <c r="I193" s="5" t="s">
        <v>7</v>
      </c>
      <c r="J193" s="147" t="s">
        <v>179</v>
      </c>
      <c r="K193" s="6">
        <f>'Feedstock MIX per IVC'!J114</f>
        <v>35.29932819362039</v>
      </c>
      <c r="L193" s="2">
        <f t="shared" si="39"/>
        <v>56705268.802212641</v>
      </c>
      <c r="M193" t="s">
        <v>213</v>
      </c>
      <c r="N193" s="34">
        <v>0.1</v>
      </c>
      <c r="O193" s="2">
        <f t="shared" si="40"/>
        <v>110039230.53848863</v>
      </c>
      <c r="P193" s="18" t="s">
        <v>219</v>
      </c>
      <c r="Q193" s="118">
        <v>0.3</v>
      </c>
      <c r="R193" s="2">
        <f>Q193*R$189</f>
        <v>304876941.10691112</v>
      </c>
    </row>
    <row r="194" spans="1:19" x14ac:dyDescent="0.35">
      <c r="D194" s="6"/>
      <c r="E194" s="6"/>
      <c r="F194" s="152" t="s">
        <v>180</v>
      </c>
      <c r="G194" s="2">
        <f>SUMIF($J$190:$J$197,F194,$L$190:$L$197)/$L$189</f>
        <v>2.114228991119451E-2</v>
      </c>
      <c r="H194" s="192" t="s">
        <v>254</v>
      </c>
      <c r="I194" s="5" t="s">
        <v>8</v>
      </c>
      <c r="J194" s="147" t="s">
        <v>179</v>
      </c>
      <c r="K194" s="6">
        <f>'Feedstock MIX per IVC'!J115</f>
        <v>12.400579129284262</v>
      </c>
      <c r="L194" s="2">
        <f t="shared" si="39"/>
        <v>19920440.665957399</v>
      </c>
      <c r="M194" t="s">
        <v>214</v>
      </c>
      <c r="N194" s="34">
        <v>0.25</v>
      </c>
      <c r="O194" s="2">
        <f t="shared" si="40"/>
        <v>275098076.34622157</v>
      </c>
      <c r="P194" s="18" t="s">
        <v>220</v>
      </c>
      <c r="Q194" s="118">
        <v>0.1</v>
      </c>
      <c r="R194" s="2">
        <f>Q194*R$189</f>
        <v>101625647.03563705</v>
      </c>
    </row>
    <row r="195" spans="1:19" x14ac:dyDescent="0.35">
      <c r="D195" s="6"/>
      <c r="E195" s="6"/>
      <c r="F195" s="31"/>
      <c r="G195" s="2">
        <f>SUM(G190:G194)</f>
        <v>1</v>
      </c>
      <c r="H195" s="192" t="s">
        <v>254</v>
      </c>
      <c r="I195" s="5" t="s">
        <v>9</v>
      </c>
      <c r="J195" s="171" t="s">
        <v>222</v>
      </c>
      <c r="K195" s="6">
        <f>'Feedstock MIX per IVC'!J116</f>
        <v>93.005843432662942</v>
      </c>
      <c r="L195" s="2">
        <f t="shared" si="39"/>
        <v>149405714.55347997</v>
      </c>
      <c r="M195" t="s">
        <v>216</v>
      </c>
      <c r="N195" s="34">
        <v>0.03</v>
      </c>
      <c r="O195" s="2">
        <f t="shared" si="40"/>
        <v>33011769.161546588</v>
      </c>
      <c r="Q195" s="34"/>
      <c r="R195" s="2"/>
    </row>
    <row r="196" spans="1:19" x14ac:dyDescent="0.35">
      <c r="D196" s="6"/>
      <c r="E196" s="6"/>
      <c r="F196" s="31"/>
      <c r="G196" s="6"/>
      <c r="H196" s="192" t="s">
        <v>254</v>
      </c>
      <c r="I196" s="5" t="s">
        <v>10</v>
      </c>
      <c r="J196" s="149" t="s">
        <v>176</v>
      </c>
      <c r="K196" s="6">
        <f>'Feedstock MIX per IVC'!J117</f>
        <v>110.60102000908789</v>
      </c>
      <c r="L196" s="2">
        <f t="shared" si="39"/>
        <v>177670819.54119733</v>
      </c>
    </row>
    <row r="197" spans="1:19" x14ac:dyDescent="0.35">
      <c r="D197" s="6"/>
      <c r="E197" s="6"/>
      <c r="F197" s="31"/>
      <c r="G197" s="6"/>
      <c r="H197" s="192" t="s">
        <v>254</v>
      </c>
      <c r="I197" s="5" t="s">
        <v>11</v>
      </c>
      <c r="J197" s="152" t="s">
        <v>180</v>
      </c>
      <c r="K197" s="6">
        <f>'Feedstock MIX per IVC'!J118</f>
        <v>14.551521031812669</v>
      </c>
      <c r="L197" s="2">
        <f t="shared" si="39"/>
        <v>23375739.817595627</v>
      </c>
    </row>
    <row r="198" spans="1:19" x14ac:dyDescent="0.35">
      <c r="D198" s="6"/>
      <c r="E198" s="6"/>
      <c r="F198" s="31"/>
      <c r="G198" s="6"/>
      <c r="H198" s="6"/>
      <c r="I198" s="6"/>
      <c r="J198" s="6"/>
      <c r="K198" s="6"/>
      <c r="L198" s="2"/>
    </row>
    <row r="199" spans="1:19" x14ac:dyDescent="0.35">
      <c r="I199" s="78" t="s">
        <v>181</v>
      </c>
    </row>
    <row r="200" spans="1:19" x14ac:dyDescent="0.35">
      <c r="J200" s="150" t="s">
        <v>178</v>
      </c>
      <c r="L200" s="2">
        <f>L174+L192</f>
        <v>19102754.900954328</v>
      </c>
    </row>
    <row r="201" spans="1:19" x14ac:dyDescent="0.35">
      <c r="J201" s="147" t="s">
        <v>179</v>
      </c>
      <c r="L201" s="2">
        <f>L171+L172+L175+L176+L190+L191+L193+L194</f>
        <v>934525051.58373976</v>
      </c>
    </row>
    <row r="202" spans="1:19" x14ac:dyDescent="0.35">
      <c r="J202" s="171" t="s">
        <v>222</v>
      </c>
      <c r="L202" s="2">
        <f>L177+L195</f>
        <v>191414279.96715426</v>
      </c>
    </row>
    <row r="203" spans="1:19" x14ac:dyDescent="0.35">
      <c r="J203" s="149" t="s">
        <v>176</v>
      </c>
      <c r="L203" s="2">
        <f>L178+L196</f>
        <v>226178717.94969478</v>
      </c>
    </row>
    <row r="204" spans="1:19" x14ac:dyDescent="0.35">
      <c r="J204" s="152" t="s">
        <v>180</v>
      </c>
      <c r="L204" s="2">
        <f>L179+L173+L197</f>
        <v>30954450.649672143</v>
      </c>
    </row>
    <row r="205" spans="1:19" x14ac:dyDescent="0.35">
      <c r="J205" s="151" t="s">
        <v>79</v>
      </c>
      <c r="L205" s="2">
        <f>L182</f>
        <v>2136127721.9928529</v>
      </c>
    </row>
    <row r="206" spans="1:19" x14ac:dyDescent="0.35">
      <c r="J206" t="s">
        <v>321</v>
      </c>
    </row>
    <row r="208" spans="1:19" ht="20.5" customHeight="1" x14ac:dyDescent="0.35">
      <c r="A208" s="229" t="s">
        <v>350</v>
      </c>
      <c r="B208" s="229"/>
      <c r="C208" s="229"/>
      <c r="D208" s="190"/>
      <c r="E208" s="190"/>
      <c r="F208" s="198"/>
      <c r="G208" s="190"/>
      <c r="H208" s="190"/>
      <c r="I208" s="190"/>
      <c r="J208" s="190"/>
      <c r="K208" s="190"/>
      <c r="L208" s="190"/>
      <c r="M208" s="190"/>
      <c r="N208" s="190"/>
      <c r="O208" s="190"/>
      <c r="P208" s="190"/>
      <c r="Q208" s="190"/>
      <c r="R208" s="190"/>
      <c r="S208" s="190"/>
    </row>
    <row r="209" spans="1:19" x14ac:dyDescent="0.35">
      <c r="B209" s="2">
        <f>C209/1000000</f>
        <v>13310.01819536929</v>
      </c>
      <c r="C209" s="2">
        <f>C210+C217</f>
        <v>13310018195.369289</v>
      </c>
      <c r="D209" s="2">
        <f>D210+D217</f>
        <v>10.772359374340663</v>
      </c>
      <c r="F209" s="2">
        <f>F210+F217</f>
        <v>11579014.732284317</v>
      </c>
      <c r="L209" s="2">
        <f>L210+L217</f>
        <v>13640611783.972145</v>
      </c>
      <c r="O209" s="2">
        <f>O210+O217</f>
        <v>1178646189.3535154</v>
      </c>
      <c r="R209" s="2">
        <f>R210+R217</f>
        <v>920234767.46405435</v>
      </c>
    </row>
    <row r="210" spans="1:19" x14ac:dyDescent="0.35">
      <c r="A210" s="202" t="s">
        <v>351</v>
      </c>
      <c r="B210" s="202">
        <v>935</v>
      </c>
      <c r="C210" s="202">
        <f>B210*F210</f>
        <v>3996370367.8063397</v>
      </c>
      <c r="D210" s="284">
        <f>'[2]GAP analysis Sc. 2'!$C$98+'[2]GAP analysis Sc. 2'!$C$99</f>
        <v>2.0417468743406646</v>
      </c>
      <c r="E210" s="202">
        <f>'[1]Conversion factors selected IV '!$O$50</f>
        <v>2.0934000000000004</v>
      </c>
      <c r="F210" s="202">
        <f>D210*E210*1000000</f>
        <v>4274192.9067447484</v>
      </c>
      <c r="G210" s="202">
        <f>'LCoP 2030 HIGH'!E12</f>
        <v>370.61968567880001</v>
      </c>
      <c r="H210" s="202">
        <f>G210*F210</f>
        <v>1584100031.6282952</v>
      </c>
      <c r="I210" s="209">
        <f>'LCoP 2030 HIGH'!H12</f>
        <v>0.78751803251959696</v>
      </c>
      <c r="J210" s="202"/>
      <c r="K210" s="202"/>
      <c r="L210" s="202">
        <f>I210*H210</f>
        <v>1247507340.2221463</v>
      </c>
      <c r="M210" s="209">
        <f>'LCoP 2030 HIGH'!F12</f>
        <v>0.1537964717001013</v>
      </c>
      <c r="N210" s="202"/>
      <c r="O210" s="202">
        <f>M210*H210</f>
        <v>243628995.68445069</v>
      </c>
      <c r="P210" s="209">
        <f>'LCoP 2030 HIGH'!G12</f>
        <v>5.8685495780301807E-2</v>
      </c>
      <c r="Q210" s="202"/>
      <c r="R210" s="202">
        <f>P210*H210</f>
        <v>92963695.721698269</v>
      </c>
      <c r="S210" s="202"/>
    </row>
    <row r="211" spans="1:19" x14ac:dyDescent="0.35">
      <c r="E211" s="1"/>
      <c r="F211" s="242" t="s">
        <v>177</v>
      </c>
      <c r="G211">
        <v>1</v>
      </c>
      <c r="I211" s="15" t="s">
        <v>30</v>
      </c>
      <c r="J211" s="242" t="s">
        <v>177</v>
      </c>
      <c r="L211" s="2">
        <f>L210</f>
        <v>1247507340.2221463</v>
      </c>
      <c r="M211" s="5" t="s">
        <v>211</v>
      </c>
      <c r="N211" s="34">
        <v>0.2</v>
      </c>
      <c r="O211" s="2">
        <f t="shared" ref="O211:O216" si="41">N211*O$210</f>
        <v>48725799.136890143</v>
      </c>
      <c r="P211" s="18" t="s">
        <v>217</v>
      </c>
      <c r="Q211" s="34">
        <v>0.35</v>
      </c>
      <c r="R211" s="2">
        <f>Q211*$R$210</f>
        <v>32537293.502594393</v>
      </c>
    </row>
    <row r="212" spans="1:19" x14ac:dyDescent="0.35">
      <c r="E212" s="1"/>
      <c r="M212" t="s">
        <v>212</v>
      </c>
      <c r="N212" s="34">
        <v>7.0000000000000007E-2</v>
      </c>
      <c r="O212" s="2">
        <f t="shared" si="41"/>
        <v>17054029.697911549</v>
      </c>
      <c r="P212" s="18" t="s">
        <v>177</v>
      </c>
      <c r="Q212" s="34">
        <v>0.15</v>
      </c>
      <c r="R212" s="2">
        <f>Q212*$R$210</f>
        <v>13944554.35825474</v>
      </c>
    </row>
    <row r="213" spans="1:19" x14ac:dyDescent="0.35">
      <c r="E213" s="1"/>
      <c r="M213" s="5" t="s">
        <v>210</v>
      </c>
      <c r="N213" s="34">
        <v>0.4</v>
      </c>
      <c r="O213" s="2">
        <f t="shared" si="41"/>
        <v>97451598.273780286</v>
      </c>
      <c r="P213" s="18" t="s">
        <v>218</v>
      </c>
      <c r="Q213" s="34">
        <v>0.12</v>
      </c>
      <c r="R213" s="2">
        <f>Q213*$R$210</f>
        <v>11155643.486603793</v>
      </c>
    </row>
    <row r="214" spans="1:19" x14ac:dyDescent="0.35">
      <c r="E214" s="1"/>
      <c r="M214" t="s">
        <v>213</v>
      </c>
      <c r="N214" s="34">
        <v>0.15</v>
      </c>
      <c r="O214" s="2">
        <f t="shared" si="41"/>
        <v>36544349.3526676</v>
      </c>
      <c r="P214" s="18" t="s">
        <v>219</v>
      </c>
      <c r="Q214" s="34">
        <v>0.3</v>
      </c>
      <c r="R214" s="2">
        <f>Q214*$R$210</f>
        <v>27889108.71650948</v>
      </c>
    </row>
    <row r="215" spans="1:19" x14ac:dyDescent="0.35">
      <c r="E215" s="1"/>
      <c r="M215" t="s">
        <v>214</v>
      </c>
      <c r="N215" s="34">
        <v>0.15</v>
      </c>
      <c r="O215" s="2">
        <f t="shared" si="41"/>
        <v>36544349.3526676</v>
      </c>
      <c r="P215" s="18" t="s">
        <v>220</v>
      </c>
      <c r="Q215" s="34">
        <v>0.08</v>
      </c>
      <c r="R215" s="2">
        <f>Q215*$R$210</f>
        <v>7437095.6577358618</v>
      </c>
    </row>
    <row r="216" spans="1:19" x14ac:dyDescent="0.35">
      <c r="E216" s="1"/>
      <c r="M216" t="s">
        <v>216</v>
      </c>
      <c r="N216" s="34">
        <v>0.03</v>
      </c>
      <c r="O216" s="2">
        <f t="shared" si="41"/>
        <v>7308869.8705335204</v>
      </c>
      <c r="Q216" s="34">
        <f>SUM(Q211:Q215)</f>
        <v>0.99999999999999989</v>
      </c>
    </row>
    <row r="217" spans="1:19" x14ac:dyDescent="0.35">
      <c r="A217" s="202" t="s">
        <v>352</v>
      </c>
      <c r="B217" s="202">
        <v>1275</v>
      </c>
      <c r="C217" s="202">
        <f>B217*F217</f>
        <v>9313647827.5629501</v>
      </c>
      <c r="D217" s="284">
        <f>'[2]GAP analysis Sc. 2'!$C$97</f>
        <v>8.7306124999999994</v>
      </c>
      <c r="E217" s="202">
        <f>'[1]Conversion factors selected IV '!$O$62</f>
        <v>0.83669064748201449</v>
      </c>
      <c r="F217" s="202">
        <f>D217*E217*1000000</f>
        <v>7304821.8255395684</v>
      </c>
      <c r="G217" s="202">
        <f>'LCoP 2030 HIGH'!E14</f>
        <v>1937.8149183147032</v>
      </c>
      <c r="H217" s="202">
        <f>G217*F217</f>
        <v>14155392709.161419</v>
      </c>
      <c r="I217" s="209">
        <f>'LCoP 2030 HIGH'!H14</f>
        <v>0.87550410634168685</v>
      </c>
      <c r="J217" s="202"/>
      <c r="K217" s="202"/>
      <c r="L217" s="202">
        <f>I217*H217</f>
        <v>12393104443.749998</v>
      </c>
      <c r="M217" s="209">
        <f>'LCoP 2030 HIGH'!F14</f>
        <v>6.6053779847726757E-2</v>
      </c>
      <c r="N217" s="202"/>
      <c r="O217" s="202">
        <f>M217*H217</f>
        <v>935017193.66906476</v>
      </c>
      <c r="P217" s="209">
        <f>'LCoP 2030 HIGH'!G14</f>
        <v>5.8442113810586366E-2</v>
      </c>
      <c r="Q217" s="202"/>
      <c r="R217" s="202">
        <f>P217*H217</f>
        <v>827271071.74235606</v>
      </c>
      <c r="S217" s="202"/>
    </row>
    <row r="218" spans="1:19" x14ac:dyDescent="0.35">
      <c r="E218" s="1"/>
      <c r="F218" s="242" t="s">
        <v>177</v>
      </c>
      <c r="G218">
        <v>1</v>
      </c>
      <c r="I218" s="15" t="s">
        <v>30</v>
      </c>
      <c r="J218" s="242" t="s">
        <v>177</v>
      </c>
      <c r="L218" s="2">
        <f>L217</f>
        <v>12393104443.749998</v>
      </c>
      <c r="M218" s="5" t="s">
        <v>211</v>
      </c>
      <c r="N218" s="34">
        <v>0.2</v>
      </c>
      <c r="O218" s="2">
        <f t="shared" ref="O218:O223" si="42">N218*O$217</f>
        <v>187003438.73381296</v>
      </c>
      <c r="P218" s="18" t="s">
        <v>217</v>
      </c>
      <c r="Q218" s="34">
        <v>0.35</v>
      </c>
      <c r="R218" s="2">
        <f>Q218*$R$217</f>
        <v>289544875.1098246</v>
      </c>
    </row>
    <row r="219" spans="1:19" x14ac:dyDescent="0.35">
      <c r="M219" t="s">
        <v>212</v>
      </c>
      <c r="N219" s="34">
        <v>7.0000000000000007E-2</v>
      </c>
      <c r="O219" s="2">
        <f t="shared" si="42"/>
        <v>65451203.556834541</v>
      </c>
      <c r="P219" s="18" t="s">
        <v>177</v>
      </c>
      <c r="Q219" s="34">
        <v>0.15</v>
      </c>
      <c r="R219" s="2">
        <f>Q219*$R$217</f>
        <v>124090660.7613534</v>
      </c>
    </row>
    <row r="220" spans="1:19" x14ac:dyDescent="0.35">
      <c r="M220" s="5" t="s">
        <v>210</v>
      </c>
      <c r="N220" s="34">
        <v>0.4</v>
      </c>
      <c r="O220" s="2">
        <f t="shared" si="42"/>
        <v>374006877.46762592</v>
      </c>
      <c r="P220" s="18" t="s">
        <v>218</v>
      </c>
      <c r="Q220" s="34">
        <v>0.12</v>
      </c>
      <c r="R220" s="2">
        <f>Q220*$R$217</f>
        <v>99272528.609082729</v>
      </c>
    </row>
    <row r="221" spans="1:19" x14ac:dyDescent="0.35">
      <c r="M221" t="s">
        <v>213</v>
      </c>
      <c r="N221" s="34">
        <v>0.15</v>
      </c>
      <c r="O221" s="2">
        <f t="shared" si="42"/>
        <v>140252579.0503597</v>
      </c>
      <c r="P221" s="18" t="s">
        <v>219</v>
      </c>
      <c r="Q221" s="34">
        <v>0.3</v>
      </c>
      <c r="R221" s="2">
        <f>Q221*$R$217</f>
        <v>248181321.52270681</v>
      </c>
    </row>
    <row r="222" spans="1:19" x14ac:dyDescent="0.35">
      <c r="M222" t="s">
        <v>214</v>
      </c>
      <c r="N222" s="34">
        <v>0.15</v>
      </c>
      <c r="O222" s="2">
        <f t="shared" si="42"/>
        <v>140252579.0503597</v>
      </c>
      <c r="P222" s="18" t="s">
        <v>220</v>
      </c>
      <c r="Q222" s="34">
        <v>0.08</v>
      </c>
      <c r="R222" s="2">
        <f>Q222*$R$217</f>
        <v>66181685.739388488</v>
      </c>
    </row>
    <row r="223" spans="1:19" x14ac:dyDescent="0.35">
      <c r="M223" t="s">
        <v>216</v>
      </c>
      <c r="N223" s="34">
        <v>0.03</v>
      </c>
      <c r="O223" s="2">
        <f t="shared" si="42"/>
        <v>28050515.810071941</v>
      </c>
      <c r="Q223" s="34">
        <f>SUM(Q218:Q222)</f>
        <v>0.99999999999999989</v>
      </c>
    </row>
    <row r="224" spans="1:19" x14ac:dyDescent="0.35">
      <c r="O224" s="2">
        <f>SUM(O218:O223)</f>
        <v>935017193.66906476</v>
      </c>
      <c r="R224" s="2">
        <f>SUM(R218:R223)</f>
        <v>827271071.74235606</v>
      </c>
    </row>
    <row r="226" spans="1:19" s="103" customFormat="1" ht="34" customHeight="1" x14ac:dyDescent="0.35">
      <c r="A226" s="33" t="s">
        <v>224</v>
      </c>
      <c r="B226" s="33"/>
      <c r="C226" s="33"/>
      <c r="F226" s="227"/>
    </row>
    <row r="227" spans="1:19" x14ac:dyDescent="0.35">
      <c r="C227" s="2">
        <f>C228+C235+C243+C251</f>
        <v>16036419891.654861</v>
      </c>
      <c r="D227" s="6">
        <f>'[2]GAP analysis Sc. 2'!$E$68</f>
        <v>12.904028675071293</v>
      </c>
    </row>
    <row r="228" spans="1:19" s="114" customFormat="1" x14ac:dyDescent="0.35">
      <c r="A228" s="114" t="s">
        <v>266</v>
      </c>
      <c r="B228" s="114">
        <v>1165.6261363636365</v>
      </c>
      <c r="C228" s="114">
        <f>B228*F228</f>
        <v>3208885049.0029078</v>
      </c>
      <c r="D228" s="114">
        <f>'[2]GAP analysis Sc. 2'!$I$20</f>
        <v>2.4328447263976689</v>
      </c>
      <c r="E228" s="114">
        <f>'[1]Conversion factors selected IV '!$O$4</f>
        <v>1.1315675675675676</v>
      </c>
      <c r="F228" s="114">
        <f>D228*E228*1000000</f>
        <v>2752928.1893193945</v>
      </c>
      <c r="G228" s="301">
        <f>'LCoP CONVENTIONAL'!$B$3</f>
        <v>800</v>
      </c>
      <c r="H228" s="114">
        <f>G228*F228</f>
        <v>2202342551.4555159</v>
      </c>
      <c r="I228" s="308">
        <f>'LCoP CONVENTIONAL'!$C$3</f>
        <v>0.75</v>
      </c>
      <c r="K228" s="114">
        <f>I228*G228</f>
        <v>600</v>
      </c>
      <c r="L228" s="114">
        <f>I228*H228</f>
        <v>1651756913.5916369</v>
      </c>
      <c r="M228" s="309">
        <f>'LCoP CONVENTIONAL'!$F$3</f>
        <v>6.5000000000000002E-2</v>
      </c>
      <c r="O228" s="114">
        <f>M228*H228</f>
        <v>143152265.84460855</v>
      </c>
      <c r="P228" s="309">
        <f>'LCoP CONVENTIONAL'!$I$3</f>
        <v>0.185</v>
      </c>
      <c r="R228" s="114">
        <f>P228*H228</f>
        <v>407433372.01927042</v>
      </c>
      <c r="S228" s="114">
        <f>SUM(L228,O228,R228)</f>
        <v>2202342551.4555159</v>
      </c>
    </row>
    <row r="229" spans="1:19" x14ac:dyDescent="0.35">
      <c r="C229">
        <f>C228/$C$227</f>
        <v>0.2000998396576513</v>
      </c>
      <c r="E229" s="6"/>
      <c r="H229" s="192" t="s">
        <v>254</v>
      </c>
      <c r="I229" s="18" t="s">
        <v>225</v>
      </c>
      <c r="J229" s="154" t="s">
        <v>178</v>
      </c>
      <c r="K229" s="107">
        <f>'Feedtstocks only CONVENTIONAL'!$J$4</f>
        <v>0.76052615016678204</v>
      </c>
      <c r="L229" s="2">
        <f>K229*L$228</f>
        <v>1256204326.5052137</v>
      </c>
      <c r="M229" t="str">
        <f>'LCoP CONVENTIONAL'!$F$4</f>
        <v>Machinery and equipment</v>
      </c>
      <c r="N229" s="59">
        <f>'LCoP CONVENTIONAL'!$G$4</f>
        <v>0.45</v>
      </c>
      <c r="O229" s="2">
        <f>N229*$O$228</f>
        <v>64418519.630073845</v>
      </c>
      <c r="P229" t="str">
        <f>'LCoP CONVENTIONAL'!$I$4</f>
        <v>Chemical and chemical products</v>
      </c>
      <c r="Q229" s="59">
        <f>'LCoP CONVENTIONAL'!$J$4</f>
        <v>0.3</v>
      </c>
      <c r="R229" s="2">
        <f t="shared" ref="R229:R234" si="43">Q229*$R$228</f>
        <v>122230011.60578112</v>
      </c>
    </row>
    <row r="230" spans="1:19" x14ac:dyDescent="0.35">
      <c r="D230" s="6"/>
      <c r="E230" s="6"/>
      <c r="H230" s="191" t="s">
        <v>252</v>
      </c>
      <c r="I230" s="18" t="s">
        <v>226</v>
      </c>
      <c r="J230" s="154" t="s">
        <v>178</v>
      </c>
      <c r="K230" s="107">
        <f>'Feedtstocks only CONVENTIONAL'!$J$5</f>
        <v>0.16011076845616465</v>
      </c>
      <c r="L230" s="2">
        <f>K230*L$228</f>
        <v>264464068.73793975</v>
      </c>
      <c r="M230" t="str">
        <f>'LCoP CONVENTIONAL'!$F$5</f>
        <v>Architectural and engineering services</v>
      </c>
      <c r="N230" s="59">
        <f>'LCoP CONVENTIONAL'!$G$5</f>
        <v>0.3</v>
      </c>
      <c r="O230" s="2">
        <f>N230*$O$228</f>
        <v>42945679.753382564</v>
      </c>
      <c r="P230" t="str">
        <f>'LCoP CONVENTIONAL'!$I$5</f>
        <v>Electricity, gas, steam &amp; AC</v>
      </c>
      <c r="Q230" s="59">
        <f>'LCoP CONVENTIONAL'!$J$5</f>
        <v>0.2</v>
      </c>
      <c r="R230" s="2">
        <f t="shared" si="43"/>
        <v>81486674.403854087</v>
      </c>
    </row>
    <row r="231" spans="1:19" x14ac:dyDescent="0.35">
      <c r="D231" s="6"/>
      <c r="E231" s="6"/>
      <c r="H231" s="192" t="s">
        <v>254</v>
      </c>
      <c r="I231" s="18" t="s">
        <v>228</v>
      </c>
      <c r="J231" s="154" t="s">
        <v>178</v>
      </c>
      <c r="K231" s="107">
        <f>'Feedtstocks only CONVENTIONAL'!$J$6</f>
        <v>4.0027692114041162E-2</v>
      </c>
      <c r="L231" s="2">
        <f>K231*L$228</f>
        <v>66116017.184484936</v>
      </c>
      <c r="M231" t="str">
        <f>'LCoP CONVENTIONAL'!$F$6</f>
        <v>Constructions and construction works</v>
      </c>
      <c r="N231" s="59">
        <f>'LCoP CONVENTIONAL'!$G$6</f>
        <v>0.15</v>
      </c>
      <c r="O231" s="2">
        <f>N231*$O$228</f>
        <v>21472839.876691282</v>
      </c>
      <c r="P231" t="str">
        <f>'LCoP CONVENTIONAL'!$I$6</f>
        <v>Legal and accounting services; services of head offices; management consultancy services</v>
      </c>
      <c r="Q231" s="59">
        <f>'LCoP CONVENTIONAL'!$J$6</f>
        <v>0.25</v>
      </c>
      <c r="R231" s="2">
        <f t="shared" si="43"/>
        <v>101858343.00481761</v>
      </c>
    </row>
    <row r="232" spans="1:19" x14ac:dyDescent="0.35">
      <c r="D232" s="6"/>
      <c r="E232" s="6"/>
      <c r="H232" s="191" t="s">
        <v>252</v>
      </c>
      <c r="I232" s="18" t="s">
        <v>227</v>
      </c>
      <c r="J232" s="154" t="s">
        <v>178</v>
      </c>
      <c r="K232" s="107">
        <f>'Feedtstocks only CONVENTIONAL'!$J$7</f>
        <v>3.9335389263012145E-2</v>
      </c>
      <c r="L232" s="2">
        <f>K232*L$228</f>
        <v>64972501.163998552</v>
      </c>
      <c r="M232" t="str">
        <f>'LCoP CONVENTIONAL'!$F$7</f>
        <v>Fabricated metal products</v>
      </c>
      <c r="N232" s="59">
        <f>'LCoP CONVENTIONAL'!$G$7</f>
        <v>7.0000000000000007E-2</v>
      </c>
      <c r="O232" s="2">
        <f>N232*$O$228</f>
        <v>10020658.609122599</v>
      </c>
      <c r="P232" t="str">
        <f>'LCoP CONVENTIONAL'!$I$7</f>
        <v>Repair and installation services</v>
      </c>
      <c r="Q232" s="59">
        <f>'LCoP CONVENTIONAL'!$J$7</f>
        <v>0.15</v>
      </c>
      <c r="R232" s="2">
        <f t="shared" si="43"/>
        <v>61115005.802890562</v>
      </c>
    </row>
    <row r="233" spans="1:19" x14ac:dyDescent="0.35">
      <c r="D233" s="6"/>
      <c r="E233" s="6"/>
      <c r="L233" s="2">
        <f>SUM(L229:L232)</f>
        <v>1651756913.5916371</v>
      </c>
      <c r="M233" t="str">
        <f>'LCoP CONVENTIONAL'!$F$8</f>
        <v>Computer, electronic and optical products</v>
      </c>
      <c r="N233" s="59">
        <f>'LCoP CONVENTIONAL'!$G$8</f>
        <v>0.03</v>
      </c>
      <c r="O233" s="2">
        <f>N233*$O$228</f>
        <v>4294567.975338256</v>
      </c>
      <c r="P233" s="102" t="str">
        <f>'LCoP CONVENTIONAL'!$I$8</f>
        <v>Land transport services and transport services via pipelines</v>
      </c>
      <c r="Q233" s="59">
        <f>'LCoP CONVENTIONAL'!$J$8</f>
        <v>0.1</v>
      </c>
      <c r="R233" s="2">
        <f t="shared" si="43"/>
        <v>40743337.201927043</v>
      </c>
    </row>
    <row r="234" spans="1:19" x14ac:dyDescent="0.35">
      <c r="D234" s="6"/>
      <c r="E234" s="6"/>
      <c r="O234" s="2">
        <f>SUM(O229:O233)</f>
        <v>143152265.84460855</v>
      </c>
      <c r="P234" t="str">
        <f>'LCoP CONVENTIONAL'!$I$9</f>
        <v>Waste management services</v>
      </c>
      <c r="Q234" s="59">
        <f>'LCoP CONVENTIONAL'!$J$9</f>
        <v>0</v>
      </c>
      <c r="R234" s="2">
        <f t="shared" si="43"/>
        <v>0</v>
      </c>
    </row>
    <row r="235" spans="1:19" s="114" customFormat="1" x14ac:dyDescent="0.35">
      <c r="A235" s="114" t="s">
        <v>330</v>
      </c>
      <c r="B235" s="114">
        <v>1165.6261363636365</v>
      </c>
      <c r="C235" s="114">
        <f>B235*F235</f>
        <v>4422608079.1993151</v>
      </c>
      <c r="D235" s="114">
        <f>'[2]GAP analysis Sc. 2'!$I$21</f>
        <v>3.9873984807654104</v>
      </c>
      <c r="E235" s="114">
        <f>'[1]Conversion factors selected IV '!$O$7</f>
        <v>0.95154545454545458</v>
      </c>
      <c r="F235" s="114">
        <f>D235*E235*1000000</f>
        <v>3794190.8998337775</v>
      </c>
      <c r="G235" s="301">
        <f>'LCoP CONVENTIONAL'!$B$24</f>
        <v>900</v>
      </c>
      <c r="H235" s="114">
        <f>G235*F235</f>
        <v>3414771809.8503995</v>
      </c>
      <c r="I235" s="308">
        <f>'LCoP CONVENTIONAL'!$C$24</f>
        <v>0.66666666666666663</v>
      </c>
      <c r="K235" s="114">
        <f>I235*G235</f>
        <v>600</v>
      </c>
      <c r="L235" s="114">
        <f>I235*H235</f>
        <v>2276514539.9002662</v>
      </c>
      <c r="M235" s="308">
        <f>'LCoP CONVENTIONAL'!$F$24</f>
        <v>0.1111111111111111</v>
      </c>
      <c r="O235" s="114">
        <f>M235*H235</f>
        <v>379419089.9833777</v>
      </c>
      <c r="P235" s="309">
        <f>'LCoP CONVENTIONAL'!$I$24</f>
        <v>0.22222222222222221</v>
      </c>
      <c r="R235" s="114">
        <f>P235*H235</f>
        <v>758838179.96675539</v>
      </c>
      <c r="S235" s="114">
        <f>SUM(L235,O235,R235)</f>
        <v>3414771809.8503995</v>
      </c>
    </row>
    <row r="236" spans="1:19" s="117" customFormat="1" x14ac:dyDescent="0.35">
      <c r="C236">
        <f>C235/$C$227</f>
        <v>0.27578525064068576</v>
      </c>
      <c r="D236"/>
      <c r="H236"/>
      <c r="I236" s="18" t="s">
        <v>225</v>
      </c>
      <c r="J236" s="154" t="s">
        <v>178</v>
      </c>
      <c r="K236" s="59">
        <f>'Feedtstocks only CONVENTIONAL'!J23</f>
        <v>0.76052615016678204</v>
      </c>
      <c r="L236" s="2">
        <f>K236*$L$235</f>
        <v>1731348838.8290524</v>
      </c>
      <c r="M236" t="str">
        <f>'LCoP CONVENTIONAL'!$F$25</f>
        <v>Machinery and equipment</v>
      </c>
      <c r="N236" s="59">
        <f>'LCoP CONVENTIONAL'!$G$25</f>
        <v>0.55000000000000004</v>
      </c>
      <c r="O236" s="2">
        <f>N236*$O$235</f>
        <v>208680499.49085775</v>
      </c>
      <c r="P236" t="str">
        <f>'LCoP CONVENTIONAL'!$I$25</f>
        <v>Chemical and chemical products</v>
      </c>
      <c r="Q236" s="59">
        <f>'LCoP CONVENTIONAL'!$J$25</f>
        <v>0.4</v>
      </c>
      <c r="R236" s="2">
        <f t="shared" ref="R236:R241" si="44">Q236*$R$235</f>
        <v>303535271.98670214</v>
      </c>
    </row>
    <row r="237" spans="1:19" s="117" customFormat="1" x14ac:dyDescent="0.35">
      <c r="D237"/>
      <c r="H237"/>
      <c r="I237" s="18" t="s">
        <v>226</v>
      </c>
      <c r="J237" s="154" t="s">
        <v>178</v>
      </c>
      <c r="K237" s="59">
        <f>'Feedtstocks only CONVENTIONAL'!J24</f>
        <v>0.16011076845616465</v>
      </c>
      <c r="L237" s="2">
        <f>K237*$L$235</f>
        <v>364494492.38506371</v>
      </c>
      <c r="M237" t="str">
        <f>'LCoP CONVENTIONAL'!$F$26</f>
        <v>Architectural and engineering services</v>
      </c>
      <c r="N237" s="59">
        <f>'LCoP CONVENTIONAL'!$G$26</f>
        <v>0.25</v>
      </c>
      <c r="O237" s="2">
        <f>N237*$O$235</f>
        <v>94854772.495844424</v>
      </c>
      <c r="P237" t="str">
        <f>'LCoP CONVENTIONAL'!$I$26</f>
        <v>Electricity, gas, steam &amp; AC</v>
      </c>
      <c r="Q237" s="59">
        <f>'LCoP CONVENTIONAL'!$J$26</f>
        <v>0.2</v>
      </c>
      <c r="R237" s="2">
        <f t="shared" si="44"/>
        <v>151767635.99335107</v>
      </c>
    </row>
    <row r="238" spans="1:19" s="117" customFormat="1" x14ac:dyDescent="0.35">
      <c r="D238"/>
      <c r="H238"/>
      <c r="I238" s="18" t="s">
        <v>228</v>
      </c>
      <c r="J238" s="154" t="s">
        <v>178</v>
      </c>
      <c r="K238" s="59">
        <f>'Feedtstocks only CONVENTIONAL'!J25</f>
        <v>4.0027692114041162E-2</v>
      </c>
      <c r="L238" s="2">
        <f>K238*$L$235</f>
        <v>91123623.096265927</v>
      </c>
      <c r="M238" t="str">
        <f>'LCoP CONVENTIONAL'!$F$27</f>
        <v>Constructions and construction works</v>
      </c>
      <c r="N238" s="59">
        <f>'LCoP CONVENTIONAL'!$G$27</f>
        <v>0.1</v>
      </c>
      <c r="O238" s="2">
        <f>N238*$O$235</f>
        <v>37941908.998337768</v>
      </c>
      <c r="P238" t="str">
        <f>'LCoP CONVENTIONAL'!$I$27</f>
        <v>Legal and accounting services; services of head offices; management consultancy services</v>
      </c>
      <c r="Q238" s="59">
        <f>'LCoP CONVENTIONAL'!$J$27</f>
        <v>0.2</v>
      </c>
      <c r="R238" s="2">
        <f t="shared" si="44"/>
        <v>151767635.99335107</v>
      </c>
    </row>
    <row r="239" spans="1:19" s="117" customFormat="1" x14ac:dyDescent="0.35">
      <c r="D239"/>
      <c r="H239"/>
      <c r="I239" s="18" t="s">
        <v>227</v>
      </c>
      <c r="J239" s="154" t="s">
        <v>178</v>
      </c>
      <c r="K239" s="59">
        <f>'Feedtstocks only CONVENTIONAL'!J26</f>
        <v>3.9335389263012145E-2</v>
      </c>
      <c r="L239" s="2">
        <f>K239*$L$235</f>
        <v>89547585.589883968</v>
      </c>
      <c r="M239" t="str">
        <f>'LCoP CONVENTIONAL'!$F$28</f>
        <v>Fabricated metal products</v>
      </c>
      <c r="N239" s="59">
        <f>'LCoP CONVENTIONAL'!$G$28</f>
        <v>7.0000000000000007E-2</v>
      </c>
      <c r="O239" s="2">
        <f>N239*$O$235</f>
        <v>26559336.29883644</v>
      </c>
      <c r="P239" t="str">
        <f>'LCoP CONVENTIONAL'!$I$28</f>
        <v>Repair and installation services</v>
      </c>
      <c r="Q239" s="59">
        <f>'LCoP CONVENTIONAL'!$J$28</f>
        <v>0.15</v>
      </c>
      <c r="R239" s="2">
        <f t="shared" si="44"/>
        <v>113825726.99501331</v>
      </c>
    </row>
    <row r="240" spans="1:19" s="117" customFormat="1" x14ac:dyDescent="0.35">
      <c r="D240"/>
      <c r="H240"/>
      <c r="I240"/>
      <c r="J240"/>
      <c r="K240"/>
      <c r="L240"/>
      <c r="M240" t="str">
        <f>'LCoP CONVENTIONAL'!$F$29</f>
        <v>Computer, electronic and optical products</v>
      </c>
      <c r="N240" s="59">
        <f>'LCoP CONVENTIONAL'!$G$29</f>
        <v>0.03</v>
      </c>
      <c r="O240" s="2">
        <f>N240*$O$235</f>
        <v>11382572.69950133</v>
      </c>
      <c r="P240" s="299" t="str">
        <f>'LCoP CONVENTIONAL'!$I$29</f>
        <v>Land transport services and transport services via pipelines</v>
      </c>
      <c r="Q240" s="59">
        <f>'LCoP CONVENTIONAL'!$J$29</f>
        <v>0.05</v>
      </c>
      <c r="R240" s="2">
        <f t="shared" si="44"/>
        <v>37941908.998337768</v>
      </c>
    </row>
    <row r="241" spans="1:19" x14ac:dyDescent="0.35">
      <c r="E241" s="6"/>
      <c r="F241" s="31"/>
      <c r="P241" t="str">
        <f>'LCoP CONVENTIONAL'!$I$30</f>
        <v>Waste management services</v>
      </c>
      <c r="Q241" s="59">
        <f>'LCoP CONVENTIONAL'!$J$30</f>
        <v>0</v>
      </c>
      <c r="R241" s="2">
        <f t="shared" si="44"/>
        <v>0</v>
      </c>
    </row>
    <row r="242" spans="1:19" x14ac:dyDescent="0.35">
      <c r="D242" s="6"/>
      <c r="E242" s="6"/>
    </row>
    <row r="243" spans="1:19" x14ac:dyDescent="0.35">
      <c r="A243" s="114" t="s">
        <v>356</v>
      </c>
      <c r="B243" s="114">
        <v>1165.6261363636365</v>
      </c>
      <c r="C243" s="114">
        <f>B243*F243</f>
        <v>777461300.68676889</v>
      </c>
      <c r="D243" s="114">
        <f>'[2]GAP analysis Sc. 2'!$I$23</f>
        <v>0.70095472031371264</v>
      </c>
      <c r="E243" s="114">
        <f>'[1]Conversion factors selected IV '!$O$7</f>
        <v>0.95154545454545458</v>
      </c>
      <c r="F243" s="114">
        <f>D243*E243*1000000</f>
        <v>666990.27795669367</v>
      </c>
      <c r="G243" s="301">
        <f>'LCoP CONVENTIONAL'!$B$31</f>
        <v>1203</v>
      </c>
      <c r="H243" s="114">
        <f>G243*F243</f>
        <v>802389304.38190246</v>
      </c>
      <c r="I243" s="308">
        <f>'LCoP CONVENTIONAL'!$C$31</f>
        <v>0.75062344139650872</v>
      </c>
      <c r="J243" s="114"/>
      <c r="K243" s="114">
        <f>I243*G243</f>
        <v>903</v>
      </c>
      <c r="L243" s="114">
        <f>I243*H243</f>
        <v>602292220.99489439</v>
      </c>
      <c r="M243" s="308">
        <f>'LCoP CONVENTIONAL'!$F$31</f>
        <v>8.3125519534497094E-2</v>
      </c>
      <c r="N243" s="114"/>
      <c r="O243" s="114">
        <f>M243*H243</f>
        <v>66699027.795669369</v>
      </c>
      <c r="P243" s="308">
        <f>'LCoP CONVENTIONAL'!$I$31</f>
        <v>0.16625103906899419</v>
      </c>
      <c r="Q243" s="114"/>
      <c r="R243" s="114">
        <f>P243*H243</f>
        <v>133398055.59133874</v>
      </c>
      <c r="S243" s="114">
        <f>SUM(L243,O243,R243)</f>
        <v>802389304.38190246</v>
      </c>
    </row>
    <row r="244" spans="1:19" x14ac:dyDescent="0.35">
      <c r="C244">
        <f>C243/$C$227</f>
        <v>4.8480976797779497E-2</v>
      </c>
      <c r="E244" s="6"/>
      <c r="I244" t="s">
        <v>396</v>
      </c>
      <c r="J244" s="43" t="s">
        <v>179</v>
      </c>
      <c r="L244" s="2">
        <f>$L$243</f>
        <v>602292220.99489439</v>
      </c>
      <c r="M244" t="str">
        <f>'LCoP CONVENTIONAL'!$F$32</f>
        <v>Machinery and equipment</v>
      </c>
      <c r="N244" s="59">
        <f>'LCoP CONVENTIONAL'!$G$32</f>
        <v>0.57999999999999996</v>
      </c>
      <c r="O244" s="2">
        <f>N244*$O$243</f>
        <v>38685436.121488228</v>
      </c>
      <c r="P244" t="str">
        <f>'LCoP CONVENTIONAL'!$I$32</f>
        <v>Chemical and chemical products</v>
      </c>
      <c r="Q244" s="59">
        <f>'LCoP CONVENTIONAL'!$J$32</f>
        <v>0.35</v>
      </c>
      <c r="R244" s="2">
        <f t="shared" ref="R244:R249" si="45">Q244*$R$243</f>
        <v>46689319.456968553</v>
      </c>
    </row>
    <row r="245" spans="1:19" x14ac:dyDescent="0.35">
      <c r="E245" s="6"/>
      <c r="M245" t="str">
        <f>'LCoP CONVENTIONAL'!$F$33</f>
        <v>Architectural and engineering services</v>
      </c>
      <c r="N245" s="59">
        <f>'LCoP CONVENTIONAL'!$G$33</f>
        <v>0.25</v>
      </c>
      <c r="O245" s="2">
        <f>N245*$O$243</f>
        <v>16674756.948917342</v>
      </c>
      <c r="P245" t="str">
        <f>'LCoP CONVENTIONAL'!$I$33</f>
        <v>Electricity, gas, steam &amp; AC</v>
      </c>
      <c r="Q245" s="59">
        <f>'LCoP CONVENTIONAL'!$J$33</f>
        <v>0.15</v>
      </c>
      <c r="R245" s="2">
        <f t="shared" si="45"/>
        <v>20009708.338700809</v>
      </c>
    </row>
    <row r="246" spans="1:19" x14ac:dyDescent="0.35">
      <c r="E246" s="6"/>
      <c r="M246" t="str">
        <f>'LCoP CONVENTIONAL'!$F$34</f>
        <v>Constructions and construction works</v>
      </c>
      <c r="N246" s="59">
        <f>'LCoP CONVENTIONAL'!$G$34</f>
        <v>0.08</v>
      </c>
      <c r="O246" s="2">
        <f>N246*$O$243</f>
        <v>5335922.2236535493</v>
      </c>
      <c r="P246" t="str">
        <f>'LCoP CONVENTIONAL'!$I$34</f>
        <v>Legal and accounting services; services of head offices; management consultancy services</v>
      </c>
      <c r="Q246" s="59">
        <f>'LCoP CONVENTIONAL'!$J$34</f>
        <v>0.18</v>
      </c>
      <c r="R246" s="2">
        <f t="shared" si="45"/>
        <v>24011650.006440971</v>
      </c>
    </row>
    <row r="247" spans="1:19" x14ac:dyDescent="0.35">
      <c r="E247" s="6"/>
      <c r="M247" t="str">
        <f>'LCoP CONVENTIONAL'!$F$35</f>
        <v>Fabricated metal products</v>
      </c>
      <c r="N247" s="59">
        <f>'LCoP CONVENTIONAL'!$G$35</f>
        <v>0.06</v>
      </c>
      <c r="O247" s="2">
        <f>N247*$O$243</f>
        <v>4001941.667740162</v>
      </c>
      <c r="P247" t="str">
        <f>'LCoP CONVENTIONAL'!$I$35</f>
        <v>Repair and installation services</v>
      </c>
      <c r="Q247" s="59">
        <f>'LCoP CONVENTIONAL'!$J$35</f>
        <v>0.15</v>
      </c>
      <c r="R247" s="2">
        <f t="shared" si="45"/>
        <v>20009708.338700809</v>
      </c>
    </row>
    <row r="248" spans="1:19" x14ac:dyDescent="0.35">
      <c r="E248" s="6"/>
      <c r="M248" t="str">
        <f>'LCoP CONVENTIONAL'!$F$36</f>
        <v>Computer, electronic and optical products</v>
      </c>
      <c r="N248" s="59">
        <f>'LCoP CONVENTIONAL'!$G$36</f>
        <v>0.03</v>
      </c>
      <c r="O248" s="2">
        <f>N248*$O$243</f>
        <v>2000970.833870081</v>
      </c>
      <c r="P248" s="2" t="str">
        <f>'LCoP CONVENTIONAL'!$I$36</f>
        <v>Land transport services and transport services via pipelines</v>
      </c>
      <c r="Q248" s="59">
        <f>'LCoP CONVENTIONAL'!$J$36</f>
        <v>0.17</v>
      </c>
      <c r="R248" s="2">
        <f t="shared" si="45"/>
        <v>22677669.450527586</v>
      </c>
    </row>
    <row r="249" spans="1:19" x14ac:dyDescent="0.35">
      <c r="E249" s="6"/>
      <c r="P249" t="str">
        <f>'LCoP CONVENTIONAL'!$I$37</f>
        <v>Waste management services</v>
      </c>
      <c r="Q249" s="59">
        <f>'LCoP CONVENTIONAL'!$J$37</f>
        <v>0</v>
      </c>
      <c r="R249" s="2">
        <f t="shared" si="45"/>
        <v>0</v>
      </c>
    </row>
    <row r="250" spans="1:19" x14ac:dyDescent="0.35">
      <c r="D250" s="6"/>
      <c r="E250" s="6"/>
    </row>
    <row r="251" spans="1:19" s="114" customFormat="1" x14ac:dyDescent="0.35">
      <c r="A251" s="114" t="s">
        <v>245</v>
      </c>
      <c r="B251" s="114">
        <v>1165.6261363636365</v>
      </c>
      <c r="C251" s="114">
        <f>B251*F251</f>
        <v>7627465462.7658701</v>
      </c>
      <c r="D251" s="114">
        <f>D227-D228-D235-D243</f>
        <v>5.7828307475945016</v>
      </c>
      <c r="E251" s="114">
        <f>'[1]Conversion factors selected IV '!$O$4</f>
        <v>1.1315675675675676</v>
      </c>
      <c r="F251" s="114">
        <f>D251*E251*1000000</f>
        <v>6543663.7227104483</v>
      </c>
      <c r="G251" s="301">
        <f>'LCoP CONVENTIONAL'!$B$17</f>
        <v>1253</v>
      </c>
      <c r="H251" s="114">
        <f>G251*F251</f>
        <v>8199210644.5561914</v>
      </c>
      <c r="I251" s="309">
        <f>'LCoP CONVENTIONAL'!$C$17</f>
        <v>0.72067039106145248</v>
      </c>
      <c r="K251" s="114">
        <f>I251*G251</f>
        <v>903</v>
      </c>
      <c r="L251" s="114">
        <f>I251*H251</f>
        <v>5908928341.6075344</v>
      </c>
      <c r="M251" s="309">
        <f>'LCoP CONVENTIONAL'!$F$17</f>
        <v>6.6241021548284124E-2</v>
      </c>
      <c r="O251" s="114">
        <f>M251*H251</f>
        <v>543124088.98496723</v>
      </c>
      <c r="P251" s="309">
        <f>'LCoP CONVENTIONAL'!$I$17</f>
        <v>0.21308858739026337</v>
      </c>
      <c r="R251" s="114">
        <f>P251*H251</f>
        <v>1747158213.9636896</v>
      </c>
      <c r="S251" s="114">
        <f>SUM(L251,O251,R251)</f>
        <v>8199210644.5561914</v>
      </c>
    </row>
    <row r="252" spans="1:19" x14ac:dyDescent="0.35">
      <c r="A252" s="24"/>
      <c r="B252" s="24"/>
      <c r="C252">
        <f>C251/$C$227</f>
        <v>0.47563393290388345</v>
      </c>
      <c r="H252" s="191" t="s">
        <v>252</v>
      </c>
      <c r="I252" t="s">
        <v>233</v>
      </c>
      <c r="J252" s="154" t="s">
        <v>178</v>
      </c>
      <c r="K252" s="59">
        <f>'Feedtstocks only CONVENTIONAL'!J37</f>
        <v>0.42676656092472537</v>
      </c>
      <c r="L252" s="2">
        <f>K252*$L$251</f>
        <v>2521733027.0984883</v>
      </c>
      <c r="M252" t="str">
        <f>'LCoP CONVENTIONAL'!$F$18</f>
        <v>Machinery and equipment</v>
      </c>
      <c r="N252" s="59">
        <f>'LCoP CONVENTIONAL'!$G$18</f>
        <v>0.5</v>
      </c>
      <c r="O252" s="2">
        <f>N252*$O$251</f>
        <v>271562044.49248362</v>
      </c>
      <c r="P252" t="str">
        <f>'LCoP CONVENTIONAL'!$I$18</f>
        <v>Chemical and chemical products</v>
      </c>
      <c r="Q252" s="59">
        <f>'LCoP CONVENTIONAL'!$J$18</f>
        <v>0.25</v>
      </c>
      <c r="R252" s="2">
        <f t="shared" ref="R252:R257" si="46">Q252*$R$251</f>
        <v>436789553.49092239</v>
      </c>
    </row>
    <row r="253" spans="1:19" x14ac:dyDescent="0.35">
      <c r="A253" s="24"/>
      <c r="B253" s="24"/>
      <c r="C253" s="24"/>
      <c r="F253" s="31"/>
      <c r="H253" s="192" t="s">
        <v>254</v>
      </c>
      <c r="I253" t="s">
        <v>233</v>
      </c>
      <c r="J253" s="154" t="s">
        <v>178</v>
      </c>
      <c r="K253" s="59">
        <f>'Feedtstocks only CONVENTIONAL'!J38</f>
        <v>0.28451104061648358</v>
      </c>
      <c r="L253" s="2">
        <f>K253*$L$251</f>
        <v>1681155351.3989921</v>
      </c>
      <c r="M253" t="str">
        <f>'LCoP CONVENTIONAL'!$F$19</f>
        <v>Architectural and engineering services</v>
      </c>
      <c r="N253" s="59">
        <f>'LCoP CONVENTIONAL'!$G$19</f>
        <v>0.3</v>
      </c>
      <c r="O253" s="2">
        <f>N253*$O$251</f>
        <v>162937226.69549015</v>
      </c>
      <c r="P253" t="str">
        <f>'LCoP CONVENTIONAL'!$I$19</f>
        <v>Electricity, gas, steam &amp; AC</v>
      </c>
      <c r="Q253" s="59">
        <f>'LCoP CONVENTIONAL'!$J$19</f>
        <v>0.15</v>
      </c>
      <c r="R253" s="2">
        <f t="shared" si="46"/>
        <v>262073732.09455341</v>
      </c>
    </row>
    <row r="254" spans="1:19" x14ac:dyDescent="0.35">
      <c r="A254" s="24"/>
      <c r="B254" s="24"/>
      <c r="C254" s="24"/>
      <c r="H254" s="192" t="s">
        <v>254</v>
      </c>
      <c r="I254" t="s">
        <v>267</v>
      </c>
      <c r="J254" s="154" t="s">
        <v>178</v>
      </c>
      <c r="K254" s="59">
        <f>'Feedtstocks only CONVENTIONAL'!J39</f>
        <v>0.288722398458791</v>
      </c>
      <c r="L254" s="2">
        <f>K254*$L$251</f>
        <v>1706039963.1100535</v>
      </c>
      <c r="M254" t="str">
        <f>'LCoP CONVENTIONAL'!$F$20</f>
        <v>Constructions and construction works</v>
      </c>
      <c r="N254" s="59">
        <f>'LCoP CONVENTIONAL'!$G$20</f>
        <v>0.1</v>
      </c>
      <c r="O254" s="2">
        <f>N254*$O$251</f>
        <v>54312408.898496725</v>
      </c>
      <c r="P254" t="str">
        <f>'LCoP CONVENTIONAL'!$I$20</f>
        <v>Legal and accounting services; services of head offices; management consultancy services</v>
      </c>
      <c r="Q254" s="59">
        <f>'LCoP CONVENTIONAL'!$J$20</f>
        <v>0.2</v>
      </c>
      <c r="R254" s="2">
        <f t="shared" si="46"/>
        <v>349431642.79273796</v>
      </c>
    </row>
    <row r="255" spans="1:19" x14ac:dyDescent="0.35">
      <c r="A255" s="24"/>
      <c r="B255" s="24"/>
      <c r="C255" s="24"/>
      <c r="M255" t="str">
        <f>'LCoP CONVENTIONAL'!$F$21</f>
        <v>Fabricated metal products</v>
      </c>
      <c r="N255" s="59">
        <f>'LCoP CONVENTIONAL'!$G$21</f>
        <v>7.0000000000000007E-2</v>
      </c>
      <c r="O255" s="2">
        <f>N255*$O$251</f>
        <v>38018686.228947707</v>
      </c>
      <c r="P255" t="str">
        <f>'LCoP CONVENTIONAL'!$I$21</f>
        <v>Repair and installation services</v>
      </c>
      <c r="Q255" s="59">
        <f>'LCoP CONVENTIONAL'!$J$21</f>
        <v>0.2</v>
      </c>
      <c r="R255" s="2">
        <f t="shared" si="46"/>
        <v>349431642.79273796</v>
      </c>
    </row>
    <row r="256" spans="1:19" x14ac:dyDescent="0.35">
      <c r="A256" s="24"/>
      <c r="B256" s="24"/>
      <c r="C256" s="24"/>
      <c r="M256" t="str">
        <f>'LCoP CONVENTIONAL'!$F$22</f>
        <v>Computer, electronic and optical products</v>
      </c>
      <c r="N256" s="59">
        <f>'LCoP CONVENTIONAL'!$G$22</f>
        <v>0.03</v>
      </c>
      <c r="O256" s="2">
        <f>N256*$O$251</f>
        <v>16293722.669549016</v>
      </c>
      <c r="P256" s="2" t="str">
        <f>'LCoP CONVENTIONAL'!$I$22</f>
        <v>Land transport services and transport services via pipelines</v>
      </c>
      <c r="Q256" s="59">
        <f>'LCoP CONVENTIONAL'!$J$22</f>
        <v>0.1</v>
      </c>
      <c r="R256" s="2">
        <f t="shared" si="46"/>
        <v>174715821.39636898</v>
      </c>
    </row>
    <row r="257" spans="1:19" x14ac:dyDescent="0.35">
      <c r="P257" t="str">
        <f>'LCoP CONVENTIONAL'!$I$23</f>
        <v>Waste management services</v>
      </c>
      <c r="Q257" s="59">
        <f>'LCoP CONVENTIONAL'!$J$23</f>
        <v>0.1</v>
      </c>
      <c r="R257" s="2">
        <f t="shared" si="46"/>
        <v>174715821.39636898</v>
      </c>
    </row>
    <row r="259" spans="1:19" s="103" customFormat="1" ht="34" customHeight="1" x14ac:dyDescent="0.35">
      <c r="A259" s="33" t="s">
        <v>345</v>
      </c>
      <c r="B259" s="33"/>
      <c r="C259" s="33"/>
      <c r="F259" s="227"/>
    </row>
    <row r="261" spans="1:19" s="103" customFormat="1" x14ac:dyDescent="0.35">
      <c r="A261" s="103" t="s">
        <v>346</v>
      </c>
      <c r="B261" s="157">
        <f>2100</f>
        <v>2100</v>
      </c>
      <c r="C261" s="114">
        <f>B261*F261</f>
        <v>6103334654.7988844</v>
      </c>
      <c r="D261" s="157">
        <f>'[2]GAP analysis Sc. 2'!$E$89</f>
        <v>2.9849298493263632</v>
      </c>
      <c r="E261" s="157">
        <f>'[1]Conversion factors selected IV '!$O$12</f>
        <v>0.97367441860465131</v>
      </c>
      <c r="F261" s="157">
        <f>D261*E261*1000000</f>
        <v>2906349.8356185164</v>
      </c>
      <c r="G261" s="304">
        <f>'LCoP CONVENTIONAL'!$B$45</f>
        <v>2903</v>
      </c>
      <c r="H261" s="157">
        <f>G261*F261</f>
        <v>8437133572.8005533</v>
      </c>
      <c r="I261" s="304">
        <f>'LCoP CONVENTIONAL'!$C$45</f>
        <v>0.67550809507406129</v>
      </c>
      <c r="J261" s="157"/>
      <c r="K261" s="157">
        <f>I261*G261</f>
        <v>1961</v>
      </c>
      <c r="L261" s="227">
        <f>I261*H261</f>
        <v>5699352027.6479101</v>
      </c>
      <c r="M261" s="304">
        <f>'LCoP CONVENTIONAL'!$F$45</f>
        <v>0.12952118498105408</v>
      </c>
      <c r="N261" s="157"/>
      <c r="O261" s="227">
        <f>M261*H261</f>
        <v>1092787538.1925621</v>
      </c>
      <c r="P261" s="310">
        <f>'LCoP CONVENTIONAL'!$I$45</f>
        <v>0.1949707199448846</v>
      </c>
      <c r="Q261" s="227"/>
      <c r="R261" s="227">
        <f>P261*H261</f>
        <v>1644994006.9600804</v>
      </c>
      <c r="S261" s="290">
        <f>SUM(L261,O261,R261)</f>
        <v>8437133572.8005524</v>
      </c>
    </row>
    <row r="262" spans="1:19" x14ac:dyDescent="0.35">
      <c r="H262" s="191" t="s">
        <v>252</v>
      </c>
      <c r="I262" t="s">
        <v>233</v>
      </c>
      <c r="J262" t="s">
        <v>178</v>
      </c>
      <c r="K262" s="59">
        <f>'Feedtstocks only CONVENTIONAL'!J37</f>
        <v>0.42676656092472537</v>
      </c>
      <c r="L262" s="2">
        <f>K262*$L$261</f>
        <v>2432292864.3386588</v>
      </c>
      <c r="M262" t="str">
        <f>'LCoP CONVENTIONAL'!$F$46</f>
        <v>Machinery and equipment</v>
      </c>
      <c r="N262" s="59">
        <f>'LCoP CONVENTIONAL'!$G$46</f>
        <v>0.6</v>
      </c>
      <c r="O262" s="1">
        <f>N262*$O$261</f>
        <v>655672522.91553724</v>
      </c>
      <c r="P262" s="1" t="str">
        <f>'LCoP CONVENTIONAL'!$I$46</f>
        <v>Chemical and chemical products</v>
      </c>
      <c r="Q262" s="1">
        <f>'LCoP CONVENTIONAL'!$J$46</f>
        <v>0.15</v>
      </c>
      <c r="R262" s="1">
        <f t="shared" ref="R262:R267" si="47">Q262*$R$261</f>
        <v>246749101.04401204</v>
      </c>
    </row>
    <row r="263" spans="1:19" x14ac:dyDescent="0.35">
      <c r="H263" s="192" t="s">
        <v>254</v>
      </c>
      <c r="I263" t="s">
        <v>268</v>
      </c>
      <c r="J263" t="s">
        <v>178</v>
      </c>
      <c r="K263" s="59">
        <f>'Feedtstocks only CONVENTIONAL'!J38</f>
        <v>0.28451104061648358</v>
      </c>
      <c r="L263" s="2">
        <f>K263*$L$261</f>
        <v>1621528576.2257726</v>
      </c>
      <c r="M263" t="str">
        <f>'LCoP CONVENTIONAL'!$F$47</f>
        <v>Architectural and engineering services</v>
      </c>
      <c r="N263" s="59">
        <f>'LCoP CONVENTIONAL'!$G$47</f>
        <v>0.25</v>
      </c>
      <c r="O263" s="1">
        <f>N263*$O$261</f>
        <v>273196884.54814053</v>
      </c>
      <c r="P263" s="1" t="str">
        <f>'LCoP CONVENTIONAL'!$I$47</f>
        <v>Electricity, gas, steam &amp; AC</v>
      </c>
      <c r="Q263" s="1">
        <f>'LCoP CONVENTIONAL'!$J$47</f>
        <v>0.4</v>
      </c>
      <c r="R263" s="1">
        <f t="shared" si="47"/>
        <v>657997602.78403223</v>
      </c>
    </row>
    <row r="264" spans="1:19" x14ac:dyDescent="0.35">
      <c r="H264" s="192" t="s">
        <v>254</v>
      </c>
      <c r="I264" t="s">
        <v>267</v>
      </c>
      <c r="J264" t="s">
        <v>178</v>
      </c>
      <c r="K264" s="59">
        <f>'Feedtstocks only CONVENTIONAL'!J39</f>
        <v>0.288722398458791</v>
      </c>
      <c r="L264" s="2">
        <f>K264*$L$261</f>
        <v>1645530587.0834782</v>
      </c>
      <c r="M264" t="str">
        <f>'LCoP CONVENTIONAL'!$F$48</f>
        <v>Constructions and construction works</v>
      </c>
      <c r="N264" s="59">
        <f>'LCoP CONVENTIONAL'!$G$48</f>
        <v>7.0000000000000007E-2</v>
      </c>
      <c r="O264" s="1">
        <f>N264*$O$261</f>
        <v>76495127.673479348</v>
      </c>
      <c r="P264" s="1" t="str">
        <f>'LCoP CONVENTIONAL'!$I$48</f>
        <v>Legal and accounting services; services of head offices; management consultancy services</v>
      </c>
      <c r="Q264" s="1">
        <f>'LCoP CONVENTIONAL'!$J$48</f>
        <v>0.2</v>
      </c>
      <c r="R264" s="1">
        <f t="shared" si="47"/>
        <v>328998801.39201611</v>
      </c>
    </row>
    <row r="265" spans="1:19" x14ac:dyDescent="0.35">
      <c r="M265" t="str">
        <f>'LCoP CONVENTIONAL'!$F$49</f>
        <v>Fabricated metal products</v>
      </c>
      <c r="N265" s="59">
        <f>'LCoP CONVENTIONAL'!$G$49</f>
        <v>0.05</v>
      </c>
      <c r="O265" s="1">
        <f>N265*$O$261</f>
        <v>54639376.909628108</v>
      </c>
      <c r="P265" s="1" t="str">
        <f>'LCoP CONVENTIONAL'!$I$49</f>
        <v>Repair and installation services</v>
      </c>
      <c r="Q265" s="1">
        <f>'LCoP CONVENTIONAL'!$J$49</f>
        <v>0.15</v>
      </c>
      <c r="R265" s="1">
        <f t="shared" si="47"/>
        <v>246749101.04401204</v>
      </c>
    </row>
    <row r="266" spans="1:19" x14ac:dyDescent="0.35">
      <c r="M266" t="str">
        <f>'LCoP CONVENTIONAL'!$F$50</f>
        <v>Computer, electronic and optical products</v>
      </c>
      <c r="N266" s="59">
        <f>'LCoP CONVENTIONAL'!$G$50</f>
        <v>0.03</v>
      </c>
      <c r="O266" s="1">
        <f>N266*$O$261</f>
        <v>32783626.14577686</v>
      </c>
      <c r="P266" s="112" t="str">
        <f>'LCoP CONVENTIONAL'!$I$50</f>
        <v>Land transport services and transport services via pipelines</v>
      </c>
      <c r="Q266" s="1">
        <f>'LCoP CONVENTIONAL'!$J$50</f>
        <v>0.1</v>
      </c>
      <c r="R266" s="1">
        <f t="shared" si="47"/>
        <v>164499400.69600806</v>
      </c>
    </row>
    <row r="267" spans="1:19" x14ac:dyDescent="0.35">
      <c r="M267" s="59"/>
      <c r="N267" s="59"/>
      <c r="O267" s="1"/>
      <c r="P267" s="1" t="str">
        <f>'LCoP CONVENTIONAL'!$I$51</f>
        <v>Waste management services</v>
      </c>
      <c r="Q267" s="1">
        <f>'LCoP CONVENTIONAL'!$J$51</f>
        <v>0</v>
      </c>
      <c r="R267" s="1">
        <f t="shared" si="47"/>
        <v>0</v>
      </c>
    </row>
  </sheetData>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F2FC-E5BB-4BF7-8E54-9D50EC91EA70}">
  <sheetPr>
    <tabColor theme="7" tint="0.59999389629810485"/>
  </sheetPr>
  <dimension ref="A1:S266"/>
  <sheetViews>
    <sheetView zoomScale="70" zoomScaleNormal="70" workbookViewId="0">
      <pane ySplit="6" topLeftCell="A7" activePane="bottomLeft" state="frozen"/>
      <selection pane="bottomLeft" activeCell="D6" sqref="D6"/>
    </sheetView>
  </sheetViews>
  <sheetFormatPr baseColWidth="10" defaultRowHeight="14.5" x14ac:dyDescent="0.35"/>
  <cols>
    <col min="1" max="3" width="24.90625" customWidth="1"/>
    <col min="4" max="5" width="23" customWidth="1"/>
    <col min="6" max="6" width="23" style="1" customWidth="1"/>
    <col min="7" max="7" width="21.90625" customWidth="1"/>
    <col min="8" max="8" width="23" customWidth="1"/>
    <col min="10" max="10" width="13.26953125" customWidth="1"/>
    <col min="11" max="11" width="10.453125" customWidth="1"/>
    <col min="12" max="12" width="24.453125" customWidth="1"/>
    <col min="13" max="13" width="15.7265625" bestFit="1" customWidth="1"/>
    <col min="15" max="15" width="18.1796875" customWidth="1"/>
    <col min="18" max="18" width="21.453125" customWidth="1"/>
    <col min="19" max="19" width="19.1796875" customWidth="1"/>
  </cols>
  <sheetData>
    <row r="1" spans="1:19" s="46" customFormat="1" ht="24" customHeight="1" x14ac:dyDescent="0.35">
      <c r="A1" s="46" t="s">
        <v>393</v>
      </c>
      <c r="F1" s="224"/>
    </row>
    <row r="2" spans="1:19" s="46" customFormat="1" ht="24" customHeight="1" x14ac:dyDescent="0.35">
      <c r="A2" s="46" t="s">
        <v>286</v>
      </c>
      <c r="F2" s="224"/>
    </row>
    <row r="3" spans="1:19" s="46" customFormat="1" ht="24" customHeight="1" x14ac:dyDescent="0.35">
      <c r="A3" s="46" t="s">
        <v>313</v>
      </c>
      <c r="E3" s="46" t="s">
        <v>312</v>
      </c>
      <c r="F3" s="224"/>
    </row>
    <row r="4" spans="1:19" ht="19" customHeight="1" x14ac:dyDescent="0.35"/>
    <row r="5" spans="1:19" s="47" customFormat="1" ht="37" customHeight="1" x14ac:dyDescent="0.35">
      <c r="C5" s="47" t="s">
        <v>376</v>
      </c>
      <c r="D5" s="47" t="s">
        <v>394</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77" customFormat="1" ht="37" customHeight="1" x14ac:dyDescent="0.35">
      <c r="A6" s="177" t="s">
        <v>347</v>
      </c>
      <c r="B6" s="177" t="s">
        <v>375</v>
      </c>
      <c r="C6" s="234">
        <f>C8+C45+C87+C122+C160</f>
        <v>254916302191.5553</v>
      </c>
      <c r="D6" s="234">
        <f>D8+D45+D87+D122+D160</f>
        <v>173.93465481592082</v>
      </c>
      <c r="F6" s="233"/>
      <c r="I6" s="184"/>
      <c r="M6" s="184"/>
      <c r="P6" s="184"/>
    </row>
    <row r="7" spans="1:19" s="91" customFormat="1" ht="40" customHeight="1" x14ac:dyDescent="0.35">
      <c r="A7" s="91" t="s">
        <v>77</v>
      </c>
      <c r="F7" s="169"/>
    </row>
    <row r="8" spans="1:19" s="200" customFormat="1" x14ac:dyDescent="0.35">
      <c r="A8" s="200" t="s">
        <v>156</v>
      </c>
      <c r="C8" s="207">
        <f>C9+C16+C27</f>
        <v>24660680256.176247</v>
      </c>
      <c r="D8" s="207">
        <f>D9+D16+D27</f>
        <v>14.412625023672277</v>
      </c>
      <c r="E8" s="207">
        <f>E9+E16+E27</f>
        <v>2.9030909090909112</v>
      </c>
      <c r="F8" s="207">
        <f>F9+F16+F27</f>
        <v>14091817.28924357</v>
      </c>
      <c r="L8" s="207">
        <f>L9+L16+L27</f>
        <v>4439488774.8166828</v>
      </c>
      <c r="M8" s="207"/>
      <c r="N8" s="207"/>
      <c r="O8" s="207">
        <f>O9+O16+O27</f>
        <v>14924152329.73727</v>
      </c>
      <c r="P8" s="218"/>
      <c r="Q8" s="207"/>
      <c r="R8" s="207">
        <f>R9+R16+R27</f>
        <v>7755040741.3807507</v>
      </c>
    </row>
    <row r="9" spans="1:19" s="201" customFormat="1" x14ac:dyDescent="0.35">
      <c r="A9" s="201" t="s">
        <v>294</v>
      </c>
      <c r="B9" s="201">
        <v>1750</v>
      </c>
      <c r="C9" s="203">
        <f>B9*F9</f>
        <v>672253052.88237131</v>
      </c>
      <c r="D9" s="287">
        <f>'[3]Scenario 3 2035'!$H$4</f>
        <v>0.40370599198602869</v>
      </c>
      <c r="E9" s="208">
        <f>'[1]Conversion factors selected IV '!$O$7</f>
        <v>0.95154545454545458</v>
      </c>
      <c r="F9" s="202">
        <f>D9*E9*1000000</f>
        <v>384144.60164706933</v>
      </c>
      <c r="G9" s="208">
        <f>'LCoP 2030 HIGH'!E3</f>
        <v>2245.1728622062474</v>
      </c>
      <c r="H9" s="202">
        <f>G9*F9</f>
        <v>862471034.78102934</v>
      </c>
      <c r="I9" s="203">
        <f>'LCoP 2030 HIGH'!H3</f>
        <v>0.74489714817006125</v>
      </c>
      <c r="L9" s="202">
        <f>I9*H9</f>
        <v>642452214.18767047</v>
      </c>
      <c r="M9" s="203">
        <f>'LCoP 2030 HIGH'!F3</f>
        <v>0.11981260085945622</v>
      </c>
      <c r="O9" s="202">
        <f>M9*H9</f>
        <v>103334897.84306166</v>
      </c>
      <c r="P9" s="226">
        <f>'LCoP 2030 HIGH'!G3</f>
        <v>0.13529025097048261</v>
      </c>
      <c r="R9" s="202">
        <f>P9*H9</f>
        <v>116683922.75029729</v>
      </c>
      <c r="S9" s="202">
        <f>L9+O9+R9</f>
        <v>862471034.78102946</v>
      </c>
    </row>
    <row r="10" spans="1:19" x14ac:dyDescent="0.35">
      <c r="C10">
        <f>C9/$C$8</f>
        <v>2.726011796507544E-2</v>
      </c>
      <c r="F10" s="31"/>
      <c r="H10" s="192" t="s">
        <v>254</v>
      </c>
      <c r="I10" s="215" t="s">
        <v>132</v>
      </c>
      <c r="J10" s="147" t="s">
        <v>179</v>
      </c>
      <c r="K10" s="6">
        <f>'Feedstock MIX per IVC'!J6</f>
        <v>179.86731245421893</v>
      </c>
      <c r="L10" s="2">
        <f>K10*$F$9</f>
        <v>69095057.092054889</v>
      </c>
      <c r="M10" s="5" t="s">
        <v>211</v>
      </c>
      <c r="N10" s="118">
        <v>0.05</v>
      </c>
      <c r="O10" s="2">
        <f t="shared" ref="O10:O15" si="0">N10*O$9</f>
        <v>5166744.8921530833</v>
      </c>
      <c r="P10" s="18" t="s">
        <v>217</v>
      </c>
      <c r="Q10" s="118">
        <v>0.35</v>
      </c>
      <c r="R10" s="102">
        <f>Q10*R$9</f>
        <v>40839372.962604053</v>
      </c>
    </row>
    <row r="11" spans="1:19" x14ac:dyDescent="0.35">
      <c r="F11" s="31"/>
      <c r="I11" s="216" t="s">
        <v>300</v>
      </c>
      <c r="J11" s="151" t="s">
        <v>77</v>
      </c>
      <c r="K11" s="6">
        <f>'Feedstock MIX per IVC'!J7*0.85</f>
        <v>1268.6722172892244</v>
      </c>
      <c r="L11" s="2">
        <f>K11*$F$9</f>
        <v>487353583.53127325</v>
      </c>
      <c r="M11" t="s">
        <v>212</v>
      </c>
      <c r="N11" s="118">
        <v>0.02</v>
      </c>
      <c r="O11" s="2">
        <f t="shared" si="0"/>
        <v>2066697.9568612331</v>
      </c>
      <c r="P11" s="18" t="s">
        <v>177</v>
      </c>
      <c r="Q11" s="118">
        <v>0.25</v>
      </c>
      <c r="R11" s="102">
        <f>Q11*R$9</f>
        <v>29170980.687574323</v>
      </c>
    </row>
    <row r="12" spans="1:19" x14ac:dyDescent="0.35">
      <c r="F12" s="31"/>
      <c r="I12" s="217" t="s">
        <v>316</v>
      </c>
      <c r="J12" s="240" t="s">
        <v>177</v>
      </c>
      <c r="K12" s="6">
        <f>'Feedstock MIX per IVC'!J7*0.15</f>
        <v>223.88333246280428</v>
      </c>
      <c r="L12" s="2">
        <f>K12*$F$9</f>
        <v>86003573.564342335</v>
      </c>
      <c r="M12" s="5" t="s">
        <v>210</v>
      </c>
      <c r="N12" s="118">
        <v>0.45</v>
      </c>
      <c r="O12" s="2">
        <f t="shared" si="0"/>
        <v>46500704.029377744</v>
      </c>
      <c r="P12" s="18" t="s">
        <v>218</v>
      </c>
      <c r="Q12" s="118">
        <v>0.2</v>
      </c>
      <c r="R12" s="102">
        <f>Q12*R$9</f>
        <v>23336784.55005946</v>
      </c>
      <c r="S12" s="2"/>
    </row>
    <row r="13" spans="1:19" x14ac:dyDescent="0.35">
      <c r="F13" s="31"/>
      <c r="L13" s="2">
        <f>SUM(L10:L12)</f>
        <v>642452214.18767047</v>
      </c>
      <c r="M13" t="s">
        <v>213</v>
      </c>
      <c r="N13" s="118">
        <v>0.15</v>
      </c>
      <c r="O13" s="2">
        <f t="shared" si="0"/>
        <v>15500234.676459247</v>
      </c>
      <c r="P13" s="18" t="s">
        <v>219</v>
      </c>
      <c r="Q13" s="118">
        <v>0.15</v>
      </c>
      <c r="R13" s="102">
        <f>Q13*R$9</f>
        <v>17502588.412544593</v>
      </c>
    </row>
    <row r="14" spans="1:19" x14ac:dyDescent="0.35">
      <c r="F14" s="31"/>
      <c r="M14" t="s">
        <v>214</v>
      </c>
      <c r="N14" s="118">
        <v>0.3</v>
      </c>
      <c r="O14" s="2">
        <f t="shared" si="0"/>
        <v>31000469.352918494</v>
      </c>
      <c r="P14" s="18" t="s">
        <v>220</v>
      </c>
      <c r="Q14" s="118">
        <v>0.05</v>
      </c>
      <c r="R14" s="102">
        <f>Q14*R$9</f>
        <v>5834196.137514865</v>
      </c>
    </row>
    <row r="15" spans="1:19" x14ac:dyDescent="0.35">
      <c r="F15" s="31"/>
      <c r="M15" t="s">
        <v>216</v>
      </c>
      <c r="N15" s="118">
        <v>0.03</v>
      </c>
      <c r="O15" s="2">
        <f t="shared" si="0"/>
        <v>3100046.9352918495</v>
      </c>
      <c r="P15" s="18"/>
      <c r="Q15" s="118"/>
      <c r="R15" s="102"/>
    </row>
    <row r="16" spans="1:19" s="201" customFormat="1" x14ac:dyDescent="0.35">
      <c r="A16" s="201" t="s">
        <v>315</v>
      </c>
      <c r="B16" s="201">
        <v>1750</v>
      </c>
      <c r="C16" s="203">
        <f>B16*F16</f>
        <v>10352729073.69264</v>
      </c>
      <c r="D16" s="288">
        <f>'[3]Scenario 3 2035'!$H$5</f>
        <v>6.2170915290569715</v>
      </c>
      <c r="E16" s="210">
        <f>'[1]Conversion factors selected IV '!$O$64</f>
        <v>0.95154545454545658</v>
      </c>
      <c r="F16" s="202">
        <f>D16*E16*1000000</f>
        <v>5915845.1849672236</v>
      </c>
      <c r="G16" s="203">
        <f>'LCoP 2030 HIGH'!E15</f>
        <v>2502.2770558784428</v>
      </c>
      <c r="H16" s="202">
        <f>G16*F16</f>
        <v>14803083672.472446</v>
      </c>
      <c r="I16" s="203">
        <f>'LCoP 2030 HIGH'!H15</f>
        <v>0.13628668938848684</v>
      </c>
      <c r="L16" s="202">
        <f>I16*H16</f>
        <v>2017463266.4620335</v>
      </c>
      <c r="M16" s="203">
        <f>'LCoP 2030 HIGH'!F15</f>
        <v>0.57747402375182721</v>
      </c>
      <c r="O16" s="202">
        <f>M16*H16</f>
        <v>8548396292.2776394</v>
      </c>
      <c r="P16" s="203">
        <f>'LCoP 2030 HIGH'!G15</f>
        <v>0.28623928685968597</v>
      </c>
      <c r="R16" s="202">
        <f>P16*H16</f>
        <v>4237224113.7327743</v>
      </c>
      <c r="S16" s="202">
        <f>L16+O16+R16</f>
        <v>14803083672.472448</v>
      </c>
    </row>
    <row r="17" spans="1:19" x14ac:dyDescent="0.35">
      <c r="C17">
        <f>C16/$C$8</f>
        <v>0.41980711667918441</v>
      </c>
      <c r="F17" s="31"/>
      <c r="G17" s="147" t="s">
        <v>179</v>
      </c>
      <c r="H17" s="2">
        <f>IFERROR(SUMIF($J$17:$J$26,G17,$L$17:$L$26)/$L$16,"")</f>
        <v>0.59771744897730228</v>
      </c>
      <c r="I17" s="5" t="s">
        <v>4</v>
      </c>
      <c r="J17" s="147" t="s">
        <v>179</v>
      </c>
      <c r="K17" s="6">
        <f>'Feedstock MIX per IVC'!J58</f>
        <v>181.54132056980592</v>
      </c>
      <c r="L17" s="2">
        <f t="shared" ref="L17:L26" si="1">K17*F$16</f>
        <v>1073970347.1654775</v>
      </c>
      <c r="M17" s="5" t="s">
        <v>211</v>
      </c>
      <c r="N17" s="34">
        <v>0</v>
      </c>
      <c r="O17" s="2">
        <f t="shared" ref="O17:O22" si="2">N17*O$16</f>
        <v>0</v>
      </c>
      <c r="P17" s="18" t="s">
        <v>217</v>
      </c>
      <c r="Q17" s="34">
        <v>0.25</v>
      </c>
      <c r="R17" s="102">
        <f>Q17*R$16</f>
        <v>1059306028.4331936</v>
      </c>
    </row>
    <row r="18" spans="1:19" x14ac:dyDescent="0.35">
      <c r="F18" s="31"/>
      <c r="G18" s="171" t="s">
        <v>222</v>
      </c>
      <c r="H18" s="2">
        <f>IFERROR(SUMIF($J$17:$J$26,G18,$L$17:$L$26)/$L$16,"")</f>
        <v>0.12919991412226317</v>
      </c>
      <c r="I18" s="5" t="s">
        <v>5</v>
      </c>
      <c r="J18" s="147" t="s">
        <v>179</v>
      </c>
      <c r="K18" s="6">
        <f>'Feedstock MIX per IVC'!J59</f>
        <v>8.4731123300720981</v>
      </c>
      <c r="L18" s="2">
        <f t="shared" si="1"/>
        <v>50125620.779543437</v>
      </c>
      <c r="M18" t="s">
        <v>212</v>
      </c>
      <c r="N18" s="34">
        <v>0.02</v>
      </c>
      <c r="O18" s="2">
        <f t="shared" si="2"/>
        <v>170967925.8455528</v>
      </c>
      <c r="P18" s="18" t="s">
        <v>177</v>
      </c>
      <c r="Q18" s="34">
        <v>0.15</v>
      </c>
      <c r="R18" s="102">
        <f>Q18*R$16</f>
        <v>635583617.05991614</v>
      </c>
    </row>
    <row r="19" spans="1:19" x14ac:dyDescent="0.35">
      <c r="F19" s="31"/>
      <c r="G19" s="149" t="s">
        <v>176</v>
      </c>
      <c r="H19" s="2">
        <f>IFERROR(SUMIF($J$17:$J$26,G19,$L$17:$L$26)/$L$16,"")</f>
        <v>0.14918901054853168</v>
      </c>
      <c r="I19" s="5" t="s">
        <v>22</v>
      </c>
      <c r="J19" s="152" t="s">
        <v>180</v>
      </c>
      <c r="K19" s="6">
        <f>'Feedstock MIX per IVC'!J60</f>
        <v>0</v>
      </c>
      <c r="L19" s="2">
        <f t="shared" si="1"/>
        <v>0</v>
      </c>
      <c r="M19" s="5" t="s">
        <v>210</v>
      </c>
      <c r="N19" s="34">
        <v>0.55000000000000004</v>
      </c>
      <c r="O19" s="2">
        <f t="shared" si="2"/>
        <v>4701617960.7527018</v>
      </c>
      <c r="P19" s="18" t="s">
        <v>218</v>
      </c>
      <c r="Q19" s="34">
        <v>0.3</v>
      </c>
      <c r="R19" s="102">
        <f>Q19*R$16</f>
        <v>1271167234.1198323</v>
      </c>
    </row>
    <row r="20" spans="1:19" x14ac:dyDescent="0.35">
      <c r="F20" s="31"/>
      <c r="G20" s="150" t="s">
        <v>178</v>
      </c>
      <c r="H20" s="2">
        <f>IFERROR(SUMIF($J$17:$J$26,G20,$L$17:$L$26)/$L$16,"")</f>
        <v>1.2600306201480687E-2</v>
      </c>
      <c r="I20" s="5" t="s">
        <v>6</v>
      </c>
      <c r="J20" s="150" t="s">
        <v>178</v>
      </c>
      <c r="K20" s="6">
        <f>'Feedstock MIX per IVC'!J61</f>
        <v>4.2970453270578419</v>
      </c>
      <c r="L20" s="2">
        <f t="shared" si="1"/>
        <v>25420654.907661043</v>
      </c>
      <c r="M20" t="s">
        <v>213</v>
      </c>
      <c r="N20" s="34">
        <v>0.1</v>
      </c>
      <c r="O20" s="2">
        <f t="shared" si="2"/>
        <v>854839629.22776401</v>
      </c>
      <c r="P20" s="18" t="s">
        <v>219</v>
      </c>
      <c r="Q20" s="34">
        <v>0.3</v>
      </c>
      <c r="R20" s="102">
        <f>Q20*R$16</f>
        <v>1271167234.1198323</v>
      </c>
    </row>
    <row r="21" spans="1:19" x14ac:dyDescent="0.35">
      <c r="F21" s="31"/>
      <c r="G21" s="152" t="s">
        <v>180</v>
      </c>
      <c r="H21" s="2">
        <f>IFERROR(SUMIF($J$17:$J$26,G21,$L$17:$L$26)/$L$16,"")</f>
        <v>2.330878902955873E-2</v>
      </c>
      <c r="I21" s="5" t="s">
        <v>7</v>
      </c>
      <c r="J21" s="147" t="s">
        <v>179</v>
      </c>
      <c r="K21" s="6">
        <f>'Feedstock MIX per IVC'!J62</f>
        <v>8.1190082289891219</v>
      </c>
      <c r="L21" s="2">
        <f t="shared" si="1"/>
        <v>48030795.738174565</v>
      </c>
      <c r="M21" t="s">
        <v>214</v>
      </c>
      <c r="N21" s="34">
        <v>0.3</v>
      </c>
      <c r="O21" s="2">
        <f t="shared" si="2"/>
        <v>2564518887.6832919</v>
      </c>
      <c r="P21" s="18" t="s">
        <v>220</v>
      </c>
      <c r="Q21" s="223">
        <v>0</v>
      </c>
      <c r="R21" s="102">
        <f>Q21*R$16</f>
        <v>0</v>
      </c>
    </row>
    <row r="22" spans="1:19" x14ac:dyDescent="0.35">
      <c r="F22" s="31"/>
      <c r="G22" s="151" t="s">
        <v>77</v>
      </c>
      <c r="H22" s="2">
        <f>IFERROR(SUMIF($J$17:$J$26,G22,$L$17:$L$26)/$L$16/2,"")</f>
        <v>4.3992265560431683E-2</v>
      </c>
      <c r="I22" s="5" t="s">
        <v>8</v>
      </c>
      <c r="J22" s="147" t="s">
        <v>179</v>
      </c>
      <c r="K22" s="6">
        <f>'Feedstock MIX per IVC'!J63</f>
        <v>5.7043807430355322</v>
      </c>
      <c r="L22" s="2">
        <f t="shared" si="1"/>
        <v>33746233.351906508</v>
      </c>
      <c r="M22" t="s">
        <v>216</v>
      </c>
      <c r="N22" s="34">
        <v>0.03</v>
      </c>
      <c r="O22" s="2">
        <f t="shared" si="2"/>
        <v>256451888.76832917</v>
      </c>
      <c r="R22" s="102"/>
    </row>
    <row r="23" spans="1:19" x14ac:dyDescent="0.35">
      <c r="F23" s="31"/>
      <c r="G23" s="190" t="s">
        <v>377</v>
      </c>
      <c r="H23" s="2">
        <f>IFERROR(H22,"")</f>
        <v>4.3992265560431683E-2</v>
      </c>
      <c r="I23" s="5" t="s">
        <v>9</v>
      </c>
      <c r="J23" s="171" t="s">
        <v>222</v>
      </c>
      <c r="K23" s="6">
        <f>'Feedstock MIX per IVC'!J64</f>
        <v>44.060666332863036</v>
      </c>
      <c r="L23" s="2">
        <f t="shared" si="1"/>
        <v>260656080.77171525</v>
      </c>
      <c r="N23" s="118"/>
      <c r="O23" s="2"/>
      <c r="P23" s="18"/>
      <c r="Q23" s="118"/>
      <c r="R23" s="2"/>
    </row>
    <row r="24" spans="1:19" x14ac:dyDescent="0.35">
      <c r="F24" s="31"/>
      <c r="H24" s="2">
        <f>IFERROR(SUM(H17:H23),"")</f>
        <v>0.99999999999999989</v>
      </c>
      <c r="I24" s="5" t="s">
        <v>10</v>
      </c>
      <c r="J24" s="149" t="s">
        <v>176</v>
      </c>
      <c r="K24" s="6">
        <f>'Feedstock MIX per IVC'!J65</f>
        <v>50.877489036783686</v>
      </c>
      <c r="L24" s="2">
        <f t="shared" si="1"/>
        <v>300983348.54147947</v>
      </c>
      <c r="N24" s="118"/>
      <c r="O24" s="2"/>
      <c r="P24" s="18"/>
      <c r="Q24" s="118"/>
      <c r="R24" s="102"/>
    </row>
    <row r="25" spans="1:19" x14ac:dyDescent="0.35">
      <c r="F25" s="31"/>
      <c r="I25" s="5" t="s">
        <v>11</v>
      </c>
      <c r="J25" s="152" t="s">
        <v>180</v>
      </c>
      <c r="K25" s="6">
        <f>'Feedstock MIX per IVC'!J66</f>
        <v>7.9489276988421569</v>
      </c>
      <c r="L25" s="2">
        <f t="shared" si="1"/>
        <v>47024625.652847968</v>
      </c>
      <c r="M25" s="2"/>
      <c r="N25" s="118"/>
      <c r="O25" s="2"/>
      <c r="P25" s="18"/>
      <c r="Q25" s="118"/>
      <c r="R25" s="102"/>
    </row>
    <row r="26" spans="1:19" x14ac:dyDescent="0.35">
      <c r="F26" s="31"/>
      <c r="I26" s="13" t="s">
        <v>32</v>
      </c>
      <c r="J26" s="151" t="s">
        <v>77</v>
      </c>
      <c r="K26" s="6">
        <f>'Feedstock MIX per IVC'!J67</f>
        <v>30.005105610993251</v>
      </c>
      <c r="L26" s="2">
        <f t="shared" si="1"/>
        <v>177505559.55322745</v>
      </c>
      <c r="N26" s="118"/>
      <c r="O26" s="2"/>
      <c r="P26" s="18"/>
      <c r="Q26" s="118"/>
      <c r="R26" s="102"/>
    </row>
    <row r="27" spans="1:19" s="201" customFormat="1" x14ac:dyDescent="0.35">
      <c r="A27" s="201" t="s">
        <v>295</v>
      </c>
      <c r="B27" s="201">
        <v>1750</v>
      </c>
      <c r="C27" s="203">
        <f>B27*F27</f>
        <v>13635698129.601234</v>
      </c>
      <c r="D27" s="287">
        <f>'[3]Scenario 3 2035'!$H$6+'[3]Scenario 3 2035'!$D$17/2</f>
        <v>7.7918275026292765</v>
      </c>
      <c r="E27" s="201">
        <f>'[1]Conversion factors selected IV '!$O$89</f>
        <v>1</v>
      </c>
      <c r="F27" s="202">
        <f>D27*E27*1000000</f>
        <v>7791827.5026292764</v>
      </c>
      <c r="G27" s="208">
        <f>'LCoP 2030 HIGH'!E19</f>
        <v>1469.8897190442781</v>
      </c>
      <c r="H27" s="203">
        <f>G27*F27</f>
        <v>11453127138.681227</v>
      </c>
      <c r="I27" s="203">
        <f>'LCoP 2030 HIGH'!H19</f>
        <v>0.15537881249538701</v>
      </c>
      <c r="L27" s="202">
        <f>I27*H27</f>
        <v>1779573294.1669786</v>
      </c>
      <c r="M27" s="203">
        <f>'LCoP 2030 HIGH'!F19</f>
        <v>0.5476601336618715</v>
      </c>
      <c r="O27" s="202">
        <f>M27*H27</f>
        <v>6272421139.6165686</v>
      </c>
      <c r="P27" s="226">
        <f>'LCoP 2030 HIGH'!G19</f>
        <v>0.29696105384274146</v>
      </c>
      <c r="R27" s="202">
        <f>P27*H27</f>
        <v>3401132704.8976793</v>
      </c>
      <c r="S27" s="202">
        <f>L27+O27+R27</f>
        <v>11453127138.681227</v>
      </c>
    </row>
    <row r="28" spans="1:19" x14ac:dyDescent="0.35">
      <c r="C28">
        <f>C27/$C$8</f>
        <v>0.5529327653557401</v>
      </c>
      <c r="D28" s="2"/>
      <c r="F28" s="147" t="s">
        <v>179</v>
      </c>
      <c r="G28" s="2">
        <f t="shared" ref="G28:G33" si="3">IFERROR(SUMIF($J$28:$J$35,F28,$L$28:$L$35)/$L$27,"")</f>
        <v>0.63900608381491475</v>
      </c>
      <c r="H28" s="192" t="s">
        <v>254</v>
      </c>
      <c r="I28" s="12" t="s">
        <v>4</v>
      </c>
      <c r="J28" s="147" t="s">
        <v>179</v>
      </c>
      <c r="K28" s="6">
        <f>'Feedstock MIX per IVC'!J84</f>
        <v>129.97872230767516</v>
      </c>
      <c r="L28" s="2">
        <f t="shared" ref="L28:L35" si="4">K28*F$27</f>
        <v>1012771783.2335567</v>
      </c>
      <c r="M28" s="5" t="s">
        <v>211</v>
      </c>
      <c r="N28" s="167">
        <v>0.15</v>
      </c>
      <c r="O28" s="2">
        <f t="shared" ref="O28:O33" si="5">N28*O$27</f>
        <v>940863170.94248521</v>
      </c>
      <c r="P28" s="18" t="s">
        <v>217</v>
      </c>
      <c r="Q28" s="118">
        <v>0.15</v>
      </c>
      <c r="R28" s="2">
        <f>Q28*R$27</f>
        <v>510169905.73465186</v>
      </c>
    </row>
    <row r="29" spans="1:19" x14ac:dyDescent="0.35">
      <c r="D29" s="2"/>
      <c r="F29" s="171" t="s">
        <v>222</v>
      </c>
      <c r="G29" s="2">
        <f t="shared" si="3"/>
        <v>0.14815699121662482</v>
      </c>
      <c r="H29" s="192" t="s">
        <v>254</v>
      </c>
      <c r="I29" s="12" t="s">
        <v>5</v>
      </c>
      <c r="J29" s="147" t="s">
        <v>179</v>
      </c>
      <c r="K29" s="6">
        <f>'Feedstock MIX per IVC'!J85</f>
        <v>6.0665214463321062</v>
      </c>
      <c r="L29" s="2">
        <f t="shared" si="4"/>
        <v>47269288.650820844</v>
      </c>
      <c r="M29" t="s">
        <v>212</v>
      </c>
      <c r="N29" s="34">
        <v>0.02</v>
      </c>
      <c r="O29" s="2">
        <f t="shared" si="5"/>
        <v>125448422.79233137</v>
      </c>
      <c r="P29" s="18" t="s">
        <v>177</v>
      </c>
      <c r="Q29" s="118">
        <v>0.25</v>
      </c>
      <c r="R29" s="2">
        <f>Q29*R$27</f>
        <v>850283176.22441983</v>
      </c>
    </row>
    <row r="30" spans="1:19" x14ac:dyDescent="0.35">
      <c r="D30" s="2"/>
      <c r="F30" s="149" t="s">
        <v>176</v>
      </c>
      <c r="G30" s="2">
        <f t="shared" si="3"/>
        <v>0.17618585827781902</v>
      </c>
      <c r="H30" s="192" t="s">
        <v>254</v>
      </c>
      <c r="I30" s="12" t="s">
        <v>6</v>
      </c>
      <c r="J30" s="150" t="s">
        <v>178</v>
      </c>
      <c r="K30" s="6">
        <f>'Feedstock MIX per IVC'!J86</f>
        <v>3.0765693427595271</v>
      </c>
      <c r="L30" s="2">
        <f t="shared" si="4"/>
        <v>23972097.618659761</v>
      </c>
      <c r="M30" s="5" t="s">
        <v>210</v>
      </c>
      <c r="N30" s="167">
        <v>0.45</v>
      </c>
      <c r="O30" s="2">
        <f t="shared" si="5"/>
        <v>2822589512.827456</v>
      </c>
      <c r="P30" s="18" t="s">
        <v>218</v>
      </c>
      <c r="Q30" s="118">
        <v>0.2</v>
      </c>
      <c r="R30" s="2">
        <f>Q30*R$27</f>
        <v>680226540.97953594</v>
      </c>
    </row>
    <row r="31" spans="1:19" x14ac:dyDescent="0.35">
      <c r="D31" s="2"/>
      <c r="F31" s="150" t="s">
        <v>178</v>
      </c>
      <c r="G31" s="2">
        <f t="shared" si="3"/>
        <v>1.3470699800471631E-2</v>
      </c>
      <c r="H31" s="192" t="s">
        <v>254</v>
      </c>
      <c r="I31" s="12" t="s">
        <v>7</v>
      </c>
      <c r="J31" s="147" t="s">
        <v>179</v>
      </c>
      <c r="K31" s="6">
        <f>'Feedstock MIX per IVC'!J87</f>
        <v>5.8129923958756571</v>
      </c>
      <c r="L31" s="2">
        <f t="shared" si="4"/>
        <v>45293834.022758797</v>
      </c>
      <c r="M31" t="s">
        <v>213</v>
      </c>
      <c r="N31" s="34">
        <v>0.1</v>
      </c>
      <c r="O31" s="2">
        <f t="shared" si="5"/>
        <v>627242113.96165693</v>
      </c>
      <c r="P31" s="18" t="s">
        <v>219</v>
      </c>
      <c r="Q31" s="118">
        <v>0.3</v>
      </c>
      <c r="R31" s="2">
        <f>Q31*R$27</f>
        <v>1020339811.4693037</v>
      </c>
      <c r="S31" s="2"/>
    </row>
    <row r="32" spans="1:19" x14ac:dyDescent="0.35">
      <c r="D32" s="2"/>
      <c r="F32" s="152" t="s">
        <v>180</v>
      </c>
      <c r="G32" s="2">
        <f t="shared" si="3"/>
        <v>2.318036689016963E-2</v>
      </c>
      <c r="H32" s="192" t="s">
        <v>254</v>
      </c>
      <c r="I32" s="12" t="s">
        <v>8</v>
      </c>
      <c r="J32" s="147" t="s">
        <v>179</v>
      </c>
      <c r="K32" s="6">
        <f>'Feedstock MIX per IVC'!J88</f>
        <v>4.0841838001898028</v>
      </c>
      <c r="L32" s="2">
        <f t="shared" si="4"/>
        <v>31823255.660111859</v>
      </c>
      <c r="M32" t="s">
        <v>214</v>
      </c>
      <c r="N32" s="34">
        <v>0.25</v>
      </c>
      <c r="O32" s="2">
        <f t="shared" si="5"/>
        <v>1568105284.9041421</v>
      </c>
      <c r="P32" s="18" t="s">
        <v>220</v>
      </c>
      <c r="Q32" s="118">
        <v>0.1</v>
      </c>
      <c r="R32" s="2">
        <f>Q32*R$27</f>
        <v>340113270.48976797</v>
      </c>
    </row>
    <row r="33" spans="1:19" x14ac:dyDescent="0.35">
      <c r="D33" s="2"/>
      <c r="F33" s="151" t="s">
        <v>77</v>
      </c>
      <c r="G33" s="2">
        <f t="shared" si="3"/>
        <v>0</v>
      </c>
      <c r="H33" s="192" t="s">
        <v>254</v>
      </c>
      <c r="I33" s="12" t="s">
        <v>9</v>
      </c>
      <c r="J33" s="171" t="s">
        <v>222</v>
      </c>
      <c r="K33" s="6">
        <f>'Feedstock MIX per IVC'!J89</f>
        <v>33.837533598410502</v>
      </c>
      <c r="L33" s="2">
        <f t="shared" si="4"/>
        <v>263656224.91323712</v>
      </c>
      <c r="M33" t="s">
        <v>216</v>
      </c>
      <c r="N33" s="34">
        <v>0.03</v>
      </c>
      <c r="O33" s="2">
        <f t="shared" si="5"/>
        <v>188172634.18849704</v>
      </c>
      <c r="P33" s="18"/>
      <c r="Q33" s="118">
        <f>SUM(Q28:Q32)</f>
        <v>1.0000000000000002</v>
      </c>
      <c r="R33" s="2"/>
    </row>
    <row r="34" spans="1:19" x14ac:dyDescent="0.35">
      <c r="D34" s="2"/>
      <c r="F34"/>
      <c r="G34" s="2">
        <f>IFERROR(SUM(G28:G33),"")</f>
        <v>0.99999999999999989</v>
      </c>
      <c r="H34" s="192" t="s">
        <v>254</v>
      </c>
      <c r="I34" s="12" t="s">
        <v>10</v>
      </c>
      <c r="J34" s="149" t="s">
        <v>176</v>
      </c>
      <c r="K34" s="6">
        <f>'Feedstock MIX per IVC'!J90</f>
        <v>40.239038671646064</v>
      </c>
      <c r="L34" s="2">
        <f t="shared" si="4"/>
        <v>313535648.20109481</v>
      </c>
    </row>
    <row r="35" spans="1:19" x14ac:dyDescent="0.35">
      <c r="D35" s="2"/>
      <c r="F35" s="31"/>
      <c r="G35" s="6"/>
      <c r="H35" s="192" t="s">
        <v>254</v>
      </c>
      <c r="I35" s="12" t="s">
        <v>11</v>
      </c>
      <c r="J35" s="152" t="s">
        <v>180</v>
      </c>
      <c r="K35" s="6">
        <f>'Feedstock MIX per IVC'!J91</f>
        <v>5.2941574813891252</v>
      </c>
      <c r="L35" s="2">
        <f t="shared" si="4"/>
        <v>41251161.866738327</v>
      </c>
    </row>
    <row r="36" spans="1:19" x14ac:dyDescent="0.35">
      <c r="D36" s="6"/>
      <c r="E36" s="6"/>
      <c r="F36" s="31"/>
      <c r="G36" s="6"/>
      <c r="H36" s="6"/>
      <c r="I36" s="212" t="s">
        <v>281</v>
      </c>
      <c r="J36" s="6"/>
      <c r="K36" s="6"/>
      <c r="L36" s="2"/>
      <c r="M36" s="78" t="s">
        <v>181</v>
      </c>
      <c r="O36" s="90">
        <f>SUM(O37:O42)</f>
        <v>14924152329.737272</v>
      </c>
      <c r="P36" s="78" t="s">
        <v>181</v>
      </c>
      <c r="Q36" s="78"/>
      <c r="R36" s="90">
        <f>SUM(R37:R41)</f>
        <v>7755040741.3807507</v>
      </c>
    </row>
    <row r="37" spans="1:19" x14ac:dyDescent="0.35">
      <c r="D37" s="6"/>
      <c r="E37" s="6"/>
      <c r="F37" s="31"/>
      <c r="G37" s="6"/>
      <c r="H37" s="6"/>
      <c r="I37" s="6"/>
      <c r="J37" s="147" t="s">
        <v>179</v>
      </c>
      <c r="K37" s="6"/>
      <c r="L37" s="2">
        <f>L28+L29+L31+L32</f>
        <v>1137158161.5672483</v>
      </c>
      <c r="M37" s="5" t="s">
        <v>211</v>
      </c>
      <c r="O37" s="2">
        <f t="shared" ref="O37:O42" si="6">O10+O17+O28</f>
        <v>946029915.83463824</v>
      </c>
      <c r="P37" s="18" t="s">
        <v>217</v>
      </c>
      <c r="R37" s="2">
        <f>R10+R17+R28</f>
        <v>1610315307.1304495</v>
      </c>
    </row>
    <row r="38" spans="1:19" x14ac:dyDescent="0.35">
      <c r="D38" s="6"/>
      <c r="E38" s="6"/>
      <c r="F38" s="31"/>
      <c r="G38" s="6"/>
      <c r="H38" s="6"/>
      <c r="I38" s="6"/>
      <c r="J38" s="171" t="s">
        <v>222</v>
      </c>
      <c r="K38" s="6"/>
      <c r="L38" s="2">
        <f>L33</f>
        <v>263656224.91323712</v>
      </c>
      <c r="M38" t="s">
        <v>212</v>
      </c>
      <c r="O38" s="2">
        <f t="shared" si="6"/>
        <v>298483046.5947454</v>
      </c>
      <c r="P38" s="18" t="s">
        <v>177</v>
      </c>
      <c r="R38" s="2">
        <f>R11+R18+R29</f>
        <v>1515037773.9719102</v>
      </c>
    </row>
    <row r="39" spans="1:19" x14ac:dyDescent="0.35">
      <c r="D39" s="6"/>
      <c r="E39" s="6"/>
      <c r="F39" s="31"/>
      <c r="G39" s="6"/>
      <c r="H39" s="6"/>
      <c r="I39" s="6"/>
      <c r="J39" s="149" t="s">
        <v>176</v>
      </c>
      <c r="K39" s="6"/>
      <c r="L39" s="2">
        <v>0</v>
      </c>
      <c r="M39" s="5" t="s">
        <v>210</v>
      </c>
      <c r="O39" s="2">
        <f t="shared" si="6"/>
        <v>7570708177.6095352</v>
      </c>
      <c r="P39" s="18" t="s">
        <v>218</v>
      </c>
      <c r="R39" s="2">
        <f>R12+R19+R30</f>
        <v>1974730559.6494279</v>
      </c>
    </row>
    <row r="40" spans="1:19" x14ac:dyDescent="0.35">
      <c r="D40" s="6"/>
      <c r="E40" s="6"/>
      <c r="F40" s="31"/>
      <c r="G40" s="6"/>
      <c r="H40" s="6"/>
      <c r="I40" s="6"/>
      <c r="J40" s="150" t="s">
        <v>178</v>
      </c>
      <c r="K40" s="6"/>
      <c r="L40" s="2">
        <f>L30</f>
        <v>23972097.618659761</v>
      </c>
      <c r="M40" t="s">
        <v>213</v>
      </c>
      <c r="O40" s="2">
        <f t="shared" si="6"/>
        <v>1497581977.86588</v>
      </c>
      <c r="P40" s="18" t="s">
        <v>219</v>
      </c>
      <c r="R40" s="2">
        <f>R13+R20+R31</f>
        <v>2309009634.0016804</v>
      </c>
    </row>
    <row r="41" spans="1:19" x14ac:dyDescent="0.35">
      <c r="D41" s="6"/>
      <c r="E41" s="6"/>
      <c r="F41" s="31"/>
      <c r="G41" s="6"/>
      <c r="H41" s="6"/>
      <c r="I41" s="6"/>
      <c r="J41" s="152" t="s">
        <v>180</v>
      </c>
      <c r="K41" s="6"/>
      <c r="L41" s="2">
        <f>L35</f>
        <v>41251161.866738327</v>
      </c>
      <c r="M41" t="s">
        <v>214</v>
      </c>
      <c r="O41" s="2">
        <f t="shared" si="6"/>
        <v>4163624641.9403524</v>
      </c>
      <c r="P41" s="18" t="s">
        <v>220</v>
      </c>
      <c r="R41" s="2">
        <f>R14+R21+R32</f>
        <v>345947466.62728286</v>
      </c>
    </row>
    <row r="42" spans="1:19" x14ac:dyDescent="0.35">
      <c r="D42" s="6"/>
      <c r="E42" s="6"/>
      <c r="F42" s="31"/>
      <c r="G42" s="6"/>
      <c r="H42" s="6"/>
      <c r="I42" s="212"/>
      <c r="J42" s="105"/>
      <c r="K42" s="6"/>
      <c r="L42" s="2"/>
      <c r="M42" t="s">
        <v>216</v>
      </c>
      <c r="O42" s="2">
        <f t="shared" si="6"/>
        <v>447724569.8921181</v>
      </c>
    </row>
    <row r="43" spans="1:19" x14ac:dyDescent="0.35">
      <c r="D43" s="6"/>
      <c r="E43" s="6"/>
      <c r="F43" s="31"/>
      <c r="G43" s="6"/>
      <c r="J43" s="107"/>
      <c r="L43" s="2"/>
    </row>
    <row r="44" spans="1:19" s="91" customFormat="1" ht="41" customHeight="1" x14ac:dyDescent="0.35">
      <c r="A44" s="91" t="s">
        <v>78</v>
      </c>
      <c r="F44" s="169"/>
    </row>
    <row r="45" spans="1:19" ht="17.5" customHeight="1" x14ac:dyDescent="0.35">
      <c r="C45" s="2">
        <f>C46+C53+C60+C69</f>
        <v>63572690634.624481</v>
      </c>
      <c r="D45" s="2">
        <f>D46+D53+D60+D69</f>
        <v>42.613389190985593</v>
      </c>
      <c r="F45" s="2">
        <f>F46+F53+F60+F69</f>
        <v>56208987.130053043</v>
      </c>
      <c r="L45" s="2">
        <f>L46+L53+L60+L69</f>
        <v>24716756555.762566</v>
      </c>
      <c r="O45" s="2">
        <f>O46+O53+O60+O69</f>
        <v>26179946404.663021</v>
      </c>
      <c r="R45" s="2">
        <f>R46+R53+R60+R69</f>
        <v>21869395542.190998</v>
      </c>
    </row>
    <row r="46" spans="1:19" s="201" customFormat="1" ht="17.5" customHeight="1" x14ac:dyDescent="0.35">
      <c r="A46" s="201" t="s">
        <v>297</v>
      </c>
      <c r="B46" s="201">
        <v>1000</v>
      </c>
      <c r="C46" s="203">
        <f>B46*F46</f>
        <v>8388959136.2312527</v>
      </c>
      <c r="D46" s="287">
        <f>'[3]Scenario 3 2035'!$H$8</f>
        <v>5.4099048599943593</v>
      </c>
      <c r="E46" s="210">
        <f>'[1]Conversion factors selected IV '!$O$17</f>
        <v>1.5506666666666669</v>
      </c>
      <c r="F46" s="202">
        <f>D46*E46*1000000</f>
        <v>8388959.1362312529</v>
      </c>
      <c r="G46" s="208">
        <f>'LCoP 2030 HIGH'!E5</f>
        <v>1284.2294983472239</v>
      </c>
      <c r="H46" s="203">
        <f>G46*F46</f>
        <v>10773348783.177622</v>
      </c>
      <c r="I46" s="203">
        <f>'LCoP 2030 HIGH'!H5</f>
        <v>0.26648624625712602</v>
      </c>
      <c r="L46" s="202">
        <f>I46*H46</f>
        <v>2870949276.8477807</v>
      </c>
      <c r="M46" s="203">
        <f>'LCoP 2030 HIGH'!F5</f>
        <v>0.43216574663194796</v>
      </c>
      <c r="O46" s="202">
        <f>M46*H46</f>
        <v>4655872320.608345</v>
      </c>
      <c r="P46" s="226">
        <f>'LCoP 2030 HIGH'!G5</f>
        <v>0.30134800711092591</v>
      </c>
      <c r="R46" s="202">
        <f>P46*H46</f>
        <v>3246527185.7214952</v>
      </c>
      <c r="S46" s="203">
        <f>R46+O46+L46</f>
        <v>10773348783.17762</v>
      </c>
    </row>
    <row r="47" spans="1:19" ht="15" customHeight="1" x14ac:dyDescent="0.35">
      <c r="C47">
        <f>IFERROR(C46/$C$45,"")</f>
        <v>0.13195853522144707</v>
      </c>
      <c r="F47" s="147" t="s">
        <v>179</v>
      </c>
      <c r="G47" s="2">
        <f>IFERROR(SUMIF($J$47:$J$50, F47,$L$47:$L$50)/$L$46,"")</f>
        <v>0.81975782378821072</v>
      </c>
      <c r="H47" s="192" t="s">
        <v>254</v>
      </c>
      <c r="I47" s="7" t="s">
        <v>4</v>
      </c>
      <c r="J47" s="147" t="s">
        <v>179</v>
      </c>
      <c r="K47" s="6">
        <f>'Feedstock MIX per IVC'!J13</f>
        <v>260.69481002421327</v>
      </c>
      <c r="L47">
        <f>K47*F$46</f>
        <v>2186958108.3206949</v>
      </c>
      <c r="M47" s="5" t="s">
        <v>211</v>
      </c>
      <c r="N47" s="34">
        <v>0</v>
      </c>
      <c r="O47" s="2">
        <f t="shared" ref="O47:O52" si="7">N47*O$46</f>
        <v>0</v>
      </c>
      <c r="P47" s="18" t="s">
        <v>217</v>
      </c>
      <c r="Q47" s="34">
        <v>0.2</v>
      </c>
      <c r="R47" s="2">
        <f>Q47*R$46</f>
        <v>649305437.14429903</v>
      </c>
    </row>
    <row r="48" spans="1:19" ht="15" customHeight="1" x14ac:dyDescent="0.35">
      <c r="F48" s="149" t="s">
        <v>176</v>
      </c>
      <c r="G48" s="2">
        <f>IFERROR(SUMIF($J$47:$J$50, F48,$L$47:$L$50)/$L$46,"")</f>
        <v>0.18024217621178951</v>
      </c>
      <c r="H48" s="192" t="s">
        <v>254</v>
      </c>
      <c r="I48" s="7" t="s">
        <v>7</v>
      </c>
      <c r="J48" s="147" t="s">
        <v>179</v>
      </c>
      <c r="K48" s="6">
        <f>'Feedstock MIX per IVC'!J14</f>
        <v>11.65896172396454</v>
      </c>
      <c r="L48">
        <f>K48*F$46</f>
        <v>97806553.473222807</v>
      </c>
      <c r="M48" t="s">
        <v>212</v>
      </c>
      <c r="N48" s="34">
        <v>0.02</v>
      </c>
      <c r="O48" s="2">
        <f t="shared" si="7"/>
        <v>93117446.412166908</v>
      </c>
      <c r="P48" s="18" t="s">
        <v>177</v>
      </c>
      <c r="Q48" s="34">
        <v>0.5</v>
      </c>
      <c r="R48" s="2">
        <f>Q48*R$46</f>
        <v>1623263592.8607476</v>
      </c>
    </row>
    <row r="49" spans="1:19" ht="15" customHeight="1" x14ac:dyDescent="0.35">
      <c r="F49" s="31"/>
      <c r="H49" s="192" t="s">
        <v>254</v>
      </c>
      <c r="I49" s="7" t="s">
        <v>8</v>
      </c>
      <c r="J49" s="147" t="s">
        <v>179</v>
      </c>
      <c r="K49" s="6">
        <f>'Feedstock MIX per IVC'!J15</f>
        <v>8.1915370530733291</v>
      </c>
      <c r="L49">
        <f>K49*F$46</f>
        <v>68718469.601156339</v>
      </c>
      <c r="M49" s="5" t="s">
        <v>210</v>
      </c>
      <c r="N49" s="34">
        <v>0.5</v>
      </c>
      <c r="O49" s="2">
        <f t="shared" si="7"/>
        <v>2327936160.3041725</v>
      </c>
      <c r="P49" s="18" t="s">
        <v>218</v>
      </c>
      <c r="Q49" s="34">
        <v>0.15</v>
      </c>
      <c r="R49" s="2">
        <f>Q49*R$46</f>
        <v>486979077.85822427</v>
      </c>
    </row>
    <row r="50" spans="1:19" ht="15" customHeight="1" x14ac:dyDescent="0.35">
      <c r="F50" s="31"/>
      <c r="H50" s="192" t="s">
        <v>254</v>
      </c>
      <c r="I50" s="7" t="s">
        <v>10</v>
      </c>
      <c r="J50" s="149" t="s">
        <v>176</v>
      </c>
      <c r="K50" s="6">
        <f>'Feedstock MIX per IVC'!J16</f>
        <v>61.684189545972622</v>
      </c>
      <c r="L50">
        <f>K50*F$46</f>
        <v>517466145.45270735</v>
      </c>
      <c r="M50" t="s">
        <v>213</v>
      </c>
      <c r="N50" s="34">
        <v>0.15</v>
      </c>
      <c r="O50" s="2">
        <f t="shared" si="7"/>
        <v>698380848.09125173</v>
      </c>
      <c r="P50" s="18" t="s">
        <v>219</v>
      </c>
      <c r="Q50" s="34">
        <v>0.1</v>
      </c>
      <c r="R50" s="2">
        <f>Q50*R$46</f>
        <v>324652718.57214952</v>
      </c>
    </row>
    <row r="51" spans="1:19" ht="15" customHeight="1" x14ac:dyDescent="0.35">
      <c r="F51" s="31"/>
      <c r="M51" t="s">
        <v>214</v>
      </c>
      <c r="N51" s="34">
        <v>0.3</v>
      </c>
      <c r="O51" s="2">
        <f t="shared" si="7"/>
        <v>1396761696.1825035</v>
      </c>
      <c r="P51" s="18" t="s">
        <v>220</v>
      </c>
      <c r="Q51" s="34">
        <v>0.05</v>
      </c>
      <c r="R51" s="2">
        <f>Q51*R$46</f>
        <v>162326359.28607476</v>
      </c>
    </row>
    <row r="52" spans="1:19" ht="15" customHeight="1" x14ac:dyDescent="0.35">
      <c r="F52" s="31"/>
      <c r="M52" t="s">
        <v>216</v>
      </c>
      <c r="N52" s="34">
        <v>0.03</v>
      </c>
      <c r="O52" s="2">
        <f t="shared" si="7"/>
        <v>139676169.61825034</v>
      </c>
      <c r="R52" s="2"/>
    </row>
    <row r="53" spans="1:19" s="201" customFormat="1" ht="17.5" customHeight="1" x14ac:dyDescent="0.35">
      <c r="A53" s="201" t="s">
        <v>303</v>
      </c>
      <c r="B53" s="201">
        <v>1000</v>
      </c>
      <c r="C53" s="203">
        <f>B53*F53</f>
        <v>29895981307.195972</v>
      </c>
      <c r="D53" s="288">
        <f>'[3]Scenario 3 2035'!$H$9</f>
        <v>19.279437644365416</v>
      </c>
      <c r="E53" s="211">
        <f>'[1]Conversion factors selected IV '!$O$86</f>
        <v>1.5506666666666669</v>
      </c>
      <c r="F53" s="202">
        <f>D53*E53*1000000</f>
        <v>29895981.307195973</v>
      </c>
      <c r="G53" s="208">
        <f>'LCoP 2030 HIGH'!E17</f>
        <v>1166.3499999999999</v>
      </c>
      <c r="H53" s="203">
        <f>G53*F53</f>
        <v>34869177797.648018</v>
      </c>
      <c r="I53" s="203">
        <f>'LCoP 2030 HIGH'!H17</f>
        <v>0.50893814035238139</v>
      </c>
      <c r="L53" s="202">
        <f>I53*H53</f>
        <v>17746254503.951527</v>
      </c>
      <c r="M53" s="203">
        <f>'LCoP 2030 HIGH'!F17</f>
        <v>0.2383504093968363</v>
      </c>
      <c r="O53" s="202">
        <f>M53*H53</f>
        <v>8311082803.4004793</v>
      </c>
      <c r="P53" s="226">
        <f>'LCoP 2030 HIGH'!G17</f>
        <v>0.2527114502507824</v>
      </c>
      <c r="R53" s="202">
        <f>P53*H53</f>
        <v>8811840490.2960129</v>
      </c>
      <c r="S53" s="203">
        <f>R53+O53+L53</f>
        <v>34869177797.648018</v>
      </c>
    </row>
    <row r="54" spans="1:19" ht="14.5" customHeight="1" x14ac:dyDescent="0.35">
      <c r="C54">
        <f>IFERROR(C53/$C$45,"")</f>
        <v>0.47026452724832929</v>
      </c>
      <c r="D54" s="6"/>
      <c r="F54" s="31"/>
      <c r="I54" s="16" t="s">
        <v>36</v>
      </c>
      <c r="J54" s="190" t="s">
        <v>79</v>
      </c>
      <c r="K54" s="6">
        <f>'Feedstock MIX per IVC'!J80</f>
        <v>593.6</v>
      </c>
      <c r="L54" s="31">
        <f>K54*F53</f>
        <v>17746254503.95153</v>
      </c>
      <c r="M54" s="5" t="s">
        <v>211</v>
      </c>
      <c r="N54" s="34">
        <v>0</v>
      </c>
      <c r="O54" s="2">
        <f t="shared" ref="O54:O59" si="8">N54*O$53</f>
        <v>0</v>
      </c>
      <c r="P54" s="18" t="s">
        <v>217</v>
      </c>
      <c r="Q54" s="34">
        <v>0.2</v>
      </c>
      <c r="R54" s="2">
        <f>Q54*R$53</f>
        <v>1762368098.0592027</v>
      </c>
    </row>
    <row r="55" spans="1:19" ht="14.5" customHeight="1" x14ac:dyDescent="0.35">
      <c r="D55" s="6"/>
      <c r="F55" s="31"/>
      <c r="M55" t="s">
        <v>212</v>
      </c>
      <c r="N55" s="34">
        <v>0.02</v>
      </c>
      <c r="O55" s="2">
        <f t="shared" si="8"/>
        <v>166221656.06800959</v>
      </c>
      <c r="P55" s="18" t="s">
        <v>177</v>
      </c>
      <c r="Q55" s="34">
        <v>0.5</v>
      </c>
      <c r="R55" s="2">
        <f>Q55*R$53</f>
        <v>4405920245.1480064</v>
      </c>
    </row>
    <row r="56" spans="1:19" ht="14.5" customHeight="1" x14ac:dyDescent="0.35">
      <c r="D56" s="6"/>
      <c r="F56" s="31"/>
      <c r="M56" s="5" t="s">
        <v>210</v>
      </c>
      <c r="N56" s="34">
        <v>0.5</v>
      </c>
      <c r="O56" s="2">
        <f t="shared" si="8"/>
        <v>4155541401.7002397</v>
      </c>
      <c r="P56" s="18" t="s">
        <v>218</v>
      </c>
      <c r="Q56" s="34">
        <v>0.15</v>
      </c>
      <c r="R56" s="2">
        <f>Q56*R$53</f>
        <v>1321776073.5444019</v>
      </c>
    </row>
    <row r="57" spans="1:19" ht="14.5" customHeight="1" x14ac:dyDescent="0.35">
      <c r="D57" s="6"/>
      <c r="F57" s="31"/>
      <c r="M57" t="s">
        <v>213</v>
      </c>
      <c r="N57" s="34">
        <v>0.15</v>
      </c>
      <c r="O57" s="2">
        <f t="shared" si="8"/>
        <v>1246662420.5100718</v>
      </c>
      <c r="P57" s="18" t="s">
        <v>219</v>
      </c>
      <c r="Q57" s="34">
        <v>0.1</v>
      </c>
      <c r="R57" s="2">
        <f>Q57*R$53</f>
        <v>881184049.02960134</v>
      </c>
    </row>
    <row r="58" spans="1:19" ht="14.5" customHeight="1" x14ac:dyDescent="0.35">
      <c r="F58" s="31"/>
      <c r="M58" t="s">
        <v>214</v>
      </c>
      <c r="N58" s="34">
        <v>0.3</v>
      </c>
      <c r="O58" s="2">
        <f t="shared" si="8"/>
        <v>2493324841.0201435</v>
      </c>
      <c r="P58" s="18" t="s">
        <v>220</v>
      </c>
      <c r="Q58" s="34">
        <v>0.05</v>
      </c>
      <c r="R58" s="2">
        <f>Q58*R$53</f>
        <v>440592024.51480067</v>
      </c>
    </row>
    <row r="59" spans="1:19" ht="14.5" customHeight="1" x14ac:dyDescent="0.35">
      <c r="F59" s="31"/>
      <c r="M59" t="s">
        <v>216</v>
      </c>
      <c r="N59" s="34">
        <v>0.03</v>
      </c>
      <c r="O59" s="2">
        <f t="shared" si="8"/>
        <v>249332484.10201436</v>
      </c>
    </row>
    <row r="60" spans="1:19" s="201" customFormat="1" ht="17.5" customHeight="1" x14ac:dyDescent="0.35">
      <c r="A60" s="201" t="s">
        <v>295</v>
      </c>
      <c r="B60" s="201">
        <v>1750</v>
      </c>
      <c r="C60" s="203">
        <f>B60*F60</f>
        <v>13635698129.601234</v>
      </c>
      <c r="D60" s="287">
        <f>'[3]Scenario 3 2035'!$H$10+'[3]Scenario 3 2035'!$D$17/2</f>
        <v>7.7918275026292765</v>
      </c>
      <c r="E60" s="201">
        <f>'[1]Conversion factors selected IV '!$O$89</f>
        <v>1</v>
      </c>
      <c r="F60" s="202">
        <f>D60*E60*1000000</f>
        <v>7791827.5026292764</v>
      </c>
      <c r="G60" s="208">
        <f>'LCoP 2030 HIGH'!E19</f>
        <v>1469.8897190442781</v>
      </c>
      <c r="H60" s="203">
        <f>G60*F60</f>
        <v>11453127138.681227</v>
      </c>
      <c r="I60" s="203">
        <f>'LCoP 2030 HIGH'!H19</f>
        <v>0.15537881249538701</v>
      </c>
      <c r="L60" s="202">
        <f>I60*H60</f>
        <v>1779573294.1669786</v>
      </c>
      <c r="M60" s="203">
        <f>'LCoP 2030 HIGH'!F19</f>
        <v>0.5476601336618715</v>
      </c>
      <c r="O60" s="202">
        <f>M60*H60</f>
        <v>6272421139.6165686</v>
      </c>
      <c r="P60" s="226">
        <f>'LCoP 2030 HIGH'!G19</f>
        <v>0.29696105384274146</v>
      </c>
      <c r="R60" s="202">
        <f>P60*H60</f>
        <v>3401132704.8976793</v>
      </c>
      <c r="S60" s="203">
        <f>R60+O60+L60</f>
        <v>11453127138.681227</v>
      </c>
    </row>
    <row r="61" spans="1:19" ht="17.5" customHeight="1" x14ac:dyDescent="0.35">
      <c r="C61">
        <f>IFERROR(C60/$C$45,"")</f>
        <v>0.21448986968273187</v>
      </c>
      <c r="F61" s="147" t="s">
        <v>179</v>
      </c>
      <c r="G61" s="2">
        <f>IFERROR(SUMIF($J$61:$J$68, F61,$L$61:$L$68)/$L$60,"")</f>
        <v>0.63900608381491475</v>
      </c>
      <c r="H61" s="192" t="s">
        <v>254</v>
      </c>
      <c r="I61" s="5" t="s">
        <v>4</v>
      </c>
      <c r="J61" s="147" t="s">
        <v>179</v>
      </c>
      <c r="K61" s="6">
        <f>'Feedstock MIX per IVC'!J84</f>
        <v>129.97872230767516</v>
      </c>
      <c r="L61">
        <f t="shared" ref="L61:L68" si="9">K61*F$60</f>
        <v>1012771783.2335567</v>
      </c>
      <c r="M61" s="5" t="s">
        <v>211</v>
      </c>
      <c r="N61" s="167">
        <v>0.15</v>
      </c>
      <c r="O61" s="2">
        <f t="shared" ref="O61:O66" si="10">N61*O$60</f>
        <v>940863170.94248521</v>
      </c>
      <c r="P61" s="18" t="s">
        <v>217</v>
      </c>
      <c r="Q61" s="118">
        <v>0.15</v>
      </c>
      <c r="R61" s="2">
        <f>Q61*R$60</f>
        <v>510169905.73465186</v>
      </c>
    </row>
    <row r="62" spans="1:19" ht="17.5" customHeight="1" x14ac:dyDescent="0.35">
      <c r="F62" s="171" t="s">
        <v>222</v>
      </c>
      <c r="G62" s="2">
        <f>IFERROR(SUMIF($J$61:$J$68, F62,$L$61:$L$68)/$L$60,"")</f>
        <v>0.14815699121662482</v>
      </c>
      <c r="H62" s="192" t="s">
        <v>254</v>
      </c>
      <c r="I62" s="5" t="s">
        <v>5</v>
      </c>
      <c r="J62" s="147" t="s">
        <v>179</v>
      </c>
      <c r="K62" s="6">
        <f>'Feedstock MIX per IVC'!J85</f>
        <v>6.0665214463321062</v>
      </c>
      <c r="L62">
        <f t="shared" si="9"/>
        <v>47269288.650820844</v>
      </c>
      <c r="M62" t="s">
        <v>212</v>
      </c>
      <c r="N62" s="34">
        <v>0.02</v>
      </c>
      <c r="O62" s="2">
        <f t="shared" si="10"/>
        <v>125448422.79233137</v>
      </c>
      <c r="P62" s="18" t="s">
        <v>177</v>
      </c>
      <c r="Q62" s="118">
        <v>0.25</v>
      </c>
      <c r="R62" s="2">
        <f>Q62*R$60</f>
        <v>850283176.22441983</v>
      </c>
    </row>
    <row r="63" spans="1:19" ht="17.5" customHeight="1" x14ac:dyDescent="0.35">
      <c r="F63" s="149" t="s">
        <v>176</v>
      </c>
      <c r="G63" s="2">
        <f>IFERROR(SUMIF($J$61:$J$68, F63,$L$61:$L$68)/$L$60,"")</f>
        <v>0.17618585827781902</v>
      </c>
      <c r="H63" s="192" t="s">
        <v>254</v>
      </c>
      <c r="I63" s="5" t="s">
        <v>6</v>
      </c>
      <c r="J63" s="150" t="s">
        <v>178</v>
      </c>
      <c r="K63" s="6">
        <f>'Feedstock MIX per IVC'!J86</f>
        <v>3.0765693427595271</v>
      </c>
      <c r="L63">
        <f t="shared" si="9"/>
        <v>23972097.618659761</v>
      </c>
      <c r="M63" s="5" t="s">
        <v>210</v>
      </c>
      <c r="N63" s="167">
        <v>0.45</v>
      </c>
      <c r="O63" s="2">
        <f t="shared" si="10"/>
        <v>2822589512.827456</v>
      </c>
      <c r="P63" s="18" t="s">
        <v>218</v>
      </c>
      <c r="Q63" s="118">
        <v>0.2</v>
      </c>
      <c r="R63" s="2">
        <f>Q63*R$60</f>
        <v>680226540.97953594</v>
      </c>
    </row>
    <row r="64" spans="1:19" ht="17.5" customHeight="1" x14ac:dyDescent="0.35">
      <c r="F64" s="150" t="s">
        <v>178</v>
      </c>
      <c r="G64" s="2">
        <f>IFERROR(SUMIF($J$61:$J$68, F64,$L$61:$L$68)/$L$60,"")</f>
        <v>1.3470699800471631E-2</v>
      </c>
      <c r="H64" s="192" t="s">
        <v>254</v>
      </c>
      <c r="I64" s="5" t="s">
        <v>7</v>
      </c>
      <c r="J64" s="147" t="s">
        <v>179</v>
      </c>
      <c r="K64" s="6">
        <f>'Feedstock MIX per IVC'!J87</f>
        <v>5.8129923958756571</v>
      </c>
      <c r="L64">
        <f t="shared" si="9"/>
        <v>45293834.022758797</v>
      </c>
      <c r="M64" t="s">
        <v>213</v>
      </c>
      <c r="N64" s="34">
        <v>0.1</v>
      </c>
      <c r="O64" s="2">
        <f t="shared" si="10"/>
        <v>627242113.96165693</v>
      </c>
      <c r="P64" s="18" t="s">
        <v>219</v>
      </c>
      <c r="Q64" s="118">
        <v>0.3</v>
      </c>
      <c r="R64" s="2">
        <f>Q64*R$60</f>
        <v>1020339811.4693037</v>
      </c>
    </row>
    <row r="65" spans="1:19" ht="17.5" customHeight="1" x14ac:dyDescent="0.35">
      <c r="F65" s="152" t="s">
        <v>180</v>
      </c>
      <c r="G65" s="2">
        <f>IFERROR(SUMIF($J$61:$J$68, F65,$L$61:$L$68)/$L$60,"")</f>
        <v>2.318036689016963E-2</v>
      </c>
      <c r="H65" s="192" t="s">
        <v>254</v>
      </c>
      <c r="I65" s="5" t="s">
        <v>8</v>
      </c>
      <c r="J65" s="147" t="s">
        <v>179</v>
      </c>
      <c r="K65" s="6">
        <f>'Feedstock MIX per IVC'!J88</f>
        <v>4.0841838001898028</v>
      </c>
      <c r="L65">
        <f t="shared" si="9"/>
        <v>31823255.660111859</v>
      </c>
      <c r="M65" t="s">
        <v>214</v>
      </c>
      <c r="N65" s="34">
        <v>0.25</v>
      </c>
      <c r="O65" s="2">
        <f t="shared" si="10"/>
        <v>1568105284.9041421</v>
      </c>
      <c r="P65" s="18" t="s">
        <v>220</v>
      </c>
      <c r="Q65" s="118">
        <v>0.1</v>
      </c>
      <c r="R65" s="2">
        <f>Q65*R$60</f>
        <v>340113270.48976797</v>
      </c>
    </row>
    <row r="66" spans="1:19" ht="17.5" customHeight="1" x14ac:dyDescent="0.35">
      <c r="F66"/>
      <c r="G66" s="2"/>
      <c r="H66" s="192" t="s">
        <v>254</v>
      </c>
      <c r="I66" s="5" t="s">
        <v>9</v>
      </c>
      <c r="J66" s="171" t="s">
        <v>222</v>
      </c>
      <c r="K66" s="6">
        <f>'Feedstock MIX per IVC'!J89</f>
        <v>33.837533598410502</v>
      </c>
      <c r="L66">
        <f t="shared" si="9"/>
        <v>263656224.91323712</v>
      </c>
      <c r="M66" t="s">
        <v>216</v>
      </c>
      <c r="N66" s="34">
        <v>0.03</v>
      </c>
      <c r="O66" s="2">
        <f t="shared" si="10"/>
        <v>188172634.18849704</v>
      </c>
      <c r="Q66" s="34"/>
      <c r="R66" s="2"/>
    </row>
    <row r="67" spans="1:19" ht="17.5" customHeight="1" x14ac:dyDescent="0.35">
      <c r="F67" s="31"/>
      <c r="G67" s="2">
        <f>IFERROR(SUM(G61:G66),"")</f>
        <v>0.99999999999999989</v>
      </c>
      <c r="H67" s="192" t="s">
        <v>254</v>
      </c>
      <c r="I67" s="5" t="s">
        <v>10</v>
      </c>
      <c r="J67" s="149" t="s">
        <v>176</v>
      </c>
      <c r="K67" s="6">
        <f>'Feedstock MIX per IVC'!J90</f>
        <v>40.239038671646064</v>
      </c>
      <c r="L67">
        <f t="shared" si="9"/>
        <v>313535648.20109481</v>
      </c>
      <c r="O67" s="2"/>
    </row>
    <row r="68" spans="1:19" ht="17.5" customHeight="1" x14ac:dyDescent="0.35">
      <c r="F68" s="31"/>
      <c r="H68" s="192" t="s">
        <v>254</v>
      </c>
      <c r="I68" s="5" t="s">
        <v>11</v>
      </c>
      <c r="J68" s="152" t="s">
        <v>180</v>
      </c>
      <c r="K68" s="6">
        <f>'Feedstock MIX per IVC'!J91</f>
        <v>5.2941574813891252</v>
      </c>
      <c r="L68">
        <f t="shared" si="9"/>
        <v>41251161.866738327</v>
      </c>
    </row>
    <row r="69" spans="1:19" s="201" customFormat="1" x14ac:dyDescent="0.35">
      <c r="A69" s="201" t="s">
        <v>298</v>
      </c>
      <c r="B69" s="201">
        <v>1150</v>
      </c>
      <c r="C69" s="203">
        <f>B69*F69</f>
        <v>11652052061.59602</v>
      </c>
      <c r="D69" s="288">
        <f>'[3]Scenario 3 2035'!$H$11</f>
        <v>10.13221918399654</v>
      </c>
      <c r="E69" s="208">
        <f>'[1]Conversion factors selected IV '!$O$125</f>
        <v>1</v>
      </c>
      <c r="F69" s="202">
        <f>D69*E69*1000000</f>
        <v>10132219.18399654</v>
      </c>
      <c r="G69" s="208">
        <f>'LCoP 2030 HIGH'!E21</f>
        <v>1546.595518567206</v>
      </c>
      <c r="H69" s="203">
        <f>G69*F69</f>
        <v>15670444783.10972</v>
      </c>
      <c r="I69" s="203">
        <f>'LCoP 2030 HIGH'!H21</f>
        <v>0.148048093905851</v>
      </c>
      <c r="L69" s="202">
        <f>I69*H69</f>
        <v>2319979480.7962809</v>
      </c>
      <c r="M69" s="203">
        <f>'LCoP 2030 HIGH'!F21</f>
        <v>0.44290830522682256</v>
      </c>
      <c r="O69" s="202">
        <f>M69*H69</f>
        <v>6940570141.0376291</v>
      </c>
      <c r="P69" s="226">
        <f>'LCoP 2030 HIGH'!G21</f>
        <v>0.40904360086732644</v>
      </c>
      <c r="R69" s="202">
        <f>P69*H69</f>
        <v>6409895161.2758102</v>
      </c>
      <c r="S69" s="202">
        <f>L69+O69+R69</f>
        <v>15670444783.10972</v>
      </c>
    </row>
    <row r="70" spans="1:19" x14ac:dyDescent="0.35">
      <c r="C70">
        <f>IFERROR(C69/$C$45,"")</f>
        <v>0.18328706784749174</v>
      </c>
      <c r="D70" s="6"/>
      <c r="E70" s="6"/>
      <c r="F70" s="147" t="s">
        <v>179</v>
      </c>
      <c r="G70" s="2">
        <f>IFERROR(SUMIF($J$70:$J$77, F70,$L$70:$L$77)/$L$69,"")</f>
        <v>0.64796607781685223</v>
      </c>
      <c r="H70" s="192" t="s">
        <v>254</v>
      </c>
      <c r="I70" s="5" t="s">
        <v>4</v>
      </c>
      <c r="J70" s="147" t="s">
        <v>179</v>
      </c>
      <c r="K70" s="6">
        <f>'Feedstock MIX per IVC'!J102</f>
        <v>127.07493976685333</v>
      </c>
      <c r="L70" s="2">
        <f t="shared" ref="L70:L77" si="11">K70*F$69</f>
        <v>1287551142.510916</v>
      </c>
      <c r="M70" s="5" t="s">
        <v>211</v>
      </c>
      <c r="N70" s="167">
        <v>0.15</v>
      </c>
      <c r="O70" s="2">
        <f t="shared" ref="O70:O75" si="12">N70*O$69</f>
        <v>1041085521.1556443</v>
      </c>
      <c r="P70" s="18" t="s">
        <v>217</v>
      </c>
      <c r="Q70" s="118">
        <v>0.15</v>
      </c>
      <c r="R70" s="2">
        <f>Q70*R$69</f>
        <v>961484274.19137156</v>
      </c>
    </row>
    <row r="71" spans="1:19" x14ac:dyDescent="0.35">
      <c r="D71" s="6"/>
      <c r="E71" s="6"/>
      <c r="F71" s="171" t="s">
        <v>222</v>
      </c>
      <c r="G71" s="2">
        <f>IFERROR(SUMIF($J$70:$J$77, F71,$L$70:$L$77)/$L$69,"")</f>
        <v>0.14447968339195374</v>
      </c>
      <c r="H71" s="192" t="s">
        <v>254</v>
      </c>
      <c r="I71" s="5" t="s">
        <v>5</v>
      </c>
      <c r="J71" s="147" t="s">
        <v>179</v>
      </c>
      <c r="K71" s="6">
        <f>'Feedstock MIX per IVC'!J103</f>
        <v>5.9309926555683274</v>
      </c>
      <c r="L71" s="2">
        <f t="shared" si="11"/>
        <v>60094117.564891987</v>
      </c>
      <c r="M71" t="s">
        <v>212</v>
      </c>
      <c r="N71" s="34">
        <v>0.02</v>
      </c>
      <c r="O71" s="2">
        <f t="shared" si="12"/>
        <v>138811402.82075259</v>
      </c>
      <c r="P71" s="18" t="s">
        <v>177</v>
      </c>
      <c r="Q71" s="118">
        <v>0.25</v>
      </c>
      <c r="R71" s="2">
        <f>Q71*R$69</f>
        <v>1602473790.3189526</v>
      </c>
    </row>
    <row r="72" spans="1:19" x14ac:dyDescent="0.35">
      <c r="D72" s="6"/>
      <c r="E72" s="6"/>
      <c r="F72" s="149" t="s">
        <v>176</v>
      </c>
      <c r="G72" s="2">
        <f>IFERROR(SUMIF($J$70:$J$77, F72,$L$70:$L$77)/$L$69,"")</f>
        <v>0.17181286426706655</v>
      </c>
      <c r="H72" s="192" t="s">
        <v>254</v>
      </c>
      <c r="I72" s="5" t="s">
        <v>6</v>
      </c>
      <c r="J72" s="150" t="s">
        <v>178</v>
      </c>
      <c r="K72" s="6">
        <f>'Feedstock MIX per IVC'!J104</f>
        <v>3.0078374135289434</v>
      </c>
      <c r="L72" s="2">
        <f t="shared" si="11"/>
        <v>30476067.943700492</v>
      </c>
      <c r="M72" s="5" t="s">
        <v>210</v>
      </c>
      <c r="N72" s="167">
        <v>0.45</v>
      </c>
      <c r="O72" s="2">
        <f t="shared" si="12"/>
        <v>3123256563.4669333</v>
      </c>
      <c r="P72" s="18" t="s">
        <v>218</v>
      </c>
      <c r="Q72" s="118">
        <v>0.2</v>
      </c>
      <c r="R72" s="2">
        <f>Q72*R$69</f>
        <v>1281979032.255162</v>
      </c>
    </row>
    <row r="73" spans="1:19" x14ac:dyDescent="0.35">
      <c r="D73" s="6"/>
      <c r="E73" s="6"/>
      <c r="F73" s="150" t="s">
        <v>178</v>
      </c>
      <c r="G73" s="2">
        <f>IFERROR(SUMIF($J$70:$J$77, F73,$L$70:$L$77)/$L$69,"")</f>
        <v>1.3136352366892602E-2</v>
      </c>
      <c r="H73" s="192" t="s">
        <v>254</v>
      </c>
      <c r="I73" s="5" t="s">
        <v>7</v>
      </c>
      <c r="J73" s="147" t="s">
        <v>179</v>
      </c>
      <c r="K73" s="6">
        <f>'Feedstock MIX per IVC'!J105</f>
        <v>11.366255114010404</v>
      </c>
      <c r="L73" s="2">
        <f t="shared" si="11"/>
        <v>115165388.11637498</v>
      </c>
      <c r="M73" t="s">
        <v>213</v>
      </c>
      <c r="N73" s="34">
        <v>0.1</v>
      </c>
      <c r="O73" s="2">
        <f t="shared" si="12"/>
        <v>694057014.10376298</v>
      </c>
      <c r="P73" s="18" t="s">
        <v>219</v>
      </c>
      <c r="Q73" s="118">
        <v>0.3</v>
      </c>
      <c r="R73" s="2">
        <f>Q73*R$69</f>
        <v>1922968548.3827431</v>
      </c>
    </row>
    <row r="74" spans="1:19" x14ac:dyDescent="0.35">
      <c r="D74" s="6"/>
      <c r="E74" s="6"/>
      <c r="F74" s="152" t="s">
        <v>180</v>
      </c>
      <c r="G74" s="2">
        <f>IFERROR(SUMIF($J$70:$J$77, F74,$L$70:$L$77)/$L$69,"")</f>
        <v>2.2605022157234735E-2</v>
      </c>
      <c r="H74" s="192" t="s">
        <v>254</v>
      </c>
      <c r="I74" s="5" t="s">
        <v>8</v>
      </c>
      <c r="J74" s="147" t="s">
        <v>179</v>
      </c>
      <c r="K74" s="6">
        <f>'Feedstock MIX per IVC'!J106</f>
        <v>3.9929413152511879</v>
      </c>
      <c r="L74" s="2">
        <f t="shared" si="11"/>
        <v>40457356.594960459</v>
      </c>
      <c r="M74" t="s">
        <v>214</v>
      </c>
      <c r="N74" s="34">
        <v>0.25</v>
      </c>
      <c r="O74" s="2">
        <f t="shared" si="12"/>
        <v>1735142535.2594073</v>
      </c>
      <c r="P74" s="18" t="s">
        <v>220</v>
      </c>
      <c r="Q74" s="118">
        <v>0.1</v>
      </c>
      <c r="R74" s="2">
        <f>Q74*R$69</f>
        <v>640989516.127581</v>
      </c>
    </row>
    <row r="75" spans="1:19" x14ac:dyDescent="0.35">
      <c r="D75" s="6"/>
      <c r="E75" s="6"/>
      <c r="F75"/>
      <c r="G75" s="2"/>
      <c r="H75" s="192" t="s">
        <v>254</v>
      </c>
      <c r="I75" s="5" t="s">
        <v>9</v>
      </c>
      <c r="J75" s="171" t="s">
        <v>222</v>
      </c>
      <c r="K75" s="6">
        <f>'Feedstock MIX per IVC'!J107</f>
        <v>33.081588028681395</v>
      </c>
      <c r="L75" s="2">
        <f t="shared" si="11"/>
        <v>335189900.86127591</v>
      </c>
      <c r="M75" t="s">
        <v>216</v>
      </c>
      <c r="N75" s="34">
        <v>0.03</v>
      </c>
      <c r="O75" s="2">
        <f t="shared" si="12"/>
        <v>208217104.23112887</v>
      </c>
      <c r="Q75" s="34"/>
      <c r="R75" s="2"/>
    </row>
    <row r="76" spans="1:19" x14ac:dyDescent="0.35">
      <c r="D76" s="6"/>
      <c r="E76" s="6"/>
      <c r="F76" s="31"/>
      <c r="G76" s="276">
        <f>IFERROR(SUM(G70:G75),"")</f>
        <v>0.99999999999999978</v>
      </c>
      <c r="H76" s="192" t="s">
        <v>254</v>
      </c>
      <c r="I76" s="5" t="s">
        <v>10</v>
      </c>
      <c r="J76" s="149" t="s">
        <v>176</v>
      </c>
      <c r="K76" s="6">
        <f>'Feedstock MIX per IVC'!J108</f>
        <v>39.340080627747213</v>
      </c>
      <c r="L76" s="2">
        <f t="shared" si="11"/>
        <v>398602319.63643092</v>
      </c>
      <c r="M76" s="2"/>
      <c r="R76" s="2"/>
    </row>
    <row r="77" spans="1:19" x14ac:dyDescent="0.35">
      <c r="D77" s="6"/>
      <c r="E77" s="6"/>
      <c r="F77" s="31"/>
      <c r="G77" s="6"/>
      <c r="H77" s="192" t="s">
        <v>254</v>
      </c>
      <c r="I77" s="5" t="s">
        <v>11</v>
      </c>
      <c r="J77" s="152" t="s">
        <v>180</v>
      </c>
      <c r="K77" s="6">
        <f>'Feedstock MIX per IVC'!J109</f>
        <v>5.1758836455652197</v>
      </c>
      <c r="L77" s="2">
        <f t="shared" si="11"/>
        <v>52443187.567729868</v>
      </c>
    </row>
    <row r="78" spans="1:19" s="78" customFormat="1" x14ac:dyDescent="0.35">
      <c r="D78" s="90"/>
      <c r="E78" s="90"/>
      <c r="F78" s="213"/>
      <c r="G78" s="6"/>
      <c r="L78" s="90">
        <f>SUM(L70:L77)</f>
        <v>2319979480.7962809</v>
      </c>
    </row>
    <row r="79" spans="1:19" s="78" customFormat="1" x14ac:dyDescent="0.35">
      <c r="F79" s="213"/>
      <c r="I79" s="78" t="s">
        <v>281</v>
      </c>
      <c r="L79" s="213">
        <f>SUM(L80:L85)</f>
        <v>24716756555.762569</v>
      </c>
      <c r="M79" s="78" t="s">
        <v>181</v>
      </c>
      <c r="O79" s="90">
        <f>SUM(O80:O85)</f>
        <v>26179946404.663025</v>
      </c>
      <c r="P79" s="78" t="s">
        <v>181</v>
      </c>
      <c r="R79" s="90">
        <f>SUM(R80:R84)</f>
        <v>21869395542.190998</v>
      </c>
    </row>
    <row r="80" spans="1:19" x14ac:dyDescent="0.35">
      <c r="D80" s="2"/>
      <c r="E80" s="2"/>
      <c r="G80" s="2"/>
      <c r="H80" s="6"/>
      <c r="J80" s="147" t="s">
        <v>179</v>
      </c>
      <c r="L80" s="2">
        <f>L47+L48+L49+L61+L62+L64+L65+L70+L71+L73+L74</f>
        <v>4993909297.749465</v>
      </c>
      <c r="M80" s="5" t="s">
        <v>211</v>
      </c>
      <c r="O80" s="2">
        <f t="shared" ref="O80:O85" si="13">O47+O54+O61+O70</f>
        <v>1981948692.0981295</v>
      </c>
      <c r="P80" s="18" t="s">
        <v>217</v>
      </c>
      <c r="R80" s="2">
        <f>R47+R54+R61+R70</f>
        <v>3883327715.1295252</v>
      </c>
    </row>
    <row r="81" spans="1:19" x14ac:dyDescent="0.35">
      <c r="D81" s="2"/>
      <c r="E81" s="2"/>
      <c r="G81" s="2"/>
      <c r="H81" s="6"/>
      <c r="J81" s="171" t="s">
        <v>222</v>
      </c>
      <c r="L81" s="2">
        <f>L75+L66</f>
        <v>598846125.77451301</v>
      </c>
      <c r="M81" t="s">
        <v>212</v>
      </c>
      <c r="O81" s="2">
        <f t="shared" si="13"/>
        <v>523598928.09326053</v>
      </c>
      <c r="P81" s="18" t="s">
        <v>177</v>
      </c>
      <c r="R81" s="2">
        <f>R48+R55+R62+R71</f>
        <v>8481940804.5521259</v>
      </c>
    </row>
    <row r="82" spans="1:19" x14ac:dyDescent="0.35">
      <c r="D82" s="1"/>
      <c r="E82" s="1"/>
      <c r="G82" s="2"/>
      <c r="H82" s="6"/>
      <c r="J82" s="149" t="s">
        <v>176</v>
      </c>
      <c r="L82" s="2">
        <f>L67+L50+L76</f>
        <v>1229604113.2902331</v>
      </c>
      <c r="M82" s="5" t="s">
        <v>210</v>
      </c>
      <c r="O82" s="2">
        <f t="shared" si="13"/>
        <v>12429323638.298801</v>
      </c>
      <c r="P82" s="18" t="s">
        <v>218</v>
      </c>
      <c r="R82" s="2">
        <f>R49+R56+R63+R72</f>
        <v>3770960724.6373243</v>
      </c>
    </row>
    <row r="83" spans="1:19" x14ac:dyDescent="0.35">
      <c r="D83" s="1"/>
      <c r="E83" s="1"/>
      <c r="G83" s="2"/>
      <c r="H83" s="6"/>
      <c r="J83" s="150" t="s">
        <v>178</v>
      </c>
      <c r="L83" s="2">
        <f>L63+L72</f>
        <v>54448165.562360257</v>
      </c>
      <c r="M83" t="s">
        <v>213</v>
      </c>
      <c r="O83" s="2">
        <f t="shared" si="13"/>
        <v>3266342396.6667438</v>
      </c>
      <c r="P83" s="18" t="s">
        <v>219</v>
      </c>
      <c r="R83" s="2">
        <f>R50+R57+R64+R73</f>
        <v>4149145127.4537973</v>
      </c>
    </row>
    <row r="84" spans="1:19" s="78" customFormat="1" x14ac:dyDescent="0.35">
      <c r="D84" s="90"/>
      <c r="E84" s="90"/>
      <c r="F84" s="213"/>
      <c r="G84" s="1"/>
      <c r="H84" s="6"/>
      <c r="J84" s="152" t="s">
        <v>180</v>
      </c>
      <c r="L84" s="90">
        <f>L68+L77</f>
        <v>93694349.434468195</v>
      </c>
      <c r="M84" t="s">
        <v>214</v>
      </c>
      <c r="O84" s="2">
        <f t="shared" si="13"/>
        <v>7193334357.3661966</v>
      </c>
      <c r="P84" s="18" t="s">
        <v>220</v>
      </c>
      <c r="R84" s="2">
        <f>R51+R58+R65+R74</f>
        <v>1584021170.4182243</v>
      </c>
    </row>
    <row r="85" spans="1:19" s="78" customFormat="1" x14ac:dyDescent="0.35">
      <c r="D85" s="90"/>
      <c r="E85" s="90"/>
      <c r="F85" s="213"/>
      <c r="G85" s="1"/>
      <c r="H85" s="6"/>
      <c r="J85" s="190" t="s">
        <v>79</v>
      </c>
      <c r="L85" s="2">
        <f>L54</f>
        <v>17746254503.95153</v>
      </c>
      <c r="M85" t="s">
        <v>216</v>
      </c>
      <c r="O85" s="2">
        <f t="shared" si="13"/>
        <v>785398392.13989067</v>
      </c>
    </row>
    <row r="86" spans="1:19" s="91" customFormat="1" ht="32.5" customHeight="1" x14ac:dyDescent="0.35">
      <c r="A86" s="91" t="s">
        <v>79</v>
      </c>
      <c r="D86" s="214"/>
      <c r="E86" s="92"/>
      <c r="F86" s="169"/>
    </row>
    <row r="87" spans="1:19" s="18" customFormat="1" ht="16.5" customHeight="1" x14ac:dyDescent="0.35">
      <c r="C87" s="102">
        <f>C88+C98</f>
        <v>75318023116.41037</v>
      </c>
      <c r="D87" s="102">
        <f>D88+D98</f>
        <v>70.60310699631475</v>
      </c>
      <c r="E87" s="102"/>
      <c r="F87" s="102">
        <f>F88+F98</f>
        <v>59072959.30698853</v>
      </c>
      <c r="L87" s="102">
        <f>L88+L98</f>
        <v>3294554048.7214403</v>
      </c>
      <c r="O87" s="102">
        <f>O88+O98</f>
        <v>38884673933.583496</v>
      </c>
      <c r="R87" s="102">
        <f>R88+R98</f>
        <v>18542323350.258408</v>
      </c>
    </row>
    <row r="88" spans="1:19" s="202" customFormat="1" x14ac:dyDescent="0.35">
      <c r="A88" s="202" t="s">
        <v>58</v>
      </c>
      <c r="B88" s="202">
        <v>1275</v>
      </c>
      <c r="C88" s="203">
        <f>B88*F88</f>
        <v>54751072963.124863</v>
      </c>
      <c r="D88" s="284">
        <f>'[3]Scenario 3 2035'!$H$13</f>
        <v>51.323650072492413</v>
      </c>
      <c r="E88" s="202">
        <f>'[1]Conversion factors selected IV '!$O$29</f>
        <v>0.83669064748201449</v>
      </c>
      <c r="F88" s="202">
        <f>D88*E88*1000000</f>
        <v>42942018.010294013</v>
      </c>
      <c r="G88" s="202">
        <f>'LCoP 2030 HIGH'!E9</f>
        <v>922.73260555459717</v>
      </c>
      <c r="H88" s="202">
        <f>G88*F88</f>
        <v>39624000166.411034</v>
      </c>
      <c r="I88" s="202">
        <f>'LCoP 2030 HIGH'!H9</f>
        <v>-1.370103794891292E-2</v>
      </c>
      <c r="L88" s="202">
        <f>I88*H88</f>
        <v>-542889929.96772945</v>
      </c>
      <c r="M88" s="202">
        <f>'LCoP 2030 HIGH'!F9</f>
        <v>0.65566123528968845</v>
      </c>
      <c r="O88" s="202">
        <f>M88*H88</f>
        <v>25979920896.227879</v>
      </c>
      <c r="P88" s="226">
        <f>'LCoP 2030 HIGH'!G9</f>
        <v>0.35803980265922453</v>
      </c>
      <c r="R88" s="202">
        <f>P88*H88</f>
        <v>14186969200.150887</v>
      </c>
      <c r="S88" s="202">
        <f>L88+O88+R88</f>
        <v>39624000166.411041</v>
      </c>
    </row>
    <row r="89" spans="1:19" x14ac:dyDescent="0.35">
      <c r="C89">
        <f>IFERROR(C88/C87,"")</f>
        <v>0.72693189090348864</v>
      </c>
      <c r="D89" s="2"/>
      <c r="E89" s="2"/>
      <c r="G89" s="147" t="s">
        <v>179</v>
      </c>
      <c r="H89" s="2">
        <f t="shared" ref="H89:H95" si="14">IFERROR(SUMIF($J$89:$J$97, G89,$L$89:$L$97)/$L$88,"")</f>
        <v>-1.69992525658261</v>
      </c>
      <c r="I89" s="5" t="s">
        <v>19</v>
      </c>
      <c r="J89" s="147" t="s">
        <v>179</v>
      </c>
      <c r="K89" s="6">
        <f>'Feedstock MIX per IVC'!J20</f>
        <v>0.89326982561933999</v>
      </c>
      <c r="L89" s="2">
        <f t="shared" ref="L89:L97" si="15">K89*F$88</f>
        <v>38358808.939797893</v>
      </c>
      <c r="M89" s="5" t="s">
        <v>211</v>
      </c>
      <c r="N89" s="34">
        <v>0.05</v>
      </c>
      <c r="O89" s="2">
        <f t="shared" ref="O89:O94" si="16">N89*O$88</f>
        <v>1298996044.811394</v>
      </c>
      <c r="P89" s="18" t="s">
        <v>217</v>
      </c>
      <c r="Q89" s="34">
        <v>0.2</v>
      </c>
      <c r="R89" s="2">
        <f>Q89*R$88</f>
        <v>2837393840.0301776</v>
      </c>
    </row>
    <row r="90" spans="1:19" x14ac:dyDescent="0.35">
      <c r="D90" s="2"/>
      <c r="E90" s="2"/>
      <c r="G90" s="152" t="s">
        <v>180</v>
      </c>
      <c r="H90" s="2">
        <f t="shared" si="14"/>
        <v>3.165506706123637</v>
      </c>
      <c r="I90" s="5" t="s">
        <v>7</v>
      </c>
      <c r="J90" s="147" t="s">
        <v>179</v>
      </c>
      <c r="K90" s="6">
        <f>'Feedstock MIX per IVC'!J21</f>
        <v>0.85601008031509007</v>
      </c>
      <c r="L90" s="2">
        <f t="shared" si="15"/>
        <v>36758800.285883822</v>
      </c>
      <c r="M90" t="s">
        <v>212</v>
      </c>
      <c r="N90" s="34">
        <v>0.02</v>
      </c>
      <c r="O90" s="2">
        <f t="shared" si="16"/>
        <v>519598417.92455757</v>
      </c>
      <c r="P90" s="18" t="s">
        <v>177</v>
      </c>
      <c r="Q90" s="34">
        <v>0.5</v>
      </c>
      <c r="R90" s="2">
        <f>Q90*R$88</f>
        <v>7093484600.0754433</v>
      </c>
    </row>
    <row r="91" spans="1:19" x14ac:dyDescent="0.35">
      <c r="D91" s="2"/>
      <c r="E91" s="2"/>
      <c r="G91" s="150" t="s">
        <v>178</v>
      </c>
      <c r="H91" s="2">
        <f t="shared" si="14"/>
        <v>-0.33818449117792793</v>
      </c>
      <c r="I91" s="5" t="s">
        <v>8</v>
      </c>
      <c r="J91" s="147" t="s">
        <v>179</v>
      </c>
      <c r="K91" s="6">
        <f>'Feedstock MIX per IVC'!J22</f>
        <v>0.60142905146453718</v>
      </c>
      <c r="L91" s="2">
        <f t="shared" si="15"/>
        <v>25826577.159904201</v>
      </c>
      <c r="M91" s="5" t="s">
        <v>210</v>
      </c>
      <c r="N91" s="34">
        <v>0.4</v>
      </c>
      <c r="O91" s="2">
        <f t="shared" si="16"/>
        <v>10391968358.491152</v>
      </c>
      <c r="P91" s="18" t="s">
        <v>218</v>
      </c>
      <c r="Q91" s="34">
        <v>0.15</v>
      </c>
      <c r="R91" s="2">
        <f>Q91*R$88</f>
        <v>2128045380.0226328</v>
      </c>
    </row>
    <row r="92" spans="1:19" x14ac:dyDescent="0.35">
      <c r="D92" s="2"/>
      <c r="E92" s="2"/>
      <c r="G92" s="171" t="s">
        <v>222</v>
      </c>
      <c r="H92" s="2">
        <f t="shared" si="14"/>
        <v>0</v>
      </c>
      <c r="I92" s="5" t="s">
        <v>20</v>
      </c>
      <c r="J92" s="150" t="s">
        <v>178</v>
      </c>
      <c r="K92" s="6">
        <f>'Feedstock MIX per IVC'!J23</f>
        <v>4.2754617327892195</v>
      </c>
      <c r="L92" s="2">
        <f t="shared" si="15"/>
        <v>183596954.73175752</v>
      </c>
      <c r="M92" t="s">
        <v>213</v>
      </c>
      <c r="N92" s="34">
        <v>0.3</v>
      </c>
      <c r="O92" s="2">
        <f t="shared" si="16"/>
        <v>7793976268.8683634</v>
      </c>
      <c r="P92" s="18" t="s">
        <v>219</v>
      </c>
      <c r="Q92" s="34">
        <v>0.1</v>
      </c>
      <c r="R92" s="2">
        <f>Q92*R$88</f>
        <v>1418696920.0150888</v>
      </c>
    </row>
    <row r="93" spans="1:19" x14ac:dyDescent="0.35">
      <c r="D93" s="2"/>
      <c r="E93" s="2"/>
      <c r="G93" s="149" t="s">
        <v>176</v>
      </c>
      <c r="H93" s="2">
        <f t="shared" si="14"/>
        <v>0</v>
      </c>
      <c r="I93" s="5" t="s">
        <v>4</v>
      </c>
      <c r="J93" s="147" t="s">
        <v>179</v>
      </c>
      <c r="K93" s="6">
        <f>'Feedstock MIX per IVC'!J24</f>
        <v>19.140416664021007</v>
      </c>
      <c r="L93" s="2">
        <f t="shared" si="15"/>
        <v>821928117.11092174</v>
      </c>
      <c r="M93" t="s">
        <v>214</v>
      </c>
      <c r="N93" s="34">
        <v>0.2</v>
      </c>
      <c r="O93" s="2">
        <f t="shared" si="16"/>
        <v>5195984179.2455759</v>
      </c>
      <c r="P93" s="18" t="s">
        <v>220</v>
      </c>
      <c r="Q93" s="34">
        <v>0.05</v>
      </c>
      <c r="R93" s="2">
        <f>Q93*R$88</f>
        <v>709348460.0075444</v>
      </c>
    </row>
    <row r="94" spans="1:19" x14ac:dyDescent="0.35">
      <c r="D94" s="2"/>
      <c r="E94" s="2"/>
      <c r="G94" s="239" t="s">
        <v>259</v>
      </c>
      <c r="H94" s="2">
        <f t="shared" si="14"/>
        <v>-0.12739695836309936</v>
      </c>
      <c r="I94" s="5" t="s">
        <v>21</v>
      </c>
      <c r="J94" s="147" t="s">
        <v>179</v>
      </c>
      <c r="K94" s="6">
        <f>'Feedstock MIX per IVC'!J25</f>
        <v>0</v>
      </c>
      <c r="L94" s="2">
        <f t="shared" si="15"/>
        <v>0</v>
      </c>
      <c r="M94" t="s">
        <v>216</v>
      </c>
      <c r="N94" s="34">
        <v>0.03</v>
      </c>
      <c r="O94" s="2">
        <f t="shared" si="16"/>
        <v>779397626.88683629</v>
      </c>
      <c r="R94" s="2"/>
    </row>
    <row r="95" spans="1:19" x14ac:dyDescent="0.35">
      <c r="D95" s="2"/>
      <c r="E95" s="2"/>
      <c r="G95" s="151" t="s">
        <v>77</v>
      </c>
      <c r="H95" s="2">
        <f t="shared" si="14"/>
        <v>0</v>
      </c>
      <c r="I95" s="5" t="s">
        <v>22</v>
      </c>
      <c r="J95" s="152" t="s">
        <v>180</v>
      </c>
      <c r="K95" s="6">
        <f>'Feedstock MIX per IVC'!J26</f>
        <v>0</v>
      </c>
      <c r="L95" s="2">
        <f t="shared" si="15"/>
        <v>0</v>
      </c>
      <c r="N95" s="34">
        <f>SUM(N89:N94)</f>
        <v>1</v>
      </c>
      <c r="O95" s="2"/>
    </row>
    <row r="96" spans="1:19" x14ac:dyDescent="0.35">
      <c r="D96" s="2"/>
      <c r="E96" s="2"/>
      <c r="H96" s="2">
        <f>IFERROR(SUM(H89:H95),"")</f>
        <v>0.99999999999999978</v>
      </c>
      <c r="I96" s="12" t="s">
        <v>23</v>
      </c>
      <c r="J96" s="152" t="s">
        <v>180</v>
      </c>
      <c r="K96" s="6">
        <f>'Feedstock MIX per IVC'!J27</f>
        <v>-40.019584398382889</v>
      </c>
      <c r="L96" s="2">
        <f t="shared" si="15"/>
        <v>-1718521713.9998393</v>
      </c>
      <c r="M96" s="2"/>
    </row>
    <row r="97" spans="1:18" s="78" customFormat="1" x14ac:dyDescent="0.35">
      <c r="D97" s="93"/>
      <c r="E97" s="93"/>
      <c r="F97" s="213"/>
      <c r="G97" s="220"/>
      <c r="I97" s="13" t="s">
        <v>24</v>
      </c>
      <c r="J97" s="239" t="s">
        <v>259</v>
      </c>
      <c r="K97" s="6">
        <f>'Feedstock MIX per IVC'!J28</f>
        <v>1.6106025987708632</v>
      </c>
      <c r="L97" s="2">
        <f t="shared" si="15"/>
        <v>69162525.80384475</v>
      </c>
    </row>
    <row r="98" spans="1:18" s="202" customFormat="1" x14ac:dyDescent="0.35">
      <c r="A98" s="202" t="s">
        <v>59</v>
      </c>
      <c r="B98" s="202">
        <v>1275</v>
      </c>
      <c r="C98" s="203">
        <f>B98*F98</f>
        <v>20566950153.285511</v>
      </c>
      <c r="D98" s="284">
        <f>'[3]Scenario 3 2035'!$L$24</f>
        <v>19.279456923822337</v>
      </c>
      <c r="E98" s="202">
        <f>'[1]Conversion factors selected IV '!$O$52</f>
        <v>0.83669064748201449</v>
      </c>
      <c r="F98" s="202">
        <f>D98*E98*1000000</f>
        <v>16130941.296694519</v>
      </c>
      <c r="G98" s="202">
        <f>'LCoP 2030 HIGH'!E13</f>
        <v>1307.8933695255294</v>
      </c>
      <c r="H98" s="202">
        <f>G98*F98</f>
        <v>21097551166.152306</v>
      </c>
      <c r="I98" s="202">
        <f>'LCoP 2030 HIGH'!H13</f>
        <v>0.18189049280969366</v>
      </c>
      <c r="L98" s="202">
        <f>I98*H98</f>
        <v>3837443978.6891699</v>
      </c>
      <c r="M98" s="202">
        <f>'LCoP 2030 HIGH'!F13</f>
        <v>0.61167065958153743</v>
      </c>
      <c r="O98" s="202">
        <f>M98*H98</f>
        <v>12904753037.355616</v>
      </c>
      <c r="P98" s="202">
        <f>'LCoP 2030 HIGH'!G13</f>
        <v>0.20643884760876888</v>
      </c>
      <c r="R98" s="202">
        <f>P98*H98</f>
        <v>4355354150.1075201</v>
      </c>
    </row>
    <row r="99" spans="1:18" s="78" customFormat="1" x14ac:dyDescent="0.35">
      <c r="C99" s="78">
        <f>IFERROR(C98/C87,"")</f>
        <v>0.27306810909651136</v>
      </c>
      <c r="D99" s="2"/>
      <c r="E99" s="93"/>
      <c r="F99" s="213"/>
      <c r="G99" s="147" t="s">
        <v>179</v>
      </c>
      <c r="H99" s="2">
        <f>IFERROR(SUMIF($J$99:$J$108, G99,$L$99:$L$108)/$L$98,"")</f>
        <v>0.62277627400630231</v>
      </c>
      <c r="I99" s="5" t="s">
        <v>4</v>
      </c>
      <c r="J99" s="147" t="s">
        <v>179</v>
      </c>
      <c r="K99" s="6">
        <f>'Feedstock MIX per IVC'!J45</f>
        <v>131.94870032235852</v>
      </c>
      <c r="L99" s="2">
        <f t="shared" ref="L99:L108" si="17">K99*F$98</f>
        <v>2128456739.0751023</v>
      </c>
      <c r="M99" s="5" t="s">
        <v>211</v>
      </c>
      <c r="N99" s="34">
        <v>0</v>
      </c>
      <c r="O99" s="2">
        <f t="shared" ref="O99:O104" si="18">N99*O$98</f>
        <v>0</v>
      </c>
      <c r="P99" s="18" t="s">
        <v>217</v>
      </c>
      <c r="Q99" s="34">
        <v>0.25</v>
      </c>
      <c r="R99" s="2">
        <f>Q99*R$98</f>
        <v>1088838537.52688</v>
      </c>
    </row>
    <row r="100" spans="1:18" s="78" customFormat="1" x14ac:dyDescent="0.35">
      <c r="D100" s="93"/>
      <c r="E100" s="93"/>
      <c r="F100" s="213"/>
      <c r="G100" s="152" t="s">
        <v>180</v>
      </c>
      <c r="H100" s="2">
        <f>IFERROR(SUMIF($J$99:$J$108, G100,$L$99:$L$108)/$L$98,"")</f>
        <v>2.4285991329623696E-2</v>
      </c>
      <c r="I100" s="5" t="s">
        <v>5</v>
      </c>
      <c r="J100" s="147" t="s">
        <v>179</v>
      </c>
      <c r="K100" s="6">
        <f>'Feedstock MIX per IVC'!J46</f>
        <v>6.1584666021445331</v>
      </c>
      <c r="L100" s="2">
        <f t="shared" si="17"/>
        <v>99341863.236847222</v>
      </c>
      <c r="M100" t="s">
        <v>212</v>
      </c>
      <c r="N100" s="34">
        <v>0.02</v>
      </c>
      <c r="O100" s="2">
        <f t="shared" si="18"/>
        <v>258095060.7471123</v>
      </c>
      <c r="P100" s="18" t="s">
        <v>177</v>
      </c>
      <c r="Q100" s="34">
        <v>0.15</v>
      </c>
      <c r="R100" s="2">
        <f>Q100*R$98</f>
        <v>653303122.51612794</v>
      </c>
    </row>
    <row r="101" spans="1:18" s="78" customFormat="1" x14ac:dyDescent="0.35">
      <c r="D101" s="93"/>
      <c r="E101" s="93"/>
      <c r="F101" s="213"/>
      <c r="G101" s="150" t="s">
        <v>178</v>
      </c>
      <c r="H101" s="2">
        <f t="shared" ref="H101:H104" si="19">SUMIF($J$99:$J$108, G101,$L$99:$L$108)/$L$98</f>
        <v>1.3128563940910873E-2</v>
      </c>
      <c r="I101" s="5" t="s">
        <v>22</v>
      </c>
      <c r="J101" s="152" t="s">
        <v>180</v>
      </c>
      <c r="K101" s="6">
        <f>'Feedstock MIX per IVC'!J47</f>
        <v>0</v>
      </c>
      <c r="L101" s="2">
        <f t="shared" si="17"/>
        <v>0</v>
      </c>
      <c r="M101" s="5" t="s">
        <v>210</v>
      </c>
      <c r="N101" s="34">
        <v>0.55000000000000004</v>
      </c>
      <c r="O101" s="2">
        <f t="shared" si="18"/>
        <v>7097614170.5455894</v>
      </c>
      <c r="P101" s="18" t="s">
        <v>218</v>
      </c>
      <c r="Q101" s="34">
        <v>0.3</v>
      </c>
      <c r="R101" s="2">
        <f>Q101*R$98</f>
        <v>1306606245.0322559</v>
      </c>
    </row>
    <row r="102" spans="1:18" s="78" customFormat="1" x14ac:dyDescent="0.35">
      <c r="D102" s="93"/>
      <c r="E102" s="93"/>
      <c r="F102" s="213"/>
      <c r="G102" s="171" t="s">
        <v>222</v>
      </c>
      <c r="H102" s="2">
        <f t="shared" si="19"/>
        <v>0.13461651697916679</v>
      </c>
      <c r="I102" s="5" t="s">
        <v>6</v>
      </c>
      <c r="J102" s="150" t="s">
        <v>178</v>
      </c>
      <c r="K102" s="6">
        <f>'Feedstock MIX per IVC'!J48</f>
        <v>3.1231983129346497</v>
      </c>
      <c r="L102" s="2">
        <f t="shared" si="17"/>
        <v>50380128.643884189</v>
      </c>
      <c r="M102" t="s">
        <v>213</v>
      </c>
      <c r="N102" s="34">
        <v>0.1</v>
      </c>
      <c r="O102" s="2">
        <f t="shared" si="18"/>
        <v>1290475303.7355616</v>
      </c>
      <c r="P102" s="18" t="s">
        <v>219</v>
      </c>
      <c r="Q102" s="34">
        <v>0.3</v>
      </c>
      <c r="R102" s="2">
        <f>Q102*R$98</f>
        <v>1306606245.0322559</v>
      </c>
    </row>
    <row r="103" spans="1:18" s="78" customFormat="1" x14ac:dyDescent="0.35">
      <c r="D103" s="93"/>
      <c r="E103" s="93"/>
      <c r="F103" s="213"/>
      <c r="G103" s="149" t="s">
        <v>176</v>
      </c>
      <c r="H103" s="2">
        <f t="shared" si="19"/>
        <v>0.15544364025355681</v>
      </c>
      <c r="I103" s="5" t="s">
        <v>7</v>
      </c>
      <c r="J103" s="147" t="s">
        <v>179</v>
      </c>
      <c r="K103" s="6">
        <f>'Feedstock MIX per IVC'!J49</f>
        <v>5.9010950254144312</v>
      </c>
      <c r="L103" s="2">
        <f t="shared" si="17"/>
        <v>95190217.441176236</v>
      </c>
      <c r="M103" t="s">
        <v>214</v>
      </c>
      <c r="N103" s="34">
        <v>0.3</v>
      </c>
      <c r="O103" s="2">
        <f t="shared" si="18"/>
        <v>3871425911.2066846</v>
      </c>
      <c r="P103" s="18" t="s">
        <v>220</v>
      </c>
      <c r="Q103" s="223">
        <v>0</v>
      </c>
      <c r="R103" s="2">
        <f>Q103*R$98</f>
        <v>0</v>
      </c>
    </row>
    <row r="104" spans="1:18" s="78" customFormat="1" x14ac:dyDescent="0.35">
      <c r="D104" s="93"/>
      <c r="E104" s="93"/>
      <c r="F104" s="213"/>
      <c r="G104" s="239" t="s">
        <v>259</v>
      </c>
      <c r="H104" s="2">
        <f t="shared" si="19"/>
        <v>0</v>
      </c>
      <c r="I104" s="5" t="s">
        <v>8</v>
      </c>
      <c r="J104" s="147" t="s">
        <v>179</v>
      </c>
      <c r="K104" s="6">
        <f>'Feedstock MIX per IVC'!J50</f>
        <v>4.1460843339960558</v>
      </c>
      <c r="L104" s="2">
        <f t="shared" si="17"/>
        <v>66880243.002835169</v>
      </c>
      <c r="M104" t="s">
        <v>216</v>
      </c>
      <c r="N104" s="34">
        <v>0.03</v>
      </c>
      <c r="O104" s="2">
        <f t="shared" si="18"/>
        <v>387142591.12066847</v>
      </c>
      <c r="R104"/>
    </row>
    <row r="105" spans="1:18" s="78" customFormat="1" x14ac:dyDescent="0.35">
      <c r="D105" s="93"/>
      <c r="E105" s="93"/>
      <c r="F105" s="213"/>
      <c r="G105" s="151" t="s">
        <v>77</v>
      </c>
      <c r="H105" s="2">
        <f>SUMIF($J$99:$J$108, G105,$L$99:$L$108)/$L$98/2</f>
        <v>2.4874506745219873E-2</v>
      </c>
      <c r="I105" s="5" t="s">
        <v>9</v>
      </c>
      <c r="J105" s="171" t="s">
        <v>222</v>
      </c>
      <c r="K105" s="6">
        <f>'Feedstock MIX per IVC'!J51</f>
        <v>32.024376817964615</v>
      </c>
      <c r="L105" s="2">
        <f t="shared" si="17"/>
        <v>516583342.51381201</v>
      </c>
      <c r="M105" s="78" t="s">
        <v>320</v>
      </c>
      <c r="O105" s="90">
        <f>SUM(O99:O104)</f>
        <v>12904753037.355616</v>
      </c>
      <c r="R105" s="90">
        <f>SUM(R99:R104)</f>
        <v>4355354150.1075201</v>
      </c>
    </row>
    <row r="106" spans="1:18" s="78" customFormat="1" x14ac:dyDescent="0.35">
      <c r="D106" s="93"/>
      <c r="E106" s="93"/>
      <c r="F106" s="213"/>
      <c r="G106" s="190" t="s">
        <v>377</v>
      </c>
      <c r="H106" s="2">
        <f>H105</f>
        <v>2.4874506745219873E-2</v>
      </c>
      <c r="I106" s="5" t="s">
        <v>10</v>
      </c>
      <c r="J106" s="149" t="s">
        <v>176</v>
      </c>
      <c r="K106" s="6">
        <f>'Feedstock MIX per IVC'!J52</f>
        <v>36.979011351232828</v>
      </c>
      <c r="L106" s="2">
        <f t="shared" si="17"/>
        <v>596506261.31653702</v>
      </c>
    </row>
    <row r="107" spans="1:18" s="78" customFormat="1" x14ac:dyDescent="0.35">
      <c r="D107" s="93"/>
      <c r="E107" s="93"/>
      <c r="F107" s="213"/>
      <c r="G107" s="220"/>
      <c r="H107" s="90">
        <f>SUM(H99:H106)</f>
        <v>1.0000000000000002</v>
      </c>
      <c r="I107" s="5" t="s">
        <v>11</v>
      </c>
      <c r="J107" s="152" t="s">
        <v>180</v>
      </c>
      <c r="K107" s="6">
        <f>'Feedstock MIX per IVC'!J53</f>
        <v>5.7774763096719699</v>
      </c>
      <c r="L107" s="2">
        <f t="shared" si="17"/>
        <v>93196131.194361836</v>
      </c>
    </row>
    <row r="108" spans="1:18" s="78" customFormat="1" x14ac:dyDescent="0.35">
      <c r="D108" s="93"/>
      <c r="E108" s="93"/>
      <c r="F108" s="213"/>
      <c r="G108" s="220"/>
      <c r="I108" s="13" t="s">
        <v>32</v>
      </c>
      <c r="J108" s="151" t="s">
        <v>77</v>
      </c>
      <c r="K108" s="6">
        <f>'Feedstock MIX per IVC'!J54</f>
        <v>11.834960449811724</v>
      </c>
      <c r="L108" s="2">
        <f t="shared" si="17"/>
        <v>190909052.26461428</v>
      </c>
    </row>
    <row r="109" spans="1:18" s="78" customFormat="1" x14ac:dyDescent="0.35">
      <c r="D109" s="93"/>
      <c r="E109" s="93"/>
      <c r="F109" s="213"/>
      <c r="G109" s="220"/>
      <c r="I109" s="14"/>
      <c r="K109" s="6" t="s">
        <v>319</v>
      </c>
      <c r="L109" s="2">
        <f>SUM(L99:L108)</f>
        <v>3837443978.6891704</v>
      </c>
    </row>
    <row r="110" spans="1:18" s="78" customFormat="1" x14ac:dyDescent="0.35">
      <c r="D110" s="93"/>
      <c r="E110" s="93"/>
      <c r="F110" s="213"/>
      <c r="G110" s="220"/>
      <c r="I110" s="14"/>
      <c r="K110" s="6"/>
      <c r="L110" s="2"/>
    </row>
    <row r="111" spans="1:18" s="78" customFormat="1" x14ac:dyDescent="0.35">
      <c r="D111" s="93"/>
      <c r="E111" s="93"/>
      <c r="F111" s="213"/>
      <c r="G111" s="220"/>
      <c r="I111" s="145" t="s">
        <v>181</v>
      </c>
      <c r="K111" s="6"/>
      <c r="L111" s="2"/>
    </row>
    <row r="112" spans="1:18" s="78" customFormat="1" x14ac:dyDescent="0.35">
      <c r="D112" s="93"/>
      <c r="E112" s="93"/>
      <c r="F112" s="213"/>
      <c r="G112" s="220"/>
      <c r="I112" s="14"/>
      <c r="J112" s="147" t="s">
        <v>179</v>
      </c>
      <c r="K112" s="6"/>
      <c r="L112" s="2">
        <f>L89+L90+L91+L93+L94+L99+L100+L103+L104</f>
        <v>3312741366.2524691</v>
      </c>
      <c r="M112" s="5" t="s">
        <v>211</v>
      </c>
      <c r="O112" s="2">
        <f t="shared" ref="O112:O117" si="20">O89+O99</f>
        <v>1298996044.811394</v>
      </c>
      <c r="P112" s="18" t="s">
        <v>217</v>
      </c>
      <c r="R112" s="2">
        <f>R89+R99</f>
        <v>3926232377.5570574</v>
      </c>
    </row>
    <row r="113" spans="1:19" s="78" customFormat="1" x14ac:dyDescent="0.35">
      <c r="D113" s="93"/>
      <c r="E113" s="93"/>
      <c r="F113" s="213"/>
      <c r="G113" s="220"/>
      <c r="I113" s="14"/>
      <c r="J113" s="152" t="s">
        <v>180</v>
      </c>
      <c r="K113" s="6"/>
      <c r="L113" s="2">
        <f>L95+L96+L101+L107</f>
        <v>-1625325582.8054774</v>
      </c>
      <c r="M113" t="s">
        <v>212</v>
      </c>
      <c r="O113" s="2">
        <f t="shared" si="20"/>
        <v>777693478.67166984</v>
      </c>
      <c r="P113" s="18" t="s">
        <v>177</v>
      </c>
      <c r="R113" s="2">
        <f>R90+R100</f>
        <v>7746787722.5915709</v>
      </c>
    </row>
    <row r="114" spans="1:19" s="78" customFormat="1" x14ac:dyDescent="0.35">
      <c r="D114" s="93"/>
      <c r="E114" s="93"/>
      <c r="F114" s="213"/>
      <c r="G114" s="220"/>
      <c r="I114" s="14"/>
      <c r="J114" s="150" t="s">
        <v>178</v>
      </c>
      <c r="K114" s="6"/>
      <c r="L114" s="2">
        <f>L92+L102</f>
        <v>233977083.3756417</v>
      </c>
      <c r="M114" s="5" t="s">
        <v>210</v>
      </c>
      <c r="O114" s="2">
        <f t="shared" si="20"/>
        <v>17489582529.036743</v>
      </c>
      <c r="P114" s="18" t="s">
        <v>218</v>
      </c>
      <c r="R114" s="2">
        <f>R91+R101</f>
        <v>3434651625.0548887</v>
      </c>
    </row>
    <row r="115" spans="1:19" s="78" customFormat="1" x14ac:dyDescent="0.35">
      <c r="D115" s="93"/>
      <c r="E115" s="93"/>
      <c r="F115" s="213"/>
      <c r="G115" s="220"/>
      <c r="I115" s="14"/>
      <c r="J115" s="171" t="s">
        <v>222</v>
      </c>
      <c r="K115" s="6"/>
      <c r="L115" s="2">
        <f>L105</f>
        <v>516583342.51381201</v>
      </c>
      <c r="M115" t="s">
        <v>213</v>
      </c>
      <c r="O115" s="2">
        <f t="shared" si="20"/>
        <v>9084451572.6039257</v>
      </c>
      <c r="P115" s="18" t="s">
        <v>219</v>
      </c>
      <c r="R115" s="2">
        <f>R92+R102</f>
        <v>2725303165.0473447</v>
      </c>
    </row>
    <row r="116" spans="1:19" s="78" customFormat="1" x14ac:dyDescent="0.35">
      <c r="D116" s="93"/>
      <c r="E116" s="93"/>
      <c r="F116" s="213"/>
      <c r="G116" s="220"/>
      <c r="I116" s="14"/>
      <c r="J116" s="149" t="s">
        <v>176</v>
      </c>
      <c r="K116" s="6"/>
      <c r="L116" s="2">
        <f>L106</f>
        <v>596506261.31653702</v>
      </c>
      <c r="M116" t="s">
        <v>214</v>
      </c>
      <c r="O116" s="2">
        <f t="shared" si="20"/>
        <v>9067410090.452261</v>
      </c>
      <c r="P116" s="18" t="s">
        <v>220</v>
      </c>
      <c r="R116" s="2">
        <f>R93+R103</f>
        <v>709348460.0075444</v>
      </c>
    </row>
    <row r="117" spans="1:19" s="78" customFormat="1" x14ac:dyDescent="0.35">
      <c r="D117" s="93"/>
      <c r="E117" s="93"/>
      <c r="F117" s="213"/>
      <c r="G117" s="220"/>
      <c r="I117" s="14" t="s">
        <v>114</v>
      </c>
      <c r="J117" s="239" t="s">
        <v>259</v>
      </c>
      <c r="K117" s="6"/>
      <c r="L117" s="2">
        <f>L97+L108</f>
        <v>260071578.06845903</v>
      </c>
      <c r="M117" t="s">
        <v>216</v>
      </c>
      <c r="O117" s="2">
        <f t="shared" si="20"/>
        <v>1166540218.0075047</v>
      </c>
    </row>
    <row r="118" spans="1:19" s="78" customFormat="1" x14ac:dyDescent="0.35">
      <c r="D118" s="93"/>
      <c r="E118" s="93"/>
      <c r="F118" s="213"/>
      <c r="G118" s="220"/>
      <c r="J118" s="151" t="s">
        <v>77</v>
      </c>
      <c r="O118" s="2">
        <f>SUM(O112:O117)</f>
        <v>38884673933.583504</v>
      </c>
      <c r="R118" s="2">
        <f>SUM(R112:R117)</f>
        <v>18542323350.258408</v>
      </c>
    </row>
    <row r="119" spans="1:19" s="78" customFormat="1" x14ac:dyDescent="0.35">
      <c r="D119" s="93"/>
      <c r="E119" s="93"/>
      <c r="F119" s="213"/>
      <c r="G119" s="220"/>
      <c r="I119" s="145" t="s">
        <v>319</v>
      </c>
      <c r="K119" s="6"/>
      <c r="L119" s="2">
        <f>SUM(L112:L117)</f>
        <v>3294554048.7214413</v>
      </c>
    </row>
    <row r="120" spans="1:19" s="78" customFormat="1" x14ac:dyDescent="0.35">
      <c r="D120" s="93"/>
      <c r="E120" s="93"/>
      <c r="F120" s="213"/>
      <c r="G120" s="220"/>
      <c r="I120" s="14"/>
      <c r="K120" s="6"/>
      <c r="L120" s="2"/>
    </row>
    <row r="121" spans="1:19" s="91" customFormat="1" ht="26" customHeight="1" x14ac:dyDescent="0.35">
      <c r="A121" s="91" t="s">
        <v>80</v>
      </c>
      <c r="D121" s="92"/>
      <c r="E121" s="92"/>
      <c r="F121" s="169"/>
      <c r="I121" s="94"/>
    </row>
    <row r="122" spans="1:19" ht="16" customHeight="1" x14ac:dyDescent="0.35">
      <c r="C122" s="2">
        <f>C123+C130+C137</f>
        <v>22292239597.259033</v>
      </c>
      <c r="D122" s="2">
        <f>D123+D130+D137</f>
        <v>9.6197322706310491</v>
      </c>
      <c r="E122" s="2"/>
      <c r="F122" s="2">
        <f>F123+F130+F137</f>
        <v>9366487.2257390879</v>
      </c>
      <c r="I122" s="6"/>
      <c r="L122" s="90">
        <f>SUM(L124:L127)+SUM(L138:L147)</f>
        <v>3366607119.1288033</v>
      </c>
      <c r="M122" s="2"/>
      <c r="O122" s="90">
        <f>SUM(O124:O129)+SUM(O138:O147)</f>
        <v>3423078869.6350861</v>
      </c>
      <c r="R122" s="90">
        <f>SUM(R124:R129)+SUM(R138:R147)</f>
        <v>2019656830.2187343</v>
      </c>
    </row>
    <row r="123" spans="1:19" s="202" customFormat="1" x14ac:dyDescent="0.35">
      <c r="A123" s="202" t="s">
        <v>74</v>
      </c>
      <c r="B123" s="202">
        <v>2380</v>
      </c>
      <c r="C123" s="203">
        <f>B123*F123</f>
        <v>3227518276.9460492</v>
      </c>
      <c r="D123" s="284">
        <f>'[3]Scenario 3 2035'!$H$27</f>
        <v>1.3927654773012108</v>
      </c>
      <c r="E123" s="202">
        <f>'[1]Conversion factors selected IV '!$O$78</f>
        <v>0.97367441860465131</v>
      </c>
      <c r="F123" s="202">
        <f>D123*E123*1000000</f>
        <v>1356100.1163638863</v>
      </c>
      <c r="G123" s="202">
        <f>'LCoP 2030 HIGH'!E4</f>
        <v>2356.1028145761193</v>
      </c>
      <c r="H123" s="202">
        <f>G123*F123</f>
        <v>3195111301.0119553</v>
      </c>
      <c r="I123" s="202">
        <f>'LCoP 2030 HIGH'!H4</f>
        <v>0.66024402880567168</v>
      </c>
      <c r="K123" s="202">
        <f>I123*G123</f>
        <v>1555.6028145761195</v>
      </c>
      <c r="L123" s="202">
        <f>I123*H123</f>
        <v>2109553157.8626645</v>
      </c>
      <c r="M123" s="202">
        <f>'LCoP 2030 HIGH'!F4</f>
        <v>0.15958556548290753</v>
      </c>
      <c r="O123" s="202">
        <f>M123*H123</f>
        <v>509893643.75282127</v>
      </c>
      <c r="P123" s="202">
        <f>'LCoP 2030 HIGH'!G4</f>
        <v>0.18017040571142087</v>
      </c>
      <c r="R123" s="202">
        <f>P123*H123</f>
        <v>575664499.39646971</v>
      </c>
      <c r="S123" s="202">
        <f>SUM(L123,O123,R123)</f>
        <v>3195111301.0119553</v>
      </c>
    </row>
    <row r="124" spans="1:19" x14ac:dyDescent="0.35">
      <c r="C124">
        <f>C123/$C$122</f>
        <v>0.14478214550245963</v>
      </c>
      <c r="D124" s="2"/>
      <c r="E124" s="2"/>
      <c r="G124" s="147" t="s">
        <v>179</v>
      </c>
      <c r="H124" s="2">
        <f>SUMIF($J$124:$J$127,G124,$L$124:$L$127)/$L$123</f>
        <v>0.43090742752002337</v>
      </c>
      <c r="I124" s="4" t="s">
        <v>1</v>
      </c>
      <c r="J124" s="147" t="s">
        <v>179</v>
      </c>
      <c r="K124" s="6">
        <f>'Feedstock MIX per IVC'!J9</f>
        <v>499.57299247876324</v>
      </c>
      <c r="L124" s="2">
        <f>K124*F$123</f>
        <v>677470993.23270571</v>
      </c>
      <c r="M124" s="5" t="s">
        <v>210</v>
      </c>
      <c r="N124" s="118">
        <v>0.45</v>
      </c>
      <c r="O124" s="2">
        <f t="shared" ref="O124:O129" si="21">N124*$O$123</f>
        <v>229452139.68876958</v>
      </c>
      <c r="P124" s="18" t="s">
        <v>217</v>
      </c>
      <c r="Q124" s="118">
        <v>0.35</v>
      </c>
      <c r="R124" s="2">
        <f t="shared" ref="R124:R129" si="22">Q124*$R$123</f>
        <v>201482574.78876439</v>
      </c>
    </row>
    <row r="125" spans="1:19" x14ac:dyDescent="0.35">
      <c r="D125" s="2"/>
      <c r="E125" s="2"/>
      <c r="G125" s="190" t="s">
        <v>377</v>
      </c>
      <c r="H125" s="2">
        <f>SUMIF($J$124:$J$127,G125,$L$124:$L$127)/$L$123/2</f>
        <v>0.14227314311999417</v>
      </c>
      <c r="I125" s="215" t="s">
        <v>132</v>
      </c>
      <c r="J125" s="147" t="s">
        <v>179</v>
      </c>
      <c r="K125" s="6">
        <f>'Feedstock MIX per IVC'!J10</f>
        <v>170.74781459314019</v>
      </c>
      <c r="L125" s="2">
        <f>K125*F$123</f>
        <v>231551131.2386367</v>
      </c>
      <c r="M125" t="s">
        <v>213</v>
      </c>
      <c r="N125" s="118">
        <v>0.15</v>
      </c>
      <c r="O125" s="2">
        <f t="shared" si="21"/>
        <v>76484046.562923193</v>
      </c>
      <c r="P125" s="18" t="s">
        <v>177</v>
      </c>
      <c r="Q125" s="118">
        <v>0.25</v>
      </c>
      <c r="R125" s="2">
        <f t="shared" si="22"/>
        <v>143916124.84911743</v>
      </c>
    </row>
    <row r="126" spans="1:19" x14ac:dyDescent="0.35">
      <c r="D126" s="2"/>
      <c r="E126" s="2"/>
      <c r="G126" s="239" t="s">
        <v>259</v>
      </c>
      <c r="H126" s="2">
        <f t="shared" ref="H126" si="23">SUMIF($J$124:$J$127,G126,$L$124:$L$127)/$L$123</f>
        <v>0.28454628623998834</v>
      </c>
      <c r="I126" s="216" t="s">
        <v>300</v>
      </c>
      <c r="J126" s="190" t="s">
        <v>377</v>
      </c>
      <c r="K126" s="6">
        <f>'Feedstock MIX per IVC'!J11/2</f>
        <v>442.64100375210802</v>
      </c>
      <c r="L126" s="2">
        <f>K126*F$123</f>
        <v>600265516.69566107</v>
      </c>
      <c r="M126" s="5" t="s">
        <v>214</v>
      </c>
      <c r="N126" s="118">
        <v>0.3</v>
      </c>
      <c r="O126" s="2">
        <f t="shared" si="21"/>
        <v>152968093.12584639</v>
      </c>
      <c r="P126" s="18" t="s">
        <v>218</v>
      </c>
      <c r="Q126" s="118">
        <v>0.2</v>
      </c>
      <c r="R126" s="2">
        <f t="shared" si="22"/>
        <v>115132899.87929395</v>
      </c>
    </row>
    <row r="127" spans="1:19" x14ac:dyDescent="0.35">
      <c r="D127" s="2"/>
      <c r="E127" s="2"/>
      <c r="G127" s="151" t="s">
        <v>77</v>
      </c>
      <c r="H127" s="2">
        <f>H125</f>
        <v>0.14227314311999417</v>
      </c>
      <c r="I127" s="217" t="s">
        <v>301</v>
      </c>
      <c r="J127" s="239" t="s">
        <v>259</v>
      </c>
      <c r="K127" s="6">
        <f>K126</f>
        <v>442.64100375210802</v>
      </c>
      <c r="L127" s="2">
        <f>K127*F$123</f>
        <v>600265516.69566107</v>
      </c>
      <c r="M127" t="s">
        <v>211</v>
      </c>
      <c r="N127" s="118">
        <v>0.05</v>
      </c>
      <c r="O127" s="2">
        <f t="shared" si="21"/>
        <v>25494682.187641066</v>
      </c>
      <c r="P127" s="18" t="s">
        <v>219</v>
      </c>
      <c r="Q127" s="118">
        <v>0.15</v>
      </c>
      <c r="R127" s="2">
        <f t="shared" si="22"/>
        <v>86349674.909470454</v>
      </c>
    </row>
    <row r="128" spans="1:19" x14ac:dyDescent="0.35">
      <c r="D128" s="2"/>
      <c r="E128" s="2"/>
      <c r="G128" s="2"/>
      <c r="H128" s="2">
        <f>SUM(H124:H127)</f>
        <v>1</v>
      </c>
      <c r="L128" s="2"/>
      <c r="M128" t="s">
        <v>216</v>
      </c>
      <c r="N128" s="118">
        <v>0.03</v>
      </c>
      <c r="O128" s="2">
        <f t="shared" si="21"/>
        <v>15296809.312584637</v>
      </c>
      <c r="P128" s="102" t="s">
        <v>220</v>
      </c>
      <c r="Q128" s="118">
        <v>0.05</v>
      </c>
      <c r="R128" s="2">
        <f t="shared" si="22"/>
        <v>28783224.969823487</v>
      </c>
    </row>
    <row r="129" spans="1:19" x14ac:dyDescent="0.35">
      <c r="D129" s="2"/>
      <c r="E129" s="2"/>
      <c r="G129" s="2"/>
      <c r="M129" t="s">
        <v>212</v>
      </c>
      <c r="N129" s="118">
        <v>0.02</v>
      </c>
      <c r="O129" s="2">
        <f t="shared" si="21"/>
        <v>10197872.875056425</v>
      </c>
      <c r="P129" t="s">
        <v>262</v>
      </c>
      <c r="Q129" s="118">
        <v>0</v>
      </c>
      <c r="R129">
        <f t="shared" si="22"/>
        <v>0</v>
      </c>
    </row>
    <row r="130" spans="1:19" s="202" customFormat="1" x14ac:dyDescent="0.35">
      <c r="A130" s="202" t="s">
        <v>88</v>
      </c>
      <c r="B130" s="202">
        <v>2380</v>
      </c>
      <c r="C130" s="202">
        <f>B130*F130</f>
        <v>14266533889.448076</v>
      </c>
      <c r="D130" s="202">
        <f>'[3]Scenario 3 2035'!$H$28</f>
        <v>6.1564131251868339</v>
      </c>
      <c r="E130" s="202">
        <f>'[1]Conversion factors selected IV '!$O$27</f>
        <v>0.97367441860465131</v>
      </c>
      <c r="F130" s="202">
        <f>D130*E130*1000000</f>
        <v>5994341.9703563349</v>
      </c>
      <c r="G130" s="253">
        <f>'LCoP 2030 HIGH'!E6</f>
        <v>2513.8297872340427</v>
      </c>
      <c r="I130" s="202">
        <f>'LCoP 2030 HIGH'!H6</f>
        <v>0.42319085907744397</v>
      </c>
      <c r="M130" s="202">
        <f>'LCoP 2030 HIGH'!F6</f>
        <v>0.29834955564959798</v>
      </c>
      <c r="P130" s="202">
        <f>'LCoP 2030 HIGH'!G6</f>
        <v>0.27845958527295811</v>
      </c>
    </row>
    <row r="131" spans="1:19" x14ac:dyDescent="0.35">
      <c r="C131">
        <f>C130/$C$122</f>
        <v>0.63997759521668851</v>
      </c>
      <c r="D131" s="2"/>
      <c r="E131" s="2"/>
      <c r="G131" s="2"/>
      <c r="M131" s="5" t="s">
        <v>211</v>
      </c>
      <c r="N131" s="34">
        <v>0</v>
      </c>
      <c r="O131" s="2">
        <f>N131*O$130</f>
        <v>0</v>
      </c>
      <c r="P131" s="18" t="s">
        <v>217</v>
      </c>
      <c r="Q131" s="34">
        <v>0.2</v>
      </c>
      <c r="R131" s="2">
        <f>Q131*R$130</f>
        <v>0</v>
      </c>
    </row>
    <row r="132" spans="1:19" x14ac:dyDescent="0.35">
      <c r="D132" s="2"/>
      <c r="E132" s="2"/>
      <c r="G132" s="2"/>
      <c r="M132" t="s">
        <v>212</v>
      </c>
      <c r="N132" s="34">
        <v>0.02</v>
      </c>
      <c r="O132" s="2"/>
      <c r="P132" s="18" t="s">
        <v>177</v>
      </c>
      <c r="Q132" s="34">
        <v>0.5</v>
      </c>
    </row>
    <row r="133" spans="1:19" x14ac:dyDescent="0.35">
      <c r="D133" s="2"/>
      <c r="E133" s="2"/>
      <c r="G133" s="2"/>
      <c r="M133" s="5" t="s">
        <v>210</v>
      </c>
      <c r="N133" s="34">
        <v>0.5</v>
      </c>
      <c r="O133" s="2"/>
      <c r="P133" s="18" t="s">
        <v>218</v>
      </c>
      <c r="Q133" s="34">
        <v>0.15</v>
      </c>
    </row>
    <row r="134" spans="1:19" x14ac:dyDescent="0.35">
      <c r="D134" s="2"/>
      <c r="E134" s="2"/>
      <c r="G134" s="2"/>
      <c r="M134" t="s">
        <v>213</v>
      </c>
      <c r="N134" s="34">
        <v>0.15</v>
      </c>
      <c r="O134" s="2"/>
      <c r="P134" s="18" t="s">
        <v>219</v>
      </c>
      <c r="Q134" s="34">
        <v>0.1</v>
      </c>
    </row>
    <row r="135" spans="1:19" x14ac:dyDescent="0.35">
      <c r="D135" s="2"/>
      <c r="E135" s="2"/>
      <c r="G135" s="2"/>
      <c r="M135" t="s">
        <v>214</v>
      </c>
      <c r="N135" s="34">
        <v>0.3</v>
      </c>
      <c r="O135" s="2"/>
      <c r="P135" s="18" t="s">
        <v>220</v>
      </c>
      <c r="Q135" s="34">
        <v>0.05</v>
      </c>
    </row>
    <row r="136" spans="1:19" x14ac:dyDescent="0.35">
      <c r="D136" s="2"/>
      <c r="E136" s="2"/>
      <c r="G136" s="2"/>
      <c r="M136" t="s">
        <v>216</v>
      </c>
      <c r="N136" s="34">
        <v>0.03</v>
      </c>
      <c r="O136" s="2"/>
      <c r="Q136" s="118"/>
    </row>
    <row r="137" spans="1:19" s="202" customFormat="1" x14ac:dyDescent="0.35">
      <c r="A137" s="202" t="s">
        <v>318</v>
      </c>
      <c r="B137" s="202">
        <v>2380</v>
      </c>
      <c r="C137" s="203">
        <f>B137*F137</f>
        <v>4798187430.8649063</v>
      </c>
      <c r="D137" s="284">
        <f>'[3]Scenario 3 2035'!$H$29</f>
        <v>2.0705536681430043</v>
      </c>
      <c r="E137" s="202">
        <f>'[1]Conversion factors selected IV '!$O$76</f>
        <v>0.97367441860465131</v>
      </c>
      <c r="F137" s="202">
        <f>D137*E137*1000000</f>
        <v>2016045.1390188681</v>
      </c>
      <c r="G137" s="202">
        <f>'LCoP 2030 HIGH'!E16</f>
        <v>2784.7747103038073</v>
      </c>
      <c r="H137" s="202">
        <f>G137*F137</f>
        <v>5614231517.9706669</v>
      </c>
      <c r="I137" s="202">
        <f>'LCoP 2030 HIGH'!H16</f>
        <v>0.223904902610877</v>
      </c>
      <c r="L137" s="202">
        <f>I137*H137</f>
        <v>1257053961.2661383</v>
      </c>
      <c r="M137" s="202">
        <f>'LCoP 2030 HIGH'!F16</f>
        <v>0.51889296274252528</v>
      </c>
      <c r="O137" s="202">
        <f>M137*H137</f>
        <v>2913185225.8822646</v>
      </c>
      <c r="P137" s="202">
        <f>'LCoP 2030 HIGH'!G16</f>
        <v>0.25720213464659775</v>
      </c>
      <c r="R137" s="202">
        <f>P137*H137</f>
        <v>1443992330.8222644</v>
      </c>
      <c r="S137" s="202">
        <f>L137+O137+R137</f>
        <v>5614231517.9706678</v>
      </c>
    </row>
    <row r="138" spans="1:19" s="78" customFormat="1" x14ac:dyDescent="0.35">
      <c r="C138">
        <f>C137/$C$122</f>
        <v>0.21524025928085183</v>
      </c>
      <c r="F138" s="213"/>
      <c r="G138" s="152" t="s">
        <v>180</v>
      </c>
      <c r="H138" s="2">
        <f>SUMIF($J$138:$J$147,G138,$L$138:$L$147)/$L$137</f>
        <v>2.549675279098116E-2</v>
      </c>
      <c r="I138" s="5" t="s">
        <v>4</v>
      </c>
      <c r="J138" s="147" t="s">
        <v>179</v>
      </c>
      <c r="K138" s="6">
        <f>'Feedstock MIX per IVC'!J69</f>
        <v>363.08264113961184</v>
      </c>
      <c r="L138" s="2">
        <f t="shared" ref="L138:L147" si="24">K138*F$137</f>
        <v>731990993.73164654</v>
      </c>
      <c r="M138" s="5" t="s">
        <v>211</v>
      </c>
      <c r="N138" s="34">
        <v>0</v>
      </c>
      <c r="O138" s="2">
        <f t="shared" ref="O138:O143" si="25">N138*O$137</f>
        <v>0</v>
      </c>
      <c r="P138" s="18" t="s">
        <v>217</v>
      </c>
      <c r="Q138" s="34">
        <v>0.25</v>
      </c>
      <c r="R138" s="2">
        <f>Q138*R$137</f>
        <v>360998082.70556611</v>
      </c>
    </row>
    <row r="139" spans="1:19" x14ac:dyDescent="0.35">
      <c r="G139" s="150" t="s">
        <v>178</v>
      </c>
      <c r="H139" s="2">
        <f>SUMIF($J$138:$J$147,G139,$L$138:$L$147)/$L$137</f>
        <v>1.3783079502860897E-2</v>
      </c>
      <c r="I139" s="5" t="s">
        <v>5</v>
      </c>
      <c r="J139" s="147" t="s">
        <v>179</v>
      </c>
      <c r="K139" s="6">
        <f>'Feedstock MIX per IVC'!J70</f>
        <v>16.946224660144196</v>
      </c>
      <c r="L139" s="2">
        <f t="shared" si="24"/>
        <v>34164353.850805379</v>
      </c>
      <c r="M139" t="s">
        <v>212</v>
      </c>
      <c r="N139" s="34">
        <v>0.02</v>
      </c>
      <c r="O139" s="2">
        <f t="shared" si="25"/>
        <v>58263704.517645292</v>
      </c>
      <c r="P139" s="18" t="s">
        <v>177</v>
      </c>
      <c r="Q139" s="34">
        <v>0.15</v>
      </c>
      <c r="R139" s="2">
        <f>Q139*R$137</f>
        <v>216598849.62333965</v>
      </c>
    </row>
    <row r="140" spans="1:19" x14ac:dyDescent="0.35">
      <c r="G140" s="147" t="s">
        <v>179</v>
      </c>
      <c r="H140" s="2">
        <f t="shared" ref="H140:H142" si="26">SUMIF($J$138:$J$147,G140,$L$138:$L$147)/$L$137</f>
        <v>0.65382435853291021</v>
      </c>
      <c r="I140" s="5" t="s">
        <v>22</v>
      </c>
      <c r="J140" s="152" t="s">
        <v>180</v>
      </c>
      <c r="K140" s="6">
        <f>'Feedstock MIX per IVC'!J71</f>
        <v>0</v>
      </c>
      <c r="L140" s="2">
        <f t="shared" si="24"/>
        <v>0</v>
      </c>
      <c r="M140" s="5" t="s">
        <v>210</v>
      </c>
      <c r="N140" s="34">
        <v>0.55000000000000004</v>
      </c>
      <c r="O140" s="2">
        <f t="shared" si="25"/>
        <v>1602251874.2352457</v>
      </c>
      <c r="P140" s="18" t="s">
        <v>218</v>
      </c>
      <c r="Q140" s="34">
        <v>0.3</v>
      </c>
      <c r="R140" s="2">
        <f>Q140*R$137</f>
        <v>433197699.24667931</v>
      </c>
    </row>
    <row r="141" spans="1:19" x14ac:dyDescent="0.35">
      <c r="G141" s="171" t="s">
        <v>222</v>
      </c>
      <c r="H141" s="2">
        <f t="shared" si="26"/>
        <v>0.14132773121820577</v>
      </c>
      <c r="I141" s="5" t="s">
        <v>6</v>
      </c>
      <c r="J141" s="150" t="s">
        <v>178</v>
      </c>
      <c r="K141" s="6">
        <f>'Feedstock MIX per IVC'!J72</f>
        <v>8.5940906541156838</v>
      </c>
      <c r="L141" s="2">
        <f t="shared" si="24"/>
        <v>17326074.687517408</v>
      </c>
      <c r="M141" t="s">
        <v>213</v>
      </c>
      <c r="N141" s="34">
        <v>0.1</v>
      </c>
      <c r="O141" s="2">
        <f t="shared" si="25"/>
        <v>291318522.5882265</v>
      </c>
      <c r="P141" s="18" t="s">
        <v>219</v>
      </c>
      <c r="Q141" s="34">
        <v>0.3</v>
      </c>
      <c r="R141" s="2">
        <f>Q141*R$137</f>
        <v>433197699.24667931</v>
      </c>
    </row>
    <row r="142" spans="1:19" s="78" customFormat="1" x14ac:dyDescent="0.35">
      <c r="F142" s="213"/>
      <c r="G142" s="149" t="s">
        <v>176</v>
      </c>
      <c r="H142" s="2">
        <f t="shared" si="26"/>
        <v>0.16319317645645209</v>
      </c>
      <c r="I142" s="5" t="s">
        <v>7</v>
      </c>
      <c r="J142" s="147" t="s">
        <v>179</v>
      </c>
      <c r="K142" s="6">
        <f>'Feedstock MIX per IVC'!J73</f>
        <v>16.238016457978244</v>
      </c>
      <c r="L142" s="2">
        <f t="shared" si="24"/>
        <v>32736574.147415418</v>
      </c>
      <c r="M142" t="s">
        <v>214</v>
      </c>
      <c r="N142" s="34">
        <v>0.3</v>
      </c>
      <c r="O142" s="2">
        <f t="shared" si="25"/>
        <v>873955567.76467931</v>
      </c>
      <c r="P142" s="18" t="s">
        <v>220</v>
      </c>
      <c r="Q142" s="223">
        <v>0</v>
      </c>
      <c r="R142" s="2">
        <f>Q142*R$137</f>
        <v>0</v>
      </c>
    </row>
    <row r="143" spans="1:19" x14ac:dyDescent="0.35">
      <c r="G143" s="151" t="s">
        <v>77</v>
      </c>
      <c r="H143" s="243">
        <f>SUMIF($J$138:$J$147,G143,$L$138:$L$147)/$L$137/2</f>
        <v>1.187450749294936E-3</v>
      </c>
      <c r="I143" s="5" t="s">
        <v>8</v>
      </c>
      <c r="J143" s="147" t="s">
        <v>179</v>
      </c>
      <c r="K143" s="6">
        <f>'Feedstock MIX per IVC'!J74</f>
        <v>11.408761486071064</v>
      </c>
      <c r="L143" s="2">
        <f t="shared" si="24"/>
        <v>23000578.136219248</v>
      </c>
      <c r="M143" t="s">
        <v>216</v>
      </c>
      <c r="N143" s="34">
        <v>0.03</v>
      </c>
      <c r="O143" s="2">
        <f t="shared" si="25"/>
        <v>87395556.776467934</v>
      </c>
    </row>
    <row r="144" spans="1:19" x14ac:dyDescent="0.35">
      <c r="G144" s="190" t="s">
        <v>377</v>
      </c>
      <c r="H144" s="2">
        <f>H143</f>
        <v>1.187450749294936E-3</v>
      </c>
      <c r="I144" s="5" t="s">
        <v>9</v>
      </c>
      <c r="J144" s="171" t="s">
        <v>222</v>
      </c>
      <c r="K144" s="6">
        <f>'Feedstock MIX per IVC'!J75</f>
        <v>88.121332665726072</v>
      </c>
      <c r="L144" s="2">
        <f t="shared" si="24"/>
        <v>177656584.36460164</v>
      </c>
      <c r="N144" s="34"/>
    </row>
    <row r="145" spans="1:18" x14ac:dyDescent="0.35">
      <c r="H145" s="90">
        <f>SUM(H138:H144)</f>
        <v>1</v>
      </c>
      <c r="I145" s="5" t="s">
        <v>10</v>
      </c>
      <c r="J145" s="149" t="s">
        <v>176</v>
      </c>
      <c r="K145" s="6">
        <f>'Feedstock MIX per IVC'!J76</f>
        <v>101.75497807356737</v>
      </c>
      <c r="L145" s="2">
        <f t="shared" si="24"/>
        <v>205142628.91618702</v>
      </c>
    </row>
    <row r="146" spans="1:18" x14ac:dyDescent="0.35">
      <c r="I146" s="5" t="s">
        <v>11</v>
      </c>
      <c r="J146" s="152" t="s">
        <v>180</v>
      </c>
      <c r="K146" s="6">
        <f>'Feedstock MIX per IVC'!J77</f>
        <v>15.897855397684314</v>
      </c>
      <c r="L146" s="2">
        <f t="shared" si="24"/>
        <v>32050794.095326334</v>
      </c>
    </row>
    <row r="147" spans="1:18" x14ac:dyDescent="0.35">
      <c r="F147" s="31"/>
      <c r="I147" s="13" t="s">
        <v>32</v>
      </c>
      <c r="J147" s="151" t="s">
        <v>77</v>
      </c>
      <c r="K147" s="6">
        <f>'Feedstock MIX per IVC'!J78</f>
        <v>1.4808097689083273</v>
      </c>
      <c r="L147" s="2">
        <f t="shared" si="24"/>
        <v>2985379.3364192867</v>
      </c>
    </row>
    <row r="148" spans="1:18" x14ac:dyDescent="0.35">
      <c r="A148" s="78"/>
      <c r="B148" s="78"/>
      <c r="C148" s="78"/>
      <c r="D148" s="90"/>
      <c r="E148" s="90"/>
      <c r="F148" s="220"/>
      <c r="G148" s="220"/>
      <c r="L148" s="2">
        <f>SUM(L138:L147)</f>
        <v>1257053961.2661383</v>
      </c>
    </row>
    <row r="149" spans="1:18" x14ac:dyDescent="0.35">
      <c r="A149" s="78"/>
      <c r="B149" s="78"/>
      <c r="C149" s="78"/>
      <c r="D149" s="90"/>
      <c r="E149" s="90"/>
      <c r="F149" s="220"/>
      <c r="G149" s="220"/>
      <c r="L149" s="2"/>
    </row>
    <row r="150" spans="1:18" x14ac:dyDescent="0.35">
      <c r="A150" s="78"/>
      <c r="B150" s="78"/>
      <c r="C150" s="78"/>
      <c r="D150" s="90"/>
      <c r="E150" s="90"/>
      <c r="F150" s="213"/>
      <c r="G150" s="213"/>
      <c r="I150" s="78"/>
      <c r="J150" s="78"/>
      <c r="K150" s="78"/>
      <c r="L150" s="2"/>
      <c r="M150" s="78"/>
      <c r="N150" s="78"/>
      <c r="O150" s="2" t="e">
        <f>SUM(#REF!)</f>
        <v>#REF!</v>
      </c>
      <c r="P150" s="78"/>
      <c r="Q150" s="78"/>
      <c r="R150" s="2" t="e">
        <f>SUM(#REF!)</f>
        <v>#REF!</v>
      </c>
    </row>
    <row r="151" spans="1:18" x14ac:dyDescent="0.35">
      <c r="A151" s="78"/>
      <c r="B151" s="78"/>
      <c r="C151" s="78"/>
      <c r="D151" s="90"/>
      <c r="E151" s="90"/>
      <c r="F151" s="220"/>
      <c r="G151" s="220"/>
      <c r="J151" s="152" t="s">
        <v>180</v>
      </c>
      <c r="L151" s="2">
        <f>L140+L146</f>
        <v>32050794.095326334</v>
      </c>
      <c r="M151" s="5" t="s">
        <v>211</v>
      </c>
      <c r="O151" s="2">
        <f t="shared" ref="O151:O156" si="27">O124+O138</f>
        <v>229452139.68876958</v>
      </c>
      <c r="P151" s="18" t="s">
        <v>217</v>
      </c>
      <c r="R151" s="2">
        <f>R124+R138</f>
        <v>562480657.49433053</v>
      </c>
    </row>
    <row r="152" spans="1:18" x14ac:dyDescent="0.35">
      <c r="A152" s="78"/>
      <c r="B152" s="78"/>
      <c r="C152" s="78"/>
      <c r="D152" s="90"/>
      <c r="E152" s="90"/>
      <c r="F152" s="220"/>
      <c r="G152" s="220"/>
      <c r="J152" s="150" t="s">
        <v>178</v>
      </c>
      <c r="L152" s="2">
        <f>L141</f>
        <v>17326074.687517408</v>
      </c>
      <c r="M152" t="s">
        <v>212</v>
      </c>
      <c r="O152" s="2">
        <f t="shared" si="27"/>
        <v>134747751.08056849</v>
      </c>
      <c r="P152" s="18" t="s">
        <v>177</v>
      </c>
      <c r="R152" s="2">
        <f>R125+R139</f>
        <v>360514974.47245705</v>
      </c>
    </row>
    <row r="153" spans="1:18" x14ac:dyDescent="0.35">
      <c r="A153" s="78"/>
      <c r="B153" s="78"/>
      <c r="C153" s="78"/>
      <c r="D153" s="90"/>
      <c r="E153" s="90"/>
      <c r="F153" s="220"/>
      <c r="G153" s="220"/>
      <c r="J153" s="147" t="s">
        <v>179</v>
      </c>
      <c r="L153" s="2">
        <f>L124+L125+L138+L139+L142+L143</f>
        <v>1730914624.337429</v>
      </c>
      <c r="M153" s="5" t="s">
        <v>210</v>
      </c>
      <c r="O153" s="2">
        <f t="shared" si="27"/>
        <v>1755219967.3610921</v>
      </c>
      <c r="P153" s="18" t="s">
        <v>218</v>
      </c>
      <c r="R153" s="2">
        <f>R126+R140</f>
        <v>548330599.12597322</v>
      </c>
    </row>
    <row r="154" spans="1:18" x14ac:dyDescent="0.35">
      <c r="A154" s="78"/>
      <c r="B154" s="78"/>
      <c r="C154" s="78"/>
      <c r="D154" s="90"/>
      <c r="E154" s="90"/>
      <c r="F154" s="220"/>
      <c r="G154" s="220"/>
      <c r="J154" s="171" t="s">
        <v>222</v>
      </c>
      <c r="L154" s="2">
        <f>L144</f>
        <v>177656584.36460164</v>
      </c>
      <c r="M154" t="s">
        <v>213</v>
      </c>
      <c r="O154" s="2">
        <f t="shared" si="27"/>
        <v>316813204.77586758</v>
      </c>
      <c r="P154" s="18" t="s">
        <v>219</v>
      </c>
      <c r="R154" s="2">
        <f>R127+R141</f>
        <v>519547374.15614974</v>
      </c>
    </row>
    <row r="155" spans="1:18" x14ac:dyDescent="0.35">
      <c r="A155" s="78"/>
      <c r="B155" s="78"/>
      <c r="C155" s="78"/>
      <c r="D155" s="90"/>
      <c r="E155" s="90"/>
      <c r="F155" s="220"/>
      <c r="G155" s="220"/>
      <c r="J155" s="149" t="s">
        <v>176</v>
      </c>
      <c r="L155" s="2">
        <f>L145</f>
        <v>205142628.91618702</v>
      </c>
      <c r="M155" t="s">
        <v>214</v>
      </c>
      <c r="O155" s="2">
        <f t="shared" si="27"/>
        <v>889252377.07726395</v>
      </c>
      <c r="P155" s="18" t="s">
        <v>220</v>
      </c>
      <c r="R155" s="2">
        <f>R128+R142</f>
        <v>28783224.969823487</v>
      </c>
    </row>
    <row r="156" spans="1:18" x14ac:dyDescent="0.35">
      <c r="A156" s="78"/>
      <c r="B156" s="78"/>
      <c r="C156" s="78"/>
      <c r="D156" s="90"/>
      <c r="E156" s="90"/>
      <c r="F156" s="220"/>
      <c r="G156" s="220"/>
      <c r="J156" s="18" t="s">
        <v>177</v>
      </c>
      <c r="L156" s="2">
        <f>L127+L147</f>
        <v>603250896.03208041</v>
      </c>
      <c r="M156" t="s">
        <v>216</v>
      </c>
      <c r="O156" s="2">
        <f t="shared" si="27"/>
        <v>97593429.651524365</v>
      </c>
    </row>
    <row r="157" spans="1:18" x14ac:dyDescent="0.35">
      <c r="A157" s="78"/>
      <c r="B157" s="78"/>
      <c r="C157" s="78"/>
      <c r="D157" s="90"/>
      <c r="E157" s="90"/>
      <c r="F157" s="220"/>
      <c r="G157" s="220"/>
      <c r="J157" s="190" t="s">
        <v>302</v>
      </c>
      <c r="L157" s="2">
        <f>L126</f>
        <v>600265516.69566107</v>
      </c>
    </row>
    <row r="158" spans="1:18" x14ac:dyDescent="0.35">
      <c r="A158" s="78"/>
      <c r="B158" s="78"/>
      <c r="C158" s="78"/>
      <c r="D158" s="90"/>
      <c r="E158" s="90"/>
      <c r="F158" s="220"/>
      <c r="G158" s="220"/>
      <c r="I158" t="s">
        <v>319</v>
      </c>
      <c r="L158" s="2">
        <f>SUM(L151:L157)</f>
        <v>3366607119.1288028</v>
      </c>
      <c r="O158" s="2">
        <f>SUM(O151:O157)</f>
        <v>3423078869.6350861</v>
      </c>
      <c r="R158" s="2">
        <f>SUM(R151:R157)</f>
        <v>2019656830.218734</v>
      </c>
    </row>
    <row r="159" spans="1:18" s="91" customFormat="1" ht="34" customHeight="1" x14ac:dyDescent="0.35">
      <c r="A159" s="91" t="s">
        <v>81</v>
      </c>
      <c r="F159" s="169"/>
    </row>
    <row r="160" spans="1:18" ht="19" customHeight="1" x14ac:dyDescent="0.35">
      <c r="C160" s="2">
        <f>C161+C172+C180</f>
        <v>69072668587.085159</v>
      </c>
      <c r="D160" s="2">
        <f>D161+D172+D180</f>
        <v>36.685801334317141</v>
      </c>
      <c r="E160" s="2"/>
      <c r="F160" s="2">
        <f>F161+F172+F180</f>
        <v>73095941.905676782</v>
      </c>
    </row>
    <row r="161" spans="1:19" s="202" customFormat="1" x14ac:dyDescent="0.35">
      <c r="A161" s="202" t="s">
        <v>309</v>
      </c>
      <c r="B161" s="202">
        <v>935</v>
      </c>
      <c r="C161" s="203">
        <f>B161*F161</f>
        <v>26069248930.693687</v>
      </c>
      <c r="D161" s="284">
        <f>'[3]Scenario 3 2035'!$H$20</f>
        <v>13.31878745509502</v>
      </c>
      <c r="E161" s="202">
        <f>'[1]Conversion factors selected IV '!$O$49</f>
        <v>2.0934000000000004</v>
      </c>
      <c r="F161" s="202">
        <f>D161*E161*1000000</f>
        <v>27881549.658495922</v>
      </c>
      <c r="G161" s="202">
        <f>'LCoP 2030 HIGH'!E10</f>
        <v>559.18457111316229</v>
      </c>
      <c r="H161" s="202">
        <f>G161*F161</f>
        <v>15590932387.756378</v>
      </c>
      <c r="I161" s="202">
        <f>'LCoP 2030 HIGH'!H10</f>
        <v>0.24801215605266894</v>
      </c>
      <c r="L161" s="202">
        <f>I161*H161</f>
        <v>3866740756.3588452</v>
      </c>
      <c r="M161" s="202">
        <f>'LCoP 2030 HIGH'!F10</f>
        <v>0.50251744149631405</v>
      </c>
      <c r="O161" s="202">
        <f>M161*H161</f>
        <v>7834715454.0373535</v>
      </c>
      <c r="P161" s="202">
        <f>'LCoP 2030 HIGH'!G10</f>
        <v>0.24947040245101712</v>
      </c>
      <c r="R161" s="202">
        <f>P161*H161</f>
        <v>3889476177.3601809</v>
      </c>
    </row>
    <row r="162" spans="1:19" x14ac:dyDescent="0.35">
      <c r="D162" s="2"/>
      <c r="E162" s="2"/>
      <c r="G162" s="150" t="s">
        <v>178</v>
      </c>
      <c r="H162" s="2">
        <f>SUMIF($J$162:$J$171,G162,$L$162:$L$171)/$L$161</f>
        <v>1.2636880695426444E-2</v>
      </c>
      <c r="I162" s="5" t="s">
        <v>4</v>
      </c>
      <c r="J162" s="147" t="s">
        <v>179</v>
      </c>
      <c r="K162" s="6">
        <f>'Feedstock MIX per IVC'!J30</f>
        <v>74.041223822910666</v>
      </c>
      <c r="L162" s="2">
        <f t="shared" ref="L162:L171" si="28">K162*F$161</f>
        <v>2064384058.7942951</v>
      </c>
      <c r="M162" s="5" t="s">
        <v>211</v>
      </c>
      <c r="N162" s="34">
        <v>0</v>
      </c>
      <c r="O162" s="2">
        <f t="shared" ref="O162:O167" si="29">N162*O$161</f>
        <v>0</v>
      </c>
      <c r="P162" s="18" t="s">
        <v>217</v>
      </c>
      <c r="Q162" s="34">
        <v>0.25</v>
      </c>
      <c r="R162" s="2">
        <f>Q162*R$161</f>
        <v>972369044.34004521</v>
      </c>
    </row>
    <row r="163" spans="1:19" x14ac:dyDescent="0.35">
      <c r="D163" s="2"/>
      <c r="E163" s="2"/>
      <c r="G163" s="147" t="s">
        <v>179</v>
      </c>
      <c r="H163" s="2">
        <f t="shared" ref="H163:H166" si="30">SUMIF($J$162:$J$171,G163,$L$162:$L$171)/$L$161</f>
        <v>0.59945242373659224</v>
      </c>
      <c r="I163" s="5" t="s">
        <v>5</v>
      </c>
      <c r="J163" s="147" t="s">
        <v>179</v>
      </c>
      <c r="K163" s="6">
        <f>'Feedstock MIX per IVC'!J31</f>
        <v>3.4557400185171687</v>
      </c>
      <c r="L163" s="2">
        <f t="shared" si="28"/>
        <v>96351386.933138058</v>
      </c>
      <c r="M163" t="s">
        <v>212</v>
      </c>
      <c r="N163" s="34">
        <v>0.02</v>
      </c>
      <c r="O163" s="2">
        <f t="shared" si="29"/>
        <v>156694309.08074707</v>
      </c>
      <c r="P163" s="18" t="s">
        <v>177</v>
      </c>
      <c r="Q163" s="34">
        <v>0.15</v>
      </c>
      <c r="R163" s="2">
        <f>Q163*R$161</f>
        <v>583421426.60402715</v>
      </c>
    </row>
    <row r="164" spans="1:19" x14ac:dyDescent="0.35">
      <c r="D164" s="2"/>
      <c r="E164" s="2"/>
      <c r="G164" s="171" t="s">
        <v>222</v>
      </c>
      <c r="H164" s="2">
        <f t="shared" si="30"/>
        <v>0.12957493845907658</v>
      </c>
      <c r="I164" s="5" t="s">
        <v>22</v>
      </c>
      <c r="J164" s="152" t="s">
        <v>180</v>
      </c>
      <c r="K164" s="6">
        <f>'Feedstock MIX per IVC'!J32</f>
        <v>0</v>
      </c>
      <c r="L164" s="2">
        <f t="shared" si="28"/>
        <v>0</v>
      </c>
      <c r="M164" s="5" t="s">
        <v>210</v>
      </c>
      <c r="N164" s="34">
        <v>0.55000000000000004</v>
      </c>
      <c r="O164" s="2">
        <f t="shared" si="29"/>
        <v>4309093499.7205448</v>
      </c>
      <c r="P164" s="18" t="s">
        <v>218</v>
      </c>
      <c r="Q164" s="34">
        <v>0.3</v>
      </c>
      <c r="R164" s="2">
        <f>Q164*R$161</f>
        <v>1166842853.2080543</v>
      </c>
    </row>
    <row r="165" spans="1:19" x14ac:dyDescent="0.35">
      <c r="D165" s="2"/>
      <c r="E165" s="2"/>
      <c r="G165" s="149" t="s">
        <v>176</v>
      </c>
      <c r="H165" s="2">
        <f t="shared" si="30"/>
        <v>0.14962205657740033</v>
      </c>
      <c r="I165" s="5" t="s">
        <v>6</v>
      </c>
      <c r="J165" s="150" t="s">
        <v>178</v>
      </c>
      <c r="K165" s="6">
        <f>'Feedstock MIX per IVC'!J33</f>
        <v>1.7525403794534171</v>
      </c>
      <c r="L165" s="2">
        <f t="shared" si="28"/>
        <v>48863541.618249737</v>
      </c>
      <c r="M165" t="s">
        <v>213</v>
      </c>
      <c r="N165" s="34">
        <v>0.1</v>
      </c>
      <c r="O165" s="2">
        <f t="shared" si="29"/>
        <v>783471545.4037354</v>
      </c>
      <c r="P165" s="18" t="s">
        <v>219</v>
      </c>
      <c r="Q165" s="34">
        <v>0.3</v>
      </c>
      <c r="R165" s="2">
        <f>Q165*R$161</f>
        <v>1166842853.2080543</v>
      </c>
    </row>
    <row r="166" spans="1:19" x14ac:dyDescent="0.35">
      <c r="D166" s="2"/>
      <c r="E166" s="2"/>
      <c r="G166" s="152" t="s">
        <v>180</v>
      </c>
      <c r="H166" s="2">
        <f t="shared" si="30"/>
        <v>2.3376446684032576E-2</v>
      </c>
      <c r="I166" s="5" t="s">
        <v>7</v>
      </c>
      <c r="J166" s="147" t="s">
        <v>179</v>
      </c>
      <c r="K166" s="6">
        <f>'Feedstock MIX per IVC'!J34</f>
        <v>3.3113194484640065</v>
      </c>
      <c r="L166" s="2">
        <f t="shared" si="28"/>
        <v>92324717.637492523</v>
      </c>
      <c r="M166" t="s">
        <v>214</v>
      </c>
      <c r="N166" s="34">
        <v>0.3</v>
      </c>
      <c r="O166" s="2">
        <f t="shared" si="29"/>
        <v>2350414636.211206</v>
      </c>
      <c r="P166" s="18" t="s">
        <v>220</v>
      </c>
      <c r="Q166" s="223">
        <v>0</v>
      </c>
      <c r="R166" s="2">
        <f>Q166*R$161</f>
        <v>0</v>
      </c>
    </row>
    <row r="167" spans="1:19" x14ac:dyDescent="0.35">
      <c r="D167" s="2"/>
      <c r="E167" s="2"/>
      <c r="G167" s="190" t="s">
        <v>377</v>
      </c>
      <c r="H167" s="2">
        <f>SUMIF($J$162:$J$171,G167,$L$162:$L$171)/$L$161/2</f>
        <v>4.2668626923736026E-2</v>
      </c>
      <c r="I167" s="5" t="s">
        <v>8</v>
      </c>
      <c r="J167" s="147" t="s">
        <v>179</v>
      </c>
      <c r="K167" s="6">
        <f>'Feedstock MIX per IVC'!J35</f>
        <v>2.3265189987630972</v>
      </c>
      <c r="L167" s="2">
        <f t="shared" si="28"/>
        <v>64866954.995447509</v>
      </c>
      <c r="M167" t="s">
        <v>216</v>
      </c>
      <c r="N167" s="34">
        <v>0.03</v>
      </c>
      <c r="O167" s="2">
        <f t="shared" si="29"/>
        <v>235041463.6211206</v>
      </c>
    </row>
    <row r="168" spans="1:19" x14ac:dyDescent="0.35">
      <c r="D168" s="2"/>
      <c r="E168" s="2"/>
      <c r="G168" s="151" t="s">
        <v>77</v>
      </c>
      <c r="H168" s="2">
        <f>H167</f>
        <v>4.2668626923736026E-2</v>
      </c>
      <c r="I168" s="5" t="s">
        <v>9</v>
      </c>
      <c r="J168" s="171" t="s">
        <v>222</v>
      </c>
      <c r="K168" s="6">
        <f>'Feedstock MIX per IVC'!J36</f>
        <v>17.970044767211444</v>
      </c>
      <c r="L168" s="2">
        <f t="shared" si="28"/>
        <v>501032695.54240066</v>
      </c>
      <c r="M168" s="2"/>
    </row>
    <row r="169" spans="1:19" x14ac:dyDescent="0.35">
      <c r="D169" s="2"/>
      <c r="E169" s="2"/>
      <c r="G169" s="2"/>
      <c r="H169" s="276">
        <f>SUM(H162:H168)</f>
        <v>1.0000000000000004</v>
      </c>
      <c r="I169" s="5" t="s">
        <v>10</v>
      </c>
      <c r="J169" s="149" t="s">
        <v>176</v>
      </c>
      <c r="K169" s="6">
        <f>'Feedstock MIX per IVC'!J37</f>
        <v>20.750270745506079</v>
      </c>
      <c r="L169" s="2">
        <f t="shared" si="28"/>
        <v>578549704.21806288</v>
      </c>
    </row>
    <row r="170" spans="1:19" s="31" customFormat="1" x14ac:dyDescent="0.35">
      <c r="I170" s="5" t="s">
        <v>11</v>
      </c>
      <c r="J170" s="152" t="s">
        <v>180</v>
      </c>
      <c r="K170" s="6">
        <f>'Feedstock MIX per IVC'!J38</f>
        <v>3.2419524825247641</v>
      </c>
      <c r="L170" s="2">
        <f t="shared" si="28"/>
        <v>90390659.131998345</v>
      </c>
    </row>
    <row r="171" spans="1:19" x14ac:dyDescent="0.35">
      <c r="D171" s="2"/>
      <c r="E171" s="2"/>
      <c r="I171" s="13" t="s">
        <v>25</v>
      </c>
      <c r="J171" s="190" t="s">
        <v>377</v>
      </c>
      <c r="K171" s="6">
        <f>'Feedstock MIX per IVC'!J39</f>
        <v>11.834960449811724</v>
      </c>
      <c r="L171" s="2">
        <f t="shared" si="28"/>
        <v>329977037.48776084</v>
      </c>
    </row>
    <row r="172" spans="1:19" s="202" customFormat="1" x14ac:dyDescent="0.35">
      <c r="A172" s="202" t="s">
        <v>27</v>
      </c>
      <c r="B172" s="202">
        <v>935</v>
      </c>
      <c r="C172" s="203">
        <f>B172*F172</f>
        <v>39109664581.651985</v>
      </c>
      <c r="D172" s="284">
        <f>'[3]Scenario 3 2035'!$H$21</f>
        <v>19.981139901187781</v>
      </c>
      <c r="E172" s="202">
        <f>'[1]Conversion factors selected IV '!$O$49</f>
        <v>2.0934000000000004</v>
      </c>
      <c r="F172" s="202">
        <f>D172*E172*1000000</f>
        <v>41828518.269146509</v>
      </c>
      <c r="G172" s="202">
        <f>'LCoP 2030 HIGH'!E11</f>
        <v>936</v>
      </c>
      <c r="H172" s="202">
        <f>G172*F172</f>
        <v>39151493099.921135</v>
      </c>
      <c r="I172" s="202">
        <f>'LCoP 2030 HIGH'!H11</f>
        <v>0.75641025641025639</v>
      </c>
      <c r="L172" s="202">
        <f>I172*H172</f>
        <v>29614590934.555729</v>
      </c>
      <c r="M172" s="202">
        <f>'LCoP 2030 HIGH'!F11</f>
        <v>0.14529914529914531</v>
      </c>
      <c r="O172" s="202">
        <f>M172*H172</f>
        <v>5688678484.6039257</v>
      </c>
      <c r="P172" s="202">
        <f>'LCoP 2030 HIGH'!G11</f>
        <v>9.8290598290598288E-2</v>
      </c>
      <c r="R172" s="202">
        <f>P172*H172</f>
        <v>3848223680.7614789</v>
      </c>
      <c r="S172" s="202">
        <f>I172+M172+P172</f>
        <v>1</v>
      </c>
    </row>
    <row r="173" spans="1:19" x14ac:dyDescent="0.35">
      <c r="G173" s="151" t="s">
        <v>79</v>
      </c>
      <c r="H173">
        <v>1</v>
      </c>
      <c r="I173" s="13" t="s">
        <v>28</v>
      </c>
      <c r="J173" s="151" t="s">
        <v>79</v>
      </c>
      <c r="L173" s="2">
        <f>L172</f>
        <v>29614590934.555729</v>
      </c>
      <c r="M173" s="5" t="s">
        <v>211</v>
      </c>
      <c r="N173" s="34">
        <v>0</v>
      </c>
      <c r="O173" s="2">
        <f t="shared" ref="O173:O178" si="31">N173*O$172</f>
        <v>0</v>
      </c>
      <c r="P173" s="18" t="s">
        <v>217</v>
      </c>
      <c r="Q173" s="34">
        <v>0.25</v>
      </c>
      <c r="R173" s="2">
        <f>Q173*R172</f>
        <v>962055920.19036973</v>
      </c>
    </row>
    <row r="174" spans="1:19" x14ac:dyDescent="0.35">
      <c r="M174" t="s">
        <v>212</v>
      </c>
      <c r="N174" s="34">
        <v>0.02</v>
      </c>
      <c r="O174" s="2">
        <f t="shared" si="31"/>
        <v>113773569.69207852</v>
      </c>
      <c r="P174" s="18" t="s">
        <v>177</v>
      </c>
      <c r="Q174" s="34">
        <v>0.15</v>
      </c>
      <c r="R174" s="2">
        <f>Q174*R173</f>
        <v>144308388.02855545</v>
      </c>
    </row>
    <row r="175" spans="1:19" x14ac:dyDescent="0.35">
      <c r="M175" s="5" t="s">
        <v>210</v>
      </c>
      <c r="N175" s="34">
        <v>0.55000000000000004</v>
      </c>
      <c r="O175" s="2">
        <f t="shared" si="31"/>
        <v>3128773166.5321593</v>
      </c>
      <c r="P175" s="18" t="s">
        <v>218</v>
      </c>
      <c r="Q175" s="34">
        <v>0.3</v>
      </c>
      <c r="R175" s="2">
        <f>Q175*R174</f>
        <v>43292516.408566631</v>
      </c>
    </row>
    <row r="176" spans="1:19" x14ac:dyDescent="0.35">
      <c r="M176" t="s">
        <v>213</v>
      </c>
      <c r="N176" s="34">
        <v>0.1</v>
      </c>
      <c r="O176" s="2">
        <f t="shared" si="31"/>
        <v>568867848.46039259</v>
      </c>
      <c r="P176" s="18" t="s">
        <v>219</v>
      </c>
      <c r="Q176" s="34">
        <v>0.3</v>
      </c>
      <c r="R176" s="2">
        <f>Q176*R175</f>
        <v>12987754.922569988</v>
      </c>
    </row>
    <row r="177" spans="1:19" x14ac:dyDescent="0.35">
      <c r="M177" t="s">
        <v>214</v>
      </c>
      <c r="N177" s="34">
        <v>0.3</v>
      </c>
      <c r="O177" s="2">
        <f t="shared" si="31"/>
        <v>1706603545.3811777</v>
      </c>
      <c r="P177" s="18" t="s">
        <v>220</v>
      </c>
      <c r="Q177" s="223">
        <v>0</v>
      </c>
      <c r="R177" s="2">
        <f>Q177*R176</f>
        <v>0</v>
      </c>
    </row>
    <row r="178" spans="1:19" x14ac:dyDescent="0.35">
      <c r="M178" t="s">
        <v>216</v>
      </c>
      <c r="N178" s="34">
        <v>0.03</v>
      </c>
      <c r="O178" s="2">
        <f t="shared" si="31"/>
        <v>170660354.53811777</v>
      </c>
    </row>
    <row r="180" spans="1:19" x14ac:dyDescent="0.35">
      <c r="A180" s="201" t="s">
        <v>296</v>
      </c>
      <c r="B180" s="201">
        <v>1150</v>
      </c>
      <c r="C180" s="203">
        <f>B180*F180</f>
        <v>3893755074.7394929</v>
      </c>
      <c r="D180" s="288">
        <f>'[3]Scenario 3 2035'!$H$18</f>
        <v>3.3858739780343416</v>
      </c>
      <c r="E180" s="208">
        <f>'[1]Conversion factors selected IV '!$O$125</f>
        <v>1</v>
      </c>
      <c r="F180" s="202">
        <f>D180*E180*1000000</f>
        <v>3385873.9780343417</v>
      </c>
      <c r="G180" s="208">
        <f>'LCoP 2030 HIGH'!E22</f>
        <v>2005.8910815330069</v>
      </c>
      <c r="H180" s="203">
        <f>G180*F180</f>
        <v>6791694415.7337704</v>
      </c>
      <c r="I180" s="203">
        <f>'LCoP 2030 HIGH'!H22</f>
        <v>0.34312235986761452</v>
      </c>
      <c r="J180" s="201"/>
      <c r="K180" s="201"/>
      <c r="L180" s="202">
        <f>I180*H180</f>
        <v>2330382215.4262705</v>
      </c>
      <c r="M180" s="203">
        <f>'LCoP 2030 HIGH'!F22</f>
        <v>0.34149411516226852</v>
      </c>
      <c r="N180" s="201"/>
      <c r="O180" s="202">
        <f>M180*H180</f>
        <v>2319323674.9535241</v>
      </c>
      <c r="P180" s="226">
        <f>'LCoP 2030 HIGH'!G22</f>
        <v>0.31538352497011696</v>
      </c>
      <c r="Q180" s="201"/>
      <c r="R180" s="202">
        <f>P180*H180</f>
        <v>2141988525.3539755</v>
      </c>
      <c r="S180" s="203">
        <f>R180+O180+L180</f>
        <v>6791694415.7337704</v>
      </c>
    </row>
    <row r="181" spans="1:19" x14ac:dyDescent="0.35">
      <c r="C181">
        <f>C180/$C$8</f>
        <v>0.15789325494232079</v>
      </c>
      <c r="D181" s="6"/>
      <c r="E181" s="6"/>
      <c r="F181" s="147" t="s">
        <v>179</v>
      </c>
      <c r="G181" s="2">
        <f>SUMIF($J$181:$J$188,F181,$L$181:$L$188)/$L$180</f>
        <v>0.66945981181499703</v>
      </c>
      <c r="H181" s="192" t="s">
        <v>254</v>
      </c>
      <c r="I181" s="5" t="s">
        <v>4</v>
      </c>
      <c r="J181" s="147" t="s">
        <v>179</v>
      </c>
      <c r="K181" s="6">
        <f>'Feedstock MIX per IVC'!J111</f>
        <v>394.64713390829428</v>
      </c>
      <c r="L181" s="2">
        <f t="shared" ref="L181:L188" si="32">K181*F$180</f>
        <v>1336225461.2059278</v>
      </c>
      <c r="M181" s="5" t="s">
        <v>211</v>
      </c>
      <c r="N181" s="167">
        <v>0.15</v>
      </c>
      <c r="O181" s="2">
        <f t="shared" ref="O181:O186" si="33">N181*O$180</f>
        <v>347898551.24302858</v>
      </c>
      <c r="P181" s="18" t="s">
        <v>217</v>
      </c>
      <c r="Q181" s="118">
        <v>0.15</v>
      </c>
      <c r="R181" s="2">
        <f>Q181*R$180</f>
        <v>321298278.80309629</v>
      </c>
    </row>
    <row r="182" spans="1:19" x14ac:dyDescent="0.35">
      <c r="D182" s="6"/>
      <c r="E182" s="6"/>
      <c r="F182" s="171" t="s">
        <v>222</v>
      </c>
      <c r="G182" s="2">
        <f>SUMIF($J$181:$J$188,F182,$L$181:$L$188)/$L$180</f>
        <v>0.13513065067147684</v>
      </c>
      <c r="H182" s="192" t="s">
        <v>254</v>
      </c>
      <c r="I182" s="5" t="s">
        <v>5</v>
      </c>
      <c r="J182" s="147" t="s">
        <v>179</v>
      </c>
      <c r="K182" s="6">
        <f>'Feedstock MIX per IVC'!J112</f>
        <v>18.419440190533358</v>
      </c>
      <c r="L182" s="2">
        <f t="shared" si="32"/>
        <v>62365903.231086813</v>
      </c>
      <c r="M182" t="s">
        <v>212</v>
      </c>
      <c r="N182" s="34">
        <v>0.02</v>
      </c>
      <c r="O182" s="2">
        <f t="shared" si="33"/>
        <v>46386473.49907048</v>
      </c>
      <c r="P182" s="18" t="s">
        <v>177</v>
      </c>
      <c r="Q182" s="118">
        <v>0.25</v>
      </c>
      <c r="R182" s="2">
        <f>Q182*R$180</f>
        <v>535497131.33849388</v>
      </c>
    </row>
    <row r="183" spans="1:19" x14ac:dyDescent="0.35">
      <c r="D183" s="6"/>
      <c r="E183" s="6"/>
      <c r="F183" s="149" t="s">
        <v>176</v>
      </c>
      <c r="G183" s="2">
        <f>SUMIF($J$181:$J$188,F183,$L$181:$L$188)/$L$180</f>
        <v>0.16069514825246237</v>
      </c>
      <c r="H183" s="192" t="s">
        <v>254</v>
      </c>
      <c r="I183" s="5" t="s">
        <v>6</v>
      </c>
      <c r="J183" s="150" t="s">
        <v>178</v>
      </c>
      <c r="K183" s="6">
        <f>'Feedstock MIX per IVC'!J113</f>
        <v>9.3412156377111621</v>
      </c>
      <c r="L183" s="2">
        <f t="shared" si="32"/>
        <v>31628178.950933691</v>
      </c>
      <c r="M183" s="5" t="s">
        <v>210</v>
      </c>
      <c r="N183" s="167">
        <v>0.45</v>
      </c>
      <c r="O183" s="2">
        <f t="shared" si="33"/>
        <v>1043695653.7290859</v>
      </c>
      <c r="P183" s="18" t="s">
        <v>218</v>
      </c>
      <c r="Q183" s="118">
        <v>0.2</v>
      </c>
      <c r="R183" s="2">
        <f>Q183*R$180</f>
        <v>428397705.07079512</v>
      </c>
      <c r="S183" s="2"/>
    </row>
    <row r="184" spans="1:19" x14ac:dyDescent="0.35">
      <c r="D184" s="6"/>
      <c r="E184" s="6"/>
      <c r="F184" s="150" t="s">
        <v>178</v>
      </c>
      <c r="G184" s="2">
        <f>SUMIF($J$181:$J$188,F184,$L$181:$L$188)/$L$180</f>
        <v>1.3572099349869226E-2</v>
      </c>
      <c r="H184" s="192" t="s">
        <v>254</v>
      </c>
      <c r="I184" s="5" t="s">
        <v>7</v>
      </c>
      <c r="J184" s="147" t="s">
        <v>179</v>
      </c>
      <c r="K184" s="6">
        <f>'Feedstock MIX per IVC'!J114</f>
        <v>35.29932819362039</v>
      </c>
      <c r="L184" s="2">
        <f t="shared" si="32"/>
        <v>119519076.77287327</v>
      </c>
      <c r="M184" t="s">
        <v>213</v>
      </c>
      <c r="N184" s="34">
        <v>0.1</v>
      </c>
      <c r="O184" s="2">
        <f t="shared" si="33"/>
        <v>231932367.49535242</v>
      </c>
      <c r="P184" s="18" t="s">
        <v>219</v>
      </c>
      <c r="Q184" s="118">
        <v>0.3</v>
      </c>
      <c r="R184" s="2">
        <f>Q184*R$180</f>
        <v>642596557.60619259</v>
      </c>
    </row>
    <row r="185" spans="1:19" x14ac:dyDescent="0.35">
      <c r="D185" s="6"/>
      <c r="E185" s="6"/>
      <c r="F185" s="152" t="s">
        <v>180</v>
      </c>
      <c r="G185" s="2">
        <f>SUMIF($J$181:$J$188,F185,$L$181:$L$188)/$L$180</f>
        <v>2.114228991119451E-2</v>
      </c>
      <c r="H185" s="192" t="s">
        <v>254</v>
      </c>
      <c r="I185" s="5" t="s">
        <v>8</v>
      </c>
      <c r="J185" s="147" t="s">
        <v>179</v>
      </c>
      <c r="K185" s="6">
        <f>'Feedstock MIX per IVC'!J115</f>
        <v>12.400579129284262</v>
      </c>
      <c r="L185" s="2">
        <f t="shared" si="32"/>
        <v>41986798.186399341</v>
      </c>
      <c r="M185" t="s">
        <v>214</v>
      </c>
      <c r="N185" s="34">
        <v>0.25</v>
      </c>
      <c r="O185" s="2">
        <f t="shared" si="33"/>
        <v>579830918.73838103</v>
      </c>
      <c r="P185" s="18" t="s">
        <v>220</v>
      </c>
      <c r="Q185" s="118">
        <v>0.1</v>
      </c>
      <c r="R185" s="2">
        <f>Q185*R$180</f>
        <v>214198852.53539756</v>
      </c>
    </row>
    <row r="186" spans="1:19" x14ac:dyDescent="0.35">
      <c r="D186" s="6"/>
      <c r="E186" s="6"/>
      <c r="F186" s="31"/>
      <c r="G186" s="2">
        <f>SUM(G181:G185)</f>
        <v>1</v>
      </c>
      <c r="H186" s="192" t="s">
        <v>254</v>
      </c>
      <c r="I186" s="5" t="s">
        <v>9</v>
      </c>
      <c r="J186" s="171" t="s">
        <v>222</v>
      </c>
      <c r="K186" s="6">
        <f>'Feedstock MIX per IVC'!J116</f>
        <v>93.005843432662942</v>
      </c>
      <c r="L186" s="2">
        <f t="shared" si="32"/>
        <v>314906065.08378965</v>
      </c>
      <c r="M186" t="s">
        <v>216</v>
      </c>
      <c r="N186" s="34">
        <v>0.03</v>
      </c>
      <c r="O186" s="2">
        <f t="shared" si="33"/>
        <v>69579710.248605728</v>
      </c>
      <c r="Q186" s="34"/>
      <c r="R186" s="2"/>
    </row>
    <row r="187" spans="1:19" x14ac:dyDescent="0.35">
      <c r="D187" s="6"/>
      <c r="E187" s="6"/>
      <c r="F187" s="31"/>
      <c r="G187" s="6"/>
      <c r="H187" s="192" t="s">
        <v>254</v>
      </c>
      <c r="I187" s="5" t="s">
        <v>10</v>
      </c>
      <c r="J187" s="149" t="s">
        <v>176</v>
      </c>
      <c r="K187" s="6">
        <f>'Feedstock MIX per IVC'!J117</f>
        <v>110.60102000908789</v>
      </c>
      <c r="L187" s="2">
        <f t="shared" si="32"/>
        <v>374481115.59282625</v>
      </c>
    </row>
    <row r="188" spans="1:19" x14ac:dyDescent="0.35">
      <c r="D188" s="6"/>
      <c r="E188" s="6"/>
      <c r="F188" s="31"/>
      <c r="G188" s="6"/>
      <c r="H188" s="192" t="s">
        <v>254</v>
      </c>
      <c r="I188" s="5" t="s">
        <v>11</v>
      </c>
      <c r="J188" s="152" t="s">
        <v>180</v>
      </c>
      <c r="K188" s="6">
        <f>'Feedstock MIX per IVC'!J118</f>
        <v>14.551521031812669</v>
      </c>
      <c r="L188" s="2">
        <f t="shared" si="32"/>
        <v>49269616.402433954</v>
      </c>
    </row>
    <row r="189" spans="1:19" x14ac:dyDescent="0.35">
      <c r="D189" s="6"/>
      <c r="E189" s="6"/>
      <c r="F189" s="31"/>
      <c r="G189" s="6"/>
      <c r="H189" s="6"/>
      <c r="I189" s="6"/>
      <c r="J189" s="6"/>
      <c r="K189" s="6"/>
      <c r="L189" s="2"/>
    </row>
    <row r="190" spans="1:19" x14ac:dyDescent="0.35">
      <c r="I190" s="78" t="s">
        <v>181</v>
      </c>
    </row>
    <row r="191" spans="1:19" x14ac:dyDescent="0.35">
      <c r="J191" s="150" t="s">
        <v>178</v>
      </c>
      <c r="L191" s="2">
        <f>L165+L183</f>
        <v>80491720.569183424</v>
      </c>
    </row>
    <row r="192" spans="1:19" x14ac:dyDescent="0.35">
      <c r="J192" s="147" t="s">
        <v>179</v>
      </c>
      <c r="L192" s="2">
        <f>L162+L163+L166+L167+L181+L182+L184+L185</f>
        <v>3878024357.7566609</v>
      </c>
    </row>
    <row r="193" spans="1:19" x14ac:dyDescent="0.35">
      <c r="J193" s="171" t="s">
        <v>222</v>
      </c>
      <c r="L193" s="2">
        <f>L168+L186</f>
        <v>815938760.6261903</v>
      </c>
    </row>
    <row r="194" spans="1:19" x14ac:dyDescent="0.35">
      <c r="J194" s="149" t="s">
        <v>176</v>
      </c>
      <c r="L194" s="2">
        <f>L169+L187</f>
        <v>953030819.81088912</v>
      </c>
    </row>
    <row r="195" spans="1:19" x14ac:dyDescent="0.35">
      <c r="J195" s="152" t="s">
        <v>180</v>
      </c>
      <c r="L195" s="2">
        <f>L170+L164+L188</f>
        <v>139660275.53443229</v>
      </c>
    </row>
    <row r="196" spans="1:19" x14ac:dyDescent="0.35">
      <c r="J196" s="151" t="s">
        <v>79</v>
      </c>
      <c r="L196" s="2">
        <f>L173</f>
        <v>29614590934.555729</v>
      </c>
    </row>
    <row r="197" spans="1:19" x14ac:dyDescent="0.35">
      <c r="J197" t="s">
        <v>321</v>
      </c>
    </row>
    <row r="199" spans="1:19" x14ac:dyDescent="0.35">
      <c r="A199" s="229" t="s">
        <v>350</v>
      </c>
      <c r="B199" s="229"/>
      <c r="C199" s="229"/>
      <c r="D199" s="190"/>
      <c r="E199" s="190"/>
      <c r="F199" s="198"/>
      <c r="G199" s="190"/>
      <c r="H199" s="190"/>
      <c r="I199" s="190"/>
      <c r="J199" s="190"/>
      <c r="K199" s="190"/>
      <c r="L199" s="190"/>
      <c r="M199" s="190"/>
      <c r="N199" s="190"/>
      <c r="O199" s="190"/>
      <c r="P199" s="190"/>
      <c r="Q199" s="190"/>
      <c r="R199" s="190"/>
      <c r="S199" s="190"/>
    </row>
    <row r="200" spans="1:19" x14ac:dyDescent="0.35">
      <c r="B200" s="2">
        <f>C200/1000000</f>
        <v>22030.805806362954</v>
      </c>
      <c r="C200" s="2">
        <f>C201+C208</f>
        <v>22030805806.362953</v>
      </c>
      <c r="D200" s="2">
        <f>D201+D208</f>
        <v>15.227812499999999</v>
      </c>
      <c r="F200" s="2">
        <f>F201+F208</f>
        <v>20906060.305539571</v>
      </c>
      <c r="L200" s="2">
        <f>L201+L208</f>
        <v>16362893643.749998</v>
      </c>
      <c r="O200" s="2">
        <f>O201+O208</f>
        <v>1710287787.0290649</v>
      </c>
      <c r="R200" s="2">
        <f>R201+R208</f>
        <v>1123098008.6823561</v>
      </c>
    </row>
    <row r="201" spans="1:19" x14ac:dyDescent="0.35">
      <c r="A201" s="202" t="s">
        <v>351</v>
      </c>
      <c r="B201" s="202">
        <v>935</v>
      </c>
      <c r="C201" s="202">
        <f>B201*F201</f>
        <v>12717157978.800001</v>
      </c>
      <c r="D201" s="284">
        <f>'[3]Scenario 3 2035'!$H$36+'[3]Scenario 3 2035'!$H$37</f>
        <v>6.4971999999999994</v>
      </c>
      <c r="E201" s="202">
        <f>'[1]Conversion factors selected IV '!$O$50</f>
        <v>2.0934000000000004</v>
      </c>
      <c r="F201" s="202">
        <f>D201*E201*1000000</f>
        <v>13601238.48</v>
      </c>
      <c r="G201" s="202">
        <f>'LCoP 2030 HIGH'!E12</f>
        <v>370.61968567880001</v>
      </c>
      <c r="H201" s="202">
        <f>G201*F201</f>
        <v>5040886730.3000002</v>
      </c>
      <c r="I201" s="209">
        <f>'LCoP 2030 HIGH'!H12</f>
        <v>0.78751803251959696</v>
      </c>
      <c r="J201" s="202"/>
      <c r="K201" s="202"/>
      <c r="L201" s="202">
        <f>I201*H201</f>
        <v>3969789200.0000005</v>
      </c>
      <c r="M201" s="209">
        <f>'LCoP 2030 HIGH'!F12</f>
        <v>0.1537964717001013</v>
      </c>
      <c r="N201" s="202"/>
      <c r="O201" s="202">
        <f>M201*H201</f>
        <v>775270593.36000013</v>
      </c>
      <c r="P201" s="209">
        <f>'LCoP 2030 HIGH'!G12</f>
        <v>5.8685495780301807E-2</v>
      </c>
      <c r="Q201" s="202"/>
      <c r="R201" s="202">
        <f>P201*H201</f>
        <v>295826936.94000006</v>
      </c>
      <c r="S201" s="202"/>
    </row>
    <row r="202" spans="1:19" x14ac:dyDescent="0.35">
      <c r="E202" s="1"/>
      <c r="F202" s="242" t="s">
        <v>177</v>
      </c>
      <c r="G202">
        <v>1</v>
      </c>
      <c r="I202" s="15" t="s">
        <v>30</v>
      </c>
      <c r="J202" s="242" t="s">
        <v>177</v>
      </c>
      <c r="L202" s="2">
        <f>L201</f>
        <v>3969789200.0000005</v>
      </c>
      <c r="M202" s="5" t="s">
        <v>211</v>
      </c>
      <c r="N202" s="34">
        <v>0.2</v>
      </c>
      <c r="O202" s="2">
        <f t="shared" ref="O202:O207" si="34">N202*O$201</f>
        <v>155054118.67200002</v>
      </c>
      <c r="P202" s="18" t="s">
        <v>217</v>
      </c>
      <c r="Q202" s="34">
        <v>0.35</v>
      </c>
      <c r="R202" s="2">
        <f>Q202*$R$201</f>
        <v>103539427.92900002</v>
      </c>
    </row>
    <row r="203" spans="1:19" x14ac:dyDescent="0.35">
      <c r="E203" s="1"/>
      <c r="M203" t="s">
        <v>212</v>
      </c>
      <c r="N203" s="34">
        <v>7.0000000000000007E-2</v>
      </c>
      <c r="O203" s="2">
        <f t="shared" si="34"/>
        <v>54268941.535200015</v>
      </c>
      <c r="P203" s="18" t="s">
        <v>177</v>
      </c>
      <c r="Q203" s="34">
        <v>0.15</v>
      </c>
      <c r="R203" s="2">
        <f>Q203*$R$201</f>
        <v>44374040.541000009</v>
      </c>
    </row>
    <row r="204" spans="1:19" x14ac:dyDescent="0.35">
      <c r="E204" s="1"/>
      <c r="M204" s="5" t="s">
        <v>210</v>
      </c>
      <c r="N204" s="34">
        <v>0.4</v>
      </c>
      <c r="O204" s="2">
        <f t="shared" si="34"/>
        <v>310108237.34400004</v>
      </c>
      <c r="P204" s="18" t="s">
        <v>218</v>
      </c>
      <c r="Q204" s="34">
        <v>0.12</v>
      </c>
      <c r="R204" s="2">
        <f>Q204*$R$201</f>
        <v>35499232.432800002</v>
      </c>
    </row>
    <row r="205" spans="1:19" x14ac:dyDescent="0.35">
      <c r="E205" s="1"/>
      <c r="M205" t="s">
        <v>213</v>
      </c>
      <c r="N205" s="34">
        <v>0.15</v>
      </c>
      <c r="O205" s="2">
        <f t="shared" si="34"/>
        <v>116290589.00400002</v>
      </c>
      <c r="P205" s="18" t="s">
        <v>219</v>
      </c>
      <c r="Q205" s="34">
        <v>0.3</v>
      </c>
      <c r="R205" s="2">
        <f>Q205*$R$201</f>
        <v>88748081.082000017</v>
      </c>
    </row>
    <row r="206" spans="1:19" x14ac:dyDescent="0.35">
      <c r="E206" s="1"/>
      <c r="M206" t="s">
        <v>214</v>
      </c>
      <c r="N206" s="34">
        <v>0.15</v>
      </c>
      <c r="O206" s="2">
        <f t="shared" si="34"/>
        <v>116290589.00400002</v>
      </c>
      <c r="P206" s="18" t="s">
        <v>220</v>
      </c>
      <c r="Q206" s="34">
        <v>0.08</v>
      </c>
      <c r="R206" s="2">
        <f>Q206*$R$201</f>
        <v>23666154.955200005</v>
      </c>
    </row>
    <row r="207" spans="1:19" x14ac:dyDescent="0.35">
      <c r="E207" s="1"/>
      <c r="M207" t="s">
        <v>216</v>
      </c>
      <c r="N207" s="34">
        <v>0.03</v>
      </c>
      <c r="O207" s="2">
        <f t="shared" si="34"/>
        <v>23258117.800800003</v>
      </c>
      <c r="Q207" s="34">
        <f>SUM(Q202:Q206)</f>
        <v>0.99999999999999989</v>
      </c>
    </row>
    <row r="208" spans="1:19" x14ac:dyDescent="0.35">
      <c r="A208" s="202" t="s">
        <v>352</v>
      </c>
      <c r="B208" s="202">
        <v>1275</v>
      </c>
      <c r="C208" s="202">
        <f>B208*F208</f>
        <v>9313647827.5629501</v>
      </c>
      <c r="D208" s="284">
        <f>'[3]Scenario 3 2035'!$H$38</f>
        <v>8.7306124999999994</v>
      </c>
      <c r="E208" s="202">
        <f>'[1]Conversion factors selected IV '!$O$62</f>
        <v>0.83669064748201449</v>
      </c>
      <c r="F208" s="202">
        <f>D208*E208*1000000</f>
        <v>7304821.8255395684</v>
      </c>
      <c r="G208" s="202">
        <f>'LCoP 2030 HIGH'!E14</f>
        <v>1937.8149183147032</v>
      </c>
      <c r="H208" s="202">
        <f>G208*F208</f>
        <v>14155392709.161419</v>
      </c>
      <c r="I208" s="209">
        <f>'LCoP 2030 HIGH'!H14</f>
        <v>0.87550410634168685</v>
      </c>
      <c r="J208" s="202"/>
      <c r="K208" s="202"/>
      <c r="L208" s="202">
        <f>I208*H208</f>
        <v>12393104443.749998</v>
      </c>
      <c r="M208" s="209">
        <f>'LCoP 2030 HIGH'!F14</f>
        <v>6.6053779847726757E-2</v>
      </c>
      <c r="N208" s="202"/>
      <c r="O208" s="202">
        <f>M208*H208</f>
        <v>935017193.66906476</v>
      </c>
      <c r="P208" s="209">
        <f>'LCoP 2030 HIGH'!G14</f>
        <v>5.8442113810586366E-2</v>
      </c>
      <c r="Q208" s="202"/>
      <c r="R208" s="202">
        <f>P208*H208</f>
        <v>827271071.74235606</v>
      </c>
      <c r="S208" s="202"/>
    </row>
    <row r="209" spans="1:19" x14ac:dyDescent="0.35">
      <c r="E209" s="1"/>
      <c r="F209" s="242" t="s">
        <v>177</v>
      </c>
      <c r="G209">
        <v>1</v>
      </c>
      <c r="I209" s="15" t="s">
        <v>30</v>
      </c>
      <c r="J209" s="242" t="s">
        <v>177</v>
      </c>
      <c r="L209" s="2">
        <f>L208</f>
        <v>12393104443.749998</v>
      </c>
      <c r="M209" s="5" t="s">
        <v>211</v>
      </c>
      <c r="N209" s="34">
        <v>0.2</v>
      </c>
      <c r="O209" s="2">
        <f t="shared" ref="O209:O214" si="35">N209*O$208</f>
        <v>187003438.73381296</v>
      </c>
      <c r="P209" s="18" t="s">
        <v>217</v>
      </c>
      <c r="Q209" s="34">
        <v>0.35</v>
      </c>
      <c r="R209" s="2">
        <f>Q209*$R$208</f>
        <v>289544875.1098246</v>
      </c>
    </row>
    <row r="210" spans="1:19" x14ac:dyDescent="0.35">
      <c r="M210" t="s">
        <v>212</v>
      </c>
      <c r="N210" s="34">
        <v>7.0000000000000007E-2</v>
      </c>
      <c r="O210" s="2">
        <f t="shared" si="35"/>
        <v>65451203.556834541</v>
      </c>
      <c r="P210" s="18" t="s">
        <v>177</v>
      </c>
      <c r="Q210" s="34">
        <v>0.15</v>
      </c>
      <c r="R210" s="2">
        <f>Q210*$R$208</f>
        <v>124090660.7613534</v>
      </c>
    </row>
    <row r="211" spans="1:19" x14ac:dyDescent="0.35">
      <c r="M211" s="5" t="s">
        <v>210</v>
      </c>
      <c r="N211" s="34">
        <v>0.4</v>
      </c>
      <c r="O211" s="2">
        <f t="shared" si="35"/>
        <v>374006877.46762592</v>
      </c>
      <c r="P211" s="18" t="s">
        <v>218</v>
      </c>
      <c r="Q211" s="34">
        <v>0.12</v>
      </c>
      <c r="R211" s="2">
        <f>Q211*$R$208</f>
        <v>99272528.609082729</v>
      </c>
    </row>
    <row r="212" spans="1:19" x14ac:dyDescent="0.35">
      <c r="M212" t="s">
        <v>213</v>
      </c>
      <c r="N212" s="34">
        <v>0.15</v>
      </c>
      <c r="O212" s="2">
        <f t="shared" si="35"/>
        <v>140252579.0503597</v>
      </c>
      <c r="P212" s="18" t="s">
        <v>219</v>
      </c>
      <c r="Q212" s="34">
        <v>0.3</v>
      </c>
      <c r="R212" s="2">
        <f>Q212*$R$208</f>
        <v>248181321.52270681</v>
      </c>
    </row>
    <row r="213" spans="1:19" x14ac:dyDescent="0.35">
      <c r="M213" t="s">
        <v>214</v>
      </c>
      <c r="N213" s="34">
        <v>0.15</v>
      </c>
      <c r="O213" s="2">
        <f t="shared" si="35"/>
        <v>140252579.0503597</v>
      </c>
      <c r="P213" s="18" t="s">
        <v>220</v>
      </c>
      <c r="Q213" s="34">
        <v>0.08</v>
      </c>
      <c r="R213" s="2">
        <f>Q213*$R$208</f>
        <v>66181685.739388488</v>
      </c>
    </row>
    <row r="214" spans="1:19" x14ac:dyDescent="0.35">
      <c r="M214" t="s">
        <v>216</v>
      </c>
      <c r="N214" s="34">
        <v>0.03</v>
      </c>
      <c r="O214" s="2">
        <f t="shared" si="35"/>
        <v>28050515.810071941</v>
      </c>
      <c r="Q214" s="34">
        <f>SUM(Q209:Q213)</f>
        <v>0.99999999999999989</v>
      </c>
    </row>
    <row r="215" spans="1:19" x14ac:dyDescent="0.35">
      <c r="O215" s="2">
        <f>SUM(O209:O214)</f>
        <v>935017193.66906476</v>
      </c>
      <c r="R215" s="2">
        <f>SUM(R209:R214)</f>
        <v>827271071.74235606</v>
      </c>
    </row>
    <row r="217" spans="1:19" s="103" customFormat="1" ht="34" customHeight="1" x14ac:dyDescent="0.35">
      <c r="A217" s="33" t="s">
        <v>224</v>
      </c>
      <c r="B217" s="33"/>
      <c r="C217" s="33"/>
      <c r="F217" s="227"/>
    </row>
    <row r="218" spans="1:19" x14ac:dyDescent="0.35">
      <c r="C218" s="2">
        <f>C219+C226+C234+C242</f>
        <v>15154198406.982725</v>
      </c>
      <c r="D218" s="6">
        <f>'[3]Scenario 3 2035'!$N$3</f>
        <v>12.48219186649861</v>
      </c>
    </row>
    <row r="219" spans="1:19" s="114" customFormat="1" x14ac:dyDescent="0.35">
      <c r="A219" s="114" t="s">
        <v>397</v>
      </c>
      <c r="B219" s="114">
        <v>1165.6261363636399</v>
      </c>
      <c r="C219" s="114">
        <f>B219*F219</f>
        <v>4115955122.884203</v>
      </c>
      <c r="D219" s="114">
        <f>D218/4</f>
        <v>3.1205479666246525</v>
      </c>
      <c r="E219" s="114">
        <f>'[1]Conversion factors selected IV '!$O$4</f>
        <v>1.1315675675675676</v>
      </c>
      <c r="F219" s="114">
        <f>D219*E219*1000000</f>
        <v>3531110.8720713775</v>
      </c>
      <c r="G219" s="301">
        <f>'LCoP CONVENTIONAL'!$B$3</f>
        <v>800</v>
      </c>
      <c r="H219" s="114">
        <f>G219*F219</f>
        <v>2824888697.6571021</v>
      </c>
      <c r="I219" s="308">
        <f>'LCoP CONVENTIONAL'!$C$3</f>
        <v>0.75</v>
      </c>
      <c r="K219" s="114">
        <f>I219*G219</f>
        <v>600</v>
      </c>
      <c r="L219" s="114">
        <f>I219*H219</f>
        <v>2118666523.2428265</v>
      </c>
      <c r="M219" s="309">
        <f>'LCoP CONVENTIONAL'!$F$3</f>
        <v>6.5000000000000002E-2</v>
      </c>
      <c r="O219" s="114">
        <f>M219*H219</f>
        <v>183617765.34771165</v>
      </c>
      <c r="P219" s="309">
        <f>'LCoP CONVENTIONAL'!$I$3</f>
        <v>0.185</v>
      </c>
      <c r="R219" s="114">
        <f>P219*H219</f>
        <v>522604409.0665639</v>
      </c>
      <c r="S219" s="114">
        <f>SUM(L219,O219,R219)</f>
        <v>2824888697.6571021</v>
      </c>
    </row>
    <row r="220" spans="1:19" x14ac:dyDescent="0.35">
      <c r="E220" s="6"/>
      <c r="H220" s="192" t="s">
        <v>254</v>
      </c>
      <c r="I220" s="18" t="s">
        <v>225</v>
      </c>
      <c r="J220" s="154" t="s">
        <v>178</v>
      </c>
      <c r="K220" s="107">
        <f>'Feedtstocks only CONVENTIONAL'!$J$4</f>
        <v>0.76052615016678204</v>
      </c>
      <c r="L220" s="2">
        <f>K220*L$219</f>
        <v>1611301294.4091079</v>
      </c>
      <c r="M220" t="str">
        <f>'LCoP CONVENTIONAL'!$F$4</f>
        <v>Machinery and equipment</v>
      </c>
      <c r="N220" s="59">
        <f>'LCoP CONVENTIONAL'!$G$4</f>
        <v>0.45</v>
      </c>
      <c r="O220" s="2">
        <f>N220*$O$219</f>
        <v>82627994.406470239</v>
      </c>
      <c r="P220" t="str">
        <f>'LCoP CONVENTIONAL'!$I$4</f>
        <v>Chemical and chemical products</v>
      </c>
      <c r="Q220" s="59">
        <f>'LCoP CONVENTIONAL'!$J$4</f>
        <v>0.3</v>
      </c>
      <c r="R220" s="2">
        <f t="shared" ref="R220:R225" si="36">Q220*$R$219</f>
        <v>156781322.71996915</v>
      </c>
    </row>
    <row r="221" spans="1:19" x14ac:dyDescent="0.35">
      <c r="D221" s="6"/>
      <c r="E221" s="6"/>
      <c r="H221" s="191" t="s">
        <v>252</v>
      </c>
      <c r="I221" s="18" t="s">
        <v>226</v>
      </c>
      <c r="J221" s="154" t="s">
        <v>178</v>
      </c>
      <c r="K221" s="107">
        <f>'Feedtstocks only CONVENTIONAL'!$J$5</f>
        <v>0.16011076845616465</v>
      </c>
      <c r="L221" s="2">
        <f>K221*L$219</f>
        <v>339221325.13875955</v>
      </c>
      <c r="M221" t="str">
        <f>'LCoP CONVENTIONAL'!$F$5</f>
        <v>Architectural and engineering services</v>
      </c>
      <c r="N221" s="59">
        <f>'LCoP CONVENTIONAL'!$G$5</f>
        <v>0.3</v>
      </c>
      <c r="O221" s="2">
        <f>N221*$O$219</f>
        <v>55085329.604313493</v>
      </c>
      <c r="P221" t="str">
        <f>'LCoP CONVENTIONAL'!$I$5</f>
        <v>Electricity, gas, steam &amp; AC</v>
      </c>
      <c r="Q221" s="59">
        <f>'LCoP CONVENTIONAL'!$J$5</f>
        <v>0.2</v>
      </c>
      <c r="R221" s="2">
        <f t="shared" si="36"/>
        <v>104520881.81331278</v>
      </c>
    </row>
    <row r="222" spans="1:19" x14ac:dyDescent="0.35">
      <c r="D222" s="6"/>
      <c r="E222" s="6"/>
      <c r="H222" s="192" t="s">
        <v>254</v>
      </c>
      <c r="I222" s="18" t="s">
        <v>228</v>
      </c>
      <c r="J222" s="154" t="s">
        <v>178</v>
      </c>
      <c r="K222" s="107">
        <f>'Feedtstocks only CONVENTIONAL'!$J$6</f>
        <v>4.0027692114041162E-2</v>
      </c>
      <c r="L222" s="2">
        <f>K222*L$219</f>
        <v>84805331.284689888</v>
      </c>
      <c r="M222" t="str">
        <f>'LCoP CONVENTIONAL'!$F$6</f>
        <v>Constructions and construction works</v>
      </c>
      <c r="N222" s="59">
        <f>'LCoP CONVENTIONAL'!$G$6</f>
        <v>0.15</v>
      </c>
      <c r="O222" s="2">
        <f>N222*$O$219</f>
        <v>27542664.802156746</v>
      </c>
      <c r="P222" t="str">
        <f>'LCoP CONVENTIONAL'!$I$6</f>
        <v>Legal and accounting services; services of head offices; management consultancy services</v>
      </c>
      <c r="Q222" s="59">
        <f>'LCoP CONVENTIONAL'!$J$6</f>
        <v>0.25</v>
      </c>
      <c r="R222" s="2">
        <f t="shared" si="36"/>
        <v>130651102.26664098</v>
      </c>
    </row>
    <row r="223" spans="1:19" x14ac:dyDescent="0.35">
      <c r="D223" s="6"/>
      <c r="E223" s="6"/>
      <c r="H223" s="191" t="s">
        <v>252</v>
      </c>
      <c r="I223" s="18" t="s">
        <v>227</v>
      </c>
      <c r="J223" s="154" t="s">
        <v>178</v>
      </c>
      <c r="K223" s="107">
        <f>'Feedtstocks only CONVENTIONAL'!$J$7</f>
        <v>3.9335389263012145E-2</v>
      </c>
      <c r="L223" s="2">
        <f>K223*L$219</f>
        <v>83338572.410269141</v>
      </c>
      <c r="M223" t="str">
        <f>'LCoP CONVENTIONAL'!$F$7</f>
        <v>Fabricated metal products</v>
      </c>
      <c r="N223" s="59">
        <f>'LCoP CONVENTIONAL'!$G$7</f>
        <v>7.0000000000000007E-2</v>
      </c>
      <c r="O223" s="2">
        <f>N223*$O$219</f>
        <v>12853243.574339816</v>
      </c>
      <c r="P223" t="str">
        <f>'LCoP CONVENTIONAL'!$I$7</f>
        <v>Repair and installation services</v>
      </c>
      <c r="Q223" s="59">
        <f>'LCoP CONVENTIONAL'!$J$7</f>
        <v>0.15</v>
      </c>
      <c r="R223" s="2">
        <f t="shared" si="36"/>
        <v>78390661.359984577</v>
      </c>
    </row>
    <row r="224" spans="1:19" x14ac:dyDescent="0.35">
      <c r="D224" s="6"/>
      <c r="E224" s="6"/>
      <c r="L224" s="2">
        <f>SUM(L220:L223)</f>
        <v>2118666523.2428265</v>
      </c>
      <c r="M224" t="str">
        <f>'LCoP CONVENTIONAL'!$F$8</f>
        <v>Computer, electronic and optical products</v>
      </c>
      <c r="N224" s="59">
        <f>'LCoP CONVENTIONAL'!$G$8</f>
        <v>0.03</v>
      </c>
      <c r="O224" s="2">
        <f>N224*$O$219</f>
        <v>5508532.9604313495</v>
      </c>
      <c r="P224" s="102" t="str">
        <f>'LCoP CONVENTIONAL'!$I$8</f>
        <v>Land transport services and transport services via pipelines</v>
      </c>
      <c r="Q224" s="59">
        <f>'LCoP CONVENTIONAL'!$J$8</f>
        <v>0.1</v>
      </c>
      <c r="R224" s="2">
        <f t="shared" si="36"/>
        <v>52260440.906656392</v>
      </c>
    </row>
    <row r="225" spans="1:19" x14ac:dyDescent="0.35">
      <c r="D225" s="6"/>
      <c r="E225" s="6"/>
      <c r="O225" s="2">
        <f>SUM(O220:O224)</f>
        <v>183617765.34771162</v>
      </c>
      <c r="P225" t="str">
        <f>'LCoP CONVENTIONAL'!$I$9</f>
        <v>Waste management services</v>
      </c>
      <c r="Q225" s="59">
        <f>'LCoP CONVENTIONAL'!$J$9</f>
        <v>0</v>
      </c>
      <c r="R225" s="2">
        <f t="shared" si="36"/>
        <v>0</v>
      </c>
    </row>
    <row r="226" spans="1:19" s="114" customFormat="1" x14ac:dyDescent="0.35">
      <c r="A226" s="114" t="s">
        <v>330</v>
      </c>
      <c r="B226" s="114">
        <v>1165.6261363636399</v>
      </c>
      <c r="C226" s="114">
        <f>B226*F226</f>
        <v>3461144080.6071706</v>
      </c>
      <c r="D226" s="289">
        <f>D218/4</f>
        <v>3.1205479666246525</v>
      </c>
      <c r="E226" s="114">
        <f>'[1]Conversion factors selected IV '!$O$7</f>
        <v>0.95154545454545458</v>
      </c>
      <c r="F226" s="114">
        <f>D226*E226*1000000</f>
        <v>2969343.233332749</v>
      </c>
      <c r="G226" s="301">
        <f>'LCoP CONVENTIONAL'!$B$24</f>
        <v>900</v>
      </c>
      <c r="H226" s="114">
        <f>G226*F226</f>
        <v>2672408909.999474</v>
      </c>
      <c r="I226" s="308">
        <f>'LCoP CONVENTIONAL'!$C$24</f>
        <v>0.66666666666666663</v>
      </c>
      <c r="K226" s="114">
        <f>I226*G226</f>
        <v>600</v>
      </c>
      <c r="L226" s="114">
        <f>I226*H226</f>
        <v>1781605939.9996493</v>
      </c>
      <c r="M226" s="308">
        <f>'LCoP CONVENTIONAL'!$F$24</f>
        <v>0.1111111111111111</v>
      </c>
      <c r="O226" s="114">
        <f>M226*H226</f>
        <v>296934323.3332749</v>
      </c>
      <c r="P226" s="309">
        <f>'LCoP CONVENTIONAL'!$I$24</f>
        <v>0.22222222222222221</v>
      </c>
      <c r="R226" s="114">
        <f>P226*H226</f>
        <v>593868646.6665498</v>
      </c>
      <c r="S226" s="114">
        <f>SUM(L226,O226,R226)</f>
        <v>2672408909.999474</v>
      </c>
    </row>
    <row r="227" spans="1:19" s="117" customFormat="1" x14ac:dyDescent="0.35">
      <c r="D227"/>
      <c r="H227" s="192" t="s">
        <v>254</v>
      </c>
      <c r="I227" s="18" t="s">
        <v>225</v>
      </c>
      <c r="J227" s="154" t="s">
        <v>178</v>
      </c>
      <c r="K227" s="59">
        <f>'Feedtstocks only CONVENTIONAL'!J23</f>
        <v>0.76052615016678204</v>
      </c>
      <c r="L227" s="2">
        <f>K227*$L$226</f>
        <v>1354957906.6622043</v>
      </c>
      <c r="M227" t="str">
        <f>'LCoP CONVENTIONAL'!$F$25</f>
        <v>Machinery and equipment</v>
      </c>
      <c r="N227" s="59">
        <f>'LCoP CONVENTIONAL'!$G$25</f>
        <v>0.55000000000000004</v>
      </c>
      <c r="O227" s="2">
        <f>N227*$O$226</f>
        <v>163313877.83330122</v>
      </c>
      <c r="P227" t="str">
        <f>'LCoP CONVENTIONAL'!$I$25</f>
        <v>Chemical and chemical products</v>
      </c>
      <c r="Q227" s="59">
        <f>'LCoP CONVENTIONAL'!$J$25</f>
        <v>0.4</v>
      </c>
      <c r="R227" s="2">
        <f t="shared" ref="R227:R232" si="37">Q227*$R$226</f>
        <v>237547458.66661993</v>
      </c>
    </row>
    <row r="228" spans="1:19" s="117" customFormat="1" x14ac:dyDescent="0.35">
      <c r="D228"/>
      <c r="H228" s="191" t="s">
        <v>252</v>
      </c>
      <c r="I228" s="18" t="s">
        <v>226</v>
      </c>
      <c r="J228" s="154" t="s">
        <v>178</v>
      </c>
      <c r="K228" s="59">
        <f>'Feedtstocks only CONVENTIONAL'!J24</f>
        <v>0.16011076845616465</v>
      </c>
      <c r="L228" s="2">
        <f>K228*$L$226</f>
        <v>285254296.13941139</v>
      </c>
      <c r="M228" t="str">
        <f>'LCoP CONVENTIONAL'!$F$26</f>
        <v>Architectural and engineering services</v>
      </c>
      <c r="N228" s="59">
        <f>'LCoP CONVENTIONAL'!$G$26</f>
        <v>0.25</v>
      </c>
      <c r="O228" s="2">
        <f>N228*$O$226</f>
        <v>74233580.833318725</v>
      </c>
      <c r="P228" t="str">
        <f>'LCoP CONVENTIONAL'!$I$26</f>
        <v>Electricity, gas, steam &amp; AC</v>
      </c>
      <c r="Q228" s="59">
        <f>'LCoP CONVENTIONAL'!$J$26</f>
        <v>0.2</v>
      </c>
      <c r="R228" s="2">
        <f t="shared" si="37"/>
        <v>118773729.33330996</v>
      </c>
    </row>
    <row r="229" spans="1:19" s="117" customFormat="1" x14ac:dyDescent="0.35">
      <c r="D229"/>
      <c r="H229" s="192" t="s">
        <v>254</v>
      </c>
      <c r="I229" s="18" t="s">
        <v>228</v>
      </c>
      <c r="J229" s="154" t="s">
        <v>178</v>
      </c>
      <c r="K229" s="59">
        <f>'Feedtstocks only CONVENTIONAL'!J25</f>
        <v>4.0027692114041162E-2</v>
      </c>
      <c r="L229" s="2">
        <f>K229*$L$226</f>
        <v>71313574.034852847</v>
      </c>
      <c r="M229" t="str">
        <f>'LCoP CONVENTIONAL'!$F$27</f>
        <v>Constructions and construction works</v>
      </c>
      <c r="N229" s="59">
        <f>'LCoP CONVENTIONAL'!$G$27</f>
        <v>0.1</v>
      </c>
      <c r="O229" s="2">
        <f>N229*$O$226</f>
        <v>29693432.333327491</v>
      </c>
      <c r="P229" t="str">
        <f>'LCoP CONVENTIONAL'!$I$27</f>
        <v>Legal and accounting services; services of head offices; management consultancy services</v>
      </c>
      <c r="Q229" s="59">
        <f>'LCoP CONVENTIONAL'!$J$27</f>
        <v>0.2</v>
      </c>
      <c r="R229" s="2">
        <f t="shared" si="37"/>
        <v>118773729.33330996</v>
      </c>
    </row>
    <row r="230" spans="1:19" s="117" customFormat="1" x14ac:dyDescent="0.35">
      <c r="D230"/>
      <c r="H230" s="191" t="s">
        <v>252</v>
      </c>
      <c r="I230" s="18" t="s">
        <v>227</v>
      </c>
      <c r="J230" s="154" t="s">
        <v>178</v>
      </c>
      <c r="K230" s="59">
        <f>'Feedtstocks only CONVENTIONAL'!J26</f>
        <v>3.9335389263012145E-2</v>
      </c>
      <c r="L230" s="2">
        <f>K230*$L$226</f>
        <v>70080163.163180858</v>
      </c>
      <c r="M230" t="str">
        <f>'LCoP CONVENTIONAL'!$F$28</f>
        <v>Fabricated metal products</v>
      </c>
      <c r="N230" s="59">
        <f>'LCoP CONVENTIONAL'!$G$28</f>
        <v>7.0000000000000007E-2</v>
      </c>
      <c r="O230" s="2">
        <f>N230*$O$226</f>
        <v>20785402.633329246</v>
      </c>
      <c r="P230" t="str">
        <f>'LCoP CONVENTIONAL'!$I$28</f>
        <v>Repair and installation services</v>
      </c>
      <c r="Q230" s="59">
        <f>'LCoP CONVENTIONAL'!$J$28</f>
        <v>0.15</v>
      </c>
      <c r="R230" s="2">
        <f t="shared" si="37"/>
        <v>89080296.999982461</v>
      </c>
    </row>
    <row r="231" spans="1:19" s="117" customFormat="1" x14ac:dyDescent="0.35">
      <c r="D231"/>
      <c r="H231"/>
      <c r="I231"/>
      <c r="J231"/>
      <c r="K231"/>
      <c r="L231"/>
      <c r="M231" t="str">
        <f>'LCoP CONVENTIONAL'!$F$29</f>
        <v>Computer, electronic and optical products</v>
      </c>
      <c r="N231" s="59">
        <f>'LCoP CONVENTIONAL'!$G$29</f>
        <v>0.03</v>
      </c>
      <c r="O231" s="2">
        <f>N231*$O$226</f>
        <v>8908029.6999982465</v>
      </c>
      <c r="P231" s="299" t="str">
        <f>'LCoP CONVENTIONAL'!$I$29</f>
        <v>Land transport services and transport services via pipelines</v>
      </c>
      <c r="Q231" s="59">
        <f>'LCoP CONVENTIONAL'!$J$29</f>
        <v>0.05</v>
      </c>
      <c r="R231" s="2">
        <f t="shared" si="37"/>
        <v>29693432.333327491</v>
      </c>
    </row>
    <row r="232" spans="1:19" x14ac:dyDescent="0.35">
      <c r="E232" s="6"/>
      <c r="F232" s="31"/>
      <c r="P232" t="str">
        <f>'LCoP CONVENTIONAL'!$I$30</f>
        <v>Waste management services</v>
      </c>
      <c r="Q232" s="59">
        <f>'LCoP CONVENTIONAL'!$J$30</f>
        <v>0</v>
      </c>
      <c r="R232" s="2">
        <f t="shared" si="37"/>
        <v>0</v>
      </c>
    </row>
    <row r="233" spans="1:19" x14ac:dyDescent="0.35">
      <c r="D233" s="6"/>
      <c r="E233" s="6"/>
    </row>
    <row r="234" spans="1:19" x14ac:dyDescent="0.35">
      <c r="A234" s="114" t="s">
        <v>398</v>
      </c>
      <c r="B234" s="114">
        <v>1165.6261363636365</v>
      </c>
      <c r="C234" s="114">
        <f>B234*F234</f>
        <v>3461144080.6071601</v>
      </c>
      <c r="D234" s="289">
        <f>D218/4</f>
        <v>3.1205479666246525</v>
      </c>
      <c r="E234" s="114">
        <f>'[1]Conversion factors selected IV '!$O$7</f>
        <v>0.95154545454545458</v>
      </c>
      <c r="F234" s="114">
        <f>D234*E234*1000000</f>
        <v>2969343.233332749</v>
      </c>
      <c r="G234" s="301">
        <f>'LCoP CONVENTIONAL'!$B$31</f>
        <v>1203</v>
      </c>
      <c r="H234" s="114">
        <f>G234*F234</f>
        <v>3572119909.699297</v>
      </c>
      <c r="I234" s="308">
        <f>'LCoP CONVENTIONAL'!$C$31</f>
        <v>0.75062344139650872</v>
      </c>
      <c r="J234" s="114"/>
      <c r="K234" s="114">
        <f>I234*G234</f>
        <v>903</v>
      </c>
      <c r="L234" s="114">
        <f>I234*H234</f>
        <v>2681316939.6994724</v>
      </c>
      <c r="M234" s="308">
        <f>'LCoP CONVENTIONAL'!$F$31</f>
        <v>8.3125519534497094E-2</v>
      </c>
      <c r="N234" s="114"/>
      <c r="O234" s="114">
        <f>M234*H234</f>
        <v>296934323.3332749</v>
      </c>
      <c r="P234" s="308">
        <f>'LCoP CONVENTIONAL'!$I$31</f>
        <v>0.16625103906899419</v>
      </c>
      <c r="Q234" s="114"/>
      <c r="R234" s="114">
        <f>P234*H234</f>
        <v>593868646.6665498</v>
      </c>
      <c r="S234" s="114">
        <f>SUM(L234,O234,R234)</f>
        <v>3572119909.699297</v>
      </c>
    </row>
    <row r="235" spans="1:19" x14ac:dyDescent="0.35">
      <c r="E235" s="6"/>
      <c r="I235" t="s">
        <v>396</v>
      </c>
      <c r="J235" t="s">
        <v>179</v>
      </c>
      <c r="L235" s="2">
        <f>$L$234</f>
        <v>2681316939.6994724</v>
      </c>
      <c r="M235" t="str">
        <f>'LCoP CONVENTIONAL'!$F$32</f>
        <v>Machinery and equipment</v>
      </c>
      <c r="N235" s="59">
        <f>'LCoP CONVENTIONAL'!$G$32</f>
        <v>0.57999999999999996</v>
      </c>
      <c r="O235" s="2">
        <f>N235*$O$234</f>
        <v>172221907.53329942</v>
      </c>
      <c r="P235" t="str">
        <f>'LCoP CONVENTIONAL'!$I$32</f>
        <v>Chemical and chemical products</v>
      </c>
      <c r="Q235" s="59">
        <f>'LCoP CONVENTIONAL'!$J$32</f>
        <v>0.35</v>
      </c>
      <c r="R235" s="2">
        <f t="shared" ref="R235:R240" si="38">Q235*$R$234</f>
        <v>207854026.33329242</v>
      </c>
    </row>
    <row r="236" spans="1:19" x14ac:dyDescent="0.35">
      <c r="E236" s="6"/>
      <c r="M236" t="str">
        <f>'LCoP CONVENTIONAL'!$F$33</f>
        <v>Architectural and engineering services</v>
      </c>
      <c r="N236" s="59">
        <f>'LCoP CONVENTIONAL'!$G$33</f>
        <v>0.25</v>
      </c>
      <c r="O236" s="2">
        <f>N236*$O$234</f>
        <v>74233580.833318725</v>
      </c>
      <c r="P236" t="str">
        <f>'LCoP CONVENTIONAL'!$I$33</f>
        <v>Electricity, gas, steam &amp; AC</v>
      </c>
      <c r="Q236" s="59">
        <f>'LCoP CONVENTIONAL'!$J$33</f>
        <v>0.15</v>
      </c>
      <c r="R236" s="2">
        <f t="shared" si="38"/>
        <v>89080296.999982461</v>
      </c>
    </row>
    <row r="237" spans="1:19" x14ac:dyDescent="0.35">
      <c r="E237" s="6"/>
      <c r="M237" t="str">
        <f>'LCoP CONVENTIONAL'!$F$34</f>
        <v>Constructions and construction works</v>
      </c>
      <c r="N237" s="59">
        <f>'LCoP CONVENTIONAL'!$G$34</f>
        <v>0.08</v>
      </c>
      <c r="O237" s="2">
        <f>N237*$O$234</f>
        <v>23754745.866661992</v>
      </c>
      <c r="P237" t="str">
        <f>'LCoP CONVENTIONAL'!$I$34</f>
        <v>Legal and accounting services; services of head offices; management consultancy services</v>
      </c>
      <c r="Q237" s="59">
        <f>'LCoP CONVENTIONAL'!$J$34</f>
        <v>0.18</v>
      </c>
      <c r="R237" s="2">
        <f t="shared" si="38"/>
        <v>106896356.39997897</v>
      </c>
    </row>
    <row r="238" spans="1:19" x14ac:dyDescent="0.35">
      <c r="E238" s="6"/>
      <c r="M238" t="str">
        <f>'LCoP CONVENTIONAL'!$F$35</f>
        <v>Fabricated metal products</v>
      </c>
      <c r="N238" s="59">
        <f>'LCoP CONVENTIONAL'!$G$35</f>
        <v>0.06</v>
      </c>
      <c r="O238" s="2">
        <f>N238*$O$234</f>
        <v>17816059.399996493</v>
      </c>
      <c r="P238" t="str">
        <f>'LCoP CONVENTIONAL'!$I$35</f>
        <v>Repair and installation services</v>
      </c>
      <c r="Q238" s="59">
        <f>'LCoP CONVENTIONAL'!$J$35</f>
        <v>0.15</v>
      </c>
      <c r="R238" s="2">
        <f t="shared" si="38"/>
        <v>89080296.999982461</v>
      </c>
    </row>
    <row r="239" spans="1:19" x14ac:dyDescent="0.35">
      <c r="E239" s="6"/>
      <c r="M239" t="str">
        <f>'LCoP CONVENTIONAL'!$F$36</f>
        <v>Computer, electronic and optical products</v>
      </c>
      <c r="N239" s="59">
        <f>'LCoP CONVENTIONAL'!$G$36</f>
        <v>0.03</v>
      </c>
      <c r="O239" s="2">
        <f>N239*$O$234</f>
        <v>8908029.6999982465</v>
      </c>
      <c r="P239" s="2" t="str">
        <f>'LCoP CONVENTIONAL'!$I$36</f>
        <v>Land transport services and transport services via pipelines</v>
      </c>
      <c r="Q239" s="59">
        <f>'LCoP CONVENTIONAL'!$J$36</f>
        <v>0.17</v>
      </c>
      <c r="R239" s="2">
        <f t="shared" si="38"/>
        <v>100957669.93331347</v>
      </c>
    </row>
    <row r="240" spans="1:19" x14ac:dyDescent="0.35">
      <c r="E240" s="6"/>
      <c r="P240" t="str">
        <f>'LCoP CONVENTIONAL'!$I$37</f>
        <v>Waste management services</v>
      </c>
      <c r="Q240" s="59">
        <f>'LCoP CONVENTIONAL'!$J$37</f>
        <v>0</v>
      </c>
      <c r="R240" s="2">
        <f t="shared" si="38"/>
        <v>0</v>
      </c>
    </row>
    <row r="241" spans="1:19" x14ac:dyDescent="0.35">
      <c r="D241" s="6"/>
      <c r="E241" s="6"/>
    </row>
    <row r="242" spans="1:19" s="114" customFormat="1" x14ac:dyDescent="0.35">
      <c r="A242" s="114" t="s">
        <v>399</v>
      </c>
      <c r="B242" s="114">
        <v>1165.6261363636365</v>
      </c>
      <c r="C242" s="114">
        <f>B242*F242</f>
        <v>4115955122.884191</v>
      </c>
      <c r="D242" s="289">
        <f>D218/4</f>
        <v>3.1205479666246525</v>
      </c>
      <c r="E242" s="114">
        <f>'[1]Conversion factors selected IV '!$O$4</f>
        <v>1.1315675675675676</v>
      </c>
      <c r="F242" s="114">
        <f>D242*E242*1000000</f>
        <v>3531110.8720713775</v>
      </c>
      <c r="G242" s="301">
        <f>'LCoP CONVENTIONAL'!$B$17</f>
        <v>1253</v>
      </c>
      <c r="H242" s="114">
        <f>G242*F242</f>
        <v>4424481922.7054358</v>
      </c>
      <c r="I242" s="309">
        <f>'LCoP CONVENTIONAL'!$C$17</f>
        <v>0.72067039106145248</v>
      </c>
      <c r="K242" s="114">
        <f>I242*G242</f>
        <v>903</v>
      </c>
      <c r="L242" s="114">
        <f>I242*H242</f>
        <v>3188593117.4804535</v>
      </c>
      <c r="M242" s="309">
        <f>'LCoP CONVENTIONAL'!$F$17</f>
        <v>6.6241021548284124E-2</v>
      </c>
      <c r="O242" s="114">
        <f>M242*H242</f>
        <v>293082202.38192433</v>
      </c>
      <c r="P242" s="309">
        <f>'LCoP CONVENTIONAL'!$I$17</f>
        <v>0.21308858739026337</v>
      </c>
      <c r="R242" s="114">
        <f>P242*H242</f>
        <v>942806602.84305775</v>
      </c>
      <c r="S242" s="114">
        <f>SUM(L242,O242,R242)</f>
        <v>4424481922.7054358</v>
      </c>
    </row>
    <row r="243" spans="1:19" x14ac:dyDescent="0.35">
      <c r="A243" s="24"/>
      <c r="B243" s="24"/>
      <c r="C243" s="24"/>
      <c r="H243" s="191" t="s">
        <v>252</v>
      </c>
      <c r="I243" t="s">
        <v>233</v>
      </c>
      <c r="J243" t="s">
        <v>178</v>
      </c>
      <c r="K243" s="59">
        <f>'Feedtstocks only CONVENTIONAL'!J37</f>
        <v>0.42676656092472537</v>
      </c>
      <c r="L243" s="2">
        <f>K243*$L$242</f>
        <v>1360784918.9353819</v>
      </c>
      <c r="M243" t="str">
        <f>'LCoP CONVENTIONAL'!$F$18</f>
        <v>Machinery and equipment</v>
      </c>
      <c r="N243" s="59">
        <f>'LCoP CONVENTIONAL'!$G$18</f>
        <v>0.5</v>
      </c>
      <c r="O243" s="2">
        <f>N243*$O$242</f>
        <v>146541101.19096217</v>
      </c>
      <c r="P243" t="str">
        <f>'LCoP CONVENTIONAL'!$I$18</f>
        <v>Chemical and chemical products</v>
      </c>
      <c r="Q243" s="59">
        <f>'LCoP CONVENTIONAL'!$J$18</f>
        <v>0.25</v>
      </c>
      <c r="R243" s="2">
        <f t="shared" ref="R243:R248" si="39">Q243*$R$242</f>
        <v>235701650.71076444</v>
      </c>
    </row>
    <row r="244" spans="1:19" x14ac:dyDescent="0.35">
      <c r="A244" s="24"/>
      <c r="B244" s="24"/>
      <c r="C244" s="24"/>
      <c r="F244" s="31"/>
      <c r="H244" s="192" t="s">
        <v>254</v>
      </c>
      <c r="I244" t="s">
        <v>233</v>
      </c>
      <c r="J244" t="s">
        <v>178</v>
      </c>
      <c r="K244" s="59">
        <f>'Feedtstocks only CONVENTIONAL'!J38</f>
        <v>0.28451104061648358</v>
      </c>
      <c r="L244" s="2">
        <f>K244*$L$242</f>
        <v>907189945.95692134</v>
      </c>
      <c r="M244" t="str">
        <f>'LCoP CONVENTIONAL'!$F$19</f>
        <v>Architectural and engineering services</v>
      </c>
      <c r="N244" s="59">
        <f>'LCoP CONVENTIONAL'!$G$19</f>
        <v>0.3</v>
      </c>
      <c r="O244" s="2">
        <f>N244*$O$242</f>
        <v>87924660.714577302</v>
      </c>
      <c r="P244" t="str">
        <f>'LCoP CONVENTIONAL'!$I$19</f>
        <v>Electricity, gas, steam &amp; AC</v>
      </c>
      <c r="Q244" s="59">
        <f>'LCoP CONVENTIONAL'!$J$19</f>
        <v>0.15</v>
      </c>
      <c r="R244" s="2">
        <f t="shared" si="39"/>
        <v>141420990.42645866</v>
      </c>
    </row>
    <row r="245" spans="1:19" x14ac:dyDescent="0.35">
      <c r="A245" s="24"/>
      <c r="B245" s="24"/>
      <c r="C245" s="24"/>
      <c r="H245" s="192" t="s">
        <v>254</v>
      </c>
      <c r="I245" t="s">
        <v>267</v>
      </c>
      <c r="J245" t="s">
        <v>178</v>
      </c>
      <c r="K245" s="59">
        <f>'Feedtstocks only CONVENTIONAL'!J39</f>
        <v>0.288722398458791</v>
      </c>
      <c r="L245" s="2">
        <f>K245*$L$242</f>
        <v>920618252.58815002</v>
      </c>
      <c r="M245" t="str">
        <f>'LCoP CONVENTIONAL'!$F$20</f>
        <v>Constructions and construction works</v>
      </c>
      <c r="N245" s="59">
        <f>'LCoP CONVENTIONAL'!$G$20</f>
        <v>0.1</v>
      </c>
      <c r="O245" s="2">
        <f>N245*$O$242</f>
        <v>29308220.238192435</v>
      </c>
      <c r="P245" t="str">
        <f>'LCoP CONVENTIONAL'!$I$20</f>
        <v>Legal and accounting services; services of head offices; management consultancy services</v>
      </c>
      <c r="Q245" s="59">
        <f>'LCoP CONVENTIONAL'!$J$20</f>
        <v>0.2</v>
      </c>
      <c r="R245" s="2">
        <f t="shared" si="39"/>
        <v>188561320.56861156</v>
      </c>
    </row>
    <row r="246" spans="1:19" x14ac:dyDescent="0.35">
      <c r="A246" s="24"/>
      <c r="B246" s="24"/>
      <c r="C246" s="24"/>
      <c r="M246" t="str">
        <f>'LCoP CONVENTIONAL'!$F$21</f>
        <v>Fabricated metal products</v>
      </c>
      <c r="N246" s="59">
        <f>'LCoP CONVENTIONAL'!$G$21</f>
        <v>7.0000000000000007E-2</v>
      </c>
      <c r="O246" s="2">
        <f>N246*$O$242</f>
        <v>20515754.166734707</v>
      </c>
      <c r="P246" t="str">
        <f>'LCoP CONVENTIONAL'!$I$21</f>
        <v>Repair and installation services</v>
      </c>
      <c r="Q246" s="59">
        <f>'LCoP CONVENTIONAL'!$J$21</f>
        <v>0.2</v>
      </c>
      <c r="R246" s="2">
        <f t="shared" si="39"/>
        <v>188561320.56861156</v>
      </c>
    </row>
    <row r="247" spans="1:19" x14ac:dyDescent="0.35">
      <c r="A247" s="24"/>
      <c r="B247" s="24"/>
      <c r="C247" s="24"/>
      <c r="M247" t="str">
        <f>'LCoP CONVENTIONAL'!$F$22</f>
        <v>Computer, electronic and optical products</v>
      </c>
      <c r="N247" s="59">
        <f>'LCoP CONVENTIONAL'!$G$22</f>
        <v>0.03</v>
      </c>
      <c r="O247" s="2">
        <f>N247*$O$242</f>
        <v>8792466.0714577287</v>
      </c>
      <c r="P247" s="2" t="str">
        <f>'LCoP CONVENTIONAL'!$I$22</f>
        <v>Land transport services and transport services via pipelines</v>
      </c>
      <c r="Q247" s="59">
        <f>'LCoP CONVENTIONAL'!$J$22</f>
        <v>0.1</v>
      </c>
      <c r="R247" s="2">
        <f t="shared" si="39"/>
        <v>94280660.284305781</v>
      </c>
    </row>
    <row r="248" spans="1:19" x14ac:dyDescent="0.35">
      <c r="P248" t="str">
        <f>'LCoP CONVENTIONAL'!$I$23</f>
        <v>Waste management services</v>
      </c>
      <c r="Q248" s="59">
        <f>'LCoP CONVENTIONAL'!$J$23</f>
        <v>0.1</v>
      </c>
      <c r="R248" s="2">
        <f t="shared" si="39"/>
        <v>94280660.284305781</v>
      </c>
    </row>
    <row r="249" spans="1:19" s="151" customFormat="1" ht="29" customHeight="1" x14ac:dyDescent="0.35">
      <c r="A249" s="151" t="s">
        <v>328</v>
      </c>
    </row>
    <row r="250" spans="1:19" x14ac:dyDescent="0.35">
      <c r="D250" s="2">
        <f>D251</f>
        <v>1.6036203590984996</v>
      </c>
      <c r="F250" s="2">
        <f>F251</f>
        <v>2486680.6368420739</v>
      </c>
    </row>
    <row r="251" spans="1:19" s="114" customFormat="1" x14ac:dyDescent="0.35">
      <c r="A251" s="114" t="s">
        <v>329</v>
      </c>
      <c r="B251" s="114">
        <v>1018.96958174905</v>
      </c>
      <c r="C251" s="114">
        <f>B251*F251</f>
        <v>2533851928.4664292</v>
      </c>
      <c r="D251" s="114">
        <f>'[3]Scenario 3 2035'!$O$7</f>
        <v>1.6036203590984996</v>
      </c>
      <c r="E251" s="114">
        <f>'[1]Conversion factors selected IV '!$O$17</f>
        <v>1.5506666666666669</v>
      </c>
      <c r="F251" s="114">
        <f>D251*E251*1000000</f>
        <v>2486680.6368420739</v>
      </c>
      <c r="G251" s="301">
        <f>'LCoP CONVENTIONAL'!$B$53</f>
        <v>903.57</v>
      </c>
      <c r="H251" s="114">
        <f>G251*F251</f>
        <v>2246890023.0313931</v>
      </c>
      <c r="I251" s="308">
        <f>'LCoP CONVENTIONAL'!$C$53</f>
        <v>0.7</v>
      </c>
      <c r="K251" s="114">
        <f>I251*G251</f>
        <v>632.49900000000002</v>
      </c>
      <c r="L251" s="114">
        <f>I251*H251</f>
        <v>1572823016.1219749</v>
      </c>
      <c r="M251" s="308">
        <f>'LCoP CONVENTIONAL'!$F$53</f>
        <v>0.1</v>
      </c>
      <c r="O251" s="114">
        <f>M251*H251</f>
        <v>224689002.30313933</v>
      </c>
      <c r="P251" s="308">
        <f>'LCoP CONVENTIONAL'!$I$53</f>
        <v>0.2</v>
      </c>
      <c r="R251" s="114">
        <f>P251*H251</f>
        <v>449378004.60627866</v>
      </c>
      <c r="S251" s="114">
        <f>SUM(L251,O251,R251)</f>
        <v>2246890023.0313931</v>
      </c>
    </row>
    <row r="252" spans="1:19" x14ac:dyDescent="0.35">
      <c r="A252" s="117"/>
      <c r="B252" s="117"/>
      <c r="C252" s="117"/>
      <c r="D252" s="117"/>
      <c r="E252" s="117"/>
      <c r="F252" s="117"/>
      <c r="G252" s="117"/>
      <c r="H252" s="117"/>
      <c r="I252" t="s">
        <v>362</v>
      </c>
      <c r="J252" s="147" t="s">
        <v>179</v>
      </c>
      <c r="L252" s="2">
        <f>$L$251</f>
        <v>1572823016.1219749</v>
      </c>
      <c r="M252" t="str">
        <f>'LCoP CONVENTIONAL'!$F$54</f>
        <v>Machinery and equipment</v>
      </c>
      <c r="N252" s="59">
        <f>'LCoP CONVENTIONAL'!$G$54</f>
        <v>0.5</v>
      </c>
      <c r="O252" s="2">
        <f>N252*$O$251</f>
        <v>112344501.15156966</v>
      </c>
      <c r="P252" t="str">
        <f>'LCoP CONVENTIONAL'!$I$54</f>
        <v>Chemical and chemical products</v>
      </c>
      <c r="Q252" s="59">
        <f>'LCoP CONVENTIONAL'!$J$54</f>
        <v>0.15</v>
      </c>
      <c r="R252" s="2">
        <f>Q252*$R$251</f>
        <v>67406700.690941796</v>
      </c>
      <c r="S252" s="117"/>
    </row>
    <row r="253" spans="1:19" x14ac:dyDescent="0.35">
      <c r="A253" s="117"/>
      <c r="B253" s="117"/>
      <c r="C253" s="117"/>
      <c r="D253" s="117"/>
      <c r="E253" s="117"/>
      <c r="F253" s="117"/>
      <c r="G253" s="117"/>
      <c r="H253" s="117"/>
      <c r="M253" t="str">
        <f>'LCoP CONVENTIONAL'!$F$55</f>
        <v>Architectural and engineering services</v>
      </c>
      <c r="N253" s="59">
        <f>'LCoP CONVENTIONAL'!$G$55</f>
        <v>0.25</v>
      </c>
      <c r="O253" s="2">
        <f t="shared" ref="O253:O256" si="40">N253*$O$251</f>
        <v>56172250.575784832</v>
      </c>
      <c r="P253" t="str">
        <f>'LCoP CONVENTIONAL'!$I$55</f>
        <v>Electricity, gas, steam &amp; AC</v>
      </c>
      <c r="Q253" s="59">
        <f>'LCoP CONVENTIONAL'!$J$55</f>
        <v>0.4</v>
      </c>
      <c r="R253" s="2">
        <f t="shared" ref="R253:R257" si="41">Q253*$R$251</f>
        <v>179751201.84251148</v>
      </c>
      <c r="S253" s="117"/>
    </row>
    <row r="254" spans="1:19" x14ac:dyDescent="0.35">
      <c r="A254" s="117"/>
      <c r="B254" s="117"/>
      <c r="C254" s="117"/>
      <c r="D254" s="117"/>
      <c r="E254" s="117"/>
      <c r="F254" s="117"/>
      <c r="G254" s="117"/>
      <c r="H254" s="117"/>
      <c r="M254" t="str">
        <f>'LCoP CONVENTIONAL'!$F$56</f>
        <v>Constructions and construction works</v>
      </c>
      <c r="N254" s="59">
        <f>'LCoP CONVENTIONAL'!$G$56</f>
        <v>0.15</v>
      </c>
      <c r="O254" s="2">
        <f t="shared" si="40"/>
        <v>33703350.345470898</v>
      </c>
      <c r="P254" t="str">
        <f>'LCoP CONVENTIONAL'!$I$56</f>
        <v>Legal and accounting services; services of head offices; management consultancy services</v>
      </c>
      <c r="Q254" s="59">
        <f>'LCoP CONVENTIONAL'!$J$56</f>
        <v>0.2</v>
      </c>
      <c r="R254" s="2">
        <f t="shared" si="41"/>
        <v>89875600.921255738</v>
      </c>
      <c r="S254" s="117"/>
    </row>
    <row r="255" spans="1:19" x14ac:dyDescent="0.35">
      <c r="A255" s="117"/>
      <c r="B255" s="117"/>
      <c r="C255" s="117"/>
      <c r="D255" s="117"/>
      <c r="E255" s="117"/>
      <c r="F255" s="117"/>
      <c r="G255" s="117"/>
      <c r="H255" s="117"/>
      <c r="M255" t="str">
        <f>'LCoP CONVENTIONAL'!$F$57</f>
        <v>Fabricated metal products</v>
      </c>
      <c r="N255" s="59">
        <f>'LCoP CONVENTIONAL'!$G$57</f>
        <v>7.0000000000000007E-2</v>
      </c>
      <c r="O255" s="2">
        <f t="shared" si="40"/>
        <v>15728230.161219755</v>
      </c>
      <c r="P255" t="str">
        <f>'LCoP CONVENTIONAL'!$I$57</f>
        <v>Repair and installation services</v>
      </c>
      <c r="Q255" s="59">
        <f>'LCoP CONVENTIONAL'!$J$57</f>
        <v>0.15</v>
      </c>
      <c r="R255" s="2">
        <f t="shared" si="41"/>
        <v>67406700.690941796</v>
      </c>
      <c r="S255" s="117"/>
    </row>
    <row r="256" spans="1:19" x14ac:dyDescent="0.35">
      <c r="A256" s="117"/>
      <c r="B256" s="117"/>
      <c r="C256" s="117"/>
      <c r="D256" s="117"/>
      <c r="E256" s="117"/>
      <c r="F256" s="117"/>
      <c r="G256" s="117"/>
      <c r="H256" s="117"/>
      <c r="M256" t="str">
        <f>'LCoP CONVENTIONAL'!$F$58</f>
        <v>Computer, electronic and optical products</v>
      </c>
      <c r="N256" s="59">
        <f>'LCoP CONVENTIONAL'!$G$58</f>
        <v>0.03</v>
      </c>
      <c r="O256" s="2">
        <f t="shared" si="40"/>
        <v>6740670.0690941792</v>
      </c>
      <c r="P256" s="299" t="str">
        <f>'LCoP CONVENTIONAL'!$I$58</f>
        <v>Land transport services and transport services via pipelines</v>
      </c>
      <c r="Q256" s="59">
        <f>'LCoP CONVENTIONAL'!$J$58</f>
        <v>0.1</v>
      </c>
      <c r="R256" s="2">
        <f t="shared" si="41"/>
        <v>44937800.460627869</v>
      </c>
      <c r="S256" s="117"/>
    </row>
    <row r="257" spans="1:19" x14ac:dyDescent="0.35">
      <c r="A257" s="117"/>
      <c r="B257" s="117"/>
      <c r="C257" s="117"/>
      <c r="D257" s="117"/>
      <c r="E257" s="117"/>
      <c r="F257" s="117"/>
      <c r="G257" s="117"/>
      <c r="H257" s="117"/>
      <c r="I257" s="117"/>
      <c r="J257" s="117"/>
      <c r="K257" s="117"/>
      <c r="L257" s="117"/>
      <c r="M257" s="117"/>
      <c r="N257" s="117"/>
      <c r="O257" s="117"/>
      <c r="P257" t="str">
        <f>'LCoP CONVENTIONAL'!$I$59</f>
        <v>Waste management services</v>
      </c>
      <c r="Q257" s="59">
        <f>'LCoP CONVENTIONAL'!$J$59</f>
        <v>0</v>
      </c>
      <c r="R257" s="2">
        <f t="shared" si="41"/>
        <v>0</v>
      </c>
      <c r="S257" s="117"/>
    </row>
    <row r="258" spans="1:19" s="103" customFormat="1" ht="34" customHeight="1" x14ac:dyDescent="0.35">
      <c r="A258" s="33" t="s">
        <v>345</v>
      </c>
      <c r="B258" s="33"/>
      <c r="C258" s="33"/>
      <c r="F258" s="227"/>
    </row>
    <row r="260" spans="1:19" s="157" customFormat="1" x14ac:dyDescent="0.35">
      <c r="A260" s="157" t="s">
        <v>346</v>
      </c>
      <c r="B260" s="157">
        <f>2100</f>
        <v>2100</v>
      </c>
      <c r="C260" s="157">
        <f>B260*F260</f>
        <v>3690143472.5525203</v>
      </c>
      <c r="D260" s="157">
        <f>'[3]Scenario 3 2035'!$N$26</f>
        <v>1.8047215206949545</v>
      </c>
      <c r="E260" s="157">
        <f>'[1]Conversion factors selected IV '!$O$12</f>
        <v>0.97367441860465131</v>
      </c>
      <c r="F260" s="157">
        <f>D260*E260*1000000</f>
        <v>1757211.177405962</v>
      </c>
      <c r="G260" s="304">
        <f>'LCoP CONVENTIONAL'!$B$45</f>
        <v>2903</v>
      </c>
      <c r="H260" s="157">
        <f>G260*F260</f>
        <v>5101184048.0095081</v>
      </c>
      <c r="I260" s="304">
        <f>'LCoP CONVENTIONAL'!$C$45</f>
        <v>0.67550809507406129</v>
      </c>
      <c r="K260" s="157">
        <f>I260*G260</f>
        <v>1961</v>
      </c>
      <c r="L260" s="157">
        <f>I260*H260</f>
        <v>3445891118.8930917</v>
      </c>
      <c r="M260" s="304">
        <f>'LCoP CONVENTIONAL'!$F$45</f>
        <v>0.12952118498105408</v>
      </c>
      <c r="O260" s="227">
        <f>M260*H260</f>
        <v>660711402.70464182</v>
      </c>
      <c r="P260" s="304">
        <f>'LCoP CONVENTIONAL'!$I$45</f>
        <v>0.1949707199448846</v>
      </c>
      <c r="R260" s="157">
        <f>P260*H260</f>
        <v>994581526.41177464</v>
      </c>
      <c r="S260" s="157">
        <f>SUM(L260,O260,R260)</f>
        <v>5101184048.0095081</v>
      </c>
    </row>
    <row r="261" spans="1:19" x14ac:dyDescent="0.35">
      <c r="H261" s="191" t="s">
        <v>252</v>
      </c>
      <c r="I261" t="s">
        <v>233</v>
      </c>
      <c r="J261" t="s">
        <v>178</v>
      </c>
      <c r="K261" s="59">
        <v>0.42676656092472498</v>
      </c>
      <c r="L261" s="2">
        <f>K261*$L$260</f>
        <v>1470591102.1310573</v>
      </c>
      <c r="M261" t="str">
        <f>'LCoP CONVENTIONAL'!$F$46</f>
        <v>Machinery and equipment</v>
      </c>
      <c r="N261" s="59">
        <f>'LCoP CONVENTIONAL'!$G$46</f>
        <v>0.6</v>
      </c>
      <c r="O261" s="1">
        <f>N261*$O$260</f>
        <v>396426841.62278509</v>
      </c>
      <c r="P261" s="1" t="str">
        <f>'LCoP CONVENTIONAL'!$I$46</f>
        <v>Chemical and chemical products</v>
      </c>
      <c r="Q261" s="1">
        <f>'LCoP CONVENTIONAL'!$J$46</f>
        <v>0.15</v>
      </c>
      <c r="R261" s="1">
        <f>Q261*$R$260</f>
        <v>149187228.96176618</v>
      </c>
    </row>
    <row r="262" spans="1:19" x14ac:dyDescent="0.35">
      <c r="H262" s="192" t="s">
        <v>254</v>
      </c>
      <c r="I262" t="s">
        <v>268</v>
      </c>
      <c r="J262" t="s">
        <v>178</v>
      </c>
      <c r="K262" s="59">
        <v>0.28451104061648402</v>
      </c>
      <c r="L262" s="2">
        <f t="shared" ref="L262:L263" si="42">K262*$L$260</f>
        <v>980394068.08737397</v>
      </c>
      <c r="M262" t="str">
        <f>'LCoP CONVENTIONAL'!$F$47</f>
        <v>Architectural and engineering services</v>
      </c>
      <c r="N262" s="59">
        <f>'LCoP CONVENTIONAL'!$G$47</f>
        <v>0.25</v>
      </c>
      <c r="O262" s="1">
        <f t="shared" ref="O262:O265" si="43">N262*$O$260</f>
        <v>165177850.67616045</v>
      </c>
      <c r="P262" s="1" t="str">
        <f>'LCoP CONVENTIONAL'!$I$47</f>
        <v>Electricity, gas, steam &amp; AC</v>
      </c>
      <c r="Q262" s="1">
        <f>'LCoP CONVENTIONAL'!$J$47</f>
        <v>0.4</v>
      </c>
      <c r="R262" s="1">
        <f t="shared" ref="R262:R266" si="44">Q262*$R$260</f>
        <v>397832610.5647099</v>
      </c>
    </row>
    <row r="263" spans="1:19" x14ac:dyDescent="0.35">
      <c r="H263" s="192" t="s">
        <v>254</v>
      </c>
      <c r="I263" t="s">
        <v>267</v>
      </c>
      <c r="J263" t="s">
        <v>178</v>
      </c>
      <c r="K263" s="59">
        <v>0.288722398458791</v>
      </c>
      <c r="L263" s="2">
        <f t="shared" si="42"/>
        <v>994905948.67466033</v>
      </c>
      <c r="M263" t="str">
        <f>'LCoP CONVENTIONAL'!$F$48</f>
        <v>Constructions and construction works</v>
      </c>
      <c r="N263" s="59">
        <f>'LCoP CONVENTIONAL'!$G$48</f>
        <v>7.0000000000000007E-2</v>
      </c>
      <c r="O263" s="1">
        <f t="shared" si="43"/>
        <v>46249798.18932493</v>
      </c>
      <c r="P263" s="1" t="str">
        <f>'LCoP CONVENTIONAL'!$I$48</f>
        <v>Legal and accounting services; services of head offices; management consultancy services</v>
      </c>
      <c r="Q263" s="1">
        <f>'LCoP CONVENTIONAL'!$J$48</f>
        <v>0.2</v>
      </c>
      <c r="R263" s="1">
        <f>Q263*$R$260</f>
        <v>198916305.28235495</v>
      </c>
    </row>
    <row r="264" spans="1:19" x14ac:dyDescent="0.35">
      <c r="K264">
        <v>1</v>
      </c>
      <c r="M264" t="str">
        <f>'LCoP CONVENTIONAL'!$F$49</f>
        <v>Fabricated metal products</v>
      </c>
      <c r="N264" s="59">
        <f>'LCoP CONVENTIONAL'!$G$49</f>
        <v>0.05</v>
      </c>
      <c r="O264" s="1">
        <f t="shared" si="43"/>
        <v>33035570.135232091</v>
      </c>
      <c r="P264" t="str">
        <f>'LCoP CONVENTIONAL'!$I$49</f>
        <v>Repair and installation services</v>
      </c>
      <c r="Q264">
        <f>'LCoP CONVENTIONAL'!$J$49</f>
        <v>0.15</v>
      </c>
      <c r="R264" s="1">
        <f t="shared" si="44"/>
        <v>149187228.96176618</v>
      </c>
    </row>
    <row r="265" spans="1:19" x14ac:dyDescent="0.35">
      <c r="M265" t="str">
        <f>'LCoP CONVENTIONAL'!$F$50</f>
        <v>Computer, electronic and optical products</v>
      </c>
      <c r="N265" s="59">
        <f>'LCoP CONVENTIONAL'!$G$50</f>
        <v>0.03</v>
      </c>
      <c r="O265" s="1">
        <f t="shared" si="43"/>
        <v>19821342.081139255</v>
      </c>
      <c r="P265" s="2" t="str">
        <f>'LCoP CONVENTIONAL'!$I$50</f>
        <v>Land transport services and transport services via pipelines</v>
      </c>
      <c r="Q265">
        <f>'LCoP CONVENTIONAL'!$J$50</f>
        <v>0.1</v>
      </c>
      <c r="R265" s="1">
        <f t="shared" si="44"/>
        <v>99458152.641177475</v>
      </c>
    </row>
    <row r="266" spans="1:19" x14ac:dyDescent="0.35">
      <c r="P266" t="str">
        <f>'LCoP CONVENTIONAL'!$I$51</f>
        <v>Waste management services</v>
      </c>
      <c r="Q266">
        <f>'LCoP CONVENTIONAL'!$J$51</f>
        <v>0</v>
      </c>
      <c r="R266" s="1">
        <f t="shared" si="44"/>
        <v>0</v>
      </c>
    </row>
  </sheetData>
  <pageMargins left="0.7" right="0.7" top="0.78740157499999996" bottom="0.78740157499999996"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8EB8B-6ED4-40A8-8F7A-C5601AE297CE}">
  <sheetPr>
    <tabColor theme="8" tint="0.39997558519241921"/>
  </sheetPr>
  <dimension ref="A1:S227"/>
  <sheetViews>
    <sheetView tabSelected="1" topLeftCell="D1" zoomScale="85" zoomScaleNormal="85" workbookViewId="0">
      <selection activeCell="G11" sqref="G11"/>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8.363281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6" customFormat="1" ht="24" customHeight="1" x14ac:dyDescent="0.35">
      <c r="A1" s="46" t="s">
        <v>340</v>
      </c>
      <c r="F1" s="224"/>
    </row>
    <row r="2" spans="1:19" s="46" customFormat="1" ht="24" customHeight="1" x14ac:dyDescent="0.35">
      <c r="A2" s="46" t="s">
        <v>286</v>
      </c>
      <c r="F2" s="224"/>
    </row>
    <row r="3" spans="1:19" s="46" customFormat="1" ht="24" customHeight="1" x14ac:dyDescent="0.35">
      <c r="A3" s="46" t="s">
        <v>334</v>
      </c>
      <c r="E3" s="46" t="s">
        <v>341</v>
      </c>
      <c r="F3" s="224"/>
    </row>
    <row r="4" spans="1:19" ht="19" customHeight="1" x14ac:dyDescent="0.35"/>
    <row r="5" spans="1:19" s="47" customFormat="1" ht="37" customHeight="1" x14ac:dyDescent="0.35">
      <c r="B5" s="47" t="s">
        <v>375</v>
      </c>
      <c r="C5" s="47" t="s">
        <v>376</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90" customFormat="1" ht="37" customHeight="1" x14ac:dyDescent="0.35">
      <c r="A6" s="229" t="s">
        <v>322</v>
      </c>
      <c r="B6" s="229"/>
      <c r="C6" s="228">
        <f>C8+C34+C76+C100+C132</f>
        <v>17246429354.086857</v>
      </c>
      <c r="D6" s="228">
        <f>D8+D34+D76+D100+D132</f>
        <v>10.981627654412833</v>
      </c>
      <c r="F6" s="198"/>
      <c r="I6" s="229"/>
      <c r="M6" s="229"/>
      <c r="P6" s="229"/>
    </row>
    <row r="7" spans="1:19" s="91" customFormat="1" ht="40" customHeight="1" x14ac:dyDescent="0.35">
      <c r="A7" s="91" t="s">
        <v>77</v>
      </c>
      <c r="F7" s="169"/>
    </row>
    <row r="8" spans="1:19" s="200" customFormat="1" x14ac:dyDescent="0.35">
      <c r="A8" s="200" t="s">
        <v>156</v>
      </c>
      <c r="C8" s="204">
        <f>C9+C23+C33+C16</f>
        <v>4896291861.9540749</v>
      </c>
      <c r="D8" s="204">
        <f>D9+D23+D33+D16</f>
        <v>2.9639260806070737</v>
      </c>
      <c r="F8" s="204">
        <f>F9+F23+F33+F16</f>
        <v>3189589.1279561059</v>
      </c>
      <c r="L8" s="207">
        <f>SUM(L9,L16,L23,L33)</f>
        <v>3097997165.1671739</v>
      </c>
      <c r="M8" s="207"/>
      <c r="N8" s="207"/>
      <c r="O8" s="207">
        <f>SUM(O9,O16,O23,O33)</f>
        <v>496732594.72281486</v>
      </c>
      <c r="P8" s="218"/>
      <c r="Q8" s="207"/>
      <c r="R8" s="207">
        <f>SUM(R9,R16,R23,R33)</f>
        <v>748129407.24859405</v>
      </c>
    </row>
    <row r="9" spans="1:19" s="202" customFormat="1" ht="16" customHeight="1" x14ac:dyDescent="0.35">
      <c r="A9" s="202" t="s">
        <v>153</v>
      </c>
      <c r="B9" s="250">
        <v>1450</v>
      </c>
      <c r="C9" s="202">
        <f>B9*F9</f>
        <v>3313197374.5173678</v>
      </c>
      <c r="D9" s="202">
        <f>'[2]GAP analysis Sc. 1'!$C$113</f>
        <v>2.0192905594453272</v>
      </c>
      <c r="E9" s="202">
        <f>'[1]Conversion factors selected IV '!$O$4</f>
        <v>1.1315675675675676</v>
      </c>
      <c r="F9" s="202">
        <f>D9*E9*1000000</f>
        <v>2284963.7065637019</v>
      </c>
      <c r="G9" s="202">
        <f>'LCoP 2040 medium-high'!E2</f>
        <v>1283.25</v>
      </c>
      <c r="H9" s="202">
        <f>G9*F9</f>
        <v>2932179676.4478703</v>
      </c>
      <c r="I9" s="209">
        <f>'LCoP 2040 medium-high'!H2</f>
        <v>0.77927138125852324</v>
      </c>
      <c r="L9" s="202">
        <f>I9*H9</f>
        <v>2284963706.5637016</v>
      </c>
      <c r="M9" s="209">
        <f>'LCoP 2040 medium-high'!F2</f>
        <v>6.4679524644457434E-2</v>
      </c>
      <c r="O9" s="202">
        <f>M9*H9</f>
        <v>189651987.64478725</v>
      </c>
      <c r="P9" s="209">
        <f>'LCoP 2040 medium-high'!G2</f>
        <v>0.15604909409701928</v>
      </c>
      <c r="R9" s="202">
        <f>P9*H9</f>
        <v>457563982.23938125</v>
      </c>
      <c r="S9" s="202">
        <f>L9+O9+R9</f>
        <v>2932179676.4478703</v>
      </c>
    </row>
    <row r="10" spans="1:19" x14ac:dyDescent="0.35">
      <c r="C10">
        <f>C9/$C$8</f>
        <v>0.67667481186366507</v>
      </c>
      <c r="D10" s="31"/>
      <c r="E10" s="31"/>
      <c r="F10" s="31"/>
      <c r="G10" s="2"/>
      <c r="H10" s="205" t="s">
        <v>252</v>
      </c>
      <c r="I10" s="102" t="s">
        <v>265</v>
      </c>
      <c r="J10" s="150" t="s">
        <v>178</v>
      </c>
      <c r="K10" s="102">
        <f>'Feedstock MIX per IVC'!L4</f>
        <v>1000</v>
      </c>
      <c r="L10" s="102">
        <f>K10*F9</f>
        <v>2284963706.5637016</v>
      </c>
      <c r="M10" s="5" t="s">
        <v>211</v>
      </c>
      <c r="N10" s="118">
        <v>0.05</v>
      </c>
      <c r="O10" s="117">
        <f t="shared" ref="O10:O15" si="0">N10*O$9</f>
        <v>9482599.3822393622</v>
      </c>
      <c r="P10" s="18" t="s">
        <v>217</v>
      </c>
      <c r="Q10" s="118">
        <v>0.35</v>
      </c>
      <c r="R10" s="102">
        <f>Q10*R$9</f>
        <v>160147393.78378344</v>
      </c>
      <c r="S10" s="18"/>
    </row>
    <row r="11" spans="1:19" x14ac:dyDescent="0.35">
      <c r="D11" s="31"/>
      <c r="E11" s="31"/>
      <c r="F11" s="31"/>
      <c r="G11" s="2"/>
      <c r="H11" s="24"/>
      <c r="I11" s="102"/>
      <c r="J11" s="107"/>
      <c r="K11" s="102"/>
      <c r="L11" s="102"/>
      <c r="M11" t="s">
        <v>212</v>
      </c>
      <c r="N11" s="118">
        <v>0.02</v>
      </c>
      <c r="O11" s="117">
        <f t="shared" si="0"/>
        <v>3793039.752895745</v>
      </c>
      <c r="P11" s="18" t="s">
        <v>177</v>
      </c>
      <c r="Q11" s="118">
        <v>0.25</v>
      </c>
      <c r="R11" s="102">
        <f>Q11*R$9</f>
        <v>114390995.55984531</v>
      </c>
      <c r="S11" s="18"/>
    </row>
    <row r="12" spans="1:19" x14ac:dyDescent="0.35">
      <c r="D12" s="31"/>
      <c r="E12" s="31"/>
      <c r="F12" s="31"/>
      <c r="G12" s="2"/>
      <c r="H12" s="24"/>
      <c r="I12" s="102"/>
      <c r="J12" s="107"/>
      <c r="K12" s="102"/>
      <c r="L12" s="102"/>
      <c r="M12" s="5" t="s">
        <v>210</v>
      </c>
      <c r="N12" s="118">
        <v>0.45</v>
      </c>
      <c r="O12" s="117">
        <f t="shared" si="0"/>
        <v>85343394.440154269</v>
      </c>
      <c r="P12" s="18" t="s">
        <v>218</v>
      </c>
      <c r="Q12" s="118">
        <v>0.2</v>
      </c>
      <c r="R12" s="102">
        <f>Q12*R$9</f>
        <v>91512796.44787626</v>
      </c>
      <c r="S12" s="18"/>
    </row>
    <row r="13" spans="1:19" x14ac:dyDescent="0.35">
      <c r="D13" s="31"/>
      <c r="E13" s="31"/>
      <c r="F13" s="31"/>
      <c r="G13" s="2"/>
      <c r="H13" s="24"/>
      <c r="I13" s="102"/>
      <c r="J13" s="107"/>
      <c r="K13" s="102"/>
      <c r="L13" s="102"/>
      <c r="M13" t="s">
        <v>213</v>
      </c>
      <c r="N13" s="118">
        <v>0.15</v>
      </c>
      <c r="O13" s="117">
        <f t="shared" si="0"/>
        <v>28447798.146718089</v>
      </c>
      <c r="P13" s="18" t="s">
        <v>219</v>
      </c>
      <c r="Q13" s="118">
        <v>0.15</v>
      </c>
      <c r="R13" s="102">
        <f>Q13*R$9</f>
        <v>68634597.335907191</v>
      </c>
      <c r="S13" s="102"/>
    </row>
    <row r="14" spans="1:19" x14ac:dyDescent="0.35">
      <c r="D14" s="31"/>
      <c r="E14" s="31"/>
      <c r="F14" s="31"/>
      <c r="G14" s="2"/>
      <c r="H14" s="24"/>
      <c r="I14" s="102"/>
      <c r="J14" s="107"/>
      <c r="K14" s="102"/>
      <c r="L14" s="102"/>
      <c r="M14" t="s">
        <v>214</v>
      </c>
      <c r="N14" s="118">
        <v>0.3</v>
      </c>
      <c r="O14" s="117">
        <f t="shared" si="0"/>
        <v>56895596.293436177</v>
      </c>
      <c r="P14" s="18" t="s">
        <v>220</v>
      </c>
      <c r="Q14" s="118">
        <v>0.05</v>
      </c>
      <c r="R14" s="102">
        <f>Q14*R$9</f>
        <v>22878199.111969065</v>
      </c>
      <c r="S14" s="18"/>
    </row>
    <row r="15" spans="1:19" x14ac:dyDescent="0.35">
      <c r="D15" s="31"/>
      <c r="E15" s="31"/>
      <c r="F15" s="31"/>
      <c r="G15" s="2"/>
      <c r="H15" s="24"/>
      <c r="I15" s="102"/>
      <c r="J15" s="107"/>
      <c r="K15" s="102"/>
      <c r="L15" s="102"/>
      <c r="M15" t="s">
        <v>216</v>
      </c>
      <c r="N15" s="118">
        <v>0.03</v>
      </c>
      <c r="O15" s="117">
        <f t="shared" si="0"/>
        <v>5689559.6293436177</v>
      </c>
      <c r="P15" s="18"/>
      <c r="Q15" s="102"/>
      <c r="R15" s="102"/>
      <c r="S15" s="18"/>
    </row>
    <row r="16" spans="1:19" s="201" customFormat="1" x14ac:dyDescent="0.35">
      <c r="A16" s="201" t="s">
        <v>294</v>
      </c>
      <c r="B16" s="201">
        <v>1750</v>
      </c>
      <c r="C16" s="202">
        <f>B16*F16</f>
        <v>1375000000.000001</v>
      </c>
      <c r="D16" s="203">
        <f>'[2]GAP analysis Sc. 1'!$C$114</f>
        <v>0.82572438548362936</v>
      </c>
      <c r="E16" s="208">
        <f>'[1]Conversion factors selected IV '!$O$7</f>
        <v>0.95154545454545458</v>
      </c>
      <c r="F16" s="202">
        <f>D16*E16*1000000</f>
        <v>785714.28571428626</v>
      </c>
      <c r="G16" s="208">
        <f>'LCoP 2030 MEDIUM'!E23</f>
        <v>1572.75</v>
      </c>
      <c r="H16" s="202">
        <f>G16*F16</f>
        <v>1235732142.8571436</v>
      </c>
      <c r="I16" s="208">
        <f>'LCoP 2030 MEDIUM'!H23</f>
        <v>0.63582896200921957</v>
      </c>
      <c r="L16" s="202">
        <f>I16*H16</f>
        <v>785714285.71428633</v>
      </c>
      <c r="M16" s="208">
        <f>'LCoP 2030 MEDIUM'!F23</f>
        <v>0.17103799078048004</v>
      </c>
      <c r="O16" s="202">
        <f>M16*H16</f>
        <v>211357142.85714298</v>
      </c>
      <c r="P16" s="208">
        <f>'LCoP 2030 MEDIUM'!G23</f>
        <v>0.19313304721030042</v>
      </c>
      <c r="R16" s="202">
        <f>P16*H16</f>
        <v>238660714.28571442</v>
      </c>
      <c r="S16" s="202">
        <f>L16+O16+R16</f>
        <v>1235732142.8571436</v>
      </c>
    </row>
    <row r="17" spans="1:19" x14ac:dyDescent="0.35">
      <c r="C17">
        <f>C16/$C$8</f>
        <v>0.28082476265033113</v>
      </c>
      <c r="F17" s="31"/>
      <c r="H17" s="205" t="s">
        <v>252</v>
      </c>
      <c r="I17" s="102" t="s">
        <v>265</v>
      </c>
      <c r="J17" s="150" t="s">
        <v>178</v>
      </c>
      <c r="K17" s="102">
        <f>'Feedstock MIX per IVC'!L4</f>
        <v>1000</v>
      </c>
      <c r="L17" s="2">
        <f>K17*F16</f>
        <v>785714285.71428621</v>
      </c>
      <c r="M17" s="5" t="s">
        <v>211</v>
      </c>
      <c r="N17" s="118">
        <v>0.05</v>
      </c>
      <c r="O17" s="2">
        <f t="shared" ref="O17:O22" si="1">N17*O$16</f>
        <v>10567857.142857149</v>
      </c>
      <c r="P17" s="18" t="s">
        <v>217</v>
      </c>
      <c r="Q17" s="118">
        <v>0.35</v>
      </c>
      <c r="R17" s="102">
        <f>Q17*R$16</f>
        <v>83531250.000000045</v>
      </c>
    </row>
    <row r="18" spans="1:19" x14ac:dyDescent="0.35">
      <c r="F18" s="31"/>
      <c r="I18" s="216"/>
      <c r="J18" s="151"/>
      <c r="K18" s="6"/>
      <c r="L18" s="2"/>
      <c r="M18" t="s">
        <v>212</v>
      </c>
      <c r="N18" s="118">
        <v>0.02</v>
      </c>
      <c r="O18" s="2">
        <f t="shared" si="1"/>
        <v>4227142.8571428601</v>
      </c>
      <c r="P18" s="18" t="s">
        <v>177</v>
      </c>
      <c r="Q18" s="118">
        <v>0.25</v>
      </c>
      <c r="R18" s="102">
        <f>Q18*R$16</f>
        <v>59665178.571428604</v>
      </c>
    </row>
    <row r="19" spans="1:19" x14ac:dyDescent="0.35">
      <c r="F19" s="31"/>
      <c r="I19" s="217"/>
      <c r="J19" s="240"/>
      <c r="K19" s="6"/>
      <c r="L19" s="2"/>
      <c r="M19" s="5" t="s">
        <v>210</v>
      </c>
      <c r="N19" s="118">
        <v>0.45</v>
      </c>
      <c r="O19" s="2">
        <f t="shared" si="1"/>
        <v>95110714.285714343</v>
      </c>
      <c r="P19" s="18" t="s">
        <v>218</v>
      </c>
      <c r="Q19" s="118">
        <v>0.2</v>
      </c>
      <c r="R19" s="102">
        <f>Q19*R$16</f>
        <v>47732142.857142888</v>
      </c>
      <c r="S19" s="2"/>
    </row>
    <row r="20" spans="1:19" x14ac:dyDescent="0.35">
      <c r="F20" s="31"/>
      <c r="L20" s="2"/>
      <c r="M20" t="s">
        <v>213</v>
      </c>
      <c r="N20" s="118">
        <v>0.15</v>
      </c>
      <c r="O20" s="2">
        <f t="shared" si="1"/>
        <v>31703571.428571448</v>
      </c>
      <c r="P20" s="18" t="s">
        <v>219</v>
      </c>
      <c r="Q20" s="118">
        <v>0.15</v>
      </c>
      <c r="R20" s="102">
        <f>Q20*R$16</f>
        <v>35799107.142857164</v>
      </c>
    </row>
    <row r="21" spans="1:19" x14ac:dyDescent="0.35">
      <c r="F21" s="31"/>
      <c r="M21" t="s">
        <v>214</v>
      </c>
      <c r="N21" s="118">
        <v>0.3</v>
      </c>
      <c r="O21" s="2">
        <f t="shared" si="1"/>
        <v>63407142.857142895</v>
      </c>
      <c r="P21" s="18" t="s">
        <v>220</v>
      </c>
      <c r="Q21" s="118">
        <v>0.05</v>
      </c>
      <c r="R21" s="102">
        <f>Q21*R$16</f>
        <v>11933035.714285722</v>
      </c>
    </row>
    <row r="22" spans="1:19" x14ac:dyDescent="0.35">
      <c r="F22" s="31"/>
      <c r="M22" t="s">
        <v>216</v>
      </c>
      <c r="N22" s="118">
        <v>0.03</v>
      </c>
      <c r="O22" s="2">
        <f t="shared" si="1"/>
        <v>6340714.2857142892</v>
      </c>
      <c r="P22" s="18"/>
      <c r="Q22" s="118"/>
      <c r="R22" s="102"/>
    </row>
    <row r="23" spans="1:19" s="201" customFormat="1" x14ac:dyDescent="0.35">
      <c r="A23" s="201" t="s">
        <v>295</v>
      </c>
      <c r="B23" s="201">
        <v>1750</v>
      </c>
      <c r="C23" s="202">
        <f>B23*F23</f>
        <v>208094487.43670571</v>
      </c>
      <c r="D23" s="203">
        <f>'[2]GAP analysis Sc. 1'!$C$115</f>
        <v>0.11891113567811754</v>
      </c>
      <c r="E23" s="201">
        <f>'[1]Conversion factors selected IV '!$O$89</f>
        <v>1</v>
      </c>
      <c r="F23" s="202">
        <f>D23*E23*1000000</f>
        <v>118911.13567811754</v>
      </c>
      <c r="G23" s="208">
        <f>'LCoP 2040 medium-high'!E19</f>
        <v>1471.2444451555543</v>
      </c>
      <c r="H23" s="203">
        <f>G23*F23</f>
        <v>174947347.83356887</v>
      </c>
      <c r="I23" s="208">
        <f>'LCoP 2040 medium-high'!H19</f>
        <v>0.15615654211103142</v>
      </c>
      <c r="L23" s="202">
        <f>I23*H23</f>
        <v>27319172.889185958</v>
      </c>
      <c r="M23" s="208">
        <f>'LCoP 2040 medium-high'!F19</f>
        <v>0.54715584663763173</v>
      </c>
      <c r="O23" s="202">
        <f>M23*H23</f>
        <v>95723464.220884621</v>
      </c>
      <c r="P23" s="208">
        <f>'LCoP 2040 medium-high'!G19</f>
        <v>0.29668761125133691</v>
      </c>
      <c r="R23" s="202">
        <f>P23*H23</f>
        <v>51904710.7234983</v>
      </c>
      <c r="S23" s="202">
        <f>L23+O23+R23</f>
        <v>174947347.83356887</v>
      </c>
    </row>
    <row r="24" spans="1:19" x14ac:dyDescent="0.35">
      <c r="C24">
        <f>C23/$C$8</f>
        <v>4.2500425486003746E-2</v>
      </c>
      <c r="D24" s="2"/>
      <c r="F24" s="147" t="s">
        <v>179</v>
      </c>
      <c r="G24" s="6">
        <f>SUMIF($J$24:$J$31,F24,$L$24:$L$31)/$L$23</f>
        <v>0.63106226223799333</v>
      </c>
      <c r="H24" s="192" t="s">
        <v>254</v>
      </c>
      <c r="I24" s="12" t="s">
        <v>4</v>
      </c>
      <c r="J24" s="147" t="s">
        <v>179</v>
      </c>
      <c r="K24" s="6">
        <f>'Feedstock MIX per IVC'!L84</f>
        <v>112.41898411880445</v>
      </c>
      <c r="L24" s="2">
        <f t="shared" ref="L24:L31" si="2">K24*F$23</f>
        <v>13367869.073347297</v>
      </c>
      <c r="M24" s="5" t="s">
        <v>211</v>
      </c>
      <c r="N24" s="167">
        <v>0.15</v>
      </c>
      <c r="O24" s="2">
        <f t="shared" ref="O24:O29" si="3">N24*O$23</f>
        <v>14358519.633132692</v>
      </c>
      <c r="P24" s="18" t="s">
        <v>217</v>
      </c>
      <c r="Q24" s="118">
        <v>0.15</v>
      </c>
      <c r="R24" s="2">
        <f>Q24*R$23</f>
        <v>7785706.6085247444</v>
      </c>
    </row>
    <row r="25" spans="1:19" x14ac:dyDescent="0.35">
      <c r="D25" s="2"/>
      <c r="F25" s="171" t="s">
        <v>222</v>
      </c>
      <c r="G25" s="6">
        <f t="shared" ref="G25:G28" si="4">SUMIF($J$24:$J$31,F25,$L$24:$L$31)/$L$23</f>
        <v>0.16734824894329273</v>
      </c>
      <c r="H25" s="192" t="s">
        <v>254</v>
      </c>
      <c r="I25" s="12" t="s">
        <v>5</v>
      </c>
      <c r="J25" s="147" t="s">
        <v>179</v>
      </c>
      <c r="K25" s="6">
        <f>'Feedstock MIX per IVC'!L85</f>
        <v>5.4499648131295366</v>
      </c>
      <c r="L25" s="2">
        <f t="shared" si="2"/>
        <v>648061.5053350128</v>
      </c>
      <c r="M25" t="s">
        <v>212</v>
      </c>
      <c r="N25" s="34">
        <v>0.02</v>
      </c>
      <c r="O25" s="2">
        <f t="shared" si="3"/>
        <v>1914469.2844176926</v>
      </c>
      <c r="P25" s="18" t="s">
        <v>177</v>
      </c>
      <c r="Q25" s="118">
        <v>0.25</v>
      </c>
      <c r="R25" s="2">
        <f>Q25*R$23</f>
        <v>12976177.680874575</v>
      </c>
    </row>
    <row r="26" spans="1:19" x14ac:dyDescent="0.35">
      <c r="D26" s="2"/>
      <c r="F26" s="149" t="s">
        <v>176</v>
      </c>
      <c r="G26" s="6">
        <f t="shared" si="4"/>
        <v>0.16653090970826376</v>
      </c>
      <c r="H26" s="192" t="s">
        <v>254</v>
      </c>
      <c r="I26" s="12" t="s">
        <v>6</v>
      </c>
      <c r="J26" s="150" t="s">
        <v>178</v>
      </c>
      <c r="K26" s="6">
        <f>'Feedstock MIX per IVC'!L86</f>
        <v>2.5589290935002591</v>
      </c>
      <c r="L26" s="2">
        <f t="shared" si="2"/>
        <v>304285.16462789162</v>
      </c>
      <c r="M26" s="5" t="s">
        <v>210</v>
      </c>
      <c r="N26" s="167">
        <v>0.45</v>
      </c>
      <c r="O26" s="2">
        <f t="shared" si="3"/>
        <v>43075558.899398081</v>
      </c>
      <c r="P26" s="18" t="s">
        <v>218</v>
      </c>
      <c r="Q26" s="118">
        <v>0.2</v>
      </c>
      <c r="R26" s="2">
        <f>Q26*R$23</f>
        <v>10380942.144699661</v>
      </c>
    </row>
    <row r="27" spans="1:19" x14ac:dyDescent="0.35">
      <c r="D27" s="2"/>
      <c r="F27" s="150" t="s">
        <v>178</v>
      </c>
      <c r="G27" s="6">
        <f t="shared" si="4"/>
        <v>1.1138154360022374E-2</v>
      </c>
      <c r="H27" s="192" t="s">
        <v>254</v>
      </c>
      <c r="I27" s="12" t="s">
        <v>7</v>
      </c>
      <c r="J27" s="147" t="s">
        <v>179</v>
      </c>
      <c r="K27" s="6">
        <f>'Feedstock MIX per IVC'!L87</f>
        <v>22.120308773376749</v>
      </c>
      <c r="L27" s="2">
        <f t="shared" si="2"/>
        <v>2630351.0377928563</v>
      </c>
      <c r="M27" t="s">
        <v>213</v>
      </c>
      <c r="N27" s="34">
        <v>0.1</v>
      </c>
      <c r="O27" s="2">
        <f t="shared" si="3"/>
        <v>9572346.4220884629</v>
      </c>
      <c r="P27" s="18" t="s">
        <v>219</v>
      </c>
      <c r="Q27" s="118">
        <v>0.3</v>
      </c>
      <c r="R27" s="2">
        <f>Q27*R$23</f>
        <v>15571413.217049489</v>
      </c>
      <c r="S27" s="2"/>
    </row>
    <row r="28" spans="1:19" x14ac:dyDescent="0.35">
      <c r="D28" s="2"/>
      <c r="F28" s="152" t="s">
        <v>180</v>
      </c>
      <c r="G28" s="6">
        <f t="shared" si="4"/>
        <v>2.3920424750427809E-2</v>
      </c>
      <c r="H28" s="192" t="s">
        <v>254</v>
      </c>
      <c r="I28" s="12" t="s">
        <v>8</v>
      </c>
      <c r="J28" s="147" t="s">
        <v>179</v>
      </c>
      <c r="K28" s="6">
        <f>'Feedstock MIX per IVC'!L88</f>
        <v>4.9937915911659898</v>
      </c>
      <c r="L28" s="2">
        <f t="shared" si="2"/>
        <v>593817.42944538151</v>
      </c>
      <c r="M28" t="s">
        <v>214</v>
      </c>
      <c r="N28" s="34">
        <v>0.25</v>
      </c>
      <c r="O28" s="2">
        <f t="shared" si="3"/>
        <v>23930866.055221155</v>
      </c>
      <c r="P28" s="18" t="s">
        <v>220</v>
      </c>
      <c r="Q28" s="118">
        <v>0.1</v>
      </c>
      <c r="R28" s="2">
        <f>Q28*R$23</f>
        <v>5190471.0723498305</v>
      </c>
    </row>
    <row r="29" spans="1:19" x14ac:dyDescent="0.35">
      <c r="D29" s="2"/>
      <c r="F29" s="31"/>
      <c r="G29" s="6">
        <f>SUM(G24:G28)</f>
        <v>1</v>
      </c>
      <c r="H29" s="192" t="s">
        <v>254</v>
      </c>
      <c r="I29" s="12" t="s">
        <v>9</v>
      </c>
      <c r="J29" s="171" t="s">
        <v>222</v>
      </c>
      <c r="K29" s="6">
        <f>'Feedstock MIX per IVC'!L89</f>
        <v>38.447330601230377</v>
      </c>
      <c r="L29" s="2">
        <f t="shared" si="2"/>
        <v>4571815.7455843454</v>
      </c>
      <c r="M29" t="s">
        <v>216</v>
      </c>
      <c r="N29" s="34">
        <v>0.03</v>
      </c>
      <c r="O29" s="2">
        <f t="shared" si="3"/>
        <v>2871703.9266265384</v>
      </c>
      <c r="P29" s="18"/>
      <c r="Q29" s="118">
        <f>SUM(Q24:Q28)</f>
        <v>1.0000000000000002</v>
      </c>
      <c r="R29" s="2"/>
    </row>
    <row r="30" spans="1:19" x14ac:dyDescent="0.35">
      <c r="D30" s="2"/>
      <c r="F30" s="31"/>
      <c r="G30" s="6"/>
      <c r="H30" s="192" t="s">
        <v>254</v>
      </c>
      <c r="I30" s="12" t="s">
        <v>10</v>
      </c>
      <c r="J30" s="149" t="s">
        <v>176</v>
      </c>
      <c r="K30" s="6">
        <f>'Feedstock MIX per IVC'!L90</f>
        <v>38.259551452174776</v>
      </c>
      <c r="L30" s="2">
        <f t="shared" si="2"/>
        <v>4549486.7137134736</v>
      </c>
    </row>
    <row r="31" spans="1:19" x14ac:dyDescent="0.35">
      <c r="D31" s="2"/>
      <c r="F31" s="31"/>
      <c r="G31" s="6"/>
      <c r="H31" s="192" t="s">
        <v>254</v>
      </c>
      <c r="I31" s="12" t="s">
        <v>11</v>
      </c>
      <c r="J31" s="152" t="s">
        <v>180</v>
      </c>
      <c r="K31" s="6">
        <f>'Feedstock MIX per IVC'!L91</f>
        <v>5.495584712172227</v>
      </c>
      <c r="L31" s="2">
        <f t="shared" si="2"/>
        <v>653486.21933970018</v>
      </c>
      <c r="M31" s="2"/>
    </row>
    <row r="32" spans="1:19" x14ac:dyDescent="0.35">
      <c r="D32" s="6"/>
      <c r="E32" s="6"/>
      <c r="F32" s="31"/>
      <c r="G32" s="6"/>
      <c r="H32" s="6"/>
      <c r="I32" s="6"/>
      <c r="J32" s="6"/>
      <c r="K32" s="6"/>
      <c r="L32" s="2"/>
    </row>
    <row r="33" spans="1:19" s="91" customFormat="1" ht="41" customHeight="1" x14ac:dyDescent="0.35">
      <c r="A33" s="91" t="s">
        <v>78</v>
      </c>
      <c r="F33" s="169"/>
    </row>
    <row r="34" spans="1:19" ht="17.5" customHeight="1" x14ac:dyDescent="0.35">
      <c r="C34" s="2">
        <f>C35+C42+C49+C58</f>
        <v>1263933076.9892387</v>
      </c>
      <c r="D34" s="2">
        <f>D35+D42+D49+D58</f>
        <v>0.80553723974488423</v>
      </c>
      <c r="F34" s="2">
        <f>F35+F42+F49+F58</f>
        <v>1171421.6635674643</v>
      </c>
      <c r="L34" s="2">
        <f>L35+L42+L49+L58</f>
        <v>528406267.57119256</v>
      </c>
      <c r="O34" s="2">
        <f>O35+O42+O49+O58</f>
        <v>525958674.47737837</v>
      </c>
      <c r="R34" s="2">
        <f>R35+R42+R49+R58</f>
        <v>412459004.85806769</v>
      </c>
    </row>
    <row r="35" spans="1:19" s="201" customFormat="1" ht="17.5" customHeight="1" x14ac:dyDescent="0.35">
      <c r="A35" s="201" t="s">
        <v>297</v>
      </c>
      <c r="B35" s="201">
        <v>1000</v>
      </c>
      <c r="C35" s="202">
        <f>B35*F35</f>
        <v>464285714.28571516</v>
      </c>
      <c r="D35" s="203">
        <f>'[2]GAP analysis Sc. 1'!$C$117</f>
        <v>0.29941039184375434</v>
      </c>
      <c r="E35" s="210">
        <f>'[1]Conversion factors selected IV '!$O$17</f>
        <v>1.5506666666666669</v>
      </c>
      <c r="F35" s="202">
        <f>D35*E35*1000000</f>
        <v>464285.71428571513</v>
      </c>
      <c r="G35" s="208">
        <f>'LCoP 2040 medium-high'!E5</f>
        <v>1286.5815139647325</v>
      </c>
      <c r="H35" s="203">
        <f>G35*F35</f>
        <v>597341417.19791257</v>
      </c>
      <c r="I35" s="208">
        <f>'LCoP 2040 medium-high'!H5</f>
        <v>0.26782719184489856</v>
      </c>
      <c r="L35" s="202">
        <f>I35*H35</f>
        <v>159984274.34076893</v>
      </c>
      <c r="M35" s="208">
        <f>'LCoP 2040 medium-high'!F5</f>
        <v>0.43137569907227313</v>
      </c>
      <c r="O35" s="202">
        <f>M35*H35</f>
        <v>257678571.42857188</v>
      </c>
      <c r="P35" s="208">
        <f>'LCoP 2040 medium-high'!G5</f>
        <v>0.30079710908282831</v>
      </c>
      <c r="R35" s="202">
        <f>P35*H35</f>
        <v>179678571.42857176</v>
      </c>
      <c r="S35" s="203">
        <f>R35+O35+L35</f>
        <v>597341417.19791257</v>
      </c>
    </row>
    <row r="36" spans="1:19" ht="15" customHeight="1" x14ac:dyDescent="0.35">
      <c r="C36">
        <f>C35/$C$34</f>
        <v>0.36733409603589967</v>
      </c>
      <c r="F36" s="147" t="s">
        <v>179</v>
      </c>
      <c r="G36" s="6">
        <f>SUMIF($J$36:$J$39,F36,$L$36:$L$39)/$L$35</f>
        <v>0.82504810326204936</v>
      </c>
      <c r="H36" s="192" t="s">
        <v>254</v>
      </c>
      <c r="I36" s="7" t="s">
        <v>4</v>
      </c>
      <c r="J36" s="147" t="s">
        <v>179</v>
      </c>
      <c r="K36" s="6">
        <f>'Feedstock MIX per IVC'!L13</f>
        <v>231.31561128115064</v>
      </c>
      <c r="L36">
        <f>K36*F$35</f>
        <v>107396533.80910584</v>
      </c>
      <c r="M36" s="5" t="s">
        <v>211</v>
      </c>
      <c r="N36" s="34">
        <v>0</v>
      </c>
      <c r="O36" s="2">
        <f t="shared" ref="O36:O41" si="5">N36*O$35</f>
        <v>0</v>
      </c>
      <c r="P36" s="18" t="s">
        <v>217</v>
      </c>
      <c r="Q36" s="34">
        <v>0.2</v>
      </c>
      <c r="R36" s="2">
        <f>Q36*R$35</f>
        <v>35935714.285714351</v>
      </c>
    </row>
    <row r="37" spans="1:19" ht="15" customHeight="1" x14ac:dyDescent="0.35">
      <c r="F37" s="149" t="s">
        <v>176</v>
      </c>
      <c r="G37" s="6">
        <f>SUMIF($J$36:$J$39,F37,$L$36:$L$39)/$L$35</f>
        <v>0.1749518967379505</v>
      </c>
      <c r="H37" s="192" t="s">
        <v>254</v>
      </c>
      <c r="I37" s="7" t="s">
        <v>7</v>
      </c>
      <c r="J37" s="147" t="s">
        <v>179</v>
      </c>
      <c r="K37" s="6">
        <f>'Feedstock MIX per IVC'!L14</f>
        <v>43.101935669615791</v>
      </c>
      <c r="L37">
        <f>K37*F$35</f>
        <v>20011612.98946451</v>
      </c>
      <c r="M37" t="s">
        <v>212</v>
      </c>
      <c r="N37" s="34">
        <v>0.02</v>
      </c>
      <c r="O37" s="2">
        <f t="shared" si="5"/>
        <v>5153571.4285714375</v>
      </c>
      <c r="P37" s="18" t="s">
        <v>177</v>
      </c>
      <c r="Q37" s="34">
        <v>0.5</v>
      </c>
      <c r="R37" s="2">
        <f>Q37*R$35</f>
        <v>89839285.71428588</v>
      </c>
    </row>
    <row r="38" spans="1:19" ht="15" customHeight="1" x14ac:dyDescent="0.35">
      <c r="F38" s="31"/>
      <c r="H38" s="192" t="s">
        <v>254</v>
      </c>
      <c r="I38" s="7" t="s">
        <v>8</v>
      </c>
      <c r="J38" s="147" t="s">
        <v>179</v>
      </c>
      <c r="K38" s="6">
        <f>'Feedstock MIX per IVC'!L15</f>
        <v>9.8787775650014993</v>
      </c>
      <c r="L38">
        <f>K38*F$35</f>
        <v>4586575.2980364189</v>
      </c>
      <c r="M38" s="5" t="s">
        <v>210</v>
      </c>
      <c r="N38" s="34">
        <v>0.5</v>
      </c>
      <c r="O38" s="2">
        <f t="shared" si="5"/>
        <v>128839285.71428594</v>
      </c>
      <c r="P38" s="18" t="s">
        <v>218</v>
      </c>
      <c r="Q38" s="34">
        <v>0.15</v>
      </c>
      <c r="R38" s="2">
        <f>Q38*R$35</f>
        <v>26951785.714285765</v>
      </c>
    </row>
    <row r="39" spans="1:19" ht="15" customHeight="1" x14ac:dyDescent="0.35">
      <c r="F39" s="31"/>
      <c r="H39" s="192" t="s">
        <v>254</v>
      </c>
      <c r="I39" s="7" t="s">
        <v>10</v>
      </c>
      <c r="J39" s="149" t="s">
        <v>176</v>
      </c>
      <c r="K39" s="6">
        <f>'Feedstock MIX per IVC'!L16</f>
        <v>60.285189448964516</v>
      </c>
      <c r="L39">
        <f>K39*F$35</f>
        <v>27989552.24416215</v>
      </c>
      <c r="M39" t="s">
        <v>213</v>
      </c>
      <c r="N39" s="34">
        <v>0.15</v>
      </c>
      <c r="O39" s="2">
        <f t="shared" si="5"/>
        <v>38651785.714285783</v>
      </c>
      <c r="P39" s="18" t="s">
        <v>219</v>
      </c>
      <c r="Q39" s="34">
        <v>0.1</v>
      </c>
      <c r="R39" s="2">
        <f>Q39*R$35</f>
        <v>17967857.142857175</v>
      </c>
    </row>
    <row r="40" spans="1:19" ht="15" customHeight="1" x14ac:dyDescent="0.35">
      <c r="F40" s="31"/>
      <c r="M40" t="s">
        <v>214</v>
      </c>
      <c r="N40" s="34">
        <v>0.3</v>
      </c>
      <c r="O40" s="2">
        <f t="shared" si="5"/>
        <v>77303571.428571567</v>
      </c>
      <c r="P40" s="18" t="s">
        <v>220</v>
      </c>
      <c r="Q40" s="34">
        <v>0.05</v>
      </c>
      <c r="R40" s="2">
        <f>Q40*R$35</f>
        <v>8983928.5714285877</v>
      </c>
    </row>
    <row r="41" spans="1:19" ht="15" customHeight="1" x14ac:dyDescent="0.35">
      <c r="F41" s="31"/>
      <c r="M41" t="s">
        <v>216</v>
      </c>
      <c r="N41" s="34">
        <v>0.03</v>
      </c>
      <c r="O41" s="2">
        <f t="shared" si="5"/>
        <v>7730357.1428571558</v>
      </c>
      <c r="R41" s="2"/>
    </row>
    <row r="42" spans="1:19" s="201" customFormat="1" ht="17.5" customHeight="1" x14ac:dyDescent="0.35">
      <c r="A42" s="201" t="s">
        <v>303</v>
      </c>
      <c r="B42" s="201">
        <v>1000</v>
      </c>
      <c r="C42" s="202">
        <f>B42*F42</f>
        <v>566037735.84905601</v>
      </c>
      <c r="D42" s="208">
        <f>'[2]GAP analysis Sc. 1'!$C$118</f>
        <v>0.36502863446843681</v>
      </c>
      <c r="E42" s="201">
        <f>'[1]Conversion factors selected IV '!$O$86</f>
        <v>1.5506666666666669</v>
      </c>
      <c r="F42" s="202">
        <f>D42*E42*1000000</f>
        <v>566037.73584905604</v>
      </c>
      <c r="G42" s="208">
        <f>'LCoP 2040 medium-high'!E17</f>
        <v>1166.3499999999999</v>
      </c>
      <c r="H42" s="203">
        <f>G42*F42</f>
        <v>660198113.20754647</v>
      </c>
      <c r="I42" s="208">
        <f>'LCoP 2040 medium-high'!H17</f>
        <v>0.50893814035238139</v>
      </c>
      <c r="L42" s="202">
        <f>I42*H42</f>
        <v>335999999.99999964</v>
      </c>
      <c r="M42" s="208">
        <f>'LCoP 2040 medium-high'!F17</f>
        <v>0.2383504093968363</v>
      </c>
      <c r="O42" s="202">
        <f>M42*H42</f>
        <v>157358490.56603757</v>
      </c>
      <c r="P42" s="208">
        <f>'LCoP 2040 medium-high'!G17</f>
        <v>0.2527114502507824</v>
      </c>
      <c r="R42" s="202">
        <f>P42*H42</f>
        <v>166839622.64150929</v>
      </c>
      <c r="S42" s="203">
        <f>R42+O42+L42</f>
        <v>660198113.20754647</v>
      </c>
    </row>
    <row r="43" spans="1:19" ht="14.5" customHeight="1" x14ac:dyDescent="0.35">
      <c r="C43">
        <f>C42/$C$34</f>
        <v>0.4478383754283814</v>
      </c>
      <c r="D43" s="6"/>
      <c r="F43" s="31"/>
      <c r="I43" s="16" t="s">
        <v>36</v>
      </c>
      <c r="J43" s="190" t="s">
        <v>79</v>
      </c>
      <c r="K43" s="6">
        <f>'Feedstock MIX per IVC'!L80</f>
        <v>593.6</v>
      </c>
      <c r="L43" s="31">
        <f>K43*F42</f>
        <v>335999999.9999997</v>
      </c>
      <c r="M43" s="5" t="s">
        <v>211</v>
      </c>
      <c r="N43" s="34">
        <v>0</v>
      </c>
      <c r="O43" s="2">
        <f t="shared" ref="O43:O48" si="6">N43*O$42</f>
        <v>0</v>
      </c>
      <c r="P43" s="18" t="s">
        <v>217</v>
      </c>
      <c r="Q43" s="34">
        <v>0.2</v>
      </c>
      <c r="R43" s="2">
        <f>Q43*R$42</f>
        <v>33367924.528301861</v>
      </c>
    </row>
    <row r="44" spans="1:19" ht="14.5" customHeight="1" x14ac:dyDescent="0.35">
      <c r="D44" s="6"/>
      <c r="F44" s="31"/>
      <c r="M44" t="s">
        <v>212</v>
      </c>
      <c r="N44" s="34">
        <v>0.02</v>
      </c>
      <c r="O44" s="2">
        <f t="shared" si="6"/>
        <v>3147169.8113207514</v>
      </c>
      <c r="P44" s="18" t="s">
        <v>177</v>
      </c>
      <c r="Q44" s="34">
        <v>0.5</v>
      </c>
      <c r="R44" s="2">
        <f>Q44*R$42</f>
        <v>83419811.320754647</v>
      </c>
    </row>
    <row r="45" spans="1:19" ht="14.5" customHeight="1" x14ac:dyDescent="0.35">
      <c r="D45" s="6"/>
      <c r="F45" s="31"/>
      <c r="M45" s="5" t="s">
        <v>210</v>
      </c>
      <c r="N45" s="34">
        <v>0.5</v>
      </c>
      <c r="O45" s="2">
        <f t="shared" si="6"/>
        <v>78679245.283018783</v>
      </c>
      <c r="P45" s="18" t="s">
        <v>218</v>
      </c>
      <c r="Q45" s="34">
        <v>0.15</v>
      </c>
      <c r="R45" s="2">
        <f>Q45*R$42</f>
        <v>25025943.396226395</v>
      </c>
    </row>
    <row r="46" spans="1:19" ht="14.5" customHeight="1" x14ac:dyDescent="0.35">
      <c r="D46" s="6"/>
      <c r="F46" s="31"/>
      <c r="M46" t="s">
        <v>213</v>
      </c>
      <c r="N46" s="34">
        <v>0.15</v>
      </c>
      <c r="O46" s="2">
        <f t="shared" si="6"/>
        <v>23603773.584905636</v>
      </c>
      <c r="P46" s="18" t="s">
        <v>219</v>
      </c>
      <c r="Q46" s="34">
        <v>0.1</v>
      </c>
      <c r="R46" s="2">
        <f>Q46*R$42</f>
        <v>16683962.264150931</v>
      </c>
    </row>
    <row r="47" spans="1:19" ht="14.5" customHeight="1" x14ac:dyDescent="0.35">
      <c r="F47" s="31"/>
      <c r="M47" t="s">
        <v>214</v>
      </c>
      <c r="N47" s="34">
        <v>0.3</v>
      </c>
      <c r="O47" s="2">
        <f t="shared" si="6"/>
        <v>47207547.169811271</v>
      </c>
      <c r="P47" s="18" t="s">
        <v>220</v>
      </c>
      <c r="Q47" s="34">
        <v>0.05</v>
      </c>
      <c r="R47" s="2">
        <f>Q47*R$42</f>
        <v>8341981.1320754653</v>
      </c>
    </row>
    <row r="48" spans="1:19" ht="14.5" customHeight="1" x14ac:dyDescent="0.35">
      <c r="F48" s="31"/>
      <c r="M48" t="s">
        <v>216</v>
      </c>
      <c r="N48" s="34">
        <v>0.03</v>
      </c>
      <c r="O48" s="2">
        <f t="shared" si="6"/>
        <v>4720754.7169811269</v>
      </c>
    </row>
    <row r="49" spans="1:19" s="201" customFormat="1" ht="17.5" customHeight="1" x14ac:dyDescent="0.35">
      <c r="A49" s="201" t="s">
        <v>295</v>
      </c>
      <c r="B49" s="201">
        <v>1750</v>
      </c>
      <c r="C49" s="202">
        <f>B49*F49</f>
        <v>208094487.43670571</v>
      </c>
      <c r="D49" s="203">
        <f>'[2]GAP analysis Sc. 1'!$C$119</f>
        <v>0.11891113567811754</v>
      </c>
      <c r="E49" s="201">
        <f>'[1]Conversion factors selected IV '!$O$89</f>
        <v>1</v>
      </c>
      <c r="F49" s="202">
        <f>D49*E49*1000000</f>
        <v>118911.13567811754</v>
      </c>
      <c r="G49" s="208">
        <f>'LCoP 2040 medium-high'!E19</f>
        <v>1471.2444451555543</v>
      </c>
      <c r="H49" s="203">
        <f>G49*F49</f>
        <v>174947347.83356887</v>
      </c>
      <c r="I49" s="208">
        <f>'LCoP 2040 medium-high'!H19</f>
        <v>0.15615654211103142</v>
      </c>
      <c r="L49" s="202">
        <f>I49*H49</f>
        <v>27319172.889185958</v>
      </c>
      <c r="M49" s="208">
        <f>'LCoP 2040 medium-high'!F19</f>
        <v>0.54715584663763173</v>
      </c>
      <c r="O49" s="202">
        <f>M49*H49</f>
        <v>95723464.220884621</v>
      </c>
      <c r="P49" s="208">
        <f>'LCoP 2040 medium-high'!G19</f>
        <v>0.29668761125133691</v>
      </c>
      <c r="R49" s="202">
        <f>P49*H49</f>
        <v>51904710.7234983</v>
      </c>
      <c r="S49" s="203">
        <f>R49+O49+L49</f>
        <v>174947347.83356887</v>
      </c>
    </row>
    <row r="50" spans="1:19" ht="17.5" customHeight="1" x14ac:dyDescent="0.35">
      <c r="C50">
        <f>C49/$C$34</f>
        <v>0.16464043170101914</v>
      </c>
      <c r="F50" s="147" t="s">
        <v>179</v>
      </c>
      <c r="G50" s="6">
        <f>SUMIF($J$50:$J$57,F50,$L$50:$L$57)/$L$49</f>
        <v>0.63106226223799333</v>
      </c>
      <c r="H50" s="192" t="s">
        <v>254</v>
      </c>
      <c r="I50" s="5" t="s">
        <v>4</v>
      </c>
      <c r="J50" s="147" t="s">
        <v>179</v>
      </c>
      <c r="K50" s="6">
        <f>'Feedstock MIX per IVC'!L84</f>
        <v>112.41898411880445</v>
      </c>
      <c r="L50">
        <f t="shared" ref="L50:L57" si="7">K50*F$49</f>
        <v>13367869.073347297</v>
      </c>
      <c r="M50" s="5" t="s">
        <v>211</v>
      </c>
      <c r="N50" s="167">
        <v>0.15</v>
      </c>
      <c r="O50" s="2">
        <f t="shared" ref="O50:O55" si="8">N50*O$49</f>
        <v>14358519.633132692</v>
      </c>
      <c r="P50" s="18" t="s">
        <v>217</v>
      </c>
      <c r="Q50" s="118">
        <v>0.15</v>
      </c>
      <c r="R50" s="2">
        <f>Q50*R$49</f>
        <v>7785706.6085247444</v>
      </c>
    </row>
    <row r="51" spans="1:19" ht="17.5" customHeight="1" x14ac:dyDescent="0.35">
      <c r="F51" s="171" t="s">
        <v>222</v>
      </c>
      <c r="G51" s="6">
        <f t="shared" ref="G51:G55" si="9">SUMIF($J$50:$J$57,F51,$L$50:$L$57)/$L$49</f>
        <v>0.16734824894329273</v>
      </c>
      <c r="H51" s="192" t="s">
        <v>254</v>
      </c>
      <c r="I51" s="5" t="s">
        <v>5</v>
      </c>
      <c r="J51" s="147" t="s">
        <v>179</v>
      </c>
      <c r="K51" s="6">
        <f>'Feedstock MIX per IVC'!L85</f>
        <v>5.4499648131295366</v>
      </c>
      <c r="L51">
        <f t="shared" si="7"/>
        <v>648061.5053350128</v>
      </c>
      <c r="M51" t="s">
        <v>212</v>
      </c>
      <c r="N51" s="34">
        <v>0.02</v>
      </c>
      <c r="O51" s="2">
        <f t="shared" si="8"/>
        <v>1914469.2844176926</v>
      </c>
      <c r="P51" s="18" t="s">
        <v>177</v>
      </c>
      <c r="Q51" s="118">
        <v>0.25</v>
      </c>
      <c r="R51" s="2">
        <f>Q51*R$49</f>
        <v>12976177.680874575</v>
      </c>
    </row>
    <row r="52" spans="1:19" ht="17.5" customHeight="1" x14ac:dyDescent="0.35">
      <c r="F52" s="149" t="s">
        <v>176</v>
      </c>
      <c r="G52" s="6">
        <f t="shared" si="9"/>
        <v>0.16653090970826376</v>
      </c>
      <c r="H52" s="192" t="s">
        <v>254</v>
      </c>
      <c r="I52" s="5" t="s">
        <v>6</v>
      </c>
      <c r="J52" s="150" t="s">
        <v>178</v>
      </c>
      <c r="K52" s="6">
        <f>'Feedstock MIX per IVC'!L86</f>
        <v>2.5589290935002591</v>
      </c>
      <c r="L52">
        <f t="shared" si="7"/>
        <v>304285.16462789162</v>
      </c>
      <c r="M52" s="5" t="s">
        <v>210</v>
      </c>
      <c r="N52" s="167">
        <v>0.45</v>
      </c>
      <c r="O52" s="2">
        <f t="shared" si="8"/>
        <v>43075558.899398081</v>
      </c>
      <c r="P52" s="18" t="s">
        <v>218</v>
      </c>
      <c r="Q52" s="118">
        <v>0.2</v>
      </c>
      <c r="R52" s="2">
        <f>Q52*R$49</f>
        <v>10380942.144699661</v>
      </c>
    </row>
    <row r="53" spans="1:19" ht="17.5" customHeight="1" x14ac:dyDescent="0.35">
      <c r="F53" s="150" t="s">
        <v>178</v>
      </c>
      <c r="G53" s="6">
        <f t="shared" si="9"/>
        <v>1.1138154360022374E-2</v>
      </c>
      <c r="H53" s="192" t="s">
        <v>254</v>
      </c>
      <c r="I53" s="5" t="s">
        <v>7</v>
      </c>
      <c r="J53" s="147" t="s">
        <v>179</v>
      </c>
      <c r="K53" s="6">
        <f>'Feedstock MIX per IVC'!L87</f>
        <v>22.120308773376749</v>
      </c>
      <c r="L53">
        <f t="shared" si="7"/>
        <v>2630351.0377928563</v>
      </c>
      <c r="M53" t="s">
        <v>213</v>
      </c>
      <c r="N53" s="34">
        <v>0.1</v>
      </c>
      <c r="O53" s="2">
        <f t="shared" si="8"/>
        <v>9572346.4220884629</v>
      </c>
      <c r="P53" s="18" t="s">
        <v>219</v>
      </c>
      <c r="Q53" s="118">
        <v>0.3</v>
      </c>
      <c r="R53" s="2">
        <f>Q53*R$49</f>
        <v>15571413.217049489</v>
      </c>
    </row>
    <row r="54" spans="1:19" ht="17.5" customHeight="1" x14ac:dyDescent="0.35">
      <c r="F54" s="152" t="s">
        <v>180</v>
      </c>
      <c r="G54" s="6">
        <f t="shared" si="9"/>
        <v>2.3920424750427809E-2</v>
      </c>
      <c r="H54" s="192" t="s">
        <v>254</v>
      </c>
      <c r="I54" s="5" t="s">
        <v>8</v>
      </c>
      <c r="J54" s="147" t="s">
        <v>179</v>
      </c>
      <c r="K54" s="6">
        <f>'Feedstock MIX per IVC'!L88</f>
        <v>4.9937915911659898</v>
      </c>
      <c r="L54">
        <f t="shared" si="7"/>
        <v>593817.42944538151</v>
      </c>
      <c r="M54" t="s">
        <v>214</v>
      </c>
      <c r="N54" s="34">
        <v>0.25</v>
      </c>
      <c r="O54" s="2">
        <f t="shared" si="8"/>
        <v>23930866.055221155</v>
      </c>
      <c r="P54" s="18" t="s">
        <v>220</v>
      </c>
      <c r="Q54" s="118">
        <v>0.1</v>
      </c>
      <c r="R54" s="2">
        <f>Q54*R$49</f>
        <v>5190471.0723498305</v>
      </c>
    </row>
    <row r="55" spans="1:19" ht="17.5" customHeight="1" x14ac:dyDescent="0.35">
      <c r="F55" s="190" t="s">
        <v>79</v>
      </c>
      <c r="G55" s="6">
        <f t="shared" si="9"/>
        <v>0</v>
      </c>
      <c r="H55" s="192" t="s">
        <v>254</v>
      </c>
      <c r="I55" s="5" t="s">
        <v>9</v>
      </c>
      <c r="J55" s="171" t="s">
        <v>222</v>
      </c>
      <c r="K55" s="6">
        <f>'Feedstock MIX per IVC'!L89</f>
        <v>38.447330601230377</v>
      </c>
      <c r="L55">
        <f t="shared" si="7"/>
        <v>4571815.7455843454</v>
      </c>
      <c r="M55" t="s">
        <v>216</v>
      </c>
      <c r="N55" s="34">
        <v>0.03</v>
      </c>
      <c r="O55" s="2">
        <f t="shared" si="8"/>
        <v>2871703.9266265384</v>
      </c>
      <c r="Q55" s="34"/>
      <c r="R55" s="2"/>
    </row>
    <row r="56" spans="1:19" ht="17.5" customHeight="1" x14ac:dyDescent="0.35">
      <c r="F56" s="31"/>
      <c r="G56" s="6">
        <f>SUM(G50:G55)</f>
        <v>1</v>
      </c>
      <c r="H56" s="192" t="s">
        <v>254</v>
      </c>
      <c r="I56" s="5" t="s">
        <v>10</v>
      </c>
      <c r="J56" s="149" t="s">
        <v>176</v>
      </c>
      <c r="K56" s="6">
        <f>'Feedstock MIX per IVC'!L90</f>
        <v>38.259551452174776</v>
      </c>
      <c r="L56">
        <f t="shared" si="7"/>
        <v>4549486.7137134736</v>
      </c>
      <c r="O56" s="2"/>
    </row>
    <row r="57" spans="1:19" ht="17.5" customHeight="1" x14ac:dyDescent="0.35">
      <c r="F57" s="31"/>
      <c r="H57" s="192" t="s">
        <v>254</v>
      </c>
      <c r="I57" s="5" t="s">
        <v>11</v>
      </c>
      <c r="J57" s="152" t="s">
        <v>180</v>
      </c>
      <c r="K57" s="6">
        <f>'Feedstock MIX per IVC'!L91</f>
        <v>5.495584712172227</v>
      </c>
      <c r="L57">
        <f t="shared" si="7"/>
        <v>653486.21933970018</v>
      </c>
    </row>
    <row r="58" spans="1:19" s="201" customFormat="1" x14ac:dyDescent="0.35">
      <c r="A58" s="201" t="s">
        <v>298</v>
      </c>
      <c r="B58" s="201">
        <v>1150</v>
      </c>
      <c r="C58" s="202">
        <f>B58*F58</f>
        <v>25515139.417761922</v>
      </c>
      <c r="D58" s="208">
        <f>'[2]GAP analysis Sc. 1'!$C$120</f>
        <v>2.2187077754575586E-2</v>
      </c>
      <c r="E58" s="208">
        <f>'[1]Conversion factors selected IV '!$O$125</f>
        <v>1</v>
      </c>
      <c r="F58" s="202">
        <f>D58*E58*1000000</f>
        <v>22187.077754575585</v>
      </c>
      <c r="G58" s="208">
        <f>'LCoP 2040 medium-high'!E21</f>
        <v>1547.615645802181</v>
      </c>
      <c r="H58" s="203">
        <f>G58*F58</f>
        <v>34337068.667610697</v>
      </c>
      <c r="I58" s="208">
        <f>'LCoP 2040 medium-high'!H21</f>
        <v>0.14860966702295728</v>
      </c>
      <c r="L58" s="202">
        <f>I58*H58</f>
        <v>5102820.3412380451</v>
      </c>
      <c r="M58" s="208">
        <f>'LCoP 2040 medium-high'!F21</f>
        <v>0.44261635752909539</v>
      </c>
      <c r="O58" s="202">
        <f>M58*H58</f>
        <v>15198148.261884276</v>
      </c>
      <c r="P58" s="208">
        <f>'LCoP 2040 medium-high'!G21</f>
        <v>0.40877397544794741</v>
      </c>
      <c r="R58" s="202">
        <f>P58*H58</f>
        <v>14036100.064488379</v>
      </c>
      <c r="S58" s="202">
        <f>L58+O58+R58</f>
        <v>34337068.667610697</v>
      </c>
    </row>
    <row r="59" spans="1:19" x14ac:dyDescent="0.35">
      <c r="C59">
        <f>C58/$C$34</f>
        <v>2.0187096834699866E-2</v>
      </c>
      <c r="D59" s="6"/>
      <c r="E59" s="6"/>
      <c r="F59" s="147" t="s">
        <v>179</v>
      </c>
      <c r="G59" s="6">
        <f>SUMIF($J$59:$J$66,F59,$L$59:$L$66)/$L$58</f>
        <v>0.6354540048745897</v>
      </c>
      <c r="H59" s="192" t="s">
        <v>254</v>
      </c>
      <c r="I59" s="5" t="s">
        <v>4</v>
      </c>
      <c r="J59" s="147" t="s">
        <v>179</v>
      </c>
      <c r="K59" s="6">
        <f>'Feedstock MIX per IVC'!L102</f>
        <v>111.31949665291495</v>
      </c>
      <c r="L59" s="2">
        <f t="shared" ref="L59:L66" si="10">K59*F$58</f>
        <v>2469854.3278384404</v>
      </c>
      <c r="M59" s="5" t="s">
        <v>211</v>
      </c>
      <c r="N59" s="167">
        <v>0.15</v>
      </c>
      <c r="O59" s="2">
        <f t="shared" ref="O59:O64" si="11">N59*O$58</f>
        <v>2279722.2392826411</v>
      </c>
      <c r="P59" s="18" t="s">
        <v>217</v>
      </c>
      <c r="Q59" s="118">
        <v>0.15</v>
      </c>
      <c r="R59" s="2">
        <f>Q59*R$58</f>
        <v>2105415.0096732569</v>
      </c>
    </row>
    <row r="60" spans="1:19" x14ac:dyDescent="0.35">
      <c r="D60" s="6"/>
      <c r="E60" s="6"/>
      <c r="F60" s="171" t="s">
        <v>222</v>
      </c>
      <c r="G60" s="6">
        <f t="shared" ref="G60:G64" si="12">SUMIF($J$59:$J$66,F60,$L$59:$L$66)/$L$58</f>
        <v>0.16519704702763319</v>
      </c>
      <c r="H60" s="192" t="s">
        <v>254</v>
      </c>
      <c r="I60" s="5" t="s">
        <v>5</v>
      </c>
      <c r="J60" s="147" t="s">
        <v>179</v>
      </c>
      <c r="K60" s="6">
        <f>'Feedstock MIX per IVC'!L103</f>
        <v>5.3936089496801278</v>
      </c>
      <c r="L60" s="2">
        <f t="shared" si="10"/>
        <v>119668.42114432775</v>
      </c>
      <c r="M60" t="s">
        <v>212</v>
      </c>
      <c r="N60" s="34">
        <v>0.02</v>
      </c>
      <c r="O60" s="2">
        <f t="shared" si="11"/>
        <v>303962.96523768554</v>
      </c>
      <c r="P60" s="18" t="s">
        <v>177</v>
      </c>
      <c r="Q60" s="118">
        <v>0.25</v>
      </c>
      <c r="R60" s="2">
        <f>Q60*R$58</f>
        <v>3509025.0161220948</v>
      </c>
    </row>
    <row r="61" spans="1:19" x14ac:dyDescent="0.35">
      <c r="D61" s="6"/>
      <c r="E61" s="6"/>
      <c r="F61" s="149" t="s">
        <v>176</v>
      </c>
      <c r="G61" s="6">
        <f t="shared" si="12"/>
        <v>0.16467884243417114</v>
      </c>
      <c r="H61" s="192" t="s">
        <v>254</v>
      </c>
      <c r="I61" s="5" t="s">
        <v>6</v>
      </c>
      <c r="J61" s="150" t="s">
        <v>178</v>
      </c>
      <c r="K61" s="6">
        <f>'Feedstock MIX per IVC'!L104</f>
        <v>2.5314370656153442</v>
      </c>
      <c r="L61" s="2">
        <f t="shared" si="10"/>
        <v>56165.191005622299</v>
      </c>
      <c r="M61" s="5" t="s">
        <v>210</v>
      </c>
      <c r="N61" s="167">
        <v>0.45</v>
      </c>
      <c r="O61" s="2">
        <f t="shared" si="11"/>
        <v>6839166.7178479247</v>
      </c>
      <c r="P61" s="18" t="s">
        <v>218</v>
      </c>
      <c r="Q61" s="118">
        <v>0.2</v>
      </c>
      <c r="R61" s="2">
        <f>Q61*R$58</f>
        <v>2807220.0128976759</v>
      </c>
    </row>
    <row r="62" spans="1:19" x14ac:dyDescent="0.35">
      <c r="D62" s="6"/>
      <c r="E62" s="6"/>
      <c r="F62" s="150" t="s">
        <v>178</v>
      </c>
      <c r="G62" s="6">
        <f t="shared" si="12"/>
        <v>1.1006695758368696E-2</v>
      </c>
      <c r="H62" s="192" t="s">
        <v>254</v>
      </c>
      <c r="I62" s="5" t="s">
        <v>7</v>
      </c>
      <c r="J62" s="147" t="s">
        <v>179</v>
      </c>
      <c r="K62" s="6">
        <f>'Feedstock MIX per IVC'!L105</f>
        <v>24.462377202250323</v>
      </c>
      <c r="L62" s="2">
        <f t="shared" si="10"/>
        <v>542748.66504808504</v>
      </c>
      <c r="M62" t="s">
        <v>213</v>
      </c>
      <c r="N62" s="34">
        <v>0.1</v>
      </c>
      <c r="O62" s="2">
        <f t="shared" si="11"/>
        <v>1519814.8261884276</v>
      </c>
      <c r="P62" s="18" t="s">
        <v>219</v>
      </c>
      <c r="Q62" s="118">
        <v>0.3</v>
      </c>
      <c r="R62" s="2">
        <f>Q62*R$58</f>
        <v>4210830.0193465138</v>
      </c>
    </row>
    <row r="63" spans="1:19" x14ac:dyDescent="0.35">
      <c r="D63" s="6"/>
      <c r="E63" s="6"/>
      <c r="F63" s="152" t="s">
        <v>180</v>
      </c>
      <c r="G63" s="6">
        <f t="shared" si="12"/>
        <v>2.3663409905237184E-2</v>
      </c>
      <c r="H63" s="192" t="s">
        <v>254</v>
      </c>
      <c r="I63" s="5" t="s">
        <v>8</v>
      </c>
      <c r="J63" s="147" t="s">
        <v>179</v>
      </c>
      <c r="K63" s="6">
        <f>'Feedstock MIX per IVC'!L106</f>
        <v>4.9729941538438478</v>
      </c>
      <c r="L63" s="2">
        <f t="shared" si="10"/>
        <v>110336.20796438327</v>
      </c>
      <c r="M63" t="s">
        <v>214</v>
      </c>
      <c r="N63" s="34">
        <v>0.25</v>
      </c>
      <c r="O63" s="2">
        <f t="shared" si="11"/>
        <v>3799537.065471069</v>
      </c>
      <c r="P63" s="18" t="s">
        <v>220</v>
      </c>
      <c r="Q63" s="118">
        <v>0.1</v>
      </c>
      <c r="R63" s="2">
        <f>Q63*R$58</f>
        <v>1403610.0064488379</v>
      </c>
    </row>
    <row r="64" spans="1:19" x14ac:dyDescent="0.35">
      <c r="D64" s="6"/>
      <c r="E64" s="6"/>
      <c r="F64" s="190" t="s">
        <v>79</v>
      </c>
      <c r="G64" s="6">
        <f t="shared" si="12"/>
        <v>0</v>
      </c>
      <c r="H64" s="192" t="s">
        <v>254</v>
      </c>
      <c r="I64" s="5" t="s">
        <v>9</v>
      </c>
      <c r="J64" s="171" t="s">
        <v>222</v>
      </c>
      <c r="K64" s="6">
        <f>'Feedstock MIX per IVC'!L107</f>
        <v>37.993775530498645</v>
      </c>
      <c r="L64" s="2">
        <f t="shared" si="10"/>
        <v>842970.85188506462</v>
      </c>
      <c r="M64" t="s">
        <v>216</v>
      </c>
      <c r="N64" s="34">
        <v>0.03</v>
      </c>
      <c r="O64" s="2">
        <f t="shared" si="11"/>
        <v>455944.44785652828</v>
      </c>
      <c r="Q64" s="34"/>
      <c r="R64" s="2"/>
    </row>
    <row r="65" spans="1:19" x14ac:dyDescent="0.35">
      <c r="D65" s="6"/>
      <c r="E65" s="6"/>
      <c r="F65" s="31"/>
      <c r="G65" s="6">
        <f>SUM(G59:G64)</f>
        <v>0.99999999999999978</v>
      </c>
      <c r="H65" s="192" t="s">
        <v>254</v>
      </c>
      <c r="I65" s="5" t="s">
        <v>10</v>
      </c>
      <c r="J65" s="149" t="s">
        <v>176</v>
      </c>
      <c r="K65" s="6">
        <f>'Feedstock MIX per IVC'!L108</f>
        <v>37.874593321390648</v>
      </c>
      <c r="L65" s="2">
        <f t="shared" si="10"/>
        <v>840326.54694462346</v>
      </c>
      <c r="M65" s="2"/>
      <c r="R65" s="2"/>
    </row>
    <row r="66" spans="1:19" x14ac:dyDescent="0.35">
      <c r="D66" s="6"/>
      <c r="E66" s="6"/>
      <c r="F66" s="31"/>
      <c r="G66" s="6"/>
      <c r="H66" s="192" t="s">
        <v>254</v>
      </c>
      <c r="I66" s="5" t="s">
        <v>11</v>
      </c>
      <c r="J66" s="152" t="s">
        <v>180</v>
      </c>
      <c r="K66" s="6">
        <f>'Feedstock MIX per IVC'!L109</f>
        <v>5.4423629259872293</v>
      </c>
      <c r="L66" s="2">
        <f t="shared" si="10"/>
        <v>120750.12940749814</v>
      </c>
      <c r="M66" s="2"/>
    </row>
    <row r="67" spans="1:19" s="78" customFormat="1" x14ac:dyDescent="0.35">
      <c r="D67" s="90"/>
      <c r="E67" s="90"/>
      <c r="F67" s="213"/>
      <c r="G67" s="6"/>
      <c r="L67" s="90"/>
    </row>
    <row r="68" spans="1:19" s="78" customFormat="1" x14ac:dyDescent="0.35">
      <c r="F68" s="213"/>
      <c r="I68" s="78" t="s">
        <v>281</v>
      </c>
      <c r="L68" s="213">
        <f>SUM(L69:L74)</f>
        <v>528406267.57119268</v>
      </c>
      <c r="M68" s="78" t="s">
        <v>181</v>
      </c>
      <c r="O68" s="90">
        <f>SUM(O69:O74)</f>
        <v>525958674.47737837</v>
      </c>
      <c r="P68" s="78" t="s">
        <v>181</v>
      </c>
      <c r="R68" s="90">
        <f>SUM(R69:R73)</f>
        <v>412459004.85806781</v>
      </c>
    </row>
    <row r="69" spans="1:19" x14ac:dyDescent="0.35">
      <c r="D69" s="2"/>
      <c r="E69" s="2"/>
      <c r="G69" s="2"/>
      <c r="H69" s="6"/>
      <c r="J69" s="147" t="s">
        <v>179</v>
      </c>
      <c r="L69" s="2">
        <f>L36+L37+L38+L50+L51+L53+L54+L59+L60+L62+L63</f>
        <v>152477428.76452258</v>
      </c>
      <c r="M69" s="5" t="s">
        <v>211</v>
      </c>
      <c r="O69" s="2">
        <f t="shared" ref="O69:O74" si="13">O36+O43+O50+O59</f>
        <v>16638241.872415334</v>
      </c>
      <c r="P69" s="18" t="s">
        <v>217</v>
      </c>
      <c r="R69" s="2">
        <f>R36+R43+R50+R59</f>
        <v>79194760.4322142</v>
      </c>
    </row>
    <row r="70" spans="1:19" x14ac:dyDescent="0.35">
      <c r="D70" s="2"/>
      <c r="E70" s="2"/>
      <c r="G70" s="2"/>
      <c r="H70" s="6"/>
      <c r="J70" s="171" t="s">
        <v>222</v>
      </c>
      <c r="L70" s="2">
        <f>L64+L55</f>
        <v>5414786.5974694099</v>
      </c>
      <c r="M70" t="s">
        <v>212</v>
      </c>
      <c r="O70" s="2">
        <f t="shared" si="13"/>
        <v>10519173.489547567</v>
      </c>
      <c r="P70" s="18" t="s">
        <v>177</v>
      </c>
      <c r="R70" s="2">
        <f>R37+R44+R51+R60</f>
        <v>189744299.73203722</v>
      </c>
    </row>
    <row r="71" spans="1:19" x14ac:dyDescent="0.35">
      <c r="D71" s="1"/>
      <c r="E71" s="1"/>
      <c r="G71" s="2"/>
      <c r="H71" s="6"/>
      <c r="J71" s="149" t="s">
        <v>176</v>
      </c>
      <c r="L71" s="2">
        <f>L56+L39+L65</f>
        <v>33379365.504820246</v>
      </c>
      <c r="M71" s="5" t="s">
        <v>210</v>
      </c>
      <c r="O71" s="2">
        <f t="shared" si="13"/>
        <v>257433256.61455074</v>
      </c>
      <c r="P71" s="18" t="s">
        <v>218</v>
      </c>
      <c r="R71" s="2">
        <f>R38+R45+R52+R61</f>
        <v>65165891.2681095</v>
      </c>
    </row>
    <row r="72" spans="1:19" x14ac:dyDescent="0.35">
      <c r="D72" s="1"/>
      <c r="E72" s="1"/>
      <c r="G72" s="2"/>
      <c r="H72" s="6"/>
      <c r="J72" s="150" t="s">
        <v>178</v>
      </c>
      <c r="L72" s="2">
        <f>L52+L61</f>
        <v>360450.35563351389</v>
      </c>
      <c r="M72" t="s">
        <v>213</v>
      </c>
      <c r="O72" s="2">
        <f t="shared" si="13"/>
        <v>73347720.547468305</v>
      </c>
      <c r="P72" s="18" t="s">
        <v>219</v>
      </c>
      <c r="R72" s="2">
        <f>R39+R46+R53+R62</f>
        <v>54434062.643404104</v>
      </c>
    </row>
    <row r="73" spans="1:19" s="78" customFormat="1" x14ac:dyDescent="0.35">
      <c r="D73" s="90"/>
      <c r="E73" s="90"/>
      <c r="F73" s="213"/>
      <c r="G73" s="1"/>
      <c r="H73" s="6"/>
      <c r="J73" s="152" t="s">
        <v>180</v>
      </c>
      <c r="L73" s="90">
        <f>L57+L66</f>
        <v>774236.34874719835</v>
      </c>
      <c r="M73" t="s">
        <v>214</v>
      </c>
      <c r="O73" s="2">
        <f t="shared" si="13"/>
        <v>152241521.71907505</v>
      </c>
      <c r="P73" s="18" t="s">
        <v>220</v>
      </c>
      <c r="R73" s="2">
        <f>R40+R47+R54+R63</f>
        <v>23919990.782302722</v>
      </c>
    </row>
    <row r="74" spans="1:19" s="78" customFormat="1" x14ac:dyDescent="0.35">
      <c r="D74" s="90"/>
      <c r="E74" s="90"/>
      <c r="F74" s="213"/>
      <c r="G74" s="1"/>
      <c r="H74" s="6"/>
      <c r="J74" s="190" t="s">
        <v>79</v>
      </c>
      <c r="L74" s="2">
        <f>L43</f>
        <v>335999999.9999997</v>
      </c>
      <c r="M74" t="s">
        <v>216</v>
      </c>
      <c r="O74" s="2">
        <f t="shared" si="13"/>
        <v>15778760.23432135</v>
      </c>
    </row>
    <row r="75" spans="1:19" s="91" customFormat="1" ht="32.5" customHeight="1" x14ac:dyDescent="0.35">
      <c r="A75" s="91" t="s">
        <v>79</v>
      </c>
      <c r="D75" s="214"/>
      <c r="E75" s="92"/>
      <c r="F75" s="169"/>
    </row>
    <row r="76" spans="1:19" ht="16.5" customHeight="1" x14ac:dyDescent="0.35">
      <c r="C76" s="100">
        <f>C77+C87</f>
        <v>4431941838.8739376</v>
      </c>
      <c r="D76" s="100">
        <f>D77+D87</f>
        <v>4.1545018164886427</v>
      </c>
      <c r="E76" s="2"/>
      <c r="F76" s="100">
        <f>F77</f>
        <v>3172604.2433745167</v>
      </c>
    </row>
    <row r="77" spans="1:19" s="202" customFormat="1" x14ac:dyDescent="0.35">
      <c r="A77" s="202" t="s">
        <v>58</v>
      </c>
      <c r="B77" s="202">
        <v>1275</v>
      </c>
      <c r="C77" s="202">
        <f>B77*F77</f>
        <v>4045070410.3025088</v>
      </c>
      <c r="D77" s="202">
        <f>'[2]GAP analysis Sc. 1'!$C$122+'[2]GAP analysis Sc. 1'!$C$132+'[2]GAP analysis Sc. 1'!$E$130</f>
        <v>3.7918485797855355</v>
      </c>
      <c r="E77" s="202">
        <f>'[1]Conversion factors selected IV '!$O$29</f>
        <v>0.83669064748201449</v>
      </c>
      <c r="F77" s="202">
        <f>D77*E77*1000000</f>
        <v>3172604.2433745167</v>
      </c>
      <c r="G77" s="202">
        <f>'LCoP 2040 medium-high'!E9</f>
        <v>926.53319897431709</v>
      </c>
      <c r="H77" s="202">
        <f>G77*F77</f>
        <v>2939523158.693284</v>
      </c>
      <c r="I77" s="209">
        <f>'LCoP 2040 medium-high'!H9</f>
        <v>-9.5428863590326304E-3</v>
      </c>
      <c r="L77" s="202">
        <f>I77*H77</f>
        <v>-28051535.45315465</v>
      </c>
      <c r="M77" s="209">
        <f>'LCoP 2040 medium-high'!F9</f>
        <v>0.65297174528634483</v>
      </c>
      <c r="O77" s="202">
        <f>M77*H77</f>
        <v>1919425567.2415829</v>
      </c>
      <c r="P77" s="209">
        <f>'LCoP 2040 medium-high'!G9</f>
        <v>0.35657114107268795</v>
      </c>
      <c r="R77" s="202">
        <f>P77*H77</f>
        <v>1048149126.9048562</v>
      </c>
      <c r="S77" s="202">
        <f>L77+O77+R77</f>
        <v>2939523158.6932845</v>
      </c>
    </row>
    <row r="78" spans="1:19" x14ac:dyDescent="0.35">
      <c r="C78">
        <f>C77/C76</f>
        <v>0.91270836968615887</v>
      </c>
      <c r="D78" s="2"/>
      <c r="E78" s="2"/>
      <c r="F78" s="152" t="s">
        <v>180</v>
      </c>
      <c r="G78" s="6">
        <f>SUMIF($J$78:$J$86,F78,$L$78:$L$86)/$L$77</f>
        <v>4.3293527651270676</v>
      </c>
      <c r="I78" s="5" t="s">
        <v>19</v>
      </c>
      <c r="J78" s="147" t="s">
        <v>179</v>
      </c>
      <c r="K78" s="6">
        <f>'Feedstock MIX per IVC'!L20</f>
        <v>0.85469521635880719</v>
      </c>
      <c r="L78" s="2">
        <f t="shared" ref="L78:L86" si="14">K78*F$77</f>
        <v>2711609.6702118525</v>
      </c>
      <c r="M78" s="5" t="s">
        <v>211</v>
      </c>
      <c r="N78" s="34">
        <v>0.05</v>
      </c>
      <c r="O78" s="2">
        <f t="shared" ref="O78:O83" si="15">N78*O$77</f>
        <v>95971278.362079144</v>
      </c>
      <c r="P78" s="18" t="s">
        <v>217</v>
      </c>
      <c r="Q78" s="34">
        <v>0.2</v>
      </c>
      <c r="R78" s="2">
        <f>Q78*R$77</f>
        <v>209629825.38097125</v>
      </c>
    </row>
    <row r="79" spans="1:19" x14ac:dyDescent="0.35">
      <c r="D79" s="2"/>
      <c r="E79" s="2"/>
      <c r="F79" s="239" t="s">
        <v>259</v>
      </c>
      <c r="G79" s="6">
        <f t="shared" ref="G79:G81" si="16">SUMIF($J$78:$J$86,F79,$L$78:$L$86)/$L$77</f>
        <v>-0.21491209756634311</v>
      </c>
      <c r="I79" s="5" t="s">
        <v>7</v>
      </c>
      <c r="J79" s="147" t="s">
        <v>179</v>
      </c>
      <c r="K79" s="6">
        <f>'Feedstock MIX per IVC'!L21</f>
        <v>3.8086974728546088</v>
      </c>
      <c r="L79" s="2">
        <f t="shared" si="14"/>
        <v>12083489.76410833</v>
      </c>
      <c r="M79" t="s">
        <v>212</v>
      </c>
      <c r="N79" s="34">
        <v>0.02</v>
      </c>
      <c r="O79" s="2">
        <f t="shared" si="15"/>
        <v>38388511.34483166</v>
      </c>
      <c r="P79" s="18" t="s">
        <v>177</v>
      </c>
      <c r="Q79" s="34">
        <v>0.5</v>
      </c>
      <c r="R79" s="2">
        <f>Q79*R$77</f>
        <v>524074563.4524281</v>
      </c>
    </row>
    <row r="80" spans="1:19" x14ac:dyDescent="0.35">
      <c r="D80" s="2"/>
      <c r="E80" s="2"/>
      <c r="F80" s="150" t="s">
        <v>178</v>
      </c>
      <c r="G80" s="6">
        <f t="shared" si="16"/>
        <v>-0.48469926523957324</v>
      </c>
      <c r="I80" s="5" t="s">
        <v>8</v>
      </c>
      <c r="J80" s="147" t="s">
        <v>179</v>
      </c>
      <c r="K80" s="6">
        <f>'Feedstock MIX per IVC'!L22</f>
        <v>0.84039148267963515</v>
      </c>
      <c r="L80" s="2">
        <f t="shared" si="14"/>
        <v>2666229.5840452123</v>
      </c>
      <c r="M80" s="5" t="s">
        <v>210</v>
      </c>
      <c r="N80" s="34">
        <v>0.4</v>
      </c>
      <c r="O80" s="2">
        <f t="shared" si="15"/>
        <v>767770226.89663315</v>
      </c>
      <c r="P80" s="18" t="s">
        <v>218</v>
      </c>
      <c r="Q80" s="34">
        <v>0.15</v>
      </c>
      <c r="R80" s="2">
        <f>Q80*R$77</f>
        <v>157222369.03572842</v>
      </c>
    </row>
    <row r="81" spans="1:18" x14ac:dyDescent="0.35">
      <c r="D81" s="2"/>
      <c r="E81" s="2"/>
      <c r="F81" s="147" t="s">
        <v>179</v>
      </c>
      <c r="G81" s="6">
        <f t="shared" si="16"/>
        <v>-2.6297414023211512</v>
      </c>
      <c r="I81" s="5" t="s">
        <v>20</v>
      </c>
      <c r="J81" s="150" t="s">
        <v>178</v>
      </c>
      <c r="K81" s="6">
        <f>'Feedstock MIX per IVC'!L23</f>
        <v>4.2856144605429956</v>
      </c>
      <c r="L81" s="2">
        <f t="shared" si="14"/>
        <v>13596558.622985898</v>
      </c>
      <c r="M81" t="s">
        <v>213</v>
      </c>
      <c r="N81" s="34">
        <v>0.3</v>
      </c>
      <c r="O81" s="2">
        <f t="shared" si="15"/>
        <v>575827670.17247486</v>
      </c>
      <c r="P81" s="18" t="s">
        <v>219</v>
      </c>
      <c r="Q81" s="34">
        <v>0.1</v>
      </c>
      <c r="R81" s="2">
        <f>Q81*R$77</f>
        <v>104814912.69048563</v>
      </c>
    </row>
    <row r="82" spans="1:18" x14ac:dyDescent="0.35">
      <c r="D82" s="2"/>
      <c r="E82" s="2"/>
      <c r="F82" s="2"/>
      <c r="G82" s="6">
        <f>SUM(G78:G81)</f>
        <v>0.99999999999999956</v>
      </c>
      <c r="I82" s="5" t="s">
        <v>4</v>
      </c>
      <c r="J82" s="147" t="s">
        <v>179</v>
      </c>
      <c r="K82" s="6">
        <f>'Feedstock MIX per IVC'!L24</f>
        <v>17.747866056430833</v>
      </c>
      <c r="L82" s="2">
        <f t="shared" si="14"/>
        <v>56306955.16147501</v>
      </c>
      <c r="M82" t="s">
        <v>214</v>
      </c>
      <c r="N82" s="34">
        <v>0.2</v>
      </c>
      <c r="O82" s="2">
        <f t="shared" si="15"/>
        <v>383885113.44831657</v>
      </c>
      <c r="P82" s="18" t="s">
        <v>220</v>
      </c>
      <c r="Q82" s="34">
        <v>0.05</v>
      </c>
      <c r="R82" s="2">
        <f>Q82*R$77</f>
        <v>52407456.345242813</v>
      </c>
    </row>
    <row r="83" spans="1:18" x14ac:dyDescent="0.35">
      <c r="D83" s="2"/>
      <c r="E83" s="2"/>
      <c r="G83" s="2"/>
      <c r="I83" s="5" t="s">
        <v>21</v>
      </c>
      <c r="J83" s="147" t="s">
        <v>179</v>
      </c>
      <c r="K83" s="6">
        <f>'Feedstock MIX per IVC'!L25</f>
        <v>0</v>
      </c>
      <c r="L83" s="2">
        <f t="shared" si="14"/>
        <v>0</v>
      </c>
      <c r="M83" t="s">
        <v>216</v>
      </c>
      <c r="N83" s="34">
        <v>0.03</v>
      </c>
      <c r="O83" s="2">
        <f t="shared" si="15"/>
        <v>57582767.017247483</v>
      </c>
      <c r="R83" s="2"/>
    </row>
    <row r="84" spans="1:18" x14ac:dyDescent="0.35">
      <c r="D84" s="2"/>
      <c r="E84" s="2"/>
      <c r="G84" s="2"/>
      <c r="I84" s="5" t="s">
        <v>22</v>
      </c>
      <c r="J84" s="152" t="s">
        <v>180</v>
      </c>
      <c r="K84" s="6">
        <f>'Feedstock MIX per IVC'!L26</f>
        <v>0</v>
      </c>
      <c r="L84" s="2">
        <f t="shared" si="14"/>
        <v>0</v>
      </c>
      <c r="N84" s="34">
        <f>SUM(N78:N83)</f>
        <v>1</v>
      </c>
      <c r="O84" s="2"/>
    </row>
    <row r="85" spans="1:18" x14ac:dyDescent="0.35">
      <c r="D85" s="2"/>
      <c r="E85" s="2"/>
      <c r="G85" s="2"/>
      <c r="I85" s="12" t="s">
        <v>23</v>
      </c>
      <c r="J85" s="152" t="s">
        <v>180</v>
      </c>
      <c r="K85" s="6">
        <f>'Feedstock MIX per IVC'!L27</f>
        <v>-38.279275719243508</v>
      </c>
      <c r="L85" s="2">
        <f t="shared" si="14"/>
        <v>-121444992.58017506</v>
      </c>
      <c r="M85" s="2"/>
    </row>
    <row r="86" spans="1:18" s="78" customFormat="1" x14ac:dyDescent="0.35">
      <c r="D86" s="93"/>
      <c r="E86" s="93"/>
      <c r="F86" s="213"/>
      <c r="G86" s="220"/>
      <c r="I86" s="13" t="s">
        <v>24</v>
      </c>
      <c r="J86" s="239" t="s">
        <v>259</v>
      </c>
      <c r="K86" s="6">
        <f>'Feedstock MIX per IVC'!L28</f>
        <v>1.9002100046937509</v>
      </c>
      <c r="L86" s="2">
        <f t="shared" si="14"/>
        <v>6028614.3241941044</v>
      </c>
    </row>
    <row r="87" spans="1:18" s="202" customFormat="1" x14ac:dyDescent="0.35">
      <c r="A87" s="202" t="s">
        <v>59</v>
      </c>
      <c r="B87" s="202">
        <v>1275</v>
      </c>
      <c r="C87" s="203">
        <f>B87*F87</f>
        <v>386871428.57142842</v>
      </c>
      <c r="D87" s="284">
        <f>'[2]GAP analysis Sc. 1'!$H$123</f>
        <v>0.36265323670310756</v>
      </c>
      <c r="E87" s="202">
        <f>'[1]Conversion factors selected IV '!$O$52</f>
        <v>0.83669064748201449</v>
      </c>
      <c r="F87" s="202">
        <f>D87*E87*1000000</f>
        <v>303428.5714285713</v>
      </c>
      <c r="G87" s="202">
        <f>'LCoP 2040 medium-high'!E13</f>
        <v>1308.9716172697899</v>
      </c>
      <c r="H87" s="202">
        <f>G87*F87</f>
        <v>397179387.86871898</v>
      </c>
      <c r="I87" s="202">
        <f>'LCoP 2040 medium-high'!H13</f>
        <v>0.18256439950029554</v>
      </c>
      <c r="L87" s="202">
        <f>I87*H87</f>
        <v>72510816.440147653</v>
      </c>
      <c r="M87" s="202">
        <f>'LCoP 2040 medium-high'!F13</f>
        <v>0.61116680411192859</v>
      </c>
      <c r="O87" s="202">
        <f>M87*H87</f>
        <v>242742857.14285707</v>
      </c>
      <c r="P87" s="202">
        <f>'LCoP 2040 medium-high'!G13</f>
        <v>0.20626879638777587</v>
      </c>
      <c r="R87" s="202">
        <f>P87*H87</f>
        <v>81925714.285714254</v>
      </c>
    </row>
    <row r="88" spans="1:18" s="78" customFormat="1" x14ac:dyDescent="0.35">
      <c r="C88" s="78">
        <f>C87/C76</f>
        <v>8.729163031384099E-2</v>
      </c>
      <c r="D88" s="2" t="s">
        <v>395</v>
      </c>
      <c r="E88" s="93"/>
      <c r="F88" s="213"/>
      <c r="G88" s="147" t="s">
        <v>179</v>
      </c>
      <c r="H88" s="2">
        <f>SUMIF($J$88:$J$97, G88,$L$88:$L$97)/$L$87</f>
        <v>0.6160066042335649</v>
      </c>
      <c r="I88" s="5" t="s">
        <v>4</v>
      </c>
      <c r="J88" s="147" t="s">
        <v>179</v>
      </c>
      <c r="K88" s="6">
        <f>'Feedstock MIX per IVC'!L45</f>
        <v>113.97060509382145</v>
      </c>
      <c r="L88" s="2">
        <f>K88*F$87</f>
        <v>34581937.888468094</v>
      </c>
      <c r="M88" s="5" t="s">
        <v>211</v>
      </c>
      <c r="N88" s="34">
        <v>0</v>
      </c>
      <c r="O88" s="2">
        <f>N88*O$87</f>
        <v>0</v>
      </c>
      <c r="P88" s="18" t="s">
        <v>217</v>
      </c>
      <c r="Q88" s="34">
        <v>0.25</v>
      </c>
      <c r="R88" s="2">
        <f>Q88*R$87</f>
        <v>20481428.571428563</v>
      </c>
    </row>
    <row r="89" spans="1:18" s="78" customFormat="1" x14ac:dyDescent="0.35">
      <c r="D89" s="93"/>
      <c r="E89" s="93"/>
      <c r="F89" s="213"/>
      <c r="G89" s="152" t="s">
        <v>180</v>
      </c>
      <c r="H89" s="2">
        <f t="shared" ref="H89:H93" si="17">SUMIF($J$88:$J$97, G89,$L$88:$L$97)/$L$87</f>
        <v>2.506549143552636E-2</v>
      </c>
      <c r="I89" s="5" t="s">
        <v>5</v>
      </c>
      <c r="J89" s="147" t="s">
        <v>179</v>
      </c>
      <c r="K89" s="6">
        <f>'Feedstock MIX per IVC'!L46</f>
        <v>5.5216901134809211</v>
      </c>
      <c r="L89" s="2">
        <f t="shared" ref="L89:L97" si="18">K89*F$87</f>
        <v>1675438.5430047817</v>
      </c>
      <c r="M89" t="s">
        <v>212</v>
      </c>
      <c r="N89" s="34">
        <v>0.02</v>
      </c>
      <c r="O89" s="2">
        <f>N89*O$98</f>
        <v>0</v>
      </c>
      <c r="P89" s="18" t="s">
        <v>177</v>
      </c>
      <c r="Q89" s="34">
        <v>0.15</v>
      </c>
      <c r="R89" s="2">
        <f>Q89*R$98</f>
        <v>0</v>
      </c>
    </row>
    <row r="90" spans="1:18" s="78" customFormat="1" x14ac:dyDescent="0.35">
      <c r="D90" s="93"/>
      <c r="E90" s="93"/>
      <c r="F90" s="213"/>
      <c r="G90" s="150" t="s">
        <v>178</v>
      </c>
      <c r="H90" s="2">
        <f t="shared" si="17"/>
        <v>1.0844074059310083E-2</v>
      </c>
      <c r="I90" s="5" t="s">
        <v>22</v>
      </c>
      <c r="J90" s="152" t="s">
        <v>180</v>
      </c>
      <c r="K90" s="6">
        <f>'Feedstock MIX per IVC'!L47</f>
        <v>0</v>
      </c>
      <c r="L90" s="2">
        <f t="shared" si="18"/>
        <v>0</v>
      </c>
      <c r="M90" s="5" t="s">
        <v>210</v>
      </c>
      <c r="N90" s="34">
        <v>0.55000000000000004</v>
      </c>
      <c r="O90" s="2">
        <f>N90*O$98</f>
        <v>0</v>
      </c>
      <c r="P90" s="18" t="s">
        <v>218</v>
      </c>
      <c r="Q90" s="34">
        <v>0.3</v>
      </c>
      <c r="R90" s="2">
        <f>Q90*R$98</f>
        <v>0</v>
      </c>
    </row>
    <row r="91" spans="1:18" s="78" customFormat="1" x14ac:dyDescent="0.35">
      <c r="D91" s="93"/>
      <c r="E91" s="93"/>
      <c r="F91" s="213"/>
      <c r="G91" s="171" t="s">
        <v>222</v>
      </c>
      <c r="H91" s="2">
        <f t="shared" si="17"/>
        <v>0.1517162809077493</v>
      </c>
      <c r="I91" s="5" t="s">
        <v>6</v>
      </c>
      <c r="J91" s="150" t="s">
        <v>178</v>
      </c>
      <c r="K91" s="6">
        <f>'Feedstock MIX per IVC'!L48</f>
        <v>2.5914259157467061</v>
      </c>
      <c r="L91" s="2">
        <f t="shared" si="18"/>
        <v>786312.66357800027</v>
      </c>
      <c r="M91" t="s">
        <v>213</v>
      </c>
      <c r="N91" s="34">
        <v>0.1</v>
      </c>
      <c r="O91" s="2">
        <f>N91*O$98</f>
        <v>0</v>
      </c>
      <c r="P91" s="18" t="s">
        <v>219</v>
      </c>
      <c r="Q91" s="34">
        <v>0.3</v>
      </c>
      <c r="R91" s="2">
        <f>Q91*R$98</f>
        <v>0</v>
      </c>
    </row>
    <row r="92" spans="1:18" s="78" customFormat="1" x14ac:dyDescent="0.35">
      <c r="D92" s="93"/>
      <c r="E92" s="93"/>
      <c r="F92" s="213"/>
      <c r="G92" s="149" t="s">
        <v>176</v>
      </c>
      <c r="H92" s="2">
        <f t="shared" si="17"/>
        <v>0.14688705860758283</v>
      </c>
      <c r="I92" s="5" t="s">
        <v>7</v>
      </c>
      <c r="J92" s="147" t="s">
        <v>179</v>
      </c>
      <c r="K92" s="6">
        <f>'Feedstock MIX per IVC'!L49</f>
        <v>22.620980258526309</v>
      </c>
      <c r="L92" s="2">
        <f t="shared" si="18"/>
        <v>6863851.7241585515</v>
      </c>
      <c r="M92" t="s">
        <v>214</v>
      </c>
      <c r="N92" s="34">
        <v>0.3</v>
      </c>
      <c r="O92" s="2">
        <f>N92*O$98</f>
        <v>0</v>
      </c>
      <c r="P92" s="18" t="s">
        <v>220</v>
      </c>
      <c r="Q92" s="223">
        <v>0</v>
      </c>
      <c r="R92" s="2">
        <f>Q92*R$98</f>
        <v>0</v>
      </c>
    </row>
    <row r="93" spans="1:18" s="78" customFormat="1" x14ac:dyDescent="0.35">
      <c r="D93" s="93"/>
      <c r="E93" s="93"/>
      <c r="F93" s="213"/>
      <c r="G93" s="239" t="s">
        <v>259</v>
      </c>
      <c r="H93" s="2">
        <f t="shared" si="17"/>
        <v>0</v>
      </c>
      <c r="I93" s="5" t="s">
        <v>8</v>
      </c>
      <c r="J93" s="147" t="s">
        <v>179</v>
      </c>
      <c r="K93" s="6">
        <f>'Feedstock MIX per IVC'!L50</f>
        <v>5.0948189967377502</v>
      </c>
      <c r="L93" s="2">
        <f t="shared" si="18"/>
        <v>1545913.6498672825</v>
      </c>
      <c r="M93" t="s">
        <v>216</v>
      </c>
      <c r="N93" s="34">
        <v>0.03</v>
      </c>
      <c r="O93" s="2">
        <f>N93*O$98</f>
        <v>0</v>
      </c>
      <c r="R93"/>
    </row>
    <row r="94" spans="1:18" s="78" customFormat="1" x14ac:dyDescent="0.35">
      <c r="D94" s="93"/>
      <c r="E94" s="93"/>
      <c r="F94" s="213"/>
      <c r="G94" s="151" t="s">
        <v>77</v>
      </c>
      <c r="H94" s="2">
        <f>SUMIF($J$88:$J$97, G94,$L$88:$L$97)/$L$87/2</f>
        <v>2.4740245378133165E-2</v>
      </c>
      <c r="I94" s="5" t="s">
        <v>9</v>
      </c>
      <c r="J94" s="171" t="s">
        <v>222</v>
      </c>
      <c r="K94" s="6">
        <f>'Feedstock MIX per IVC'!L51</f>
        <v>36.255885014682598</v>
      </c>
      <c r="L94" s="2">
        <f t="shared" si="18"/>
        <v>11001071.395883687</v>
      </c>
      <c r="M94" s="78" t="s">
        <v>320</v>
      </c>
      <c r="O94" s="90">
        <f>SUM(O88:O93)</f>
        <v>0</v>
      </c>
      <c r="R94" s="90">
        <f>SUM(R88:R93)</f>
        <v>20481428.571428563</v>
      </c>
    </row>
    <row r="95" spans="1:18" s="78" customFormat="1" x14ac:dyDescent="0.35">
      <c r="D95" s="93"/>
      <c r="E95" s="93"/>
      <c r="F95" s="213"/>
      <c r="G95" s="190" t="s">
        <v>377</v>
      </c>
      <c r="H95" s="2">
        <f>H94</f>
        <v>2.4740245378133165E-2</v>
      </c>
      <c r="I95" s="5" t="s">
        <v>10</v>
      </c>
      <c r="J95" s="149" t="s">
        <v>176</v>
      </c>
      <c r="K95" s="6">
        <f>'Feedstock MIX per IVC'!L52</f>
        <v>35.101837951456481</v>
      </c>
      <c r="L95" s="2">
        <f t="shared" si="18"/>
        <v>10650900.544127649</v>
      </c>
    </row>
    <row r="96" spans="1:18" s="78" customFormat="1" x14ac:dyDescent="0.35">
      <c r="D96" s="93"/>
      <c r="E96" s="93"/>
      <c r="F96" s="213"/>
      <c r="G96" s="220"/>
      <c r="H96" s="90">
        <f>SUM(H88:H95)</f>
        <v>0.99999999999999978</v>
      </c>
      <c r="I96" s="5" t="s">
        <v>11</v>
      </c>
      <c r="J96" s="152" t="s">
        <v>180</v>
      </c>
      <c r="K96" s="6">
        <f>'Feedstock MIX per IVC'!L53</f>
        <v>5.9899410260098023</v>
      </c>
      <c r="L96" s="2">
        <f t="shared" si="18"/>
        <v>1817519.248463545</v>
      </c>
    </row>
    <row r="97" spans="1:19" s="78" customFormat="1" x14ac:dyDescent="0.35">
      <c r="D97" s="93"/>
      <c r="E97" s="93"/>
      <c r="F97" s="213"/>
      <c r="G97" s="220"/>
      <c r="I97" s="13" t="s">
        <v>32</v>
      </c>
      <c r="J97" s="151" t="s">
        <v>77</v>
      </c>
      <c r="K97" s="6">
        <f>'Feedstock MIX per IVC'!L54</f>
        <v>11.824432899327856</v>
      </c>
      <c r="L97" s="2">
        <f t="shared" si="18"/>
        <v>3587870.7825960508</v>
      </c>
    </row>
    <row r="98" spans="1:19" s="78" customFormat="1" x14ac:dyDescent="0.35">
      <c r="D98" s="93"/>
      <c r="E98" s="93"/>
      <c r="F98" s="213"/>
      <c r="G98" s="220"/>
      <c r="I98" s="14"/>
      <c r="J98" s="239"/>
      <c r="K98" s="6"/>
      <c r="L98" s="2">
        <f>SUM(L88:L97)</f>
        <v>72510816.440147638</v>
      </c>
    </row>
    <row r="99" spans="1:19" s="91" customFormat="1" ht="26" customHeight="1" x14ac:dyDescent="0.35">
      <c r="A99" s="91" t="s">
        <v>80</v>
      </c>
      <c r="D99" s="92"/>
      <c r="E99" s="92"/>
      <c r="F99" s="169"/>
      <c r="I99" s="94"/>
    </row>
    <row r="100" spans="1:19" ht="16" customHeight="1" x14ac:dyDescent="0.35">
      <c r="C100" s="2">
        <f>C101+C108+C120</f>
        <v>4552687250.9614944</v>
      </c>
      <c r="D100" s="2">
        <f>D101+D108+D120</f>
        <v>1.9626137930093215</v>
      </c>
      <c r="E100" s="2"/>
      <c r="F100" s="2">
        <f>F101+F108+F120</f>
        <v>1912893.8029249974</v>
      </c>
      <c r="I100" s="6"/>
    </row>
    <row r="101" spans="1:19" s="202" customFormat="1" x14ac:dyDescent="0.35">
      <c r="A101" s="202" t="s">
        <v>74</v>
      </c>
      <c r="B101" s="202">
        <v>2380</v>
      </c>
      <c r="C101" s="202">
        <f>B101*F101</f>
        <v>4080948837.2093029</v>
      </c>
      <c r="D101" s="202">
        <f>'[2]GAP analysis Sc. 1'!$C$135</f>
        <v>1.7610449166769027</v>
      </c>
      <c r="E101" s="202">
        <f>'[1]Conversion factors selected IV '!$O$78</f>
        <v>0.97367441860465131</v>
      </c>
      <c r="F101" s="202">
        <f>D101*E101*1000000</f>
        <v>1714684.38538206</v>
      </c>
      <c r="G101" s="202">
        <f>'LCoP 2040 medium-high'!E4</f>
        <v>2483.258230470301</v>
      </c>
      <c r="H101" s="202">
        <f>G101*F101</f>
        <v>4258004112.6589098</v>
      </c>
      <c r="I101" s="209">
        <f>'LCoP 2040 medium-high'!H4</f>
        <v>0.67764125769215944</v>
      </c>
      <c r="K101" s="202">
        <f>I101*G101</f>
        <v>1682.758230470301</v>
      </c>
      <c r="L101" s="202">
        <f>I101*H101</f>
        <v>2885399262.1605711</v>
      </c>
      <c r="M101" s="209">
        <f>'LCoP 2040 medium-high'!F4</f>
        <v>0.15141397515021621</v>
      </c>
      <c r="O101" s="202">
        <f>M101*H101</f>
        <v>644721328.90365458</v>
      </c>
      <c r="P101" s="209">
        <f>'LCoP 2040 medium-high'!G4</f>
        <v>0.17094476715762441</v>
      </c>
      <c r="R101" s="202">
        <f>P101*H101</f>
        <v>727883521.59468448</v>
      </c>
      <c r="S101" s="202">
        <f>SUM(L101,O101,R101)</f>
        <v>4258004112.6589103</v>
      </c>
    </row>
    <row r="102" spans="1:19" x14ac:dyDescent="0.35">
      <c r="C102">
        <f>C101/C100</f>
        <v>0.89638242476406349</v>
      </c>
      <c r="D102" s="2"/>
      <c r="E102" s="2"/>
      <c r="F102" s="147" t="s">
        <v>179</v>
      </c>
      <c r="G102" s="276">
        <f>SUMIF($J$102:$J$105,F102,$L$102:$L$105)/$L$101</f>
        <v>0.26980803571663164</v>
      </c>
      <c r="I102" s="4" t="s">
        <v>1</v>
      </c>
      <c r="J102" s="147" t="s">
        <v>179</v>
      </c>
      <c r="K102" s="6">
        <f>'Feedstock MIX per IVC'!L9</f>
        <v>299.07678704472829</v>
      </c>
      <c r="L102" s="2">
        <f>K102*F$101</f>
        <v>512822296.77583116</v>
      </c>
      <c r="M102" s="5" t="s">
        <v>210</v>
      </c>
      <c r="N102" s="118">
        <v>0.45</v>
      </c>
      <c r="O102" s="2">
        <f t="shared" ref="O102:O107" si="19">N102*$O$101</f>
        <v>290124598.00664455</v>
      </c>
      <c r="P102" s="18" t="s">
        <v>217</v>
      </c>
      <c r="Q102" s="118">
        <v>0.35</v>
      </c>
      <c r="R102" s="2">
        <f t="shared" ref="R102:R107" si="20">Q102*$R$101</f>
        <v>254759232.55813956</v>
      </c>
    </row>
    <row r="103" spans="1:19" x14ac:dyDescent="0.35">
      <c r="D103" s="2"/>
      <c r="E103" s="2"/>
      <c r="F103" s="190" t="s">
        <v>77</v>
      </c>
      <c r="G103" s="276">
        <f>SUMIF($J$102:$J$105,F103,$L$102:$L$105)/$L$101/2</f>
        <v>0.31033158482043149</v>
      </c>
      <c r="I103" s="215" t="s">
        <v>132</v>
      </c>
      <c r="J103" s="147" t="s">
        <v>179</v>
      </c>
      <c r="K103" s="6">
        <f>'Feedstock MIX per IVC'!L10</f>
        <v>154.94490570445859</v>
      </c>
      <c r="L103" s="2">
        <f>K103*F$101</f>
        <v>265681610.40593082</v>
      </c>
      <c r="M103" t="s">
        <v>213</v>
      </c>
      <c r="N103" s="118">
        <v>0.15</v>
      </c>
      <c r="O103" s="2">
        <f t="shared" si="19"/>
        <v>96708199.335548177</v>
      </c>
      <c r="P103" s="18" t="s">
        <v>177</v>
      </c>
      <c r="Q103" s="118">
        <v>0.25</v>
      </c>
      <c r="R103" s="2">
        <f t="shared" si="20"/>
        <v>181970880.39867112</v>
      </c>
    </row>
    <row r="104" spans="1:19" x14ac:dyDescent="0.35">
      <c r="D104" s="2"/>
      <c r="E104" s="2"/>
      <c r="F104" s="240" t="s">
        <v>177</v>
      </c>
      <c r="G104" s="276">
        <f t="shared" ref="G104" si="21">SUMIF($J$102:$J$105,F104,$L$102:$L$105)/$L$101</f>
        <v>0.10952879464250524</v>
      </c>
      <c r="I104" s="216" t="s">
        <v>300</v>
      </c>
      <c r="J104" s="190" t="s">
        <v>77</v>
      </c>
      <c r="K104" s="6">
        <f>'Feedstock MIX per IVC'!L11*0.85</f>
        <v>1044.4260570629469</v>
      </c>
      <c r="L104" s="2">
        <f>K104*F$101</f>
        <v>1790861051.7319875</v>
      </c>
      <c r="M104" s="5" t="s">
        <v>214</v>
      </c>
      <c r="N104" s="118">
        <v>0.3</v>
      </c>
      <c r="O104" s="2">
        <f t="shared" si="19"/>
        <v>193416398.67109635</v>
      </c>
      <c r="P104" s="18" t="s">
        <v>218</v>
      </c>
      <c r="Q104" s="118">
        <v>0.2</v>
      </c>
      <c r="R104" s="2">
        <f t="shared" si="20"/>
        <v>145576704.31893691</v>
      </c>
    </row>
    <row r="105" spans="1:19" x14ac:dyDescent="0.35">
      <c r="D105" s="2"/>
      <c r="E105" s="2"/>
      <c r="F105" s="1" t="s">
        <v>78</v>
      </c>
      <c r="G105" s="276">
        <f>G103</f>
        <v>0.31033158482043149</v>
      </c>
      <c r="I105" s="217" t="s">
        <v>301</v>
      </c>
      <c r="J105" s="240" t="s">
        <v>177</v>
      </c>
      <c r="K105" s="6">
        <f>'Feedstock MIX per IVC'!L11*0.15</f>
        <v>184.31048065816711</v>
      </c>
      <c r="L105" s="2">
        <f>K105*F$101</f>
        <v>316034303.24682134</v>
      </c>
      <c r="M105" t="s">
        <v>211</v>
      </c>
      <c r="N105" s="118">
        <v>0.05</v>
      </c>
      <c r="O105" s="2">
        <f t="shared" si="19"/>
        <v>32236066.44518273</v>
      </c>
      <c r="P105" s="18" t="s">
        <v>219</v>
      </c>
      <c r="Q105" s="118">
        <v>0.15</v>
      </c>
      <c r="R105" s="2">
        <f t="shared" si="20"/>
        <v>109182528.23920266</v>
      </c>
    </row>
    <row r="106" spans="1:19" x14ac:dyDescent="0.35">
      <c r="D106" s="2"/>
      <c r="E106" s="2"/>
      <c r="G106" s="2">
        <f>SUM(G102:G105)</f>
        <v>0.99999999999999978</v>
      </c>
      <c r="L106" s="2"/>
      <c r="M106" t="s">
        <v>216</v>
      </c>
      <c r="N106" s="118">
        <v>0.03</v>
      </c>
      <c r="O106" s="2">
        <f t="shared" si="19"/>
        <v>19341639.867109638</v>
      </c>
      <c r="P106" s="102" t="s">
        <v>220</v>
      </c>
      <c r="Q106" s="118">
        <v>0.05</v>
      </c>
      <c r="R106" s="2">
        <f t="shared" si="20"/>
        <v>36394176.079734229</v>
      </c>
    </row>
    <row r="107" spans="1:19" x14ac:dyDescent="0.35">
      <c r="D107" s="2"/>
      <c r="E107" s="2"/>
      <c r="G107" s="2"/>
      <c r="M107" t="s">
        <v>212</v>
      </c>
      <c r="N107" s="118">
        <v>0.02</v>
      </c>
      <c r="O107" s="2">
        <f t="shared" si="19"/>
        <v>12894426.578073092</v>
      </c>
      <c r="P107" t="s">
        <v>262</v>
      </c>
      <c r="Q107" s="118">
        <v>0</v>
      </c>
      <c r="R107">
        <f t="shared" si="20"/>
        <v>0</v>
      </c>
    </row>
    <row r="108" spans="1:19" s="202" customFormat="1" x14ac:dyDescent="0.35">
      <c r="A108" s="202" t="s">
        <v>304</v>
      </c>
      <c r="B108" s="202">
        <v>2380</v>
      </c>
      <c r="C108" s="202">
        <f>B108*F108</f>
        <v>295720930.23255813</v>
      </c>
      <c r="D108" s="202">
        <f>'[2]GAP analysis Sc. 1'!$C$137</f>
        <v>0.12761195048383353</v>
      </c>
      <c r="E108" s="202">
        <f>'[1]Conversion factors selected IV '!$O$76</f>
        <v>0.97367441860465131</v>
      </c>
      <c r="F108" s="202">
        <f>D108*E108*1000000</f>
        <v>124252.49169435217</v>
      </c>
      <c r="G108" s="202">
        <f>'LCoP 2040 medium-high'!E16</f>
        <v>2778.651297489635</v>
      </c>
      <c r="H108" s="202">
        <f>G108*F108</f>
        <v>345254347.26283175</v>
      </c>
      <c r="I108" s="209">
        <f>'LCoP 2040 medium-high'!H16</f>
        <v>0.22219459420742169</v>
      </c>
      <c r="L108" s="202">
        <f>I108*H108</f>
        <v>76713649.588413149</v>
      </c>
      <c r="M108" s="209">
        <f>'LCoP 2040 medium-high'!F16</f>
        <v>0.52003646564269557</v>
      </c>
      <c r="O108" s="202">
        <f>M108*H108</f>
        <v>179544850.49833888</v>
      </c>
      <c r="P108" s="209">
        <f>'LCoP 2040 medium-high'!G16</f>
        <v>0.25776894014988283</v>
      </c>
      <c r="R108" s="202">
        <f>P108*H108</f>
        <v>88995847.176079735</v>
      </c>
    </row>
    <row r="109" spans="1:19" s="78" customFormat="1" x14ac:dyDescent="0.35">
      <c r="C109">
        <f>C108/C100</f>
        <v>6.4955248171308932E-2</v>
      </c>
      <c r="F109" s="147" t="s">
        <v>179</v>
      </c>
      <c r="G109" s="2">
        <f>SUMIF($J$109:$J$118,F109,$L$109:$L$118)/$L$108</f>
        <v>0.64487121472086772</v>
      </c>
      <c r="I109" s="5" t="s">
        <v>4</v>
      </c>
      <c r="J109" s="147" t="s">
        <v>179</v>
      </c>
      <c r="K109" s="6">
        <f>'Feedstock MIX per IVC'!L69</f>
        <v>308.94175988217938</v>
      </c>
      <c r="L109" s="2">
        <f t="shared" ref="L109:L118" si="22">K109*F$108</f>
        <v>38386783.453799039</v>
      </c>
      <c r="M109" s="5" t="s">
        <v>211</v>
      </c>
      <c r="N109" s="34">
        <v>0</v>
      </c>
      <c r="O109" s="2">
        <f t="shared" ref="O109:O114" si="23">N109*O$108</f>
        <v>0</v>
      </c>
      <c r="P109" s="18" t="s">
        <v>217</v>
      </c>
      <c r="Q109" s="34">
        <v>0.25</v>
      </c>
      <c r="R109" s="2">
        <f>Q109*R$108</f>
        <v>22248961.794019934</v>
      </c>
    </row>
    <row r="110" spans="1:19" x14ac:dyDescent="0.35">
      <c r="F110" s="171" t="s">
        <v>222</v>
      </c>
      <c r="G110" s="2">
        <f t="shared" ref="G110:G114" si="24">SUMIF($J$109:$J$118,F110,$L$109:$L$118)/$L$108</f>
        <v>0.15971769395310498</v>
      </c>
      <c r="I110" s="5" t="s">
        <v>5</v>
      </c>
      <c r="J110" s="147" t="s">
        <v>179</v>
      </c>
      <c r="K110" s="6">
        <f>'Feedstock MIX per IVC'!L70</f>
        <v>14.981690794889946</v>
      </c>
      <c r="L110" s="2">
        <f t="shared" si="22"/>
        <v>1861512.4110594154</v>
      </c>
      <c r="M110" t="s">
        <v>212</v>
      </c>
      <c r="N110" s="34">
        <v>0.02</v>
      </c>
      <c r="O110" s="2">
        <f t="shared" si="23"/>
        <v>3590897.0099667776</v>
      </c>
      <c r="P110" s="18" t="s">
        <v>177</v>
      </c>
      <c r="Q110" s="34">
        <v>0.15</v>
      </c>
      <c r="R110" s="2">
        <f>Q110*R$108</f>
        <v>13349377.076411961</v>
      </c>
    </row>
    <row r="111" spans="1:19" x14ac:dyDescent="0.35">
      <c r="F111" s="149" t="s">
        <v>176</v>
      </c>
      <c r="G111" s="2">
        <f t="shared" si="24"/>
        <v>0.1541876325153749</v>
      </c>
      <c r="I111" s="5" t="s">
        <v>22</v>
      </c>
      <c r="J111" s="152" t="s">
        <v>180</v>
      </c>
      <c r="K111" s="6">
        <f>'Feedstock MIX per IVC'!L71</f>
        <v>0</v>
      </c>
      <c r="L111" s="2">
        <f t="shared" si="22"/>
        <v>0</v>
      </c>
      <c r="M111" s="5" t="s">
        <v>210</v>
      </c>
      <c r="N111" s="34">
        <v>0.55000000000000004</v>
      </c>
      <c r="O111" s="2">
        <f t="shared" si="23"/>
        <v>98749667.774086386</v>
      </c>
      <c r="P111" s="18" t="s">
        <v>218</v>
      </c>
      <c r="Q111" s="34">
        <v>0.3</v>
      </c>
      <c r="R111" s="2">
        <f>Q111*R$108</f>
        <v>26698754.152823921</v>
      </c>
    </row>
    <row r="112" spans="1:19" x14ac:dyDescent="0.35">
      <c r="F112" s="152" t="s">
        <v>180</v>
      </c>
      <c r="G112" s="2">
        <f t="shared" si="24"/>
        <v>2.629477947181047E-2</v>
      </c>
      <c r="I112" s="5" t="s">
        <v>6</v>
      </c>
      <c r="J112" s="150" t="s">
        <v>178</v>
      </c>
      <c r="K112" s="6">
        <f>'Feedstock MIX per IVC'!L72</f>
        <v>7.0358889401136304</v>
      </c>
      <c r="L112" s="2">
        <f t="shared" si="22"/>
        <v>874226.73209385318</v>
      </c>
      <c r="M112" t="s">
        <v>213</v>
      </c>
      <c r="N112" s="34">
        <v>0.1</v>
      </c>
      <c r="O112" s="2">
        <f t="shared" si="23"/>
        <v>17954485.04983389</v>
      </c>
      <c r="P112" s="18" t="s">
        <v>219</v>
      </c>
      <c r="Q112" s="34">
        <v>0.3</v>
      </c>
      <c r="R112" s="2">
        <f>Q112*R$108</f>
        <v>26698754.152823921</v>
      </c>
    </row>
    <row r="113" spans="1:19" s="78" customFormat="1" x14ac:dyDescent="0.35">
      <c r="F113" s="190" t="s">
        <v>77</v>
      </c>
      <c r="G113" s="276">
        <f>SUMIF($J$109:$J$118,F113,$L$109:$L$118)/$L$108</f>
        <v>3.5327056524864621E-3</v>
      </c>
      <c r="I113" s="5" t="s">
        <v>7</v>
      </c>
      <c r="J113" s="147" t="s">
        <v>179</v>
      </c>
      <c r="K113" s="6">
        <f>'Feedstock MIX per IVC'!L73</f>
        <v>60.538525949194216</v>
      </c>
      <c r="L113" s="2">
        <f t="shared" si="22"/>
        <v>7522062.6926905774</v>
      </c>
      <c r="M113" t="s">
        <v>214</v>
      </c>
      <c r="N113" s="34">
        <v>0.3</v>
      </c>
      <c r="O113" s="2">
        <f t="shared" si="23"/>
        <v>53863455.149501659</v>
      </c>
      <c r="P113" s="18" t="s">
        <v>220</v>
      </c>
      <c r="Q113" s="223">
        <v>0</v>
      </c>
      <c r="R113" s="2">
        <f>Q113*R$108</f>
        <v>0</v>
      </c>
    </row>
    <row r="114" spans="1:19" x14ac:dyDescent="0.35">
      <c r="F114" s="150" t="s">
        <v>178</v>
      </c>
      <c r="G114" s="2">
        <f t="shared" si="24"/>
        <v>1.1395973686355506E-2</v>
      </c>
      <c r="I114" s="5" t="s">
        <v>8</v>
      </c>
      <c r="J114" s="147" t="s">
        <v>179</v>
      </c>
      <c r="K114" s="6">
        <f>'Feedstock MIX per IVC'!L74</f>
        <v>13.682348056117311</v>
      </c>
      <c r="L114" s="2">
        <f t="shared" si="22"/>
        <v>1700065.8382019517</v>
      </c>
      <c r="M114" t="s">
        <v>216</v>
      </c>
      <c r="N114" s="34">
        <v>0.03</v>
      </c>
      <c r="O114" s="2">
        <f t="shared" si="23"/>
        <v>5386345.5149501665</v>
      </c>
    </row>
    <row r="115" spans="1:19" x14ac:dyDescent="0.35">
      <c r="F115" s="151" t="s">
        <v>78</v>
      </c>
      <c r="G115" s="276">
        <f>G113</f>
        <v>3.5327056524864621E-3</v>
      </c>
      <c r="I115" s="5" t="s">
        <v>9</v>
      </c>
      <c r="J115" s="171" t="s">
        <v>222</v>
      </c>
      <c r="K115" s="6">
        <f>'Feedstock MIX per IVC'!L75</f>
        <v>98.609911478699473</v>
      </c>
      <c r="L115" s="2">
        <f t="shared" si="22"/>
        <v>12252527.206987908</v>
      </c>
      <c r="N115" s="34"/>
    </row>
    <row r="116" spans="1:19" x14ac:dyDescent="0.35">
      <c r="F116"/>
      <c r="G116" s="2">
        <f>SUM(G109:G115)</f>
        <v>1.0035327056524865</v>
      </c>
      <c r="I116" s="5" t="s">
        <v>10</v>
      </c>
      <c r="J116" s="149" t="s">
        <v>176</v>
      </c>
      <c r="K116" s="6">
        <f>'Feedstock MIX per IVC'!L76</f>
        <v>95.195644371847536</v>
      </c>
      <c r="L116" s="2">
        <f t="shared" si="22"/>
        <v>11828296.011651488</v>
      </c>
    </row>
    <row r="117" spans="1:19" x14ac:dyDescent="0.35">
      <c r="F117"/>
      <c r="I117" s="5" t="s">
        <v>11</v>
      </c>
      <c r="J117" s="152" t="s">
        <v>180</v>
      </c>
      <c r="K117" s="6">
        <f>'Feedstock MIX per IVC'!L77</f>
        <v>16.234430963099609</v>
      </c>
      <c r="L117" s="2">
        <f t="shared" si="22"/>
        <v>2017168.4984050677</v>
      </c>
    </row>
    <row r="118" spans="1:19" x14ac:dyDescent="0.35">
      <c r="I118" s="13" t="s">
        <v>32</v>
      </c>
      <c r="J118" s="190" t="s">
        <v>77</v>
      </c>
      <c r="K118" s="6">
        <f>'Feedstock MIX per IVC'!L78</f>
        <v>2.1810970534941099</v>
      </c>
      <c r="L118" s="2">
        <f t="shared" si="22"/>
        <v>271006.7435238529</v>
      </c>
    </row>
    <row r="119" spans="1:19" x14ac:dyDescent="0.35">
      <c r="A119" s="78"/>
      <c r="B119" s="78"/>
      <c r="C119" s="78"/>
      <c r="D119" s="90"/>
      <c r="E119" s="90"/>
      <c r="F119" s="213"/>
      <c r="G119" s="99"/>
      <c r="L119" s="2">
        <f>SUM(L109:L118)</f>
        <v>76713649.588413164</v>
      </c>
    </row>
    <row r="120" spans="1:19" s="201" customFormat="1" x14ac:dyDescent="0.35">
      <c r="A120" s="201" t="s">
        <v>405</v>
      </c>
      <c r="B120" s="202">
        <v>2380</v>
      </c>
      <c r="C120" s="202">
        <f>B120*F120</f>
        <v>176017483.519633</v>
      </c>
      <c r="D120" s="208">
        <f>'[2]GAP analysis Sc. 1'!$C$138</f>
        <v>7.3956925848585292E-2</v>
      </c>
      <c r="E120" s="208">
        <f>'[1]Conversion factors selected IV '!$O$125</f>
        <v>1</v>
      </c>
      <c r="F120" s="202">
        <f>D120*E120*1000000</f>
        <v>73956.925848585292</v>
      </c>
      <c r="G120" s="208">
        <f>'LCoP 2040 medium-high'!E22</f>
        <v>2007.9667333871371</v>
      </c>
      <c r="H120" s="203">
        <f>G120*F120</f>
        <v>148503046.80753854</v>
      </c>
      <c r="I120" s="208">
        <f>'LCoP 2040 medium-high'!H22</f>
        <v>0.34380137972835562</v>
      </c>
      <c r="L120" s="202">
        <f>I120*H120</f>
        <v>51055552.386296324</v>
      </c>
      <c r="M120" s="208">
        <f>'LCoP 2040 medium-high'!F22</f>
        <v>0.34114110986515611</v>
      </c>
      <c r="O120" s="202">
        <f>M120*H120</f>
        <v>50660494.206280924</v>
      </c>
      <c r="P120" s="208">
        <f>'LCoP 2040 medium-high'!G22</f>
        <v>0.31505751040648816</v>
      </c>
      <c r="R120" s="202">
        <f>P120*H120</f>
        <v>46787000.214961275</v>
      </c>
      <c r="S120" s="202">
        <f>L120+O120+R120</f>
        <v>148503046.80753851</v>
      </c>
    </row>
    <row r="121" spans="1:19" x14ac:dyDescent="0.35">
      <c r="A121" s="78"/>
      <c r="B121" s="78"/>
      <c r="C121">
        <f>C120/C100</f>
        <v>3.8662327064627466E-2</v>
      </c>
      <c r="D121" s="90"/>
      <c r="E121" s="90"/>
      <c r="F121" s="147" t="s">
        <v>179</v>
      </c>
      <c r="G121" s="2">
        <f>SUMIF($J$121:$J$128,F121,$L$121:$L$128)/$L$120</f>
        <v>0.65747494250317529</v>
      </c>
      <c r="H121" s="192" t="s">
        <v>254</v>
      </c>
      <c r="I121" s="5" t="s">
        <v>4</v>
      </c>
      <c r="J121" s="147" t="s">
        <v>179</v>
      </c>
      <c r="K121" s="6">
        <f>'Feedstock MIX per IVC'!L111</f>
        <v>345.71663290015738</v>
      </c>
      <c r="L121" s="2">
        <f t="shared" ref="L121:L128" si="25">K121*F$120</f>
        <v>25568139.38401952</v>
      </c>
      <c r="M121" s="5" t="s">
        <v>211</v>
      </c>
      <c r="N121" s="167">
        <v>0.15</v>
      </c>
      <c r="O121" s="2">
        <f t="shared" ref="O121:O126" si="26">N121*O$120</f>
        <v>7599074.1309421379</v>
      </c>
      <c r="P121" s="18" t="s">
        <v>217</v>
      </c>
      <c r="Q121" s="118">
        <v>0.15</v>
      </c>
      <c r="R121" s="2">
        <f>Q121*R$120</f>
        <v>7018050.0322441915</v>
      </c>
    </row>
    <row r="122" spans="1:19" x14ac:dyDescent="0.35">
      <c r="A122" s="78"/>
      <c r="B122" s="78"/>
      <c r="C122" s="78"/>
      <c r="D122" s="90"/>
      <c r="E122" s="90"/>
      <c r="F122" s="171" t="s">
        <v>222</v>
      </c>
      <c r="G122" s="2">
        <f t="shared" ref="G122:G125" si="27">SUMIF($J$121:$J$128,F122,$L$121:$L$128)/$L$120</f>
        <v>0.15472917517934054</v>
      </c>
      <c r="H122" s="192" t="s">
        <v>254</v>
      </c>
      <c r="I122" s="5" t="s">
        <v>5</v>
      </c>
      <c r="J122" s="147" t="s">
        <v>179</v>
      </c>
      <c r="K122" s="6">
        <f>'Feedstock MIX per IVC'!L112</f>
        <v>16.750527817040226</v>
      </c>
      <c r="L122" s="2">
        <f t="shared" si="25"/>
        <v>1238817.5436895092</v>
      </c>
      <c r="M122" t="s">
        <v>212</v>
      </c>
      <c r="N122" s="34">
        <v>0.02</v>
      </c>
      <c r="O122" s="2">
        <f t="shared" si="26"/>
        <v>1013209.8841256185</v>
      </c>
      <c r="P122" s="18" t="s">
        <v>177</v>
      </c>
      <c r="Q122" s="118">
        <v>0.25</v>
      </c>
      <c r="R122" s="2">
        <f>Q122*R$120</f>
        <v>11696750.053740319</v>
      </c>
    </row>
    <row r="123" spans="1:19" x14ac:dyDescent="0.35">
      <c r="A123" s="78"/>
      <c r="B123" s="78"/>
      <c r="C123" s="78"/>
      <c r="D123" s="90"/>
      <c r="E123" s="90"/>
      <c r="F123" s="149" t="s">
        <v>176</v>
      </c>
      <c r="G123" s="2">
        <f t="shared" si="27"/>
        <v>0.15424380712486729</v>
      </c>
      <c r="H123" s="192" t="s">
        <v>254</v>
      </c>
      <c r="I123" s="5" t="s">
        <v>6</v>
      </c>
      <c r="J123" s="150" t="s">
        <v>178</v>
      </c>
      <c r="K123" s="6">
        <f>'Feedstock MIX per IVC'!L113</f>
        <v>7.8616947168910425</v>
      </c>
      <c r="L123" s="2">
        <f t="shared" si="25"/>
        <v>581426.77322132559</v>
      </c>
      <c r="M123" s="5" t="s">
        <v>210</v>
      </c>
      <c r="N123" s="167">
        <v>0.45</v>
      </c>
      <c r="O123" s="2">
        <f t="shared" si="26"/>
        <v>22797222.392826416</v>
      </c>
      <c r="P123" s="18" t="s">
        <v>218</v>
      </c>
      <c r="Q123" s="118">
        <v>0.2</v>
      </c>
      <c r="R123" s="2">
        <f>Q123*R$120</f>
        <v>9357400.0429922547</v>
      </c>
    </row>
    <row r="124" spans="1:19" x14ac:dyDescent="0.35">
      <c r="A124" s="78"/>
      <c r="B124" s="78"/>
      <c r="C124" s="78"/>
      <c r="D124" s="90"/>
      <c r="E124" s="90"/>
      <c r="F124" s="152" t="s">
        <v>180</v>
      </c>
      <c r="G124" s="2">
        <f t="shared" si="27"/>
        <v>2.2163954879626427E-2</v>
      </c>
      <c r="H124" s="192" t="s">
        <v>254</v>
      </c>
      <c r="I124" s="5" t="s">
        <v>7</v>
      </c>
      <c r="J124" s="147" t="s">
        <v>179</v>
      </c>
      <c r="K124" s="6">
        <f>'Feedstock MIX per IVC'!L114</f>
        <v>75.970974837084853</v>
      </c>
      <c r="L124" s="2">
        <f t="shared" si="25"/>
        <v>5618579.7526710238</v>
      </c>
      <c r="M124" t="s">
        <v>213</v>
      </c>
      <c r="N124" s="34">
        <v>0.1</v>
      </c>
      <c r="O124" s="2">
        <f t="shared" si="26"/>
        <v>5066049.4206280932</v>
      </c>
      <c r="P124" s="18" t="s">
        <v>219</v>
      </c>
      <c r="Q124" s="118">
        <v>0.3</v>
      </c>
      <c r="R124" s="2">
        <f>Q124*R$120</f>
        <v>14036100.064488383</v>
      </c>
    </row>
    <row r="125" spans="1:19" x14ac:dyDescent="0.35">
      <c r="A125" s="78"/>
      <c r="B125" s="78"/>
      <c r="C125" s="78"/>
      <c r="D125" s="90"/>
      <c r="E125" s="90"/>
      <c r="F125" s="150" t="s">
        <v>178</v>
      </c>
      <c r="G125" s="2">
        <f t="shared" si="27"/>
        <v>1.1388120312990378E-2</v>
      </c>
      <c r="H125" s="192" t="s">
        <v>254</v>
      </c>
      <c r="I125" s="5" t="s">
        <v>8</v>
      </c>
      <c r="J125" s="147" t="s">
        <v>179</v>
      </c>
      <c r="K125" s="6">
        <f>'Feedstock MIX per IVC'!L115</f>
        <v>15.444255911967806</v>
      </c>
      <c r="L125" s="2">
        <f t="shared" si="25"/>
        <v>1142209.6892679781</v>
      </c>
      <c r="M125" t="s">
        <v>214</v>
      </c>
      <c r="N125" s="34">
        <v>0.25</v>
      </c>
      <c r="O125" s="2">
        <f t="shared" si="26"/>
        <v>12665123.551570231</v>
      </c>
      <c r="P125" s="18" t="s">
        <v>220</v>
      </c>
      <c r="Q125" s="118">
        <v>0.1</v>
      </c>
      <c r="R125" s="2">
        <f>Q125*R$120</f>
        <v>4678700.0214961274</v>
      </c>
    </row>
    <row r="126" spans="1:19" x14ac:dyDescent="0.35">
      <c r="A126" s="78"/>
      <c r="B126" s="78"/>
      <c r="C126" s="78"/>
      <c r="D126" s="90"/>
      <c r="E126" s="90"/>
      <c r="F126" s="213"/>
      <c r="G126" s="2">
        <f>SUM(G121:G125)</f>
        <v>1</v>
      </c>
      <c r="H126" s="192" t="s">
        <v>254</v>
      </c>
      <c r="I126" s="5" t="s">
        <v>9</v>
      </c>
      <c r="J126" s="171" t="s">
        <v>222</v>
      </c>
      <c r="K126" s="6">
        <f>'Feedstock MIX per IVC'!L116</f>
        <v>106.81600699886792</v>
      </c>
      <c r="L126" s="2">
        <f t="shared" si="25"/>
        <v>7899783.5090572424</v>
      </c>
      <c r="M126" t="s">
        <v>216</v>
      </c>
      <c r="N126" s="34">
        <v>0.03</v>
      </c>
      <c r="O126" s="2">
        <f t="shared" si="26"/>
        <v>1519814.8261884276</v>
      </c>
      <c r="Q126" s="34"/>
    </row>
    <row r="127" spans="1:19" x14ac:dyDescent="0.35">
      <c r="A127" s="78"/>
      <c r="B127" s="78"/>
      <c r="C127" s="78"/>
      <c r="D127" s="90"/>
      <c r="E127" s="90"/>
      <c r="F127" s="213"/>
      <c r="H127" s="192" t="s">
        <v>254</v>
      </c>
      <c r="I127" s="5" t="s">
        <v>10</v>
      </c>
      <c r="J127" s="149" t="s">
        <v>176</v>
      </c>
      <c r="K127" s="6">
        <f>'Feedstock MIX per IVC'!L117</f>
        <v>106.48093717481211</v>
      </c>
      <c r="L127" s="2">
        <f t="shared" si="25"/>
        <v>7875002.774925448</v>
      </c>
      <c r="M127" s="2"/>
      <c r="O127" s="2"/>
    </row>
    <row r="128" spans="1:19" x14ac:dyDescent="0.35">
      <c r="A128" s="78"/>
      <c r="B128" s="78"/>
      <c r="C128" s="78"/>
      <c r="D128" s="90"/>
      <c r="E128" s="90"/>
      <c r="F128" s="213"/>
      <c r="H128" s="192" t="s">
        <v>254</v>
      </c>
      <c r="I128" s="5" t="s">
        <v>11</v>
      </c>
      <c r="J128" s="152" t="s">
        <v>180</v>
      </c>
      <c r="K128" s="6">
        <f>'Feedstock MIX per IVC'!L118</f>
        <v>15.300703030315599</v>
      </c>
      <c r="L128" s="2">
        <f t="shared" si="25"/>
        <v>1131592.9594442751</v>
      </c>
    </row>
    <row r="129" spans="1:19" x14ac:dyDescent="0.35">
      <c r="A129" s="78"/>
      <c r="B129" s="78"/>
      <c r="C129" s="78"/>
      <c r="D129" s="90"/>
      <c r="E129" s="90"/>
      <c r="F129" s="213"/>
      <c r="G129" s="99"/>
      <c r="K129" s="6"/>
      <c r="L129" s="2"/>
    </row>
    <row r="130" spans="1:19" x14ac:dyDescent="0.35">
      <c r="A130" s="78"/>
      <c r="B130" s="78"/>
      <c r="C130" s="78"/>
      <c r="D130" s="90"/>
      <c r="E130" s="90"/>
      <c r="F130" s="213"/>
      <c r="G130" s="99"/>
      <c r="L130" s="2"/>
    </row>
    <row r="131" spans="1:19" s="91" customFormat="1" ht="34" customHeight="1" x14ac:dyDescent="0.35">
      <c r="A131" s="91" t="s">
        <v>81</v>
      </c>
      <c r="F131" s="169"/>
    </row>
    <row r="132" spans="1:19" ht="19" customHeight="1" x14ac:dyDescent="0.35">
      <c r="C132" s="2">
        <f>C133+C144+C152</f>
        <v>2101575325.3081117</v>
      </c>
      <c r="D132" s="2">
        <f>D133+D144+D152</f>
        <v>1.0950487245629119</v>
      </c>
      <c r="E132" s="2"/>
      <c r="F132" s="2">
        <f>F133+F144+F152</f>
        <v>2235769.8480940103</v>
      </c>
    </row>
    <row r="133" spans="1:19" s="202" customFormat="1" x14ac:dyDescent="0.35">
      <c r="A133" s="202" t="s">
        <v>309</v>
      </c>
      <c r="B133" s="202">
        <v>935</v>
      </c>
      <c r="C133" s="202">
        <f>B133*F133</f>
        <v>1021020000.0000002</v>
      </c>
      <c r="D133" s="202">
        <f>'[2]GAP analysis Sc. 1'!$C$129</f>
        <v>0.52163943823445114</v>
      </c>
      <c r="E133" s="202">
        <f>'[1]Conversion factors selected IV '!$O$49</f>
        <v>2.0934000000000004</v>
      </c>
      <c r="F133" s="202">
        <f>D133*E133*1000000</f>
        <v>1092000.0000000002</v>
      </c>
      <c r="G133" s="202">
        <f>'LCoP 2040 medium-high'!E10</f>
        <v>559.78499505438765</v>
      </c>
      <c r="H133" s="202">
        <f>G133*F133</f>
        <v>611285214.59939146</v>
      </c>
      <c r="I133" s="209">
        <f>'LCoP 2040 medium-high'!H10</f>
        <v>0.24881873627365625</v>
      </c>
      <c r="L133" s="202">
        <f>I133*H133</f>
        <v>152099214.59939134</v>
      </c>
      <c r="M133" s="209">
        <f>'LCoP 2040 medium-high'!F10</f>
        <v>0.50197844258526181</v>
      </c>
      <c r="O133" s="202">
        <f>M133*H133</f>
        <v>306852000.00000006</v>
      </c>
      <c r="P133" s="209">
        <f>'LCoP 2040 medium-high'!G10</f>
        <v>0.24920282114108194</v>
      </c>
      <c r="R133" s="202">
        <f>P133*H133</f>
        <v>152334000.00000003</v>
      </c>
    </row>
    <row r="134" spans="1:19" x14ac:dyDescent="0.35">
      <c r="C134">
        <f>C133/C132</f>
        <v>0.48583554807882445</v>
      </c>
      <c r="D134" s="2"/>
      <c r="E134" s="2"/>
      <c r="F134" s="147" t="s">
        <v>179</v>
      </c>
      <c r="G134" s="2">
        <f>SUMIF($J$134:$J$143,F134,$L$134:$L$143)/$L$133</f>
        <v>0.59305617147790957</v>
      </c>
      <c r="I134" s="5" t="s">
        <v>4</v>
      </c>
      <c r="J134" s="147" t="s">
        <v>179</v>
      </c>
      <c r="K134" s="6">
        <f>'Feedstock MIX per IVC'!L30</f>
        <v>63.953059487273336</v>
      </c>
      <c r="L134" s="2">
        <f t="shared" ref="L134:L143" si="28">K134*F$133</f>
        <v>69836740.960102499</v>
      </c>
      <c r="M134" s="5" t="s">
        <v>211</v>
      </c>
      <c r="N134" s="34">
        <v>0</v>
      </c>
      <c r="O134" s="2">
        <f t="shared" ref="O134:O139" si="29">N134*O$133</f>
        <v>0</v>
      </c>
      <c r="P134" s="18" t="s">
        <v>217</v>
      </c>
      <c r="Q134" s="34">
        <v>0.25</v>
      </c>
      <c r="R134" s="2">
        <f>Q134*R$133</f>
        <v>38083500.000000007</v>
      </c>
    </row>
    <row r="135" spans="1:19" x14ac:dyDescent="0.35">
      <c r="D135" s="2"/>
      <c r="E135" s="2"/>
      <c r="F135" s="171" t="s">
        <v>222</v>
      </c>
      <c r="G135" s="2">
        <f t="shared" ref="G135:G140" si="30">SUMIF($J$134:$J$143,F135,$L$134:$L$143)/$L$133</f>
        <v>0.14606381828968421</v>
      </c>
      <c r="I135" s="5" t="s">
        <v>5</v>
      </c>
      <c r="J135" s="147" t="s">
        <v>179</v>
      </c>
      <c r="K135" s="6">
        <f>'Feedstock MIX per IVC'!L31</f>
        <v>3.098421527261666</v>
      </c>
      <c r="L135" s="2">
        <f t="shared" si="28"/>
        <v>3383476.30776974</v>
      </c>
      <c r="M135" t="s">
        <v>212</v>
      </c>
      <c r="N135" s="34">
        <v>0.02</v>
      </c>
      <c r="O135" s="2">
        <f t="shared" si="29"/>
        <v>6137040.0000000009</v>
      </c>
      <c r="P135" s="18" t="s">
        <v>177</v>
      </c>
      <c r="Q135" s="34">
        <v>0.15</v>
      </c>
      <c r="R135" s="2">
        <f>Q135*R$133</f>
        <v>22850100.000000004</v>
      </c>
    </row>
    <row r="136" spans="1:19" x14ac:dyDescent="0.35">
      <c r="D136" s="2"/>
      <c r="E136" s="2"/>
      <c r="F136" s="149" t="s">
        <v>176</v>
      </c>
      <c r="G136" s="2">
        <f t="shared" si="30"/>
        <v>0.1414145173424714</v>
      </c>
      <c r="I136" s="5" t="s">
        <v>22</v>
      </c>
      <c r="J136" s="152" t="s">
        <v>180</v>
      </c>
      <c r="K136" s="6">
        <f>'Feedstock MIX per IVC'!L32</f>
        <v>0</v>
      </c>
      <c r="L136" s="2">
        <f t="shared" si="28"/>
        <v>0</v>
      </c>
      <c r="M136" s="5" t="s">
        <v>210</v>
      </c>
      <c r="N136" s="34">
        <v>0.55000000000000004</v>
      </c>
      <c r="O136" s="2">
        <f t="shared" si="29"/>
        <v>168768600.00000006</v>
      </c>
      <c r="P136" s="18" t="s">
        <v>218</v>
      </c>
      <c r="Q136" s="34">
        <v>0.3</v>
      </c>
      <c r="R136" s="2">
        <f>Q136*R$133</f>
        <v>45700200.000000007</v>
      </c>
    </row>
    <row r="137" spans="1:19" x14ac:dyDescent="0.35">
      <c r="D137" s="2"/>
      <c r="E137" s="2"/>
      <c r="F137" s="152" t="s">
        <v>180</v>
      </c>
      <c r="G137" s="2">
        <f t="shared" si="30"/>
        <v>2.4131631519536907E-2</v>
      </c>
      <c r="I137" s="5" t="s">
        <v>6</v>
      </c>
      <c r="J137" s="150" t="s">
        <v>178</v>
      </c>
      <c r="K137" s="6">
        <f>'Feedstock MIX per IVC'!L33</f>
        <v>1.4541435101637046</v>
      </c>
      <c r="L137" s="2">
        <f t="shared" si="28"/>
        <v>1587924.7130987658</v>
      </c>
      <c r="M137" t="s">
        <v>213</v>
      </c>
      <c r="N137" s="34">
        <v>0.1</v>
      </c>
      <c r="O137" s="2">
        <f t="shared" si="29"/>
        <v>30685200.000000007</v>
      </c>
      <c r="P137" s="18" t="s">
        <v>219</v>
      </c>
      <c r="Q137" s="34">
        <v>0.3</v>
      </c>
      <c r="R137" s="2">
        <f>Q137*R$133</f>
        <v>45700200.000000007</v>
      </c>
    </row>
    <row r="138" spans="1:19" x14ac:dyDescent="0.35">
      <c r="D138" s="2"/>
      <c r="E138" s="2"/>
      <c r="F138" s="190" t="s">
        <v>77</v>
      </c>
      <c r="G138" s="2">
        <f t="shared" si="30"/>
        <v>8.4893802772586388E-2</v>
      </c>
      <c r="I138" s="5" t="s">
        <v>7</v>
      </c>
      <c r="J138" s="147" t="s">
        <v>179</v>
      </c>
      <c r="K138" s="6">
        <f>'Feedstock MIX per IVC'!L34</f>
        <v>12.69345630781771</v>
      </c>
      <c r="L138" s="2">
        <f t="shared" si="28"/>
        <v>13861254.288136942</v>
      </c>
      <c r="M138" t="s">
        <v>214</v>
      </c>
      <c r="N138" s="34">
        <v>0.3</v>
      </c>
      <c r="O138" s="2">
        <f t="shared" si="29"/>
        <v>92055600.000000015</v>
      </c>
      <c r="P138" s="18" t="s">
        <v>220</v>
      </c>
      <c r="Q138" s="223">
        <v>0</v>
      </c>
      <c r="R138" s="2">
        <f>Q138*R$133</f>
        <v>0</v>
      </c>
    </row>
    <row r="139" spans="1:19" x14ac:dyDescent="0.35">
      <c r="D139" s="2"/>
      <c r="E139" s="2"/>
      <c r="F139" s="150" t="s">
        <v>178</v>
      </c>
      <c r="G139" s="2">
        <f t="shared" si="30"/>
        <v>1.044005859781159E-2</v>
      </c>
      <c r="I139" s="5" t="s">
        <v>8</v>
      </c>
      <c r="J139" s="147" t="s">
        <v>179</v>
      </c>
      <c r="K139" s="6">
        <f>'Feedstock MIX per IVC'!L35</f>
        <v>2.8588885889219817</v>
      </c>
      <c r="L139" s="2">
        <f t="shared" si="28"/>
        <v>3121906.3391028047</v>
      </c>
      <c r="M139" t="s">
        <v>216</v>
      </c>
      <c r="N139" s="34">
        <v>0.03</v>
      </c>
      <c r="O139" s="2">
        <f t="shared" si="29"/>
        <v>9205560.0000000019</v>
      </c>
    </row>
    <row r="140" spans="1:19" x14ac:dyDescent="0.35">
      <c r="D140" s="2"/>
      <c r="E140" s="2"/>
      <c r="F140" s="151" t="s">
        <v>78</v>
      </c>
      <c r="G140" s="2">
        <f t="shared" si="30"/>
        <v>0</v>
      </c>
      <c r="I140" s="5" t="s">
        <v>9</v>
      </c>
      <c r="J140" s="171" t="s">
        <v>222</v>
      </c>
      <c r="K140" s="6">
        <f>'Feedstock MIX per IVC'!L36</f>
        <v>20.344498208103641</v>
      </c>
      <c r="L140" s="2">
        <f t="shared" si="28"/>
        <v>22216192.043249179</v>
      </c>
      <c r="M140" s="2"/>
    </row>
    <row r="141" spans="1:19" x14ac:dyDescent="0.35">
      <c r="D141" s="2"/>
      <c r="E141" s="2"/>
      <c r="F141" s="2"/>
      <c r="G141" s="2">
        <f>SUM(G134:G140)</f>
        <v>1</v>
      </c>
      <c r="I141" s="5" t="s">
        <v>10</v>
      </c>
      <c r="J141" s="149" t="s">
        <v>176</v>
      </c>
      <c r="K141" s="6">
        <f>'Feedstock MIX per IVC'!L37</f>
        <v>19.696920348664744</v>
      </c>
      <c r="L141" s="2">
        <f t="shared" si="28"/>
        <v>21509037.020741906</v>
      </c>
    </row>
    <row r="142" spans="1:19" s="31" customFormat="1" x14ac:dyDescent="0.35">
      <c r="I142" s="5" t="s">
        <v>11</v>
      </c>
      <c r="J142" s="152" t="s">
        <v>180</v>
      </c>
      <c r="K142" s="6">
        <f>'Feedstock MIX per IVC'!L38</f>
        <v>3.361174176853003</v>
      </c>
      <c r="L142" s="2">
        <f t="shared" si="28"/>
        <v>3670402.2011234802</v>
      </c>
    </row>
    <row r="143" spans="1:19" x14ac:dyDescent="0.35">
      <c r="D143" s="2"/>
      <c r="E143" s="2"/>
      <c r="I143" s="13" t="s">
        <v>25</v>
      </c>
      <c r="J143" s="190" t="s">
        <v>77</v>
      </c>
      <c r="K143" s="6">
        <f>'Feedstock MIX per IVC'!L39</f>
        <v>11.824432899327856</v>
      </c>
      <c r="L143" s="2">
        <f t="shared" si="28"/>
        <v>12912280.726066021</v>
      </c>
    </row>
    <row r="144" spans="1:19" s="202" customFormat="1" x14ac:dyDescent="0.35">
      <c r="A144" s="202" t="s">
        <v>27</v>
      </c>
      <c r="B144" s="202">
        <v>935</v>
      </c>
      <c r="C144" s="202">
        <f>B144*F144</f>
        <v>1021020000.0000002</v>
      </c>
      <c r="D144" s="202">
        <f>'[2]GAP analysis Sc. 1'!$C$130</f>
        <v>0.52163943823445114</v>
      </c>
      <c r="E144" s="202">
        <f>'[1]Conversion factors selected IV '!$O$49</f>
        <v>2.0934000000000004</v>
      </c>
      <c r="F144" s="202">
        <f>D144*E144*1000000</f>
        <v>1092000.0000000002</v>
      </c>
      <c r="G144" s="202">
        <f>'LCoP 2040 medium-high'!E11</f>
        <v>936</v>
      </c>
      <c r="H144" s="202">
        <f>G144*F144</f>
        <v>1022112000.0000002</v>
      </c>
      <c r="I144" s="209">
        <f>'LCoP 2040 medium-high'!H11</f>
        <v>0.75641025641025639</v>
      </c>
      <c r="L144" s="202">
        <f>I144*H144</f>
        <v>773136000.00000012</v>
      </c>
      <c r="M144" s="209">
        <f>'LCoP 2040 medium-high'!F11</f>
        <v>0.14529914529914531</v>
      </c>
      <c r="O144" s="202">
        <f>M144*H144</f>
        <v>148512000.00000006</v>
      </c>
      <c r="P144" s="209">
        <f>'LCoP 2040 medium-high'!G11</f>
        <v>9.8290598290598288E-2</v>
      </c>
      <c r="R144" s="202">
        <f>P144*H144</f>
        <v>100464000.00000001</v>
      </c>
      <c r="S144" s="209"/>
    </row>
    <row r="145" spans="1:19" x14ac:dyDescent="0.35">
      <c r="F145" s="151" t="s">
        <v>79</v>
      </c>
      <c r="G145">
        <v>1</v>
      </c>
      <c r="I145" s="13" t="s">
        <v>28</v>
      </c>
      <c r="J145" s="151" t="s">
        <v>79</v>
      </c>
      <c r="L145" s="2">
        <f>L144</f>
        <v>773136000.00000012</v>
      </c>
      <c r="M145" s="5" t="s">
        <v>211</v>
      </c>
      <c r="N145" s="34">
        <v>0</v>
      </c>
      <c r="O145" s="2">
        <f t="shared" ref="O145:O150" si="31">N145*O$144</f>
        <v>0</v>
      </c>
      <c r="P145" s="18" t="s">
        <v>217</v>
      </c>
      <c r="Q145" s="34">
        <v>0.25</v>
      </c>
      <c r="R145" s="2">
        <f t="shared" ref="R145:R150" si="32">Q145*R$144</f>
        <v>25116000.000000004</v>
      </c>
    </row>
    <row r="146" spans="1:19" x14ac:dyDescent="0.35">
      <c r="M146" t="s">
        <v>212</v>
      </c>
      <c r="N146" s="34">
        <v>0.02</v>
      </c>
      <c r="O146" s="2">
        <f t="shared" si="31"/>
        <v>2970240.0000000014</v>
      </c>
      <c r="P146" s="18" t="s">
        <v>177</v>
      </c>
      <c r="Q146" s="34">
        <v>0.15</v>
      </c>
      <c r="R146" s="2">
        <f t="shared" si="32"/>
        <v>15069600.000000002</v>
      </c>
    </row>
    <row r="147" spans="1:19" x14ac:dyDescent="0.35">
      <c r="M147" s="5" t="s">
        <v>210</v>
      </c>
      <c r="N147" s="34">
        <v>0.55000000000000004</v>
      </c>
      <c r="O147" s="2">
        <f t="shared" si="31"/>
        <v>81681600.000000045</v>
      </c>
      <c r="P147" s="18" t="s">
        <v>218</v>
      </c>
      <c r="Q147" s="34">
        <v>0.3</v>
      </c>
      <c r="R147" s="2">
        <f t="shared" si="32"/>
        <v>30139200.000000004</v>
      </c>
    </row>
    <row r="148" spans="1:19" x14ac:dyDescent="0.35">
      <c r="M148" t="s">
        <v>213</v>
      </c>
      <c r="N148" s="34">
        <v>0.1</v>
      </c>
      <c r="O148" s="2">
        <f t="shared" si="31"/>
        <v>14851200.000000007</v>
      </c>
      <c r="P148" s="18" t="s">
        <v>219</v>
      </c>
      <c r="Q148" s="34">
        <v>0.3</v>
      </c>
      <c r="R148" s="2">
        <f t="shared" si="32"/>
        <v>30139200.000000004</v>
      </c>
    </row>
    <row r="149" spans="1:19" x14ac:dyDescent="0.35">
      <c r="M149" t="s">
        <v>214</v>
      </c>
      <c r="N149" s="34">
        <v>0.3</v>
      </c>
      <c r="O149" s="2">
        <f t="shared" si="31"/>
        <v>44553600.000000015</v>
      </c>
      <c r="P149" s="18" t="s">
        <v>220</v>
      </c>
      <c r="Q149" s="223">
        <v>0</v>
      </c>
      <c r="R149" s="2">
        <f t="shared" si="32"/>
        <v>0</v>
      </c>
    </row>
    <row r="150" spans="1:19" x14ac:dyDescent="0.35">
      <c r="M150" t="s">
        <v>216</v>
      </c>
      <c r="N150" s="34">
        <v>0.03</v>
      </c>
      <c r="O150" s="2">
        <f t="shared" si="31"/>
        <v>4455360.0000000019</v>
      </c>
      <c r="R150" s="2">
        <f t="shared" si="32"/>
        <v>0</v>
      </c>
    </row>
    <row r="152" spans="1:19" x14ac:dyDescent="0.35">
      <c r="A152" s="201" t="s">
        <v>342</v>
      </c>
      <c r="B152" s="201">
        <v>1150</v>
      </c>
      <c r="C152" s="202">
        <f>B152*F152</f>
        <v>59535325.308111154</v>
      </c>
      <c r="D152" s="208">
        <f>'[2]GAP analysis Sc. 1'!$C$127</f>
        <v>5.1769848094009703E-2</v>
      </c>
      <c r="E152" s="208">
        <f>'[1]Conversion factors selected IV '!$O$125</f>
        <v>1</v>
      </c>
      <c r="F152" s="202">
        <f>D152*E152*1000000</f>
        <v>51769.8480940097</v>
      </c>
      <c r="G152" s="208">
        <f>'LCoP 2040 medium-high'!E22</f>
        <v>2007.9667333871371</v>
      </c>
      <c r="H152" s="203">
        <f>G152*F152</f>
        <v>103952132.76527697</v>
      </c>
      <c r="I152" s="208">
        <f>'LCoP 2040 medium-high'!H22</f>
        <v>0.34380137972835562</v>
      </c>
      <c r="J152" s="201"/>
      <c r="K152" s="201"/>
      <c r="L152" s="202">
        <f>I152*H152</f>
        <v>35738886.670407422</v>
      </c>
      <c r="M152" s="208">
        <f>'LCoP 2040 medium-high'!F22</f>
        <v>0.34114110986515611</v>
      </c>
      <c r="N152" s="201"/>
      <c r="O152" s="202">
        <f>M152*H152</f>
        <v>35462345.944396645</v>
      </c>
      <c r="P152" s="208">
        <f>'LCoP 2040 medium-high'!G22</f>
        <v>0.31505751040648816</v>
      </c>
      <c r="Q152" s="201"/>
      <c r="R152" s="202">
        <f>P152*H152</f>
        <v>32750900.150472887</v>
      </c>
      <c r="S152" s="203">
        <f>R152+O152+L152</f>
        <v>103952132.76527694</v>
      </c>
    </row>
    <row r="153" spans="1:19" x14ac:dyDescent="0.35">
      <c r="C153">
        <f>C152/$C$132</f>
        <v>2.8328903842351066E-2</v>
      </c>
      <c r="D153" s="6"/>
      <c r="E153" s="6"/>
      <c r="F153" s="147" t="s">
        <v>179</v>
      </c>
      <c r="G153" s="6">
        <f>SUMIF($J$153:$J$160,F153,$L$153:$L$160)/$L$152</f>
        <v>0.6574749425031754</v>
      </c>
      <c r="H153" s="192" t="s">
        <v>254</v>
      </c>
      <c r="I153" s="5" t="s">
        <v>4</v>
      </c>
      <c r="J153" s="147" t="s">
        <v>179</v>
      </c>
      <c r="K153" s="6">
        <f>'Feedstock MIX per IVC'!L111</f>
        <v>345.71663290015738</v>
      </c>
      <c r="L153" s="2">
        <f t="shared" ref="L153:L160" si="33">K153*F$152</f>
        <v>17897697.568813663</v>
      </c>
      <c r="M153" s="5" t="s">
        <v>211</v>
      </c>
      <c r="N153" s="167">
        <v>0.15</v>
      </c>
      <c r="O153" s="2">
        <f t="shared" ref="O153:O158" si="34">N153*O$152</f>
        <v>5319351.8916594964</v>
      </c>
      <c r="P153" s="18" t="s">
        <v>217</v>
      </c>
      <c r="Q153" s="118">
        <v>0.15</v>
      </c>
      <c r="R153" s="2">
        <f>Q153*R$152</f>
        <v>4912635.0225709332</v>
      </c>
    </row>
    <row r="154" spans="1:19" x14ac:dyDescent="0.35">
      <c r="D154" s="6"/>
      <c r="E154" s="6"/>
      <c r="F154" s="171" t="s">
        <v>222</v>
      </c>
      <c r="G154" s="6">
        <f>SUMIF($J$153:$J$160,F154,$L$153:$L$160)/$L$152</f>
        <v>0.15472917517934054</v>
      </c>
      <c r="H154" s="192" t="s">
        <v>254</v>
      </c>
      <c r="I154" s="5" t="s">
        <v>5</v>
      </c>
      <c r="J154" s="147" t="s">
        <v>179</v>
      </c>
      <c r="K154" s="6">
        <f>'Feedstock MIX per IVC'!L112</f>
        <v>16.750527817040226</v>
      </c>
      <c r="L154" s="2">
        <f t="shared" si="33"/>
        <v>867172.28058265639</v>
      </c>
      <c r="M154" t="s">
        <v>212</v>
      </c>
      <c r="N154" s="34">
        <v>0.02</v>
      </c>
      <c r="O154" s="2">
        <f t="shared" si="34"/>
        <v>709246.9188879329</v>
      </c>
      <c r="P154" s="18" t="s">
        <v>177</v>
      </c>
      <c r="Q154" s="118">
        <v>0.25</v>
      </c>
      <c r="R154" s="2">
        <f>Q154*R$152</f>
        <v>8187725.0376182217</v>
      </c>
    </row>
    <row r="155" spans="1:19" x14ac:dyDescent="0.35">
      <c r="D155" s="6"/>
      <c r="E155" s="6"/>
      <c r="F155" s="149" t="s">
        <v>176</v>
      </c>
      <c r="G155" s="6">
        <f>SUMIF($J$153:$J$160,F155,$L$153:$L$160)/$L$152</f>
        <v>0.15424380712486729</v>
      </c>
      <c r="H155" s="192" t="s">
        <v>254</v>
      </c>
      <c r="I155" s="5" t="s">
        <v>6</v>
      </c>
      <c r="J155" s="150" t="s">
        <v>178</v>
      </c>
      <c r="K155" s="6">
        <f>'Feedstock MIX per IVC'!L113</f>
        <v>7.8616947168910425</v>
      </c>
      <c r="L155" s="2">
        <f t="shared" si="33"/>
        <v>406998.74125492788</v>
      </c>
      <c r="M155" s="5" t="s">
        <v>210</v>
      </c>
      <c r="N155" s="167">
        <v>0.45</v>
      </c>
      <c r="O155" s="2">
        <f t="shared" si="34"/>
        <v>15958055.674978491</v>
      </c>
      <c r="P155" s="18" t="s">
        <v>218</v>
      </c>
      <c r="Q155" s="118">
        <v>0.2</v>
      </c>
      <c r="R155" s="2">
        <f>Q155*R$152</f>
        <v>6550180.0300945779</v>
      </c>
      <c r="S155" s="2"/>
    </row>
    <row r="156" spans="1:19" x14ac:dyDescent="0.35">
      <c r="D156" s="6"/>
      <c r="E156" s="6"/>
      <c r="F156" s="150" t="s">
        <v>178</v>
      </c>
      <c r="G156" s="6">
        <f>SUMIF($J$153:$J$160,F156,$L$153:$L$160)/$L$152</f>
        <v>1.138812031299038E-2</v>
      </c>
      <c r="H156" s="192" t="s">
        <v>254</v>
      </c>
      <c r="I156" s="5" t="s">
        <v>7</v>
      </c>
      <c r="J156" s="147" t="s">
        <v>179</v>
      </c>
      <c r="K156" s="6">
        <f>'Feedstock MIX per IVC'!L114</f>
        <v>75.970974837084853</v>
      </c>
      <c r="L156" s="2">
        <f t="shared" si="33"/>
        <v>3933005.8268697159</v>
      </c>
      <c r="M156" t="s">
        <v>213</v>
      </c>
      <c r="N156" s="34">
        <v>0.1</v>
      </c>
      <c r="O156" s="2">
        <f t="shared" si="34"/>
        <v>3546234.5944396649</v>
      </c>
      <c r="P156" s="18" t="s">
        <v>219</v>
      </c>
      <c r="Q156" s="118">
        <v>0.3</v>
      </c>
      <c r="R156" s="2">
        <f>Q156*R$152</f>
        <v>9825270.0451418664</v>
      </c>
    </row>
    <row r="157" spans="1:19" x14ac:dyDescent="0.35">
      <c r="D157" s="6"/>
      <c r="E157" s="6"/>
      <c r="F157" s="152" t="s">
        <v>180</v>
      </c>
      <c r="G157" s="6">
        <f>SUMIF($J$153:$J$160,F157,$L$153:$L$160)/$L$152</f>
        <v>2.2163954879626427E-2</v>
      </c>
      <c r="H157" s="192" t="s">
        <v>254</v>
      </c>
      <c r="I157" s="5" t="s">
        <v>8</v>
      </c>
      <c r="J157" s="147" t="s">
        <v>179</v>
      </c>
      <c r="K157" s="6">
        <f>'Feedstock MIX per IVC'!L115</f>
        <v>15.444255911967806</v>
      </c>
      <c r="L157" s="2">
        <f t="shared" si="33"/>
        <v>799546.78248758463</v>
      </c>
      <c r="M157" t="s">
        <v>214</v>
      </c>
      <c r="N157" s="34">
        <v>0.25</v>
      </c>
      <c r="O157" s="2">
        <f t="shared" si="34"/>
        <v>8865586.4860991612</v>
      </c>
      <c r="P157" s="18" t="s">
        <v>220</v>
      </c>
      <c r="Q157" s="118">
        <v>0.1</v>
      </c>
      <c r="R157" s="2">
        <f>Q157*R$152</f>
        <v>3275090.015047289</v>
      </c>
    </row>
    <row r="158" spans="1:19" x14ac:dyDescent="0.35">
      <c r="D158" s="6"/>
      <c r="E158" s="6"/>
      <c r="F158" s="31"/>
      <c r="G158" s="6">
        <f>SUM(G153:G157)</f>
        <v>1</v>
      </c>
      <c r="H158" s="192" t="s">
        <v>254</v>
      </c>
      <c r="I158" s="5" t="s">
        <v>9</v>
      </c>
      <c r="J158" s="171" t="s">
        <v>222</v>
      </c>
      <c r="K158" s="6">
        <f>'Feedstock MIX per IVC'!L116</f>
        <v>106.81600699886792</v>
      </c>
      <c r="L158" s="2">
        <f t="shared" si="33"/>
        <v>5529848.456340069</v>
      </c>
      <c r="M158" t="s">
        <v>216</v>
      </c>
      <c r="N158" s="34">
        <v>0.03</v>
      </c>
      <c r="O158" s="2">
        <f t="shared" si="34"/>
        <v>1063870.3783318994</v>
      </c>
      <c r="Q158" s="34">
        <f>SUM(Q153:Q157)</f>
        <v>1.0000000000000002</v>
      </c>
      <c r="R158" s="2"/>
    </row>
    <row r="159" spans="1:19" x14ac:dyDescent="0.35">
      <c r="D159" s="6"/>
      <c r="E159" s="6"/>
      <c r="F159" s="31"/>
      <c r="G159" s="6"/>
      <c r="H159" s="192" t="s">
        <v>254</v>
      </c>
      <c r="I159" s="5" t="s">
        <v>10</v>
      </c>
      <c r="J159" s="149" t="s">
        <v>176</v>
      </c>
      <c r="K159" s="6">
        <f>'Feedstock MIX per IVC'!L117</f>
        <v>106.48093717481211</v>
      </c>
      <c r="L159" s="2">
        <f t="shared" si="33"/>
        <v>5512501.9424478132</v>
      </c>
    </row>
    <row r="160" spans="1:19" x14ac:dyDescent="0.35">
      <c r="D160" s="6"/>
      <c r="E160" s="6"/>
      <c r="F160" s="31"/>
      <c r="G160" s="6"/>
      <c r="H160" s="192" t="s">
        <v>254</v>
      </c>
      <c r="I160" s="5" t="s">
        <v>11</v>
      </c>
      <c r="J160" s="152" t="s">
        <v>180</v>
      </c>
      <c r="K160" s="6">
        <f>'Feedstock MIX per IVC'!L118</f>
        <v>15.300703030315599</v>
      </c>
      <c r="L160" s="2">
        <f t="shared" si="33"/>
        <v>792115.07161099243</v>
      </c>
      <c r="M160" s="2"/>
    </row>
    <row r="161" spans="1:19" x14ac:dyDescent="0.35">
      <c r="D161" s="6"/>
      <c r="E161" s="6"/>
      <c r="F161" s="31"/>
      <c r="G161" s="6"/>
      <c r="H161" s="6"/>
      <c r="I161" s="6"/>
      <c r="J161" s="6"/>
      <c r="K161" s="6"/>
      <c r="L161" s="2"/>
    </row>
    <row r="162" spans="1:19" x14ac:dyDescent="0.35">
      <c r="A162" s="229" t="s">
        <v>350</v>
      </c>
      <c r="B162" s="229"/>
      <c r="C162" s="229"/>
      <c r="D162" s="190"/>
      <c r="E162" s="190"/>
      <c r="F162" s="198"/>
      <c r="G162" s="190"/>
      <c r="H162" s="190"/>
      <c r="I162" s="190"/>
      <c r="J162" s="190"/>
      <c r="K162" s="190"/>
      <c r="L162" s="190"/>
      <c r="M162" s="190"/>
      <c r="N162" s="190"/>
      <c r="O162" s="190"/>
      <c r="P162" s="190"/>
      <c r="Q162" s="190"/>
      <c r="R162" s="190"/>
      <c r="S162" s="190"/>
    </row>
    <row r="163" spans="1:19" x14ac:dyDescent="0.35">
      <c r="B163" s="2">
        <f>C163/1000000</f>
        <v>1407.8914285714288</v>
      </c>
      <c r="C163" s="2">
        <f>C164+C171</f>
        <v>1407891428.5714288</v>
      </c>
      <c r="D163" s="2">
        <f>D164+D171</f>
        <v>0.8842926749375587</v>
      </c>
      <c r="F163" s="2">
        <f>F164+F171</f>
        <v>1395428.5714285716</v>
      </c>
      <c r="L163" s="2">
        <f>L164+L171</f>
        <v>833507966.26131082</v>
      </c>
      <c r="O163" s="2">
        <f>O164+O171</f>
        <v>101082857.14285715</v>
      </c>
      <c r="R163" s="2">
        <f>R164+R171</f>
        <v>58114285.714285709</v>
      </c>
      <c r="S163" s="2">
        <f>SUM(S164,S171)</f>
        <v>992705109.11845374</v>
      </c>
    </row>
    <row r="164" spans="1:19" x14ac:dyDescent="0.35">
      <c r="A164" s="202" t="s">
        <v>351</v>
      </c>
      <c r="B164" s="202">
        <v>935</v>
      </c>
      <c r="C164" s="202">
        <f>B164*F164</f>
        <v>1021020000.0000002</v>
      </c>
      <c r="D164" s="284">
        <f>'[2]GAP analysis Sc. 1'!$C$146+'[2]GAP analysis Sc. 1'!$C$147</f>
        <v>0.52163943823445114</v>
      </c>
      <c r="E164" s="202">
        <f>'[1]Conversion factors selected IV '!$O$50</f>
        <v>2.0934000000000004</v>
      </c>
      <c r="F164" s="202">
        <f>D164*E164*1000000</f>
        <v>1092000.0000000002</v>
      </c>
      <c r="G164" s="202">
        <f>'LCoP 2040 medium-high'!E12</f>
        <v>370.61968567880001</v>
      </c>
      <c r="H164" s="202">
        <f>G164*F164</f>
        <v>404716696.76124972</v>
      </c>
      <c r="I164" s="209">
        <f>'LCoP 2040 medium-high'!H12</f>
        <v>0.78751803251959696</v>
      </c>
      <c r="J164" s="202"/>
      <c r="K164" s="202"/>
      <c r="L164" s="202">
        <f>I164*H164</f>
        <v>318721696.76124972</v>
      </c>
      <c r="M164" s="209">
        <f>'LCoP 2040 medium-high'!F12</f>
        <v>0.1537964717001013</v>
      </c>
      <c r="N164" s="202"/>
      <c r="O164" s="202">
        <f>M164*H164</f>
        <v>62244000.000000022</v>
      </c>
      <c r="P164" s="209">
        <f>'LCoP 2040 medium-high'!G12</f>
        <v>5.8685495780301807E-2</v>
      </c>
      <c r="Q164" s="202"/>
      <c r="R164" s="202">
        <f>P164*H164</f>
        <v>23751000.000000007</v>
      </c>
      <c r="S164" s="202">
        <f>L164+O164+R164</f>
        <v>404716696.76124972</v>
      </c>
    </row>
    <row r="165" spans="1:19" x14ac:dyDescent="0.35">
      <c r="E165" s="1"/>
      <c r="F165" s="242" t="s">
        <v>177</v>
      </c>
      <c r="G165">
        <v>1</v>
      </c>
      <c r="I165" s="15" t="s">
        <v>30</v>
      </c>
      <c r="J165" s="242" t="s">
        <v>177</v>
      </c>
      <c r="L165" s="2">
        <f>L164</f>
        <v>318721696.76124972</v>
      </c>
      <c r="M165" s="5" t="s">
        <v>211</v>
      </c>
      <c r="N165" s="34">
        <v>0.2</v>
      </c>
      <c r="O165" s="2">
        <f t="shared" ref="O165:O170" si="35">N165*$O$164</f>
        <v>12448800.000000006</v>
      </c>
      <c r="P165" s="18" t="s">
        <v>217</v>
      </c>
      <c r="Q165" s="34">
        <v>0.35</v>
      </c>
      <c r="R165" s="2">
        <f>Q165*$R$164</f>
        <v>8312850.0000000019</v>
      </c>
    </row>
    <row r="166" spans="1:19" x14ac:dyDescent="0.35">
      <c r="E166" s="1"/>
      <c r="M166" t="s">
        <v>212</v>
      </c>
      <c r="N166" s="34">
        <v>7.0000000000000007E-2</v>
      </c>
      <c r="O166" s="2">
        <f t="shared" si="35"/>
        <v>4357080.0000000019</v>
      </c>
      <c r="P166" s="18" t="s">
        <v>177</v>
      </c>
      <c r="Q166" s="34">
        <v>0.15</v>
      </c>
      <c r="R166" s="2">
        <f>Q166*$R$164</f>
        <v>3562650.0000000009</v>
      </c>
    </row>
    <row r="167" spans="1:19" x14ac:dyDescent="0.35">
      <c r="E167" s="1"/>
      <c r="M167" s="5" t="s">
        <v>210</v>
      </c>
      <c r="N167" s="34">
        <v>0.4</v>
      </c>
      <c r="O167" s="2">
        <f t="shared" si="35"/>
        <v>24897600.000000011</v>
      </c>
      <c r="P167" s="18" t="s">
        <v>218</v>
      </c>
      <c r="Q167" s="34">
        <v>0.12</v>
      </c>
      <c r="R167" s="2">
        <f>Q167*$R$164</f>
        <v>2850120.0000000009</v>
      </c>
    </row>
    <row r="168" spans="1:19" x14ac:dyDescent="0.35">
      <c r="E168" s="1"/>
      <c r="M168" t="s">
        <v>213</v>
      </c>
      <c r="N168" s="34">
        <v>0.15</v>
      </c>
      <c r="O168" s="2">
        <f t="shared" si="35"/>
        <v>9336600.0000000037</v>
      </c>
      <c r="P168" s="18" t="s">
        <v>219</v>
      </c>
      <c r="Q168" s="34">
        <v>0.3</v>
      </c>
      <c r="R168" s="2">
        <f>Q168*$R$164</f>
        <v>7125300.0000000019</v>
      </c>
    </row>
    <row r="169" spans="1:19" x14ac:dyDescent="0.35">
      <c r="E169" s="1"/>
      <c r="M169" t="s">
        <v>214</v>
      </c>
      <c r="N169" s="34">
        <v>0.15</v>
      </c>
      <c r="O169" s="2">
        <f t="shared" si="35"/>
        <v>9336600.0000000037</v>
      </c>
      <c r="P169" s="18" t="s">
        <v>220</v>
      </c>
      <c r="Q169" s="34">
        <v>0.08</v>
      </c>
      <c r="R169" s="2">
        <f>Q169*$R$164</f>
        <v>1900080.0000000007</v>
      </c>
    </row>
    <row r="170" spans="1:19" x14ac:dyDescent="0.35">
      <c r="E170" s="1"/>
      <c r="M170" t="s">
        <v>216</v>
      </c>
      <c r="N170" s="34">
        <v>0.03</v>
      </c>
      <c r="O170" s="2">
        <f t="shared" si="35"/>
        <v>1867320.0000000007</v>
      </c>
      <c r="Q170" s="34">
        <f>SUM(Q165:Q169)</f>
        <v>0.99999999999999989</v>
      </c>
    </row>
    <row r="171" spans="1:19" x14ac:dyDescent="0.35">
      <c r="A171" s="202" t="s">
        <v>352</v>
      </c>
      <c r="B171" s="202">
        <v>1275</v>
      </c>
      <c r="C171" s="202">
        <f>B171*F171</f>
        <v>386871428.57142842</v>
      </c>
      <c r="D171" s="284">
        <f>'[2]GAP analysis Sc. 1'!$C$145</f>
        <v>0.36265323670310756</v>
      </c>
      <c r="E171" s="202">
        <f>'[1]Conversion factors selected IV '!$O$62</f>
        <v>0.83669064748201449</v>
      </c>
      <c r="F171" s="202">
        <f>D171*E171*1000000</f>
        <v>303428.5714285713</v>
      </c>
      <c r="G171" s="202">
        <f>'LCoP 2040 medium-high'!E14</f>
        <v>1937.8149183147032</v>
      </c>
      <c r="H171" s="202">
        <f>G171*F171</f>
        <v>587988412.35720396</v>
      </c>
      <c r="I171" s="209">
        <f>'LCoP 2040 medium-high'!H14</f>
        <v>0.87550410634168685</v>
      </c>
      <c r="J171" s="202"/>
      <c r="K171" s="202"/>
      <c r="L171" s="202">
        <f>I171*H171</f>
        <v>514786269.50006109</v>
      </c>
      <c r="M171" s="209">
        <f>'LCoP 2040 medium-high'!F14</f>
        <v>6.6053779847726757E-2</v>
      </c>
      <c r="N171" s="202"/>
      <c r="O171" s="202">
        <f>M171*H171</f>
        <v>38838857.142857127</v>
      </c>
      <c r="P171" s="209">
        <f>'LCoP 2040 medium-high'!G14</f>
        <v>5.8442113810586366E-2</v>
      </c>
      <c r="Q171" s="202"/>
      <c r="R171" s="202">
        <f>P171*H171</f>
        <v>34363285.714285702</v>
      </c>
      <c r="S171" s="202">
        <f>L171+O171+R171</f>
        <v>587988412.35720396</v>
      </c>
    </row>
    <row r="172" spans="1:19" x14ac:dyDescent="0.35">
      <c r="E172" s="1"/>
      <c r="F172" s="242" t="s">
        <v>177</v>
      </c>
      <c r="G172">
        <v>1</v>
      </c>
      <c r="I172" s="15" t="s">
        <v>30</v>
      </c>
      <c r="J172" s="242" t="s">
        <v>177</v>
      </c>
      <c r="L172" s="2">
        <f>L171</f>
        <v>514786269.50006109</v>
      </c>
      <c r="M172" s="5" t="s">
        <v>211</v>
      </c>
      <c r="N172" s="34">
        <v>0.2</v>
      </c>
      <c r="O172" s="2">
        <f t="shared" ref="O172:O177" si="36">N172*$O$171</f>
        <v>7767771.4285714254</v>
      </c>
      <c r="P172" s="18" t="s">
        <v>217</v>
      </c>
      <c r="Q172" s="34">
        <v>0.35</v>
      </c>
      <c r="R172" s="2">
        <f>Q172*$R$171</f>
        <v>12027149.999999994</v>
      </c>
    </row>
    <row r="173" spans="1:19" x14ac:dyDescent="0.35">
      <c r="M173" t="s">
        <v>212</v>
      </c>
      <c r="N173" s="34">
        <v>7.0000000000000007E-2</v>
      </c>
      <c r="O173" s="2">
        <f t="shared" si="36"/>
        <v>2718719.9999999991</v>
      </c>
      <c r="P173" s="18" t="s">
        <v>177</v>
      </c>
      <c r="Q173" s="34">
        <v>0.15</v>
      </c>
      <c r="R173" s="2">
        <f>Q173*$R$171</f>
        <v>5154492.8571428554</v>
      </c>
    </row>
    <row r="174" spans="1:19" x14ac:dyDescent="0.35">
      <c r="M174" s="5" t="s">
        <v>210</v>
      </c>
      <c r="N174" s="34">
        <v>0.4</v>
      </c>
      <c r="O174" s="2">
        <f t="shared" si="36"/>
        <v>15535542.857142851</v>
      </c>
      <c r="P174" s="18" t="s">
        <v>218</v>
      </c>
      <c r="Q174" s="34">
        <v>0.12</v>
      </c>
      <c r="R174" s="2">
        <f>Q174*$R$171</f>
        <v>4123594.2857142841</v>
      </c>
    </row>
    <row r="175" spans="1:19" x14ac:dyDescent="0.35">
      <c r="M175" t="s">
        <v>213</v>
      </c>
      <c r="N175" s="34">
        <v>0.15</v>
      </c>
      <c r="O175" s="2">
        <f t="shared" si="36"/>
        <v>5825828.571428569</v>
      </c>
      <c r="P175" s="18" t="s">
        <v>219</v>
      </c>
      <c r="Q175" s="34">
        <v>0.3</v>
      </c>
      <c r="R175" s="2">
        <f>Q175*$R$171</f>
        <v>10308985.714285711</v>
      </c>
    </row>
    <row r="176" spans="1:19" x14ac:dyDescent="0.35">
      <c r="M176" t="s">
        <v>214</v>
      </c>
      <c r="N176" s="34">
        <v>0.15</v>
      </c>
      <c r="O176" s="2">
        <f t="shared" si="36"/>
        <v>5825828.571428569</v>
      </c>
      <c r="P176" s="18" t="s">
        <v>220</v>
      </c>
      <c r="Q176" s="34">
        <v>0.08</v>
      </c>
      <c r="R176" s="2">
        <f>Q176*$R$171</f>
        <v>2749062.8571428563</v>
      </c>
    </row>
    <row r="177" spans="1:19" x14ac:dyDescent="0.35">
      <c r="M177" t="s">
        <v>216</v>
      </c>
      <c r="N177" s="34">
        <v>0.03</v>
      </c>
      <c r="O177" s="2">
        <f t="shared" si="36"/>
        <v>1165165.7142857139</v>
      </c>
      <c r="Q177" s="34">
        <f>SUM(Q172:Q176)</f>
        <v>0.99999999999999989</v>
      </c>
    </row>
    <row r="178" spans="1:19" x14ac:dyDescent="0.35">
      <c r="O178" s="2">
        <f>SUM(O172:O177)</f>
        <v>38838857.142857127</v>
      </c>
      <c r="R178" s="2">
        <f>SUM(R172:R177)</f>
        <v>34363285.714285702</v>
      </c>
    </row>
    <row r="180" spans="1:19" s="190" customFormat="1" ht="32.5" customHeight="1" x14ac:dyDescent="0.35">
      <c r="A180" s="229" t="s">
        <v>323</v>
      </c>
      <c r="B180" s="229"/>
      <c r="C180" s="229"/>
      <c r="F180" s="198"/>
    </row>
    <row r="181" spans="1:19" x14ac:dyDescent="0.35">
      <c r="D181" s="2">
        <f>D183+D208+D217</f>
        <v>13.044369908740595</v>
      </c>
      <c r="E181" s="2">
        <f t="shared" ref="E181:F181" si="37">E183+E208+E217</f>
        <v>5.7168927108927114</v>
      </c>
      <c r="F181" s="2">
        <f t="shared" si="37"/>
        <v>14665291.228303058</v>
      </c>
    </row>
    <row r="182" spans="1:19" s="151" customFormat="1" ht="29.5" customHeight="1" x14ac:dyDescent="0.35">
      <c r="A182" s="151" t="s">
        <v>224</v>
      </c>
      <c r="F182" s="230"/>
    </row>
    <row r="183" spans="1:19" ht="17.5" customHeight="1" x14ac:dyDescent="0.35">
      <c r="C183" s="2">
        <f t="shared" ref="C183:E183" si="38">C184+C192+C199</f>
        <v>8690668294.1549473</v>
      </c>
      <c r="D183" s="2">
        <f>'[2]GAP analysis Sc. 1'!$F$112</f>
        <v>6.9186049678679424</v>
      </c>
      <c r="E183" s="2">
        <f t="shared" si="38"/>
        <v>3.2146805896805897</v>
      </c>
      <c r="F183" s="2">
        <f>F184+F192+F199</f>
        <v>7455793.9488787539</v>
      </c>
    </row>
    <row r="184" spans="1:19" s="114" customFormat="1" x14ac:dyDescent="0.35">
      <c r="A184" s="114" t="s">
        <v>266</v>
      </c>
      <c r="B184" s="114">
        <v>1165.6261363636399</v>
      </c>
      <c r="C184" s="114">
        <f>B184*F184</f>
        <v>3665458080.8388605</v>
      </c>
      <c r="D184" s="114">
        <f>'[2]GAP analysis Sc. 1'!$T$18</f>
        <v>2.7789996293483421</v>
      </c>
      <c r="E184" s="114">
        <f>'[1]Conversion factors selected IV '!$O$4</f>
        <v>1.1315675675675676</v>
      </c>
      <c r="F184" s="114">
        <f>D184*E184*1000000</f>
        <v>3144625.850852875</v>
      </c>
      <c r="G184" s="301">
        <f>'LCoP CONVENTIONAL'!$B$3</f>
        <v>800</v>
      </c>
      <c r="H184" s="114">
        <f>G184*F184</f>
        <v>2515700680.6823001</v>
      </c>
      <c r="I184" s="308">
        <f>'LCoP CONVENTIONAL'!$C$3</f>
        <v>0.75</v>
      </c>
      <c r="K184" s="114">
        <f>I184*G184</f>
        <v>600</v>
      </c>
      <c r="L184" s="114">
        <f>I184*H184</f>
        <v>1886775510.5117249</v>
      </c>
      <c r="M184" s="309">
        <f>'LCoP CONVENTIONAL'!$F$3</f>
        <v>6.5000000000000002E-2</v>
      </c>
      <c r="O184" s="114">
        <f>M184*H184</f>
        <v>163520544.24434951</v>
      </c>
      <c r="P184" s="309">
        <f>'LCoP CONVENTIONAL'!$I$3</f>
        <v>0.185</v>
      </c>
      <c r="R184" s="114">
        <f>P184*H184</f>
        <v>465404625.92622548</v>
      </c>
      <c r="S184" s="114">
        <f>SUM(L184,O184,R184)</f>
        <v>2515700680.6823001</v>
      </c>
    </row>
    <row r="185" spans="1:19" x14ac:dyDescent="0.35">
      <c r="C185">
        <f>C184/C183</f>
        <v>0.42176941482211733</v>
      </c>
      <c r="D185" s="2"/>
      <c r="H185" s="192" t="s">
        <v>254</v>
      </c>
      <c r="I185" s="18" t="s">
        <v>225</v>
      </c>
      <c r="J185" s="154" t="s">
        <v>178</v>
      </c>
      <c r="K185" s="107">
        <f>'Feedtstocks only CONVENTIONAL'!$J$4</f>
        <v>0.76052615016678204</v>
      </c>
      <c r="L185" s="2">
        <f>K185*$L$184</f>
        <v>1434942115.238447</v>
      </c>
      <c r="M185" t="str">
        <f>'LCoP CONVENTIONAL'!$F$4</f>
        <v>Machinery and equipment</v>
      </c>
      <c r="N185" s="59">
        <f>'LCoP CONVENTIONAL'!$G$4</f>
        <v>0.45</v>
      </c>
      <c r="O185" s="2">
        <f>N185*$O$184</f>
        <v>73584244.909957275</v>
      </c>
      <c r="P185" t="str">
        <f>'LCoP CONVENTIONAL'!$I$4</f>
        <v>Chemical and chemical products</v>
      </c>
      <c r="Q185" s="59">
        <f>'LCoP CONVENTIONAL'!$J$4</f>
        <v>0.3</v>
      </c>
      <c r="R185" s="2">
        <f t="shared" ref="R185:R190" si="39">Q185*$R$184</f>
        <v>139621387.77786765</v>
      </c>
    </row>
    <row r="186" spans="1:19" x14ac:dyDescent="0.35">
      <c r="D186" s="2"/>
      <c r="H186" s="191" t="s">
        <v>252</v>
      </c>
      <c r="I186" s="18" t="s">
        <v>226</v>
      </c>
      <c r="J186" s="154" t="s">
        <v>178</v>
      </c>
      <c r="K186" s="107">
        <f>'Feedtstocks only CONVENTIONAL'!$J$5</f>
        <v>0.16011076845616465</v>
      </c>
      <c r="L186" s="2">
        <f>K186*$L$184</f>
        <v>302093076.89230466</v>
      </c>
      <c r="M186" t="str">
        <f>'LCoP CONVENTIONAL'!$F$5</f>
        <v>Architectural and engineering services</v>
      </c>
      <c r="N186" s="59">
        <f>'LCoP CONVENTIONAL'!$G$5</f>
        <v>0.3</v>
      </c>
      <c r="O186" s="2">
        <f>N186*$O$184</f>
        <v>49056163.27330485</v>
      </c>
      <c r="P186" t="str">
        <f>'LCoP CONVENTIONAL'!$I$5</f>
        <v>Electricity, gas, steam &amp; AC</v>
      </c>
      <c r="Q186" s="59">
        <f>'LCoP CONVENTIONAL'!$J$5</f>
        <v>0.2</v>
      </c>
      <c r="R186" s="2">
        <f t="shared" si="39"/>
        <v>93080925.185245097</v>
      </c>
    </row>
    <row r="187" spans="1:19" x14ac:dyDescent="0.35">
      <c r="D187" s="2"/>
      <c r="H187" s="192" t="s">
        <v>254</v>
      </c>
      <c r="I187" s="18" t="s">
        <v>228</v>
      </c>
      <c r="J187" s="154" t="s">
        <v>178</v>
      </c>
      <c r="K187" s="107">
        <f>'Feedtstocks only CONVENTIONAL'!$J$6</f>
        <v>4.0027692114041162E-2</v>
      </c>
      <c r="L187" s="2">
        <f>K187*$L$184</f>
        <v>75523269.223076165</v>
      </c>
      <c r="M187" t="str">
        <f>'LCoP CONVENTIONAL'!$F$6</f>
        <v>Constructions and construction works</v>
      </c>
      <c r="N187" s="59">
        <f>'LCoP CONVENTIONAL'!$G$6</f>
        <v>0.15</v>
      </c>
      <c r="O187" s="2">
        <f>N187*$O$184</f>
        <v>24528081.636652425</v>
      </c>
      <c r="P187" t="str">
        <f>'LCoP CONVENTIONAL'!$I$6</f>
        <v>Legal and accounting services; services of head offices; management consultancy services</v>
      </c>
      <c r="Q187" s="59">
        <f>'LCoP CONVENTIONAL'!$J$6</f>
        <v>0.25</v>
      </c>
      <c r="R187" s="2">
        <f t="shared" si="39"/>
        <v>116351156.48155637</v>
      </c>
    </row>
    <row r="188" spans="1:19" x14ac:dyDescent="0.35">
      <c r="D188" s="2"/>
      <c r="H188" s="191" t="s">
        <v>252</v>
      </c>
      <c r="I188" s="18" t="s">
        <v>227</v>
      </c>
      <c r="J188" s="154" t="s">
        <v>178</v>
      </c>
      <c r="K188" s="107">
        <f>'Feedtstocks only CONVENTIONAL'!$J$7</f>
        <v>3.9335389263012145E-2</v>
      </c>
      <c r="L188" s="2">
        <f>K188*$L$184</f>
        <v>74217049.157897159</v>
      </c>
      <c r="M188" t="str">
        <f>'LCoP CONVENTIONAL'!$F$7</f>
        <v>Fabricated metal products</v>
      </c>
      <c r="N188" s="59">
        <f>'LCoP CONVENTIONAL'!$G$7</f>
        <v>7.0000000000000007E-2</v>
      </c>
      <c r="O188" s="2">
        <f>N188*$O$184</f>
        <v>11446438.097104467</v>
      </c>
      <c r="P188" t="str">
        <f>'LCoP CONVENTIONAL'!$I$7</f>
        <v>Repair and installation services</v>
      </c>
      <c r="Q188" s="59">
        <f>'LCoP CONVENTIONAL'!$J$7</f>
        <v>0.15</v>
      </c>
      <c r="R188" s="2">
        <f t="shared" si="39"/>
        <v>69810693.888933823</v>
      </c>
    </row>
    <row r="189" spans="1:19" x14ac:dyDescent="0.35">
      <c r="D189" s="2"/>
      <c r="L189" s="2">
        <f>SUM(L185:L188)</f>
        <v>1886775510.5117249</v>
      </c>
      <c r="M189" t="str">
        <f>'LCoP CONVENTIONAL'!$F$8</f>
        <v>Computer, electronic and optical products</v>
      </c>
      <c r="N189" s="59">
        <f>'LCoP CONVENTIONAL'!$G$8</f>
        <v>0.03</v>
      </c>
      <c r="O189" s="2">
        <f>N189*$O$184</f>
        <v>4905616.327330485</v>
      </c>
      <c r="P189" s="102" t="str">
        <f>'LCoP CONVENTIONAL'!$I$8</f>
        <v>Land transport services and transport services via pipelines</v>
      </c>
      <c r="Q189" s="59">
        <f>'LCoP CONVENTIONAL'!$J$8</f>
        <v>0.1</v>
      </c>
      <c r="R189" s="2">
        <f t="shared" si="39"/>
        <v>46540462.592622548</v>
      </c>
    </row>
    <row r="190" spans="1:19" x14ac:dyDescent="0.35">
      <c r="D190" s="2"/>
      <c r="O190" s="2">
        <f>SUM(O185:O189)</f>
        <v>163520544.24434948</v>
      </c>
      <c r="P190" t="str">
        <f>'LCoP CONVENTIONAL'!$I$9</f>
        <v>Waste management services</v>
      </c>
      <c r="Q190" s="59">
        <f>'LCoP CONVENTIONAL'!$J$9</f>
        <v>0</v>
      </c>
      <c r="R190" s="2">
        <f t="shared" si="39"/>
        <v>0</v>
      </c>
    </row>
    <row r="191" spans="1:19" s="117" customFormat="1" x14ac:dyDescent="0.35"/>
    <row r="192" spans="1:19" s="114" customFormat="1" x14ac:dyDescent="0.35">
      <c r="A192" s="114" t="s">
        <v>330</v>
      </c>
      <c r="B192" s="114">
        <v>1165.6261363636399</v>
      </c>
      <c r="C192" s="114">
        <f>B192*F192</f>
        <v>2298577555.1342602</v>
      </c>
      <c r="D192" s="114">
        <f>'[2]GAP analysis Sc. 1'!$T$19</f>
        <v>2.0723845493727584</v>
      </c>
      <c r="E192" s="114">
        <f>'[1]Conversion factors selected IV '!$O$7</f>
        <v>0.95154545454545458</v>
      </c>
      <c r="F192" s="114">
        <f>D192*E192*1000000</f>
        <v>1971968.0980258784</v>
      </c>
      <c r="G192" s="301">
        <f>'LCoP CONVENTIONAL'!$B$24</f>
        <v>900</v>
      </c>
      <c r="H192" s="114">
        <f>G192*F192</f>
        <v>1774771288.2232907</v>
      </c>
      <c r="I192" s="308">
        <f>'LCoP CONVENTIONAL'!$C$24</f>
        <v>0.66666666666666663</v>
      </c>
      <c r="K192" s="114">
        <f>I192*G192</f>
        <v>600</v>
      </c>
      <c r="L192" s="114">
        <f>I192*H192</f>
        <v>1183180858.815527</v>
      </c>
      <c r="M192" s="308">
        <f>'LCoP CONVENTIONAL'!$F$24</f>
        <v>0.1111111111111111</v>
      </c>
      <c r="O192" s="114">
        <f>M192*H192</f>
        <v>197196809.80258784</v>
      </c>
      <c r="P192" s="309">
        <f>'LCoP CONVENTIONAL'!$I$24</f>
        <v>0.22222222222222221</v>
      </c>
      <c r="R192" s="114">
        <f>P192*H192</f>
        <v>394393619.60517567</v>
      </c>
      <c r="S192" s="114">
        <f>SUM(L192,O192,R192)</f>
        <v>1774771288.2232904</v>
      </c>
    </row>
    <row r="193" spans="1:19" x14ac:dyDescent="0.35">
      <c r="D193" s="2"/>
      <c r="G193" s="117"/>
      <c r="I193" s="18" t="s">
        <v>225</v>
      </c>
      <c r="J193" s="154" t="s">
        <v>178</v>
      </c>
      <c r="K193" s="59">
        <f>'Feedtstocks only CONVENTIONAL'!J23</f>
        <v>0.76052615016678204</v>
      </c>
      <c r="L193" s="2">
        <f>K193*$L$192</f>
        <v>899839983.50599957</v>
      </c>
      <c r="M193" t="str">
        <f>'LCoP CONVENTIONAL'!$F$25</f>
        <v>Machinery and equipment</v>
      </c>
      <c r="N193" s="59">
        <f>'LCoP CONVENTIONAL'!$G$25</f>
        <v>0.55000000000000004</v>
      </c>
      <c r="O193" s="2">
        <f>N193*$O$192</f>
        <v>108458245.39142331</v>
      </c>
      <c r="P193" t="str">
        <f>'LCoP CONVENTIONAL'!$I$25</f>
        <v>Chemical and chemical products</v>
      </c>
      <c r="Q193" s="59">
        <f>'LCoP CONVENTIONAL'!$J$25</f>
        <v>0.4</v>
      </c>
      <c r="R193" s="2">
        <f t="shared" ref="R193:R198" si="40">Q193*$R$192</f>
        <v>157757447.84207028</v>
      </c>
      <c r="S193" s="117"/>
    </row>
    <row r="194" spans="1:19" x14ac:dyDescent="0.35">
      <c r="D194" s="2"/>
      <c r="G194" s="117"/>
      <c r="I194" s="18" t="s">
        <v>226</v>
      </c>
      <c r="J194" s="154" t="s">
        <v>178</v>
      </c>
      <c r="K194" s="59">
        <f>'Feedtstocks only CONVENTIONAL'!J24</f>
        <v>0.16011076845616465</v>
      </c>
      <c r="L194" s="2">
        <f>K194*$L$192</f>
        <v>189439996.52757886</v>
      </c>
      <c r="M194" t="str">
        <f>'LCoP CONVENTIONAL'!$F$26</f>
        <v>Architectural and engineering services</v>
      </c>
      <c r="N194" s="59">
        <f>'LCoP CONVENTIONAL'!$G$26</f>
        <v>0.25</v>
      </c>
      <c r="O194" s="2">
        <f>N194*$O$192</f>
        <v>49299202.450646959</v>
      </c>
      <c r="P194" t="str">
        <f>'LCoP CONVENTIONAL'!$I$26</f>
        <v>Electricity, gas, steam &amp; AC</v>
      </c>
      <c r="Q194" s="59">
        <f>'LCoP CONVENTIONAL'!$J$26</f>
        <v>0.2</v>
      </c>
      <c r="R194" s="2">
        <f t="shared" si="40"/>
        <v>78878723.921035141</v>
      </c>
      <c r="S194" s="117"/>
    </row>
    <row r="195" spans="1:19" x14ac:dyDescent="0.35">
      <c r="D195" s="2"/>
      <c r="G195" s="117"/>
      <c r="I195" s="18" t="s">
        <v>228</v>
      </c>
      <c r="J195" s="154" t="s">
        <v>178</v>
      </c>
      <c r="K195" s="59">
        <f>'Feedtstocks only CONVENTIONAL'!J25</f>
        <v>4.0027692114041162E-2</v>
      </c>
      <c r="L195" s="2">
        <f>K195*$L$192</f>
        <v>47359999.131894715</v>
      </c>
      <c r="M195" t="str">
        <f>'LCoP CONVENTIONAL'!$F$27</f>
        <v>Constructions and construction works</v>
      </c>
      <c r="N195" s="59">
        <f>'LCoP CONVENTIONAL'!$G$27</f>
        <v>0.1</v>
      </c>
      <c r="O195" s="2">
        <f>N195*$O$192</f>
        <v>19719680.980258785</v>
      </c>
      <c r="P195" t="str">
        <f>'LCoP CONVENTIONAL'!$I$27</f>
        <v>Legal and accounting services; services of head offices; management consultancy services</v>
      </c>
      <c r="Q195" s="59">
        <f>'LCoP CONVENTIONAL'!$J$27</f>
        <v>0.2</v>
      </c>
      <c r="R195" s="2">
        <f t="shared" si="40"/>
        <v>78878723.921035141</v>
      </c>
      <c r="S195" s="117"/>
    </row>
    <row r="196" spans="1:19" x14ac:dyDescent="0.35">
      <c r="D196" s="2"/>
      <c r="G196" s="117"/>
      <c r="I196" s="18" t="s">
        <v>227</v>
      </c>
      <c r="J196" s="154" t="s">
        <v>178</v>
      </c>
      <c r="K196" s="59">
        <f>'Feedtstocks only CONVENTIONAL'!J26</f>
        <v>3.9335389263012145E-2</v>
      </c>
      <c r="L196" s="2">
        <f>K196*$L$192</f>
        <v>46540879.650053769</v>
      </c>
      <c r="M196" t="str">
        <f>'LCoP CONVENTIONAL'!$F$28</f>
        <v>Fabricated metal products</v>
      </c>
      <c r="N196" s="59">
        <f>'LCoP CONVENTIONAL'!$G$28</f>
        <v>7.0000000000000007E-2</v>
      </c>
      <c r="O196" s="2">
        <f>N196*$O$192</f>
        <v>13803776.68618115</v>
      </c>
      <c r="P196" t="str">
        <f>'LCoP CONVENTIONAL'!$I$28</f>
        <v>Repair and installation services</v>
      </c>
      <c r="Q196" s="59">
        <f>'LCoP CONVENTIONAL'!$J$28</f>
        <v>0.15</v>
      </c>
      <c r="R196" s="2">
        <f t="shared" si="40"/>
        <v>59159042.940776348</v>
      </c>
      <c r="S196" s="117"/>
    </row>
    <row r="197" spans="1:19" x14ac:dyDescent="0.35">
      <c r="D197" s="2"/>
      <c r="G197" s="117"/>
      <c r="M197" t="str">
        <f>'LCoP CONVENTIONAL'!$F$29</f>
        <v>Computer, electronic and optical products</v>
      </c>
      <c r="N197" s="59">
        <f>'LCoP CONVENTIONAL'!$G$29</f>
        <v>0.03</v>
      </c>
      <c r="O197" s="2">
        <f>N197*$O$192</f>
        <v>5915904.2940776348</v>
      </c>
      <c r="P197" s="299" t="str">
        <f>'LCoP CONVENTIONAL'!$I$29</f>
        <v>Land transport services and transport services via pipelines</v>
      </c>
      <c r="Q197" s="59">
        <f>'LCoP CONVENTIONAL'!$J$29</f>
        <v>0.05</v>
      </c>
      <c r="R197" s="2">
        <f t="shared" si="40"/>
        <v>19719680.980258785</v>
      </c>
      <c r="S197" s="117"/>
    </row>
    <row r="198" spans="1:19" x14ac:dyDescent="0.35">
      <c r="D198" s="2"/>
      <c r="P198" t="str">
        <f>'LCoP CONVENTIONAL'!$I$30</f>
        <v>Waste management services</v>
      </c>
      <c r="Q198" s="59">
        <f>'LCoP CONVENTIONAL'!$J$30</f>
        <v>0</v>
      </c>
      <c r="R198" s="2">
        <f t="shared" si="40"/>
        <v>0</v>
      </c>
    </row>
    <row r="199" spans="1:19" s="114" customFormat="1" x14ac:dyDescent="0.35">
      <c r="A199" s="114" t="s">
        <v>244</v>
      </c>
      <c r="B199" s="114">
        <v>1165.6261363636399</v>
      </c>
      <c r="C199" s="114">
        <f>B199*F199</f>
        <v>2726632658.1818261</v>
      </c>
      <c r="D199" s="114">
        <f>D183-D184-D192</f>
        <v>2.0672207891468419</v>
      </c>
      <c r="E199" s="114">
        <f>'[1]Conversion factors selected IV '!$O$4</f>
        <v>1.1315675675675676</v>
      </c>
      <c r="F199" s="114">
        <f>D199*E199*1000000</f>
        <v>2339199.9999999995</v>
      </c>
      <c r="G199" s="301">
        <f>'LCoP CONVENTIONAL'!$B$10</f>
        <v>1253</v>
      </c>
      <c r="H199" s="114">
        <f>G199*F199</f>
        <v>2931017599.9999995</v>
      </c>
      <c r="I199" s="308">
        <f>'LCoP CONVENTIONAL'!$C$10</f>
        <v>0.72067039106145248</v>
      </c>
      <c r="J199" s="114" t="s">
        <v>400</v>
      </c>
      <c r="K199" s="114">
        <f>I199*G199</f>
        <v>903</v>
      </c>
      <c r="L199" s="114">
        <f>I199*H199</f>
        <v>2112297599.9999995</v>
      </c>
      <c r="M199" s="308">
        <f>'LCoP CONVENTIONAL'!$F$10</f>
        <v>6.6241021548284124E-2</v>
      </c>
      <c r="O199" s="114">
        <f>M199*H199</f>
        <v>194153599.99999997</v>
      </c>
      <c r="P199" s="308">
        <f>'LCoP CONVENTIONAL'!$I$10</f>
        <v>0.21308858739026337</v>
      </c>
      <c r="R199" s="114">
        <f>P199*H199</f>
        <v>624566399.99999988</v>
      </c>
      <c r="S199" s="114">
        <f>SUM(L199,O199,R199)</f>
        <v>2931017599.9999995</v>
      </c>
    </row>
    <row r="200" spans="1:19" s="114" customFormat="1" x14ac:dyDescent="0.35">
      <c r="A200" s="117"/>
      <c r="B200" s="117"/>
      <c r="C200" s="117"/>
      <c r="D200" s="117"/>
      <c r="E200" s="117"/>
      <c r="F200" s="117"/>
      <c r="G200" s="117"/>
      <c r="H200" s="117"/>
      <c r="I200" t="s">
        <v>396</v>
      </c>
      <c r="J200" s="147" t="s">
        <v>400</v>
      </c>
      <c r="K200"/>
      <c r="L200" s="2">
        <f>$L$199</f>
        <v>2112297599.9999995</v>
      </c>
      <c r="M200" t="str">
        <f>'LCoP CONVENTIONAL'!$F$11</f>
        <v>Machinery and equipment</v>
      </c>
      <c r="N200" s="59">
        <f>'LCoP CONVENTIONAL'!$G$11</f>
        <v>0.48</v>
      </c>
      <c r="O200" s="2">
        <f>N200*$O$199</f>
        <v>93193727.999999985</v>
      </c>
      <c r="P200" t="str">
        <f>'LCoP CONVENTIONAL'!$I$11</f>
        <v>Chemical and chemical products</v>
      </c>
      <c r="Q200" s="59">
        <f>'LCoP CONVENTIONAL'!$J$11</f>
        <v>0.25</v>
      </c>
      <c r="R200" s="2">
        <f t="shared" ref="R200:R205" si="41">Q200*$R$199</f>
        <v>156141599.99999997</v>
      </c>
      <c r="S200" s="117"/>
    </row>
    <row r="201" spans="1:19" s="114" customFormat="1" x14ac:dyDescent="0.35">
      <c r="A201" s="117"/>
      <c r="B201" s="117"/>
      <c r="C201" s="117"/>
      <c r="D201" s="117"/>
      <c r="E201" s="117"/>
      <c r="F201" s="117"/>
      <c r="G201" s="117"/>
      <c r="H201" s="117"/>
      <c r="I201"/>
      <c r="J201"/>
      <c r="K201"/>
      <c r="L201"/>
      <c r="M201" t="str">
        <f>'LCoP CONVENTIONAL'!$F$12</f>
        <v>Architectural and engineering services</v>
      </c>
      <c r="N201" s="59">
        <f>'LCoP CONVENTIONAL'!$G$12</f>
        <v>0.3</v>
      </c>
      <c r="O201" s="2">
        <f>N201*$O$199</f>
        <v>58246079.999999993</v>
      </c>
      <c r="P201" t="str">
        <f>'LCoP CONVENTIONAL'!$I$12</f>
        <v>Electricity, gas, steam &amp; AC</v>
      </c>
      <c r="Q201" s="59">
        <f>'LCoP CONVENTIONAL'!$J$12</f>
        <v>0.15</v>
      </c>
      <c r="R201" s="2">
        <f t="shared" si="41"/>
        <v>93684959.999999985</v>
      </c>
      <c r="S201" s="117"/>
    </row>
    <row r="202" spans="1:19" s="114" customFormat="1" x14ac:dyDescent="0.35">
      <c r="A202" s="117"/>
      <c r="B202" s="117"/>
      <c r="C202" s="117"/>
      <c r="D202" s="117"/>
      <c r="E202" s="117"/>
      <c r="F202" s="117"/>
      <c r="G202" s="117"/>
      <c r="H202" s="117"/>
      <c r="I202"/>
      <c r="J202"/>
      <c r="K202"/>
      <c r="L202"/>
      <c r="M202" t="str">
        <f>'LCoP CONVENTIONAL'!$F$13</f>
        <v>Constructions and construction works</v>
      </c>
      <c r="N202" s="59">
        <f>'LCoP CONVENTIONAL'!$G$13</f>
        <v>0.12</v>
      </c>
      <c r="O202" s="2">
        <f>N202*$O$199</f>
        <v>23298431.999999996</v>
      </c>
      <c r="P202" t="str">
        <f>'LCoP CONVENTIONAL'!$I$13</f>
        <v>Legal and accounting services; services of head offices; management consultancy services</v>
      </c>
      <c r="Q202" s="59">
        <f>'LCoP CONVENTIONAL'!$J$13</f>
        <v>0.2</v>
      </c>
      <c r="R202" s="2">
        <f t="shared" si="41"/>
        <v>124913279.99999999</v>
      </c>
      <c r="S202" s="117"/>
    </row>
    <row r="203" spans="1:19" s="114" customFormat="1" x14ac:dyDescent="0.35">
      <c r="A203" s="117"/>
      <c r="B203" s="117"/>
      <c r="C203" s="117"/>
      <c r="D203" s="117"/>
      <c r="E203" s="117"/>
      <c r="F203" s="117"/>
      <c r="G203" s="117"/>
      <c r="H203" s="117"/>
      <c r="I203"/>
      <c r="J203"/>
      <c r="K203"/>
      <c r="L203"/>
      <c r="M203" t="str">
        <f>'LCoP CONVENTIONAL'!$F$14</f>
        <v>Fabricated metal products</v>
      </c>
      <c r="N203" s="59">
        <f>'LCoP CONVENTIONAL'!$G$14</f>
        <v>7.0000000000000007E-2</v>
      </c>
      <c r="O203" s="2">
        <f>N203*$O$199</f>
        <v>13590752</v>
      </c>
      <c r="P203" t="str">
        <f>'LCoP CONVENTIONAL'!$I$14</f>
        <v>Repair and installation services</v>
      </c>
      <c r="Q203" s="59">
        <f>'LCoP CONVENTIONAL'!$J$14</f>
        <v>0.15</v>
      </c>
      <c r="R203" s="2">
        <f t="shared" si="41"/>
        <v>93684959.999999985</v>
      </c>
      <c r="S203" s="117"/>
    </row>
    <row r="204" spans="1:19" s="114" customFormat="1" x14ac:dyDescent="0.35">
      <c r="A204" s="117"/>
      <c r="B204" s="117"/>
      <c r="C204" s="117"/>
      <c r="D204" s="117"/>
      <c r="E204" s="117"/>
      <c r="F204" s="117"/>
      <c r="G204" s="117"/>
      <c r="H204" s="117"/>
      <c r="I204"/>
      <c r="J204"/>
      <c r="K204"/>
      <c r="L204"/>
      <c r="M204" t="str">
        <f>'LCoP CONVENTIONAL'!$F$15</f>
        <v>Computer, electronic and optical products</v>
      </c>
      <c r="N204" s="59">
        <f>'LCoP CONVENTIONAL'!$G$15</f>
        <v>0.03</v>
      </c>
      <c r="O204" s="2">
        <f>N204*$O$199</f>
        <v>5824607.9999999991</v>
      </c>
      <c r="P204" s="299" t="str">
        <f>'LCoP CONVENTIONAL'!$I$15</f>
        <v>Land transport services and transport services via pipelines</v>
      </c>
      <c r="Q204" s="59">
        <f>'LCoP CONVENTIONAL'!$J$15</f>
        <v>0.25</v>
      </c>
      <c r="R204" s="2">
        <f t="shared" si="41"/>
        <v>156141599.99999997</v>
      </c>
      <c r="S204" s="117"/>
    </row>
    <row r="205" spans="1:19" s="114" customFormat="1" x14ac:dyDescent="0.35">
      <c r="A205" s="117"/>
      <c r="B205" s="117"/>
      <c r="C205" s="117"/>
      <c r="D205" s="117"/>
      <c r="E205" s="117"/>
      <c r="F205" s="117"/>
      <c r="G205" s="117"/>
      <c r="H205" s="117"/>
      <c r="I205" s="117"/>
      <c r="J205" s="117"/>
      <c r="K205" s="117"/>
      <c r="L205" s="117"/>
      <c r="M205" s="117"/>
      <c r="N205" s="117"/>
      <c r="O205" s="117"/>
      <c r="P205" s="117" t="str">
        <f>'LCoP CONVENTIONAL'!$I$16</f>
        <v>Waste management services</v>
      </c>
      <c r="Q205" s="300">
        <f>'LCoP CONVENTIONAL'!$J$16</f>
        <v>0</v>
      </c>
      <c r="R205" s="117">
        <f t="shared" si="41"/>
        <v>0</v>
      </c>
      <c r="S205" s="117"/>
    </row>
    <row r="207" spans="1:19" s="151" customFormat="1" ht="29" customHeight="1" x14ac:dyDescent="0.35">
      <c r="A207" s="151" t="s">
        <v>328</v>
      </c>
    </row>
    <row r="208" spans="1:19" x14ac:dyDescent="0.35">
      <c r="B208" s="2"/>
      <c r="C208" s="2"/>
      <c r="D208" s="2">
        <f>D209</f>
        <v>2.304297471683773</v>
      </c>
      <c r="E208" s="6">
        <f>E209</f>
        <v>1.5506666666666669</v>
      </c>
      <c r="F208" s="2">
        <f>F209</f>
        <v>3573197.2794243046</v>
      </c>
    </row>
    <row r="209" spans="1:19" x14ac:dyDescent="0.35">
      <c r="A209" s="114" t="s">
        <v>329</v>
      </c>
      <c r="B209" s="114">
        <v>1018.96958174905</v>
      </c>
      <c r="C209" s="114">
        <f>B209*F209</f>
        <v>3640979337.3218269</v>
      </c>
      <c r="D209" s="114">
        <f>'[2]GAP analysis Sc. 1'!$T$20</f>
        <v>2.304297471683773</v>
      </c>
      <c r="E209" s="114">
        <f>'[1]Conversion factors selected IV '!$O$17</f>
        <v>1.5506666666666669</v>
      </c>
      <c r="F209" s="114">
        <f>D209*E209*1000000</f>
        <v>3573197.2794243046</v>
      </c>
      <c r="G209" s="301">
        <f>'LCoP CONVENTIONAL'!$B$53</f>
        <v>903.57</v>
      </c>
      <c r="H209" s="114">
        <f>G209*F209</f>
        <v>3228633865.7694192</v>
      </c>
      <c r="I209" s="308">
        <f>'LCoP CONVENTIONAL'!$C$53</f>
        <v>0.7</v>
      </c>
      <c r="J209" s="114"/>
      <c r="K209" s="114">
        <f>I209*G209</f>
        <v>632.49900000000002</v>
      </c>
      <c r="L209" s="114">
        <f>I209*H209</f>
        <v>2260043706.0385933</v>
      </c>
      <c r="M209" s="308">
        <f>'LCoP CONVENTIONAL'!$F$53</f>
        <v>0.1</v>
      </c>
      <c r="N209" s="114"/>
      <c r="O209" s="114">
        <f>M209*H209</f>
        <v>322863386.57694197</v>
      </c>
      <c r="P209" s="308">
        <f>'LCoP CONVENTIONAL'!$I$53</f>
        <v>0.2</v>
      </c>
      <c r="Q209" s="114"/>
      <c r="R209" s="114">
        <f>P209*H209</f>
        <v>645726773.15388393</v>
      </c>
      <c r="S209" s="114">
        <f>SUM(L209,O209,R209)</f>
        <v>3228633865.7694192</v>
      </c>
    </row>
    <row r="210" spans="1:19" x14ac:dyDescent="0.35">
      <c r="A210" s="117"/>
      <c r="B210" s="117"/>
      <c r="C210" s="117"/>
      <c r="D210" s="117"/>
      <c r="E210" s="117"/>
      <c r="F210" s="117"/>
      <c r="G210" s="117"/>
      <c r="H210" s="117"/>
      <c r="I210" t="s">
        <v>401</v>
      </c>
      <c r="J210" s="147" t="s">
        <v>400</v>
      </c>
      <c r="L210" s="2">
        <f>$L$209</f>
        <v>2260043706.0385933</v>
      </c>
      <c r="M210" t="str">
        <f>'LCoP CONVENTIONAL'!$F$54</f>
        <v>Machinery and equipment</v>
      </c>
      <c r="N210" s="59">
        <f>'LCoP CONVENTIONAL'!$G$54</f>
        <v>0.5</v>
      </c>
      <c r="O210" s="2">
        <f>N210*$O$209</f>
        <v>161431693.28847098</v>
      </c>
      <c r="P210" t="str">
        <f>'LCoP CONVENTIONAL'!$I$54</f>
        <v>Chemical and chemical products</v>
      </c>
      <c r="Q210" s="59">
        <f>'LCoP CONVENTIONAL'!$J$54</f>
        <v>0.15</v>
      </c>
      <c r="R210" s="2">
        <f t="shared" ref="R210:R215" si="42">Q210*$R$209</f>
        <v>96859015.973082587</v>
      </c>
      <c r="S210" s="117"/>
    </row>
    <row r="211" spans="1:19" x14ac:dyDescent="0.35">
      <c r="A211" s="117"/>
      <c r="B211" s="117"/>
      <c r="C211" s="117"/>
      <c r="D211" s="117"/>
      <c r="E211" s="117"/>
      <c r="F211" s="117"/>
      <c r="G211" s="117"/>
      <c r="H211" s="117"/>
      <c r="M211" t="str">
        <f>'LCoP CONVENTIONAL'!$F$55</f>
        <v>Architectural and engineering services</v>
      </c>
      <c r="N211" s="59">
        <f>'LCoP CONVENTIONAL'!$G$55</f>
        <v>0.25</v>
      </c>
      <c r="O211" s="2">
        <f>N211*$O$209</f>
        <v>80715846.644235492</v>
      </c>
      <c r="P211" t="str">
        <f>'LCoP CONVENTIONAL'!$I$55</f>
        <v>Electricity, gas, steam &amp; AC</v>
      </c>
      <c r="Q211" s="59">
        <f>'LCoP CONVENTIONAL'!$J$55</f>
        <v>0.4</v>
      </c>
      <c r="R211" s="2">
        <f t="shared" si="42"/>
        <v>258290709.26155359</v>
      </c>
      <c r="S211" s="117"/>
    </row>
    <row r="212" spans="1:19" x14ac:dyDescent="0.35">
      <c r="A212" s="117"/>
      <c r="B212" s="117"/>
      <c r="C212" s="117"/>
      <c r="D212" s="117"/>
      <c r="E212" s="117"/>
      <c r="F212" s="117"/>
      <c r="G212" s="117"/>
      <c r="H212" s="117"/>
      <c r="M212" t="str">
        <f>'LCoP CONVENTIONAL'!$F$56</f>
        <v>Constructions and construction works</v>
      </c>
      <c r="N212" s="59">
        <f>'LCoP CONVENTIONAL'!$G$56</f>
        <v>0.15</v>
      </c>
      <c r="O212" s="2">
        <f>N212*$O$209</f>
        <v>48429507.986541294</v>
      </c>
      <c r="P212" t="str">
        <f>'LCoP CONVENTIONAL'!$I$56</f>
        <v>Legal and accounting services; services of head offices; management consultancy services</v>
      </c>
      <c r="Q212" s="59">
        <f>'LCoP CONVENTIONAL'!$J$56</f>
        <v>0.2</v>
      </c>
      <c r="R212" s="2">
        <f t="shared" si="42"/>
        <v>129145354.63077679</v>
      </c>
      <c r="S212" s="117"/>
    </row>
    <row r="213" spans="1:19" x14ac:dyDescent="0.35">
      <c r="A213" s="117"/>
      <c r="B213" s="117"/>
      <c r="C213" s="117"/>
      <c r="D213" s="117"/>
      <c r="E213" s="117"/>
      <c r="F213" s="117"/>
      <c r="G213" s="117"/>
      <c r="H213" s="117"/>
      <c r="M213" t="str">
        <f>'LCoP CONVENTIONAL'!$F$57</f>
        <v>Fabricated metal products</v>
      </c>
      <c r="N213" s="59">
        <f>'LCoP CONVENTIONAL'!$G$57</f>
        <v>7.0000000000000007E-2</v>
      </c>
      <c r="O213" s="2">
        <f>N213*$O$209</f>
        <v>22600437.060385939</v>
      </c>
      <c r="P213" t="str">
        <f>'LCoP CONVENTIONAL'!$I$57</f>
        <v>Repair and installation services</v>
      </c>
      <c r="Q213" s="59">
        <f>'LCoP CONVENTIONAL'!$J$57</f>
        <v>0.15</v>
      </c>
      <c r="R213" s="2">
        <f t="shared" si="42"/>
        <v>96859015.973082587</v>
      </c>
      <c r="S213" s="117"/>
    </row>
    <row r="214" spans="1:19" x14ac:dyDescent="0.35">
      <c r="A214" s="117"/>
      <c r="B214" s="117"/>
      <c r="C214" s="117"/>
      <c r="D214" s="117"/>
      <c r="E214" s="117"/>
      <c r="F214" s="117"/>
      <c r="G214" s="117"/>
      <c r="H214" s="117"/>
      <c r="M214" t="str">
        <f>'LCoP CONVENTIONAL'!$F$58</f>
        <v>Computer, electronic and optical products</v>
      </c>
      <c r="N214" s="59">
        <f>'LCoP CONVENTIONAL'!$G$58</f>
        <v>0.03</v>
      </c>
      <c r="O214" s="2">
        <f>N214*$O$209</f>
        <v>9685901.5973082595</v>
      </c>
      <c r="P214" s="299" t="str">
        <f>'LCoP CONVENTIONAL'!$I$58</f>
        <v>Land transport services and transport services via pipelines</v>
      </c>
      <c r="Q214" s="59">
        <f>'LCoP CONVENTIONAL'!$J$58</f>
        <v>0.1</v>
      </c>
      <c r="R214" s="2">
        <f t="shared" si="42"/>
        <v>64572677.315388396</v>
      </c>
      <c r="S214" s="117"/>
    </row>
    <row r="215" spans="1:19" x14ac:dyDescent="0.35">
      <c r="A215" s="117"/>
      <c r="B215" s="117"/>
      <c r="C215" s="117"/>
      <c r="D215" s="117"/>
      <c r="E215" s="117"/>
      <c r="F215" s="117"/>
      <c r="G215" s="117"/>
      <c r="H215" s="117"/>
      <c r="I215" s="117"/>
      <c r="J215" s="117"/>
      <c r="K215" s="117"/>
      <c r="L215" s="117"/>
      <c r="M215" s="117"/>
      <c r="N215" s="117"/>
      <c r="O215" s="117"/>
      <c r="P215" s="117" t="str">
        <f>'LCoP CONVENTIONAL'!$I$59</f>
        <v>Waste management services</v>
      </c>
      <c r="Q215" s="300">
        <f>'LCoP CONVENTIONAL'!$J$59</f>
        <v>0</v>
      </c>
      <c r="R215" s="117">
        <f t="shared" si="42"/>
        <v>0</v>
      </c>
      <c r="S215" s="117"/>
    </row>
    <row r="216" spans="1:19" s="151" customFormat="1" ht="29.5" customHeight="1" x14ac:dyDescent="0.35">
      <c r="A216" s="151" t="s">
        <v>343</v>
      </c>
      <c r="E216" s="179"/>
    </row>
    <row r="217" spans="1:19" x14ac:dyDescent="0.35">
      <c r="B217" s="2"/>
      <c r="C217" s="2"/>
      <c r="D217" s="2">
        <f>D218</f>
        <v>3.8214674691888795</v>
      </c>
      <c r="E217" s="6">
        <f t="shared" ref="E217:F217" si="43">E218</f>
        <v>0.95154545454545458</v>
      </c>
      <c r="F217" s="2">
        <f t="shared" si="43"/>
        <v>3636300.0000000005</v>
      </c>
    </row>
    <row r="218" spans="1:19" s="114" customFormat="1" x14ac:dyDescent="0.35">
      <c r="A218" s="114" t="s">
        <v>408</v>
      </c>
      <c r="B218" s="114">
        <f>2100</f>
        <v>2100</v>
      </c>
      <c r="C218" s="114">
        <f>B218*F218</f>
        <v>7636230000.000001</v>
      </c>
      <c r="D218" s="114">
        <f>'[2]GAP analysis Sc. 1'!$T$22*0.93</f>
        <v>3.8214674691888795</v>
      </c>
      <c r="E218" s="114">
        <f>'[1]Conversion factors selected IV '!$O$7</f>
        <v>0.95154545454545458</v>
      </c>
      <c r="F218" s="114">
        <f>D218*E218*1000000</f>
        <v>3636300.0000000005</v>
      </c>
      <c r="G218" s="301">
        <f>'LCoP CONVENTIONAL'!B45</f>
        <v>2903</v>
      </c>
      <c r="H218" s="114">
        <f>G218*F218</f>
        <v>10556178900.000002</v>
      </c>
      <c r="I218" s="308">
        <f>'LCoP CONVENTIONAL'!$C$45</f>
        <v>0.67550809507406129</v>
      </c>
      <c r="K218" s="114">
        <f>I218*G218</f>
        <v>1961</v>
      </c>
      <c r="L218" s="114">
        <f>I218*H218</f>
        <v>7130784300.000001</v>
      </c>
      <c r="M218" s="308">
        <f>'LCoP CONVENTIONAL'!$F$45</f>
        <v>0.12952118498105408</v>
      </c>
      <c r="O218" s="114">
        <f>M218*H218</f>
        <v>1367248800.0000002</v>
      </c>
      <c r="P218" s="308">
        <f>'LCoP CONVENTIONAL'!$I$45</f>
        <v>0.1949707199448846</v>
      </c>
      <c r="R218" s="114">
        <f>P218*H218</f>
        <v>2058145800.0000005</v>
      </c>
      <c r="S218" s="114">
        <f>SUM(L218,O218,R218)</f>
        <v>10556178900.000002</v>
      </c>
    </row>
    <row r="219" spans="1:19" s="114" customFormat="1" x14ac:dyDescent="0.35">
      <c r="A219" s="117"/>
      <c r="B219" s="117"/>
      <c r="C219" s="117"/>
      <c r="D219" s="117"/>
      <c r="E219" s="117"/>
      <c r="F219" s="117"/>
      <c r="G219" s="117"/>
      <c r="H219" s="117"/>
      <c r="I219" t="s">
        <v>396</v>
      </c>
      <c r="J219" s="147" t="s">
        <v>400</v>
      </c>
      <c r="K219"/>
      <c r="L219" s="2">
        <f>$L$218</f>
        <v>7130784300.000001</v>
      </c>
      <c r="M219" t="str">
        <f>'LCoP CONVENTIONAL'!$F$32</f>
        <v>Machinery and equipment</v>
      </c>
      <c r="N219" s="59">
        <f>'LCoP CONVENTIONAL'!$G$32</f>
        <v>0.57999999999999996</v>
      </c>
      <c r="O219" s="2">
        <f>N219*$O$218</f>
        <v>793004304.00000012</v>
      </c>
      <c r="P219" t="str">
        <f>'LCoP CONVENTIONAL'!$I$32</f>
        <v>Chemical and chemical products</v>
      </c>
      <c r="Q219" s="59">
        <f>'LCoP CONVENTIONAL'!$J$32</f>
        <v>0.35</v>
      </c>
      <c r="R219" s="2">
        <f t="shared" ref="R219:R224" si="44">Q219*$R$218</f>
        <v>720351030.00000012</v>
      </c>
      <c r="S219" s="117"/>
    </row>
    <row r="220" spans="1:19" s="114" customFormat="1" x14ac:dyDescent="0.35">
      <c r="A220" s="117"/>
      <c r="B220" s="117"/>
      <c r="C220" s="117"/>
      <c r="D220" s="117"/>
      <c r="E220" s="117"/>
      <c r="F220" s="117"/>
      <c r="G220" s="117"/>
      <c r="H220" s="117"/>
      <c r="I220"/>
      <c r="J220"/>
      <c r="K220"/>
      <c r="L220"/>
      <c r="M220" t="str">
        <f>'LCoP CONVENTIONAL'!$F$33</f>
        <v>Architectural and engineering services</v>
      </c>
      <c r="N220" s="59">
        <f>'LCoP CONVENTIONAL'!$G$33</f>
        <v>0.25</v>
      </c>
      <c r="O220" s="2">
        <f>N220*$O$218</f>
        <v>341812200.00000006</v>
      </c>
      <c r="P220" t="str">
        <f>'LCoP CONVENTIONAL'!$I$33</f>
        <v>Electricity, gas, steam &amp; AC</v>
      </c>
      <c r="Q220" s="59">
        <f>'LCoP CONVENTIONAL'!$J$33</f>
        <v>0.15</v>
      </c>
      <c r="R220" s="2">
        <f t="shared" si="44"/>
        <v>308721870.00000006</v>
      </c>
      <c r="S220" s="117"/>
    </row>
    <row r="221" spans="1:19" s="114" customFormat="1" x14ac:dyDescent="0.35">
      <c r="A221" s="117"/>
      <c r="B221" s="117"/>
      <c r="C221" s="117"/>
      <c r="D221" s="117"/>
      <c r="E221" s="117"/>
      <c r="F221" s="117"/>
      <c r="G221" s="117"/>
      <c r="H221" s="117"/>
      <c r="I221"/>
      <c r="J221"/>
      <c r="K221"/>
      <c r="L221"/>
      <c r="M221" t="str">
        <f>'LCoP CONVENTIONAL'!$F$34</f>
        <v>Constructions and construction works</v>
      </c>
      <c r="N221" s="59">
        <f>'LCoP CONVENTIONAL'!$G$34</f>
        <v>0.08</v>
      </c>
      <c r="O221" s="2">
        <f>N221*$O$218</f>
        <v>109379904.00000001</v>
      </c>
      <c r="P221" t="str">
        <f>'LCoP CONVENTIONAL'!$I$34</f>
        <v>Legal and accounting services; services of head offices; management consultancy services</v>
      </c>
      <c r="Q221" s="59">
        <f>'LCoP CONVENTIONAL'!$J$34</f>
        <v>0.18</v>
      </c>
      <c r="R221" s="2">
        <f t="shared" si="44"/>
        <v>370466244.00000006</v>
      </c>
      <c r="S221" s="117"/>
    </row>
    <row r="222" spans="1:19" s="114" customFormat="1" x14ac:dyDescent="0.35">
      <c r="A222" s="117"/>
      <c r="B222" s="117"/>
      <c r="C222" s="117"/>
      <c r="D222" s="117"/>
      <c r="E222" s="117"/>
      <c r="F222" s="117"/>
      <c r="G222" s="117"/>
      <c r="H222" s="117"/>
      <c r="I222"/>
      <c r="J222"/>
      <c r="K222"/>
      <c r="L222"/>
      <c r="M222" t="str">
        <f>'LCoP CONVENTIONAL'!$F$35</f>
        <v>Fabricated metal products</v>
      </c>
      <c r="N222" s="59">
        <f>'LCoP CONVENTIONAL'!$G$35</f>
        <v>0.06</v>
      </c>
      <c r="O222" s="2">
        <f>N222*$O$218</f>
        <v>82034928.000000015</v>
      </c>
      <c r="P222" t="str">
        <f>'LCoP CONVENTIONAL'!$I$35</f>
        <v>Repair and installation services</v>
      </c>
      <c r="Q222" s="59">
        <f>'LCoP CONVENTIONAL'!$J$35</f>
        <v>0.15</v>
      </c>
      <c r="R222" s="2">
        <f t="shared" si="44"/>
        <v>308721870.00000006</v>
      </c>
      <c r="S222" s="117"/>
    </row>
    <row r="223" spans="1:19" s="114" customFormat="1" x14ac:dyDescent="0.35">
      <c r="A223" s="117"/>
      <c r="B223" s="117"/>
      <c r="C223" s="117"/>
      <c r="D223" s="117"/>
      <c r="E223" s="117"/>
      <c r="F223" s="117"/>
      <c r="G223" s="117"/>
      <c r="H223" s="117"/>
      <c r="I223"/>
      <c r="J223"/>
      <c r="K223"/>
      <c r="L223"/>
      <c r="M223" t="str">
        <f>'LCoP CONVENTIONAL'!$F$36</f>
        <v>Computer, electronic and optical products</v>
      </c>
      <c r="N223" s="59">
        <f>'LCoP CONVENTIONAL'!$G$36</f>
        <v>0.03</v>
      </c>
      <c r="O223" s="2">
        <f>N223*$O$218</f>
        <v>41017464.000000007</v>
      </c>
      <c r="P223" s="299" t="str">
        <f>'LCoP CONVENTIONAL'!$I$36</f>
        <v>Land transport services and transport services via pipelines</v>
      </c>
      <c r="Q223" s="59">
        <f>'LCoP CONVENTIONAL'!$J$36</f>
        <v>0.17</v>
      </c>
      <c r="R223" s="2">
        <f t="shared" si="44"/>
        <v>349884786.00000012</v>
      </c>
      <c r="S223" s="117"/>
    </row>
    <row r="224" spans="1:19" s="114" customFormat="1" x14ac:dyDescent="0.35">
      <c r="A224" s="117"/>
      <c r="B224" s="117"/>
      <c r="C224" s="117"/>
      <c r="D224" s="117"/>
      <c r="E224" s="117"/>
      <c r="F224" s="117"/>
      <c r="G224" s="117"/>
      <c r="H224" s="117"/>
      <c r="I224" s="117"/>
      <c r="J224" s="117"/>
      <c r="K224" s="117"/>
      <c r="L224" s="117"/>
      <c r="M224" s="117"/>
      <c r="N224" s="117"/>
      <c r="O224" s="117"/>
      <c r="P224" s="117" t="str">
        <f>'LCoP CONVENTIONAL'!$I$37</f>
        <v>Waste management services</v>
      </c>
      <c r="Q224" s="300">
        <f>'LCoP CONVENTIONAL'!$J$37</f>
        <v>0</v>
      </c>
      <c r="R224" s="117">
        <f t="shared" si="44"/>
        <v>0</v>
      </c>
      <c r="S224" s="117"/>
    </row>
    <row r="225" spans="1:19" s="114" customFormat="1" x14ac:dyDescent="0.35">
      <c r="A225"/>
      <c r="B225"/>
      <c r="C225"/>
      <c r="D225"/>
      <c r="E225"/>
      <c r="F225" s="1"/>
      <c r="G225"/>
      <c r="H225" s="18"/>
      <c r="I225" s="18"/>
      <c r="J225" s="18"/>
      <c r="K225" s="102"/>
      <c r="L225" s="102"/>
      <c r="M225"/>
      <c r="N225" s="59"/>
      <c r="O225" s="2"/>
      <c r="P225"/>
      <c r="Q225" s="59"/>
      <c r="R225" s="2"/>
      <c r="S225"/>
    </row>
    <row r="226" spans="1:19" s="114" customFormat="1" x14ac:dyDescent="0.35">
      <c r="A226"/>
      <c r="B226"/>
      <c r="C226"/>
      <c r="D226"/>
      <c r="E226"/>
      <c r="F226" s="1"/>
      <c r="G226"/>
      <c r="H226"/>
      <c r="I226"/>
      <c r="J226"/>
      <c r="K226"/>
      <c r="L226"/>
      <c r="M226"/>
      <c r="N226" s="59"/>
      <c r="O226" s="2"/>
      <c r="P226" s="199"/>
      <c r="Q226" s="59"/>
      <c r="R226" s="2"/>
      <c r="S226"/>
    </row>
    <row r="227" spans="1:19" s="114" customFormat="1" x14ac:dyDescent="0.35">
      <c r="A227"/>
      <c r="B227"/>
      <c r="C227"/>
      <c r="D227"/>
      <c r="E227"/>
      <c r="F227" s="1"/>
      <c r="G227"/>
      <c r="H227"/>
      <c r="I227"/>
      <c r="J227"/>
      <c r="K227"/>
      <c r="L227"/>
      <c r="M227"/>
      <c r="N227"/>
      <c r="O227"/>
      <c r="P227"/>
      <c r="Q227" s="59"/>
      <c r="R227" s="2"/>
      <c r="S227"/>
    </row>
  </sheetData>
  <pageMargins left="0.7" right="0.7" top="0.78740157499999996" bottom="0.78740157499999996"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59D7-4BFB-431C-8EAB-85D945B6955D}">
  <sheetPr>
    <tabColor theme="8" tint="0.39997558519241921"/>
  </sheetPr>
  <dimension ref="A1:S266"/>
  <sheetViews>
    <sheetView zoomScale="70" zoomScaleNormal="70" workbookViewId="0">
      <pane ySplit="5" topLeftCell="A59" activePane="bottomLeft" state="frozen"/>
      <selection pane="bottomLeft" activeCell="C4" sqref="C4"/>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54296875" customWidth="1"/>
    <col min="13" max="13" width="15.7265625" bestFit="1" customWidth="1"/>
    <col min="15" max="15" width="18.1796875" customWidth="1"/>
    <col min="17" max="17" width="14.36328125" bestFit="1" customWidth="1"/>
    <col min="18" max="18" width="16.81640625" customWidth="1"/>
    <col min="19" max="19" width="20" customWidth="1"/>
  </cols>
  <sheetData>
    <row r="1" spans="1:19" s="46" customFormat="1" ht="24" customHeight="1" x14ac:dyDescent="0.35">
      <c r="A1" s="46" t="s">
        <v>340</v>
      </c>
      <c r="F1" s="224"/>
    </row>
    <row r="2" spans="1:19" s="46" customFormat="1" ht="24" customHeight="1" x14ac:dyDescent="0.35">
      <c r="A2" s="46" t="s">
        <v>286</v>
      </c>
      <c r="F2" s="224"/>
    </row>
    <row r="3" spans="1:19" s="46" customFormat="1" ht="24" customHeight="1" x14ac:dyDescent="0.35">
      <c r="A3" s="46" t="s">
        <v>334</v>
      </c>
      <c r="E3" s="46" t="s">
        <v>341</v>
      </c>
      <c r="F3" s="224"/>
    </row>
    <row r="4" spans="1:19" ht="19" customHeight="1" x14ac:dyDescent="0.35">
      <c r="C4" s="2">
        <f>C6+C198+C216</f>
        <v>113283154982.16087</v>
      </c>
    </row>
    <row r="5" spans="1:19" s="47" customFormat="1" ht="37" customHeight="1" x14ac:dyDescent="0.35">
      <c r="B5" s="47" t="s">
        <v>375</v>
      </c>
      <c r="C5" s="47" t="s">
        <v>376</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90" customFormat="1" ht="37" customHeight="1" x14ac:dyDescent="0.35">
      <c r="A6" s="229" t="s">
        <v>322</v>
      </c>
      <c r="B6" s="229"/>
      <c r="C6" s="228">
        <f>C8+C47+C89+C113+C154</f>
        <v>78140579364.420761</v>
      </c>
      <c r="D6" s="228">
        <f>D8+D47+D89+D113+D154</f>
        <v>46.826866453106788</v>
      </c>
      <c r="F6" s="198"/>
      <c r="I6" s="229"/>
      <c r="M6" s="229"/>
      <c r="P6" s="229"/>
    </row>
    <row r="7" spans="1:19" s="91" customFormat="1" ht="40" customHeight="1" x14ac:dyDescent="0.35">
      <c r="A7" s="91" t="s">
        <v>77</v>
      </c>
      <c r="F7" s="169"/>
    </row>
    <row r="8" spans="1:19" s="200" customFormat="1" x14ac:dyDescent="0.35">
      <c r="A8" s="200" t="s">
        <v>156</v>
      </c>
      <c r="C8" s="207">
        <f>C9+C16+C28</f>
        <v>17322238764.885136</v>
      </c>
      <c r="D8" s="207">
        <f>D9+D16+D28</f>
        <v>10.233341422957615</v>
      </c>
      <c r="F8" s="207">
        <f>F9+F16+F28</f>
        <v>9898422.1513629351</v>
      </c>
      <c r="L8" s="207">
        <f>L9+L16+L28</f>
        <v>3527964789.5910149</v>
      </c>
      <c r="M8" s="207"/>
      <c r="N8" s="207"/>
      <c r="O8" s="207">
        <f>O9+O16+O28</f>
        <v>11814871107.639935</v>
      </c>
      <c r="P8" s="218"/>
      <c r="Q8" s="207"/>
      <c r="R8" s="207">
        <f>R9+R16+R28</f>
        <v>6033382054.5809174</v>
      </c>
    </row>
    <row r="9" spans="1:19" s="201" customFormat="1" x14ac:dyDescent="0.35">
      <c r="A9" s="201" t="s">
        <v>294</v>
      </c>
      <c r="B9" s="201">
        <v>1750</v>
      </c>
      <c r="C9" s="202">
        <f>B9*F9</f>
        <v>539746409.87315857</v>
      </c>
      <c r="D9" s="203">
        <f>'[2]GAP analysis Sc. 2'!$F$105</f>
        <v>0.32413219826146089</v>
      </c>
      <c r="E9" s="208">
        <f>'[1]Conversion factors selected IV '!$O$7</f>
        <v>0.95154545454545458</v>
      </c>
      <c r="F9" s="202">
        <f>D9*E9*1000000</f>
        <v>308426.5199275192</v>
      </c>
      <c r="G9" s="208">
        <f>'LCoP 2040 high'!E3</f>
        <v>2328.318868454804</v>
      </c>
      <c r="H9" s="202">
        <f>G9*F9</f>
        <v>718115285.8790946</v>
      </c>
      <c r="I9" s="208">
        <f>'LCoP 2040 high'!H3</f>
        <v>0.75400706159285336</v>
      </c>
      <c r="L9" s="202">
        <f>I9*H9</f>
        <v>541463996.590608</v>
      </c>
      <c r="M9" s="208">
        <f>'LCoP 2040 high'!F3</f>
        <v>0.11553400337236569</v>
      </c>
      <c r="O9" s="202">
        <f>M9*H9</f>
        <v>82966733.86050266</v>
      </c>
      <c r="P9" s="208">
        <f>'LCoP 2040 high'!G3</f>
        <v>0.13045893503478095</v>
      </c>
      <c r="R9" s="202">
        <f>P9*H9</f>
        <v>93684555.427983955</v>
      </c>
      <c r="S9" s="202">
        <f>L9+O9+R9</f>
        <v>718115285.8790946</v>
      </c>
    </row>
    <row r="10" spans="1:19" x14ac:dyDescent="0.35">
      <c r="C10">
        <f>C9/$C$8</f>
        <v>3.1159160036940966E-2</v>
      </c>
      <c r="E10" s="205"/>
      <c r="F10" s="147" t="s">
        <v>179</v>
      </c>
      <c r="G10" s="276">
        <f>(SUMIF($J$10:$J$12,F10,$L$10:$L$12)/$L$9)</f>
        <v>7.1728348952608184E-2</v>
      </c>
      <c r="I10" s="102" t="s">
        <v>132</v>
      </c>
      <c r="J10" s="147" t="s">
        <v>179</v>
      </c>
      <c r="K10" s="2">
        <f>'Feedstock MIX per IVC'!N6</f>
        <v>125.92405640686168</v>
      </c>
      <c r="L10" s="1">
        <f>K10*F$9</f>
        <v>38838318.492724977</v>
      </c>
      <c r="M10" s="5" t="s">
        <v>211</v>
      </c>
      <c r="N10" s="265">
        <v>0.05</v>
      </c>
      <c r="O10" s="2">
        <f t="shared" ref="O10:O15" si="0">N10*O$9</f>
        <v>4148336.6930251331</v>
      </c>
      <c r="P10" s="18" t="s">
        <v>217</v>
      </c>
      <c r="Q10" s="265">
        <v>0.35</v>
      </c>
      <c r="R10" s="102">
        <f>Q10*R$9</f>
        <v>32789594.399794381</v>
      </c>
    </row>
    <row r="11" spans="1:19" x14ac:dyDescent="0.35">
      <c r="F11" s="151" t="s">
        <v>77</v>
      </c>
      <c r="G11" s="276">
        <f>(SUMIF($J$10:$J$12,F11,$L$10:$L$12)/$L$9)/2</f>
        <v>0.39451545169514146</v>
      </c>
      <c r="I11" s="216" t="s">
        <v>300</v>
      </c>
      <c r="J11" s="151" t="s">
        <v>77</v>
      </c>
      <c r="K11" s="6">
        <f>'Feedstock MIX per IVC'!$N$7*0.85</f>
        <v>1385.1980902407511</v>
      </c>
      <c r="L11" s="1">
        <f>K11*F$9</f>
        <v>427231826.38320053</v>
      </c>
      <c r="M11" t="s">
        <v>212</v>
      </c>
      <c r="N11" s="265">
        <v>0.02</v>
      </c>
      <c r="O11" s="2">
        <f t="shared" si="0"/>
        <v>1659334.6772100532</v>
      </c>
      <c r="P11" s="18" t="s">
        <v>177</v>
      </c>
      <c r="Q11" s="265">
        <v>0.25</v>
      </c>
      <c r="R11" s="102">
        <f>Q11*R$9</f>
        <v>23421138.856995989</v>
      </c>
    </row>
    <row r="12" spans="1:19" x14ac:dyDescent="0.35">
      <c r="F12" s="240" t="s">
        <v>177</v>
      </c>
      <c r="G12" s="276">
        <f t="shared" ref="G12" si="1">(SUMIF($J$10:$J$12,F12,$L$10:$L$12)/$L$9)</f>
        <v>0.13924074765710875</v>
      </c>
      <c r="I12" s="217" t="s">
        <v>316</v>
      </c>
      <c r="J12" s="240" t="s">
        <v>177</v>
      </c>
      <c r="K12" s="6">
        <f>'Feedstock MIX per IVC'!$N$7*0.15</f>
        <v>244.44672180719135</v>
      </c>
      <c r="L12" s="1">
        <f>K12*F$9</f>
        <v>75393851.714682445</v>
      </c>
      <c r="M12" s="5" t="s">
        <v>210</v>
      </c>
      <c r="N12" s="265">
        <v>0.45</v>
      </c>
      <c r="O12" s="2">
        <f t="shared" si="0"/>
        <v>37335030.237226196</v>
      </c>
      <c r="P12" s="18" t="s">
        <v>218</v>
      </c>
      <c r="Q12" s="265">
        <v>0.2</v>
      </c>
      <c r="R12" s="102">
        <f>Q12*R$9</f>
        <v>18736911.085596792</v>
      </c>
      <c r="S12" s="2"/>
    </row>
    <row r="13" spans="1:19" x14ac:dyDescent="0.35">
      <c r="F13" s="190" t="s">
        <v>377</v>
      </c>
      <c r="G13" s="276">
        <f>G11</f>
        <v>0.39451545169514146</v>
      </c>
      <c r="L13" s="2"/>
      <c r="M13" t="s">
        <v>213</v>
      </c>
      <c r="N13" s="265">
        <v>0.15</v>
      </c>
      <c r="O13" s="2">
        <f t="shared" si="0"/>
        <v>12445010.079075398</v>
      </c>
      <c r="P13" s="18" t="s">
        <v>219</v>
      </c>
      <c r="Q13" s="265">
        <v>0.15</v>
      </c>
      <c r="R13" s="102">
        <f>Q13*R$9</f>
        <v>14052683.314197592</v>
      </c>
    </row>
    <row r="14" spans="1:19" x14ac:dyDescent="0.35">
      <c r="F14"/>
      <c r="G14" s="2">
        <f>SUM(G10:G13)</f>
        <v>0.99999999999999978</v>
      </c>
      <c r="M14" t="s">
        <v>214</v>
      </c>
      <c r="N14" s="265">
        <v>0.3</v>
      </c>
      <c r="O14" s="2">
        <f t="shared" si="0"/>
        <v>24890020.158150796</v>
      </c>
      <c r="P14" s="18" t="s">
        <v>220</v>
      </c>
      <c r="Q14" s="265">
        <v>0.05</v>
      </c>
      <c r="R14" s="102">
        <f>Q14*R$9</f>
        <v>4684227.7713991981</v>
      </c>
    </row>
    <row r="15" spans="1:19" x14ac:dyDescent="0.35">
      <c r="F15" s="31"/>
      <c r="I15" t="s">
        <v>320</v>
      </c>
      <c r="L15" s="2">
        <f>SUM(L10:L12)</f>
        <v>541463996.59060788</v>
      </c>
      <c r="M15" t="s">
        <v>216</v>
      </c>
      <c r="N15" s="265">
        <v>0.03</v>
      </c>
      <c r="O15" s="2">
        <f t="shared" si="0"/>
        <v>2489002.0158150797</v>
      </c>
      <c r="P15" s="18"/>
      <c r="Q15" s="265"/>
      <c r="R15" s="102"/>
    </row>
    <row r="16" spans="1:19" s="201" customFormat="1" x14ac:dyDescent="0.35">
      <c r="A16" s="201" t="s">
        <v>315</v>
      </c>
      <c r="B16" s="201">
        <v>1750</v>
      </c>
      <c r="C16" s="203">
        <f>B16*F16</f>
        <v>10970197356.764629</v>
      </c>
      <c r="D16" s="208">
        <f>'[2]GAP analysis Sc. 2'!$F$106</f>
        <v>6.5878977971262422</v>
      </c>
      <c r="E16" s="210">
        <f>'[1]Conversion factors selected IV '!$O$64</f>
        <v>0.95154545454545658</v>
      </c>
      <c r="F16" s="202">
        <f>D16*E16*1000000</f>
        <v>6268684.203865503</v>
      </c>
      <c r="G16" s="203">
        <f>'LCoP 2040 high'!E15</f>
        <v>2515.8798219058199</v>
      </c>
      <c r="H16" s="202">
        <f>G16*F16</f>
        <v>15771256098.404968</v>
      </c>
      <c r="I16" s="203">
        <f>'LCoP 2040 high'!H15</f>
        <v>0.14095658259112787</v>
      </c>
      <c r="L16" s="202">
        <f>I16*H16</f>
        <v>2223062362.8006492</v>
      </c>
      <c r="M16" s="203">
        <f>'LCoP 2040 high'!F15</f>
        <v>0.57435175854520304</v>
      </c>
      <c r="O16" s="202">
        <f>M16*H16</f>
        <v>9058248674.5856514</v>
      </c>
      <c r="P16" s="203">
        <f>'LCoP 2040 high'!G15</f>
        <v>0.28469165886366898</v>
      </c>
      <c r="R16" s="202">
        <f>P16*H16</f>
        <v>4489945061.0186663</v>
      </c>
      <c r="S16" s="202">
        <f>L16+O16+R16</f>
        <v>15771256098.404968</v>
      </c>
    </row>
    <row r="17" spans="1:19" x14ac:dyDescent="0.35">
      <c r="C17">
        <f>C16/$C$8</f>
        <v>0.63330135934870735</v>
      </c>
      <c r="F17" s="147" t="s">
        <v>179</v>
      </c>
      <c r="G17" s="2">
        <f>SUMIF($J$17:$J$26,F17,$L$17:$L$26)/$L$16</f>
        <v>0.59524687476164917</v>
      </c>
      <c r="I17" s="5" t="s">
        <v>4</v>
      </c>
      <c r="J17" s="147" t="s">
        <v>179</v>
      </c>
      <c r="K17" s="6">
        <f>'Feedstock MIX per IVC'!N58</f>
        <v>164.37697084922007</v>
      </c>
      <c r="L17" s="2">
        <f t="shared" ref="L17:L26" si="2">K17*F$16</f>
        <v>1030427320.6417661</v>
      </c>
      <c r="M17" s="5" t="s">
        <v>211</v>
      </c>
      <c r="N17" s="34">
        <v>0</v>
      </c>
      <c r="O17" s="2">
        <f t="shared" ref="O17:O22" si="3">N17*O$16</f>
        <v>0</v>
      </c>
      <c r="P17" s="18" t="s">
        <v>217</v>
      </c>
      <c r="Q17" s="34">
        <v>0.25</v>
      </c>
      <c r="R17" s="102">
        <f>Q17*R$16</f>
        <v>1122486265.2546666</v>
      </c>
    </row>
    <row r="18" spans="1:19" x14ac:dyDescent="0.35">
      <c r="F18" s="171" t="s">
        <v>222</v>
      </c>
      <c r="G18" s="2">
        <f t="shared" ref="G18:G21" si="4">SUMIF($J$17:$J$26,F18,$L$17:$L$26)/$L$16</f>
        <v>0.11345982210909367</v>
      </c>
      <c r="I18" s="5" t="s">
        <v>5</v>
      </c>
      <c r="J18" s="147" t="s">
        <v>179</v>
      </c>
      <c r="K18" s="6">
        <f>'Feedstock MIX per IVC'!N59</f>
        <v>7.5825679276511133</v>
      </c>
      <c r="L18" s="2">
        <f t="shared" si="2"/>
        <v>47532723.79280372</v>
      </c>
      <c r="M18" t="s">
        <v>212</v>
      </c>
      <c r="N18" s="34">
        <v>0.02</v>
      </c>
      <c r="O18" s="2">
        <f t="shared" si="3"/>
        <v>181164973.49171302</v>
      </c>
      <c r="P18" s="18" t="s">
        <v>177</v>
      </c>
      <c r="Q18" s="34">
        <v>0.15</v>
      </c>
      <c r="R18" s="102">
        <f>Q18*R$16</f>
        <v>673491759.15279996</v>
      </c>
    </row>
    <row r="19" spans="1:19" x14ac:dyDescent="0.35">
      <c r="F19" s="149" t="s">
        <v>176</v>
      </c>
      <c r="G19" s="2">
        <f t="shared" si="4"/>
        <v>0.13367773228164362</v>
      </c>
      <c r="I19" s="5" t="s">
        <v>22</v>
      </c>
      <c r="J19" s="152" t="s">
        <v>180</v>
      </c>
      <c r="K19" s="6">
        <f>'Feedstock MIX per IVC'!N60</f>
        <v>0</v>
      </c>
      <c r="L19" s="2">
        <f t="shared" si="2"/>
        <v>0</v>
      </c>
      <c r="M19" s="5" t="s">
        <v>210</v>
      </c>
      <c r="N19" s="34">
        <v>0.55000000000000004</v>
      </c>
      <c r="O19" s="2">
        <f t="shared" si="3"/>
        <v>4982036771.022109</v>
      </c>
      <c r="P19" s="18" t="s">
        <v>218</v>
      </c>
      <c r="Q19" s="34">
        <v>0.3</v>
      </c>
      <c r="R19" s="102">
        <f>Q19*R$16</f>
        <v>1346983518.3055999</v>
      </c>
    </row>
    <row r="20" spans="1:19" x14ac:dyDescent="0.35">
      <c r="F20" s="150" t="s">
        <v>178</v>
      </c>
      <c r="G20" s="2">
        <f t="shared" si="4"/>
        <v>1.0276904572171744E-2</v>
      </c>
      <c r="I20" s="5" t="s">
        <v>6</v>
      </c>
      <c r="J20" s="150" t="s">
        <v>178</v>
      </c>
      <c r="K20" s="6">
        <f>'Feedstock MIX per IVC'!N61</f>
        <v>3.6444968381723708</v>
      </c>
      <c r="L20" s="2">
        <f t="shared" si="2"/>
        <v>22846199.760488912</v>
      </c>
      <c r="M20" t="s">
        <v>213</v>
      </c>
      <c r="N20" s="34">
        <v>0.1</v>
      </c>
      <c r="O20" s="2">
        <f t="shared" si="3"/>
        <v>905824867.45856524</v>
      </c>
      <c r="P20" s="18" t="s">
        <v>219</v>
      </c>
      <c r="Q20" s="34">
        <v>0.3</v>
      </c>
      <c r="R20" s="102">
        <f>Q20*R$16</f>
        <v>1346983518.3055999</v>
      </c>
    </row>
    <row r="21" spans="1:19" x14ac:dyDescent="0.35">
      <c r="F21" s="152" t="s">
        <v>180</v>
      </c>
      <c r="G21" s="2">
        <f t="shared" si="4"/>
        <v>2.2230997073894396E-2</v>
      </c>
      <c r="I21" s="5" t="s">
        <v>7</v>
      </c>
      <c r="J21" s="147" t="s">
        <v>179</v>
      </c>
      <c r="K21" s="6">
        <f>'Feedstock MIX per IVC'!N62</f>
        <v>30.968989815063541</v>
      </c>
      <c r="L21" s="2">
        <f t="shared" si="2"/>
        <v>194134817.26336047</v>
      </c>
      <c r="M21" t="s">
        <v>214</v>
      </c>
      <c r="N21" s="34">
        <v>0.3</v>
      </c>
      <c r="O21" s="2">
        <f t="shared" si="3"/>
        <v>2717474602.3756952</v>
      </c>
      <c r="P21" s="18" t="s">
        <v>220</v>
      </c>
      <c r="Q21" s="223">
        <v>0</v>
      </c>
      <c r="R21" s="102">
        <f>Q21*R$16</f>
        <v>0</v>
      </c>
    </row>
    <row r="22" spans="1:19" x14ac:dyDescent="0.35">
      <c r="F22" s="151" t="s">
        <v>77</v>
      </c>
      <c r="G22" s="2">
        <f>SUMIF($J$17:$J$26,F22,$L$17:$L$26)/$L$16/2</f>
        <v>6.2553834600773642E-2</v>
      </c>
      <c r="I22" s="5" t="s">
        <v>8</v>
      </c>
      <c r="J22" s="147" t="s">
        <v>179</v>
      </c>
      <c r="K22" s="6">
        <f>'Feedstock MIX per IVC'!N63</f>
        <v>8.1637645947847499</v>
      </c>
      <c r="L22" s="2">
        <f t="shared" si="2"/>
        <v>51176062.159403622</v>
      </c>
      <c r="M22" t="s">
        <v>216</v>
      </c>
      <c r="N22" s="34">
        <v>0.03</v>
      </c>
      <c r="O22" s="2">
        <f t="shared" si="3"/>
        <v>271747460.23756951</v>
      </c>
      <c r="R22" s="102"/>
    </row>
    <row r="23" spans="1:19" x14ac:dyDescent="0.35">
      <c r="F23" s="190" t="s">
        <v>377</v>
      </c>
      <c r="G23" s="2">
        <f>G22</f>
        <v>6.2553834600773642E-2</v>
      </c>
      <c r="I23" s="5" t="s">
        <v>9</v>
      </c>
      <c r="J23" s="171" t="s">
        <v>222</v>
      </c>
      <c r="K23" s="6">
        <f>'Feedstock MIX per IVC'!N64</f>
        <v>40.236236508013889</v>
      </c>
      <c r="L23" s="2">
        <f t="shared" si="2"/>
        <v>252228260.22078311</v>
      </c>
      <c r="N23" s="118"/>
      <c r="O23" s="2"/>
      <c r="P23" s="18"/>
      <c r="Q23" s="118"/>
      <c r="R23" s="2"/>
    </row>
    <row r="24" spans="1:19" x14ac:dyDescent="0.35">
      <c r="F24"/>
      <c r="G24" s="2">
        <f>SUM(G17:G23)</f>
        <v>1</v>
      </c>
      <c r="I24" s="5" t="s">
        <v>10</v>
      </c>
      <c r="J24" s="149" t="s">
        <v>176</v>
      </c>
      <c r="K24" s="6">
        <f>'Feedstock MIX per IVC'!N65</f>
        <v>47.406110391813137</v>
      </c>
      <c r="L24" s="2">
        <f t="shared" si="2"/>
        <v>297173935.37986326</v>
      </c>
      <c r="N24" s="118"/>
      <c r="O24" s="2"/>
      <c r="P24" s="18"/>
      <c r="Q24" s="118"/>
      <c r="R24" s="102"/>
    </row>
    <row r="25" spans="1:19" x14ac:dyDescent="0.35">
      <c r="F25" s="31"/>
      <c r="I25" s="5" t="s">
        <v>11</v>
      </c>
      <c r="J25" s="152" t="s">
        <v>180</v>
      </c>
      <c r="K25" s="6">
        <f>'Feedstock MIX per IVC'!N66</f>
        <v>7.8837745331039715</v>
      </c>
      <c r="L25" s="2">
        <f t="shared" si="2"/>
        <v>49420892.882505998</v>
      </c>
      <c r="M25" s="2"/>
      <c r="N25" s="118"/>
      <c r="O25" s="2"/>
      <c r="P25" s="18"/>
      <c r="Q25" s="118"/>
      <c r="R25" s="102"/>
    </row>
    <row r="26" spans="1:19" x14ac:dyDescent="0.35">
      <c r="F26" s="31"/>
      <c r="I26" s="13" t="s">
        <v>32</v>
      </c>
      <c r="J26" s="151" t="s">
        <v>77</v>
      </c>
      <c r="K26" s="6">
        <f>'Feedstock MIX per IVC'!N67</f>
        <v>44.366910447996936</v>
      </c>
      <c r="L26" s="2">
        <f t="shared" si="2"/>
        <v>278122150.69967371</v>
      </c>
      <c r="N26" s="118"/>
      <c r="O26" s="2"/>
      <c r="P26" s="18"/>
      <c r="Q26" s="118"/>
      <c r="R26" s="102"/>
    </row>
    <row r="27" spans="1:19" x14ac:dyDescent="0.35">
      <c r="F27" s="31"/>
      <c r="L27" s="2">
        <f>SUM(L17:L26)</f>
        <v>2223062362.8006487</v>
      </c>
      <c r="N27" s="118"/>
      <c r="O27" s="2"/>
      <c r="P27" s="18"/>
      <c r="Q27" s="118"/>
      <c r="R27" s="102"/>
    </row>
    <row r="28" spans="1:19" s="201" customFormat="1" x14ac:dyDescent="0.35">
      <c r="A28" s="201" t="s">
        <v>295</v>
      </c>
      <c r="B28" s="201">
        <v>1750</v>
      </c>
      <c r="C28" s="202">
        <f>B28*F28</f>
        <v>5812294998.2473469</v>
      </c>
      <c r="D28" s="203">
        <f>'[2]GAP analysis Sc. 2'!$F$107+'[2]GAP analysis Sc. 2'!$J$107</f>
        <v>3.3213114275699125</v>
      </c>
      <c r="E28" s="201">
        <f>'[1]Conversion factors selected IV '!$O$89</f>
        <v>1</v>
      </c>
      <c r="F28" s="202">
        <f>D28*E28*1000000</f>
        <v>3321311.4275699123</v>
      </c>
      <c r="G28" s="208">
        <f>'LCoP 2040 high'!E19</f>
        <v>1471.3605375763691</v>
      </c>
      <c r="H28" s="203">
        <f>G28*F28</f>
        <v>4886846567.5278044</v>
      </c>
      <c r="I28" s="208">
        <f>'LCoP 2040 high'!H19</f>
        <v>0.15622312254955284</v>
      </c>
      <c r="L28" s="202">
        <f>I28*H28</f>
        <v>763438430.19975781</v>
      </c>
      <c r="M28" s="208">
        <f>'LCoP 2040 high'!F19</f>
        <v>0.54711267526992347</v>
      </c>
      <c r="O28" s="202">
        <f>M28*H28</f>
        <v>2673655699.1937799</v>
      </c>
      <c r="P28" s="208">
        <f>'LCoP 2040 high'!G19</f>
        <v>0.2966642021805237</v>
      </c>
      <c r="R28" s="202">
        <f>P28*H28</f>
        <v>1449752438.1342669</v>
      </c>
      <c r="S28" s="202">
        <f>L28+O28+R28</f>
        <v>4886846567.5278044</v>
      </c>
    </row>
    <row r="29" spans="1:19" x14ac:dyDescent="0.35">
      <c r="C29">
        <f>C28/$C$8</f>
        <v>0.33553948061435168</v>
      </c>
      <c r="D29" s="2"/>
      <c r="F29" s="147" t="s">
        <v>179</v>
      </c>
      <c r="G29" s="6">
        <f>SUMIF($J$29:$J$36,F29,$L$29:$L$36)/$L$28</f>
        <v>0.66493379332903557</v>
      </c>
      <c r="H29" s="192" t="s">
        <v>254</v>
      </c>
      <c r="I29" s="12" t="s">
        <v>4</v>
      </c>
      <c r="J29" s="147" t="s">
        <v>179</v>
      </c>
      <c r="K29" s="6">
        <f>'Feedstock MIX per IVC'!N84</f>
        <v>118.83945665169428</v>
      </c>
      <c r="L29" s="2">
        <f t="shared" ref="L29:L36" si="5">K29*F$28</f>
        <v>394702845.42347145</v>
      </c>
      <c r="M29" s="5" t="s">
        <v>211</v>
      </c>
      <c r="N29" s="167">
        <v>0.15</v>
      </c>
      <c r="O29" s="2">
        <f t="shared" ref="O29:O34" si="6">N29*O$28</f>
        <v>401048354.879067</v>
      </c>
      <c r="P29" s="18" t="s">
        <v>217</v>
      </c>
      <c r="Q29" s="118">
        <v>0.15</v>
      </c>
      <c r="R29" s="2">
        <f>Q29*R$28</f>
        <v>217462865.72014001</v>
      </c>
    </row>
    <row r="30" spans="1:19" x14ac:dyDescent="0.35">
      <c r="D30" s="2"/>
      <c r="F30" s="171" t="s">
        <v>222</v>
      </c>
      <c r="G30" s="6">
        <f t="shared" ref="G30:G33" si="7">SUMIF($J$29:$J$36,F30,$L$29:$L$36)/$L$28</f>
        <v>0.13575863306984345</v>
      </c>
      <c r="H30" s="192" t="s">
        <v>254</v>
      </c>
      <c r="I30" s="12" t="s">
        <v>5</v>
      </c>
      <c r="J30" s="147" t="s">
        <v>179</v>
      </c>
      <c r="K30" s="6">
        <f>'Feedstock MIX per IVC'!N85</f>
        <v>5.4811901407983816</v>
      </c>
      <c r="L30" s="2">
        <f t="shared" si="5"/>
        <v>18204739.451317202</v>
      </c>
      <c r="M30" t="s">
        <v>212</v>
      </c>
      <c r="N30" s="34">
        <v>0.02</v>
      </c>
      <c r="O30" s="2">
        <f t="shared" si="6"/>
        <v>53473113.983875602</v>
      </c>
      <c r="P30" s="18" t="s">
        <v>177</v>
      </c>
      <c r="Q30" s="118">
        <v>0.25</v>
      </c>
      <c r="R30" s="2">
        <f>Q30*R$28</f>
        <v>362438109.53356671</v>
      </c>
    </row>
    <row r="31" spans="1:19" x14ac:dyDescent="0.35">
      <c r="D31" s="2"/>
      <c r="F31" s="149" t="s">
        <v>176</v>
      </c>
      <c r="G31" s="6">
        <f t="shared" si="7"/>
        <v>0.16476353314946635</v>
      </c>
      <c r="H31" s="192" t="s">
        <v>254</v>
      </c>
      <c r="I31" s="12" t="s">
        <v>6</v>
      </c>
      <c r="J31" s="150" t="s">
        <v>178</v>
      </c>
      <c r="K31" s="6">
        <f>'Feedstock MIX per IVC'!N86</f>
        <v>2.6327336601860338</v>
      </c>
      <c r="L31" s="2">
        <f t="shared" si="5"/>
        <v>8744128.3913238365</v>
      </c>
      <c r="M31" s="5" t="s">
        <v>210</v>
      </c>
      <c r="N31" s="167">
        <v>0.45</v>
      </c>
      <c r="O31" s="2">
        <f t="shared" si="6"/>
        <v>1203145064.6372011</v>
      </c>
      <c r="P31" s="18" t="s">
        <v>218</v>
      </c>
      <c r="Q31" s="118">
        <v>0.2</v>
      </c>
      <c r="R31" s="2">
        <f>Q31*R$28</f>
        <v>289950487.62685341</v>
      </c>
    </row>
    <row r="32" spans="1:19" x14ac:dyDescent="0.35">
      <c r="D32" s="2"/>
      <c r="F32" s="150" t="s">
        <v>178</v>
      </c>
      <c r="G32" s="6">
        <f t="shared" si="7"/>
        <v>1.145361308185113E-2</v>
      </c>
      <c r="H32" s="192" t="s">
        <v>254</v>
      </c>
      <c r="I32" s="12" t="s">
        <v>7</v>
      </c>
      <c r="J32" s="147" t="s">
        <v>179</v>
      </c>
      <c r="K32" s="6">
        <f>'Feedstock MIX per IVC'!N87</f>
        <v>22.593373092924249</v>
      </c>
      <c r="L32" s="2">
        <f t="shared" si="5"/>
        <v>75039628.240879878</v>
      </c>
      <c r="M32" t="s">
        <v>213</v>
      </c>
      <c r="N32" s="34">
        <v>0.1</v>
      </c>
      <c r="O32" s="2">
        <f t="shared" si="6"/>
        <v>267365569.91937801</v>
      </c>
      <c r="P32" s="18" t="s">
        <v>219</v>
      </c>
      <c r="Q32" s="118">
        <v>0.3</v>
      </c>
      <c r="R32" s="2">
        <f>Q32*R$28</f>
        <v>434925731.44028002</v>
      </c>
      <c r="S32" s="2"/>
    </row>
    <row r="33" spans="1:19" x14ac:dyDescent="0.35">
      <c r="D33" s="2"/>
      <c r="F33" s="152" t="s">
        <v>180</v>
      </c>
      <c r="G33" s="6">
        <f t="shared" si="7"/>
        <v>2.3090427369803702E-2</v>
      </c>
      <c r="H33" s="192" t="s">
        <v>254</v>
      </c>
      <c r="I33" s="12" t="s">
        <v>8</v>
      </c>
      <c r="J33" s="147" t="s">
        <v>179</v>
      </c>
      <c r="K33" s="6">
        <f>'Feedstock MIX per IVC'!N88</f>
        <v>5.9280193018894751</v>
      </c>
      <c r="L33" s="2">
        <f t="shared" si="5"/>
        <v>19688798.250220526</v>
      </c>
      <c r="M33" t="s">
        <v>214</v>
      </c>
      <c r="N33" s="34">
        <v>0.25</v>
      </c>
      <c r="O33" s="2">
        <f t="shared" si="6"/>
        <v>668413924.79844499</v>
      </c>
      <c r="P33" s="18" t="s">
        <v>220</v>
      </c>
      <c r="Q33" s="118">
        <v>0.1</v>
      </c>
      <c r="R33" s="2">
        <f>Q33*R$28</f>
        <v>144975243.8134267</v>
      </c>
    </row>
    <row r="34" spans="1:19" x14ac:dyDescent="0.35">
      <c r="D34" s="2"/>
      <c r="F34" s="31"/>
      <c r="G34" s="6">
        <f>SUM(G29:G33)</f>
        <v>1.0000000000000002</v>
      </c>
      <c r="H34" s="192" t="s">
        <v>254</v>
      </c>
      <c r="I34" s="12" t="s">
        <v>9</v>
      </c>
      <c r="J34" s="171" t="s">
        <v>222</v>
      </c>
      <c r="K34" s="6">
        <f>'Feedstock MIX per IVC'!N89</f>
        <v>31.205552378067249</v>
      </c>
      <c r="L34" s="2">
        <f t="shared" si="5"/>
        <v>103643357.7169062</v>
      </c>
      <c r="M34" t="s">
        <v>216</v>
      </c>
      <c r="N34" s="34">
        <v>0.03</v>
      </c>
      <c r="O34" s="2">
        <f t="shared" si="6"/>
        <v>80209670.975813389</v>
      </c>
      <c r="P34" s="18"/>
      <c r="Q34" s="118">
        <f>SUM(Q29:Q33)</f>
        <v>1.0000000000000002</v>
      </c>
      <c r="R34" s="2"/>
    </row>
    <row r="35" spans="1:19" x14ac:dyDescent="0.35">
      <c r="D35" s="2"/>
      <c r="F35" s="31"/>
      <c r="G35" s="6"/>
      <c r="H35" s="192" t="s">
        <v>254</v>
      </c>
      <c r="I35" s="12" t="s">
        <v>10</v>
      </c>
      <c r="J35" s="149" t="s">
        <v>176</v>
      </c>
      <c r="K35" s="6">
        <f>'Feedstock MIX per IVC'!N90</f>
        <v>37.872634302718239</v>
      </c>
      <c r="L35" s="2">
        <f t="shared" si="5"/>
        <v>125786813.10179435</v>
      </c>
    </row>
    <row r="36" spans="1:19" x14ac:dyDescent="0.35">
      <c r="D36" s="2"/>
      <c r="F36" s="31"/>
      <c r="G36" s="6"/>
      <c r="H36" s="192" t="s">
        <v>254</v>
      </c>
      <c r="I36" s="12" t="s">
        <v>11</v>
      </c>
      <c r="J36" s="152" t="s">
        <v>180</v>
      </c>
      <c r="K36" s="6">
        <f>'Feedstock MIX per IVC'!N91</f>
        <v>5.3075780480911847</v>
      </c>
      <c r="L36" s="2">
        <f t="shared" si="5"/>
        <v>17628119.62384446</v>
      </c>
      <c r="M36" s="2"/>
    </row>
    <row r="37" spans="1:19" x14ac:dyDescent="0.35">
      <c r="D37" s="6"/>
      <c r="E37" s="6"/>
      <c r="F37" s="31"/>
      <c r="G37" s="6"/>
      <c r="H37" s="6"/>
      <c r="I37" s="6"/>
      <c r="J37" s="6"/>
      <c r="K37" s="6"/>
    </row>
    <row r="38" spans="1:19" x14ac:dyDescent="0.35">
      <c r="D38" s="6"/>
      <c r="E38" s="6"/>
      <c r="F38" s="31"/>
      <c r="G38" s="6"/>
      <c r="H38" s="6"/>
      <c r="I38" s="212" t="s">
        <v>281</v>
      </c>
      <c r="J38" s="6"/>
      <c r="K38" s="6"/>
      <c r="L38" s="2"/>
      <c r="M38" s="78" t="s">
        <v>181</v>
      </c>
      <c r="O38" s="90">
        <f>SUM(O39:O44)</f>
        <v>11814871107.639935</v>
      </c>
      <c r="P38" s="78" t="s">
        <v>181</v>
      </c>
      <c r="Q38" s="78"/>
      <c r="R38" s="90">
        <f>SUM(R39:R43)</f>
        <v>6033382054.5809164</v>
      </c>
    </row>
    <row r="39" spans="1:19" x14ac:dyDescent="0.35">
      <c r="D39" s="6"/>
      <c r="E39" s="6"/>
      <c r="F39" s="31"/>
      <c r="G39" s="6"/>
      <c r="H39" s="6"/>
      <c r="I39" s="6"/>
      <c r="J39" s="147" t="s">
        <v>179</v>
      </c>
      <c r="K39" s="6"/>
      <c r="L39" s="2">
        <f ca="1">SUMIF($J$8:$J$36,J39,$L$10:$L$36)</f>
        <v>960856174.52672195</v>
      </c>
      <c r="M39" s="5" t="s">
        <v>211</v>
      </c>
      <c r="O39" s="2">
        <f t="shared" ref="O39:O44" si="8">SUMIF($M$8:$M$36,M39,$O$8:$O$36)</f>
        <v>405196691.57209212</v>
      </c>
      <c r="P39" s="18" t="s">
        <v>217</v>
      </c>
      <c r="R39" s="2">
        <f>SUMIF($P$8:$P$36,P39,$R$8:$R$36)</f>
        <v>1372738725.3746009</v>
      </c>
    </row>
    <row r="40" spans="1:19" x14ac:dyDescent="0.35">
      <c r="D40" s="6"/>
      <c r="E40" s="6"/>
      <c r="F40" s="31"/>
      <c r="G40" s="6"/>
      <c r="H40" s="6"/>
      <c r="I40" s="6"/>
      <c r="J40" s="171" t="s">
        <v>222</v>
      </c>
      <c r="K40" s="6"/>
      <c r="L40" s="2">
        <f ca="1">SUMIF($J$8:$J$36,J40,$L$10:$L$36)</f>
        <v>67049012.506350458</v>
      </c>
      <c r="M40" t="s">
        <v>212</v>
      </c>
      <c r="O40" s="2">
        <f t="shared" si="8"/>
        <v>236297422.15279868</v>
      </c>
      <c r="P40" s="18" t="s">
        <v>177</v>
      </c>
      <c r="R40" s="2">
        <f>SUMIF($P$8:$P$36,P40,$R$8:$R$36)</f>
        <v>1059351007.5433626</v>
      </c>
    </row>
    <row r="41" spans="1:19" x14ac:dyDescent="0.35">
      <c r="D41" s="6"/>
      <c r="E41" s="6"/>
      <c r="F41" s="31"/>
      <c r="G41" s="6"/>
      <c r="H41" s="6"/>
      <c r="I41" s="6"/>
      <c r="J41" s="149" t="s">
        <v>176</v>
      </c>
      <c r="K41" s="6"/>
      <c r="L41" s="2">
        <f ca="1">SUMIF($J$8:$J$36,J41,$L$10:$L$36)</f>
        <v>278122150.69967371</v>
      </c>
      <c r="M41" s="5" t="s">
        <v>210</v>
      </c>
      <c r="O41" s="2">
        <f t="shared" si="8"/>
        <v>6222516865.8965368</v>
      </c>
      <c r="P41" s="18" t="s">
        <v>218</v>
      </c>
      <c r="R41" s="2">
        <f>SUMIF($P$8:$P$36,P41,$R$8:$R$36)</f>
        <v>1655670917.0180502</v>
      </c>
    </row>
    <row r="42" spans="1:19" x14ac:dyDescent="0.35">
      <c r="D42" s="6"/>
      <c r="E42" s="6"/>
      <c r="F42" s="31"/>
      <c r="G42" s="6"/>
      <c r="H42" s="6"/>
      <c r="I42" s="6"/>
      <c r="J42" s="150" t="s">
        <v>178</v>
      </c>
      <c r="K42" s="6"/>
      <c r="L42" s="2">
        <f ca="1">SUMIF($J$8:$J$36,J42,$L$10:$L$36)</f>
        <v>70864860.409624144</v>
      </c>
      <c r="M42" t="s">
        <v>213</v>
      </c>
      <c r="O42" s="2">
        <f t="shared" si="8"/>
        <v>1185635447.4570186</v>
      </c>
      <c r="P42" s="18" t="s">
        <v>219</v>
      </c>
      <c r="R42" s="2">
        <f>SUMIF($P$8:$P$36,P42,$R$8:$R$36)</f>
        <v>1795961933.0600774</v>
      </c>
    </row>
    <row r="43" spans="1:19" x14ac:dyDescent="0.35">
      <c r="D43" s="6"/>
      <c r="E43" s="6"/>
      <c r="F43" s="31"/>
      <c r="G43" s="6"/>
      <c r="H43" s="6"/>
      <c r="I43" s="6"/>
      <c r="J43" s="152" t="s">
        <v>180</v>
      </c>
      <c r="K43" s="6"/>
      <c r="L43" s="2">
        <f ca="1">SUMIF($J$8:$J$36,J43,$L$10:$L$36)</f>
        <v>2417197180.0640092</v>
      </c>
      <c r="M43" t="s">
        <v>214</v>
      </c>
      <c r="O43" s="2">
        <f t="shared" si="8"/>
        <v>3410778547.3322906</v>
      </c>
      <c r="P43" s="18" t="s">
        <v>220</v>
      </c>
      <c r="R43" s="2">
        <f>SUMIF($P$8:$P$36,P43,$R$8:$R$36)</f>
        <v>149659471.5848259</v>
      </c>
    </row>
    <row r="44" spans="1:19" x14ac:dyDescent="0.35">
      <c r="D44" s="6"/>
      <c r="E44" s="6"/>
      <c r="F44" s="31"/>
      <c r="G44" s="6"/>
      <c r="H44" s="6"/>
      <c r="I44" s="212"/>
      <c r="J44" s="151" t="s">
        <v>77</v>
      </c>
      <c r="K44" s="6"/>
      <c r="L44" s="2">
        <f ca="1">SUMIF($J$8:$J$36,J44,$L$10:$L$36)/2</f>
        <v>381719215.09987891</v>
      </c>
      <c r="M44" t="s">
        <v>216</v>
      </c>
      <c r="O44" s="2">
        <f t="shared" si="8"/>
        <v>354446133.22919798</v>
      </c>
    </row>
    <row r="45" spans="1:19" x14ac:dyDescent="0.35">
      <c r="D45" s="6"/>
      <c r="E45" s="6"/>
      <c r="F45" s="31"/>
      <c r="G45" s="6"/>
      <c r="J45" s="190" t="s">
        <v>377</v>
      </c>
      <c r="L45" s="2">
        <f ca="1">L44</f>
        <v>381719215.09987891</v>
      </c>
    </row>
    <row r="46" spans="1:19" s="91" customFormat="1" ht="41" customHeight="1" x14ac:dyDescent="0.35">
      <c r="A46" s="91" t="s">
        <v>78</v>
      </c>
      <c r="F46" s="169"/>
    </row>
    <row r="47" spans="1:19" ht="17.5" customHeight="1" x14ac:dyDescent="0.35">
      <c r="C47" s="2">
        <f>C48+C55+C62+C71</f>
        <v>9917650518.5263653</v>
      </c>
      <c r="D47" s="2">
        <f>D48+D55+D62+D71</f>
        <v>6.2262408045300939</v>
      </c>
      <c r="F47" s="2">
        <f>F48+F55+F62+F71</f>
        <v>7277207.9336082842</v>
      </c>
      <c r="L47" s="2">
        <f>L48+L55+L62+L71</f>
        <v>2382774195.8329811</v>
      </c>
      <c r="O47" s="2">
        <f>O48+O55+O62+O71</f>
        <v>4588818229.4495182</v>
      </c>
      <c r="R47" s="2">
        <f>R48+R55+R62+R71</f>
        <v>3088916442.3281536</v>
      </c>
    </row>
    <row r="48" spans="1:19" s="201" customFormat="1" ht="17.5" customHeight="1" x14ac:dyDescent="0.35">
      <c r="A48" s="201" t="s">
        <v>297</v>
      </c>
      <c r="B48" s="201">
        <v>1000</v>
      </c>
      <c r="C48" s="202">
        <f>B48*F48</f>
        <v>1479751538.8836994</v>
      </c>
      <c r="D48" s="203">
        <f>'[2]GAP analysis Sc. 2'!$F$109</f>
        <v>0.95426797434460386</v>
      </c>
      <c r="E48" s="210">
        <f>'[1]Conversion factors selected IV '!$O$17</f>
        <v>1.5506666666666669</v>
      </c>
      <c r="F48" s="202">
        <f>D48*E48*1000000</f>
        <v>1479751.5388836993</v>
      </c>
      <c r="G48" s="208">
        <f>'LCoP 2040 high'!E5</f>
        <v>1287.7569444827247</v>
      </c>
      <c r="H48" s="203">
        <f>G48*F48</f>
        <v>1905560320.3064826</v>
      </c>
      <c r="I48" s="208">
        <f>'LCoP 2040 high'!H5</f>
        <v>0.26849549984109067</v>
      </c>
      <c r="L48" s="202">
        <f>I48*H48</f>
        <v>511634370.67803788</v>
      </c>
      <c r="M48" s="208">
        <f>'LCoP 2040 high'!F5</f>
        <v>0.43098195073056761</v>
      </c>
      <c r="O48" s="202">
        <f>M48*H48</f>
        <v>821262104.08045304</v>
      </c>
      <c r="P48" s="208">
        <f>'LCoP 2040 high'!G5</f>
        <v>0.30052254942834178</v>
      </c>
      <c r="R48" s="202">
        <f>P48*H48</f>
        <v>572663845.54799175</v>
      </c>
      <c r="S48" s="203">
        <f>R48+O48+L48</f>
        <v>1905560320.3064826</v>
      </c>
    </row>
    <row r="49" spans="1:19" ht="15" customHeight="1" x14ac:dyDescent="0.35">
      <c r="C49">
        <f>C48/$C$47</f>
        <v>0.14920383977228222</v>
      </c>
      <c r="F49" s="147" t="s">
        <v>179</v>
      </c>
      <c r="G49" s="6">
        <f>SUMIF($J$49:$J$52,F49,$L$49:$L$52)/$L$48</f>
        <v>0.83547712199842605</v>
      </c>
      <c r="H49" s="192" t="s">
        <v>254</v>
      </c>
      <c r="I49" s="7" t="s">
        <v>4</v>
      </c>
      <c r="J49" s="147" t="s">
        <v>179</v>
      </c>
      <c r="K49" s="6">
        <f>'Feedstock MIX per IVC'!N13</f>
        <v>233.7029998304173</v>
      </c>
      <c r="L49">
        <f>K49*F$48</f>
        <v>345822373.6407969</v>
      </c>
      <c r="M49" s="5" t="s">
        <v>211</v>
      </c>
      <c r="N49" s="34">
        <v>0</v>
      </c>
      <c r="O49" s="2">
        <f t="shared" ref="O49:O54" si="9">N49*O$48</f>
        <v>0</v>
      </c>
      <c r="P49" s="18" t="s">
        <v>217</v>
      </c>
      <c r="Q49" s="34">
        <v>0.2</v>
      </c>
      <c r="R49" s="2">
        <f>Q49*R$48</f>
        <v>114532769.10959835</v>
      </c>
    </row>
    <row r="50" spans="1:19" ht="15" customHeight="1" x14ac:dyDescent="0.35">
      <c r="F50" s="149" t="s">
        <v>176</v>
      </c>
      <c r="G50" s="6">
        <f>SUMIF($J$49:$J$52,F50,$L$49:$L$52)/$L$48</f>
        <v>0.16452287800157367</v>
      </c>
      <c r="H50" s="192" t="s">
        <v>254</v>
      </c>
      <c r="I50" s="7" t="s">
        <v>7</v>
      </c>
      <c r="J50" s="147" t="s">
        <v>179</v>
      </c>
      <c r="K50" s="6">
        <f>'Feedstock MIX per IVC'!N14</f>
        <v>43.614908218878313</v>
      </c>
      <c r="L50">
        <f>K50*F$48</f>
        <v>64539227.555156492</v>
      </c>
      <c r="M50" t="s">
        <v>212</v>
      </c>
      <c r="N50" s="34">
        <v>0.02</v>
      </c>
      <c r="O50" s="2">
        <f t="shared" si="9"/>
        <v>16425242.081609061</v>
      </c>
      <c r="P50" s="18" t="s">
        <v>177</v>
      </c>
      <c r="Q50" s="34">
        <v>0.5</v>
      </c>
      <c r="R50" s="2">
        <f>Q50*R$48</f>
        <v>286331922.77399588</v>
      </c>
    </row>
    <row r="51" spans="1:19" ht="15" customHeight="1" x14ac:dyDescent="0.35">
      <c r="F51" s="31"/>
      <c r="H51" s="192" t="s">
        <v>254</v>
      </c>
      <c r="I51" s="7" t="s">
        <v>8</v>
      </c>
      <c r="J51" s="147" t="s">
        <v>179</v>
      </c>
      <c r="K51" s="6">
        <f>'Feedstock MIX per IVC'!N15</f>
        <v>11.554108838100944</v>
      </c>
      <c r="L51">
        <f>K51*F$48</f>
        <v>17097210.333609626</v>
      </c>
      <c r="M51" s="5" t="s">
        <v>210</v>
      </c>
      <c r="N51" s="34">
        <v>0.5</v>
      </c>
      <c r="O51" s="2">
        <f t="shared" si="9"/>
        <v>410631052.04022652</v>
      </c>
      <c r="P51" s="18" t="s">
        <v>218</v>
      </c>
      <c r="Q51" s="34">
        <v>0.15</v>
      </c>
      <c r="R51" s="2">
        <f>Q51*R$48</f>
        <v>85899576.832198754</v>
      </c>
    </row>
    <row r="52" spans="1:19" ht="15" customHeight="1" x14ac:dyDescent="0.35">
      <c r="F52" s="31"/>
      <c r="H52" s="192" t="s">
        <v>254</v>
      </c>
      <c r="I52" s="7" t="s">
        <v>10</v>
      </c>
      <c r="J52" s="149" t="s">
        <v>176</v>
      </c>
      <c r="K52" s="6">
        <f>'Feedstock MIX per IVC'!N16</f>
        <v>56.884927595328222</v>
      </c>
      <c r="L52">
        <f>K52*F$48</f>
        <v>84175559.148474753</v>
      </c>
      <c r="M52" t="s">
        <v>213</v>
      </c>
      <c r="N52" s="34">
        <v>0.15</v>
      </c>
      <c r="O52" s="2">
        <f t="shared" si="9"/>
        <v>123189315.61206795</v>
      </c>
      <c r="P52" s="18" t="s">
        <v>219</v>
      </c>
      <c r="Q52" s="34">
        <v>0.1</v>
      </c>
      <c r="R52" s="2">
        <f>Q52*R$48</f>
        <v>57266384.554799177</v>
      </c>
    </row>
    <row r="53" spans="1:19" ht="15" customHeight="1" x14ac:dyDescent="0.35">
      <c r="F53" s="31"/>
      <c r="M53" t="s">
        <v>214</v>
      </c>
      <c r="N53" s="34">
        <v>0.3</v>
      </c>
      <c r="O53" s="2">
        <f t="shared" si="9"/>
        <v>246378631.22413591</v>
      </c>
      <c r="P53" s="18" t="s">
        <v>220</v>
      </c>
      <c r="Q53" s="34">
        <v>0.05</v>
      </c>
      <c r="R53" s="2">
        <f>Q53*R$48</f>
        <v>28633192.277399588</v>
      </c>
    </row>
    <row r="54" spans="1:19" ht="15" customHeight="1" x14ac:dyDescent="0.35">
      <c r="F54" s="31"/>
      <c r="M54" t="s">
        <v>216</v>
      </c>
      <c r="N54" s="34">
        <v>0.03</v>
      </c>
      <c r="O54" s="2">
        <f t="shared" si="9"/>
        <v>24637863.122413591</v>
      </c>
      <c r="R54" s="2"/>
    </row>
    <row r="55" spans="1:19" s="201" customFormat="1" ht="17.5" customHeight="1" x14ac:dyDescent="0.35">
      <c r="A55" s="201" t="s">
        <v>303</v>
      </c>
      <c r="B55" s="201">
        <v>1000</v>
      </c>
      <c r="C55" s="202">
        <f>B55*F55</f>
        <v>1479751538.8836994</v>
      </c>
      <c r="D55" s="208">
        <f>'[2]GAP analysis Sc. 2'!$F$110</f>
        <v>0.95426797434460386</v>
      </c>
      <c r="E55" s="201">
        <f>'[1]Conversion factors selected IV '!$O$86</f>
        <v>1.5506666666666669</v>
      </c>
      <c r="F55" s="202">
        <f>D55*E55*1000000</f>
        <v>1479751.5388836993</v>
      </c>
      <c r="G55" s="208">
        <f>'LCoP 2040 high'!E17</f>
        <v>1166.3499999999999</v>
      </c>
      <c r="H55" s="203">
        <f>G55*F55</f>
        <v>1725908207.3770025</v>
      </c>
      <c r="I55" s="208">
        <f>'LCoP 2040 high'!H17</f>
        <v>0.50893814035238139</v>
      </c>
      <c r="L55" s="202">
        <f>I55*H55</f>
        <v>878380513.48136389</v>
      </c>
      <c r="M55" s="208">
        <f>'LCoP 2040 high'!F17</f>
        <v>0.2383504093968363</v>
      </c>
      <c r="O55" s="202">
        <f>M55*H55</f>
        <v>411370927.80966836</v>
      </c>
      <c r="P55" s="208">
        <f>'LCoP 2040 high'!G17</f>
        <v>0.2527114502507824</v>
      </c>
      <c r="R55" s="202">
        <f>P55*H55</f>
        <v>436156766.0859704</v>
      </c>
      <c r="S55" s="203">
        <f>R55+O55+L55</f>
        <v>1725908207.3770027</v>
      </c>
    </row>
    <row r="56" spans="1:19" ht="14.5" customHeight="1" x14ac:dyDescent="0.35">
      <c r="C56">
        <f>C55/$C$47</f>
        <v>0.14920383977228222</v>
      </c>
      <c r="D56" s="6"/>
      <c r="F56" s="31"/>
      <c r="I56" s="16" t="s">
        <v>36</v>
      </c>
      <c r="J56" s="190" t="s">
        <v>79</v>
      </c>
      <c r="K56" s="6">
        <f>'Feedstock MIX per IVC'!N80</f>
        <v>593.6</v>
      </c>
      <c r="L56" s="31">
        <f>K56*F55</f>
        <v>878380513.48136401</v>
      </c>
      <c r="M56" s="5" t="s">
        <v>211</v>
      </c>
      <c r="N56" s="34">
        <v>0</v>
      </c>
      <c r="O56" s="2">
        <f t="shared" ref="O56:O61" si="10">N56*O$55</f>
        <v>0</v>
      </c>
      <c r="P56" s="18" t="s">
        <v>217</v>
      </c>
      <c r="Q56" s="34">
        <v>0.2</v>
      </c>
      <c r="R56" s="2">
        <f>Q56*R$55</f>
        <v>87231353.21719408</v>
      </c>
    </row>
    <row r="57" spans="1:19" ht="14.5" customHeight="1" x14ac:dyDescent="0.35">
      <c r="D57" s="6"/>
      <c r="F57" s="31"/>
      <c r="M57" t="s">
        <v>212</v>
      </c>
      <c r="N57" s="34">
        <v>0.02</v>
      </c>
      <c r="O57" s="2">
        <f t="shared" si="10"/>
        <v>8227418.5561933676</v>
      </c>
      <c r="P57" s="18" t="s">
        <v>177</v>
      </c>
      <c r="Q57" s="34">
        <v>0.5</v>
      </c>
      <c r="R57" s="2">
        <f>Q57*R$55</f>
        <v>218078383.0429852</v>
      </c>
    </row>
    <row r="58" spans="1:19" ht="14.5" customHeight="1" x14ac:dyDescent="0.35">
      <c r="D58" s="6"/>
      <c r="F58" s="31"/>
      <c r="M58" s="5" t="s">
        <v>210</v>
      </c>
      <c r="N58" s="34">
        <v>0.5</v>
      </c>
      <c r="O58" s="2">
        <f t="shared" si="10"/>
        <v>205685463.90483418</v>
      </c>
      <c r="P58" s="18" t="s">
        <v>218</v>
      </c>
      <c r="Q58" s="34">
        <v>0.15</v>
      </c>
      <c r="R58" s="2">
        <f>Q58*R$55</f>
        <v>65423514.91289556</v>
      </c>
    </row>
    <row r="59" spans="1:19" ht="14.5" customHeight="1" x14ac:dyDescent="0.35">
      <c r="D59" s="6"/>
      <c r="F59" s="31"/>
      <c r="M59" t="s">
        <v>213</v>
      </c>
      <c r="N59" s="34">
        <v>0.15</v>
      </c>
      <c r="O59" s="2">
        <f t="shared" si="10"/>
        <v>61705639.17145025</v>
      </c>
      <c r="P59" s="18" t="s">
        <v>219</v>
      </c>
      <c r="Q59" s="34">
        <v>0.1</v>
      </c>
      <c r="R59" s="2">
        <f>Q59*R$55</f>
        <v>43615676.60859704</v>
      </c>
    </row>
    <row r="60" spans="1:19" ht="14.5" customHeight="1" x14ac:dyDescent="0.35">
      <c r="F60" s="31"/>
      <c r="M60" t="s">
        <v>214</v>
      </c>
      <c r="N60" s="34">
        <v>0.3</v>
      </c>
      <c r="O60" s="2">
        <f t="shared" si="10"/>
        <v>123411278.3429005</v>
      </c>
      <c r="P60" s="18" t="s">
        <v>220</v>
      </c>
      <c r="Q60" s="34">
        <v>0.05</v>
      </c>
      <c r="R60" s="2">
        <f>Q60*R$55</f>
        <v>21807838.30429852</v>
      </c>
    </row>
    <row r="61" spans="1:19" ht="14.5" customHeight="1" x14ac:dyDescent="0.35">
      <c r="F61" s="31"/>
      <c r="M61" t="s">
        <v>216</v>
      </c>
      <c r="N61" s="34">
        <v>0.03</v>
      </c>
      <c r="O61" s="2">
        <f t="shared" si="10"/>
        <v>12341127.83429005</v>
      </c>
    </row>
    <row r="62" spans="1:19" s="201" customFormat="1" ht="17.5" customHeight="1" x14ac:dyDescent="0.35">
      <c r="A62" s="201" t="s">
        <v>295</v>
      </c>
      <c r="B62" s="201">
        <v>1750</v>
      </c>
      <c r="C62" s="202">
        <f>B62*F62</f>
        <v>5812294998.2473469</v>
      </c>
      <c r="D62" s="203">
        <f>'[2]GAP analysis Sc. 2'!$C$111</f>
        <v>3.3213114275699125</v>
      </c>
      <c r="E62" s="201">
        <f>'[1]Conversion factors selected IV '!$O$89</f>
        <v>1</v>
      </c>
      <c r="F62" s="202">
        <f>D62*E62*1000000</f>
        <v>3321311.4275699123</v>
      </c>
      <c r="G62" s="208">
        <f>'LCoP 2040 high'!E19</f>
        <v>1471.3605375763691</v>
      </c>
      <c r="H62" s="203">
        <f>G62*F62</f>
        <v>4886846567.5278044</v>
      </c>
      <c r="I62" s="208">
        <f>'LCoP 2040 high'!H19</f>
        <v>0.15622312254955284</v>
      </c>
      <c r="L62" s="202">
        <f>I62*H62</f>
        <v>763438430.19975781</v>
      </c>
      <c r="M62" s="208">
        <f>'LCoP 2040 high'!F19</f>
        <v>0.54711267526992347</v>
      </c>
      <c r="O62" s="202">
        <f>M62*H62</f>
        <v>2673655699.1937799</v>
      </c>
      <c r="P62" s="208">
        <f>'LCoP 2040 high'!G19</f>
        <v>0.2966642021805237</v>
      </c>
      <c r="R62" s="202">
        <f>P62*H62</f>
        <v>1449752438.1342669</v>
      </c>
      <c r="S62" s="203">
        <f>R62+O62+L62</f>
        <v>4886846567.5278044</v>
      </c>
    </row>
    <row r="63" spans="1:19" ht="17.5" customHeight="1" x14ac:dyDescent="0.35">
      <c r="C63">
        <f>C62/$C$47</f>
        <v>0.58605563761193902</v>
      </c>
      <c r="F63" s="147" t="s">
        <v>179</v>
      </c>
      <c r="G63" s="6">
        <f>SUMIF($J$63:$J$70,F63,$L$63:$L$70)/$L$62</f>
        <v>0.66493379332903557</v>
      </c>
      <c r="H63" s="192" t="s">
        <v>254</v>
      </c>
      <c r="I63" s="5" t="s">
        <v>4</v>
      </c>
      <c r="J63" s="147" t="s">
        <v>179</v>
      </c>
      <c r="K63" s="6">
        <f>'Feedstock MIX per IVC'!N84</f>
        <v>118.83945665169428</v>
      </c>
      <c r="L63">
        <f t="shared" ref="L63:L70" si="11">K63*F$62</f>
        <v>394702845.42347145</v>
      </c>
      <c r="M63" s="5" t="s">
        <v>211</v>
      </c>
      <c r="N63" s="167">
        <v>0.15</v>
      </c>
      <c r="O63" s="2">
        <f t="shared" ref="O63:O68" si="12">N63*O$62</f>
        <v>401048354.879067</v>
      </c>
      <c r="P63" s="18" t="s">
        <v>217</v>
      </c>
      <c r="Q63" s="118">
        <v>0.15</v>
      </c>
      <c r="R63" s="2">
        <f>Q63*R$62</f>
        <v>217462865.72014001</v>
      </c>
    </row>
    <row r="64" spans="1:19" ht="17.5" customHeight="1" x14ac:dyDescent="0.35">
      <c r="C64" t="s">
        <v>416</v>
      </c>
      <c r="F64" s="171" t="s">
        <v>222</v>
      </c>
      <c r="G64" s="6">
        <f t="shared" ref="G64:G68" si="13">SUMIF($J$63:$J$70,F64,$L$63:$L$70)/$L$62</f>
        <v>0.13575863306984345</v>
      </c>
      <c r="H64" s="192" t="s">
        <v>254</v>
      </c>
      <c r="I64" s="5" t="s">
        <v>5</v>
      </c>
      <c r="J64" s="147" t="s">
        <v>179</v>
      </c>
      <c r="K64" s="6">
        <f>'Feedstock MIX per IVC'!N85</f>
        <v>5.4811901407983816</v>
      </c>
      <c r="L64">
        <f t="shared" si="11"/>
        <v>18204739.451317202</v>
      </c>
      <c r="M64" t="s">
        <v>212</v>
      </c>
      <c r="N64" s="34">
        <v>0.02</v>
      </c>
      <c r="O64" s="2">
        <f t="shared" si="12"/>
        <v>53473113.983875602</v>
      </c>
      <c r="P64" s="18" t="s">
        <v>177</v>
      </c>
      <c r="Q64" s="118">
        <v>0.25</v>
      </c>
      <c r="R64" s="2">
        <f>Q64*R$62</f>
        <v>362438109.53356671</v>
      </c>
    </row>
    <row r="65" spans="1:19" ht="17.5" customHeight="1" x14ac:dyDescent="0.35">
      <c r="F65" s="149" t="s">
        <v>176</v>
      </c>
      <c r="G65" s="6">
        <f t="shared" si="13"/>
        <v>0.16476353314946635</v>
      </c>
      <c r="H65" s="192" t="s">
        <v>254</v>
      </c>
      <c r="I65" s="5" t="s">
        <v>6</v>
      </c>
      <c r="J65" s="150" t="s">
        <v>178</v>
      </c>
      <c r="K65" s="6">
        <f>'Feedstock MIX per IVC'!N86</f>
        <v>2.6327336601860338</v>
      </c>
      <c r="L65">
        <f t="shared" si="11"/>
        <v>8744128.3913238365</v>
      </c>
      <c r="M65" s="5" t="s">
        <v>210</v>
      </c>
      <c r="N65" s="167">
        <v>0.45</v>
      </c>
      <c r="O65" s="2">
        <f t="shared" si="12"/>
        <v>1203145064.6372011</v>
      </c>
      <c r="P65" s="18" t="s">
        <v>218</v>
      </c>
      <c r="Q65" s="118">
        <v>0.2</v>
      </c>
      <c r="R65" s="2">
        <f>Q65*R$62</f>
        <v>289950487.62685341</v>
      </c>
    </row>
    <row r="66" spans="1:19" ht="17.5" customHeight="1" x14ac:dyDescent="0.35">
      <c r="C66" s="6"/>
      <c r="F66" s="150" t="s">
        <v>178</v>
      </c>
      <c r="G66" s="6">
        <f t="shared" si="13"/>
        <v>1.145361308185113E-2</v>
      </c>
      <c r="H66" s="192" t="s">
        <v>254</v>
      </c>
      <c r="I66" s="5" t="s">
        <v>7</v>
      </c>
      <c r="J66" s="147" t="s">
        <v>179</v>
      </c>
      <c r="K66" s="6">
        <f>'Feedstock MIX per IVC'!N87</f>
        <v>22.593373092924249</v>
      </c>
      <c r="L66">
        <f t="shared" si="11"/>
        <v>75039628.240879878</v>
      </c>
      <c r="M66" t="s">
        <v>213</v>
      </c>
      <c r="N66" s="34">
        <v>0.1</v>
      </c>
      <c r="O66" s="2">
        <f t="shared" si="12"/>
        <v>267365569.91937801</v>
      </c>
      <c r="P66" s="18" t="s">
        <v>219</v>
      </c>
      <c r="Q66" s="118">
        <v>0.3</v>
      </c>
      <c r="R66" s="2">
        <f>Q66*R$62</f>
        <v>434925731.44028002</v>
      </c>
    </row>
    <row r="67" spans="1:19" ht="17.5" customHeight="1" x14ac:dyDescent="0.35">
      <c r="F67" s="152" t="s">
        <v>180</v>
      </c>
      <c r="G67" s="6">
        <f t="shared" si="13"/>
        <v>2.3090427369803702E-2</v>
      </c>
      <c r="H67" s="192" t="s">
        <v>254</v>
      </c>
      <c r="I67" s="5" t="s">
        <v>8</v>
      </c>
      <c r="J67" s="147" t="s">
        <v>179</v>
      </c>
      <c r="K67" s="6">
        <f>'Feedstock MIX per IVC'!N88</f>
        <v>5.9280193018894751</v>
      </c>
      <c r="L67">
        <f t="shared" si="11"/>
        <v>19688798.250220526</v>
      </c>
      <c r="M67" t="s">
        <v>214</v>
      </c>
      <c r="N67" s="34">
        <v>0.25</v>
      </c>
      <c r="O67" s="2">
        <f t="shared" si="12"/>
        <v>668413924.79844499</v>
      </c>
      <c r="P67" s="18" t="s">
        <v>220</v>
      </c>
      <c r="Q67" s="118">
        <v>0.1</v>
      </c>
      <c r="R67" s="2">
        <f>Q67*R$62</f>
        <v>144975243.8134267</v>
      </c>
    </row>
    <row r="68" spans="1:19" ht="17.5" customHeight="1" x14ac:dyDescent="0.35">
      <c r="F68" s="190" t="s">
        <v>79</v>
      </c>
      <c r="G68" s="6">
        <f t="shared" si="13"/>
        <v>0</v>
      </c>
      <c r="H68" s="192" t="s">
        <v>254</v>
      </c>
      <c r="I68" s="5" t="s">
        <v>9</v>
      </c>
      <c r="J68" s="171" t="s">
        <v>222</v>
      </c>
      <c r="K68" s="6">
        <f>'Feedstock MIX per IVC'!N89</f>
        <v>31.205552378067249</v>
      </c>
      <c r="L68">
        <f t="shared" si="11"/>
        <v>103643357.7169062</v>
      </c>
      <c r="M68" t="s">
        <v>216</v>
      </c>
      <c r="N68" s="34">
        <v>0.03</v>
      </c>
      <c r="O68" s="2">
        <f t="shared" si="12"/>
        <v>80209670.975813389</v>
      </c>
      <c r="Q68" s="34"/>
      <c r="R68" s="2"/>
    </row>
    <row r="69" spans="1:19" ht="17.5" customHeight="1" x14ac:dyDescent="0.35">
      <c r="F69" s="31"/>
      <c r="G69" s="6">
        <f>SUM(G63:G68)</f>
        <v>1.0000000000000002</v>
      </c>
      <c r="H69" s="192" t="s">
        <v>254</v>
      </c>
      <c r="I69" s="5" t="s">
        <v>10</v>
      </c>
      <c r="J69" s="149" t="s">
        <v>176</v>
      </c>
      <c r="K69" s="6">
        <f>'Feedstock MIX per IVC'!N90</f>
        <v>37.872634302718239</v>
      </c>
      <c r="L69">
        <f t="shared" si="11"/>
        <v>125786813.10179435</v>
      </c>
      <c r="O69" s="2"/>
    </row>
    <row r="70" spans="1:19" ht="17.5" customHeight="1" x14ac:dyDescent="0.35">
      <c r="F70" s="31"/>
      <c r="H70" s="192" t="s">
        <v>254</v>
      </c>
      <c r="I70" s="5" t="s">
        <v>11</v>
      </c>
      <c r="J70" s="152" t="s">
        <v>180</v>
      </c>
      <c r="K70" s="6">
        <f>'Feedstock MIX per IVC'!N91</f>
        <v>5.3075780480911847</v>
      </c>
      <c r="L70">
        <f t="shared" si="11"/>
        <v>17628119.62384446</v>
      </c>
    </row>
    <row r="71" spans="1:19" s="201" customFormat="1" x14ac:dyDescent="0.35">
      <c r="A71" s="201" t="s">
        <v>298</v>
      </c>
      <c r="B71" s="201">
        <v>1150</v>
      </c>
      <c r="C71" s="202">
        <f>B71*F71</f>
        <v>1145852442.5116196</v>
      </c>
      <c r="D71" s="208">
        <f>'[2]GAP analysis Sc. 2'!$F$112</f>
        <v>0.99639342827097366</v>
      </c>
      <c r="E71" s="208">
        <f>'[1]Conversion factors selected IV '!$O$125</f>
        <v>1</v>
      </c>
      <c r="F71" s="202">
        <f>D71*E71*1000000</f>
        <v>996393.42827097361</v>
      </c>
      <c r="G71" s="208">
        <f>'LCoP 2040 high'!E21</f>
        <v>1547.7759373378331</v>
      </c>
      <c r="H71" s="203">
        <f>G71*F71</f>
        <v>1542193772.399363</v>
      </c>
      <c r="I71" s="208">
        <f>'LCoP 2040 high'!H21</f>
        <v>0.14869783912889328</v>
      </c>
      <c r="L71" s="202">
        <f>I71*H71</f>
        <v>229320881.47382155</v>
      </c>
      <c r="M71" s="208">
        <f>'LCoP 2040 high'!F21</f>
        <v>0.44257051907538802</v>
      </c>
      <c r="O71" s="202">
        <f>M71*H71</f>
        <v>682529498.36561692</v>
      </c>
      <c r="P71" s="208">
        <f>'LCoP 2040 high'!G21</f>
        <v>0.40873164179571875</v>
      </c>
      <c r="R71" s="202">
        <f>P71*H71</f>
        <v>630343392.5599246</v>
      </c>
      <c r="S71" s="202">
        <f>L71+O71+R71</f>
        <v>1542193772.399363</v>
      </c>
    </row>
    <row r="72" spans="1:19" x14ac:dyDescent="0.35">
      <c r="C72">
        <f>C71/$C$47</f>
        <v>0.11553668284349652</v>
      </c>
      <c r="D72" s="6"/>
      <c r="E72" s="6"/>
      <c r="F72" s="147" t="s">
        <v>179</v>
      </c>
      <c r="G72" s="6">
        <f>SUMIF($J$72:$J$79,F72,$L$72:$L$79)/$L$71</f>
        <v>0.66935809786418698</v>
      </c>
      <c r="H72" s="192" t="s">
        <v>254</v>
      </c>
      <c r="I72" s="5" t="s">
        <v>4</v>
      </c>
      <c r="J72" s="147" t="s">
        <v>179</v>
      </c>
      <c r="K72" s="6">
        <f>'Feedstock MIX per IVC'!N102</f>
        <v>117.38756538128337</v>
      </c>
      <c r="L72" s="2">
        <f t="shared" ref="L72:L79" si="14">K72*F$71</f>
        <v>116964198.70663999</v>
      </c>
      <c r="M72" s="5" t="s">
        <v>211</v>
      </c>
      <c r="N72" s="167">
        <v>0.15</v>
      </c>
      <c r="O72" s="2">
        <f t="shared" ref="O72:O77" si="15">N72*O$71</f>
        <v>102379424.75484253</v>
      </c>
      <c r="P72" s="18" t="s">
        <v>217</v>
      </c>
      <c r="Q72" s="118">
        <v>0.15</v>
      </c>
      <c r="R72" s="2">
        <f>Q72*R$71</f>
        <v>94551508.883988693</v>
      </c>
    </row>
    <row r="73" spans="1:19" x14ac:dyDescent="0.35">
      <c r="D73" s="6"/>
      <c r="E73" s="6"/>
      <c r="F73" s="171" t="s">
        <v>222</v>
      </c>
      <c r="G73" s="6">
        <f t="shared" ref="G73:G77" si="16">SUMIF($J$72:$J$79,F73,$L$72:$L$79)/$L$71</f>
        <v>0.1339450534061985</v>
      </c>
      <c r="H73" s="192" t="s">
        <v>254</v>
      </c>
      <c r="I73" s="5" t="s">
        <v>5</v>
      </c>
      <c r="J73" s="147" t="s">
        <v>179</v>
      </c>
      <c r="K73" s="6">
        <f>'Feedstock MIX per IVC'!N103</f>
        <v>5.4134257454164922</v>
      </c>
      <c r="L73" s="2">
        <f t="shared" si="14"/>
        <v>5393901.8371658893</v>
      </c>
      <c r="M73" t="s">
        <v>212</v>
      </c>
      <c r="N73" s="34">
        <v>0.02</v>
      </c>
      <c r="O73" s="2">
        <f t="shared" si="15"/>
        <v>13650589.967312338</v>
      </c>
      <c r="P73" s="18" t="s">
        <v>177</v>
      </c>
      <c r="Q73" s="118">
        <v>0.25</v>
      </c>
      <c r="R73" s="2">
        <f>Q73*R$71</f>
        <v>157585848.13998115</v>
      </c>
    </row>
    <row r="74" spans="1:19" x14ac:dyDescent="0.35">
      <c r="D74" s="6"/>
      <c r="E74" s="6"/>
      <c r="F74" s="149" t="s">
        <v>176</v>
      </c>
      <c r="G74" s="6">
        <f t="shared" si="16"/>
        <v>0.16260266290306805</v>
      </c>
      <c r="H74" s="192" t="s">
        <v>254</v>
      </c>
      <c r="I74" s="5" t="s">
        <v>6</v>
      </c>
      <c r="J74" s="150" t="s">
        <v>178</v>
      </c>
      <c r="K74" s="6">
        <f>'Feedstock MIX per IVC'!N104</f>
        <v>2.598367695570742</v>
      </c>
      <c r="L74" s="2">
        <f t="shared" si="14"/>
        <v>2588996.4960982809</v>
      </c>
      <c r="M74" s="5" t="s">
        <v>210</v>
      </c>
      <c r="N74" s="167">
        <v>0.45</v>
      </c>
      <c r="O74" s="2">
        <f t="shared" si="15"/>
        <v>307138274.26452762</v>
      </c>
      <c r="P74" s="18" t="s">
        <v>218</v>
      </c>
      <c r="Q74" s="118">
        <v>0.2</v>
      </c>
      <c r="R74" s="2">
        <f>Q74*R$71</f>
        <v>126068678.51198493</v>
      </c>
    </row>
    <row r="75" spans="1:19" x14ac:dyDescent="0.35">
      <c r="D75" s="6"/>
      <c r="E75" s="6"/>
      <c r="F75" s="150" t="s">
        <v>178</v>
      </c>
      <c r="G75" s="6">
        <f t="shared" si="16"/>
        <v>1.128984189952118E-2</v>
      </c>
      <c r="H75" s="192" t="s">
        <v>254</v>
      </c>
      <c r="I75" s="5" t="s">
        <v>7</v>
      </c>
      <c r="J75" s="147" t="s">
        <v>179</v>
      </c>
      <c r="K75" s="6">
        <f>'Feedstock MIX per IVC'!N105</f>
        <v>25.370004451991623</v>
      </c>
      <c r="L75" s="2">
        <f t="shared" si="14"/>
        <v>25278505.711169794</v>
      </c>
      <c r="M75" t="s">
        <v>213</v>
      </c>
      <c r="N75" s="34">
        <v>0.1</v>
      </c>
      <c r="O75" s="2">
        <f t="shared" si="15"/>
        <v>68252949.836561695</v>
      </c>
      <c r="P75" s="18" t="s">
        <v>219</v>
      </c>
      <c r="Q75" s="118">
        <v>0.3</v>
      </c>
      <c r="R75" s="2">
        <f>Q75*R$71</f>
        <v>189103017.76797739</v>
      </c>
    </row>
    <row r="76" spans="1:19" x14ac:dyDescent="0.35">
      <c r="D76" s="6"/>
      <c r="E76" s="6"/>
      <c r="F76" s="152" t="s">
        <v>180</v>
      </c>
      <c r="G76" s="6">
        <f t="shared" si="16"/>
        <v>2.2804343927025458E-2</v>
      </c>
      <c r="H76" s="192" t="s">
        <v>254</v>
      </c>
      <c r="I76" s="5" t="s">
        <v>8</v>
      </c>
      <c r="J76" s="147" t="s">
        <v>179</v>
      </c>
      <c r="K76" s="6">
        <f>'Feedstock MIX per IVC'!N106</f>
        <v>5.8823980594201677</v>
      </c>
      <c r="L76" s="2">
        <f t="shared" si="14"/>
        <v>5861182.7688801829</v>
      </c>
      <c r="M76" t="s">
        <v>214</v>
      </c>
      <c r="N76" s="34">
        <v>0.25</v>
      </c>
      <c r="O76" s="2">
        <f t="shared" si="15"/>
        <v>170632374.59140423</v>
      </c>
      <c r="P76" s="18" t="s">
        <v>220</v>
      </c>
      <c r="Q76" s="118">
        <v>0.1</v>
      </c>
      <c r="R76" s="2">
        <f>Q76*R$71</f>
        <v>63034339.255992465</v>
      </c>
    </row>
    <row r="77" spans="1:19" x14ac:dyDescent="0.35">
      <c r="D77" s="6"/>
      <c r="E77" s="6"/>
      <c r="F77" s="190" t="s">
        <v>79</v>
      </c>
      <c r="G77" s="6">
        <f t="shared" si="16"/>
        <v>0</v>
      </c>
      <c r="H77" s="192" t="s">
        <v>254</v>
      </c>
      <c r="I77" s="5" t="s">
        <v>9</v>
      </c>
      <c r="J77" s="171" t="s">
        <v>222</v>
      </c>
      <c r="K77" s="6">
        <f>'Feedstock MIX per IVC'!N107</f>
        <v>30.827579593202699</v>
      </c>
      <c r="L77" s="2">
        <f t="shared" si="14"/>
        <v>30716397.716167543</v>
      </c>
      <c r="M77" t="s">
        <v>216</v>
      </c>
      <c r="N77" s="34">
        <v>0.03</v>
      </c>
      <c r="O77" s="2">
        <f t="shared" si="15"/>
        <v>20475884.950968508</v>
      </c>
      <c r="Q77" s="34"/>
      <c r="R77" s="2"/>
    </row>
    <row r="78" spans="1:19" x14ac:dyDescent="0.35">
      <c r="D78" s="6"/>
      <c r="E78" s="6"/>
      <c r="F78" s="31"/>
      <c r="G78" s="6">
        <f>SUM(G72:G77)</f>
        <v>1</v>
      </c>
      <c r="H78" s="192" t="s">
        <v>254</v>
      </c>
      <c r="I78" s="5" t="s">
        <v>10</v>
      </c>
      <c r="J78" s="149" t="s">
        <v>176</v>
      </c>
      <c r="K78" s="6">
        <f>'Feedstock MIX per IVC'!N108</f>
        <v>37.42315528076881</v>
      </c>
      <c r="L78" s="2">
        <f t="shared" si="14"/>
        <v>37288185.986922227</v>
      </c>
      <c r="M78" s="2"/>
      <c r="R78" s="2"/>
    </row>
    <row r="79" spans="1:19" x14ac:dyDescent="0.35">
      <c r="D79" s="6"/>
      <c r="E79" s="6"/>
      <c r="F79" s="31"/>
      <c r="G79" s="6"/>
      <c r="H79" s="192" t="s">
        <v>254</v>
      </c>
      <c r="I79" s="5" t="s">
        <v>11</v>
      </c>
      <c r="J79" s="152" t="s">
        <v>180</v>
      </c>
      <c r="K79" s="6">
        <f>'Feedstock MIX per IVC'!N109</f>
        <v>5.2484411301792315</v>
      </c>
      <c r="L79" s="2">
        <f t="shared" si="14"/>
        <v>5229512.2507776674</v>
      </c>
      <c r="M79" s="2"/>
    </row>
    <row r="80" spans="1:19" s="78" customFormat="1" x14ac:dyDescent="0.35">
      <c r="D80" s="90"/>
      <c r="E80" s="90"/>
      <c r="F80" s="213"/>
      <c r="G80" s="6"/>
      <c r="L80" s="90"/>
    </row>
    <row r="81" spans="1:19" s="78" customFormat="1" x14ac:dyDescent="0.35">
      <c r="F81" s="213"/>
      <c r="I81" s="78" t="s">
        <v>281</v>
      </c>
      <c r="L81" s="213">
        <f>SUM(L82:L87)</f>
        <v>2382774195.8329811</v>
      </c>
      <c r="M81" s="78" t="s">
        <v>181</v>
      </c>
      <c r="O81" s="90">
        <f>SUM(O82:O87)</f>
        <v>4588818229.4495182</v>
      </c>
      <c r="P81" s="78" t="s">
        <v>181</v>
      </c>
      <c r="R81" s="90">
        <f>SUM(R82:R86)</f>
        <v>3088916442.3281536</v>
      </c>
    </row>
    <row r="82" spans="1:19" x14ac:dyDescent="0.35">
      <c r="D82" s="2"/>
      <c r="E82" s="2"/>
      <c r="G82" s="2"/>
      <c r="H82" s="6"/>
      <c r="J82" s="147" t="s">
        <v>179</v>
      </c>
      <c r="L82" s="2">
        <f>L49+L50+L51+L63+L64+L66+L67+L72+L73+L75+L76</f>
        <v>1088592611.9193077</v>
      </c>
      <c r="M82" s="5" t="s">
        <v>211</v>
      </c>
      <c r="O82" s="2">
        <f t="shared" ref="O82:O87" si="17">O49+O56+O63+O72</f>
        <v>503427779.63390952</v>
      </c>
      <c r="P82" s="18" t="s">
        <v>217</v>
      </c>
      <c r="R82" s="2">
        <f>R49+R56+R63+R72</f>
        <v>513778496.93092114</v>
      </c>
    </row>
    <row r="83" spans="1:19" x14ac:dyDescent="0.35">
      <c r="D83" s="2"/>
      <c r="E83" s="2"/>
      <c r="G83" s="2"/>
      <c r="H83" s="6"/>
      <c r="J83" s="171" t="s">
        <v>222</v>
      </c>
      <c r="L83" s="2">
        <f>L77+L68</f>
        <v>134359755.43307376</v>
      </c>
      <c r="M83" t="s">
        <v>212</v>
      </c>
      <c r="O83" s="2">
        <f t="shared" si="17"/>
        <v>91776364.58899036</v>
      </c>
      <c r="P83" s="18" t="s">
        <v>177</v>
      </c>
      <c r="R83" s="2">
        <f>R50+R57+R64+R73</f>
        <v>1024434263.4905289</v>
      </c>
    </row>
    <row r="84" spans="1:19" x14ac:dyDescent="0.35">
      <c r="D84" s="1"/>
      <c r="E84" s="1"/>
      <c r="G84" s="2"/>
      <c r="H84" s="6"/>
      <c r="J84" s="149" t="s">
        <v>176</v>
      </c>
      <c r="L84" s="2">
        <f>L69+L52+L78</f>
        <v>247250558.23719135</v>
      </c>
      <c r="M84" s="5" t="s">
        <v>210</v>
      </c>
      <c r="O84" s="2">
        <f t="shared" si="17"/>
        <v>2126599854.8467894</v>
      </c>
      <c r="P84" s="18" t="s">
        <v>218</v>
      </c>
      <c r="R84" s="2">
        <f>R51+R58+R65+R74</f>
        <v>567342257.88393259</v>
      </c>
    </row>
    <row r="85" spans="1:19" x14ac:dyDescent="0.35">
      <c r="D85" s="1"/>
      <c r="E85" s="1"/>
      <c r="G85" s="2"/>
      <c r="H85" s="6"/>
      <c r="J85" s="150" t="s">
        <v>178</v>
      </c>
      <c r="L85" s="2">
        <f>L65+L74</f>
        <v>11333124.887422118</v>
      </c>
      <c r="M85" t="s">
        <v>213</v>
      </c>
      <c r="O85" s="2">
        <f t="shared" si="17"/>
        <v>520513474.53945792</v>
      </c>
      <c r="P85" s="18" t="s">
        <v>219</v>
      </c>
      <c r="R85" s="2">
        <f>R52+R59+R66+R75</f>
        <v>724910810.37165356</v>
      </c>
    </row>
    <row r="86" spans="1:19" s="78" customFormat="1" x14ac:dyDescent="0.35">
      <c r="D86" s="90"/>
      <c r="E86" s="90"/>
      <c r="F86" s="213"/>
      <c r="G86" s="1"/>
      <c r="H86" s="6"/>
      <c r="J86" s="152" t="s">
        <v>180</v>
      </c>
      <c r="L86" s="90">
        <f>L70+L79</f>
        <v>22857631.874622129</v>
      </c>
      <c r="M86" t="s">
        <v>214</v>
      </c>
      <c r="O86" s="2">
        <f t="shared" si="17"/>
        <v>1208836208.9568856</v>
      </c>
      <c r="P86" s="18" t="s">
        <v>220</v>
      </c>
      <c r="R86" s="2">
        <f>R53+R60+R67+R76</f>
        <v>258450613.65111727</v>
      </c>
    </row>
    <row r="87" spans="1:19" s="78" customFormat="1" x14ac:dyDescent="0.35">
      <c r="D87" s="90"/>
      <c r="E87" s="90"/>
      <c r="F87" s="213"/>
      <c r="G87" s="1"/>
      <c r="H87" s="6"/>
      <c r="J87" s="190" t="s">
        <v>79</v>
      </c>
      <c r="L87" s="2">
        <f>L56</f>
        <v>878380513.48136401</v>
      </c>
      <c r="M87" t="s">
        <v>216</v>
      </c>
      <c r="O87" s="2">
        <f t="shared" si="17"/>
        <v>137664546.88348553</v>
      </c>
    </row>
    <row r="88" spans="1:19" s="91" customFormat="1" ht="32.5" customHeight="1" x14ac:dyDescent="0.35">
      <c r="A88" s="91" t="s">
        <v>79</v>
      </c>
      <c r="D88" s="214"/>
      <c r="E88" s="92"/>
      <c r="F88" s="169"/>
    </row>
    <row r="89" spans="1:19" ht="16.5" customHeight="1" x14ac:dyDescent="0.35">
      <c r="C89" s="100">
        <f>C90+C100</f>
        <v>12011795718.834023</v>
      </c>
      <c r="D89" s="100">
        <f>D90+D100</f>
        <v>11.259856051239552</v>
      </c>
      <c r="E89" s="2"/>
      <c r="F89" s="100">
        <f>F90+F100</f>
        <v>9421016.2500659004</v>
      </c>
    </row>
    <row r="90" spans="1:19" s="202" customFormat="1" x14ac:dyDescent="0.35">
      <c r="A90" s="202" t="s">
        <v>58</v>
      </c>
      <c r="B90" s="202">
        <v>1275</v>
      </c>
      <c r="C90" s="202">
        <f>B90*F90</f>
        <v>8756530724.3089542</v>
      </c>
      <c r="D90" s="202">
        <f>'[2]GAP analysis Sc. 2'!$F$114+'[2]GAP analysis Sc. 2'!$H$122</f>
        <v>8.2083709856452671</v>
      </c>
      <c r="E90" s="202">
        <f>'[1]Conversion factors selected IV '!$O$29</f>
        <v>0.83669064748201449</v>
      </c>
      <c r="F90" s="202">
        <f>D90*E90*1000000</f>
        <v>6867867.2347521205</v>
      </c>
      <c r="G90" s="202">
        <f>'LCoP 2040 high'!$E$9</f>
        <v>929.11400486088291</v>
      </c>
      <c r="H90" s="202">
        <f>G90*F90</f>
        <v>6381031631.3333797</v>
      </c>
      <c r="I90" s="202">
        <f>'LCoP 2040 high'!H9</f>
        <v>-6.7386726562738333E-3</v>
      </c>
      <c r="L90" s="202">
        <f>I90*H90</f>
        <v>-42999683.372884661</v>
      </c>
      <c r="M90" s="202">
        <f>'LCoP 2040 high'!F9</f>
        <v>0.65115798151227655</v>
      </c>
      <c r="O90" s="202">
        <f>M90*H90</f>
        <v>4155059677.025033</v>
      </c>
      <c r="P90" s="202">
        <f>'LCoP 2040 high'!G9</f>
        <v>0.35558069114399737</v>
      </c>
      <c r="R90" s="202">
        <f>P90*H90</f>
        <v>2268971637.6812325</v>
      </c>
      <c r="S90" s="202">
        <f>L90+O90+R90</f>
        <v>6381031631.3333807</v>
      </c>
    </row>
    <row r="91" spans="1:19" x14ac:dyDescent="0.35">
      <c r="C91">
        <f>C90/C89</f>
        <v>0.72899430936700493</v>
      </c>
      <c r="D91" s="2"/>
      <c r="E91" s="2"/>
      <c r="F91" s="152" t="s">
        <v>180</v>
      </c>
      <c r="G91" s="6">
        <f>SUMIF($J$91:$J$99,F91,$L$91:$L$99)/$L$90</f>
        <v>5.9306182039474695</v>
      </c>
      <c r="I91" s="5" t="s">
        <v>19</v>
      </c>
      <c r="J91" s="147" t="s">
        <v>179</v>
      </c>
      <c r="K91" s="6">
        <f>'Feedstock MIX per IVC'!$N$20</f>
        <v>0.87745677378072162</v>
      </c>
      <c r="L91" s="2">
        <f t="shared" ref="L91:L99" si="18">K91*F$90</f>
        <v>6026256.6265599215</v>
      </c>
      <c r="M91" s="5" t="s">
        <v>211</v>
      </c>
      <c r="N91" s="34">
        <v>0.05</v>
      </c>
      <c r="O91" s="2">
        <f t="shared" ref="O91:O96" si="19">N91*O$90</f>
        <v>207752983.85125166</v>
      </c>
      <c r="P91" s="18" t="s">
        <v>217</v>
      </c>
      <c r="Q91" s="34">
        <v>0.2</v>
      </c>
      <c r="R91" s="2">
        <f>Q91*R$90</f>
        <v>453794327.53624654</v>
      </c>
    </row>
    <row r="92" spans="1:19" x14ac:dyDescent="0.35">
      <c r="D92" s="2"/>
      <c r="E92" s="2"/>
      <c r="F92" s="239" t="s">
        <v>259</v>
      </c>
      <c r="G92" s="6">
        <f t="shared" ref="G92:G94" si="20">SUMIF($J$91:$J$99,F92,$L$91:$L$99)/$L$90</f>
        <v>-0.256007464722114</v>
      </c>
      <c r="I92" s="5" t="s">
        <v>7</v>
      </c>
      <c r="J92" s="147" t="s">
        <v>179</v>
      </c>
      <c r="K92" s="6">
        <f>'Feedstock MIX per IVC'!N21</f>
        <v>3.8931133145143786</v>
      </c>
      <c r="L92" s="2">
        <f t="shared" si="18"/>
        <v>26737385.373930529</v>
      </c>
      <c r="M92" t="s">
        <v>212</v>
      </c>
      <c r="N92" s="34">
        <v>0.02</v>
      </c>
      <c r="O92" s="2">
        <f t="shared" si="19"/>
        <v>83101193.540500656</v>
      </c>
      <c r="P92" s="18" t="s">
        <v>177</v>
      </c>
      <c r="Q92" s="34">
        <v>0.5</v>
      </c>
      <c r="R92" s="2">
        <f>Q92*R$90</f>
        <v>1134485818.8406162</v>
      </c>
    </row>
    <row r="93" spans="1:19" x14ac:dyDescent="0.35">
      <c r="D93" s="2"/>
      <c r="E93" s="2"/>
      <c r="F93" s="150" t="s">
        <v>178</v>
      </c>
      <c r="G93" s="6">
        <f t="shared" si="20"/>
        <v>-0.71299256449775827</v>
      </c>
      <c r="I93" s="5" t="s">
        <v>8</v>
      </c>
      <c r="J93" s="147" t="s">
        <v>179</v>
      </c>
      <c r="K93" s="6">
        <f>'Feedstock MIX per IVC'!N22</f>
        <v>0.98468076706826457</v>
      </c>
      <c r="L93" s="2">
        <f t="shared" si="18"/>
        <v>6762656.7768387189</v>
      </c>
      <c r="M93" s="5" t="s">
        <v>210</v>
      </c>
      <c r="N93" s="34">
        <v>0.4</v>
      </c>
      <c r="O93" s="2">
        <f t="shared" si="19"/>
        <v>1662023870.8100133</v>
      </c>
      <c r="P93" s="18" t="s">
        <v>218</v>
      </c>
      <c r="Q93" s="34">
        <v>0.15</v>
      </c>
      <c r="R93" s="2">
        <f>Q93*R$90</f>
        <v>340345745.65218484</v>
      </c>
    </row>
    <row r="94" spans="1:19" x14ac:dyDescent="0.35">
      <c r="D94" s="2"/>
      <c r="E94" s="2"/>
      <c r="F94" s="147" t="s">
        <v>179</v>
      </c>
      <c r="G94" s="6">
        <f t="shared" si="20"/>
        <v>-3.9616181747275965</v>
      </c>
      <c r="I94" s="5" t="s">
        <v>20</v>
      </c>
      <c r="J94" s="150" t="s">
        <v>178</v>
      </c>
      <c r="K94" s="6">
        <f>'Feedstock MIX per IVC'!N23</f>
        <v>4.464042980547104</v>
      </c>
      <c r="L94" s="2">
        <f t="shared" si="18"/>
        <v>30658454.520624653</v>
      </c>
      <c r="M94" t="s">
        <v>213</v>
      </c>
      <c r="N94" s="34">
        <v>0.3</v>
      </c>
      <c r="O94" s="2">
        <f t="shared" si="19"/>
        <v>1246517903.1075099</v>
      </c>
      <c r="P94" s="18" t="s">
        <v>219</v>
      </c>
      <c r="Q94" s="34">
        <v>0.1</v>
      </c>
      <c r="R94" s="2">
        <f>Q94*R$90</f>
        <v>226897163.76812327</v>
      </c>
    </row>
    <row r="95" spans="1:19" x14ac:dyDescent="0.35">
      <c r="D95" s="2"/>
      <c r="E95" s="2"/>
      <c r="F95" s="2"/>
      <c r="G95" s="6">
        <f>SUM(G91:G94)</f>
        <v>1.0000000000000009</v>
      </c>
      <c r="I95" s="5" t="s">
        <v>4</v>
      </c>
      <c r="J95" s="147" t="s">
        <v>179</v>
      </c>
      <c r="K95" s="6">
        <f>'Feedstock MIX per IVC'!N24</f>
        <v>19.048421279644096</v>
      </c>
      <c r="L95" s="2">
        <f t="shared" si="18"/>
        <v>130822028.38022274</v>
      </c>
      <c r="M95" t="s">
        <v>214</v>
      </c>
      <c r="N95" s="34">
        <v>0.2</v>
      </c>
      <c r="O95" s="2">
        <f t="shared" si="19"/>
        <v>831011935.40500665</v>
      </c>
      <c r="P95" s="18" t="s">
        <v>220</v>
      </c>
      <c r="Q95" s="34">
        <v>0.05</v>
      </c>
      <c r="R95" s="2">
        <f>Q95*R$90</f>
        <v>113448581.88406163</v>
      </c>
    </row>
    <row r="96" spans="1:19" x14ac:dyDescent="0.35">
      <c r="D96" s="2"/>
      <c r="E96" s="2"/>
      <c r="F96" s="2"/>
      <c r="I96" s="5" t="s">
        <v>21</v>
      </c>
      <c r="J96" s="147" t="s">
        <v>179</v>
      </c>
      <c r="K96" s="6">
        <f>'Feedstock MIX per IVC'!N25</f>
        <v>0</v>
      </c>
      <c r="L96" s="2">
        <f t="shared" si="18"/>
        <v>0</v>
      </c>
      <c r="M96" t="s">
        <v>216</v>
      </c>
      <c r="N96" s="34">
        <v>0.03</v>
      </c>
      <c r="O96" s="2">
        <f t="shared" si="19"/>
        <v>124651790.31075099</v>
      </c>
      <c r="R96" s="2"/>
    </row>
    <row r="97" spans="1:18" x14ac:dyDescent="0.35">
      <c r="D97" s="2"/>
      <c r="E97" s="2"/>
      <c r="F97" s="2"/>
      <c r="I97" s="5" t="s">
        <v>22</v>
      </c>
      <c r="J97" s="152" t="s">
        <v>180</v>
      </c>
      <c r="K97" s="6">
        <f>'Feedstock MIX per IVC'!N26</f>
        <v>0</v>
      </c>
      <c r="L97" s="2">
        <f t="shared" si="18"/>
        <v>0</v>
      </c>
      <c r="N97" s="34">
        <f>SUM(N91:N96)</f>
        <v>1</v>
      </c>
      <c r="O97" s="2"/>
    </row>
    <row r="98" spans="1:18" x14ac:dyDescent="0.35">
      <c r="D98" s="2"/>
      <c r="E98" s="2"/>
      <c r="F98" s="2"/>
      <c r="I98" s="12" t="s">
        <v>23</v>
      </c>
      <c r="J98" s="152" t="s">
        <v>180</v>
      </c>
      <c r="K98" s="6">
        <f>'Feedstock MIX per IVC'!N27</f>
        <v>-37.131571746874521</v>
      </c>
      <c r="L98" s="2">
        <f t="shared" si="18"/>
        <v>-255014704.97520709</v>
      </c>
      <c r="M98" s="2"/>
    </row>
    <row r="99" spans="1:18" s="78" customFormat="1" x14ac:dyDescent="0.35">
      <c r="D99" s="93"/>
      <c r="E99" s="93"/>
      <c r="F99" s="213"/>
      <c r="G99" s="220"/>
      <c r="I99" s="13" t="s">
        <v>24</v>
      </c>
      <c r="J99" s="239" t="s">
        <v>259</v>
      </c>
      <c r="K99" s="6">
        <f>'Feedstock MIX per IVC'!N28</f>
        <v>1.6028614922028495</v>
      </c>
      <c r="L99" s="2">
        <f t="shared" si="18"/>
        <v>11008239.924145842</v>
      </c>
    </row>
    <row r="100" spans="1:18" s="202" customFormat="1" x14ac:dyDescent="0.35">
      <c r="A100" s="202" t="s">
        <v>59</v>
      </c>
      <c r="B100" s="202">
        <v>1275</v>
      </c>
      <c r="C100" s="203">
        <f>B100*F100</f>
        <v>3255264994.5250692</v>
      </c>
      <c r="D100" s="202">
        <f>'[2]GAP analysis Sc. 2'!$F$124+'[2]GAP analysis Sc. 2'!$H$110</f>
        <v>3.0514850655942851</v>
      </c>
      <c r="E100" s="202">
        <f>'[1]Conversion factors selected IV '!$O$52</f>
        <v>0.83669064748201449</v>
      </c>
      <c r="F100" s="202">
        <f>D100*E100*1000000</f>
        <v>2553149.0153137799</v>
      </c>
      <c r="G100" s="202">
        <f>'LCoP 2040 high'!E13</f>
        <v>1310.9676433242062</v>
      </c>
      <c r="H100" s="202">
        <f>G100*F100</f>
        <v>3347095747.6614237</v>
      </c>
      <c r="I100" s="202">
        <f>'LCoP 2040 high'!H13</f>
        <v>0.18380899372404577</v>
      </c>
      <c r="L100" s="202">
        <f>I100*H100</f>
        <v>615226301.27567887</v>
      </c>
      <c r="M100" s="202">
        <f>'LCoP 2040 high'!F13</f>
        <v>0.6102362663745452</v>
      </c>
      <c r="O100" s="202">
        <f>M100*H100</f>
        <v>2042519212.251024</v>
      </c>
      <c r="P100" s="202">
        <f>'LCoP 2040 high'!G13</f>
        <v>0.205954739901409</v>
      </c>
      <c r="R100" s="202">
        <f>P100*H100</f>
        <v>689350234.13472056</v>
      </c>
    </row>
    <row r="101" spans="1:18" s="78" customFormat="1" x14ac:dyDescent="0.35">
      <c r="C101" s="78">
        <f>C100/C89</f>
        <v>0.27100569063299518</v>
      </c>
      <c r="D101" s="93"/>
      <c r="E101" s="93"/>
      <c r="F101" s="147" t="s">
        <v>179</v>
      </c>
      <c r="G101" s="2">
        <f>SUMIF($J$101:$J$110, F101,$L$101:$L$110)/$L$100</f>
        <v>0.64716000570954069</v>
      </c>
      <c r="I101" s="5" t="s">
        <v>4</v>
      </c>
      <c r="J101" s="147" t="s">
        <v>179</v>
      </c>
      <c r="K101" s="6">
        <f>'Feedstock MIX per IVC'!N45</f>
        <v>121.17059579841883</v>
      </c>
      <c r="L101" s="2">
        <f t="shared" ref="L101:L110" si="21">K101*$F$100</f>
        <v>309366587.34771711</v>
      </c>
      <c r="M101" s="5" t="s">
        <v>211</v>
      </c>
      <c r="N101" s="34">
        <v>0</v>
      </c>
      <c r="O101" s="2">
        <f t="shared" ref="O101:O106" si="22">N101*$O$100</f>
        <v>0</v>
      </c>
      <c r="P101" s="18" t="s">
        <v>217</v>
      </c>
      <c r="Q101" s="34">
        <v>0.25</v>
      </c>
      <c r="R101" s="2">
        <f>Q101*$R$100</f>
        <v>172337558.53368014</v>
      </c>
    </row>
    <row r="102" spans="1:18" s="78" customFormat="1" x14ac:dyDescent="0.35">
      <c r="D102" s="93"/>
      <c r="E102" s="93"/>
      <c r="F102" s="152" t="s">
        <v>180</v>
      </c>
      <c r="G102" s="2">
        <f t="shared" ref="G102:G106" si="23">SUMIF($J$101:$J$110, F102,$L$101:$L$110)/$L$100</f>
        <v>2.4153742462583314E-2</v>
      </c>
      <c r="I102" s="5" t="s">
        <v>5</v>
      </c>
      <c r="J102" s="147" t="s">
        <v>179</v>
      </c>
      <c r="K102" s="6">
        <f>'Feedstock MIX per IVC'!N46</f>
        <v>5.5883563061305708</v>
      </c>
      <c r="L102" s="2">
        <f t="shared" si="21"/>
        <v>14267906.400219819</v>
      </c>
      <c r="M102" t="s">
        <v>212</v>
      </c>
      <c r="N102" s="34">
        <v>0.02</v>
      </c>
      <c r="O102" s="2">
        <f t="shared" si="22"/>
        <v>40850384.245020479</v>
      </c>
      <c r="P102" s="18" t="s">
        <v>177</v>
      </c>
      <c r="Q102" s="34">
        <v>0.15</v>
      </c>
      <c r="R102" s="2">
        <f>Q102*$R$100</f>
        <v>103402535.12020808</v>
      </c>
    </row>
    <row r="103" spans="1:18" s="78" customFormat="1" x14ac:dyDescent="0.35">
      <c r="D103" s="93"/>
      <c r="E103" s="93"/>
      <c r="F103" s="150" t="s">
        <v>178</v>
      </c>
      <c r="G103" s="2">
        <f t="shared" si="23"/>
        <v>1.1135965206309587E-2</v>
      </c>
      <c r="I103" s="5" t="s">
        <v>22</v>
      </c>
      <c r="J103" s="152" t="s">
        <v>180</v>
      </c>
      <c r="K103" s="6">
        <f>'Feedstock MIX per IVC'!N47</f>
        <v>0</v>
      </c>
      <c r="L103" s="2">
        <f t="shared" si="21"/>
        <v>0</v>
      </c>
      <c r="M103" s="5" t="s">
        <v>210</v>
      </c>
      <c r="N103" s="34">
        <v>0.55000000000000004</v>
      </c>
      <c r="O103" s="2">
        <f t="shared" si="22"/>
        <v>1123385566.7380633</v>
      </c>
      <c r="P103" s="18" t="s">
        <v>218</v>
      </c>
      <c r="Q103" s="34">
        <v>0.3</v>
      </c>
      <c r="R103" s="2">
        <f>Q103*$R$100</f>
        <v>206805070.24041617</v>
      </c>
    </row>
    <row r="104" spans="1:18" s="78" customFormat="1" x14ac:dyDescent="0.35">
      <c r="D104" s="93"/>
      <c r="E104" s="93"/>
      <c r="F104" s="171" t="s">
        <v>222</v>
      </c>
      <c r="G104" s="2">
        <f t="shared" si="23"/>
        <v>0.12310580892504454</v>
      </c>
      <c r="I104" s="5" t="s">
        <v>6</v>
      </c>
      <c r="J104" s="150" t="s">
        <v>178</v>
      </c>
      <c r="K104" s="6">
        <f>'Feedstock MIX per IVC'!N48</f>
        <v>2.6834072919047771</v>
      </c>
      <c r="L104" s="2">
        <f t="shared" si="21"/>
        <v>6851138.6850124989</v>
      </c>
      <c r="M104" t="s">
        <v>213</v>
      </c>
      <c r="N104" s="34">
        <v>0.1</v>
      </c>
      <c r="O104" s="2">
        <f t="shared" si="22"/>
        <v>204251921.22510242</v>
      </c>
      <c r="P104" s="18" t="s">
        <v>219</v>
      </c>
      <c r="Q104" s="34">
        <v>0.3</v>
      </c>
      <c r="R104" s="2">
        <f>Q104*$R$100</f>
        <v>206805070.24041617</v>
      </c>
    </row>
    <row r="105" spans="1:18" s="78" customFormat="1" x14ac:dyDescent="0.35">
      <c r="D105" s="93"/>
      <c r="E105" s="93"/>
      <c r="F105" s="149" t="s">
        <v>176</v>
      </c>
      <c r="G105" s="2">
        <f t="shared" si="23"/>
        <v>0.14509208214973793</v>
      </c>
      <c r="I105" s="5" t="s">
        <v>7</v>
      </c>
      <c r="J105" s="147" t="s">
        <v>179</v>
      </c>
      <c r="K105" s="6">
        <f>'Feedstock MIX per IVC'!N49</f>
        <v>23.129558949539604</v>
      </c>
      <c r="L105" s="2">
        <f t="shared" si="21"/>
        <v>59053210.656659067</v>
      </c>
      <c r="M105" t="s">
        <v>214</v>
      </c>
      <c r="N105" s="34">
        <v>0.3</v>
      </c>
      <c r="O105" s="2">
        <f t="shared" si="22"/>
        <v>612755763.67530715</v>
      </c>
      <c r="P105" s="18" t="s">
        <v>220</v>
      </c>
      <c r="Q105" s="223">
        <v>0</v>
      </c>
      <c r="R105" s="2">
        <f>Q105*$R$100</f>
        <v>0</v>
      </c>
    </row>
    <row r="106" spans="1:18" s="78" customFormat="1" x14ac:dyDescent="0.35">
      <c r="D106" s="93"/>
      <c r="E106" s="93"/>
      <c r="F106" s="239" t="s">
        <v>259</v>
      </c>
      <c r="G106" s="2">
        <f t="shared" si="23"/>
        <v>0</v>
      </c>
      <c r="I106" s="5" t="s">
        <v>8</v>
      </c>
      <c r="J106" s="147" t="s">
        <v>179</v>
      </c>
      <c r="K106" s="6">
        <f>'Feedstock MIX per IVC'!N50</f>
        <v>6.0561103754187595</v>
      </c>
      <c r="L106" s="2">
        <f t="shared" si="21"/>
        <v>15462152.241631972</v>
      </c>
      <c r="M106" t="s">
        <v>216</v>
      </c>
      <c r="N106" s="34">
        <v>0.03</v>
      </c>
      <c r="O106" s="2">
        <f t="shared" si="22"/>
        <v>61275576.367530718</v>
      </c>
      <c r="R106"/>
    </row>
    <row r="107" spans="1:18" s="78" customFormat="1" x14ac:dyDescent="0.35">
      <c r="D107" s="93"/>
      <c r="E107" s="93"/>
      <c r="F107" s="151" t="s">
        <v>77</v>
      </c>
      <c r="G107" s="2">
        <f>SUMIF($J$101:$J$110, F107,$L$101:$L$110)/$L$100/2</f>
        <v>2.4676197773391962E-2</v>
      </c>
      <c r="I107" s="5" t="s">
        <v>9</v>
      </c>
      <c r="J107" s="171" t="s">
        <v>222</v>
      </c>
      <c r="K107" s="6">
        <f>'Feedstock MIX per IVC'!N51</f>
        <v>29.664516656187999</v>
      </c>
      <c r="L107" s="2">
        <f t="shared" si="21"/>
        <v>75737931.490505606</v>
      </c>
      <c r="M107" s="78" t="s">
        <v>320</v>
      </c>
      <c r="O107" s="90">
        <f>SUM(O101:O106)</f>
        <v>2042519212.2510242</v>
      </c>
      <c r="R107" s="90">
        <f>SUM(R101:R106)</f>
        <v>689350234.13472056</v>
      </c>
    </row>
    <row r="108" spans="1:18" s="78" customFormat="1" x14ac:dyDescent="0.35">
      <c r="D108" s="93"/>
      <c r="E108" s="93"/>
      <c r="F108" s="190" t="s">
        <v>377</v>
      </c>
      <c r="G108" s="2">
        <f>G107</f>
        <v>2.4676197773391962E-2</v>
      </c>
      <c r="I108" s="5" t="s">
        <v>10</v>
      </c>
      <c r="J108" s="149" t="s">
        <v>176</v>
      </c>
      <c r="K108" s="6">
        <f>'Feedstock MIX per IVC'!N52</f>
        <v>34.962497100624461</v>
      </c>
      <c r="L108" s="2">
        <f t="shared" si="21"/>
        <v>89264465.045370221</v>
      </c>
    </row>
    <row r="109" spans="1:18" s="78" customFormat="1" x14ac:dyDescent="0.35">
      <c r="D109" s="93"/>
      <c r="E109" s="93"/>
      <c r="F109" s="220"/>
      <c r="G109" s="90">
        <f>SUM(G101:G108)</f>
        <v>0.99999999999999978</v>
      </c>
      <c r="I109" s="5" t="s">
        <v>11</v>
      </c>
      <c r="J109" s="152" t="s">
        <v>180</v>
      </c>
      <c r="K109" s="6">
        <f>'Feedstock MIX per IVC'!N53</f>
        <v>5.8202703986685069</v>
      </c>
      <c r="L109" s="2">
        <f t="shared" si="21"/>
        <v>14860017.63722044</v>
      </c>
    </row>
    <row r="110" spans="1:18" s="78" customFormat="1" x14ac:dyDescent="0.35">
      <c r="D110" s="93"/>
      <c r="E110" s="93"/>
      <c r="F110" s="213"/>
      <c r="G110" s="220"/>
      <c r="I110" s="13" t="s">
        <v>32</v>
      </c>
      <c r="J110" s="151" t="s">
        <v>77</v>
      </c>
      <c r="K110" s="6">
        <f>'Feedstock MIX per IVC'!N54</f>
        <v>11.892330447312565</v>
      </c>
      <c r="L110" s="2">
        <f t="shared" si="21"/>
        <v>30362891.771342158</v>
      </c>
    </row>
    <row r="111" spans="1:18" s="78" customFormat="1" x14ac:dyDescent="0.35">
      <c r="D111" s="93"/>
      <c r="E111" s="93"/>
      <c r="F111" s="213"/>
      <c r="G111" s="220"/>
      <c r="I111" s="14"/>
      <c r="K111" s="6" t="s">
        <v>319</v>
      </c>
      <c r="L111" s="2">
        <f>SUM(L101:L110)</f>
        <v>615226301.27567887</v>
      </c>
    </row>
    <row r="112" spans="1:18" s="91" customFormat="1" ht="26" customHeight="1" x14ac:dyDescent="0.35">
      <c r="A112" s="91" t="s">
        <v>80</v>
      </c>
      <c r="D112" s="92"/>
      <c r="E112" s="92"/>
      <c r="F112" s="169"/>
      <c r="I112" s="94"/>
    </row>
    <row r="113" spans="1:19" ht="16" customHeight="1" x14ac:dyDescent="0.35">
      <c r="C113" s="2">
        <f>C114+C132+C144+C121</f>
        <v>20537051749.056519</v>
      </c>
      <c r="D113" s="2">
        <f>D114+D132+D144+D121</f>
        <v>8.7725195634231028</v>
      </c>
      <c r="E113" s="2"/>
      <c r="F113" s="2">
        <f>F114+F132+F144</f>
        <v>6477694.8654399794</v>
      </c>
      <c r="I113" s="6"/>
    </row>
    <row r="114" spans="1:19" s="202" customFormat="1" x14ac:dyDescent="0.35">
      <c r="A114" s="202" t="s">
        <v>74</v>
      </c>
      <c r="B114" s="202">
        <v>2380</v>
      </c>
      <c r="C114" s="202">
        <f>B114*F114</f>
        <v>2165776568.7435951</v>
      </c>
      <c r="D114" s="202">
        <f>'[2]GAP analysis Sc. 2'!$F$129</f>
        <v>0.93459388225313333</v>
      </c>
      <c r="E114" s="202">
        <f>'[1]Conversion factors selected IV '!$O$78</f>
        <v>0.97367441860465131</v>
      </c>
      <c r="F114" s="202">
        <f>D114*E114*1000000</f>
        <v>909990.15493428358</v>
      </c>
      <c r="G114" s="202">
        <f>'LCoP 2040 high'!E4</f>
        <v>2431.8538197741454</v>
      </c>
      <c r="H114" s="202">
        <f>G114*F114</f>
        <v>2212963034.2338037</v>
      </c>
      <c r="I114" s="222">
        <f>'LCoP 2040 high'!H4</f>
        <v>0.67082725388718256</v>
      </c>
      <c r="K114" s="202">
        <f>I114*G114</f>
        <v>1631.3538197741454</v>
      </c>
      <c r="L114" s="202">
        <f>I114*H114</f>
        <v>1484515915.2089097</v>
      </c>
      <c r="M114" s="222">
        <f>'LCoP 2040 high'!F4</f>
        <v>0.15461455657516471</v>
      </c>
      <c r="O114" s="202">
        <f>M114*H114</f>
        <v>342156298.25529063</v>
      </c>
      <c r="P114" s="222">
        <f>'LCoP 2040 high'!G4</f>
        <v>0.1745581895376527</v>
      </c>
      <c r="R114" s="202">
        <f>P114*H114</f>
        <v>386290820.76960331</v>
      </c>
      <c r="S114" s="202">
        <f>SUM(L114,O114,R114)</f>
        <v>2212963034.2338037</v>
      </c>
    </row>
    <row r="115" spans="1:19" x14ac:dyDescent="0.35">
      <c r="C115">
        <f>C114/C113</f>
        <v>0.105457034203709</v>
      </c>
      <c r="D115" s="2"/>
      <c r="E115" s="2"/>
      <c r="F115" s="147" t="s">
        <v>179</v>
      </c>
      <c r="G115" s="276">
        <f>SUMIF($J$115:$J$118,F115,$L$115:$L$118)/$L$114</f>
        <v>0.33191066376410744</v>
      </c>
      <c r="I115" s="4" t="s">
        <v>1</v>
      </c>
      <c r="J115" s="147" t="s">
        <v>179</v>
      </c>
      <c r="K115" s="6">
        <f>'Feedstock MIX per IVC'!N9</f>
        <v>372.3562754920261</v>
      </c>
      <c r="L115" s="2">
        <f>K115*F$114</f>
        <v>338840544.82574159</v>
      </c>
      <c r="M115" s="5" t="s">
        <v>210</v>
      </c>
      <c r="N115" s="118">
        <v>0.45</v>
      </c>
      <c r="O115" s="2">
        <f t="shared" ref="O115:O120" si="24">N115*$O$114</f>
        <v>153970334.21488079</v>
      </c>
      <c r="P115" s="18" t="s">
        <v>217</v>
      </c>
      <c r="Q115" s="118">
        <v>0.35</v>
      </c>
      <c r="R115" s="2">
        <f t="shared" ref="R115:R120" si="25">Q115*$R$114</f>
        <v>135201787.26936114</v>
      </c>
    </row>
    <row r="116" spans="1:19" x14ac:dyDescent="0.35">
      <c r="D116" s="2"/>
      <c r="E116" s="2"/>
      <c r="F116" s="190" t="s">
        <v>77</v>
      </c>
      <c r="G116" s="276">
        <f>SUMIF($J$115:$J$118,F116,$L$115:$L$118)/$L$114/2</f>
        <v>0.28393796790025433</v>
      </c>
      <c r="I116" s="215" t="s">
        <v>132</v>
      </c>
      <c r="J116" s="147" t="s">
        <v>179</v>
      </c>
      <c r="K116" s="6">
        <f>'Feedstock MIX per IVC'!N10</f>
        <v>169.10745366332256</v>
      </c>
      <c r="L116" s="2">
        <f>K116*F$114</f>
        <v>153886117.95962909</v>
      </c>
      <c r="M116" t="s">
        <v>213</v>
      </c>
      <c r="N116" s="118">
        <v>0.15</v>
      </c>
      <c r="O116" s="2">
        <f t="shared" si="24"/>
        <v>51323444.738293596</v>
      </c>
      <c r="P116" s="18" t="s">
        <v>177</v>
      </c>
      <c r="Q116" s="118">
        <v>0.25</v>
      </c>
      <c r="R116" s="2">
        <f t="shared" si="25"/>
        <v>96572705.192400828</v>
      </c>
    </row>
    <row r="117" spans="1:19" x14ac:dyDescent="0.35">
      <c r="D117" s="2"/>
      <c r="E117" s="2"/>
      <c r="F117" s="240" t="s">
        <v>177</v>
      </c>
      <c r="G117" s="276">
        <f t="shared" ref="G117" si="26">SUMIF($J$115:$J$118,F117,$L$115:$L$118)/$L$114</f>
        <v>0.10021340043538389</v>
      </c>
      <c r="I117" s="216" t="s">
        <v>300</v>
      </c>
      <c r="J117" s="190" t="s">
        <v>77</v>
      </c>
      <c r="K117" s="6">
        <f>'Feedstock MIX per IVC'!N11*0.85</f>
        <v>926.40657702597707</v>
      </c>
      <c r="L117" s="2">
        <f>K117*F$114</f>
        <v>843020864.56000817</v>
      </c>
      <c r="M117" s="5" t="s">
        <v>214</v>
      </c>
      <c r="N117" s="118">
        <v>0.3</v>
      </c>
      <c r="O117" s="2">
        <f t="shared" si="24"/>
        <v>102646889.47658719</v>
      </c>
      <c r="P117" s="18" t="s">
        <v>218</v>
      </c>
      <c r="Q117" s="118">
        <v>0.2</v>
      </c>
      <c r="R117" s="2">
        <f t="shared" si="25"/>
        <v>77258164.153920665</v>
      </c>
    </row>
    <row r="118" spans="1:19" x14ac:dyDescent="0.35">
      <c r="D118" s="2"/>
      <c r="E118" s="2"/>
      <c r="F118" s="1" t="s">
        <v>78</v>
      </c>
      <c r="G118" s="276">
        <f>G116</f>
        <v>0.28393796790025433</v>
      </c>
      <c r="I118" s="217" t="s">
        <v>301</v>
      </c>
      <c r="J118" s="240" t="s">
        <v>177</v>
      </c>
      <c r="K118" s="6">
        <f>'Feedstock MIX per IVC'!N11*0.15</f>
        <v>163.48351359281949</v>
      </c>
      <c r="L118" s="2">
        <f>K118*F$114</f>
        <v>148768387.86353087</v>
      </c>
      <c r="M118" t="s">
        <v>211</v>
      </c>
      <c r="N118" s="118">
        <v>0.05</v>
      </c>
      <c r="O118" s="2">
        <f t="shared" si="24"/>
        <v>17107814.912764531</v>
      </c>
      <c r="P118" s="18" t="s">
        <v>219</v>
      </c>
      <c r="Q118" s="118">
        <v>0.15</v>
      </c>
      <c r="R118" s="2">
        <f t="shared" si="25"/>
        <v>57943623.115440495</v>
      </c>
    </row>
    <row r="119" spans="1:19" x14ac:dyDescent="0.35">
      <c r="D119" s="2"/>
      <c r="E119" s="2"/>
      <c r="G119" s="2">
        <f>SUM(G115:G118)</f>
        <v>1</v>
      </c>
      <c r="L119" s="2"/>
      <c r="M119" t="s">
        <v>216</v>
      </c>
      <c r="N119" s="118">
        <v>0.03</v>
      </c>
      <c r="O119" s="2">
        <f t="shared" si="24"/>
        <v>10264688.947658718</v>
      </c>
      <c r="P119" s="102" t="s">
        <v>220</v>
      </c>
      <c r="Q119" s="118">
        <v>0.05</v>
      </c>
      <c r="R119" s="2">
        <f t="shared" si="25"/>
        <v>19314541.038480166</v>
      </c>
    </row>
    <row r="120" spans="1:19" x14ac:dyDescent="0.35">
      <c r="D120" s="2"/>
      <c r="E120" s="2"/>
      <c r="G120" s="2"/>
      <c r="M120" t="s">
        <v>212</v>
      </c>
      <c r="N120" s="118">
        <v>0.02</v>
      </c>
      <c r="O120" s="2">
        <f t="shared" si="24"/>
        <v>6843125.965105813</v>
      </c>
      <c r="P120" t="s">
        <v>262</v>
      </c>
      <c r="Q120" s="118">
        <v>0</v>
      </c>
      <c r="R120">
        <f t="shared" si="25"/>
        <v>0</v>
      </c>
    </row>
    <row r="121" spans="1:19" s="202" customFormat="1" x14ac:dyDescent="0.35">
      <c r="A121" s="202" t="s">
        <v>88</v>
      </c>
      <c r="B121" s="202">
        <v>2380</v>
      </c>
      <c r="C121" s="203">
        <f>B121*F121</f>
        <v>5120137969.3093643</v>
      </c>
      <c r="D121" s="202">
        <f>'[2]GAP analysis Sc. 2'!$F$130</f>
        <v>2.2094844368846971</v>
      </c>
      <c r="E121" s="202">
        <f>'[1]Conversion factors selected IV '!$O$27</f>
        <v>0.97367441860465131</v>
      </c>
      <c r="F121" s="202">
        <f>D121*E121*1000000</f>
        <v>2151318.4744997327</v>
      </c>
      <c r="G121" s="202">
        <f>'LCoP 2040 high'!E6</f>
        <v>2513.8297872340427</v>
      </c>
      <c r="H121" s="202">
        <f>G121*F121</f>
        <v>5408048463.0243282</v>
      </c>
      <c r="I121" s="202">
        <f>'LCoP 2040 high'!H6</f>
        <v>0.42319085907744397</v>
      </c>
      <c r="K121" s="202">
        <f>I121*G121</f>
        <v>1063.8297872340427</v>
      </c>
      <c r="L121" s="202">
        <f>I121*H121</f>
        <v>2288636674.9997158</v>
      </c>
      <c r="M121" s="202">
        <f>'LCoP 2040 high'!F6</f>
        <v>0.29834955564959798</v>
      </c>
      <c r="O121" s="202">
        <f>M121*H121</f>
        <v>1613488855.8747997</v>
      </c>
      <c r="P121" s="202">
        <f>'LCoP 2040 high'!G6</f>
        <v>0.27845958527295811</v>
      </c>
    </row>
    <row r="122" spans="1:19" x14ac:dyDescent="0.35">
      <c r="C122">
        <f>C121/C113</f>
        <v>0.24931222026767233</v>
      </c>
      <c r="D122" s="2"/>
      <c r="E122" s="2"/>
      <c r="G122" s="2"/>
      <c r="I122" s="8" t="s">
        <v>16</v>
      </c>
      <c r="J122" s="241" t="s">
        <v>81</v>
      </c>
      <c r="L122" s="2"/>
      <c r="M122" s="5" t="s">
        <v>211</v>
      </c>
      <c r="N122" s="34">
        <v>0</v>
      </c>
      <c r="O122" s="2">
        <f t="shared" ref="O122:O127" si="27">N122*$O$121</f>
        <v>0</v>
      </c>
      <c r="P122" s="18" t="s">
        <v>217</v>
      </c>
      <c r="Q122" s="34">
        <v>0.2</v>
      </c>
    </row>
    <row r="123" spans="1:19" x14ac:dyDescent="0.35">
      <c r="D123" s="2"/>
      <c r="E123" s="2"/>
      <c r="G123" s="2"/>
      <c r="L123" s="2"/>
      <c r="M123" t="s">
        <v>212</v>
      </c>
      <c r="N123" s="34">
        <v>0.02</v>
      </c>
      <c r="O123" s="2">
        <f t="shared" si="27"/>
        <v>32269777.117495995</v>
      </c>
      <c r="P123" s="18" t="s">
        <v>177</v>
      </c>
      <c r="Q123" s="34">
        <v>0.5</v>
      </c>
    </row>
    <row r="124" spans="1:19" x14ac:dyDescent="0.35">
      <c r="D124" s="2"/>
      <c r="E124" s="2"/>
      <c r="G124" s="2"/>
      <c r="L124" s="2"/>
      <c r="M124" s="5" t="s">
        <v>210</v>
      </c>
      <c r="N124" s="34">
        <v>0.5</v>
      </c>
      <c r="O124" s="2">
        <f t="shared" si="27"/>
        <v>806744427.93739986</v>
      </c>
      <c r="P124" s="18" t="s">
        <v>218</v>
      </c>
      <c r="Q124" s="34">
        <v>0.15</v>
      </c>
    </row>
    <row r="125" spans="1:19" x14ac:dyDescent="0.35">
      <c r="D125" s="2"/>
      <c r="E125" s="2"/>
      <c r="G125" s="2"/>
      <c r="L125" s="2"/>
      <c r="M125" t="s">
        <v>213</v>
      </c>
      <c r="N125" s="34">
        <v>0.15</v>
      </c>
      <c r="O125" s="2">
        <f t="shared" si="27"/>
        <v>242023328.38121995</v>
      </c>
      <c r="P125" s="18" t="s">
        <v>219</v>
      </c>
      <c r="Q125" s="34">
        <v>0.1</v>
      </c>
    </row>
    <row r="126" spans="1:19" x14ac:dyDescent="0.35">
      <c r="D126" s="2"/>
      <c r="E126" s="2"/>
      <c r="G126" s="2"/>
      <c r="L126" s="2"/>
      <c r="M126" t="s">
        <v>214</v>
      </c>
      <c r="N126" s="34">
        <v>0.3</v>
      </c>
      <c r="O126" s="2">
        <f t="shared" si="27"/>
        <v>484046656.76243991</v>
      </c>
      <c r="P126" s="18" t="s">
        <v>220</v>
      </c>
      <c r="Q126" s="34">
        <v>0.05</v>
      </c>
    </row>
    <row r="127" spans="1:19" x14ac:dyDescent="0.35">
      <c r="D127" s="2"/>
      <c r="E127" s="2"/>
      <c r="G127" s="2"/>
      <c r="L127" s="2"/>
      <c r="M127" t="s">
        <v>216</v>
      </c>
      <c r="N127" s="34">
        <v>0.03</v>
      </c>
      <c r="O127" s="2">
        <f t="shared" si="27"/>
        <v>48404665.676243991</v>
      </c>
      <c r="Q127" s="118"/>
    </row>
    <row r="128" spans="1:19" x14ac:dyDescent="0.35">
      <c r="D128" s="2"/>
      <c r="E128" s="2"/>
      <c r="G128" s="2"/>
      <c r="N128" s="118"/>
      <c r="O128" s="2"/>
      <c r="Q128" s="118"/>
    </row>
    <row r="129" spans="1:19" x14ac:dyDescent="0.35">
      <c r="D129" s="2"/>
      <c r="E129" s="2"/>
      <c r="G129" s="2"/>
      <c r="N129" s="118"/>
      <c r="O129" s="2"/>
      <c r="Q129" s="118"/>
    </row>
    <row r="130" spans="1:19" x14ac:dyDescent="0.35">
      <c r="D130" s="2"/>
      <c r="E130" s="2"/>
      <c r="G130" s="2"/>
      <c r="N130" s="118"/>
      <c r="O130" s="2"/>
      <c r="Q130" s="118"/>
    </row>
    <row r="131" spans="1:19" x14ac:dyDescent="0.35">
      <c r="D131" s="2"/>
      <c r="E131" s="2"/>
      <c r="G131" s="2"/>
      <c r="N131" s="118"/>
      <c r="O131" s="2"/>
      <c r="Q131" s="118"/>
    </row>
    <row r="132" spans="1:19" s="202" customFormat="1" x14ac:dyDescent="0.35">
      <c r="A132" s="202" t="s">
        <v>304</v>
      </c>
      <c r="B132" s="202">
        <v>2380</v>
      </c>
      <c r="C132" s="202">
        <f>B132*F132</f>
        <v>5346416013.387166</v>
      </c>
      <c r="D132" s="202">
        <f>'[2]GAP analysis Sc. 2'!$F$131</f>
        <v>2.30712981671536</v>
      </c>
      <c r="E132" s="202">
        <f>'[1]Conversion factors selected IV '!$O$76</f>
        <v>0.97367441860465131</v>
      </c>
      <c r="F132" s="202">
        <f>D132*E132*1000000</f>
        <v>2246393.2829357842</v>
      </c>
      <c r="G132" s="202">
        <f>'LCoP 2040 high'!E16</f>
        <v>2783.9654154223158</v>
      </c>
      <c r="H132" s="202">
        <f>G132*F132</f>
        <v>6253881209.1302204</v>
      </c>
      <c r="I132" s="202">
        <f>'LCoP 2040 high'!H16</f>
        <v>0.223679292843461</v>
      </c>
      <c r="L132" s="202">
        <f>I132*H132</f>
        <v>1398863726.3852565</v>
      </c>
      <c r="M132" s="202">
        <f>'LCoP 2040 high'!F16</f>
        <v>0.51904380420645402</v>
      </c>
      <c r="O132" s="202">
        <f>M132*H132</f>
        <v>3246038293.8422079</v>
      </c>
      <c r="P132" s="202">
        <f>'LCoP 2040 high'!G16</f>
        <v>0.25727690295008493</v>
      </c>
      <c r="R132" s="202">
        <f>P132*H132</f>
        <v>1608979188.9027555</v>
      </c>
    </row>
    <row r="133" spans="1:19" s="78" customFormat="1" x14ac:dyDescent="0.35">
      <c r="C133">
        <f>C132/C113</f>
        <v>0.26033025960665374</v>
      </c>
      <c r="F133" s="147" t="s">
        <v>179</v>
      </c>
      <c r="G133" s="2">
        <f>SUMIF($J$133:$J$142,F133,$L$133:$L$142)/$L$132</f>
        <v>0.67797355889627375</v>
      </c>
      <c r="I133" s="5" t="s">
        <v>4</v>
      </c>
      <c r="J133" s="147" t="s">
        <v>179</v>
      </c>
      <c r="K133" s="6">
        <f>'Feedstock MIX per IVC'!N69</f>
        <v>328.75394169844014</v>
      </c>
      <c r="L133" s="2">
        <f t="shared" ref="L133:L142" si="28">K133*F$132</f>
        <v>738510646.37003839</v>
      </c>
      <c r="M133" s="5" t="s">
        <v>211</v>
      </c>
      <c r="N133" s="34">
        <v>0</v>
      </c>
      <c r="O133" s="2">
        <f t="shared" ref="O133:O138" si="29">N133*O$132</f>
        <v>0</v>
      </c>
      <c r="P133" s="18" t="s">
        <v>217</v>
      </c>
      <c r="Q133" s="34">
        <v>0.25</v>
      </c>
      <c r="R133" s="2">
        <f>Q133*R$132</f>
        <v>402244797.22568887</v>
      </c>
    </row>
    <row r="134" spans="1:19" x14ac:dyDescent="0.35">
      <c r="F134" s="171" t="s">
        <v>222</v>
      </c>
      <c r="G134" s="2">
        <f t="shared" ref="G134:G138" si="30">SUMIF($J$133:$J$142,F134,$L$133:$L$142)/$L$132</f>
        <v>0.12922832970411152</v>
      </c>
      <c r="I134" s="5" t="s">
        <v>5</v>
      </c>
      <c r="J134" s="147" t="s">
        <v>179</v>
      </c>
      <c r="K134" s="6">
        <f>'Feedstock MIX per IVC'!N70</f>
        <v>15.165135855302227</v>
      </c>
      <c r="L134" s="2">
        <f t="shared" si="28"/>
        <v>34066859.32015954</v>
      </c>
      <c r="M134" t="s">
        <v>212</v>
      </c>
      <c r="N134" s="34">
        <v>0.02</v>
      </c>
      <c r="O134" s="2">
        <f t="shared" si="29"/>
        <v>64920765.87684416</v>
      </c>
      <c r="P134" s="18" t="s">
        <v>177</v>
      </c>
      <c r="Q134" s="34">
        <v>0.15</v>
      </c>
      <c r="R134" s="2">
        <f>Q134*R$132</f>
        <v>241346878.33541331</v>
      </c>
    </row>
    <row r="135" spans="1:19" x14ac:dyDescent="0.35">
      <c r="F135" s="149" t="s">
        <v>176</v>
      </c>
      <c r="G135" s="2">
        <f t="shared" si="30"/>
        <v>0.15225610035577186</v>
      </c>
      <c r="I135" s="5" t="s">
        <v>22</v>
      </c>
      <c r="J135" s="152" t="s">
        <v>180</v>
      </c>
      <c r="K135" s="6">
        <f>'Feedstock MIX per IVC'!N71</f>
        <v>0</v>
      </c>
      <c r="L135" s="2">
        <f t="shared" si="28"/>
        <v>0</v>
      </c>
      <c r="M135" s="5" t="s">
        <v>210</v>
      </c>
      <c r="N135" s="34">
        <v>0.55000000000000004</v>
      </c>
      <c r="O135" s="2">
        <f t="shared" si="29"/>
        <v>1785321061.6132145</v>
      </c>
      <c r="P135" s="18" t="s">
        <v>218</v>
      </c>
      <c r="Q135" s="34">
        <v>0.3</v>
      </c>
      <c r="R135" s="2">
        <f>Q135*R$132</f>
        <v>482693756.67082661</v>
      </c>
    </row>
    <row r="136" spans="1:19" x14ac:dyDescent="0.35">
      <c r="F136" s="152" t="s">
        <v>180</v>
      </c>
      <c r="G136" s="2">
        <f t="shared" si="30"/>
        <v>2.5320633913510301E-2</v>
      </c>
      <c r="I136" s="5" t="s">
        <v>6</v>
      </c>
      <c r="J136" s="150" t="s">
        <v>178</v>
      </c>
      <c r="K136" s="6">
        <f>'Feedstock MIX per IVC'!N72</f>
        <v>7.2889936763447416</v>
      </c>
      <c r="L136" s="2">
        <f t="shared" si="28"/>
        <v>16373946.433902236</v>
      </c>
      <c r="M136" t="s">
        <v>213</v>
      </c>
      <c r="N136" s="34">
        <v>0.1</v>
      </c>
      <c r="O136" s="2">
        <f t="shared" si="29"/>
        <v>324603829.38422084</v>
      </c>
      <c r="P136" s="18" t="s">
        <v>219</v>
      </c>
      <c r="Q136" s="34">
        <v>0.3</v>
      </c>
      <c r="R136" s="2">
        <f>Q136*R$132</f>
        <v>482693756.67082661</v>
      </c>
    </row>
    <row r="137" spans="1:19" s="78" customFormat="1" x14ac:dyDescent="0.35">
      <c r="F137" s="190" t="s">
        <v>77</v>
      </c>
      <c r="G137" s="276">
        <f t="shared" si="30"/>
        <v>3.5162009040439757E-3</v>
      </c>
      <c r="I137" s="5" t="s">
        <v>7</v>
      </c>
      <c r="J137" s="147" t="s">
        <v>179</v>
      </c>
      <c r="K137" s="6">
        <f>'Feedstock MIX per IVC'!N73</f>
        <v>61.937979630127082</v>
      </c>
      <c r="L137" s="2">
        <f t="shared" si="28"/>
        <v>139137061.39973089</v>
      </c>
      <c r="M137" t="s">
        <v>214</v>
      </c>
      <c r="N137" s="34">
        <v>0.3</v>
      </c>
      <c r="O137" s="2">
        <f t="shared" si="29"/>
        <v>973811488.15266228</v>
      </c>
      <c r="P137" s="18" t="s">
        <v>220</v>
      </c>
      <c r="Q137" s="223">
        <v>0</v>
      </c>
      <c r="R137" s="2">
        <f>Q137*R$132</f>
        <v>0</v>
      </c>
    </row>
    <row r="138" spans="1:19" x14ac:dyDescent="0.35">
      <c r="F138" s="150" t="s">
        <v>178</v>
      </c>
      <c r="G138" s="2">
        <f t="shared" si="30"/>
        <v>1.1705176226288637E-2</v>
      </c>
      <c r="I138" s="5" t="s">
        <v>8</v>
      </c>
      <c r="J138" s="147" t="s">
        <v>179</v>
      </c>
      <c r="K138" s="6">
        <f>'Feedstock MIX per IVC'!N74</f>
        <v>16.3275291895695</v>
      </c>
      <c r="L138" s="2">
        <f t="shared" si="28"/>
        <v>36678051.898386873</v>
      </c>
      <c r="M138" t="s">
        <v>216</v>
      </c>
      <c r="N138" s="34">
        <v>0.03</v>
      </c>
      <c r="O138" s="2">
        <f t="shared" si="29"/>
        <v>97381148.815266237</v>
      </c>
    </row>
    <row r="139" spans="1:19" x14ac:dyDescent="0.35">
      <c r="F139" s="151" t="s">
        <v>78</v>
      </c>
      <c r="G139" s="276">
        <f>G137</f>
        <v>3.5162009040439757E-3</v>
      </c>
      <c r="I139" s="5" t="s">
        <v>9</v>
      </c>
      <c r="J139" s="171" t="s">
        <v>222</v>
      </c>
      <c r="K139" s="6">
        <f>'Feedstock MIX per IVC'!N75</f>
        <v>80.472473016027777</v>
      </c>
      <c r="L139" s="2">
        <f t="shared" si="28"/>
        <v>180772822.84443596</v>
      </c>
      <c r="N139" s="34"/>
    </row>
    <row r="140" spans="1:19" x14ac:dyDescent="0.35">
      <c r="F140"/>
      <c r="G140" s="2">
        <f>SUM(G133:G139)</f>
        <v>1.0035162009040439</v>
      </c>
      <c r="I140" s="5" t="s">
        <v>10</v>
      </c>
      <c r="J140" s="149" t="s">
        <v>176</v>
      </c>
      <c r="K140" s="6">
        <f>'Feedstock MIX per IVC'!N76</f>
        <v>94.812220783626273</v>
      </c>
      <c r="L140" s="2">
        <f t="shared" si="28"/>
        <v>212985535.9085626</v>
      </c>
    </row>
    <row r="141" spans="1:19" x14ac:dyDescent="0.35">
      <c r="F141"/>
      <c r="I141" s="5" t="s">
        <v>11</v>
      </c>
      <c r="J141" s="152" t="s">
        <v>180</v>
      </c>
      <c r="K141" s="6">
        <f>'Feedstock MIX per IVC'!N77</f>
        <v>15.767549066207943</v>
      </c>
      <c r="L141" s="2">
        <f t="shared" si="28"/>
        <v>35420116.310689919</v>
      </c>
    </row>
    <row r="142" spans="1:19" x14ac:dyDescent="0.35">
      <c r="I142" s="13" t="s">
        <v>32</v>
      </c>
      <c r="J142" s="190" t="s">
        <v>77</v>
      </c>
      <c r="K142" s="6">
        <f>'Feedstock MIX per IVC'!N78</f>
        <v>2.1895925066700666</v>
      </c>
      <c r="L142" s="2">
        <f t="shared" si="28"/>
        <v>4918685.8993501635</v>
      </c>
    </row>
    <row r="143" spans="1:19" x14ac:dyDescent="0.35">
      <c r="A143" s="78"/>
      <c r="B143" s="78"/>
      <c r="C143" s="78"/>
      <c r="D143" s="90"/>
      <c r="E143" s="90"/>
      <c r="F143" s="213"/>
      <c r="G143" s="99"/>
      <c r="L143" s="2">
        <f>SUM(L133:L142)</f>
        <v>1398863726.3852568</v>
      </c>
    </row>
    <row r="144" spans="1:19" s="201" customFormat="1" x14ac:dyDescent="0.35">
      <c r="A144" s="201" t="s">
        <v>335</v>
      </c>
      <c r="B144" s="202">
        <v>2380</v>
      </c>
      <c r="C144" s="202">
        <f>B144*F144</f>
        <v>7904721197.6163912</v>
      </c>
      <c r="D144" s="208">
        <f>'[2]GAP analysis Sc. 2'!$F$132</f>
        <v>3.3213114275699125</v>
      </c>
      <c r="E144" s="208">
        <f>'[1]Conversion factors selected IV '!$O$125</f>
        <v>1</v>
      </c>
      <c r="F144" s="202">
        <f>D144*E144*1000000</f>
        <v>3321311.4275699123</v>
      </c>
      <c r="G144" s="208">
        <f>'LCoP 2040 high'!E22</f>
        <v>2010.7628322856071</v>
      </c>
      <c r="H144" s="203">
        <f>G144*F144</f>
        <v>6678369573.0030298</v>
      </c>
      <c r="I144" s="202">
        <f>'LCoP 2040 high'!H22</f>
        <v>0.3447138673722781</v>
      </c>
      <c r="L144" s="202">
        <f>I144*H144</f>
        <v>2302126603.251224</v>
      </c>
      <c r="M144" s="202">
        <f>'LCoP 2040 high'!F22</f>
        <v>0.34066673055686519</v>
      </c>
      <c r="O144" s="202">
        <f>M144*H144</f>
        <v>2275098327.8853898</v>
      </c>
      <c r="P144" s="202">
        <f>'LCoP 2040 high'!G22</f>
        <v>0.3146194020708567</v>
      </c>
      <c r="R144" s="202">
        <f>P144*H144</f>
        <v>2101144641.8664157</v>
      </c>
      <c r="S144" s="202">
        <f>L144+O144+R144</f>
        <v>6678369573.0030298</v>
      </c>
    </row>
    <row r="145" spans="1:18" x14ac:dyDescent="0.35">
      <c r="A145" s="78"/>
      <c r="B145" s="78"/>
      <c r="C145">
        <f>C144/C113</f>
        <v>0.3849004859219648</v>
      </c>
      <c r="D145" s="90"/>
      <c r="E145" s="90"/>
      <c r="F145" s="147" t="s">
        <v>179</v>
      </c>
      <c r="G145" s="2">
        <f>SUMIF($J$145:$J$152,F145,$L$145:$L$152)/$L$144</f>
        <v>0.69024092690197625</v>
      </c>
      <c r="H145" s="192" t="s">
        <v>254</v>
      </c>
      <c r="I145" s="5" t="s">
        <v>4</v>
      </c>
      <c r="J145" s="147" t="s">
        <v>179</v>
      </c>
      <c r="K145" s="6">
        <f>'Feedstock MIX per IVC'!N111</f>
        <v>364.56177999527171</v>
      </c>
      <c r="L145" s="2">
        <f t="shared" ref="L145:L152" si="31">K145*F$144</f>
        <v>1210823205.9535241</v>
      </c>
      <c r="M145" s="5" t="s">
        <v>211</v>
      </c>
      <c r="N145" s="167">
        <v>0.15</v>
      </c>
      <c r="O145" s="2">
        <f t="shared" ref="O145:O150" si="32">N145*O$144</f>
        <v>341264749.18280846</v>
      </c>
      <c r="P145" s="18" t="s">
        <v>217</v>
      </c>
      <c r="Q145" s="118">
        <v>0.15</v>
      </c>
      <c r="R145" s="2">
        <f>Q145*R$144</f>
        <v>315171696.27996236</v>
      </c>
    </row>
    <row r="146" spans="1:18" x14ac:dyDescent="0.35">
      <c r="A146" s="78"/>
      <c r="B146" s="78"/>
      <c r="C146" s="78"/>
      <c r="D146" s="90"/>
      <c r="E146" s="90"/>
      <c r="F146" s="171" t="s">
        <v>222</v>
      </c>
      <c r="G146" s="2">
        <f t="shared" ref="G146:G149" si="33">SUMIF($J$145:$J$152,F146,$L$145:$L$152)/$L$144</f>
        <v>0.12503848715005106</v>
      </c>
      <c r="H146" s="192" t="s">
        <v>254</v>
      </c>
      <c r="I146" s="5" t="s">
        <v>5</v>
      </c>
      <c r="J146" s="147" t="s">
        <v>179</v>
      </c>
      <c r="K146" s="6">
        <f>'Feedstock MIX per IVC'!N112</f>
        <v>16.812071357056464</v>
      </c>
      <c r="L146" s="2">
        <f t="shared" si="31"/>
        <v>55838124.719312437</v>
      </c>
      <c r="M146" t="s">
        <v>212</v>
      </c>
      <c r="N146" s="34">
        <v>0.02</v>
      </c>
      <c r="O146" s="2">
        <f t="shared" si="32"/>
        <v>45501966.557707794</v>
      </c>
      <c r="P146" s="18" t="s">
        <v>177</v>
      </c>
      <c r="Q146" s="118">
        <v>0.25</v>
      </c>
      <c r="R146" s="2">
        <f>Q146*R$144</f>
        <v>525286160.46660393</v>
      </c>
    </row>
    <row r="147" spans="1:18" x14ac:dyDescent="0.35">
      <c r="A147" s="78"/>
      <c r="B147" s="78"/>
      <c r="C147" s="78"/>
      <c r="D147" s="90"/>
      <c r="E147" s="90"/>
      <c r="F147" s="149" t="s">
        <v>176</v>
      </c>
      <c r="G147" s="2">
        <f t="shared" si="33"/>
        <v>0.15179053245297733</v>
      </c>
      <c r="H147" s="192" t="s">
        <v>254</v>
      </c>
      <c r="I147" s="5" t="s">
        <v>6</v>
      </c>
      <c r="J147" s="150" t="s">
        <v>178</v>
      </c>
      <c r="K147" s="6">
        <f>'Feedstock MIX per IVC'!N113</f>
        <v>8.0695561672370868</v>
      </c>
      <c r="L147" s="2">
        <f t="shared" si="31"/>
        <v>26801509.1136618</v>
      </c>
      <c r="M147" s="5" t="s">
        <v>210</v>
      </c>
      <c r="N147" s="167">
        <v>0.45</v>
      </c>
      <c r="O147" s="2">
        <f t="shared" si="32"/>
        <v>1023794247.5484254</v>
      </c>
      <c r="P147" s="18" t="s">
        <v>218</v>
      </c>
      <c r="Q147" s="118">
        <v>0.2</v>
      </c>
      <c r="R147" s="2">
        <f>Q147*R$144</f>
        <v>420228928.37328315</v>
      </c>
    </row>
    <row r="148" spans="1:18" x14ac:dyDescent="0.35">
      <c r="A148" s="78"/>
      <c r="B148" s="78"/>
      <c r="C148" s="78"/>
      <c r="D148" s="90"/>
      <c r="E148" s="90"/>
      <c r="F148" s="152" t="s">
        <v>180</v>
      </c>
      <c r="G148" s="2">
        <f t="shared" si="33"/>
        <v>2.1287987817195229E-2</v>
      </c>
      <c r="H148" s="192" t="s">
        <v>254</v>
      </c>
      <c r="I148" s="5" t="s">
        <v>7</v>
      </c>
      <c r="J148" s="147" t="s">
        <v>179</v>
      </c>
      <c r="K148" s="6">
        <f>'Feedstock MIX per IVC'!N114</f>
        <v>78.789724886659172</v>
      </c>
      <c r="L148" s="2">
        <f t="shared" si="31"/>
        <v>261685213.64115062</v>
      </c>
      <c r="M148" t="s">
        <v>213</v>
      </c>
      <c r="N148" s="34">
        <v>0.1</v>
      </c>
      <c r="O148" s="2">
        <f t="shared" si="32"/>
        <v>227509832.78853899</v>
      </c>
      <c r="P148" s="18" t="s">
        <v>219</v>
      </c>
      <c r="Q148" s="118">
        <v>0.3</v>
      </c>
      <c r="R148" s="2">
        <f>Q148*R$144</f>
        <v>630343392.55992472</v>
      </c>
    </row>
    <row r="149" spans="1:18" x14ac:dyDescent="0.35">
      <c r="A149" s="78"/>
      <c r="B149" s="78"/>
      <c r="C149" s="78"/>
      <c r="D149" s="90"/>
      <c r="E149" s="90"/>
      <c r="F149" s="150" t="s">
        <v>178</v>
      </c>
      <c r="G149" s="2">
        <f t="shared" si="33"/>
        <v>1.1642065677800186E-2</v>
      </c>
      <c r="H149" s="192" t="s">
        <v>254</v>
      </c>
      <c r="I149" s="5" t="s">
        <v>8</v>
      </c>
      <c r="J149" s="147" t="s">
        <v>179</v>
      </c>
      <c r="K149" s="6">
        <f>'Feedstock MIX per IVC'!N115</f>
        <v>18.268523588656635</v>
      </c>
      <c r="L149" s="2">
        <f t="shared" si="31"/>
        <v>60675456.159835786</v>
      </c>
      <c r="M149" t="s">
        <v>214</v>
      </c>
      <c r="N149" s="34">
        <v>0.25</v>
      </c>
      <c r="O149" s="2">
        <f t="shared" si="32"/>
        <v>568774581.97134745</v>
      </c>
      <c r="P149" s="18" t="s">
        <v>220</v>
      </c>
      <c r="Q149" s="118">
        <v>0.1</v>
      </c>
      <c r="R149" s="2">
        <f>Q149*R$144</f>
        <v>210114464.18664157</v>
      </c>
    </row>
    <row r="150" spans="1:18" x14ac:dyDescent="0.35">
      <c r="A150" s="78"/>
      <c r="B150" s="78"/>
      <c r="C150" s="78"/>
      <c r="D150" s="90"/>
      <c r="E150" s="90"/>
      <c r="F150" s="213"/>
      <c r="G150" s="2">
        <f>SUM(G145:G149)</f>
        <v>1</v>
      </c>
      <c r="H150" s="192" t="s">
        <v>254</v>
      </c>
      <c r="I150" s="5" t="s">
        <v>9</v>
      </c>
      <c r="J150" s="171" t="s">
        <v>222</v>
      </c>
      <c r="K150" s="6">
        <f>'Feedstock MIX per IVC'!N116</f>
        <v>86.668905935458113</v>
      </c>
      <c r="L150" s="2">
        <f t="shared" si="31"/>
        <v>287854427.69841886</v>
      </c>
      <c r="M150" t="s">
        <v>216</v>
      </c>
      <c r="N150" s="34">
        <v>0.03</v>
      </c>
      <c r="O150" s="2">
        <f t="shared" si="32"/>
        <v>68252949.836561695</v>
      </c>
      <c r="Q150" s="34"/>
    </row>
    <row r="151" spans="1:18" x14ac:dyDescent="0.35">
      <c r="A151" s="78"/>
      <c r="B151" s="78"/>
      <c r="C151" s="78"/>
      <c r="D151" s="90"/>
      <c r="E151" s="90"/>
      <c r="F151" s="213"/>
      <c r="H151" s="192" t="s">
        <v>254</v>
      </c>
      <c r="I151" s="5" t="s">
        <v>10</v>
      </c>
      <c r="J151" s="149" t="s">
        <v>176</v>
      </c>
      <c r="K151" s="6">
        <f>'Feedstock MIX per IVC'!N117</f>
        <v>105.21176062593479</v>
      </c>
      <c r="L151" s="2">
        <f t="shared" si="31"/>
        <v>349441022.88166738</v>
      </c>
      <c r="M151" s="2"/>
      <c r="O151" s="2"/>
    </row>
    <row r="152" spans="1:18" x14ac:dyDescent="0.35">
      <c r="A152" s="78"/>
      <c r="B152" s="78"/>
      <c r="C152" s="78"/>
      <c r="D152" s="90"/>
      <c r="E152" s="90"/>
      <c r="F152" s="213"/>
      <c r="H152" s="192" t="s">
        <v>254</v>
      </c>
      <c r="I152" s="5" t="s">
        <v>11</v>
      </c>
      <c r="J152" s="152" t="s">
        <v>180</v>
      </c>
      <c r="K152" s="6">
        <f>'Feedstock MIX per IVC'!N118</f>
        <v>14.755509729333113</v>
      </c>
      <c r="L152" s="2">
        <f t="shared" si="31"/>
        <v>49007643.083653092</v>
      </c>
    </row>
    <row r="153" spans="1:18" s="91" customFormat="1" ht="34" customHeight="1" x14ac:dyDescent="0.35">
      <c r="A153" s="91" t="s">
        <v>81</v>
      </c>
      <c r="F153" s="169"/>
    </row>
    <row r="154" spans="1:18" ht="19" customHeight="1" x14ac:dyDescent="0.35">
      <c r="C154" s="2">
        <f>C155+C166+C174</f>
        <v>18351842613.118717</v>
      </c>
      <c r="D154" s="2">
        <f>D155+D166+D174</f>
        <v>10.334908610956424</v>
      </c>
      <c r="E154" s="2"/>
      <c r="F154" s="2">
        <f>F155+F166+F174</f>
        <v>19093032.345742721</v>
      </c>
    </row>
    <row r="155" spans="1:18" s="202" customFormat="1" x14ac:dyDescent="0.35">
      <c r="A155" s="202" t="s">
        <v>309</v>
      </c>
      <c r="B155" s="202">
        <v>935</v>
      </c>
      <c r="C155" s="202">
        <f>B155*F155</f>
        <v>4330061758.3173943</v>
      </c>
      <c r="D155" s="202">
        <f>'[2]GAP analysis Sc. 2'!$F$121</f>
        <v>2.2122299104122982</v>
      </c>
      <c r="E155" s="202">
        <f>'[1]Conversion factors selected IV '!$O$49</f>
        <v>2.0934000000000004</v>
      </c>
      <c r="F155" s="202">
        <f>D155*E155*1000000</f>
        <v>4631082.0944571067</v>
      </c>
      <c r="G155" s="202">
        <f>'LCoP 2040 high'!E10</f>
        <v>560.93483576630842</v>
      </c>
      <c r="H155" s="202">
        <f>G155*F155</f>
        <v>2597735274.0745888</v>
      </c>
      <c r="I155" s="202">
        <f>'LCoP 2040 high'!H10</f>
        <v>0.25035855648803945</v>
      </c>
      <c r="L155" s="202">
        <f>I155*H155</f>
        <v>650365253.35537553</v>
      </c>
      <c r="M155" s="202">
        <f>'LCoP 2040 high'!F10</f>
        <v>0.500949454522856</v>
      </c>
      <c r="O155" s="202">
        <f>M155*H155</f>
        <v>1301334068.5424471</v>
      </c>
      <c r="P155" s="202">
        <f>'LCoP 2040 high'!G10</f>
        <v>0.24869198898910466</v>
      </c>
      <c r="R155" s="202">
        <f>P155*H155</f>
        <v>646035952.1767664</v>
      </c>
    </row>
    <row r="156" spans="1:18" x14ac:dyDescent="0.35">
      <c r="C156">
        <f>C155/$C$154</f>
        <v>0.23594697544006141</v>
      </c>
      <c r="D156" s="2"/>
      <c r="E156" s="2"/>
      <c r="F156" s="147" t="s">
        <v>179</v>
      </c>
      <c r="G156" s="2">
        <f>SUMIF($J$156:$J$165,F156,$L$156:$L$165)/$L$155</f>
        <v>0.62310899617461191</v>
      </c>
      <c r="I156" s="5" t="s">
        <v>4</v>
      </c>
      <c r="J156" s="147" t="s">
        <v>179</v>
      </c>
      <c r="K156" s="6">
        <f>'Feedstock MIX per IVC'!N30</f>
        <v>67.993236631721032</v>
      </c>
      <c r="L156" s="2">
        <f t="shared" ref="L156:L165" si="34">K156*F$155</f>
        <v>314882260.70934832</v>
      </c>
      <c r="M156" s="5" t="s">
        <v>211</v>
      </c>
      <c r="N156" s="34">
        <v>0</v>
      </c>
      <c r="O156" s="2">
        <f t="shared" ref="O156:O161" si="35">N156*O$155</f>
        <v>0</v>
      </c>
      <c r="P156" s="18" t="s">
        <v>217</v>
      </c>
      <c r="Q156" s="34">
        <v>0.25</v>
      </c>
      <c r="R156" s="2">
        <f>Q156*R$155</f>
        <v>161508988.0441916</v>
      </c>
    </row>
    <row r="157" spans="1:18" x14ac:dyDescent="0.35">
      <c r="D157" s="2"/>
      <c r="E157" s="2"/>
      <c r="F157" s="171" t="s">
        <v>222</v>
      </c>
      <c r="G157" s="2">
        <f t="shared" ref="G157:G162" si="36">SUMIF($J$156:$J$165,F157,$L$156:$L$165)/$L$155</f>
        <v>0.11853071318652597</v>
      </c>
      <c r="I157" s="5" t="s">
        <v>5</v>
      </c>
      <c r="J157" s="147" t="s">
        <v>179</v>
      </c>
      <c r="K157" s="6">
        <f>'Feedstock MIX per IVC'!N31</f>
        <v>3.1358303572034152</v>
      </c>
      <c r="L157" s="2">
        <f t="shared" si="34"/>
        <v>14522287.818499768</v>
      </c>
      <c r="M157" t="s">
        <v>212</v>
      </c>
      <c r="N157" s="34">
        <v>0.02</v>
      </c>
      <c r="O157" s="2">
        <f t="shared" si="35"/>
        <v>26026681.370848943</v>
      </c>
      <c r="P157" s="18" t="s">
        <v>177</v>
      </c>
      <c r="Q157" s="34">
        <v>0.15</v>
      </c>
      <c r="R157" s="2">
        <f>Q157*R$155</f>
        <v>96905392.826514959</v>
      </c>
    </row>
    <row r="158" spans="1:18" x14ac:dyDescent="0.35">
      <c r="D158" s="2"/>
      <c r="E158" s="2"/>
      <c r="F158" s="149" t="s">
        <v>176</v>
      </c>
      <c r="G158" s="2">
        <f t="shared" si="36"/>
        <v>0.13969989007909225</v>
      </c>
      <c r="I158" s="5" t="s">
        <v>22</v>
      </c>
      <c r="J158" s="152" t="s">
        <v>180</v>
      </c>
      <c r="K158" s="6">
        <f>'Feedstock MIX per IVC'!N32</f>
        <v>0</v>
      </c>
      <c r="L158" s="2">
        <f t="shared" si="34"/>
        <v>0</v>
      </c>
      <c r="M158" s="5" t="s">
        <v>210</v>
      </c>
      <c r="N158" s="34">
        <v>0.55000000000000004</v>
      </c>
      <c r="O158" s="2">
        <f t="shared" si="35"/>
        <v>715733737.6983459</v>
      </c>
      <c r="P158" s="18" t="s">
        <v>218</v>
      </c>
      <c r="Q158" s="34">
        <v>0.3</v>
      </c>
      <c r="R158" s="2">
        <f>Q158*R$155</f>
        <v>193810785.65302992</v>
      </c>
    </row>
    <row r="159" spans="1:18" x14ac:dyDescent="0.35">
      <c r="D159" s="2"/>
      <c r="E159" s="2"/>
      <c r="F159" s="152" t="s">
        <v>180</v>
      </c>
      <c r="G159" s="2">
        <f t="shared" si="36"/>
        <v>2.3256094454136178E-2</v>
      </c>
      <c r="I159" s="5" t="s">
        <v>6</v>
      </c>
      <c r="J159" s="150" t="s">
        <v>178</v>
      </c>
      <c r="K159" s="6">
        <f>'Feedstock MIX per IVC'!N33</f>
        <v>1.5057576120307243</v>
      </c>
      <c r="L159" s="2">
        <f t="shared" si="34"/>
        <v>6973287.1156679783</v>
      </c>
      <c r="M159" t="s">
        <v>213</v>
      </c>
      <c r="N159" s="34">
        <v>0.1</v>
      </c>
      <c r="O159" s="2">
        <f t="shared" si="35"/>
        <v>130133406.85424471</v>
      </c>
      <c r="P159" s="18" t="s">
        <v>219</v>
      </c>
      <c r="Q159" s="34">
        <v>0.3</v>
      </c>
      <c r="R159" s="2">
        <f>Q159*R$155</f>
        <v>193810785.65302992</v>
      </c>
    </row>
    <row r="160" spans="1:18" x14ac:dyDescent="0.35">
      <c r="D160" s="2"/>
      <c r="E160" s="2"/>
      <c r="F160" s="190" t="s">
        <v>77</v>
      </c>
      <c r="G160" s="2">
        <f t="shared" si="36"/>
        <v>8.4682197137340473E-2</v>
      </c>
      <c r="I160" s="5" t="s">
        <v>7</v>
      </c>
      <c r="J160" s="147" t="s">
        <v>179</v>
      </c>
      <c r="K160" s="6">
        <f>'Feedstock MIX per IVC'!N34</f>
        <v>12.978838343418538</v>
      </c>
      <c r="L160" s="2">
        <f t="shared" si="34"/>
        <v>60106065.859058924</v>
      </c>
      <c r="M160" t="s">
        <v>214</v>
      </c>
      <c r="N160" s="34">
        <v>0.3</v>
      </c>
      <c r="O160" s="2">
        <f t="shared" si="35"/>
        <v>390400220.56273413</v>
      </c>
      <c r="P160" s="18" t="s">
        <v>220</v>
      </c>
      <c r="Q160" s="223">
        <v>0</v>
      </c>
      <c r="R160" s="2">
        <f>Q160*R$155</f>
        <v>0</v>
      </c>
    </row>
    <row r="161" spans="1:19" x14ac:dyDescent="0.35">
      <c r="D161" s="2"/>
      <c r="E161" s="2"/>
      <c r="F161" s="150" t="s">
        <v>178</v>
      </c>
      <c r="G161" s="2">
        <f t="shared" si="36"/>
        <v>1.0722108968293242E-2</v>
      </c>
      <c r="I161" s="5" t="s">
        <v>8</v>
      </c>
      <c r="J161" s="147" t="s">
        <v>179</v>
      </c>
      <c r="K161" s="6">
        <f>'Feedstock MIX per IVC'!N35</f>
        <v>3.398304209947955</v>
      </c>
      <c r="L161" s="2">
        <f t="shared" si="34"/>
        <v>15737825.778208179</v>
      </c>
      <c r="M161" t="s">
        <v>216</v>
      </c>
      <c r="N161" s="34">
        <v>0.03</v>
      </c>
      <c r="O161" s="2">
        <f t="shared" si="35"/>
        <v>39040022.056273408</v>
      </c>
    </row>
    <row r="162" spans="1:19" x14ac:dyDescent="0.35">
      <c r="D162" s="2"/>
      <c r="E162" s="2"/>
      <c r="F162" s="151" t="s">
        <v>78</v>
      </c>
      <c r="G162" s="2">
        <f t="shared" si="36"/>
        <v>0</v>
      </c>
      <c r="I162" s="5" t="s">
        <v>9</v>
      </c>
      <c r="J162" s="171" t="s">
        <v>222</v>
      </c>
      <c r="K162" s="6">
        <f>'Feedstock MIX per IVC'!N36</f>
        <v>16.645841239613187</v>
      </c>
      <c r="L162" s="2">
        <f t="shared" si="34"/>
        <v>77088257.311948314</v>
      </c>
      <c r="M162" s="2"/>
    </row>
    <row r="163" spans="1:19" x14ac:dyDescent="0.35">
      <c r="D163" s="2"/>
      <c r="E163" s="2"/>
      <c r="F163" s="2"/>
      <c r="G163" s="2">
        <f>SUM(G156:G162)</f>
        <v>1</v>
      </c>
      <c r="I163" s="5" t="s">
        <v>10</v>
      </c>
      <c r="J163" s="149" t="s">
        <v>176</v>
      </c>
      <c r="K163" s="6">
        <f>'Feedstock MIX per IVC'!N37</f>
        <v>19.618731119828663</v>
      </c>
      <c r="L163" s="2">
        <f t="shared" si="34"/>
        <v>90855954.405006945</v>
      </c>
    </row>
    <row r="164" spans="1:19" s="31" customFormat="1" x14ac:dyDescent="0.35">
      <c r="I164" s="5" t="s">
        <v>11</v>
      </c>
      <c r="J164" s="152" t="s">
        <v>180</v>
      </c>
      <c r="K164" s="6">
        <f>'Feedstock MIX per IVC'!N38</f>
        <v>3.265965805232371</v>
      </c>
      <c r="L164" s="2">
        <f t="shared" si="34"/>
        <v>15124955.761720819</v>
      </c>
    </row>
    <row r="165" spans="1:19" x14ac:dyDescent="0.35">
      <c r="D165" s="2"/>
      <c r="E165" s="2"/>
      <c r="I165" s="13" t="s">
        <v>25</v>
      </c>
      <c r="J165" s="190" t="s">
        <v>77</v>
      </c>
      <c r="K165" s="6">
        <f>'Feedstock MIX per IVC'!N39</f>
        <v>11.892330447312565</v>
      </c>
      <c r="L165" s="2">
        <f t="shared" si="34"/>
        <v>55074358.595916294</v>
      </c>
    </row>
    <row r="166" spans="1:19" s="202" customFormat="1" x14ac:dyDescent="0.35">
      <c r="A166" s="202" t="s">
        <v>27</v>
      </c>
      <c r="B166" s="202">
        <v>935</v>
      </c>
      <c r="C166" s="202">
        <f>B166*F166</f>
        <v>11348125155.607542</v>
      </c>
      <c r="D166" s="202">
        <f>'[2]GAP analysis Sc. 2'!$F$122+'[2]GAP analysis Sc. 2'!$H$130</f>
        <v>5.7977607012451866</v>
      </c>
      <c r="E166" s="202">
        <f>'[1]Conversion factors selected IV '!$O$49</f>
        <v>2.0934000000000004</v>
      </c>
      <c r="F166" s="202">
        <f>D166*E166*1000000</f>
        <v>12137032.251986677</v>
      </c>
      <c r="G166" s="202">
        <f>'LCoP 2040 high'!E11</f>
        <v>936</v>
      </c>
      <c r="H166" s="202">
        <f>G166*F166</f>
        <v>11360262187.859529</v>
      </c>
      <c r="I166" s="202">
        <f>'LCoP 2040 high'!H11</f>
        <v>0.45931903197595364</v>
      </c>
      <c r="L166" s="202">
        <f>I166*H166</f>
        <v>5217984631.1206684</v>
      </c>
      <c r="M166" s="202">
        <f>'LCoP 2040 high'!F11</f>
        <v>0.27034048401202315</v>
      </c>
      <c r="O166" s="202">
        <f>'LCoP 2040 high'!M11</f>
        <v>0</v>
      </c>
      <c r="P166" s="253">
        <f>'LCoP 2040 high'!G11</f>
        <v>0.27034048401202315</v>
      </c>
      <c r="R166" s="202">
        <f>P166*H166</f>
        <v>3071138778.3694301</v>
      </c>
      <c r="S166" s="202">
        <f>I166+M166+P166</f>
        <v>1</v>
      </c>
    </row>
    <row r="167" spans="1:19" x14ac:dyDescent="0.35">
      <c r="C167">
        <f>C166/$C$154</f>
        <v>0.61836434601370194</v>
      </c>
      <c r="F167" s="151" t="s">
        <v>79</v>
      </c>
      <c r="G167">
        <v>1</v>
      </c>
      <c r="I167" s="13" t="s">
        <v>28</v>
      </c>
      <c r="J167" s="151" t="s">
        <v>79</v>
      </c>
      <c r="L167" s="2">
        <f>L166</f>
        <v>5217984631.1206684</v>
      </c>
      <c r="M167" s="5" t="s">
        <v>211</v>
      </c>
      <c r="N167" s="34">
        <v>0</v>
      </c>
      <c r="O167" s="2">
        <f t="shared" ref="O167:O172" si="37">N167*O$166</f>
        <v>0</v>
      </c>
      <c r="P167" s="18" t="s">
        <v>217</v>
      </c>
      <c r="Q167" s="34">
        <v>0.25</v>
      </c>
      <c r="R167" s="2">
        <f t="shared" ref="R167:R172" si="38">Q167*R$166</f>
        <v>767784694.59235752</v>
      </c>
    </row>
    <row r="168" spans="1:19" x14ac:dyDescent="0.35">
      <c r="M168" t="s">
        <v>212</v>
      </c>
      <c r="N168" s="34">
        <v>0.02</v>
      </c>
      <c r="O168" s="2">
        <f t="shared" si="37"/>
        <v>0</v>
      </c>
      <c r="P168" s="18" t="s">
        <v>177</v>
      </c>
      <c r="Q168" s="34">
        <v>0.15</v>
      </c>
      <c r="R168" s="2">
        <f t="shared" si="38"/>
        <v>460670816.75541449</v>
      </c>
    </row>
    <row r="169" spans="1:19" x14ac:dyDescent="0.35">
      <c r="M169" s="5" t="s">
        <v>210</v>
      </c>
      <c r="N169" s="34">
        <v>0.55000000000000004</v>
      </c>
      <c r="O169" s="2">
        <f t="shared" si="37"/>
        <v>0</v>
      </c>
      <c r="P169" s="18" t="s">
        <v>218</v>
      </c>
      <c r="Q169" s="34">
        <v>0.3</v>
      </c>
      <c r="R169" s="2">
        <f t="shared" si="38"/>
        <v>921341633.51082897</v>
      </c>
    </row>
    <row r="170" spans="1:19" x14ac:dyDescent="0.35">
      <c r="M170" t="s">
        <v>213</v>
      </c>
      <c r="N170" s="34">
        <v>0.1</v>
      </c>
      <c r="O170" s="2">
        <f t="shared" si="37"/>
        <v>0</v>
      </c>
      <c r="P170" s="18" t="s">
        <v>219</v>
      </c>
      <c r="Q170" s="34">
        <v>0.3</v>
      </c>
      <c r="R170" s="2">
        <f t="shared" si="38"/>
        <v>921341633.51082897</v>
      </c>
    </row>
    <row r="171" spans="1:19" x14ac:dyDescent="0.35">
      <c r="M171" t="s">
        <v>214</v>
      </c>
      <c r="N171" s="34">
        <v>0.3</v>
      </c>
      <c r="O171" s="2">
        <f t="shared" si="37"/>
        <v>0</v>
      </c>
      <c r="P171" s="18" t="s">
        <v>220</v>
      </c>
      <c r="Q171" s="223">
        <v>0</v>
      </c>
      <c r="R171" s="2">
        <f t="shared" si="38"/>
        <v>0</v>
      </c>
    </row>
    <row r="172" spans="1:19" x14ac:dyDescent="0.35">
      <c r="M172" t="s">
        <v>216</v>
      </c>
      <c r="N172" s="34">
        <v>0.03</v>
      </c>
      <c r="O172" s="2">
        <f t="shared" si="37"/>
        <v>0</v>
      </c>
      <c r="R172" s="2">
        <f t="shared" si="38"/>
        <v>0</v>
      </c>
    </row>
    <row r="174" spans="1:19" ht="20.5" customHeight="1" x14ac:dyDescent="0.35">
      <c r="A174" s="201" t="s">
        <v>342</v>
      </c>
      <c r="B174" s="201">
        <v>1150</v>
      </c>
      <c r="C174" s="202">
        <f>B174*F174</f>
        <v>2673655699.1937795</v>
      </c>
      <c r="D174" s="208">
        <f>'[2]GAP analysis Sc. 2'!$F$119</f>
        <v>2.3249179992989384</v>
      </c>
      <c r="E174" s="208">
        <f>'[1]Conversion factors selected IV '!$O$125</f>
        <v>1</v>
      </c>
      <c r="F174" s="202">
        <f>D174*E174*1000000</f>
        <v>2324917.9992989386</v>
      </c>
      <c r="G174" s="208">
        <f>'LCoP 2040 high'!E22</f>
        <v>2010.7628322856071</v>
      </c>
      <c r="H174" s="203">
        <f>G174*F174</f>
        <v>4674858701.1021214</v>
      </c>
      <c r="I174" s="208">
        <f>'LCoP 2040 high'!H22</f>
        <v>0.3447138673722781</v>
      </c>
      <c r="J174" s="201"/>
      <c r="K174" s="201"/>
      <c r="L174" s="202">
        <f>I174*H174</f>
        <v>1611488622.275857</v>
      </c>
      <c r="M174" s="208">
        <f>'LCoP 2040 high'!F22</f>
        <v>0.34066673055686519</v>
      </c>
      <c r="N174" s="267">
        <f>SUM(N175:N180)</f>
        <v>1</v>
      </c>
      <c r="O174" s="202">
        <f>M174*H174</f>
        <v>1592568829.5197732</v>
      </c>
      <c r="P174" s="208">
        <f>'LCoP 2040 high'!G22</f>
        <v>0.3146194020708567</v>
      </c>
      <c r="Q174" s="201"/>
      <c r="R174" s="202">
        <f>P174*H174</f>
        <v>1470801249.3064911</v>
      </c>
      <c r="S174" s="203">
        <f>R174+O174+L174</f>
        <v>4674858701.1021214</v>
      </c>
    </row>
    <row r="175" spans="1:19" x14ac:dyDescent="0.35">
      <c r="C175">
        <f>C174/$C$154</f>
        <v>0.1456886785462366</v>
      </c>
      <c r="D175" s="6"/>
      <c r="E175" s="6"/>
      <c r="F175" s="147" t="s">
        <v>179</v>
      </c>
      <c r="G175" s="2">
        <f>SUMIF($J$175:$J$182,F175,$L$175:$L$182)/$L$174</f>
        <v>0.69024092690197614</v>
      </c>
      <c r="H175" s="192" t="s">
        <v>254</v>
      </c>
      <c r="I175" s="5" t="s">
        <v>4</v>
      </c>
      <c r="J175" s="147" t="s">
        <v>179</v>
      </c>
      <c r="K175" s="31">
        <f>'Feedstock MIX per IVC'!N111</f>
        <v>364.56177999527171</v>
      </c>
      <c r="L175" s="2">
        <f t="shared" ref="L175:L182" si="39">K175*F$174</f>
        <v>847576244.16746688</v>
      </c>
      <c r="M175" s="5" t="s">
        <v>211</v>
      </c>
      <c r="N175" s="167">
        <v>0.15</v>
      </c>
      <c r="O175" s="2">
        <f t="shared" ref="O175:O180" si="40">N175*O$174</f>
        <v>238885324.42796597</v>
      </c>
      <c r="P175" s="18" t="s">
        <v>217</v>
      </c>
      <c r="Q175" s="118">
        <v>0.15</v>
      </c>
      <c r="R175" s="2">
        <f>Q175*R$174</f>
        <v>220620187.39597365</v>
      </c>
    </row>
    <row r="176" spans="1:19" x14ac:dyDescent="0.35">
      <c r="D176" s="6"/>
      <c r="E176" s="6"/>
      <c r="F176" s="171" t="s">
        <v>222</v>
      </c>
      <c r="G176" s="2">
        <f>SUMIF($J$175:$J$182,F176,$L$175:$L$182)/$L$174</f>
        <v>0.12503848715005103</v>
      </c>
      <c r="H176" s="192" t="s">
        <v>254</v>
      </c>
      <c r="I176" s="5" t="s">
        <v>5</v>
      </c>
      <c r="J176" s="147" t="s">
        <v>179</v>
      </c>
      <c r="K176" s="31">
        <f>'Feedstock MIX per IVC'!N112</f>
        <v>16.812071357056464</v>
      </c>
      <c r="L176" s="2">
        <f t="shared" si="39"/>
        <v>39086687.303518705</v>
      </c>
      <c r="M176" t="s">
        <v>212</v>
      </c>
      <c r="N176" s="34">
        <v>0.02</v>
      </c>
      <c r="O176" s="2">
        <f t="shared" si="40"/>
        <v>31851376.590395465</v>
      </c>
      <c r="P176" s="18" t="s">
        <v>177</v>
      </c>
      <c r="Q176" s="118">
        <v>0.25</v>
      </c>
      <c r="R176" s="2">
        <f>Q176*R$174</f>
        <v>367700312.32662278</v>
      </c>
    </row>
    <row r="177" spans="4:19" x14ac:dyDescent="0.35">
      <c r="D177" s="6"/>
      <c r="E177" s="6"/>
      <c r="F177" s="149" t="s">
        <v>176</v>
      </c>
      <c r="G177" s="2">
        <f>SUMIF($J$175:$J$182,F177,$L$175:$L$182)/$L$174</f>
        <v>0.1517905324529773</v>
      </c>
      <c r="H177" s="192" t="s">
        <v>254</v>
      </c>
      <c r="I177" s="5" t="s">
        <v>6</v>
      </c>
      <c r="J177" s="150" t="s">
        <v>178</v>
      </c>
      <c r="K177" s="31">
        <f>'Feedstock MIX per IVC'!N113</f>
        <v>8.0695561672370868</v>
      </c>
      <c r="L177" s="2">
        <f t="shared" si="39"/>
        <v>18761056.379563257</v>
      </c>
      <c r="M177" s="5" t="s">
        <v>210</v>
      </c>
      <c r="N177" s="167">
        <v>0.45</v>
      </c>
      <c r="O177" s="2">
        <f t="shared" si="40"/>
        <v>716655973.283898</v>
      </c>
      <c r="P177" s="18" t="s">
        <v>218</v>
      </c>
      <c r="Q177" s="118">
        <v>0.2</v>
      </c>
      <c r="R177" s="2">
        <f>Q177*R$174</f>
        <v>294160249.86129826</v>
      </c>
      <c r="S177" s="2"/>
    </row>
    <row r="178" spans="4:19" x14ac:dyDescent="0.35">
      <c r="D178" s="6"/>
      <c r="E178" s="6"/>
      <c r="F178" s="150" t="s">
        <v>178</v>
      </c>
      <c r="G178" s="2">
        <f>SUMIF($J$175:$J$182,F178,$L$175:$L$182)/$L$174</f>
        <v>1.1642065677800182E-2</v>
      </c>
      <c r="H178" s="192" t="s">
        <v>254</v>
      </c>
      <c r="I178" s="5" t="s">
        <v>7</v>
      </c>
      <c r="J178" s="147" t="s">
        <v>179</v>
      </c>
      <c r="K178" s="31">
        <f>'Feedstock MIX per IVC'!N114</f>
        <v>78.789724886659172</v>
      </c>
      <c r="L178" s="2">
        <f t="shared" si="39"/>
        <v>183179649.54880545</v>
      </c>
      <c r="M178" t="s">
        <v>213</v>
      </c>
      <c r="N178" s="34">
        <v>0.1</v>
      </c>
      <c r="O178" s="2">
        <f t="shared" si="40"/>
        <v>159256882.95197734</v>
      </c>
      <c r="P178" s="18" t="s">
        <v>219</v>
      </c>
      <c r="Q178" s="118">
        <v>0.3</v>
      </c>
      <c r="R178" s="2">
        <f>Q178*R$174</f>
        <v>441240374.79194731</v>
      </c>
    </row>
    <row r="179" spans="4:19" x14ac:dyDescent="0.35">
      <c r="D179" s="6"/>
      <c r="E179" s="6"/>
      <c r="F179" s="152" t="s">
        <v>180</v>
      </c>
      <c r="G179" s="2">
        <f>SUMIF($J$175:$J$182,F179,$L$175:$L$182)/$L$174</f>
        <v>2.1287987817195226E-2</v>
      </c>
      <c r="H179" s="192" t="s">
        <v>254</v>
      </c>
      <c r="I179" s="5" t="s">
        <v>8</v>
      </c>
      <c r="J179" s="147" t="s">
        <v>179</v>
      </c>
      <c r="K179" s="31">
        <f>'Feedstock MIX per IVC'!N115</f>
        <v>18.268523588656635</v>
      </c>
      <c r="L179" s="2">
        <f t="shared" si="39"/>
        <v>42472819.311885051</v>
      </c>
      <c r="M179" t="s">
        <v>214</v>
      </c>
      <c r="N179" s="34">
        <v>0.25</v>
      </c>
      <c r="O179" s="2">
        <f t="shared" si="40"/>
        <v>398142207.37994331</v>
      </c>
      <c r="P179" s="18" t="s">
        <v>220</v>
      </c>
      <c r="Q179" s="118">
        <v>0.1</v>
      </c>
      <c r="R179" s="2">
        <f>Q179*R$174</f>
        <v>147080124.93064913</v>
      </c>
    </row>
    <row r="180" spans="4:19" x14ac:dyDescent="0.35">
      <c r="D180" s="6"/>
      <c r="E180" s="6"/>
      <c r="F180" s="31"/>
      <c r="G180" s="6">
        <f>SUM(G175:G179)</f>
        <v>0.99999999999999989</v>
      </c>
      <c r="H180" s="192" t="s">
        <v>254</v>
      </c>
      <c r="I180" s="5" t="s">
        <v>9</v>
      </c>
      <c r="J180" s="171" t="s">
        <v>222</v>
      </c>
      <c r="K180" s="31">
        <f>'Feedstock MIX per IVC'!N116</f>
        <v>86.668905935458113</v>
      </c>
      <c r="L180" s="2">
        <f t="shared" si="39"/>
        <v>201498099.38889319</v>
      </c>
      <c r="M180" t="s">
        <v>216</v>
      </c>
      <c r="N180" s="34">
        <v>0.03</v>
      </c>
      <c r="O180" s="2">
        <f t="shared" si="40"/>
        <v>47777064.885593198</v>
      </c>
      <c r="Q180" s="34">
        <f>SUM(Q175:Q179)</f>
        <v>1.0000000000000002</v>
      </c>
      <c r="R180" s="2"/>
    </row>
    <row r="181" spans="4:19" x14ac:dyDescent="0.35">
      <c r="D181" s="6"/>
      <c r="E181" s="6"/>
      <c r="F181" s="31"/>
      <c r="G181" s="6"/>
      <c r="H181" s="192" t="s">
        <v>254</v>
      </c>
      <c r="I181" s="5" t="s">
        <v>10</v>
      </c>
      <c r="J181" s="149" t="s">
        <v>176</v>
      </c>
      <c r="K181" s="31">
        <f>'Feedstock MIX per IVC'!N117</f>
        <v>105.21176062593479</v>
      </c>
      <c r="L181" s="2">
        <f t="shared" si="39"/>
        <v>244608716.01716715</v>
      </c>
    </row>
    <row r="182" spans="4:19" x14ac:dyDescent="0.35">
      <c r="D182" s="6"/>
      <c r="E182" s="6"/>
      <c r="F182" s="31"/>
      <c r="G182" s="31"/>
      <c r="H182" s="192" t="s">
        <v>254</v>
      </c>
      <c r="I182" s="5" t="s">
        <v>11</v>
      </c>
      <c r="J182" s="152" t="s">
        <v>180</v>
      </c>
      <c r="K182" s="31">
        <f>'Feedstock MIX per IVC'!N118</f>
        <v>14.755509729333113</v>
      </c>
      <c r="L182" s="2">
        <f t="shared" si="39"/>
        <v>34305350.158557162</v>
      </c>
    </row>
    <row r="197" spans="1:19" x14ac:dyDescent="0.35">
      <c r="A197" s="229" t="s">
        <v>350</v>
      </c>
      <c r="B197" s="229"/>
      <c r="C197" s="229"/>
      <c r="D197" s="190"/>
      <c r="E197" s="190"/>
      <c r="F197" s="198"/>
      <c r="G197" s="190"/>
      <c r="H197" s="190"/>
      <c r="I197" s="190"/>
      <c r="J197" s="190"/>
      <c r="K197" s="190"/>
      <c r="L197" s="190"/>
      <c r="M197" s="190"/>
      <c r="N197" s="190"/>
      <c r="O197" s="190"/>
      <c r="P197" s="190"/>
      <c r="Q197" s="190"/>
      <c r="R197" s="190"/>
      <c r="S197" s="190"/>
    </row>
    <row r="198" spans="1:19" x14ac:dyDescent="0.35">
      <c r="B198" s="2">
        <f>C198/1000000</f>
        <v>17244.43502422329</v>
      </c>
      <c r="C198" s="2">
        <f>C199+C206</f>
        <v>17244435024.223289</v>
      </c>
      <c r="D198" s="2">
        <f>D199+D206</f>
        <v>13.11845395284732</v>
      </c>
      <c r="F198" s="2">
        <f>F199+F206</f>
        <v>15562260.393209677</v>
      </c>
      <c r="L198" s="2">
        <f>L199+L206</f>
        <v>15671145662.845963</v>
      </c>
      <c r="O198" s="2">
        <f>O199+O206</f>
        <v>1449561285.1089201</v>
      </c>
      <c r="R198" s="2">
        <f>R199+R206</f>
        <v>1063407170.688664</v>
      </c>
      <c r="S198" s="2">
        <f>SUM(S199,S206)</f>
        <v>18184114118.643547</v>
      </c>
    </row>
    <row r="199" spans="1:19" x14ac:dyDescent="0.35">
      <c r="A199" s="202" t="s">
        <v>351</v>
      </c>
      <c r="B199" s="202">
        <v>935</v>
      </c>
      <c r="C199" s="202">
        <f>B199*F199</f>
        <v>7142979187.0773821</v>
      </c>
      <c r="D199" s="284">
        <f>'[2]GAP analysis Sc. 2'!$F$134+'[2]GAP analysis Sc. 2'!$F$126</f>
        <v>3.6493503070139872</v>
      </c>
      <c r="E199" s="202">
        <f>'[1]Conversion factors selected IV '!$O$50</f>
        <v>2.0934000000000004</v>
      </c>
      <c r="F199" s="202">
        <f>D199*E199*1000000</f>
        <v>7639549.9327030824</v>
      </c>
      <c r="G199" s="202">
        <f>'LCoP 2030 HIGH'!E12</f>
        <v>370.61968567880001</v>
      </c>
      <c r="H199" s="202">
        <f>G199*F199</f>
        <v>2831367594.7859144</v>
      </c>
      <c r="I199" s="209">
        <f>'LCoP 2030 HIGH'!H12</f>
        <v>0.78751803251959696</v>
      </c>
      <c r="J199" s="202"/>
      <c r="K199" s="202"/>
      <c r="L199" s="202">
        <f>I199*H199</f>
        <v>2229753037.585547</v>
      </c>
      <c r="M199" s="209">
        <f>'LCoP 2030 HIGH'!F12</f>
        <v>0.1537964717001013</v>
      </c>
      <c r="N199" s="202"/>
      <c r="O199" s="202">
        <f>M199*H199</f>
        <v>435454346.16407579</v>
      </c>
      <c r="P199" s="209">
        <f>'LCoP 2030 HIGH'!G12</f>
        <v>5.8685495780301807E-2</v>
      </c>
      <c r="Q199" s="202"/>
      <c r="R199" s="202">
        <f>P199*H199</f>
        <v>166160211.03629205</v>
      </c>
      <c r="S199" s="202">
        <f>L199+O199+R199</f>
        <v>2831367594.7859149</v>
      </c>
    </row>
    <row r="200" spans="1:19" x14ac:dyDescent="0.35">
      <c r="E200" s="1"/>
      <c r="F200" s="242" t="s">
        <v>177</v>
      </c>
      <c r="G200">
        <v>1</v>
      </c>
      <c r="I200" s="15" t="s">
        <v>30</v>
      </c>
      <c r="J200" s="242" t="s">
        <v>177</v>
      </c>
      <c r="L200" s="2">
        <f>L199</f>
        <v>2229753037.585547</v>
      </c>
      <c r="M200" s="5" t="s">
        <v>211</v>
      </c>
      <c r="N200" s="34">
        <v>0.2</v>
      </c>
      <c r="O200" s="2">
        <f t="shared" ref="O200:O205" si="41">N200*$O$199</f>
        <v>87090869.232815161</v>
      </c>
      <c r="P200" s="18" t="s">
        <v>217</v>
      </c>
      <c r="Q200" s="34">
        <v>0.35</v>
      </c>
      <c r="R200" s="2">
        <f>Q200*$R$199</f>
        <v>58156073.862702213</v>
      </c>
    </row>
    <row r="201" spans="1:19" x14ac:dyDescent="0.35">
      <c r="E201" s="1"/>
      <c r="M201" t="s">
        <v>212</v>
      </c>
      <c r="N201" s="34">
        <v>7.0000000000000007E-2</v>
      </c>
      <c r="O201" s="2">
        <f t="shared" si="41"/>
        <v>30481804.231485307</v>
      </c>
      <c r="P201" s="18" t="s">
        <v>177</v>
      </c>
      <c r="Q201" s="34">
        <v>0.15</v>
      </c>
      <c r="R201" s="2">
        <f>Q201*$R$199</f>
        <v>24924031.655443806</v>
      </c>
    </row>
    <row r="202" spans="1:19" x14ac:dyDescent="0.35">
      <c r="E202" s="1"/>
      <c r="M202" s="5" t="s">
        <v>210</v>
      </c>
      <c r="N202" s="34">
        <v>0.4</v>
      </c>
      <c r="O202" s="2">
        <f t="shared" si="41"/>
        <v>174181738.46563032</v>
      </c>
      <c r="P202" s="18" t="s">
        <v>218</v>
      </c>
      <c r="Q202" s="34">
        <v>0.12</v>
      </c>
      <c r="R202" s="2">
        <f>Q202*$R$199</f>
        <v>19939225.324355043</v>
      </c>
    </row>
    <row r="203" spans="1:19" x14ac:dyDescent="0.35">
      <c r="E203" s="1"/>
      <c r="M203" t="s">
        <v>213</v>
      </c>
      <c r="N203" s="34">
        <v>0.15</v>
      </c>
      <c r="O203" s="2">
        <f t="shared" si="41"/>
        <v>65318151.924611367</v>
      </c>
      <c r="P203" s="18" t="s">
        <v>219</v>
      </c>
      <c r="Q203" s="34">
        <v>0.3</v>
      </c>
      <c r="R203" s="2">
        <f>Q203*$R$199</f>
        <v>49848063.310887612</v>
      </c>
    </row>
    <row r="204" spans="1:19" x14ac:dyDescent="0.35">
      <c r="E204" s="1"/>
      <c r="M204" t="s">
        <v>214</v>
      </c>
      <c r="N204" s="34">
        <v>0.15</v>
      </c>
      <c r="O204" s="2">
        <f t="shared" si="41"/>
        <v>65318151.924611367</v>
      </c>
      <c r="P204" s="18" t="s">
        <v>220</v>
      </c>
      <c r="Q204" s="34">
        <v>0.08</v>
      </c>
      <c r="R204" s="2">
        <f>Q204*$R$199</f>
        <v>13292816.882903364</v>
      </c>
    </row>
    <row r="205" spans="1:19" x14ac:dyDescent="0.35">
      <c r="E205" s="1"/>
      <c r="M205" t="s">
        <v>216</v>
      </c>
      <c r="N205" s="34">
        <v>0.03</v>
      </c>
      <c r="O205" s="2">
        <f t="shared" si="41"/>
        <v>13063630.384922273</v>
      </c>
      <c r="Q205" s="34">
        <f>SUM(Q200:Q204)</f>
        <v>0.99999999999999989</v>
      </c>
    </row>
    <row r="206" spans="1:19" x14ac:dyDescent="0.35">
      <c r="A206" s="202" t="s">
        <v>352</v>
      </c>
      <c r="B206" s="202">
        <v>1275</v>
      </c>
      <c r="C206" s="202">
        <f>B206*F206</f>
        <v>10101455837.145908</v>
      </c>
      <c r="D206" s="284">
        <f>'[2]GAP analysis Sc. 2'!$F$116</f>
        <v>9.4691036458333322</v>
      </c>
      <c r="E206" s="202">
        <f>'[1]Conversion factors selected IV '!$O$62</f>
        <v>0.83669064748201449</v>
      </c>
      <c r="F206" s="202">
        <f>D206*E206*1000000</f>
        <v>7922710.4605065947</v>
      </c>
      <c r="G206" s="202">
        <f>'LCoP 2030 HIGH'!E14</f>
        <v>1937.8149183147032</v>
      </c>
      <c r="H206" s="202">
        <f>G206*F206</f>
        <v>15352746523.857632</v>
      </c>
      <c r="I206" s="209">
        <f>'LCoP 2030 HIGH'!H14</f>
        <v>0.87550410634168685</v>
      </c>
      <c r="J206" s="202"/>
      <c r="K206" s="202"/>
      <c r="L206" s="202">
        <f>I206*H206</f>
        <v>13441392625.260416</v>
      </c>
      <c r="M206" s="209">
        <f>'LCoP 2030 HIGH'!F14</f>
        <v>6.6053779847726757E-2</v>
      </c>
      <c r="N206" s="202"/>
      <c r="O206" s="202">
        <f>M206*H206</f>
        <v>1014106938.9448442</v>
      </c>
      <c r="P206" s="209">
        <f>'LCoP 2030 HIGH'!G14</f>
        <v>5.8442113810586366E-2</v>
      </c>
      <c r="Q206" s="202"/>
      <c r="R206" s="202">
        <f>P206*H206</f>
        <v>897246959.65237188</v>
      </c>
      <c r="S206" s="202">
        <f>L206+O206+R206</f>
        <v>15352746523.857634</v>
      </c>
    </row>
    <row r="207" spans="1:19" x14ac:dyDescent="0.35">
      <c r="E207" s="1"/>
      <c r="F207" s="242" t="s">
        <v>177</v>
      </c>
      <c r="G207">
        <v>1</v>
      </c>
      <c r="I207" s="15" t="s">
        <v>30</v>
      </c>
      <c r="J207" s="242" t="s">
        <v>177</v>
      </c>
      <c r="L207" s="2">
        <f>L206</f>
        <v>13441392625.260416</v>
      </c>
      <c r="M207" s="5" t="s">
        <v>211</v>
      </c>
      <c r="N207" s="34">
        <v>0.2</v>
      </c>
      <c r="O207" s="2">
        <f t="shared" ref="O207:O212" si="42">N207*$O$206</f>
        <v>202821387.78896886</v>
      </c>
      <c r="P207" s="18" t="s">
        <v>217</v>
      </c>
      <c r="Q207" s="34">
        <v>0.35</v>
      </c>
      <c r="R207" s="2">
        <f>Q207*$R$206</f>
        <v>314036435.87833011</v>
      </c>
    </row>
    <row r="208" spans="1:19" x14ac:dyDescent="0.35">
      <c r="M208" t="s">
        <v>212</v>
      </c>
      <c r="N208" s="34">
        <v>7.0000000000000007E-2</v>
      </c>
      <c r="O208" s="2">
        <f t="shared" si="42"/>
        <v>70987485.726139098</v>
      </c>
      <c r="P208" s="18" t="s">
        <v>177</v>
      </c>
      <c r="Q208" s="34">
        <v>0.15</v>
      </c>
      <c r="R208" s="2">
        <f>Q208*$R$206</f>
        <v>134587043.94785577</v>
      </c>
    </row>
    <row r="209" spans="1:19" x14ac:dyDescent="0.35">
      <c r="M209" s="5" t="s">
        <v>210</v>
      </c>
      <c r="N209" s="34">
        <v>0.4</v>
      </c>
      <c r="O209" s="2">
        <f t="shared" si="42"/>
        <v>405642775.57793772</v>
      </c>
      <c r="P209" s="18" t="s">
        <v>218</v>
      </c>
      <c r="Q209" s="34">
        <v>0.12</v>
      </c>
      <c r="R209" s="2">
        <f>Q209*$R$206</f>
        <v>107669635.15828462</v>
      </c>
    </row>
    <row r="210" spans="1:19" x14ac:dyDescent="0.35">
      <c r="M210" t="s">
        <v>213</v>
      </c>
      <c r="N210" s="34">
        <v>0.15</v>
      </c>
      <c r="O210" s="2">
        <f t="shared" si="42"/>
        <v>152116040.84172663</v>
      </c>
      <c r="P210" s="18" t="s">
        <v>219</v>
      </c>
      <c r="Q210" s="34">
        <v>0.3</v>
      </c>
      <c r="R210" s="2">
        <f>Q210*$R$206</f>
        <v>269174087.89571154</v>
      </c>
    </row>
    <row r="211" spans="1:19" x14ac:dyDescent="0.35">
      <c r="M211" t="s">
        <v>214</v>
      </c>
      <c r="N211" s="34">
        <v>0.15</v>
      </c>
      <c r="O211" s="2">
        <f t="shared" si="42"/>
        <v>152116040.84172663</v>
      </c>
      <c r="P211" s="18" t="s">
        <v>220</v>
      </c>
      <c r="Q211" s="34">
        <v>0.08</v>
      </c>
      <c r="R211" s="2">
        <f>Q211*$R$206</f>
        <v>71779756.772189751</v>
      </c>
    </row>
    <row r="212" spans="1:19" x14ac:dyDescent="0.35">
      <c r="M212" t="s">
        <v>216</v>
      </c>
      <c r="N212" s="34">
        <v>0.03</v>
      </c>
      <c r="O212" s="2">
        <f t="shared" si="42"/>
        <v>30423208.168345325</v>
      </c>
      <c r="Q212" s="34">
        <f>SUM(Q207:Q211)</f>
        <v>0.99999999999999989</v>
      </c>
    </row>
    <row r="213" spans="1:19" x14ac:dyDescent="0.35">
      <c r="O213" s="2">
        <f>SUM(O207:O212)</f>
        <v>1014106938.9448444</v>
      </c>
      <c r="R213" s="2">
        <f>SUM(R207:R212)</f>
        <v>897246959.65237176</v>
      </c>
    </row>
    <row r="215" spans="1:19" s="190" customFormat="1" ht="32.5" customHeight="1" x14ac:dyDescent="0.35">
      <c r="A215" s="229" t="s">
        <v>323</v>
      </c>
      <c r="B215" s="229"/>
      <c r="C215" s="229"/>
      <c r="F215" s="198"/>
    </row>
    <row r="216" spans="1:19" x14ac:dyDescent="0.35">
      <c r="C216" s="2">
        <f>C218+C250+C259</f>
        <v>17898140593.51683</v>
      </c>
      <c r="D216" s="2">
        <f>D218+D250+D259</f>
        <v>13.0478094340335</v>
      </c>
      <c r="E216" s="2">
        <f>E218+E250+E259</f>
        <v>6.8484602784602782</v>
      </c>
      <c r="F216" s="2">
        <f>F218+F250+F259</f>
        <v>14032782.985468024</v>
      </c>
    </row>
    <row r="217" spans="1:19" s="151" customFormat="1" ht="29.5" customHeight="1" x14ac:dyDescent="0.35">
      <c r="A217" s="151" t="s">
        <v>224</v>
      </c>
      <c r="F217" s="230"/>
    </row>
    <row r="218" spans="1:19" ht="17.5" customHeight="1" x14ac:dyDescent="0.35">
      <c r="C218" s="2">
        <f>C219+C227+C234+C241</f>
        <v>14434387717.499031</v>
      </c>
      <c r="D218" s="2">
        <f>'[2]GAP analysis Sc. 2'!$H$104</f>
        <v>11.314412334023228</v>
      </c>
      <c r="E218" s="2">
        <f>E219+E227+E234+E241</f>
        <v>4.3462481572481568</v>
      </c>
      <c r="F218" s="2">
        <f>F219+F227+F234+F241</f>
        <v>12383376.854030978</v>
      </c>
    </row>
    <row r="219" spans="1:19" s="114" customFormat="1" x14ac:dyDescent="0.35">
      <c r="A219" s="114" t="s">
        <v>266</v>
      </c>
      <c r="B219" s="114">
        <v>1165.6261363636399</v>
      </c>
      <c r="C219" s="114">
        <f>B219*F219</f>
        <v>2179137518.5968876</v>
      </c>
      <c r="D219" s="114">
        <f>'[2]GAP analysis Sc. 2'!$L$20</f>
        <v>1.6521324819226708</v>
      </c>
      <c r="E219" s="114">
        <f>'[1]Conversion factors selected IV '!$O$4</f>
        <v>1.1315675675675676</v>
      </c>
      <c r="F219" s="114">
        <f>D219*E219*1000000</f>
        <v>1869499.5338686048</v>
      </c>
      <c r="G219" s="301">
        <f>'LCoP CONVENTIONAL'!$B$3</f>
        <v>800</v>
      </c>
      <c r="H219" s="114">
        <f>G219*F219</f>
        <v>1495599627.0948839</v>
      </c>
      <c r="I219" s="308">
        <f>'LCoP CONVENTIONAL'!$C$3</f>
        <v>0.75</v>
      </c>
      <c r="K219" s="114">
        <f>I219*G219</f>
        <v>600</v>
      </c>
      <c r="L219" s="114">
        <f>I219*H219</f>
        <v>1121699720.3211629</v>
      </c>
      <c r="M219" s="309">
        <f>'LCoP CONVENTIONAL'!$F$3</f>
        <v>6.5000000000000002E-2</v>
      </c>
      <c r="O219" s="114">
        <f>M219*H219</f>
        <v>97213975.761167452</v>
      </c>
      <c r="P219" s="309">
        <f>'LCoP CONVENTIONAL'!$I$3</f>
        <v>0.185</v>
      </c>
      <c r="R219" s="114">
        <f>P219*H219</f>
        <v>276685931.01255351</v>
      </c>
      <c r="S219" s="114">
        <f>SUM(L219,O219,R219)</f>
        <v>1495599627.0948839</v>
      </c>
    </row>
    <row r="220" spans="1:19" x14ac:dyDescent="0.35">
      <c r="C220">
        <f>C219/$C$218</f>
        <v>0.15096847620042003</v>
      </c>
      <c r="D220" s="2"/>
      <c r="H220" s="192" t="s">
        <v>254</v>
      </c>
      <c r="I220" s="18" t="s">
        <v>225</v>
      </c>
      <c r="J220" s="154" t="s">
        <v>178</v>
      </c>
      <c r="K220" s="107">
        <f>'Feedtstocks only CONVENTIONAL'!$J$4</f>
        <v>0.76052615016678204</v>
      </c>
      <c r="L220" s="2">
        <f>K220*$L$219</f>
        <v>853081969.93901014</v>
      </c>
      <c r="M220" t="str">
        <f>'LCoP CONVENTIONAL'!$F$4</f>
        <v>Machinery and equipment</v>
      </c>
      <c r="N220" s="59">
        <f>'LCoP CONVENTIONAL'!$G$4</f>
        <v>0.45</v>
      </c>
      <c r="O220" s="2">
        <f>N220*$O$219</f>
        <v>43746289.092525356</v>
      </c>
      <c r="P220" t="str">
        <f>'LCoP CONVENTIONAL'!$I$4</f>
        <v>Chemical and chemical products</v>
      </c>
      <c r="Q220" s="59">
        <f>'LCoP CONVENTIONAL'!$J$4</f>
        <v>0.3</v>
      </c>
      <c r="R220" s="2">
        <f t="shared" ref="R220:R225" si="43">Q220*$R$219</f>
        <v>83005779.303766057</v>
      </c>
    </row>
    <row r="221" spans="1:19" x14ac:dyDescent="0.35">
      <c r="D221" s="2"/>
      <c r="H221" s="191" t="s">
        <v>252</v>
      </c>
      <c r="I221" s="18" t="s">
        <v>226</v>
      </c>
      <c r="J221" s="154" t="s">
        <v>178</v>
      </c>
      <c r="K221" s="107">
        <f>'Feedtstocks only CONVENTIONAL'!$J$5</f>
        <v>0.16011076845616465</v>
      </c>
      <c r="L221" s="2">
        <f>K221*$L$219</f>
        <v>179596204.19768637</v>
      </c>
      <c r="M221" t="str">
        <f>'LCoP CONVENTIONAL'!$F$5</f>
        <v>Architectural and engineering services</v>
      </c>
      <c r="N221" s="59">
        <f>'LCoP CONVENTIONAL'!$G$5</f>
        <v>0.3</v>
      </c>
      <c r="O221" s="2">
        <f>N221*$O$219</f>
        <v>29164192.728350233</v>
      </c>
      <c r="P221" t="str">
        <f>'LCoP CONVENTIONAL'!$I$5</f>
        <v>Electricity, gas, steam &amp; AC</v>
      </c>
      <c r="Q221" s="59">
        <f>'LCoP CONVENTIONAL'!$J$5</f>
        <v>0.2</v>
      </c>
      <c r="R221" s="2">
        <f t="shared" si="43"/>
        <v>55337186.202510707</v>
      </c>
    </row>
    <row r="222" spans="1:19" x14ac:dyDescent="0.35">
      <c r="D222" s="2"/>
      <c r="H222" s="192" t="s">
        <v>254</v>
      </c>
      <c r="I222" s="18" t="s">
        <v>228</v>
      </c>
      <c r="J222" s="154" t="s">
        <v>178</v>
      </c>
      <c r="K222" s="107">
        <f>'Feedtstocks only CONVENTIONAL'!$J$6</f>
        <v>4.0027692114041162E-2</v>
      </c>
      <c r="L222" s="2">
        <f>K222*$L$219</f>
        <v>44899051.049421594</v>
      </c>
      <c r="M222" t="str">
        <f>'LCoP CONVENTIONAL'!$F$6</f>
        <v>Constructions and construction works</v>
      </c>
      <c r="N222" s="59">
        <f>'LCoP CONVENTIONAL'!$G$6</f>
        <v>0.15</v>
      </c>
      <c r="O222" s="2">
        <f>N222*$O$219</f>
        <v>14582096.364175117</v>
      </c>
      <c r="P222" t="str">
        <f>'LCoP CONVENTIONAL'!$I$6</f>
        <v>Legal and accounting services; services of head offices; management consultancy services</v>
      </c>
      <c r="Q222" s="59">
        <f>'LCoP CONVENTIONAL'!$J$6</f>
        <v>0.25</v>
      </c>
      <c r="R222" s="2">
        <f t="shared" si="43"/>
        <v>69171482.753138378</v>
      </c>
    </row>
    <row r="223" spans="1:19" x14ac:dyDescent="0.35">
      <c r="D223" s="2"/>
      <c r="H223" s="191" t="s">
        <v>252</v>
      </c>
      <c r="I223" s="18" t="s">
        <v>227</v>
      </c>
      <c r="J223" s="154" t="s">
        <v>178</v>
      </c>
      <c r="K223" s="107">
        <f>'Feedtstocks only CONVENTIONAL'!$J$7</f>
        <v>3.9335389263012145E-2</v>
      </c>
      <c r="L223" s="2">
        <f>K223*$L$219</f>
        <v>44122495.135044798</v>
      </c>
      <c r="M223" t="str">
        <f>'LCoP CONVENTIONAL'!$F$7</f>
        <v>Fabricated metal products</v>
      </c>
      <c r="N223" s="59">
        <f>'LCoP CONVENTIONAL'!$G$7</f>
        <v>7.0000000000000007E-2</v>
      </c>
      <c r="O223" s="2">
        <f>N223*$O$219</f>
        <v>6804978.3032817226</v>
      </c>
      <c r="P223" t="str">
        <f>'LCoP CONVENTIONAL'!$I$7</f>
        <v>Repair and installation services</v>
      </c>
      <c r="Q223" s="59">
        <f>'LCoP CONVENTIONAL'!$J$7</f>
        <v>0.15</v>
      </c>
      <c r="R223" s="2">
        <f t="shared" si="43"/>
        <v>41502889.651883028</v>
      </c>
    </row>
    <row r="224" spans="1:19" x14ac:dyDescent="0.35">
      <c r="D224" s="2"/>
      <c r="L224" s="2">
        <f>SUM(L220:L223)</f>
        <v>1121699720.3211629</v>
      </c>
      <c r="M224" t="str">
        <f>'LCoP CONVENTIONAL'!$F$8</f>
        <v>Computer, electronic and optical products</v>
      </c>
      <c r="N224" s="59">
        <f>'LCoP CONVENTIONAL'!$G$8</f>
        <v>0.03</v>
      </c>
      <c r="O224" s="2">
        <f>N224*$O$219</f>
        <v>2916419.2728350232</v>
      </c>
      <c r="P224" s="102" t="str">
        <f>'LCoP CONVENTIONAL'!$I$8</f>
        <v>Land transport services and transport services via pipelines</v>
      </c>
      <c r="Q224" s="59">
        <f>'LCoP CONVENTIONAL'!$J$8</f>
        <v>0.1</v>
      </c>
      <c r="R224" s="2">
        <f t="shared" si="43"/>
        <v>27668593.101255354</v>
      </c>
    </row>
    <row r="225" spans="1:19" x14ac:dyDescent="0.35">
      <c r="D225" s="2"/>
      <c r="O225" s="2">
        <f>SUM(O220:O224)</f>
        <v>97213975.761167437</v>
      </c>
      <c r="P225" t="str">
        <f>'LCoP CONVENTIONAL'!$I$9</f>
        <v>Waste management services</v>
      </c>
      <c r="Q225" s="59">
        <f>'LCoP CONVENTIONAL'!$J$9</f>
        <v>0</v>
      </c>
      <c r="R225" s="2">
        <f t="shared" si="43"/>
        <v>0</v>
      </c>
    </row>
    <row r="226" spans="1:19" s="117" customFormat="1" x14ac:dyDescent="0.35"/>
    <row r="227" spans="1:19" s="114" customFormat="1" x14ac:dyDescent="0.35">
      <c r="A227" s="114" t="s">
        <v>330</v>
      </c>
      <c r="B227" s="114">
        <v>1165.6261363636399</v>
      </c>
      <c r="C227" s="114">
        <f>B227*F227</f>
        <v>2585503974.4569955</v>
      </c>
      <c r="D227" s="114">
        <f>'[2]GAP analysis Sc. 2'!$L$21</f>
        <v>2.3310757894760554</v>
      </c>
      <c r="E227" s="114">
        <f>'[1]Conversion factors selected IV '!$O$7</f>
        <v>0.95154545454545458</v>
      </c>
      <c r="F227" s="114">
        <f>D227*E227*1000000</f>
        <v>2218124.5716768974</v>
      </c>
      <c r="G227" s="301">
        <f>'LCoP CONVENTIONAL'!$B$24</f>
        <v>900</v>
      </c>
      <c r="H227" s="114">
        <f>G227*F227</f>
        <v>1996312114.5092077</v>
      </c>
      <c r="I227" s="308">
        <f>'LCoP CONVENTIONAL'!$C$24</f>
        <v>0.66666666666666663</v>
      </c>
      <c r="K227" s="114">
        <f>I227*G227</f>
        <v>600</v>
      </c>
      <c r="L227" s="114">
        <f>I227*H227</f>
        <v>1330874743.0061383</v>
      </c>
      <c r="M227" s="308">
        <f>'LCoP CONVENTIONAL'!$F$24</f>
        <v>0.1111111111111111</v>
      </c>
      <c r="O227" s="114">
        <f>M227*H227</f>
        <v>221812457.16768974</v>
      </c>
      <c r="P227" s="309">
        <f>'LCoP CONVENTIONAL'!$I$24</f>
        <v>0.22222222222222221</v>
      </c>
      <c r="R227" s="114">
        <f>P227*H227</f>
        <v>443624914.33537948</v>
      </c>
      <c r="S227" s="114">
        <f>SUM(L227,O227,R227)</f>
        <v>1996312114.5092077</v>
      </c>
    </row>
    <row r="228" spans="1:19" x14ac:dyDescent="0.35">
      <c r="C228">
        <f>C227/$C$218</f>
        <v>0.17912113939703511</v>
      </c>
      <c r="D228" s="2"/>
      <c r="G228" s="117"/>
      <c r="I228" s="18" t="s">
        <v>225</v>
      </c>
      <c r="J228" s="154" t="s">
        <v>178</v>
      </c>
      <c r="K228" s="59">
        <f>'Feedtstocks only CONVENTIONAL'!J23</f>
        <v>0.76052615016678204</v>
      </c>
      <c r="L228" s="2">
        <f>K228*$L$227</f>
        <v>1012165044.6526638</v>
      </c>
      <c r="M228" t="str">
        <f>'LCoP CONVENTIONAL'!$F$25</f>
        <v>Machinery and equipment</v>
      </c>
      <c r="N228" s="59">
        <f>'LCoP CONVENTIONAL'!$G$25</f>
        <v>0.55000000000000004</v>
      </c>
      <c r="O228" s="2">
        <f>N228*$O$227</f>
        <v>121996851.44222936</v>
      </c>
      <c r="P228" t="str">
        <f>'LCoP CONVENTIONAL'!$I$25</f>
        <v>Chemical and chemical products</v>
      </c>
      <c r="Q228" s="59">
        <f>'LCoP CONVENTIONAL'!$J$25</f>
        <v>0.4</v>
      </c>
      <c r="R228" s="2">
        <f t="shared" ref="R228:R233" si="44">Q228*$R$227</f>
        <v>177449965.73415181</v>
      </c>
      <c r="S228" s="117"/>
    </row>
    <row r="229" spans="1:19" x14ac:dyDescent="0.35">
      <c r="D229" s="2"/>
      <c r="G229" s="117"/>
      <c r="I229" s="18" t="s">
        <v>226</v>
      </c>
      <c r="J229" s="154" t="s">
        <v>178</v>
      </c>
      <c r="K229" s="59">
        <f>'Feedtstocks only CONVENTIONAL'!J24</f>
        <v>0.16011076845616465</v>
      </c>
      <c r="L229" s="2">
        <f>K229*$L$227</f>
        <v>213087377.82161343</v>
      </c>
      <c r="M229" t="str">
        <f>'LCoP CONVENTIONAL'!$F$26</f>
        <v>Architectural and engineering services</v>
      </c>
      <c r="N229" s="59">
        <f>'LCoP CONVENTIONAL'!$G$26</f>
        <v>0.25</v>
      </c>
      <c r="O229" s="2">
        <f>N229*$O$227</f>
        <v>55453114.291922435</v>
      </c>
      <c r="P229" t="str">
        <f>'LCoP CONVENTIONAL'!$I$26</f>
        <v>Electricity, gas, steam &amp; AC</v>
      </c>
      <c r="Q229" s="59">
        <f>'LCoP CONVENTIONAL'!$J$26</f>
        <v>0.2</v>
      </c>
      <c r="R229" s="2">
        <f t="shared" si="44"/>
        <v>88724982.867075905</v>
      </c>
      <c r="S229" s="117"/>
    </row>
    <row r="230" spans="1:19" x14ac:dyDescent="0.35">
      <c r="D230" s="2"/>
      <c r="G230" s="117"/>
      <c r="I230" s="18" t="s">
        <v>228</v>
      </c>
      <c r="J230" s="154" t="s">
        <v>178</v>
      </c>
      <c r="K230" s="59">
        <f>'Feedtstocks only CONVENTIONAL'!J25</f>
        <v>4.0027692114041162E-2</v>
      </c>
      <c r="L230" s="2">
        <f>K230*$L$227</f>
        <v>53271844.455403358</v>
      </c>
      <c r="M230" t="str">
        <f>'LCoP CONVENTIONAL'!$F$27</f>
        <v>Constructions and construction works</v>
      </c>
      <c r="N230" s="59">
        <f>'LCoP CONVENTIONAL'!$G$27</f>
        <v>0.1</v>
      </c>
      <c r="O230" s="2">
        <f>N230*$O$227</f>
        <v>22181245.716768976</v>
      </c>
      <c r="P230" t="str">
        <f>'LCoP CONVENTIONAL'!$I$27</f>
        <v>Legal and accounting services; services of head offices; management consultancy services</v>
      </c>
      <c r="Q230" s="59">
        <f>'LCoP CONVENTIONAL'!$J$27</f>
        <v>0.2</v>
      </c>
      <c r="R230" s="2">
        <f t="shared" si="44"/>
        <v>88724982.867075905</v>
      </c>
      <c r="S230" s="117"/>
    </row>
    <row r="231" spans="1:19" x14ac:dyDescent="0.35">
      <c r="D231" s="2"/>
      <c r="G231" s="117"/>
      <c r="I231" s="18" t="s">
        <v>227</v>
      </c>
      <c r="J231" s="154" t="s">
        <v>178</v>
      </c>
      <c r="K231" s="59">
        <f>'Feedtstocks only CONVENTIONAL'!J26</f>
        <v>3.9335389263012145E-2</v>
      </c>
      <c r="L231" s="2">
        <f>K231*$L$227</f>
        <v>52350476.076457702</v>
      </c>
      <c r="M231" t="str">
        <f>'LCoP CONVENTIONAL'!$F$28</f>
        <v>Fabricated metal products</v>
      </c>
      <c r="N231" s="59">
        <f>'LCoP CONVENTIONAL'!$G$28</f>
        <v>7.0000000000000007E-2</v>
      </c>
      <c r="O231" s="2">
        <f>N231*$O$227</f>
        <v>15526872.001738284</v>
      </c>
      <c r="P231" t="str">
        <f>'LCoP CONVENTIONAL'!$I$28</f>
        <v>Repair and installation services</v>
      </c>
      <c r="Q231" s="59">
        <f>'LCoP CONVENTIONAL'!$J$28</f>
        <v>0.15</v>
      </c>
      <c r="R231" s="2">
        <f t="shared" si="44"/>
        <v>66543737.150306918</v>
      </c>
      <c r="S231" s="117"/>
    </row>
    <row r="232" spans="1:19" x14ac:dyDescent="0.35">
      <c r="D232" s="2"/>
      <c r="G232" s="117"/>
      <c r="M232" t="str">
        <f>'LCoP CONVENTIONAL'!$F$29</f>
        <v>Computer, electronic and optical products</v>
      </c>
      <c r="N232" s="59">
        <f>'LCoP CONVENTIONAL'!$G$29</f>
        <v>0.03</v>
      </c>
      <c r="O232" s="2">
        <f>N232*$O$227</f>
        <v>6654373.7150306916</v>
      </c>
      <c r="P232" s="299" t="str">
        <f>'LCoP CONVENTIONAL'!$I$29</f>
        <v>Land transport services and transport services via pipelines</v>
      </c>
      <c r="Q232" s="59">
        <f>'LCoP CONVENTIONAL'!$J$29</f>
        <v>0.05</v>
      </c>
      <c r="R232" s="2">
        <f t="shared" si="44"/>
        <v>22181245.716768976</v>
      </c>
      <c r="S232" s="117"/>
    </row>
    <row r="233" spans="1:19" x14ac:dyDescent="0.35">
      <c r="D233" s="2"/>
      <c r="P233" t="str">
        <f>'LCoP CONVENTIONAL'!$I$30</f>
        <v>Waste management services</v>
      </c>
      <c r="Q233" s="59">
        <f>'LCoP CONVENTIONAL'!$J$30</f>
        <v>0</v>
      </c>
      <c r="R233" s="2">
        <f t="shared" si="44"/>
        <v>0</v>
      </c>
    </row>
    <row r="234" spans="1:19" s="114" customFormat="1" x14ac:dyDescent="0.35">
      <c r="A234" s="114" t="s">
        <v>244</v>
      </c>
      <c r="B234" s="114">
        <v>1165.6261363636399</v>
      </c>
      <c r="C234" s="114">
        <f>B234*F234</f>
        <v>1232715061.1425633</v>
      </c>
      <c r="D234" s="114">
        <f>'[2]GAP analysis Sc. 2'!$L$23</f>
        <v>0.93459388225313123</v>
      </c>
      <c r="E234" s="114">
        <f>'[1]Conversion factors selected IV '!$O$4</f>
        <v>1.1315675675675676</v>
      </c>
      <c r="F234" s="114">
        <f>D234*E234*1000000</f>
        <v>1057556.1260047052</v>
      </c>
      <c r="G234" s="301">
        <f>'LCoP CONVENTIONAL'!$B$10</f>
        <v>1253</v>
      </c>
      <c r="H234" s="114">
        <f>G234*F234</f>
        <v>1325117825.8838956</v>
      </c>
      <c r="I234" s="308">
        <f>'LCoP CONVENTIONAL'!$C$10</f>
        <v>0.72067039106145248</v>
      </c>
      <c r="J234" s="114" t="s">
        <v>400</v>
      </c>
      <c r="K234" s="114">
        <f>I234*G234</f>
        <v>903</v>
      </c>
      <c r="L234" s="114">
        <f>I234*H234</f>
        <v>954973181.78224874</v>
      </c>
      <c r="M234" s="308">
        <f>'LCoP CONVENTIONAL'!$F$10</f>
        <v>6.6241021548284124E-2</v>
      </c>
      <c r="O234" s="114">
        <f>M234*H234</f>
        <v>87777158.458390534</v>
      </c>
      <c r="P234" s="308">
        <f>'LCoP CONVENTIONAL'!$I$10</f>
        <v>0.21308858739026337</v>
      </c>
      <c r="R234" s="114">
        <f>P234*H234</f>
        <v>282367485.64325631</v>
      </c>
      <c r="S234" s="114">
        <f>SUM(L234,O234,R234)</f>
        <v>1325117825.8838954</v>
      </c>
    </row>
    <row r="235" spans="1:19" x14ac:dyDescent="0.35">
      <c r="A235" s="117"/>
      <c r="B235" s="117"/>
      <c r="C235">
        <f>C234/$C$218</f>
        <v>8.5401271274438875E-2</v>
      </c>
      <c r="D235" s="117"/>
      <c r="E235" s="117"/>
      <c r="F235" s="117"/>
      <c r="G235" s="117"/>
      <c r="H235" s="117"/>
      <c r="I235" t="s">
        <v>396</v>
      </c>
      <c r="J235" s="147" t="s">
        <v>400</v>
      </c>
      <c r="L235" s="2">
        <f>$L$234</f>
        <v>954973181.78224874</v>
      </c>
      <c r="M235" t="str">
        <f>'LCoP CONVENTIONAL'!$F$11</f>
        <v>Machinery and equipment</v>
      </c>
      <c r="N235" s="59">
        <f>'LCoP CONVENTIONAL'!$G$11</f>
        <v>0.48</v>
      </c>
      <c r="O235" s="2">
        <f>N235*$O$234</f>
        <v>42133036.060027458</v>
      </c>
      <c r="P235" t="str">
        <f>'LCoP CONVENTIONAL'!$I$11</f>
        <v>Chemical and chemical products</v>
      </c>
      <c r="Q235" s="59">
        <f>'LCoP CONVENTIONAL'!$J$11</f>
        <v>0.25</v>
      </c>
      <c r="R235" s="2">
        <f t="shared" ref="R235:R240" si="45">Q235*$R$234</f>
        <v>70591871.410814077</v>
      </c>
      <c r="S235" s="117"/>
    </row>
    <row r="236" spans="1:19" s="151" customFormat="1" ht="29" customHeight="1" x14ac:dyDescent="0.35">
      <c r="A236" s="117"/>
      <c r="B236" s="117"/>
      <c r="C236" s="117"/>
      <c r="D236" s="117"/>
      <c r="E236" s="117"/>
      <c r="F236" s="117"/>
      <c r="G236" s="117"/>
      <c r="H236" s="117"/>
      <c r="I236"/>
      <c r="J236"/>
      <c r="K236"/>
      <c r="L236"/>
      <c r="M236" t="str">
        <f>'LCoP CONVENTIONAL'!$F$12</f>
        <v>Architectural and engineering services</v>
      </c>
      <c r="N236" s="59">
        <f>'LCoP CONVENTIONAL'!$G$12</f>
        <v>0.3</v>
      </c>
      <c r="O236" s="2">
        <f>N236*$O$234</f>
        <v>26333147.53751716</v>
      </c>
      <c r="P236" t="str">
        <f>'LCoP CONVENTIONAL'!$I$12</f>
        <v>Electricity, gas, steam &amp; AC</v>
      </c>
      <c r="Q236" s="59">
        <f>'LCoP CONVENTIONAL'!$J$12</f>
        <v>0.15</v>
      </c>
      <c r="R236" s="2">
        <f t="shared" si="45"/>
        <v>42355122.846488446</v>
      </c>
      <c r="S236" s="117"/>
    </row>
    <row r="237" spans="1:19" x14ac:dyDescent="0.35">
      <c r="A237" s="117"/>
      <c r="B237" s="117"/>
      <c r="C237" s="117"/>
      <c r="D237" s="117"/>
      <c r="E237" s="117"/>
      <c r="F237" s="117"/>
      <c r="G237" s="117"/>
      <c r="H237" s="117"/>
      <c r="M237" t="str">
        <f>'LCoP CONVENTIONAL'!$F$13</f>
        <v>Constructions and construction works</v>
      </c>
      <c r="N237" s="59">
        <f>'LCoP CONVENTIONAL'!$G$13</f>
        <v>0.12</v>
      </c>
      <c r="O237" s="2">
        <f>N237*$O$234</f>
        <v>10533259.015006864</v>
      </c>
      <c r="P237" t="str">
        <f>'LCoP CONVENTIONAL'!$I$13</f>
        <v>Legal and accounting services; services of head offices; management consultancy services</v>
      </c>
      <c r="Q237" s="59">
        <f>'LCoP CONVENTIONAL'!$J$13</f>
        <v>0.2</v>
      </c>
      <c r="R237" s="2">
        <f t="shared" si="45"/>
        <v>56473497.128651261</v>
      </c>
      <c r="S237" s="117"/>
    </row>
    <row r="238" spans="1:19" x14ac:dyDescent="0.35">
      <c r="A238" s="117"/>
      <c r="B238" s="117"/>
      <c r="C238" s="117"/>
      <c r="D238" s="117"/>
      <c r="E238" s="117"/>
      <c r="F238" s="117"/>
      <c r="G238" s="117"/>
      <c r="H238" s="117"/>
      <c r="M238" t="str">
        <f>'LCoP CONVENTIONAL'!$F$14</f>
        <v>Fabricated metal products</v>
      </c>
      <c r="N238" s="59">
        <f>'LCoP CONVENTIONAL'!$G$14</f>
        <v>7.0000000000000007E-2</v>
      </c>
      <c r="O238" s="2">
        <f>N238*$O$234</f>
        <v>6144401.0920873377</v>
      </c>
      <c r="P238" t="str">
        <f>'LCoP CONVENTIONAL'!$I$14</f>
        <v>Repair and installation services</v>
      </c>
      <c r="Q238" s="59">
        <f>'LCoP CONVENTIONAL'!$J$14</f>
        <v>0.15</v>
      </c>
      <c r="R238" s="2">
        <f t="shared" si="45"/>
        <v>42355122.846488446</v>
      </c>
      <c r="S238" s="117"/>
    </row>
    <row r="239" spans="1:19" x14ac:dyDescent="0.35">
      <c r="A239" s="117"/>
      <c r="B239" s="117"/>
      <c r="C239" s="117"/>
      <c r="D239" s="117"/>
      <c r="E239" s="117"/>
      <c r="F239" s="117"/>
      <c r="G239" s="117"/>
      <c r="H239" s="117"/>
      <c r="M239" t="str">
        <f>'LCoP CONVENTIONAL'!$F$15</f>
        <v>Computer, electronic and optical products</v>
      </c>
      <c r="N239" s="59">
        <f>'LCoP CONVENTIONAL'!$G$15</f>
        <v>0.03</v>
      </c>
      <c r="O239" s="2">
        <f>N239*$O$234</f>
        <v>2633314.7537517161</v>
      </c>
      <c r="P239" s="299" t="str">
        <f>'LCoP CONVENTIONAL'!$I$15</f>
        <v>Land transport services and transport services via pipelines</v>
      </c>
      <c r="Q239" s="59">
        <f>'LCoP CONVENTIONAL'!$J$15</f>
        <v>0.25</v>
      </c>
      <c r="R239" s="2">
        <f t="shared" si="45"/>
        <v>70591871.410814077</v>
      </c>
      <c r="S239" s="117"/>
    </row>
    <row r="240" spans="1:19" x14ac:dyDescent="0.35">
      <c r="A240" s="117"/>
      <c r="B240" s="117"/>
      <c r="C240" s="117"/>
      <c r="D240" s="117"/>
      <c r="E240" s="117"/>
      <c r="F240" s="117"/>
      <c r="G240" s="117"/>
      <c r="H240" s="117"/>
      <c r="I240" s="117"/>
      <c r="J240" s="117"/>
      <c r="K240" s="117"/>
      <c r="L240" s="117"/>
      <c r="M240" s="117"/>
      <c r="N240" s="117"/>
      <c r="O240" s="117"/>
      <c r="P240" s="117" t="str">
        <f>'LCoP CONVENTIONAL'!$I$16</f>
        <v>Waste management services</v>
      </c>
      <c r="Q240" s="300">
        <f>'LCoP CONVENTIONAL'!$J$16</f>
        <v>0</v>
      </c>
      <c r="R240" s="117">
        <f t="shared" si="45"/>
        <v>0</v>
      </c>
      <c r="S240" s="117"/>
    </row>
    <row r="241" spans="1:19" s="114" customFormat="1" x14ac:dyDescent="0.35">
      <c r="A241" s="114" t="s">
        <v>399</v>
      </c>
      <c r="B241" s="114">
        <v>1165.6261363636365</v>
      </c>
      <c r="C241" s="114">
        <f>B241*F241</f>
        <v>8437031163.3025856</v>
      </c>
      <c r="D241" s="289">
        <f>D218-D219-D227-D234</f>
        <v>6.3966101803713702</v>
      </c>
      <c r="E241" s="114">
        <f>'[1]Conversion factors selected IV '!$O$4</f>
        <v>1.1315675675675676</v>
      </c>
      <c r="F241" s="114">
        <f>D241*E241*1000000</f>
        <v>7238196.6224807715</v>
      </c>
      <c r="G241" s="301">
        <f>'LCoP CONVENTIONAL'!$B$17</f>
        <v>1253</v>
      </c>
      <c r="H241" s="114">
        <f>G241*F241</f>
        <v>9069460367.9684067</v>
      </c>
      <c r="I241" s="309">
        <f>'LCoP CONVENTIONAL'!$C$17</f>
        <v>0.72067039106145248</v>
      </c>
      <c r="K241" s="114">
        <f>I241*G241</f>
        <v>903</v>
      </c>
      <c r="L241" s="114">
        <f>I241*H241</f>
        <v>6536091550.1001368</v>
      </c>
      <c r="M241" s="309">
        <f>'LCoP CONVENTIONAL'!$F$17</f>
        <v>6.6241021548284124E-2</v>
      </c>
      <c r="O241" s="114">
        <f>M241*H241</f>
        <v>600770319.66590405</v>
      </c>
      <c r="P241" s="309">
        <f>'LCoP CONVENTIONAL'!$I$17</f>
        <v>0.21308858739026337</v>
      </c>
      <c r="R241" s="114">
        <f>P241*H241</f>
        <v>1932598498.2023661</v>
      </c>
      <c r="S241" s="114">
        <f>SUM(L241,O241,R241)</f>
        <v>9069460367.9684067</v>
      </c>
    </row>
    <row r="242" spans="1:19" x14ac:dyDescent="0.35">
      <c r="A242" s="24"/>
      <c r="B242" s="24"/>
      <c r="C242">
        <f>C241/$C$218</f>
        <v>0.58450911312810605</v>
      </c>
      <c r="H242" s="191" t="s">
        <v>252</v>
      </c>
      <c r="I242" t="s">
        <v>233</v>
      </c>
      <c r="J242" t="s">
        <v>178</v>
      </c>
      <c r="K242" s="59">
        <f>'Feedtstocks only CONVENTIONAL'!J37</f>
        <v>0.42676656092472537</v>
      </c>
      <c r="L242" s="2">
        <f>K242*$L$241</f>
        <v>2789385312.7253928</v>
      </c>
      <c r="M242" t="str">
        <f>'LCoP CONVENTIONAL'!$F$18</f>
        <v>Machinery and equipment</v>
      </c>
      <c r="N242" s="59">
        <f>'LCoP CONVENTIONAL'!$G$18</f>
        <v>0.5</v>
      </c>
      <c r="O242" s="2">
        <f>N242*$O$241</f>
        <v>300385159.83295202</v>
      </c>
      <c r="P242" s="18" t="str">
        <f>'LCoP CONVENTIONAL'!$I$18</f>
        <v>Chemical and chemical products</v>
      </c>
      <c r="Q242" s="59">
        <f>'LCoP CONVENTIONAL'!$J$18</f>
        <v>0.25</v>
      </c>
      <c r="R242" s="2">
        <f t="shared" ref="R242:R247" si="46">Q242*$R$241</f>
        <v>483149624.55059153</v>
      </c>
    </row>
    <row r="243" spans="1:19" x14ac:dyDescent="0.35">
      <c r="A243" s="24"/>
      <c r="B243" s="24"/>
      <c r="C243" s="24"/>
      <c r="F243" s="31"/>
      <c r="H243" s="192" t="s">
        <v>254</v>
      </c>
      <c r="I243" t="s">
        <v>233</v>
      </c>
      <c r="J243" t="s">
        <v>178</v>
      </c>
      <c r="K243" s="59">
        <f>'Feedtstocks only CONVENTIONAL'!J38</f>
        <v>0.28451104061648358</v>
      </c>
      <c r="L243" s="2">
        <f>K243*$L$241</f>
        <v>1859590208.4835951</v>
      </c>
      <c r="M243" t="str">
        <f>'LCoP CONVENTIONAL'!$F$19</f>
        <v>Architectural and engineering services</v>
      </c>
      <c r="N243" s="59">
        <f>'LCoP CONVENTIONAL'!$G$19</f>
        <v>0.3</v>
      </c>
      <c r="O243" s="2">
        <f>N243*$O$241</f>
        <v>180231095.89977121</v>
      </c>
      <c r="P243" s="18" t="str">
        <f>'LCoP CONVENTIONAL'!$I$19</f>
        <v>Electricity, gas, steam &amp; AC</v>
      </c>
      <c r="Q243" s="59">
        <f>'LCoP CONVENTIONAL'!$J$19</f>
        <v>0.15</v>
      </c>
      <c r="R243" s="2">
        <f t="shared" si="46"/>
        <v>289889774.73035491</v>
      </c>
    </row>
    <row r="244" spans="1:19" x14ac:dyDescent="0.35">
      <c r="A244" s="24"/>
      <c r="B244" s="24"/>
      <c r="C244" s="24"/>
      <c r="H244" s="192" t="s">
        <v>254</v>
      </c>
      <c r="I244" t="s">
        <v>267</v>
      </c>
      <c r="J244" t="s">
        <v>178</v>
      </c>
      <c r="K244" s="59">
        <f>'Feedtstocks only CONVENTIONAL'!J39</f>
        <v>0.288722398458791</v>
      </c>
      <c r="L244" s="2">
        <f>K244*$L$241</f>
        <v>1887116028.8911486</v>
      </c>
      <c r="M244" t="str">
        <f>'LCoP CONVENTIONAL'!$F$20</f>
        <v>Constructions and construction works</v>
      </c>
      <c r="N244" s="59">
        <f>'LCoP CONVENTIONAL'!$G$20</f>
        <v>0.1</v>
      </c>
      <c r="O244" s="2">
        <f>N244*$O$241</f>
        <v>60077031.966590405</v>
      </c>
      <c r="P244" s="18" t="str">
        <f>'LCoP CONVENTIONAL'!$I$20</f>
        <v>Legal and accounting services; services of head offices; management consultancy services</v>
      </c>
      <c r="Q244" s="59">
        <f>'LCoP CONVENTIONAL'!$J$20</f>
        <v>0.2</v>
      </c>
      <c r="R244" s="2">
        <f t="shared" si="46"/>
        <v>386519699.64047325</v>
      </c>
    </row>
    <row r="245" spans="1:19" x14ac:dyDescent="0.35">
      <c r="A245" s="24"/>
      <c r="B245" s="24"/>
      <c r="C245" s="24"/>
      <c r="M245" t="str">
        <f>'LCoP CONVENTIONAL'!$F$21</f>
        <v>Fabricated metal products</v>
      </c>
      <c r="N245" s="59">
        <f>'LCoP CONVENTIONAL'!$G$21</f>
        <v>7.0000000000000007E-2</v>
      </c>
      <c r="O245" s="2">
        <f>N245*$O$241</f>
        <v>42053922.376613289</v>
      </c>
      <c r="P245" s="18" t="str">
        <f>'LCoP CONVENTIONAL'!$I$21</f>
        <v>Repair and installation services</v>
      </c>
      <c r="Q245" s="59">
        <f>'LCoP CONVENTIONAL'!$J$21</f>
        <v>0.2</v>
      </c>
      <c r="R245" s="2">
        <f t="shared" si="46"/>
        <v>386519699.64047325</v>
      </c>
    </row>
    <row r="246" spans="1:19" x14ac:dyDescent="0.35">
      <c r="A246" s="24"/>
      <c r="B246" s="24"/>
      <c r="C246" s="24"/>
      <c r="M246" t="str">
        <f>'LCoP CONVENTIONAL'!$F$22</f>
        <v>Computer, electronic and optical products</v>
      </c>
      <c r="N246" s="59">
        <f>'LCoP CONVENTIONAL'!$G$22</f>
        <v>0.03</v>
      </c>
      <c r="O246" s="2">
        <f>N246*$O$241</f>
        <v>18023109.589977119</v>
      </c>
      <c r="P246" s="102" t="str">
        <f>'LCoP CONVENTIONAL'!$I$22</f>
        <v>Land transport services and transport services via pipelines</v>
      </c>
      <c r="Q246" s="59">
        <f>'LCoP CONVENTIONAL'!$J$22</f>
        <v>0.1</v>
      </c>
      <c r="R246" s="2">
        <f t="shared" si="46"/>
        <v>193259849.82023662</v>
      </c>
    </row>
    <row r="247" spans="1:19" x14ac:dyDescent="0.35">
      <c r="P247" t="str">
        <f>'LCoP CONVENTIONAL'!$I$23</f>
        <v>Waste management services</v>
      </c>
      <c r="Q247" s="59">
        <f>'LCoP CONVENTIONAL'!$J$23</f>
        <v>0.1</v>
      </c>
      <c r="R247" s="2">
        <f t="shared" si="46"/>
        <v>193259849.82023662</v>
      </c>
    </row>
    <row r="249" spans="1:19" x14ac:dyDescent="0.35">
      <c r="A249" s="151" t="s">
        <v>328</v>
      </c>
      <c r="B249" s="151" t="s">
        <v>383</v>
      </c>
      <c r="C249" s="151"/>
      <c r="D249" s="151"/>
      <c r="E249" s="151"/>
      <c r="F249" s="151"/>
      <c r="G249" s="151"/>
      <c r="H249" s="151"/>
      <c r="I249" s="151"/>
      <c r="J249" s="151"/>
      <c r="K249" s="151"/>
      <c r="L249" s="151"/>
      <c r="M249" s="151"/>
      <c r="N249" s="151"/>
      <c r="O249" s="151"/>
      <c r="P249" s="151"/>
      <c r="Q249" s="151"/>
      <c r="R249" s="151"/>
      <c r="S249" s="151"/>
    </row>
    <row r="250" spans="1:19" x14ac:dyDescent="0.35">
      <c r="B250" s="2"/>
      <c r="C250" s="2"/>
      <c r="D250" s="2">
        <f>D251</f>
        <v>0</v>
      </c>
      <c r="E250" s="6">
        <f>E251</f>
        <v>1.5506666666666669</v>
      </c>
      <c r="F250" s="2">
        <f>F251</f>
        <v>0</v>
      </c>
    </row>
    <row r="251" spans="1:19" s="151" customFormat="1" ht="29.5" customHeight="1" x14ac:dyDescent="0.35">
      <c r="A251" t="s">
        <v>329</v>
      </c>
      <c r="B251" s="114">
        <v>1018.96958174905</v>
      </c>
      <c r="C251" s="114">
        <f>B251*F251</f>
        <v>0</v>
      </c>
      <c r="D251" s="114">
        <v>0</v>
      </c>
      <c r="E251" s="114">
        <f>'[1]Conversion factors selected IV '!$O$17</f>
        <v>1.5506666666666669</v>
      </c>
      <c r="F251" s="114">
        <f>D251*E251*1000000</f>
        <v>0</v>
      </c>
      <c r="G251" s="301">
        <f>'LCoP CONVENTIONAL'!$B$53</f>
        <v>903.57</v>
      </c>
      <c r="H251" s="114">
        <f>G251*F251</f>
        <v>0</v>
      </c>
      <c r="I251" s="308">
        <f>'LCoP CONVENTIONAL'!$C$53</f>
        <v>0.7</v>
      </c>
      <c r="J251" s="114"/>
      <c r="K251" s="114">
        <f>I251*G251</f>
        <v>632.49900000000002</v>
      </c>
      <c r="L251" s="114">
        <f>I251*H251</f>
        <v>0</v>
      </c>
      <c r="M251" s="308">
        <f>'LCoP CONVENTIONAL'!$F$53</f>
        <v>0.1</v>
      </c>
      <c r="N251" s="114"/>
      <c r="O251" s="114">
        <f>M251*H251</f>
        <v>0</v>
      </c>
      <c r="P251" s="308">
        <f>'LCoP CONVENTIONAL'!$I$53</f>
        <v>0.2</v>
      </c>
      <c r="Q251" s="114"/>
      <c r="R251" s="114">
        <f>P251*H251</f>
        <v>0</v>
      </c>
      <c r="S251" s="114">
        <f>SUM(L251,O251,R251)</f>
        <v>0</v>
      </c>
    </row>
    <row r="252" spans="1:19" x14ac:dyDescent="0.35">
      <c r="A252" s="117"/>
      <c r="B252" s="117"/>
      <c r="C252" s="117"/>
      <c r="D252" s="117"/>
      <c r="E252" s="117"/>
      <c r="F252" s="117"/>
      <c r="G252" s="117"/>
      <c r="H252" s="117"/>
      <c r="I252" t="s">
        <v>401</v>
      </c>
      <c r="J252" s="147" t="s">
        <v>400</v>
      </c>
      <c r="L252" s="2">
        <f>$L$251</f>
        <v>0</v>
      </c>
      <c r="M252" t="str">
        <f>'LCoP CONVENTIONAL'!$F$54</f>
        <v>Machinery and equipment</v>
      </c>
      <c r="N252" s="59">
        <f>'LCoP CONVENTIONAL'!$G$54</f>
        <v>0.5</v>
      </c>
      <c r="O252" s="2">
        <f>N252*$O$251</f>
        <v>0</v>
      </c>
      <c r="P252" t="str">
        <f>'LCoP CONVENTIONAL'!$I$54</f>
        <v>Chemical and chemical products</v>
      </c>
      <c r="Q252" s="59">
        <f>'LCoP CONVENTIONAL'!$J$54</f>
        <v>0.15</v>
      </c>
      <c r="R252" s="2">
        <f t="shared" ref="R252:R257" si="47">Q252*$R$251</f>
        <v>0</v>
      </c>
      <c r="S252" s="117"/>
    </row>
    <row r="253" spans="1:19" s="114" customFormat="1" x14ac:dyDescent="0.35">
      <c r="A253" s="117"/>
      <c r="B253" s="117"/>
      <c r="C253" s="117"/>
      <c r="D253" s="117"/>
      <c r="E253" s="117"/>
      <c r="F253" s="117"/>
      <c r="G253" s="117"/>
      <c r="H253" s="117"/>
      <c r="I253"/>
      <c r="J253"/>
      <c r="K253"/>
      <c r="L253"/>
      <c r="M253" t="str">
        <f>'LCoP CONVENTIONAL'!$F$55</f>
        <v>Architectural and engineering services</v>
      </c>
      <c r="N253" s="59">
        <f>'LCoP CONVENTIONAL'!$G$55</f>
        <v>0.25</v>
      </c>
      <c r="O253" s="2">
        <f>N253*$O$251</f>
        <v>0</v>
      </c>
      <c r="P253" t="str">
        <f>'LCoP CONVENTIONAL'!$I$55</f>
        <v>Electricity, gas, steam &amp; AC</v>
      </c>
      <c r="Q253" s="59">
        <f>'LCoP CONVENTIONAL'!$J$55</f>
        <v>0.4</v>
      </c>
      <c r="R253" s="2">
        <f t="shared" si="47"/>
        <v>0</v>
      </c>
      <c r="S253" s="117"/>
    </row>
    <row r="254" spans="1:19" s="114" customFormat="1" x14ac:dyDescent="0.35">
      <c r="A254" s="117"/>
      <c r="B254" s="117"/>
      <c r="C254" s="117"/>
      <c r="D254" s="117"/>
      <c r="E254" s="117"/>
      <c r="F254" s="117"/>
      <c r="G254" s="117"/>
      <c r="H254" s="117"/>
      <c r="I254"/>
      <c r="J254"/>
      <c r="K254"/>
      <c r="L254"/>
      <c r="M254" t="str">
        <f>'LCoP CONVENTIONAL'!$F$56</f>
        <v>Constructions and construction works</v>
      </c>
      <c r="N254" s="59">
        <f>'LCoP CONVENTIONAL'!$G$56</f>
        <v>0.15</v>
      </c>
      <c r="O254" s="2">
        <f>N254*$O$251</f>
        <v>0</v>
      </c>
      <c r="P254" t="str">
        <f>'LCoP CONVENTIONAL'!$I$56</f>
        <v>Legal and accounting services; services of head offices; management consultancy services</v>
      </c>
      <c r="Q254" s="59">
        <f>'LCoP CONVENTIONAL'!$J$56</f>
        <v>0.2</v>
      </c>
      <c r="R254" s="2">
        <f t="shared" si="47"/>
        <v>0</v>
      </c>
      <c r="S254" s="117"/>
    </row>
    <row r="255" spans="1:19" s="114" customFormat="1" x14ac:dyDescent="0.35">
      <c r="A255" s="117"/>
      <c r="B255" s="117"/>
      <c r="C255" s="117"/>
      <c r="D255" s="117"/>
      <c r="E255" s="117"/>
      <c r="F255" s="117"/>
      <c r="G255" s="117"/>
      <c r="H255" s="117"/>
      <c r="I255"/>
      <c r="J255"/>
      <c r="K255"/>
      <c r="L255"/>
      <c r="M255" t="str">
        <f>'LCoP CONVENTIONAL'!$F$57</f>
        <v>Fabricated metal products</v>
      </c>
      <c r="N255" s="59">
        <f>'LCoP CONVENTIONAL'!$G$57</f>
        <v>7.0000000000000007E-2</v>
      </c>
      <c r="O255" s="2">
        <f>N255*$O$251</f>
        <v>0</v>
      </c>
      <c r="P255" t="str">
        <f>'LCoP CONVENTIONAL'!$I$57</f>
        <v>Repair and installation services</v>
      </c>
      <c r="Q255" s="59">
        <f>'LCoP CONVENTIONAL'!$J$57</f>
        <v>0.15</v>
      </c>
      <c r="R255" s="2">
        <f t="shared" si="47"/>
        <v>0</v>
      </c>
      <c r="S255" s="117"/>
    </row>
    <row r="256" spans="1:19" s="114" customFormat="1" x14ac:dyDescent="0.35">
      <c r="A256" s="117"/>
      <c r="B256" s="117"/>
      <c r="C256" s="117"/>
      <c r="D256" s="117"/>
      <c r="E256" s="117"/>
      <c r="F256" s="117"/>
      <c r="G256" s="117"/>
      <c r="H256" s="117"/>
      <c r="I256"/>
      <c r="J256"/>
      <c r="K256"/>
      <c r="L256"/>
      <c r="M256" t="str">
        <f>'LCoP CONVENTIONAL'!$F$58</f>
        <v>Computer, electronic and optical products</v>
      </c>
      <c r="N256" s="59">
        <f>'LCoP CONVENTIONAL'!$G$58</f>
        <v>0.03</v>
      </c>
      <c r="O256" s="2">
        <f>N256*$O$251</f>
        <v>0</v>
      </c>
      <c r="P256" s="299" t="str">
        <f>'LCoP CONVENTIONAL'!$I$58</f>
        <v>Land transport services and transport services via pipelines</v>
      </c>
      <c r="Q256" s="59">
        <f>'LCoP CONVENTIONAL'!$J$58</f>
        <v>0.1</v>
      </c>
      <c r="R256" s="2">
        <f t="shared" si="47"/>
        <v>0</v>
      </c>
      <c r="S256" s="117"/>
    </row>
    <row r="257" spans="1:19" s="114" customFormat="1" x14ac:dyDescent="0.35">
      <c r="A257" s="117"/>
      <c r="B257" s="117"/>
      <c r="C257" s="117"/>
      <c r="D257" s="117"/>
      <c r="E257" s="117"/>
      <c r="F257" s="117"/>
      <c r="G257" s="117"/>
      <c r="H257" s="117"/>
      <c r="I257" s="117"/>
      <c r="J257" s="117"/>
      <c r="K257" s="117"/>
      <c r="L257" s="117"/>
      <c r="M257" s="117"/>
      <c r="N257" s="117"/>
      <c r="O257" s="117"/>
      <c r="P257" s="117" t="str">
        <f>'LCoP CONVENTIONAL'!$I$59</f>
        <v>Waste management services</v>
      </c>
      <c r="Q257" s="300">
        <f>'LCoP CONVENTIONAL'!$J$59</f>
        <v>0</v>
      </c>
      <c r="R257" s="117">
        <f t="shared" si="47"/>
        <v>0</v>
      </c>
      <c r="S257" s="117"/>
    </row>
    <row r="258" spans="1:19" s="114" customFormat="1" x14ac:dyDescent="0.35">
      <c r="A258" s="151" t="s">
        <v>343</v>
      </c>
      <c r="B258" s="151"/>
      <c r="C258" s="151"/>
      <c r="D258" s="151"/>
      <c r="E258" s="179"/>
      <c r="F258" s="151"/>
      <c r="G258" s="151"/>
      <c r="H258" s="151"/>
      <c r="I258" s="151"/>
      <c r="J258" s="151"/>
      <c r="K258" s="151"/>
      <c r="L258" s="151"/>
      <c r="M258" s="151"/>
      <c r="N258" s="151"/>
      <c r="O258" s="151"/>
      <c r="P258" s="151"/>
      <c r="Q258" s="151"/>
      <c r="R258" s="151"/>
      <c r="S258" s="151"/>
    </row>
    <row r="259" spans="1:19" s="114" customFormat="1" x14ac:dyDescent="0.35">
      <c r="A259"/>
      <c r="B259" s="2"/>
      <c r="C259" s="2">
        <f>C260</f>
        <v>3463752876.0177989</v>
      </c>
      <c r="D259" s="2">
        <f>D260</f>
        <v>1.7333971000102721</v>
      </c>
      <c r="E259" s="6">
        <f>E260</f>
        <v>0.95154545454545458</v>
      </c>
      <c r="F259" s="2">
        <f>F260</f>
        <v>1649406.1314370472</v>
      </c>
      <c r="G259"/>
      <c r="H259"/>
      <c r="I259"/>
      <c r="J259"/>
      <c r="K259"/>
      <c r="L259"/>
      <c r="M259"/>
      <c r="N259"/>
      <c r="O259"/>
      <c r="P259"/>
      <c r="Q259"/>
      <c r="R259"/>
      <c r="S259"/>
    </row>
    <row r="260" spans="1:19" s="114" customFormat="1" x14ac:dyDescent="0.35">
      <c r="A260" s="114" t="s">
        <v>409</v>
      </c>
      <c r="B260" s="114">
        <f>2100</f>
        <v>2100</v>
      </c>
      <c r="C260" s="114">
        <f>B260*F260</f>
        <v>3463752876.0177989</v>
      </c>
      <c r="D260" s="114">
        <f>'[2]GAP analysis Sc. 2'!$H$128</f>
        <v>1.7333971000102721</v>
      </c>
      <c r="E260" s="114">
        <f>'[1]Conversion factors selected IV '!$O$7</f>
        <v>0.95154545454545458</v>
      </c>
      <c r="F260" s="114">
        <f>D260*E260*1000000</f>
        <v>1649406.1314370472</v>
      </c>
      <c r="G260" s="301">
        <f>'LCoP CONVENTIONAL'!$B$45</f>
        <v>2903</v>
      </c>
      <c r="H260" s="114">
        <f>G260*F260</f>
        <v>4788225999.5617476</v>
      </c>
      <c r="I260" s="308">
        <f>'LCoP CONVENTIONAL'!$C$45</f>
        <v>0.67550809507406129</v>
      </c>
      <c r="K260" s="114">
        <f>I260*G260</f>
        <v>1961</v>
      </c>
      <c r="L260" s="114">
        <f>I260*H260</f>
        <v>3234485423.7480493</v>
      </c>
      <c r="M260" s="308">
        <f>'LCoP CONVENTIONAL'!$F$45</f>
        <v>0.12952118498105408</v>
      </c>
      <c r="O260" s="114">
        <f>M260*H260</f>
        <v>620176705.42032969</v>
      </c>
      <c r="P260" s="308">
        <f>'LCoP CONVENTIONAL'!$I$45</f>
        <v>0.1949707199448846</v>
      </c>
      <c r="R260" s="114">
        <f>P260*H260</f>
        <v>933563870.3933686</v>
      </c>
      <c r="S260" s="114">
        <f>SUM(L260,O260,R260)</f>
        <v>4788225999.5617476</v>
      </c>
    </row>
    <row r="261" spans="1:19" s="114" customFormat="1" x14ac:dyDescent="0.35">
      <c r="A261" s="117"/>
      <c r="B261" s="117"/>
      <c r="C261" s="117"/>
      <c r="D261" s="117"/>
      <c r="E261" s="117"/>
      <c r="F261" s="117"/>
      <c r="G261" s="117"/>
      <c r="H261" s="117"/>
      <c r="I261" t="s">
        <v>396</v>
      </c>
      <c r="J261" s="147" t="s">
        <v>400</v>
      </c>
      <c r="K261"/>
      <c r="L261" s="2">
        <f>$L$260</f>
        <v>3234485423.7480493</v>
      </c>
      <c r="M261" t="str">
        <f>'LCoP CONVENTIONAL'!$F$32</f>
        <v>Machinery and equipment</v>
      </c>
      <c r="N261" s="59">
        <f>'LCoP CONVENTIONAL'!$G$32</f>
        <v>0.57999999999999996</v>
      </c>
      <c r="O261" s="2">
        <f>N261*$O$260</f>
        <v>359702489.1437912</v>
      </c>
      <c r="P261" t="str">
        <f>'LCoP CONVENTIONAL'!$I$32</f>
        <v>Chemical and chemical products</v>
      </c>
      <c r="Q261" s="59">
        <f>'LCoP CONVENTIONAL'!$J$32</f>
        <v>0.35</v>
      </c>
      <c r="R261" s="2">
        <f t="shared" ref="R261:R266" si="48">Q261*$R$260</f>
        <v>326747354.63767898</v>
      </c>
      <c r="S261" s="117"/>
    </row>
    <row r="262" spans="1:19" s="114" customFormat="1" x14ac:dyDescent="0.35">
      <c r="A262" s="117"/>
      <c r="B262" s="117"/>
      <c r="C262" s="117"/>
      <c r="D262" s="117"/>
      <c r="E262" s="117"/>
      <c r="F262" s="117"/>
      <c r="G262" s="117"/>
      <c r="H262" s="117"/>
      <c r="I262"/>
      <c r="J262"/>
      <c r="K262"/>
      <c r="L262"/>
      <c r="M262" t="str">
        <f>'LCoP CONVENTIONAL'!$F$33</f>
        <v>Architectural and engineering services</v>
      </c>
      <c r="N262" s="59">
        <f>'LCoP CONVENTIONAL'!$G$33</f>
        <v>0.25</v>
      </c>
      <c r="O262" s="2">
        <f>N262*$O$260</f>
        <v>155044176.35508242</v>
      </c>
      <c r="P262" t="str">
        <f>'LCoP CONVENTIONAL'!$I$33</f>
        <v>Electricity, gas, steam &amp; AC</v>
      </c>
      <c r="Q262" s="59">
        <f>'LCoP CONVENTIONAL'!$J$33</f>
        <v>0.15</v>
      </c>
      <c r="R262" s="2">
        <f t="shared" si="48"/>
        <v>140034580.55900529</v>
      </c>
      <c r="S262" s="117"/>
    </row>
    <row r="263" spans="1:19" s="114" customFormat="1" x14ac:dyDescent="0.35">
      <c r="A263" s="117"/>
      <c r="B263" s="117"/>
      <c r="C263" s="117"/>
      <c r="D263" s="117"/>
      <c r="E263" s="117"/>
      <c r="F263" s="117"/>
      <c r="G263" s="117"/>
      <c r="H263" s="117"/>
      <c r="I263"/>
      <c r="J263"/>
      <c r="K263"/>
      <c r="L263"/>
      <c r="M263" t="str">
        <f>'LCoP CONVENTIONAL'!$F$34</f>
        <v>Constructions and construction works</v>
      </c>
      <c r="N263" s="59">
        <f>'LCoP CONVENTIONAL'!$G$34</f>
        <v>0.08</v>
      </c>
      <c r="O263" s="2">
        <f>N263*$O$260</f>
        <v>49614136.433626376</v>
      </c>
      <c r="P263" t="str">
        <f>'LCoP CONVENTIONAL'!$I$34</f>
        <v>Legal and accounting services; services of head offices; management consultancy services</v>
      </c>
      <c r="Q263" s="59">
        <f>'LCoP CONVENTIONAL'!$J$34</f>
        <v>0.18</v>
      </c>
      <c r="R263" s="2">
        <f t="shared" si="48"/>
        <v>168041496.67080635</v>
      </c>
      <c r="S263" s="117"/>
    </row>
    <row r="264" spans="1:19" s="114" customFormat="1" x14ac:dyDescent="0.35">
      <c r="A264" s="117"/>
      <c r="B264" s="117"/>
      <c r="C264" s="117"/>
      <c r="D264" s="117"/>
      <c r="E264" s="117"/>
      <c r="F264" s="117"/>
      <c r="G264" s="117"/>
      <c r="H264" s="117"/>
      <c r="I264"/>
      <c r="J264"/>
      <c r="K264"/>
      <c r="L264"/>
      <c r="M264" t="str">
        <f>'LCoP CONVENTIONAL'!$F$35</f>
        <v>Fabricated metal products</v>
      </c>
      <c r="N264" s="59">
        <f>'LCoP CONVENTIONAL'!$G$35</f>
        <v>0.06</v>
      </c>
      <c r="O264" s="2">
        <f>N264*$O$260</f>
        <v>37210602.32521978</v>
      </c>
      <c r="P264" t="str">
        <f>'LCoP CONVENTIONAL'!$I$35</f>
        <v>Repair and installation services</v>
      </c>
      <c r="Q264" s="59">
        <f>'LCoP CONVENTIONAL'!$J$35</f>
        <v>0.15</v>
      </c>
      <c r="R264" s="2">
        <f t="shared" si="48"/>
        <v>140034580.55900529</v>
      </c>
      <c r="S264" s="117"/>
    </row>
    <row r="265" spans="1:19" s="114" customFormat="1" x14ac:dyDescent="0.35">
      <c r="A265" s="117"/>
      <c r="B265" s="117"/>
      <c r="C265" s="117"/>
      <c r="D265" s="117"/>
      <c r="E265" s="117"/>
      <c r="F265" s="117"/>
      <c r="G265" s="117"/>
      <c r="H265" s="117"/>
      <c r="I265"/>
      <c r="J265"/>
      <c r="K265"/>
      <c r="L265"/>
      <c r="M265" t="str">
        <f>'LCoP CONVENTIONAL'!$F$36</f>
        <v>Computer, electronic and optical products</v>
      </c>
      <c r="N265" s="59">
        <f>'LCoP CONVENTIONAL'!$G$36</f>
        <v>0.03</v>
      </c>
      <c r="O265" s="2">
        <f>N265*$O$260</f>
        <v>18605301.16260989</v>
      </c>
      <c r="P265" s="299" t="str">
        <f>'LCoP CONVENTIONAL'!$I$36</f>
        <v>Land transport services and transport services via pipelines</v>
      </c>
      <c r="Q265" s="59">
        <f>'LCoP CONVENTIONAL'!$J$36</f>
        <v>0.17</v>
      </c>
      <c r="R265" s="2">
        <f t="shared" si="48"/>
        <v>158705857.96687266</v>
      </c>
      <c r="S265" s="117"/>
    </row>
    <row r="266" spans="1:19" s="114" customFormat="1" x14ac:dyDescent="0.35">
      <c r="A266" s="117"/>
      <c r="B266" s="117"/>
      <c r="C266" s="117"/>
      <c r="D266" s="117"/>
      <c r="E266" s="117"/>
      <c r="F266" s="117"/>
      <c r="G266" s="117"/>
      <c r="H266" s="117"/>
      <c r="I266" s="117"/>
      <c r="J266" s="117"/>
      <c r="K266" s="117"/>
      <c r="L266" s="117"/>
      <c r="M266" s="117"/>
      <c r="N266" s="117"/>
      <c r="O266" s="117"/>
      <c r="P266" s="117" t="str">
        <f>'LCoP CONVENTIONAL'!$I$37</f>
        <v>Waste management services</v>
      </c>
      <c r="Q266" s="300">
        <f>'LCoP CONVENTIONAL'!$J$37</f>
        <v>0</v>
      </c>
      <c r="R266" s="117">
        <f t="shared" si="48"/>
        <v>0</v>
      </c>
      <c r="S266" s="117"/>
    </row>
  </sheetData>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17A7-0C0B-42ED-97EF-3B893FDB97E4}">
  <sheetPr>
    <tabColor theme="8" tint="0.39997558519241921"/>
  </sheetPr>
  <dimension ref="A1:S251"/>
  <sheetViews>
    <sheetView topLeftCell="A41" zoomScale="85" zoomScaleNormal="85" workbookViewId="0">
      <selection activeCell="C73" sqref="C73"/>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6" customFormat="1" ht="24" customHeight="1" x14ac:dyDescent="0.35">
      <c r="A1" s="46" t="s">
        <v>378</v>
      </c>
      <c r="F1" s="224"/>
    </row>
    <row r="2" spans="1:19" s="46" customFormat="1" ht="24" customHeight="1" x14ac:dyDescent="0.35">
      <c r="A2" s="46" t="s">
        <v>286</v>
      </c>
      <c r="F2" s="224"/>
    </row>
    <row r="3" spans="1:19" s="46" customFormat="1" ht="24" customHeight="1" x14ac:dyDescent="0.35">
      <c r="A3" s="46" t="s">
        <v>379</v>
      </c>
      <c r="E3" s="46" t="s">
        <v>380</v>
      </c>
      <c r="F3" s="224"/>
    </row>
    <row r="4" spans="1:19" ht="19" customHeight="1" x14ac:dyDescent="0.35"/>
    <row r="5" spans="1:19" s="47" customFormat="1" ht="37" customHeight="1" x14ac:dyDescent="0.35">
      <c r="B5" s="47" t="s">
        <v>375</v>
      </c>
      <c r="C5" s="47" t="s">
        <v>376</v>
      </c>
      <c r="D5" s="47" t="s">
        <v>291</v>
      </c>
      <c r="E5" s="47" t="s">
        <v>204</v>
      </c>
      <c r="F5" s="225" t="s">
        <v>292</v>
      </c>
      <c r="G5" s="47" t="s">
        <v>205</v>
      </c>
      <c r="H5" s="47" t="s">
        <v>290</v>
      </c>
      <c r="I5" s="194" t="s">
        <v>169</v>
      </c>
      <c r="J5" s="47" t="s">
        <v>40</v>
      </c>
      <c r="K5" s="47" t="s">
        <v>192</v>
      </c>
      <c r="L5" s="47" t="s">
        <v>207</v>
      </c>
      <c r="M5" s="194" t="s">
        <v>170</v>
      </c>
      <c r="N5" s="47" t="s">
        <v>215</v>
      </c>
      <c r="O5" s="47" t="s">
        <v>208</v>
      </c>
      <c r="P5" s="194" t="s">
        <v>171</v>
      </c>
      <c r="R5" s="47" t="s">
        <v>209</v>
      </c>
      <c r="S5" s="47" t="s">
        <v>293</v>
      </c>
    </row>
    <row r="6" spans="1:19" s="190" customFormat="1" ht="37" customHeight="1" x14ac:dyDescent="0.35">
      <c r="A6" s="229" t="s">
        <v>322</v>
      </c>
      <c r="B6" s="229"/>
      <c r="C6" s="229"/>
      <c r="D6" s="228">
        <f>D8+D48+D90+D114+D156</f>
        <v>182.13047351358784</v>
      </c>
      <c r="F6" s="198"/>
      <c r="I6" s="229"/>
      <c r="M6" s="229"/>
      <c r="P6" s="229"/>
    </row>
    <row r="7" spans="1:19" s="91" customFormat="1" ht="40" customHeight="1" x14ac:dyDescent="0.35">
      <c r="A7" s="91" t="s">
        <v>77</v>
      </c>
      <c r="F7" s="169"/>
    </row>
    <row r="8" spans="1:19" s="200" customFormat="1" x14ac:dyDescent="0.35">
      <c r="A8" s="200" t="s">
        <v>156</v>
      </c>
      <c r="C8" s="207">
        <f>C9+C16+C28</f>
        <v>25836234985.468636</v>
      </c>
      <c r="D8" s="207">
        <f>D9+D16+D28</f>
        <v>15.099067201415584</v>
      </c>
      <c r="F8" s="207">
        <f>F9+F16+F28</f>
        <v>14763562.848839222</v>
      </c>
      <c r="L8" s="207">
        <f>L9+L16+L28</f>
        <v>4663798669.8388166</v>
      </c>
      <c r="M8" s="207"/>
      <c r="N8" s="207"/>
      <c r="O8" s="207">
        <f>O9+O16+O28</f>
        <v>15725150857.189957</v>
      </c>
      <c r="P8" s="218"/>
      <c r="Q8" s="207"/>
      <c r="R8" s="207">
        <f>R9+R16+R28</f>
        <v>8155490703.2510204</v>
      </c>
    </row>
    <row r="9" spans="1:19" s="201" customFormat="1" x14ac:dyDescent="0.35">
      <c r="A9" s="201" t="s">
        <v>294</v>
      </c>
      <c r="B9" s="201">
        <v>1750</v>
      </c>
      <c r="C9" s="202">
        <f>B9*F9</f>
        <v>559853491.69625652</v>
      </c>
      <c r="D9" s="203">
        <f>'[3]Scenaior 3 2040'!$E$4</f>
        <v>0.33620704028491294</v>
      </c>
      <c r="E9" s="208">
        <f>'[1]Conversion factors selected IV '!$O$7</f>
        <v>0.95154545454545458</v>
      </c>
      <c r="F9" s="202">
        <f>D9*E9*1000000</f>
        <v>319916.28096928942</v>
      </c>
      <c r="G9" s="208">
        <f>'LCoP 2040 high'!E3</f>
        <v>2328.318868454804</v>
      </c>
      <c r="H9" s="202">
        <f>G9*F9</f>
        <v>744867113.30668509</v>
      </c>
      <c r="I9" s="208">
        <f>'LCoP 2040 high'!H3</f>
        <v>0.75400706159285336</v>
      </c>
      <c r="L9" s="202">
        <f>I9*H9</f>
        <v>561635063.38152456</v>
      </c>
      <c r="M9" s="208">
        <f>'LCoP 2040 high'!F3</f>
        <v>0.11553400337236569</v>
      </c>
      <c r="N9" s="267">
        <f>SUM(N10:N15)</f>
        <v>1</v>
      </c>
      <c r="O9" s="202">
        <f>M9*H9</f>
        <v>86057479.580738857</v>
      </c>
      <c r="P9" s="208">
        <f>'LCoP 2040 high'!G3</f>
        <v>0.13045893503478095</v>
      </c>
      <c r="R9" s="202">
        <f>P9*H9</f>
        <v>97174570.344421655</v>
      </c>
      <c r="S9" s="202">
        <f>L9+O9+R9</f>
        <v>744867113.30668509</v>
      </c>
    </row>
    <row r="10" spans="1:19" x14ac:dyDescent="0.35">
      <c r="C10">
        <f>C9/$C$8</f>
        <v>2.1669314124567345E-2</v>
      </c>
      <c r="F10" s="147" t="s">
        <v>179</v>
      </c>
      <c r="G10" s="276">
        <f>SUMIF($J$10:$J$13,F10,$L$10:$L$13)/$L$9</f>
        <v>7.1728348952608184E-2</v>
      </c>
      <c r="I10" s="102" t="s">
        <v>132</v>
      </c>
      <c r="J10" s="147" t="s">
        <v>179</v>
      </c>
      <c r="K10" s="2">
        <f>'Feedstock MIX per IVC'!N6</f>
        <v>125.92405640686168</v>
      </c>
      <c r="L10" s="1">
        <f>K10*F$9</f>
        <v>40285155.810250208</v>
      </c>
      <c r="M10" s="5" t="s">
        <v>211</v>
      </c>
      <c r="N10" s="265">
        <v>0.05</v>
      </c>
      <c r="O10" s="2">
        <f t="shared" ref="O10:O15" si="0">N10*O$9</f>
        <v>4302873.9790369431</v>
      </c>
      <c r="P10" s="18" t="s">
        <v>217</v>
      </c>
      <c r="Q10" s="265">
        <v>0.35</v>
      </c>
      <c r="R10" s="102">
        <f>Q10*Q$9</f>
        <v>0</v>
      </c>
    </row>
    <row r="11" spans="1:19" x14ac:dyDescent="0.35">
      <c r="F11" s="151" t="s">
        <v>77</v>
      </c>
      <c r="G11" s="276">
        <f>SUMIF($J$10:$J$13,F11,$L$10:$L$13)/$L$9/2</f>
        <v>0.39451545169514157</v>
      </c>
      <c r="I11" s="216" t="s">
        <v>300</v>
      </c>
      <c r="J11" s="151" t="s">
        <v>77</v>
      </c>
      <c r="K11" s="6">
        <f>'Feedstock MIX per IVC'!$N$7*0.85</f>
        <v>1385.1980902407511</v>
      </c>
      <c r="L11" s="1">
        <f>K11*F$9</f>
        <v>443147421.43558323</v>
      </c>
      <c r="M11" t="s">
        <v>212</v>
      </c>
      <c r="N11" s="265">
        <v>0.02</v>
      </c>
      <c r="O11" s="2">
        <f t="shared" si="0"/>
        <v>1721149.5916147772</v>
      </c>
      <c r="P11" s="18" t="s">
        <v>177</v>
      </c>
      <c r="Q11" s="265">
        <v>0.25</v>
      </c>
      <c r="R11" s="102">
        <f>Q11*Q$9</f>
        <v>0</v>
      </c>
    </row>
    <row r="12" spans="1:19" x14ac:dyDescent="0.35">
      <c r="F12" s="240" t="s">
        <v>177</v>
      </c>
      <c r="G12" s="276">
        <f t="shared" ref="G12" si="1">SUMIF($J$10:$J$13,F12,$L$10:$L$13)/$L$9</f>
        <v>0.13924074765710878</v>
      </c>
      <c r="I12" s="217" t="s">
        <v>316</v>
      </c>
      <c r="J12" s="240" t="s">
        <v>177</v>
      </c>
      <c r="K12" s="6">
        <f>'Feedstock MIX per IVC'!$N$7*0.15</f>
        <v>244.44672180719135</v>
      </c>
      <c r="L12" s="1">
        <f>K12*F$9</f>
        <v>78202486.135691151</v>
      </c>
      <c r="M12" s="5" t="s">
        <v>210</v>
      </c>
      <c r="N12" s="265">
        <v>0.45</v>
      </c>
      <c r="O12" s="2">
        <f t="shared" si="0"/>
        <v>38725865.811332487</v>
      </c>
      <c r="P12" s="18" t="s">
        <v>218</v>
      </c>
      <c r="Q12" s="265">
        <v>0.2</v>
      </c>
      <c r="R12" s="102">
        <f>Q12*Q$9</f>
        <v>0</v>
      </c>
      <c r="S12" s="2"/>
    </row>
    <row r="13" spans="1:19" x14ac:dyDescent="0.35">
      <c r="F13" s="190" t="s">
        <v>377</v>
      </c>
      <c r="G13" s="276">
        <f>G11</f>
        <v>0.39451545169514157</v>
      </c>
      <c r="L13" s="2"/>
      <c r="M13" t="s">
        <v>213</v>
      </c>
      <c r="N13" s="265">
        <v>0.15</v>
      </c>
      <c r="O13" s="2">
        <f t="shared" si="0"/>
        <v>12908621.937110828</v>
      </c>
      <c r="P13" s="18" t="s">
        <v>219</v>
      </c>
      <c r="Q13" s="265">
        <v>0.15</v>
      </c>
      <c r="R13" s="102">
        <f>Q13*R$9</f>
        <v>14576185.551663248</v>
      </c>
    </row>
    <row r="14" spans="1:19" x14ac:dyDescent="0.35">
      <c r="F14"/>
      <c r="G14" s="2">
        <f>SUM(G10:G13)</f>
        <v>1</v>
      </c>
      <c r="M14" t="s">
        <v>214</v>
      </c>
      <c r="N14" s="265">
        <v>0.3</v>
      </c>
      <c r="O14" s="2">
        <f t="shared" si="0"/>
        <v>25817243.874221656</v>
      </c>
      <c r="P14" s="18" t="s">
        <v>220</v>
      </c>
      <c r="Q14" s="265">
        <v>0.05</v>
      </c>
      <c r="R14" s="102">
        <f>Q14*R$9</f>
        <v>4858728.5172210829</v>
      </c>
    </row>
    <row r="15" spans="1:19" x14ac:dyDescent="0.35">
      <c r="F15" s="31"/>
      <c r="I15" t="s">
        <v>320</v>
      </c>
      <c r="L15" s="2">
        <f>SUM(L10:L12)</f>
        <v>561635063.38152456</v>
      </c>
      <c r="M15" t="s">
        <v>216</v>
      </c>
      <c r="N15" s="265">
        <v>0.03</v>
      </c>
      <c r="O15" s="2">
        <f t="shared" si="0"/>
        <v>2581724.3874221658</v>
      </c>
      <c r="P15" s="18"/>
      <c r="Q15" s="265"/>
      <c r="R15" s="102"/>
    </row>
    <row r="16" spans="1:19" s="201" customFormat="1" x14ac:dyDescent="0.35">
      <c r="A16" s="201" t="s">
        <v>315</v>
      </c>
      <c r="B16" s="201">
        <v>1750</v>
      </c>
      <c r="C16" s="203">
        <f>B16*F16</f>
        <v>10970197356.764629</v>
      </c>
      <c r="D16" s="208">
        <f>'[3]Scenaior 3 2040'!$E$5</f>
        <v>6.5878977971262422</v>
      </c>
      <c r="E16" s="210">
        <f>'[1]Conversion factors selected IV '!$O$64</f>
        <v>0.95154545454545658</v>
      </c>
      <c r="F16" s="202">
        <f>D16*E16*1000000</f>
        <v>6268684.203865503</v>
      </c>
      <c r="G16" s="203">
        <f>'LCoP 2040 high'!E15</f>
        <v>2515.8798219058199</v>
      </c>
      <c r="H16" s="202">
        <f>G16*F16</f>
        <v>15771256098.404968</v>
      </c>
      <c r="I16" s="203">
        <f>'LCoP 2040 high'!H15</f>
        <v>0.14095658259112787</v>
      </c>
      <c r="L16" s="202">
        <f>I16*H16</f>
        <v>2223062362.8006492</v>
      </c>
      <c r="M16" s="203">
        <f>'LCoP 2040 high'!F15</f>
        <v>0.57435175854520304</v>
      </c>
      <c r="N16" s="267">
        <f>SUM(N17:N22)</f>
        <v>1</v>
      </c>
      <c r="O16" s="202">
        <f>M16*H16</f>
        <v>9058248674.5856514</v>
      </c>
      <c r="P16" s="203">
        <f>'LCoP 2040 high'!G15</f>
        <v>0.28469165886366898</v>
      </c>
      <c r="R16" s="202">
        <f>P16*H16</f>
        <v>4489945061.0186663</v>
      </c>
      <c r="S16" s="202">
        <f>L16+O16+R16</f>
        <v>15771256098.404968</v>
      </c>
    </row>
    <row r="17" spans="1:19" x14ac:dyDescent="0.35">
      <c r="C17">
        <f>C16/$C$8</f>
        <v>0.42460510840432908</v>
      </c>
      <c r="F17" s="147" t="s">
        <v>179</v>
      </c>
      <c r="G17" s="2">
        <f>SUMIF($J$17:$J$26,F17,$L$17:$L$26)/$L$16</f>
        <v>0.59524687476164917</v>
      </c>
      <c r="I17" s="5" t="s">
        <v>4</v>
      </c>
      <c r="J17" s="147" t="s">
        <v>179</v>
      </c>
      <c r="K17" s="6">
        <f>'Feedstock MIX per IVC'!N58</f>
        <v>164.37697084922007</v>
      </c>
      <c r="L17" s="2">
        <f t="shared" ref="L17:L26" si="2">K17*F$16</f>
        <v>1030427320.6417661</v>
      </c>
      <c r="M17" s="5" t="s">
        <v>211</v>
      </c>
      <c r="N17" s="34">
        <v>0</v>
      </c>
      <c r="O17" s="2">
        <f t="shared" ref="O17:O22" si="3">N17*O$16</f>
        <v>0</v>
      </c>
      <c r="P17" s="18" t="s">
        <v>217</v>
      </c>
      <c r="Q17" s="34">
        <v>0.25</v>
      </c>
      <c r="R17" s="102">
        <f>Q17*R$16</f>
        <v>1122486265.2546666</v>
      </c>
    </row>
    <row r="18" spans="1:19" x14ac:dyDescent="0.35">
      <c r="F18" s="171" t="s">
        <v>222</v>
      </c>
      <c r="G18" s="2">
        <f t="shared" ref="G18:G21" si="4">SUMIF($J$17:$J$26,F18,$L$17:$L$26)/$L$16</f>
        <v>0.11345982210909367</v>
      </c>
      <c r="I18" s="5" t="s">
        <v>5</v>
      </c>
      <c r="J18" s="147" t="s">
        <v>179</v>
      </c>
      <c r="K18" s="6">
        <f>'Feedstock MIX per IVC'!N59</f>
        <v>7.5825679276511133</v>
      </c>
      <c r="L18" s="2">
        <f t="shared" si="2"/>
        <v>47532723.79280372</v>
      </c>
      <c r="M18" t="s">
        <v>212</v>
      </c>
      <c r="N18" s="34">
        <v>0.02</v>
      </c>
      <c r="O18" s="2">
        <f t="shared" si="3"/>
        <v>181164973.49171302</v>
      </c>
      <c r="P18" s="18" t="s">
        <v>177</v>
      </c>
      <c r="Q18" s="34">
        <v>0.15</v>
      </c>
      <c r="R18" s="102">
        <f>Q18*R$16</f>
        <v>673491759.15279996</v>
      </c>
    </row>
    <row r="19" spans="1:19" x14ac:dyDescent="0.35">
      <c r="F19" s="149" t="s">
        <v>176</v>
      </c>
      <c r="G19" s="2">
        <f t="shared" si="4"/>
        <v>0.13367773228164362</v>
      </c>
      <c r="I19" s="5" t="s">
        <v>22</v>
      </c>
      <c r="J19" s="152" t="s">
        <v>180</v>
      </c>
      <c r="K19" s="6">
        <f>'Feedstock MIX per IVC'!N60</f>
        <v>0</v>
      </c>
      <c r="L19" s="2">
        <f t="shared" si="2"/>
        <v>0</v>
      </c>
      <c r="M19" s="5" t="s">
        <v>210</v>
      </c>
      <c r="N19" s="34">
        <v>0.55000000000000004</v>
      </c>
      <c r="O19" s="2">
        <f t="shared" si="3"/>
        <v>4982036771.022109</v>
      </c>
      <c r="P19" s="18" t="s">
        <v>218</v>
      </c>
      <c r="Q19" s="34">
        <v>0.3</v>
      </c>
      <c r="R19" s="102">
        <f>Q19*R$16</f>
        <v>1346983518.3055999</v>
      </c>
    </row>
    <row r="20" spans="1:19" x14ac:dyDescent="0.35">
      <c r="F20" s="150" t="s">
        <v>178</v>
      </c>
      <c r="G20" s="2">
        <f t="shared" si="4"/>
        <v>1.0276904572171744E-2</v>
      </c>
      <c r="I20" s="5" t="s">
        <v>6</v>
      </c>
      <c r="J20" s="150" t="s">
        <v>178</v>
      </c>
      <c r="K20" s="6">
        <f>'Feedstock MIX per IVC'!N61</f>
        <v>3.6444968381723708</v>
      </c>
      <c r="L20" s="2">
        <f t="shared" si="2"/>
        <v>22846199.760488912</v>
      </c>
      <c r="M20" t="s">
        <v>213</v>
      </c>
      <c r="N20" s="34">
        <v>0.1</v>
      </c>
      <c r="O20" s="2">
        <f t="shared" si="3"/>
        <v>905824867.45856524</v>
      </c>
      <c r="P20" s="18" t="s">
        <v>219</v>
      </c>
      <c r="Q20" s="34">
        <v>0.3</v>
      </c>
      <c r="R20" s="102">
        <f>Q20*R$16</f>
        <v>1346983518.3055999</v>
      </c>
    </row>
    <row r="21" spans="1:19" x14ac:dyDescent="0.35">
      <c r="F21" s="152" t="s">
        <v>180</v>
      </c>
      <c r="G21" s="2">
        <f t="shared" si="4"/>
        <v>2.2230997073894396E-2</v>
      </c>
      <c r="I21" s="5" t="s">
        <v>7</v>
      </c>
      <c r="J21" s="147" t="s">
        <v>179</v>
      </c>
      <c r="K21" s="6">
        <f>'Feedstock MIX per IVC'!N62</f>
        <v>30.968989815063541</v>
      </c>
      <c r="L21" s="2">
        <f t="shared" si="2"/>
        <v>194134817.26336047</v>
      </c>
      <c r="M21" t="s">
        <v>214</v>
      </c>
      <c r="N21" s="34">
        <v>0.3</v>
      </c>
      <c r="O21" s="2">
        <f t="shared" si="3"/>
        <v>2717474602.3756952</v>
      </c>
      <c r="P21" s="18" t="s">
        <v>220</v>
      </c>
      <c r="Q21" s="223">
        <v>0</v>
      </c>
      <c r="R21" s="102">
        <f>Q21*R$16</f>
        <v>0</v>
      </c>
    </row>
    <row r="22" spans="1:19" x14ac:dyDescent="0.35">
      <c r="F22" s="151" t="s">
        <v>77</v>
      </c>
      <c r="G22" s="2">
        <f>SUMIF($J$17:$J$26,F22,$L$17:$L$26)/$L$16/2</f>
        <v>6.2553834600773642E-2</v>
      </c>
      <c r="I22" s="5" t="s">
        <v>8</v>
      </c>
      <c r="J22" s="147" t="s">
        <v>179</v>
      </c>
      <c r="K22" s="6">
        <f>'Feedstock MIX per IVC'!N63</f>
        <v>8.1637645947847499</v>
      </c>
      <c r="L22" s="2">
        <f t="shared" si="2"/>
        <v>51176062.159403622</v>
      </c>
      <c r="M22" t="s">
        <v>216</v>
      </c>
      <c r="N22" s="34">
        <v>0.03</v>
      </c>
      <c r="O22" s="2">
        <f t="shared" si="3"/>
        <v>271747460.23756951</v>
      </c>
      <c r="R22" s="102"/>
    </row>
    <row r="23" spans="1:19" x14ac:dyDescent="0.35">
      <c r="F23" s="190" t="s">
        <v>377</v>
      </c>
      <c r="G23" s="2">
        <f>G22</f>
        <v>6.2553834600773642E-2</v>
      </c>
      <c r="I23" s="5" t="s">
        <v>9</v>
      </c>
      <c r="J23" s="171" t="s">
        <v>222</v>
      </c>
      <c r="K23" s="6">
        <f>'Feedstock MIX per IVC'!N64</f>
        <v>40.236236508013889</v>
      </c>
      <c r="L23" s="2">
        <f t="shared" si="2"/>
        <v>252228260.22078311</v>
      </c>
      <c r="N23" s="118"/>
      <c r="O23" s="2"/>
      <c r="P23" s="18"/>
      <c r="Q23" s="118"/>
      <c r="R23" s="2"/>
    </row>
    <row r="24" spans="1:19" x14ac:dyDescent="0.35">
      <c r="F24"/>
      <c r="G24" s="2">
        <f>SUM(G17:G23)</f>
        <v>1</v>
      </c>
      <c r="I24" s="5" t="s">
        <v>10</v>
      </c>
      <c r="J24" s="149" t="s">
        <v>176</v>
      </c>
      <c r="K24" s="6">
        <f>'Feedstock MIX per IVC'!N65</f>
        <v>47.406110391813137</v>
      </c>
      <c r="L24" s="2">
        <f t="shared" si="2"/>
        <v>297173935.37986326</v>
      </c>
      <c r="N24" s="118"/>
      <c r="O24" s="2"/>
      <c r="P24" s="18"/>
      <c r="Q24" s="118"/>
      <c r="R24" s="102"/>
    </row>
    <row r="25" spans="1:19" x14ac:dyDescent="0.35">
      <c r="F25" s="31"/>
      <c r="I25" s="5" t="s">
        <v>11</v>
      </c>
      <c r="J25" s="152" t="s">
        <v>180</v>
      </c>
      <c r="K25" s="6">
        <f>'Feedstock MIX per IVC'!N66</f>
        <v>7.8837745331039715</v>
      </c>
      <c r="L25" s="2">
        <f t="shared" si="2"/>
        <v>49420892.882505998</v>
      </c>
      <c r="M25" s="2"/>
      <c r="N25" s="118"/>
      <c r="O25" s="2"/>
      <c r="P25" s="18"/>
      <c r="Q25" s="118"/>
      <c r="R25" s="102"/>
    </row>
    <row r="26" spans="1:19" x14ac:dyDescent="0.35">
      <c r="F26" s="31"/>
      <c r="I26" s="13" t="s">
        <v>32</v>
      </c>
      <c r="J26" s="151" t="s">
        <v>77</v>
      </c>
      <c r="K26" s="6">
        <f>'Feedstock MIX per IVC'!N67</f>
        <v>44.366910447996936</v>
      </c>
      <c r="L26" s="2">
        <f t="shared" si="2"/>
        <v>278122150.69967371</v>
      </c>
      <c r="N26" s="118"/>
      <c r="O26" s="2"/>
      <c r="P26" s="18"/>
      <c r="Q26" s="118"/>
      <c r="R26" s="102"/>
    </row>
    <row r="27" spans="1:19" x14ac:dyDescent="0.35">
      <c r="F27" s="31"/>
      <c r="L27" s="2">
        <f>SUM(L17:L26)</f>
        <v>2223062362.8006487</v>
      </c>
      <c r="N27" s="118"/>
      <c r="O27" s="2"/>
      <c r="P27" s="18"/>
      <c r="Q27" s="118"/>
      <c r="R27" s="2">
        <f>SUM(R17:R26)</f>
        <v>4489945061.0186663</v>
      </c>
    </row>
    <row r="28" spans="1:19" s="201" customFormat="1" x14ac:dyDescent="0.35">
      <c r="A28" s="201" t="s">
        <v>295</v>
      </c>
      <c r="B28" s="201">
        <v>1750</v>
      </c>
      <c r="C28" s="202">
        <f>B28*F28</f>
        <v>14306184137.007751</v>
      </c>
      <c r="D28" s="203">
        <f>'[3]Scenaior 3 2040'!$E$6+'[3]Scenaior 3 2040'!$AA$17/2</f>
        <v>8.1749623640044291</v>
      </c>
      <c r="E28" s="201">
        <f>'[1]Conversion factors selected IV '!$O$89</f>
        <v>1</v>
      </c>
      <c r="F28" s="202">
        <f>D28*E28*1000000</f>
        <v>8174962.3640044294</v>
      </c>
      <c r="G28" s="208">
        <f>'LCoP 2040 high'!E19</f>
        <v>1471.3605375763691</v>
      </c>
      <c r="H28" s="203">
        <f>G28*F28</f>
        <v>12028317018.568142</v>
      </c>
      <c r="I28" s="208">
        <f>'LCoP 2040 high'!H19</f>
        <v>0.15622312254955284</v>
      </c>
      <c r="L28" s="202">
        <f>I28*H28</f>
        <v>1879101243.6566429</v>
      </c>
      <c r="M28" s="208">
        <f>'LCoP 2040 high'!F19</f>
        <v>0.54711267526992347</v>
      </c>
      <c r="N28" s="267">
        <f>SUM(N29:N34)</f>
        <v>1</v>
      </c>
      <c r="O28" s="202">
        <f>M28*H28</f>
        <v>6580844703.0235662</v>
      </c>
      <c r="P28" s="208">
        <f>'LCoP 2040 high'!G19</f>
        <v>0.2966642021805237</v>
      </c>
      <c r="R28" s="202">
        <f>P28*H28</f>
        <v>3568371071.8879333</v>
      </c>
      <c r="S28" s="202">
        <f>L28+O28+R28</f>
        <v>12028317018.568142</v>
      </c>
    </row>
    <row r="29" spans="1:19" x14ac:dyDescent="0.35">
      <c r="C29">
        <f>C28/$C$8</f>
        <v>0.55372557747110362</v>
      </c>
      <c r="F29" s="147" t="s">
        <v>179</v>
      </c>
      <c r="G29" s="6">
        <f>SUMIF($J$29:$J$36,F29,$L$29:$L$36)/$L$28</f>
        <v>0.66493379332903557</v>
      </c>
      <c r="H29" s="192" t="s">
        <v>254</v>
      </c>
      <c r="I29" s="12" t="s">
        <v>4</v>
      </c>
      <c r="J29" s="147" t="s">
        <v>179</v>
      </c>
      <c r="K29" s="6">
        <f>'Feedstock MIX per IVC'!N84</f>
        <v>118.83945665169428</v>
      </c>
      <c r="L29" s="2">
        <f t="shared" ref="L29:L36" si="5">K29*F$28</f>
        <v>971508085.48633659</v>
      </c>
      <c r="M29" s="5" t="s">
        <v>211</v>
      </c>
      <c r="N29" s="167">
        <v>0.15</v>
      </c>
      <c r="O29" s="2">
        <f t="shared" ref="O29:O34" si="6">N29*O$28</f>
        <v>987126705.45353484</v>
      </c>
      <c r="P29" s="18" t="s">
        <v>217</v>
      </c>
      <c r="Q29" s="118">
        <v>0.15</v>
      </c>
      <c r="R29" s="2">
        <f>Q29*R$28</f>
        <v>535255660.78318995</v>
      </c>
    </row>
    <row r="30" spans="1:19" x14ac:dyDescent="0.35">
      <c r="D30" s="2"/>
      <c r="F30" s="171" t="s">
        <v>222</v>
      </c>
      <c r="G30" s="6">
        <f t="shared" ref="G30:G33" si="7">SUMIF($J$29:$J$36,F30,$L$29:$L$36)/$L$28</f>
        <v>0.13575863306984345</v>
      </c>
      <c r="H30" s="192" t="s">
        <v>254</v>
      </c>
      <c r="I30" s="12" t="s">
        <v>5</v>
      </c>
      <c r="J30" s="147" t="s">
        <v>179</v>
      </c>
      <c r="K30" s="6">
        <f>'Feedstock MIX per IVC'!N85</f>
        <v>5.4811901407983816</v>
      </c>
      <c r="L30" s="2">
        <f t="shared" si="5"/>
        <v>44808523.110978909</v>
      </c>
      <c r="M30" t="s">
        <v>212</v>
      </c>
      <c r="N30" s="34">
        <v>0.02</v>
      </c>
      <c r="O30" s="2">
        <f t="shared" si="6"/>
        <v>131616894.06047133</v>
      </c>
      <c r="P30" s="18" t="s">
        <v>177</v>
      </c>
      <c r="Q30" s="118">
        <v>0.25</v>
      </c>
      <c r="R30" s="2">
        <f>Q30*R$28</f>
        <v>892092767.97198331</v>
      </c>
    </row>
    <row r="31" spans="1:19" x14ac:dyDescent="0.35">
      <c r="D31" s="2"/>
      <c r="F31" s="149" t="s">
        <v>176</v>
      </c>
      <c r="G31" s="6">
        <f t="shared" si="7"/>
        <v>0.16476353314946637</v>
      </c>
      <c r="H31" s="192" t="s">
        <v>254</v>
      </c>
      <c r="I31" s="12" t="s">
        <v>6</v>
      </c>
      <c r="J31" s="150" t="s">
        <v>178</v>
      </c>
      <c r="K31" s="6">
        <f>'Feedstock MIX per IVC'!N86</f>
        <v>2.6327336601860338</v>
      </c>
      <c r="L31" s="2">
        <f t="shared" si="5"/>
        <v>21522498.586468454</v>
      </c>
      <c r="M31" s="5" t="s">
        <v>210</v>
      </c>
      <c r="N31" s="167">
        <v>0.45</v>
      </c>
      <c r="O31" s="2">
        <f t="shared" si="6"/>
        <v>2961380116.3606048</v>
      </c>
      <c r="P31" s="18" t="s">
        <v>218</v>
      </c>
      <c r="Q31" s="118">
        <v>0.2</v>
      </c>
      <c r="R31" s="2">
        <f>Q31*R$28</f>
        <v>713674214.37758672</v>
      </c>
    </row>
    <row r="32" spans="1:19" x14ac:dyDescent="0.35">
      <c r="D32" s="2"/>
      <c r="F32" s="150" t="s">
        <v>178</v>
      </c>
      <c r="G32" s="6">
        <f t="shared" si="7"/>
        <v>1.1453613081851131E-2</v>
      </c>
      <c r="H32" s="192" t="s">
        <v>254</v>
      </c>
      <c r="I32" s="12" t="s">
        <v>7</v>
      </c>
      <c r="J32" s="147" t="s">
        <v>179</v>
      </c>
      <c r="K32" s="6">
        <f>'Feedstock MIX per IVC'!N87</f>
        <v>22.593373092924249</v>
      </c>
      <c r="L32" s="2">
        <f t="shared" si="5"/>
        <v>184699974.7105661</v>
      </c>
      <c r="M32" t="s">
        <v>213</v>
      </c>
      <c r="N32" s="34">
        <v>0.1</v>
      </c>
      <c r="O32" s="2">
        <f t="shared" si="6"/>
        <v>658084470.30235672</v>
      </c>
      <c r="P32" s="18" t="s">
        <v>219</v>
      </c>
      <c r="Q32" s="118">
        <v>0.3</v>
      </c>
      <c r="R32" s="2">
        <f>Q32*R$28</f>
        <v>1070511321.5663799</v>
      </c>
      <c r="S32" s="2"/>
    </row>
    <row r="33" spans="1:18" x14ac:dyDescent="0.35">
      <c r="D33" s="2"/>
      <c r="F33" s="152" t="s">
        <v>180</v>
      </c>
      <c r="G33" s="6">
        <f t="shared" si="7"/>
        <v>2.3090427369803705E-2</v>
      </c>
      <c r="H33" s="192" t="s">
        <v>254</v>
      </c>
      <c r="I33" s="12" t="s">
        <v>8</v>
      </c>
      <c r="J33" s="147" t="s">
        <v>179</v>
      </c>
      <c r="K33" s="6">
        <f>'Feedstock MIX per IVC'!N88</f>
        <v>5.9280193018894751</v>
      </c>
      <c r="L33" s="2">
        <f t="shared" si="5"/>
        <v>48461334.686038271</v>
      </c>
      <c r="M33" t="s">
        <v>214</v>
      </c>
      <c r="N33" s="34">
        <v>0.25</v>
      </c>
      <c r="O33" s="2">
        <f t="shared" si="6"/>
        <v>1645211175.7558916</v>
      </c>
      <c r="P33" s="18" t="s">
        <v>220</v>
      </c>
      <c r="Q33" s="118">
        <v>0.1</v>
      </c>
      <c r="R33" s="2">
        <f>Q33*R$28</f>
        <v>356837107.18879336</v>
      </c>
    </row>
    <row r="34" spans="1:18" x14ac:dyDescent="0.35">
      <c r="D34" s="2"/>
      <c r="F34" s="31"/>
      <c r="G34" s="6">
        <f>SUM(G29:G33)</f>
        <v>1.0000000000000002</v>
      </c>
      <c r="H34" s="192" t="s">
        <v>254</v>
      </c>
      <c r="I34" s="12" t="s">
        <v>9</v>
      </c>
      <c r="J34" s="171" t="s">
        <v>222</v>
      </c>
      <c r="K34" s="6">
        <f>'Feedstock MIX per IVC'!N89</f>
        <v>31.205552378067249</v>
      </c>
      <c r="L34" s="2">
        <f t="shared" si="5"/>
        <v>255104216.23866868</v>
      </c>
      <c r="M34" t="s">
        <v>216</v>
      </c>
      <c r="N34" s="34">
        <v>0.03</v>
      </c>
      <c r="O34" s="2">
        <f t="shared" si="6"/>
        <v>197425341.09070697</v>
      </c>
      <c r="P34" s="18"/>
      <c r="Q34" s="118">
        <f>SUM(Q29:Q33)</f>
        <v>1.0000000000000002</v>
      </c>
      <c r="R34" s="2"/>
    </row>
    <row r="35" spans="1:18" x14ac:dyDescent="0.35">
      <c r="D35" s="2"/>
      <c r="F35" s="31"/>
      <c r="G35" s="6"/>
      <c r="H35" s="192" t="s">
        <v>254</v>
      </c>
      <c r="I35" s="12" t="s">
        <v>10</v>
      </c>
      <c r="J35" s="149" t="s">
        <v>176</v>
      </c>
      <c r="K35" s="6">
        <f>'Feedstock MIX per IVC'!N90</f>
        <v>37.872634302718239</v>
      </c>
      <c r="L35" s="2">
        <f t="shared" si="5"/>
        <v>309607360.05042475</v>
      </c>
    </row>
    <row r="36" spans="1:18" x14ac:dyDescent="0.35">
      <c r="D36" s="2"/>
      <c r="F36" s="31"/>
      <c r="G36" s="6"/>
      <c r="H36" s="192" t="s">
        <v>254</v>
      </c>
      <c r="I36" s="12" t="s">
        <v>11</v>
      </c>
      <c r="J36" s="152" t="s">
        <v>180</v>
      </c>
      <c r="K36" s="6">
        <f>'Feedstock MIX per IVC'!N91</f>
        <v>5.3075780480911847</v>
      </c>
      <c r="L36" s="2">
        <f t="shared" si="5"/>
        <v>43389250.787161529</v>
      </c>
      <c r="M36" s="2"/>
      <c r="O36" s="2"/>
    </row>
    <row r="37" spans="1:18" x14ac:dyDescent="0.35">
      <c r="D37" s="2"/>
      <c r="F37" s="31"/>
      <c r="G37" s="6"/>
      <c r="H37" s="192"/>
      <c r="I37" s="105"/>
      <c r="J37" s="237"/>
      <c r="K37" s="6"/>
      <c r="L37" s="2"/>
      <c r="M37" s="2"/>
      <c r="O37" s="2"/>
      <c r="R37" s="2"/>
    </row>
    <row r="38" spans="1:18" x14ac:dyDescent="0.35">
      <c r="D38" s="6"/>
      <c r="E38" s="6"/>
      <c r="F38" s="31"/>
      <c r="G38" s="6"/>
      <c r="H38" s="6"/>
      <c r="I38" s="212" t="s">
        <v>281</v>
      </c>
      <c r="J38" s="6"/>
      <c r="K38" s="6"/>
      <c r="L38" s="2">
        <f>SUM(L39:L46)</f>
        <v>4663798669.8388166</v>
      </c>
      <c r="M38" s="78" t="s">
        <v>181</v>
      </c>
      <c r="O38" s="90">
        <f>SUM(O39:O44)</f>
        <v>15725150857.189957</v>
      </c>
      <c r="P38" s="78" t="s">
        <v>181</v>
      </c>
      <c r="Q38" s="78"/>
      <c r="R38" s="90">
        <f>SUM(R39:R43)</f>
        <v>8077751046.9754839</v>
      </c>
    </row>
    <row r="39" spans="1:18" x14ac:dyDescent="0.35">
      <c r="D39" s="6"/>
      <c r="E39" s="6"/>
      <c r="F39" s="31"/>
      <c r="G39" s="6"/>
      <c r="H39" s="6"/>
      <c r="I39" s="6"/>
      <c r="J39" s="147" t="s">
        <v>179</v>
      </c>
      <c r="K39" s="6"/>
      <c r="L39" s="2">
        <f t="shared" ref="L39:L46" si="8">SUMIF($J$10:$J$36,J39,$L$10:$L$36)</f>
        <v>2613033997.6615043</v>
      </c>
      <c r="M39" s="5" t="s">
        <v>211</v>
      </c>
      <c r="O39" s="2">
        <f t="shared" ref="O39:O44" si="9">SUMIF($M$10:$M$36,M39,$O$10:$O$36)</f>
        <v>991429579.43257177</v>
      </c>
      <c r="P39" s="18" t="s">
        <v>217</v>
      </c>
      <c r="R39" s="2">
        <f>SUMIF($P$10:$P$36,P39,$R$10:$R$36)</f>
        <v>1657741926.0378566</v>
      </c>
    </row>
    <row r="40" spans="1:18" x14ac:dyDescent="0.35">
      <c r="D40" s="6"/>
      <c r="E40" s="6"/>
      <c r="F40" s="31"/>
      <c r="G40" s="6"/>
      <c r="H40" s="6"/>
      <c r="I40" s="6"/>
      <c r="J40" s="171" t="s">
        <v>222</v>
      </c>
      <c r="K40" s="6"/>
      <c r="L40" s="2">
        <f t="shared" si="8"/>
        <v>507332476.45945179</v>
      </c>
      <c r="M40" t="s">
        <v>212</v>
      </c>
      <c r="O40" s="2">
        <f t="shared" si="9"/>
        <v>314503017.14379913</v>
      </c>
      <c r="P40" s="18" t="s">
        <v>177</v>
      </c>
      <c r="R40" s="2">
        <f>SUMIF($P$10:$P$36,P40,$R$10:$R$36)</f>
        <v>1565584527.1247833</v>
      </c>
    </row>
    <row r="41" spans="1:18" x14ac:dyDescent="0.35">
      <c r="D41" s="6"/>
      <c r="E41" s="6"/>
      <c r="F41" s="31"/>
      <c r="G41" s="6"/>
      <c r="H41" s="6"/>
      <c r="I41" s="6"/>
      <c r="J41" s="149" t="s">
        <v>176</v>
      </c>
      <c r="K41" s="6"/>
      <c r="L41" s="2">
        <f t="shared" si="8"/>
        <v>606781295.43028808</v>
      </c>
      <c r="M41" s="5" t="s">
        <v>210</v>
      </c>
      <c r="O41" s="2">
        <f t="shared" si="9"/>
        <v>7982142753.194046</v>
      </c>
      <c r="P41" s="18" t="s">
        <v>218</v>
      </c>
      <c r="R41" s="2">
        <f>SUMIF($P$10:$P$36,P41,$R$10:$R$36)</f>
        <v>2060657732.6831865</v>
      </c>
    </row>
    <row r="42" spans="1:18" x14ac:dyDescent="0.35">
      <c r="D42" s="6"/>
      <c r="E42" s="6"/>
      <c r="F42" s="31"/>
      <c r="G42" s="6"/>
      <c r="H42" s="6"/>
      <c r="I42" s="6"/>
      <c r="J42" s="150" t="s">
        <v>178</v>
      </c>
      <c r="K42" s="6"/>
      <c r="L42" s="2">
        <f t="shared" si="8"/>
        <v>44368698.346957371</v>
      </c>
      <c r="M42" t="s">
        <v>213</v>
      </c>
      <c r="O42" s="2">
        <f t="shared" si="9"/>
        <v>1576817959.6980329</v>
      </c>
      <c r="P42" s="18" t="s">
        <v>219</v>
      </c>
      <c r="R42" s="2">
        <f>SUMIF($P$10:$P$36,P42,$R$10:$R$36)</f>
        <v>2432071025.4236431</v>
      </c>
    </row>
    <row r="43" spans="1:18" x14ac:dyDescent="0.35">
      <c r="D43" s="6"/>
      <c r="E43" s="6"/>
      <c r="F43" s="31"/>
      <c r="G43" s="6"/>
      <c r="H43" s="6"/>
      <c r="I43" s="6"/>
      <c r="J43" s="152" t="s">
        <v>180</v>
      </c>
      <c r="K43" s="6"/>
      <c r="L43" s="2">
        <f t="shared" si="8"/>
        <v>92810143.669667527</v>
      </c>
      <c r="M43" t="s">
        <v>214</v>
      </c>
      <c r="O43" s="2">
        <f t="shared" si="9"/>
        <v>4388503022.0058088</v>
      </c>
      <c r="P43" s="18" t="s">
        <v>220</v>
      </c>
      <c r="R43" s="2">
        <f>SUMIF($P$10:$P$36,P43,$R$10:$R$36)</f>
        <v>361695835.70601445</v>
      </c>
    </row>
    <row r="44" spans="1:18" x14ac:dyDescent="0.35">
      <c r="D44" s="6"/>
      <c r="E44" s="6"/>
      <c r="F44" s="31"/>
      <c r="G44" s="6"/>
      <c r="H44" s="6"/>
      <c r="I44" s="212"/>
      <c r="J44" s="151" t="s">
        <v>77</v>
      </c>
      <c r="K44" s="6"/>
      <c r="L44" s="2">
        <f t="shared" si="8"/>
        <v>721269572.13525701</v>
      </c>
      <c r="M44" t="s">
        <v>216</v>
      </c>
      <c r="O44" s="2">
        <f t="shared" si="9"/>
        <v>471754525.7156986</v>
      </c>
    </row>
    <row r="45" spans="1:18" x14ac:dyDescent="0.35">
      <c r="D45" s="6"/>
      <c r="E45" s="6"/>
      <c r="F45" s="31"/>
      <c r="G45" s="6"/>
      <c r="J45" s="240" t="s">
        <v>177</v>
      </c>
      <c r="L45" s="2">
        <f t="shared" si="8"/>
        <v>78202486.135691151</v>
      </c>
    </row>
    <row r="46" spans="1:18" x14ac:dyDescent="0.35">
      <c r="D46" s="6"/>
      <c r="E46" s="6"/>
      <c r="F46" s="31"/>
      <c r="G46" s="6"/>
      <c r="J46" s="190" t="s">
        <v>377</v>
      </c>
      <c r="L46" s="2">
        <f t="shared" si="8"/>
        <v>0</v>
      </c>
    </row>
    <row r="47" spans="1:18" s="91" customFormat="1" ht="41" customHeight="1" x14ac:dyDescent="0.35">
      <c r="A47" s="91" t="s">
        <v>78</v>
      </c>
      <c r="F47" s="169"/>
    </row>
    <row r="48" spans="1:18" ht="17.5" customHeight="1" x14ac:dyDescent="0.35">
      <c r="C48" s="2">
        <f>C49+C56+C63+C72</f>
        <v>68291023630.423492</v>
      </c>
      <c r="D48" s="2">
        <f>D49+D56+D63+D72</f>
        <v>46.270763545672182</v>
      </c>
      <c r="F48" s="2">
        <f>F49+F56+F63+F72</f>
        <v>60254583.644000307</v>
      </c>
      <c r="L48" s="2">
        <f>L49+L56+L63+L72</f>
        <v>25976490213.410442</v>
      </c>
      <c r="O48" s="2">
        <f>O49+O56+O63+O72</f>
        <v>28688115340.725811</v>
      </c>
      <c r="R48" s="2">
        <f>R49+R56+R63+R72</f>
        <v>24029484783.547817</v>
      </c>
    </row>
    <row r="49" spans="1:19" s="201" customFormat="1" ht="17.5" customHeight="1" x14ac:dyDescent="0.35">
      <c r="A49" s="201" t="s">
        <v>297</v>
      </c>
      <c r="B49" s="201">
        <v>1000</v>
      </c>
      <c r="C49" s="202">
        <f>B49*F49</f>
        <v>8879580635.8031902</v>
      </c>
      <c r="D49" s="203">
        <f>'[3]Scenaior 3 2040'!$E$8</f>
        <v>5.7262987763133202</v>
      </c>
      <c r="E49" s="210">
        <f>'[1]Conversion factors selected IV '!$O$17</f>
        <v>1.5506666666666669</v>
      </c>
      <c r="F49" s="202">
        <f>D49*E49*1000000</f>
        <v>8879580.635803191</v>
      </c>
      <c r="G49" s="208">
        <f>'LCoP 2040 high'!E5</f>
        <v>1287.7569444827247</v>
      </c>
      <c r="H49" s="203">
        <f>G49*F49</f>
        <v>11434741627.849888</v>
      </c>
      <c r="I49" s="208">
        <f>'LCoP 2040 high'!H5</f>
        <v>0.26849549984109067</v>
      </c>
      <c r="L49" s="202">
        <f>I49*H49</f>
        <v>3070176668.9232826</v>
      </c>
      <c r="M49" s="208">
        <f>'LCoP 2040 high'!F5</f>
        <v>0.43098195073056761</v>
      </c>
      <c r="O49" s="202">
        <f>M49*H49</f>
        <v>4928167252.8707705</v>
      </c>
      <c r="P49" s="208">
        <f>'LCoP 2040 high'!G5</f>
        <v>0.30052254942834178</v>
      </c>
      <c r="R49" s="202">
        <f>P49*H49</f>
        <v>3436397706.0558352</v>
      </c>
      <c r="S49" s="203">
        <f>R49+O49+L49</f>
        <v>11434741627.849888</v>
      </c>
    </row>
    <row r="50" spans="1:19" ht="15" customHeight="1" x14ac:dyDescent="0.35">
      <c r="C50">
        <f>C49/$C$48</f>
        <v>0.1300255899495312</v>
      </c>
      <c r="F50" s="147" t="s">
        <v>179</v>
      </c>
      <c r="G50" s="6">
        <f>SUMIF($J$50:$J$53,F50,$L$50:$L$53)/$L$49</f>
        <v>0.83547712199842605</v>
      </c>
      <c r="H50" s="192" t="s">
        <v>254</v>
      </c>
      <c r="I50" s="7" t="s">
        <v>4</v>
      </c>
      <c r="J50" s="147" t="s">
        <v>179</v>
      </c>
      <c r="K50" s="6">
        <f>'Feedstock MIX per IVC'!N13</f>
        <v>233.7029998304173</v>
      </c>
      <c r="L50">
        <f>K50*F$49</f>
        <v>2075184631.8232899</v>
      </c>
      <c r="M50" s="5" t="s">
        <v>211</v>
      </c>
      <c r="N50" s="34">
        <v>0</v>
      </c>
      <c r="O50" s="2">
        <f t="shared" ref="O50:O55" si="10">N50*O$49</f>
        <v>0</v>
      </c>
      <c r="P50" s="18" t="s">
        <v>217</v>
      </c>
      <c r="Q50" s="34">
        <v>0.2</v>
      </c>
      <c r="R50" s="2">
        <f>Q50*R$49</f>
        <v>687279541.2111671</v>
      </c>
    </row>
    <row r="51" spans="1:19" ht="15" customHeight="1" x14ac:dyDescent="0.35">
      <c r="F51" s="149" t="s">
        <v>176</v>
      </c>
      <c r="G51" s="6">
        <f>SUMIF($J$50:$J$53,F51,$L$50:$L$53)/$L$49</f>
        <v>0.16452287800157367</v>
      </c>
      <c r="H51" s="192" t="s">
        <v>254</v>
      </c>
      <c r="I51" s="7" t="s">
        <v>7</v>
      </c>
      <c r="J51" s="147" t="s">
        <v>179</v>
      </c>
      <c r="K51" s="6">
        <f>'Feedstock MIX per IVC'!N14</f>
        <v>43.614908218878313</v>
      </c>
      <c r="L51">
        <f>K51*F$49</f>
        <v>387282094.4526853</v>
      </c>
      <c r="M51" t="s">
        <v>212</v>
      </c>
      <c r="N51" s="34">
        <v>0.02</v>
      </c>
      <c r="O51" s="2">
        <f t="shared" si="10"/>
        <v>98563345.057415411</v>
      </c>
      <c r="P51" s="18" t="s">
        <v>177</v>
      </c>
      <c r="Q51" s="34">
        <v>0.5</v>
      </c>
      <c r="R51" s="2">
        <f>Q51*R$49</f>
        <v>1718198853.0279176</v>
      </c>
    </row>
    <row r="52" spans="1:19" ht="15" customHeight="1" x14ac:dyDescent="0.35">
      <c r="F52" s="31"/>
      <c r="H52" s="192" t="s">
        <v>254</v>
      </c>
      <c r="I52" s="7" t="s">
        <v>8</v>
      </c>
      <c r="J52" s="147" t="s">
        <v>179</v>
      </c>
      <c r="K52" s="6">
        <f>'Feedstock MIX per IVC'!N15</f>
        <v>11.554108838100944</v>
      </c>
      <c r="L52">
        <f>K52*F$49</f>
        <v>102595641.10276365</v>
      </c>
      <c r="M52" s="5" t="s">
        <v>210</v>
      </c>
      <c r="N52" s="34">
        <v>0.5</v>
      </c>
      <c r="O52" s="2">
        <f t="shared" si="10"/>
        <v>2464083626.4353852</v>
      </c>
      <c r="P52" s="18" t="s">
        <v>218</v>
      </c>
      <c r="Q52" s="34">
        <v>0.15</v>
      </c>
      <c r="R52" s="2">
        <f>Q52*R$49</f>
        <v>515459655.90837526</v>
      </c>
    </row>
    <row r="53" spans="1:19" ht="15" customHeight="1" x14ac:dyDescent="0.35">
      <c r="F53" s="31"/>
      <c r="H53" s="192" t="s">
        <v>254</v>
      </c>
      <c r="I53" s="7" t="s">
        <v>10</v>
      </c>
      <c r="J53" s="149" t="s">
        <v>176</v>
      </c>
      <c r="K53" s="6">
        <f>'Feedstock MIX per IVC'!N16</f>
        <v>56.884927595328222</v>
      </c>
      <c r="L53">
        <f>K53*F$49</f>
        <v>505114301.54454303</v>
      </c>
      <c r="M53" t="s">
        <v>213</v>
      </c>
      <c r="N53" s="34">
        <v>0.15</v>
      </c>
      <c r="O53" s="2">
        <f t="shared" si="10"/>
        <v>739225087.93061554</v>
      </c>
      <c r="P53" s="18" t="s">
        <v>219</v>
      </c>
      <c r="Q53" s="34">
        <v>0.1</v>
      </c>
      <c r="R53" s="2">
        <f>Q53*R$49</f>
        <v>343639770.60558355</v>
      </c>
    </row>
    <row r="54" spans="1:19" ht="15" customHeight="1" x14ac:dyDescent="0.35">
      <c r="F54" s="31"/>
      <c r="M54" t="s">
        <v>214</v>
      </c>
      <c r="N54" s="34">
        <v>0.3</v>
      </c>
      <c r="O54" s="2">
        <f t="shared" si="10"/>
        <v>1478450175.8612311</v>
      </c>
      <c r="P54" s="18" t="s">
        <v>220</v>
      </c>
      <c r="Q54" s="34">
        <v>0.05</v>
      </c>
      <c r="R54" s="2">
        <f>Q54*R$49</f>
        <v>171819885.30279177</v>
      </c>
    </row>
    <row r="55" spans="1:19" ht="15" customHeight="1" x14ac:dyDescent="0.35">
      <c r="F55" s="31"/>
      <c r="M55" t="s">
        <v>216</v>
      </c>
      <c r="N55" s="34">
        <v>0.03</v>
      </c>
      <c r="O55" s="2">
        <f t="shared" si="10"/>
        <v>147845017.58612311</v>
      </c>
      <c r="R55" s="2"/>
    </row>
    <row r="56" spans="1:19" s="201" customFormat="1" ht="17.5" customHeight="1" x14ac:dyDescent="0.35">
      <c r="A56" s="201" t="s">
        <v>303</v>
      </c>
      <c r="B56" s="201">
        <v>1000</v>
      </c>
      <c r="C56" s="202">
        <f>B56*F56</f>
        <v>30498585888.06023</v>
      </c>
      <c r="D56" s="208">
        <f>'[3]Scenaior 3 2040'!$E$9</f>
        <v>19.668047649221986</v>
      </c>
      <c r="E56" s="201">
        <f>'[1]Conversion factors selected IV '!$O$86</f>
        <v>1.5506666666666669</v>
      </c>
      <c r="F56" s="202">
        <f>D56*E56*1000000</f>
        <v>30498585.888060231</v>
      </c>
      <c r="G56" s="208">
        <f>'LCoP 2040 high'!E17</f>
        <v>1166.3499999999999</v>
      </c>
      <c r="H56" s="203">
        <f>G56*F56</f>
        <v>35572025650.539047</v>
      </c>
      <c r="I56" s="208">
        <f>'LCoP 2040 high'!H17</f>
        <v>0.50893814035238139</v>
      </c>
      <c r="L56" s="202">
        <f>I56*H56</f>
        <v>18103960583.152554</v>
      </c>
      <c r="M56" s="208">
        <f>'LCoP 2040 high'!F17</f>
        <v>0.2383504093968363</v>
      </c>
      <c r="O56" s="202">
        <f>M56*H56</f>
        <v>8478606876.880744</v>
      </c>
      <c r="P56" s="208">
        <f>'LCoP 2040 high'!G17</f>
        <v>0.2527114502507824</v>
      </c>
      <c r="R56" s="202">
        <f>P56*H56</f>
        <v>8989458190.5057545</v>
      </c>
      <c r="S56" s="203">
        <f>R56+O56+L56</f>
        <v>35572025650.539047</v>
      </c>
    </row>
    <row r="57" spans="1:19" ht="14.5" customHeight="1" x14ac:dyDescent="0.35">
      <c r="C57">
        <f>C56/$C$48</f>
        <v>0.44659728712095598</v>
      </c>
      <c r="F57" s="31"/>
      <c r="I57" s="16" t="s">
        <v>36</v>
      </c>
      <c r="J57" s="190" t="s">
        <v>79</v>
      </c>
      <c r="K57" s="6">
        <f>'Feedstock MIX per IVC'!N80</f>
        <v>593.6</v>
      </c>
      <c r="L57" s="31">
        <f>K57*F56</f>
        <v>18103960583.152554</v>
      </c>
      <c r="M57" s="5" t="s">
        <v>211</v>
      </c>
      <c r="N57" s="34">
        <v>0</v>
      </c>
      <c r="O57" s="2">
        <f t="shared" ref="O57:O62" si="11">N57*O$56</f>
        <v>0</v>
      </c>
      <c r="P57" s="18" t="s">
        <v>217</v>
      </c>
      <c r="Q57" s="34">
        <v>0.2</v>
      </c>
      <c r="R57" s="2">
        <f>Q57*R$56</f>
        <v>1797891638.101151</v>
      </c>
    </row>
    <row r="58" spans="1:19" ht="14.5" customHeight="1" x14ac:dyDescent="0.35">
      <c r="D58" s="6"/>
      <c r="F58" s="31"/>
      <c r="M58" t="s">
        <v>212</v>
      </c>
      <c r="N58" s="34">
        <v>0.02</v>
      </c>
      <c r="O58" s="2">
        <f t="shared" si="11"/>
        <v>169572137.53761488</v>
      </c>
      <c r="P58" s="18" t="s">
        <v>177</v>
      </c>
      <c r="Q58" s="34">
        <v>0.5</v>
      </c>
      <c r="R58" s="2">
        <f>Q58*R$56</f>
        <v>4494729095.2528772</v>
      </c>
    </row>
    <row r="59" spans="1:19" ht="14.5" customHeight="1" x14ac:dyDescent="0.35">
      <c r="D59" s="6"/>
      <c r="F59" s="31"/>
      <c r="M59" s="5" t="s">
        <v>210</v>
      </c>
      <c r="N59" s="34">
        <v>0.5</v>
      </c>
      <c r="O59" s="2">
        <f t="shared" si="11"/>
        <v>4239303438.440372</v>
      </c>
      <c r="P59" s="18" t="s">
        <v>218</v>
      </c>
      <c r="Q59" s="34">
        <v>0.15</v>
      </c>
      <c r="R59" s="2">
        <f>Q59*R$56</f>
        <v>1348418728.5758631</v>
      </c>
    </row>
    <row r="60" spans="1:19" ht="14.5" customHeight="1" x14ac:dyDescent="0.35">
      <c r="D60" s="6"/>
      <c r="F60" s="31"/>
      <c r="M60" t="s">
        <v>213</v>
      </c>
      <c r="N60" s="34">
        <v>0.15</v>
      </c>
      <c r="O60" s="2">
        <f t="shared" si="11"/>
        <v>1271791031.5321116</v>
      </c>
      <c r="P60" s="18" t="s">
        <v>219</v>
      </c>
      <c r="Q60" s="34">
        <v>0.1</v>
      </c>
      <c r="R60" s="2">
        <f>Q60*R$56</f>
        <v>898945819.05057549</v>
      </c>
    </row>
    <row r="61" spans="1:19" ht="14.5" customHeight="1" x14ac:dyDescent="0.35">
      <c r="F61" s="31"/>
      <c r="M61" t="s">
        <v>214</v>
      </c>
      <c r="N61" s="34">
        <v>0.3</v>
      </c>
      <c r="O61" s="2">
        <f t="shared" si="11"/>
        <v>2543582063.0642233</v>
      </c>
      <c r="P61" s="18" t="s">
        <v>220</v>
      </c>
      <c r="Q61" s="34">
        <v>0.05</v>
      </c>
      <c r="R61" s="2">
        <f>Q61*R$56</f>
        <v>449472909.52528775</v>
      </c>
    </row>
    <row r="62" spans="1:19" ht="14.5" customHeight="1" x14ac:dyDescent="0.35">
      <c r="F62" s="31"/>
      <c r="M62" t="s">
        <v>216</v>
      </c>
      <c r="N62" s="34">
        <v>0.03</v>
      </c>
      <c r="O62" s="2">
        <f t="shared" si="11"/>
        <v>254358206.30642232</v>
      </c>
    </row>
    <row r="63" spans="1:19" s="201" customFormat="1" ht="17.5" customHeight="1" x14ac:dyDescent="0.35">
      <c r="A63" s="201" t="s">
        <v>295</v>
      </c>
      <c r="B63" s="201">
        <v>1750</v>
      </c>
      <c r="C63" s="202">
        <f>B63*F63</f>
        <v>14306184137.007751</v>
      </c>
      <c r="D63" s="203">
        <f>'[3]Scenaior 3 2040'!$E$10+'[3]Scenaior 3 2040'!$AA$17/2</f>
        <v>8.1749623640044291</v>
      </c>
      <c r="E63" s="201">
        <f>'[1]Conversion factors selected IV '!$O$89</f>
        <v>1</v>
      </c>
      <c r="F63" s="202">
        <f>D63*E63*1000000</f>
        <v>8174962.3640044294</v>
      </c>
      <c r="G63" s="208">
        <f>'LCoP 2040 high'!E19</f>
        <v>1471.3605375763691</v>
      </c>
      <c r="H63" s="203">
        <f>G63*F63</f>
        <v>12028317018.568142</v>
      </c>
      <c r="I63" s="208">
        <f>'LCoP 2040 high'!H19</f>
        <v>0.15622312254955284</v>
      </c>
      <c r="L63" s="202">
        <f>I63*H63</f>
        <v>1879101243.6566429</v>
      </c>
      <c r="M63" s="208">
        <f>'LCoP 2040 high'!F19</f>
        <v>0.54711267526992347</v>
      </c>
      <c r="O63" s="202">
        <f>M63*H63</f>
        <v>6580844703.0235662</v>
      </c>
      <c r="P63" s="208">
        <f>'LCoP 2040 high'!G19</f>
        <v>0.2966642021805237</v>
      </c>
      <c r="R63" s="202">
        <f>P63*H63</f>
        <v>3568371071.8879333</v>
      </c>
      <c r="S63" s="203">
        <f>R63+O63+L63</f>
        <v>12028317018.568142</v>
      </c>
    </row>
    <row r="64" spans="1:19" ht="17.5" customHeight="1" x14ac:dyDescent="0.35">
      <c r="C64">
        <f>C63/$C$48</f>
        <v>0.20948850048623929</v>
      </c>
      <c r="F64" s="147" t="s">
        <v>179</v>
      </c>
      <c r="G64" s="6">
        <f>SUMIF($J$64:$J$71,F64,$L$64:$L$71)/$L$63</f>
        <v>0.66493379332903557</v>
      </c>
      <c r="H64" s="192" t="s">
        <v>254</v>
      </c>
      <c r="I64" s="5" t="s">
        <v>4</v>
      </c>
      <c r="J64" s="147" t="s">
        <v>179</v>
      </c>
      <c r="K64" s="6">
        <f>'Feedstock MIX per IVC'!N84</f>
        <v>118.83945665169428</v>
      </c>
      <c r="L64">
        <f t="shared" ref="L64:L71" si="12">K64*F$63</f>
        <v>971508085.48633659</v>
      </c>
      <c r="M64" s="5" t="s">
        <v>211</v>
      </c>
      <c r="N64" s="167">
        <v>0.15</v>
      </c>
      <c r="O64" s="2">
        <f t="shared" ref="O64:O69" si="13">N64*O$63</f>
        <v>987126705.45353484</v>
      </c>
      <c r="P64" s="18" t="s">
        <v>217</v>
      </c>
      <c r="Q64" s="118">
        <v>0.15</v>
      </c>
      <c r="R64" s="2">
        <f>Q64*R$63</f>
        <v>535255660.78318995</v>
      </c>
    </row>
    <row r="65" spans="1:19" ht="17.5" customHeight="1" x14ac:dyDescent="0.35">
      <c r="F65" s="171" t="s">
        <v>222</v>
      </c>
      <c r="G65" s="6">
        <f t="shared" ref="G65:G69" si="14">SUMIF($J$64:$J$71,F65,$L$64:$L$71)/$L$63</f>
        <v>0.13575863306984345</v>
      </c>
      <c r="H65" s="192" t="s">
        <v>254</v>
      </c>
      <c r="I65" s="5" t="s">
        <v>5</v>
      </c>
      <c r="J65" s="147" t="s">
        <v>179</v>
      </c>
      <c r="K65" s="6">
        <f>'Feedstock MIX per IVC'!N85</f>
        <v>5.4811901407983816</v>
      </c>
      <c r="L65">
        <f t="shared" si="12"/>
        <v>44808523.110978909</v>
      </c>
      <c r="M65" t="s">
        <v>212</v>
      </c>
      <c r="N65" s="34">
        <v>0.02</v>
      </c>
      <c r="O65" s="2">
        <f t="shared" si="13"/>
        <v>131616894.06047133</v>
      </c>
      <c r="P65" s="18" t="s">
        <v>177</v>
      </c>
      <c r="Q65" s="118">
        <v>0.25</v>
      </c>
      <c r="R65" s="2">
        <f>Q65*R$63</f>
        <v>892092767.97198331</v>
      </c>
    </row>
    <row r="66" spans="1:19" ht="17.5" customHeight="1" x14ac:dyDescent="0.35">
      <c r="F66" s="149" t="s">
        <v>176</v>
      </c>
      <c r="G66" s="6">
        <f t="shared" si="14"/>
        <v>0.16476353314946637</v>
      </c>
      <c r="H66" s="192" t="s">
        <v>254</v>
      </c>
      <c r="I66" s="5" t="s">
        <v>6</v>
      </c>
      <c r="J66" s="150" t="s">
        <v>178</v>
      </c>
      <c r="K66" s="6">
        <f>'Feedstock MIX per IVC'!N86</f>
        <v>2.6327336601860338</v>
      </c>
      <c r="L66">
        <f t="shared" si="12"/>
        <v>21522498.586468454</v>
      </c>
      <c r="M66" s="5" t="s">
        <v>210</v>
      </c>
      <c r="N66" s="167">
        <v>0.45</v>
      </c>
      <c r="O66" s="2">
        <f t="shared" si="13"/>
        <v>2961380116.3606048</v>
      </c>
      <c r="P66" s="18" t="s">
        <v>218</v>
      </c>
      <c r="Q66" s="118">
        <v>0.2</v>
      </c>
      <c r="R66" s="2">
        <f>Q66*R$63</f>
        <v>713674214.37758672</v>
      </c>
    </row>
    <row r="67" spans="1:19" ht="17.5" customHeight="1" x14ac:dyDescent="0.35">
      <c r="F67" s="150" t="s">
        <v>178</v>
      </c>
      <c r="G67" s="6">
        <f t="shared" si="14"/>
        <v>1.1453613081851131E-2</v>
      </c>
      <c r="H67" s="192" t="s">
        <v>254</v>
      </c>
      <c r="I67" s="5" t="s">
        <v>7</v>
      </c>
      <c r="J67" s="147" t="s">
        <v>179</v>
      </c>
      <c r="K67" s="6">
        <f>'Feedstock MIX per IVC'!N87</f>
        <v>22.593373092924249</v>
      </c>
      <c r="L67">
        <f t="shared" si="12"/>
        <v>184699974.7105661</v>
      </c>
      <c r="M67" t="s">
        <v>213</v>
      </c>
      <c r="N67" s="34">
        <v>0.1</v>
      </c>
      <c r="O67" s="2">
        <f t="shared" si="13"/>
        <v>658084470.30235672</v>
      </c>
      <c r="P67" s="18" t="s">
        <v>219</v>
      </c>
      <c r="Q67" s="118">
        <v>0.3</v>
      </c>
      <c r="R67" s="2">
        <f>Q67*R$63</f>
        <v>1070511321.5663799</v>
      </c>
    </row>
    <row r="68" spans="1:19" ht="17.5" customHeight="1" x14ac:dyDescent="0.35">
      <c r="F68" s="152" t="s">
        <v>180</v>
      </c>
      <c r="G68" s="6">
        <f t="shared" si="14"/>
        <v>2.3090427369803705E-2</v>
      </c>
      <c r="H68" s="192" t="s">
        <v>254</v>
      </c>
      <c r="I68" s="5" t="s">
        <v>8</v>
      </c>
      <c r="J68" s="147" t="s">
        <v>179</v>
      </c>
      <c r="K68" s="6">
        <f>'Feedstock MIX per IVC'!N88</f>
        <v>5.9280193018894751</v>
      </c>
      <c r="L68">
        <f t="shared" si="12"/>
        <v>48461334.686038271</v>
      </c>
      <c r="M68" t="s">
        <v>214</v>
      </c>
      <c r="N68" s="34">
        <v>0.25</v>
      </c>
      <c r="O68" s="2">
        <f t="shared" si="13"/>
        <v>1645211175.7558916</v>
      </c>
      <c r="P68" s="18" t="s">
        <v>220</v>
      </c>
      <c r="Q68" s="118">
        <v>0.1</v>
      </c>
      <c r="R68" s="2">
        <f>Q68*R$63</f>
        <v>356837107.18879336</v>
      </c>
    </row>
    <row r="69" spans="1:19" ht="17.5" customHeight="1" x14ac:dyDescent="0.35">
      <c r="F69" s="190" t="s">
        <v>79</v>
      </c>
      <c r="G69" s="6">
        <f t="shared" si="14"/>
        <v>0</v>
      </c>
      <c r="H69" s="192" t="s">
        <v>254</v>
      </c>
      <c r="I69" s="5" t="s">
        <v>9</v>
      </c>
      <c r="J69" s="171" t="s">
        <v>222</v>
      </c>
      <c r="K69" s="6">
        <f>'Feedstock MIX per IVC'!N89</f>
        <v>31.205552378067249</v>
      </c>
      <c r="L69">
        <f t="shared" si="12"/>
        <v>255104216.23866868</v>
      </c>
      <c r="M69" t="s">
        <v>216</v>
      </c>
      <c r="N69" s="34">
        <v>0.03</v>
      </c>
      <c r="O69" s="2">
        <f t="shared" si="13"/>
        <v>197425341.09070697</v>
      </c>
      <c r="Q69" s="34"/>
      <c r="R69" s="2"/>
    </row>
    <row r="70" spans="1:19" ht="17.5" customHeight="1" x14ac:dyDescent="0.35">
      <c r="F70" s="31"/>
      <c r="G70" s="6">
        <f>SUM(G64:G69)</f>
        <v>1.0000000000000002</v>
      </c>
      <c r="H70" s="192" t="s">
        <v>254</v>
      </c>
      <c r="I70" s="5" t="s">
        <v>10</v>
      </c>
      <c r="J70" s="149" t="s">
        <v>176</v>
      </c>
      <c r="K70" s="6">
        <f>'Feedstock MIX per IVC'!N90</f>
        <v>37.872634302718239</v>
      </c>
      <c r="L70">
        <f t="shared" si="12"/>
        <v>309607360.05042475</v>
      </c>
      <c r="O70" s="2"/>
    </row>
    <row r="71" spans="1:19" ht="17.5" customHeight="1" x14ac:dyDescent="0.35">
      <c r="F71" s="31"/>
      <c r="H71" s="192" t="s">
        <v>254</v>
      </c>
      <c r="I71" s="5" t="s">
        <v>11</v>
      </c>
      <c r="J71" s="152" t="s">
        <v>180</v>
      </c>
      <c r="K71" s="6">
        <f>'Feedstock MIX per IVC'!N91</f>
        <v>5.3075780480911847</v>
      </c>
      <c r="L71">
        <f t="shared" si="12"/>
        <v>43389250.787161529</v>
      </c>
    </row>
    <row r="72" spans="1:19" s="201" customFormat="1" x14ac:dyDescent="0.35">
      <c r="A72" s="201" t="s">
        <v>298</v>
      </c>
      <c r="B72" s="201">
        <v>1150</v>
      </c>
      <c r="C72" s="202">
        <f>B72*F72</f>
        <v>14606672969.55232</v>
      </c>
      <c r="D72" s="208">
        <f>'[3]Scenaior 3 2040'!$E$11</f>
        <v>12.701454756132451</v>
      </c>
      <c r="E72" s="208">
        <f>'[1]Conversion factors selected IV '!$O$125</f>
        <v>1</v>
      </c>
      <c r="F72" s="202">
        <f>D72*E72*1000000</f>
        <v>12701454.756132452</v>
      </c>
      <c r="G72" s="208">
        <f>'LCoP 2040 high'!E21</f>
        <v>1547.7759373378331</v>
      </c>
      <c r="H72" s="203">
        <f>G72*F72</f>
        <v>19659006040.726982</v>
      </c>
      <c r="I72" s="208">
        <f>'LCoP 2040 high'!H21</f>
        <v>0.14869783912889328</v>
      </c>
      <c r="L72" s="202">
        <f>I72*H72</f>
        <v>2923251717.6779618</v>
      </c>
      <c r="M72" s="208">
        <f>'LCoP 2040 high'!F21</f>
        <v>0.44257051907538802</v>
      </c>
      <c r="O72" s="202">
        <f>M72*H72</f>
        <v>8700496507.9507294</v>
      </c>
      <c r="P72" s="208">
        <f>'LCoP 2040 high'!G21</f>
        <v>0.40873164179571875</v>
      </c>
      <c r="R72" s="202">
        <f>P72*H72</f>
        <v>8035257815.0982924</v>
      </c>
      <c r="S72" s="202">
        <f>L72+O72+R72</f>
        <v>19659006040.726982</v>
      </c>
    </row>
    <row r="73" spans="1:19" x14ac:dyDescent="0.35">
      <c r="C73">
        <f>C72/$C$48</f>
        <v>0.21388862244327353</v>
      </c>
      <c r="E73" s="6"/>
      <c r="F73" s="147" t="s">
        <v>179</v>
      </c>
      <c r="G73" s="6">
        <f>SUMIF($J$73:$J$80,F73,$L$73:$L$80)/$L$72</f>
        <v>0.66935809786418698</v>
      </c>
      <c r="H73" s="192" t="s">
        <v>254</v>
      </c>
      <c r="I73" s="5" t="s">
        <v>4</v>
      </c>
      <c r="J73" s="147" t="s">
        <v>179</v>
      </c>
      <c r="K73" s="6">
        <f>'Feedstock MIX per IVC'!N102</f>
        <v>117.38756538128337</v>
      </c>
      <c r="L73" s="2">
        <f t="shared" ref="L73:L80" si="15">K73*F$72</f>
        <v>1490992850.6229107</v>
      </c>
      <c r="M73" s="5" t="s">
        <v>211</v>
      </c>
      <c r="N73" s="167">
        <v>0.15</v>
      </c>
      <c r="O73" s="2">
        <f t="shared" ref="O73:O78" si="16">N73*O$72</f>
        <v>1305074476.1926093</v>
      </c>
      <c r="P73" s="18" t="s">
        <v>217</v>
      </c>
      <c r="Q73" s="118">
        <v>0.15</v>
      </c>
      <c r="R73" s="2">
        <f>Q73*R$72</f>
        <v>1205288672.2647438</v>
      </c>
    </row>
    <row r="74" spans="1:19" x14ac:dyDescent="0.35">
      <c r="D74" s="6"/>
      <c r="E74" s="6"/>
      <c r="F74" s="171" t="s">
        <v>222</v>
      </c>
      <c r="G74" s="6">
        <f t="shared" ref="G74:G78" si="17">SUMIF($J$73:$J$80,F74,$L$73:$L$80)/$L$72</f>
        <v>0.13394505340619853</v>
      </c>
      <c r="H74" s="192" t="s">
        <v>254</v>
      </c>
      <c r="I74" s="5" t="s">
        <v>5</v>
      </c>
      <c r="J74" s="147" t="s">
        <v>179</v>
      </c>
      <c r="K74" s="6">
        <f>'Feedstock MIX per IVC'!N103</f>
        <v>5.4134257454164922</v>
      </c>
      <c r="L74" s="2">
        <f t="shared" si="15"/>
        <v>68758382.181090161</v>
      </c>
      <c r="M74" t="s">
        <v>212</v>
      </c>
      <c r="N74" s="34">
        <v>0.02</v>
      </c>
      <c r="O74" s="2">
        <f t="shared" si="16"/>
        <v>174009930.15901458</v>
      </c>
      <c r="P74" s="18" t="s">
        <v>177</v>
      </c>
      <c r="Q74" s="118">
        <v>0.25</v>
      </c>
      <c r="R74" s="2">
        <f>Q74*R$72</f>
        <v>2008814453.7745731</v>
      </c>
    </row>
    <row r="75" spans="1:19" x14ac:dyDescent="0.35">
      <c r="D75" s="6"/>
      <c r="E75" s="6"/>
      <c r="F75" s="149" t="s">
        <v>176</v>
      </c>
      <c r="G75" s="6">
        <f t="shared" si="17"/>
        <v>0.16260266290306805</v>
      </c>
      <c r="H75" s="192" t="s">
        <v>254</v>
      </c>
      <c r="I75" s="5" t="s">
        <v>6</v>
      </c>
      <c r="J75" s="150" t="s">
        <v>178</v>
      </c>
      <c r="K75" s="6">
        <f>'Feedstock MIX per IVC'!N104</f>
        <v>2.598367695570742</v>
      </c>
      <c r="L75" s="2">
        <f t="shared" si="15"/>
        <v>33003049.725087918</v>
      </c>
      <c r="M75" s="5" t="s">
        <v>210</v>
      </c>
      <c r="N75" s="167">
        <v>0.45</v>
      </c>
      <c r="O75" s="2">
        <f t="shared" si="16"/>
        <v>3915223428.5778284</v>
      </c>
      <c r="P75" s="18" t="s">
        <v>218</v>
      </c>
      <c r="Q75" s="118">
        <v>0.2</v>
      </c>
      <c r="R75" s="2">
        <f>Q75*R$72</f>
        <v>1607051563.0196586</v>
      </c>
    </row>
    <row r="76" spans="1:19" x14ac:dyDescent="0.35">
      <c r="D76" s="6"/>
      <c r="E76" s="6"/>
      <c r="F76" s="150" t="s">
        <v>178</v>
      </c>
      <c r="G76" s="6">
        <f t="shared" si="17"/>
        <v>1.1289841899521182E-2</v>
      </c>
      <c r="H76" s="192" t="s">
        <v>254</v>
      </c>
      <c r="I76" s="5" t="s">
        <v>7</v>
      </c>
      <c r="J76" s="147" t="s">
        <v>179</v>
      </c>
      <c r="K76" s="6">
        <f>'Feedstock MIX per IVC'!N105</f>
        <v>25.370004451991623</v>
      </c>
      <c r="L76" s="2">
        <f t="shared" si="15"/>
        <v>322235963.70985049</v>
      </c>
      <c r="M76" t="s">
        <v>213</v>
      </c>
      <c r="N76" s="34">
        <v>0.1</v>
      </c>
      <c r="O76" s="2">
        <f t="shared" si="16"/>
        <v>870049650.79507303</v>
      </c>
      <c r="P76" s="18" t="s">
        <v>219</v>
      </c>
      <c r="Q76" s="118">
        <v>0.3</v>
      </c>
      <c r="R76" s="2">
        <f>Q76*R$72</f>
        <v>2410577344.5294876</v>
      </c>
    </row>
    <row r="77" spans="1:19" x14ac:dyDescent="0.35">
      <c r="D77" s="6"/>
      <c r="E77" s="6"/>
      <c r="F77" s="152" t="s">
        <v>180</v>
      </c>
      <c r="G77" s="6">
        <f t="shared" si="17"/>
        <v>2.2804343927025461E-2</v>
      </c>
      <c r="H77" s="192" t="s">
        <v>254</v>
      </c>
      <c r="I77" s="5" t="s">
        <v>8</v>
      </c>
      <c r="J77" s="147" t="s">
        <v>179</v>
      </c>
      <c r="K77" s="6">
        <f>'Feedstock MIX per IVC'!N106</f>
        <v>5.8823980594201677</v>
      </c>
      <c r="L77" s="2">
        <f t="shared" si="15"/>
        <v>74715012.809286594</v>
      </c>
      <c r="M77" t="s">
        <v>214</v>
      </c>
      <c r="N77" s="34">
        <v>0.25</v>
      </c>
      <c r="O77" s="2">
        <f t="shared" si="16"/>
        <v>2175124126.9876823</v>
      </c>
      <c r="P77" s="18" t="s">
        <v>220</v>
      </c>
      <c r="Q77" s="118">
        <v>0.1</v>
      </c>
      <c r="R77" s="2">
        <f>Q77*R$72</f>
        <v>803525781.50982928</v>
      </c>
    </row>
    <row r="78" spans="1:19" x14ac:dyDescent="0.35">
      <c r="D78" s="6"/>
      <c r="E78" s="6"/>
      <c r="F78" s="190" t="s">
        <v>79</v>
      </c>
      <c r="G78" s="6">
        <f t="shared" si="17"/>
        <v>0</v>
      </c>
      <c r="H78" s="192" t="s">
        <v>254</v>
      </c>
      <c r="I78" s="5" t="s">
        <v>9</v>
      </c>
      <c r="J78" s="171" t="s">
        <v>222</v>
      </c>
      <c r="K78" s="6">
        <f>'Feedstock MIX per IVC'!N107</f>
        <v>30.827579593202699</v>
      </c>
      <c r="L78" s="2">
        <f t="shared" si="15"/>
        <v>391555107.44413614</v>
      </c>
      <c r="M78" t="s">
        <v>216</v>
      </c>
      <c r="N78" s="34">
        <v>0.03</v>
      </c>
      <c r="O78" s="2">
        <f t="shared" si="16"/>
        <v>261014895.23852187</v>
      </c>
      <c r="Q78" s="34"/>
      <c r="R78" s="2"/>
    </row>
    <row r="79" spans="1:19" x14ac:dyDescent="0.35">
      <c r="D79" s="6"/>
      <c r="E79" s="6"/>
      <c r="F79" s="31"/>
      <c r="G79" s="6">
        <f>SUM(G73:G78)</f>
        <v>1.0000000000000002</v>
      </c>
      <c r="H79" s="192" t="s">
        <v>254</v>
      </c>
      <c r="I79" s="5" t="s">
        <v>10</v>
      </c>
      <c r="J79" s="149" t="s">
        <v>176</v>
      </c>
      <c r="K79" s="6">
        <f>'Feedstock MIX per IVC'!N108</f>
        <v>37.42315528076881</v>
      </c>
      <c r="L79" s="2">
        <f t="shared" si="15"/>
        <v>475328513.63040429</v>
      </c>
      <c r="M79" s="2"/>
      <c r="R79" s="2"/>
    </row>
    <row r="80" spans="1:19" x14ac:dyDescent="0.35">
      <c r="D80" s="6"/>
      <c r="E80" s="6"/>
      <c r="F80" s="31"/>
      <c r="G80" s="6"/>
      <c r="H80" s="192" t="s">
        <v>254</v>
      </c>
      <c r="I80" s="5" t="s">
        <v>11</v>
      </c>
      <c r="J80" s="152" t="s">
        <v>180</v>
      </c>
      <c r="K80" s="6">
        <f>'Feedstock MIX per IVC'!N109</f>
        <v>5.2484411301792315</v>
      </c>
      <c r="L80" s="2">
        <f t="shared" si="15"/>
        <v>66662837.555196181</v>
      </c>
      <c r="M80" s="2"/>
    </row>
    <row r="81" spans="1:19" s="78" customFormat="1" x14ac:dyDescent="0.35">
      <c r="D81" s="90"/>
      <c r="E81" s="90"/>
      <c r="F81" s="213"/>
      <c r="G81" s="6"/>
      <c r="L81" s="90"/>
    </row>
    <row r="82" spans="1:19" s="78" customFormat="1" x14ac:dyDescent="0.35">
      <c r="F82" s="213"/>
      <c r="I82" s="78" t="s">
        <v>281</v>
      </c>
      <c r="L82" s="213">
        <f>SUM(L83:L88)</f>
        <v>25976490213.410442</v>
      </c>
      <c r="M82" s="78" t="s">
        <v>181</v>
      </c>
      <c r="O82" s="90">
        <f>SUM(O83:O88)</f>
        <v>28688115340.725811</v>
      </c>
      <c r="P82" s="78" t="s">
        <v>181</v>
      </c>
      <c r="R82" s="90">
        <f>SUM(R83:R87)</f>
        <v>24029484783.547817</v>
      </c>
    </row>
    <row r="83" spans="1:19" x14ac:dyDescent="0.35">
      <c r="D83" s="2"/>
      <c r="E83" s="2"/>
      <c r="G83" s="2"/>
      <c r="H83" s="6"/>
      <c r="J83" s="147" t="s">
        <v>179</v>
      </c>
      <c r="L83" s="2">
        <f>L50+L51+L52+L64+L65+L67+L68+L73+L74+L76+L77</f>
        <v>5771242494.695797</v>
      </c>
      <c r="M83" s="5" t="s">
        <v>211</v>
      </c>
      <c r="O83" s="2">
        <f t="shared" ref="O83:O88" si="18">O50+O57+O64+O73</f>
        <v>2292201181.6461439</v>
      </c>
      <c r="P83" s="18" t="s">
        <v>217</v>
      </c>
      <c r="R83" s="2">
        <f>R50+R57+R64+R73</f>
        <v>4225715512.3602514</v>
      </c>
    </row>
    <row r="84" spans="1:19" x14ac:dyDescent="0.35">
      <c r="D84" s="2"/>
      <c r="E84" s="2"/>
      <c r="G84" s="2"/>
      <c r="H84" s="6"/>
      <c r="J84" s="171" t="s">
        <v>222</v>
      </c>
      <c r="L84" s="2">
        <f>L78+L69</f>
        <v>646659323.68280482</v>
      </c>
      <c r="M84" t="s">
        <v>212</v>
      </c>
      <c r="O84" s="2">
        <f t="shared" si="18"/>
        <v>573762306.81451619</v>
      </c>
      <c r="P84" s="18" t="s">
        <v>177</v>
      </c>
      <c r="R84" s="2">
        <f>R51+R58+R65+R74</f>
        <v>9113835170.0273514</v>
      </c>
    </row>
    <row r="85" spans="1:19" x14ac:dyDescent="0.35">
      <c r="D85" s="1"/>
      <c r="E85" s="1"/>
      <c r="G85" s="2"/>
      <c r="H85" s="6"/>
      <c r="J85" s="149" t="s">
        <v>176</v>
      </c>
      <c r="L85" s="2">
        <f>L70+L53+L79</f>
        <v>1290050175.2253721</v>
      </c>
      <c r="M85" s="5" t="s">
        <v>210</v>
      </c>
      <c r="O85" s="2">
        <f t="shared" si="18"/>
        <v>13579990609.81419</v>
      </c>
      <c r="P85" s="18" t="s">
        <v>218</v>
      </c>
      <c r="R85" s="2">
        <f>R52+R59+R66+R75</f>
        <v>4184604161.8814836</v>
      </c>
    </row>
    <row r="86" spans="1:19" x14ac:dyDescent="0.35">
      <c r="D86" s="1"/>
      <c r="E86" s="1"/>
      <c r="G86" s="2"/>
      <c r="H86" s="6"/>
      <c r="J86" s="150" t="s">
        <v>178</v>
      </c>
      <c r="L86" s="2">
        <f>L66+L75</f>
        <v>54525548.311556369</v>
      </c>
      <c r="M86" t="s">
        <v>213</v>
      </c>
      <c r="O86" s="2">
        <f t="shared" si="18"/>
        <v>3539150240.5601568</v>
      </c>
      <c r="P86" s="18" t="s">
        <v>219</v>
      </c>
      <c r="R86" s="2">
        <f>R53+R60+R67+R76</f>
        <v>4723674255.7520266</v>
      </c>
    </row>
    <row r="87" spans="1:19" s="78" customFormat="1" x14ac:dyDescent="0.35">
      <c r="D87" s="90"/>
      <c r="E87" s="90"/>
      <c r="F87" s="213"/>
      <c r="G87" s="1"/>
      <c r="H87" s="6"/>
      <c r="J87" s="152" t="s">
        <v>180</v>
      </c>
      <c r="L87" s="90">
        <f>L71+L80</f>
        <v>110052088.34235771</v>
      </c>
      <c r="M87" t="s">
        <v>214</v>
      </c>
      <c r="O87" s="2">
        <f t="shared" si="18"/>
        <v>7842367541.6690283</v>
      </c>
      <c r="P87" s="18" t="s">
        <v>220</v>
      </c>
      <c r="R87" s="2">
        <f>R54+R61+R68+R77</f>
        <v>1781655683.5267022</v>
      </c>
    </row>
    <row r="88" spans="1:19" s="78" customFormat="1" x14ac:dyDescent="0.35">
      <c r="D88" s="90"/>
      <c r="E88" s="90"/>
      <c r="F88" s="213"/>
      <c r="G88" s="1"/>
      <c r="H88" s="6"/>
      <c r="J88" s="190" t="s">
        <v>79</v>
      </c>
      <c r="L88" s="2">
        <f>L57</f>
        <v>18103960583.152554</v>
      </c>
      <c r="M88" t="s">
        <v>216</v>
      </c>
      <c r="O88" s="2">
        <f t="shared" si="18"/>
        <v>860643460.22177434</v>
      </c>
    </row>
    <row r="89" spans="1:19" s="91" customFormat="1" ht="32.5" customHeight="1" x14ac:dyDescent="0.35">
      <c r="A89" s="91" t="s">
        <v>79</v>
      </c>
      <c r="D89" s="214"/>
      <c r="E89" s="92"/>
      <c r="F89" s="169"/>
    </row>
    <row r="90" spans="1:19" ht="16.5" customHeight="1" x14ac:dyDescent="0.35">
      <c r="C90" s="100">
        <f>C91+C101</f>
        <v>77097984556.13269</v>
      </c>
      <c r="D90" s="100">
        <f>D91+D101</f>
        <v>72.271642663850699</v>
      </c>
      <c r="E90" s="2"/>
      <c r="F90" s="100">
        <f>F91+F101</f>
        <v>60469007.495006032</v>
      </c>
    </row>
    <row r="91" spans="1:19" s="202" customFormat="1" x14ac:dyDescent="0.35">
      <c r="A91" s="202" t="s">
        <v>58</v>
      </c>
      <c r="B91" s="202">
        <v>1275</v>
      </c>
      <c r="C91" s="202">
        <f>B91*F91</f>
        <v>56116472383.643829</v>
      </c>
      <c r="D91" s="202">
        <f>'[3]Scenaior 3 2040'!$E$13</f>
        <v>52.603575346561399</v>
      </c>
      <c r="E91" s="202">
        <f>'[1]Conversion factors selected IV '!$O$29</f>
        <v>0.83669064748201449</v>
      </c>
      <c r="F91" s="202">
        <f>D91*E91*1000000</f>
        <v>44012919.516583398</v>
      </c>
      <c r="G91" s="202">
        <f>'LCoP 2040 high'!E9</f>
        <v>929.11400486088291</v>
      </c>
      <c r="H91" s="202">
        <f>G91*F91</f>
        <v>40893019917.672516</v>
      </c>
      <c r="I91" s="202">
        <f>'LCoP 2040 high'!H9</f>
        <v>-6.7386726562738333E-3</v>
      </c>
      <c r="L91" s="202">
        <f>I91*H91</f>
        <v>-275564675.15168101</v>
      </c>
      <c r="M91" s="202">
        <f>'LCoP 2040 high'!F9</f>
        <v>0.65115798151227655</v>
      </c>
      <c r="O91" s="202">
        <f>M91*H91</f>
        <v>26627816307.532955</v>
      </c>
      <c r="P91" s="202">
        <f>'LCoP 2040 high'!G9</f>
        <v>0.35558069114399737</v>
      </c>
      <c r="R91" s="202">
        <f>P91*H91</f>
        <v>14540768285.291245</v>
      </c>
      <c r="S91" s="202">
        <f>L91+O91+R91</f>
        <v>40893019917.672516</v>
      </c>
    </row>
    <row r="92" spans="1:19" x14ac:dyDescent="0.35">
      <c r="C92">
        <v>1</v>
      </c>
      <c r="D92" s="2"/>
      <c r="E92" s="2"/>
      <c r="F92" s="152" t="s">
        <v>180</v>
      </c>
      <c r="G92" s="6">
        <f>SUMIF($J$92:$J$100,F92,$L$92:$L$100)/$L$91</f>
        <v>5.9306182039474695</v>
      </c>
      <c r="I92" s="5" t="s">
        <v>19</v>
      </c>
      <c r="J92" s="147" t="s">
        <v>179</v>
      </c>
      <c r="K92" s="6">
        <f>'Feedstock MIX per IVC'!N20</f>
        <v>0.87745677378072162</v>
      </c>
      <c r="L92" s="2">
        <f t="shared" ref="L92:L100" si="19">K92*F$91</f>
        <v>38619434.363691829</v>
      </c>
      <c r="M92" s="5" t="s">
        <v>211</v>
      </c>
      <c r="N92" s="34">
        <v>0.05</v>
      </c>
      <c r="O92" s="2">
        <f t="shared" ref="O92:O97" si="20">N92*O$91</f>
        <v>1331390815.3766479</v>
      </c>
      <c r="P92" s="18" t="s">
        <v>217</v>
      </c>
      <c r="Q92" s="34">
        <v>0.2</v>
      </c>
      <c r="R92" s="2">
        <f>Q92*R$91</f>
        <v>2908153657.058249</v>
      </c>
    </row>
    <row r="93" spans="1:19" x14ac:dyDescent="0.35">
      <c r="D93" s="2"/>
      <c r="E93" s="2"/>
      <c r="F93" s="239" t="s">
        <v>259</v>
      </c>
      <c r="G93" s="6">
        <f t="shared" ref="G93:G95" si="21">SUMIF($J$92:$J$100,F93,$L$92:$L$100)/$L$91</f>
        <v>-0.256007464722114</v>
      </c>
      <c r="I93" s="5" t="s">
        <v>7</v>
      </c>
      <c r="J93" s="147" t="s">
        <v>179</v>
      </c>
      <c r="K93" s="6">
        <f>'Feedstock MIX per IVC'!N21</f>
        <v>3.8931133145143786</v>
      </c>
      <c r="L93" s="2">
        <f t="shared" si="19"/>
        <v>171347282.98066059</v>
      </c>
      <c r="M93" t="s">
        <v>212</v>
      </c>
      <c r="N93" s="34">
        <v>0.02</v>
      </c>
      <c r="O93" s="2">
        <f t="shared" si="20"/>
        <v>532556326.15065914</v>
      </c>
      <c r="P93" s="18" t="s">
        <v>177</v>
      </c>
      <c r="Q93" s="34">
        <v>0.5</v>
      </c>
      <c r="R93" s="2">
        <f>Q93*R$91</f>
        <v>7270384142.6456223</v>
      </c>
    </row>
    <row r="94" spans="1:19" x14ac:dyDescent="0.35">
      <c r="D94" s="2"/>
      <c r="E94" s="2"/>
      <c r="F94" s="150" t="s">
        <v>178</v>
      </c>
      <c r="G94" s="6">
        <f t="shared" si="21"/>
        <v>-0.71299256449775839</v>
      </c>
      <c r="I94" s="5" t="s">
        <v>8</v>
      </c>
      <c r="J94" s="147" t="s">
        <v>179</v>
      </c>
      <c r="K94" s="6">
        <f>'Feedstock MIX per IVC'!N22</f>
        <v>0.98468076706826457</v>
      </c>
      <c r="L94" s="2">
        <f t="shared" si="19"/>
        <v>43338675.350503132</v>
      </c>
      <c r="M94" s="5" t="s">
        <v>210</v>
      </c>
      <c r="N94" s="34">
        <v>0.4</v>
      </c>
      <c r="O94" s="2">
        <f t="shared" si="20"/>
        <v>10651126523.013184</v>
      </c>
      <c r="P94" s="18" t="s">
        <v>218</v>
      </c>
      <c r="Q94" s="34">
        <v>0.15</v>
      </c>
      <c r="R94" s="2">
        <f>Q94*R$91</f>
        <v>2181115242.7936864</v>
      </c>
    </row>
    <row r="95" spans="1:19" x14ac:dyDescent="0.35">
      <c r="D95" s="2"/>
      <c r="E95" s="2"/>
      <c r="F95" s="147" t="s">
        <v>179</v>
      </c>
      <c r="G95" s="6">
        <f t="shared" si="21"/>
        <v>-3.9616181747275969</v>
      </c>
      <c r="I95" s="5" t="s">
        <v>20</v>
      </c>
      <c r="J95" s="150" t="s">
        <v>178</v>
      </c>
      <c r="K95" s="6">
        <f>'Feedstock MIX per IVC'!N23</f>
        <v>4.464042980547104</v>
      </c>
      <c r="L95" s="2">
        <f t="shared" si="19"/>
        <v>196475564.42138875</v>
      </c>
      <c r="M95" t="s">
        <v>213</v>
      </c>
      <c r="N95" s="34">
        <v>0.3</v>
      </c>
      <c r="O95" s="2">
        <f t="shared" si="20"/>
        <v>7988344892.2598858</v>
      </c>
      <c r="P95" s="18" t="s">
        <v>219</v>
      </c>
      <c r="Q95" s="34">
        <v>0.1</v>
      </c>
      <c r="R95" s="2">
        <f>Q95*R$91</f>
        <v>1454076828.5291245</v>
      </c>
    </row>
    <row r="96" spans="1:19" x14ac:dyDescent="0.35">
      <c r="D96" s="2"/>
      <c r="E96" s="2"/>
      <c r="F96" s="2"/>
      <c r="G96" s="6">
        <f>SUM(G92:G95)</f>
        <v>1.0000000000000004</v>
      </c>
      <c r="I96" s="5" t="s">
        <v>4</v>
      </c>
      <c r="J96" s="147" t="s">
        <v>179</v>
      </c>
      <c r="K96" s="6">
        <f>'Feedstock MIX per IVC'!N24</f>
        <v>19.048421279644096</v>
      </c>
      <c r="L96" s="2">
        <f t="shared" si="19"/>
        <v>838376632.69895017</v>
      </c>
      <c r="M96" t="s">
        <v>214</v>
      </c>
      <c r="N96" s="34">
        <v>0.2</v>
      </c>
      <c r="O96" s="2">
        <f t="shared" si="20"/>
        <v>5325563261.5065918</v>
      </c>
      <c r="P96" s="18" t="s">
        <v>220</v>
      </c>
      <c r="Q96" s="34">
        <v>0.05</v>
      </c>
      <c r="R96" s="2">
        <f>Q96*R$91</f>
        <v>727038414.26456225</v>
      </c>
    </row>
    <row r="97" spans="1:18" x14ac:dyDescent="0.35">
      <c r="D97" s="2"/>
      <c r="E97" s="2"/>
      <c r="F97" s="2"/>
      <c r="I97" s="5" t="s">
        <v>21</v>
      </c>
      <c r="J97" s="147" t="s">
        <v>179</v>
      </c>
      <c r="K97" s="6">
        <f>'Feedstock MIX per IVC'!N25</f>
        <v>0</v>
      </c>
      <c r="L97" s="2">
        <f t="shared" si="19"/>
        <v>0</v>
      </c>
      <c r="M97" t="s">
        <v>216</v>
      </c>
      <c r="N97" s="34">
        <v>0.03</v>
      </c>
      <c r="O97" s="2">
        <f t="shared" si="20"/>
        <v>798834489.22598863</v>
      </c>
      <c r="R97" s="2"/>
    </row>
    <row r="98" spans="1:18" x14ac:dyDescent="0.35">
      <c r="D98" s="2"/>
      <c r="E98" s="2"/>
      <c r="F98" s="2"/>
      <c r="I98" s="5" t="s">
        <v>22</v>
      </c>
      <c r="J98" s="152" t="s">
        <v>180</v>
      </c>
      <c r="K98" s="6">
        <f>'Feedstock MIX per IVC'!N26</f>
        <v>0</v>
      </c>
      <c r="L98" s="2">
        <f t="shared" si="19"/>
        <v>0</v>
      </c>
      <c r="N98" s="34">
        <f>SUM(N92:N97)</f>
        <v>1</v>
      </c>
      <c r="O98" s="2"/>
    </row>
    <row r="99" spans="1:18" x14ac:dyDescent="0.35">
      <c r="D99" s="2"/>
      <c r="E99" s="2"/>
      <c r="F99" s="2"/>
      <c r="I99" s="12" t="s">
        <v>23</v>
      </c>
      <c r="J99" s="152" t="s">
        <v>180</v>
      </c>
      <c r="K99" s="6">
        <f>'Feedstock MIX per IVC'!N27</f>
        <v>-37.131571746874521</v>
      </c>
      <c r="L99" s="2">
        <f t="shared" si="19"/>
        <v>-1634268878.8194304</v>
      </c>
      <c r="M99" s="2"/>
    </row>
    <row r="100" spans="1:18" s="78" customFormat="1" x14ac:dyDescent="0.35">
      <c r="D100" s="93"/>
      <c r="E100" s="93"/>
      <c r="F100" s="213"/>
      <c r="G100" s="220"/>
      <c r="I100" s="13" t="s">
        <v>24</v>
      </c>
      <c r="J100" s="239" t="s">
        <v>259</v>
      </c>
      <c r="K100" s="6">
        <f>'Feedstock MIX per IVC'!N28</f>
        <v>1.6028614922028495</v>
      </c>
      <c r="L100" s="2">
        <f t="shared" si="19"/>
        <v>70546613.852554783</v>
      </c>
    </row>
    <row r="101" spans="1:18" s="202" customFormat="1" x14ac:dyDescent="0.35">
      <c r="A101" s="202" t="s">
        <v>59</v>
      </c>
      <c r="B101" s="202">
        <v>1275</v>
      </c>
      <c r="C101" s="203">
        <f>B101*F101</f>
        <v>20981512172.488857</v>
      </c>
      <c r="D101" s="202">
        <f>'[3]Scenaior 3 2040'!$H$25</f>
        <v>19.668067317289303</v>
      </c>
      <c r="E101" s="202">
        <f>'[1]Conversion factors selected IV '!$O$52</f>
        <v>0.83669064748201449</v>
      </c>
      <c r="F101" s="202">
        <f>D101*E101*1000000</f>
        <v>16456087.978422634</v>
      </c>
      <c r="G101" s="202">
        <f>'LCoP 2040 high'!E13</f>
        <v>1310.9676433242062</v>
      </c>
      <c r="H101" s="202">
        <f>G101*F101</f>
        <v>21573398875.40852</v>
      </c>
      <c r="I101" s="202">
        <f>'LCoP 2040 high'!H13</f>
        <v>0.18380899372404577</v>
      </c>
      <c r="L101" s="202">
        <f>I101*H101</f>
        <v>3965384738.4963007</v>
      </c>
      <c r="M101" s="202">
        <f>'LCoP 2040 high'!F13</f>
        <v>0.6102362663745452</v>
      </c>
      <c r="O101" s="202">
        <f>M101*H101</f>
        <v>13164870382.738108</v>
      </c>
      <c r="P101" s="202">
        <f>'LCoP 2040 high'!G13</f>
        <v>0.205954739901409</v>
      </c>
      <c r="R101" s="202">
        <f>P101*H101</f>
        <v>4443143754.1741114</v>
      </c>
    </row>
    <row r="102" spans="1:18" s="78" customFormat="1" x14ac:dyDescent="0.35">
      <c r="C102" s="78">
        <f>C101/$C$90</f>
        <v>0.2721408645541552</v>
      </c>
      <c r="D102" s="93"/>
      <c r="E102" s="93"/>
      <c r="F102" s="147" t="s">
        <v>179</v>
      </c>
      <c r="G102" s="2">
        <f>SUMIF($J$102:$J$111, F102,$L$102:$L$111)/$L$101</f>
        <v>0.64716000570954069</v>
      </c>
      <c r="I102" s="5" t="s">
        <v>4</v>
      </c>
      <c r="J102" s="147" t="s">
        <v>179</v>
      </c>
      <c r="K102" s="6">
        <f>'Feedstock MIX per IVC'!N45</f>
        <v>121.17059579841883</v>
      </c>
      <c r="L102" s="2">
        <f t="shared" ref="L102:L111" si="22">K102*$F$101</f>
        <v>1993993984.8566682</v>
      </c>
      <c r="M102" s="5" t="s">
        <v>211</v>
      </c>
      <c r="N102" s="34">
        <v>0</v>
      </c>
      <c r="O102" s="2">
        <f t="shared" ref="O102:O107" si="23">N102*O$101</f>
        <v>0</v>
      </c>
      <c r="P102" s="18" t="s">
        <v>217</v>
      </c>
      <c r="Q102" s="34">
        <v>0.25</v>
      </c>
      <c r="R102" s="2">
        <f>Q102*R$101</f>
        <v>1110785938.5435278</v>
      </c>
    </row>
    <row r="103" spans="1:18" s="78" customFormat="1" x14ac:dyDescent="0.35">
      <c r="D103" s="93"/>
      <c r="E103" s="93"/>
      <c r="F103" s="152" t="s">
        <v>180</v>
      </c>
      <c r="G103" s="2">
        <f t="shared" ref="G103:G107" si="24">SUMIF($J$102:$J$111, F103,$L$102:$L$111)/$L$101</f>
        <v>2.4153742462583314E-2</v>
      </c>
      <c r="I103" s="5" t="s">
        <v>5</v>
      </c>
      <c r="J103" s="147" t="s">
        <v>179</v>
      </c>
      <c r="K103" s="6">
        <f>'Feedstock MIX per IVC'!N46</f>
        <v>5.5883563061305708</v>
      </c>
      <c r="L103" s="2">
        <f t="shared" si="22"/>
        <v>91962483.028457612</v>
      </c>
      <c r="M103" t="s">
        <v>212</v>
      </c>
      <c r="N103" s="34">
        <v>0.02</v>
      </c>
      <c r="O103" s="2">
        <f t="shared" si="23"/>
        <v>263297407.65476215</v>
      </c>
      <c r="P103" s="18" t="s">
        <v>177</v>
      </c>
      <c r="Q103" s="34">
        <v>0.15</v>
      </c>
      <c r="R103" s="2">
        <f>Q103*R$101</f>
        <v>666471563.12611663</v>
      </c>
    </row>
    <row r="104" spans="1:18" s="78" customFormat="1" x14ac:dyDescent="0.35">
      <c r="D104" s="93"/>
      <c r="E104" s="93"/>
      <c r="F104" s="150" t="s">
        <v>178</v>
      </c>
      <c r="G104" s="2">
        <f t="shared" si="24"/>
        <v>1.1135965206309585E-2</v>
      </c>
      <c r="I104" s="5" t="s">
        <v>22</v>
      </c>
      <c r="J104" s="152" t="s">
        <v>180</v>
      </c>
      <c r="K104" s="6">
        <f>'Feedstock MIX per IVC'!N47</f>
        <v>0</v>
      </c>
      <c r="L104" s="2">
        <f t="shared" si="22"/>
        <v>0</v>
      </c>
      <c r="M104" s="5" t="s">
        <v>210</v>
      </c>
      <c r="N104" s="34">
        <v>0.55000000000000004</v>
      </c>
      <c r="O104" s="2">
        <f t="shared" si="23"/>
        <v>7240678710.5059595</v>
      </c>
      <c r="P104" s="18" t="s">
        <v>218</v>
      </c>
      <c r="Q104" s="34">
        <v>0.3</v>
      </c>
      <c r="R104" s="2">
        <f>Q104*R$101</f>
        <v>1332943126.2522333</v>
      </c>
    </row>
    <row r="105" spans="1:18" s="78" customFormat="1" x14ac:dyDescent="0.35">
      <c r="D105" s="93"/>
      <c r="E105" s="93"/>
      <c r="F105" s="171" t="s">
        <v>222</v>
      </c>
      <c r="G105" s="2">
        <f t="shared" si="24"/>
        <v>0.12310580892504455</v>
      </c>
      <c r="I105" s="5" t="s">
        <v>6</v>
      </c>
      <c r="J105" s="150" t="s">
        <v>178</v>
      </c>
      <c r="K105" s="6">
        <f>'Feedstock MIX per IVC'!N48</f>
        <v>2.6834072919047771</v>
      </c>
      <c r="L105" s="2">
        <f t="shared" si="22"/>
        <v>44158386.477525838</v>
      </c>
      <c r="M105" t="s">
        <v>213</v>
      </c>
      <c r="N105" s="34">
        <v>0.1</v>
      </c>
      <c r="O105" s="2">
        <f t="shared" si="23"/>
        <v>1316487038.2738109</v>
      </c>
      <c r="P105" s="18" t="s">
        <v>219</v>
      </c>
      <c r="Q105" s="34">
        <v>0.3</v>
      </c>
      <c r="R105" s="2">
        <f>Q105*R$101</f>
        <v>1332943126.2522333</v>
      </c>
    </row>
    <row r="106" spans="1:18" s="78" customFormat="1" x14ac:dyDescent="0.35">
      <c r="D106" s="93"/>
      <c r="E106" s="93"/>
      <c r="F106" s="149" t="s">
        <v>176</v>
      </c>
      <c r="G106" s="2">
        <f t="shared" si="24"/>
        <v>0.14509208214973793</v>
      </c>
      <c r="I106" s="5" t="s">
        <v>7</v>
      </c>
      <c r="J106" s="147" t="s">
        <v>179</v>
      </c>
      <c r="K106" s="6">
        <f>'Feedstock MIX per IVC'!N49</f>
        <v>23.129558949539604</v>
      </c>
      <c r="L106" s="2">
        <f t="shared" si="22"/>
        <v>380622056.97573632</v>
      </c>
      <c r="M106" t="s">
        <v>214</v>
      </c>
      <c r="N106" s="34">
        <v>0.3</v>
      </c>
      <c r="O106" s="2">
        <f t="shared" si="23"/>
        <v>3949461114.8214321</v>
      </c>
      <c r="P106" s="18" t="s">
        <v>220</v>
      </c>
      <c r="Q106" s="223">
        <v>0</v>
      </c>
      <c r="R106" s="2">
        <f>Q106*R$101</f>
        <v>0</v>
      </c>
    </row>
    <row r="107" spans="1:18" s="78" customFormat="1" x14ac:dyDescent="0.35">
      <c r="D107" s="93"/>
      <c r="E107" s="93"/>
      <c r="F107" s="239" t="s">
        <v>259</v>
      </c>
      <c r="G107" s="2">
        <f t="shared" si="24"/>
        <v>0</v>
      </c>
      <c r="I107" s="5" t="s">
        <v>8</v>
      </c>
      <c r="J107" s="147" t="s">
        <v>179</v>
      </c>
      <c r="K107" s="6">
        <f>'Feedstock MIX per IVC'!N50</f>
        <v>6.0561103754187595</v>
      </c>
      <c r="L107" s="2">
        <f t="shared" si="22"/>
        <v>99659885.14492923</v>
      </c>
      <c r="M107" t="s">
        <v>216</v>
      </c>
      <c r="N107" s="34">
        <v>0.03</v>
      </c>
      <c r="O107" s="2">
        <f t="shared" si="23"/>
        <v>394946111.48214322</v>
      </c>
      <c r="R107"/>
    </row>
    <row r="108" spans="1:18" s="78" customFormat="1" x14ac:dyDescent="0.35">
      <c r="D108" s="93"/>
      <c r="E108" s="93"/>
      <c r="F108" s="151" t="s">
        <v>77</v>
      </c>
      <c r="G108" s="2">
        <f>SUMIF($J$102:$J$111, F108,$L$102:$L$111)/$L$101/2</f>
        <v>2.4676197773391962E-2</v>
      </c>
      <c r="I108" s="5" t="s">
        <v>9</v>
      </c>
      <c r="J108" s="171" t="s">
        <v>222</v>
      </c>
      <c r="K108" s="6">
        <f>'Feedstock MIX per IVC'!N51</f>
        <v>29.664516656187999</v>
      </c>
      <c r="L108" s="2">
        <f t="shared" si="22"/>
        <v>488161895.93161333</v>
      </c>
      <c r="M108" s="78" t="s">
        <v>320</v>
      </c>
      <c r="O108" s="90">
        <f>SUM(O102:O107)</f>
        <v>13164870382.738108</v>
      </c>
      <c r="R108" s="90">
        <f>SUM(R102:R107)</f>
        <v>4443143754.1741114</v>
      </c>
    </row>
    <row r="109" spans="1:18" s="78" customFormat="1" x14ac:dyDescent="0.35">
      <c r="D109" s="93"/>
      <c r="E109" s="93"/>
      <c r="F109" s="190" t="s">
        <v>377</v>
      </c>
      <c r="G109" s="2">
        <f>G108</f>
        <v>2.4676197773391962E-2</v>
      </c>
      <c r="I109" s="5" t="s">
        <v>10</v>
      </c>
      <c r="J109" s="149" t="s">
        <v>176</v>
      </c>
      <c r="K109" s="6">
        <f>'Feedstock MIX per IVC'!N52</f>
        <v>34.962497100624461</v>
      </c>
      <c r="L109" s="2">
        <f t="shared" si="22"/>
        <v>575345928.23322237</v>
      </c>
    </row>
    <row r="110" spans="1:18" s="78" customFormat="1" x14ac:dyDescent="0.35">
      <c r="D110" s="93"/>
      <c r="E110" s="93"/>
      <c r="F110" s="220"/>
      <c r="G110" s="90">
        <f>SUM(G102:G109)</f>
        <v>0.99999999999999978</v>
      </c>
      <c r="I110" s="5" t="s">
        <v>11</v>
      </c>
      <c r="J110" s="152" t="s">
        <v>180</v>
      </c>
      <c r="K110" s="6">
        <f>'Feedstock MIX per IVC'!N53</f>
        <v>5.8202703986685069</v>
      </c>
      <c r="L110" s="2">
        <f t="shared" si="22"/>
        <v>95778881.738697931</v>
      </c>
    </row>
    <row r="111" spans="1:18" s="78" customFormat="1" x14ac:dyDescent="0.35">
      <c r="D111" s="93"/>
      <c r="E111" s="93"/>
      <c r="F111" s="213"/>
      <c r="G111" s="220"/>
      <c r="I111" s="13" t="s">
        <v>32</v>
      </c>
      <c r="J111" s="151" t="s">
        <v>77</v>
      </c>
      <c r="K111" s="6">
        <f>'Feedstock MIX per IVC'!N54</f>
        <v>11.892330447312565</v>
      </c>
      <c r="L111" s="2">
        <f t="shared" si="22"/>
        <v>195701236.10944977</v>
      </c>
    </row>
    <row r="112" spans="1:18" s="78" customFormat="1" x14ac:dyDescent="0.35">
      <c r="D112" s="93"/>
      <c r="E112" s="93"/>
      <c r="F112" s="213"/>
      <c r="G112" s="220"/>
      <c r="I112" s="14"/>
      <c r="K112" s="6" t="s">
        <v>319</v>
      </c>
      <c r="L112" s="2">
        <f>SUM(L102:L111)</f>
        <v>3965384738.4963012</v>
      </c>
    </row>
    <row r="113" spans="1:19" s="91" customFormat="1" ht="26" customHeight="1" x14ac:dyDescent="0.35">
      <c r="A113" s="91" t="s">
        <v>80</v>
      </c>
      <c r="D113" s="92"/>
      <c r="E113" s="92"/>
      <c r="F113" s="169"/>
      <c r="I113" s="94"/>
    </row>
    <row r="114" spans="1:19" ht="16" customHeight="1" x14ac:dyDescent="0.35">
      <c r="C114" s="2">
        <f>C115+C133+C145+C122</f>
        <v>29344052708.116913</v>
      </c>
      <c r="D114" s="2">
        <f>D115+D133+D145+D122</f>
        <v>12.605453727756633</v>
      </c>
      <c r="E114" s="2"/>
      <c r="F114" s="2">
        <f>F115+F133+F145</f>
        <v>6320563.1930750553</v>
      </c>
      <c r="I114" s="6"/>
    </row>
    <row r="115" spans="1:19" s="202" customFormat="1" x14ac:dyDescent="0.35">
      <c r="A115" s="202" t="s">
        <v>74</v>
      </c>
      <c r="B115" s="202">
        <v>2380</v>
      </c>
      <c r="C115" s="202">
        <f>B115*F115</f>
        <v>4167171278.8801804</v>
      </c>
      <c r="D115" s="202">
        <f>'[3]Scenaior 3 2040'!$E$31</f>
        <v>1.7982523404072637</v>
      </c>
      <c r="E115" s="202">
        <f>'[1]Conversion factors selected IV '!$O$78</f>
        <v>0.97367441860465131</v>
      </c>
      <c r="F115" s="202">
        <f>D115*E115*1000000</f>
        <v>1750912.302050496</v>
      </c>
      <c r="G115" s="202">
        <f>'LCoP 2040 high'!E4</f>
        <v>2431.8538197741454</v>
      </c>
      <c r="H115" s="202">
        <f>G115*F115</f>
        <v>4257962769.8310409</v>
      </c>
      <c r="I115" s="202">
        <f>'LCoP 2040 high'!H4</f>
        <v>0.67082725388718256</v>
      </c>
      <c r="K115" s="202">
        <f>I115*G115</f>
        <v>1631.3538197741454</v>
      </c>
      <c r="L115" s="202">
        <f>I115*H115</f>
        <v>2856357472.039619</v>
      </c>
      <c r="M115" s="202">
        <f>'LCoP 2040 high'!F4</f>
        <v>0.15461455657516471</v>
      </c>
      <c r="O115" s="202">
        <f>M115*H115</f>
        <v>658343025.57098651</v>
      </c>
      <c r="P115" s="202">
        <f>'LCoP 2040 high'!G4</f>
        <v>0.1745581895376527</v>
      </c>
      <c r="R115" s="202">
        <f>P115*H115</f>
        <v>743262272.2204355</v>
      </c>
      <c r="S115" s="202">
        <f>SUM(L115,O115,R115)</f>
        <v>4257962769.8310409</v>
      </c>
    </row>
    <row r="116" spans="1:19" x14ac:dyDescent="0.35">
      <c r="C116">
        <f>C115/C114</f>
        <v>0.14201076178299979</v>
      </c>
      <c r="D116" s="2"/>
      <c r="E116" s="2"/>
      <c r="F116" s="147" t="s">
        <v>179</v>
      </c>
      <c r="G116" s="2">
        <f>SUMIF($J$116:$J$119,F116,$L$116:$L$119)/$L$115</f>
        <v>0.33191066376410738</v>
      </c>
      <c r="I116" s="4" t="s">
        <v>1</v>
      </c>
      <c r="J116" s="147" t="s">
        <v>179</v>
      </c>
      <c r="K116" s="6">
        <f>'Feedstock MIX per IVC'!N9</f>
        <v>372.3562754920261</v>
      </c>
      <c r="L116" s="2">
        <f>K116*F$115</f>
        <v>651963183.50469208</v>
      </c>
      <c r="M116" s="5" t="s">
        <v>210</v>
      </c>
      <c r="N116" s="118">
        <v>0.45</v>
      </c>
      <c r="O116" s="2">
        <f t="shared" ref="O116:O121" si="25">N116*$O$115</f>
        <v>296254361.50694394</v>
      </c>
      <c r="P116" s="18" t="s">
        <v>217</v>
      </c>
      <c r="Q116" s="118">
        <v>0.35</v>
      </c>
      <c r="R116" s="2">
        <f t="shared" ref="R116:R121" si="26">Q116*$R$115</f>
        <v>260141795.27715242</v>
      </c>
    </row>
    <row r="117" spans="1:19" x14ac:dyDescent="0.35">
      <c r="D117" s="2"/>
      <c r="E117" s="2"/>
      <c r="F117" s="190" t="s">
        <v>77</v>
      </c>
      <c r="G117" s="2">
        <f t="shared" ref="G117:G118" si="27">SUMIF($J$116:$J$119,F117,$L$116:$L$119)/$L$115</f>
        <v>0.56787593580050855</v>
      </c>
      <c r="I117" s="215" t="s">
        <v>132</v>
      </c>
      <c r="J117" s="147" t="s">
        <v>179</v>
      </c>
      <c r="K117" s="6">
        <f>'Feedstock MIX per IVC'!N10</f>
        <v>169.10745366332256</v>
      </c>
      <c r="L117" s="2">
        <f>K117*F$115</f>
        <v>296092320.98754567</v>
      </c>
      <c r="M117" t="s">
        <v>213</v>
      </c>
      <c r="N117" s="118">
        <v>0.15</v>
      </c>
      <c r="O117" s="2">
        <f t="shared" si="25"/>
        <v>98751453.83564797</v>
      </c>
      <c r="P117" s="18" t="s">
        <v>177</v>
      </c>
      <c r="Q117" s="118">
        <v>0.25</v>
      </c>
      <c r="R117" s="2">
        <f t="shared" si="26"/>
        <v>185815568.05510888</v>
      </c>
    </row>
    <row r="118" spans="1:19" x14ac:dyDescent="0.35">
      <c r="D118" s="2"/>
      <c r="E118" s="2"/>
      <c r="F118" s="240" t="s">
        <v>177</v>
      </c>
      <c r="G118" s="2">
        <f t="shared" si="27"/>
        <v>0.10021340043538388</v>
      </c>
      <c r="I118" s="216" t="s">
        <v>300</v>
      </c>
      <c r="J118" s="190" t="s">
        <v>77</v>
      </c>
      <c r="K118" s="6">
        <f>'Feedstock MIX per IVC'!N11*0.85</f>
        <v>926.40657702597707</v>
      </c>
      <c r="L118" s="2">
        <f>K118*F$115</f>
        <v>1622056672.4152737</v>
      </c>
      <c r="M118" s="5" t="s">
        <v>214</v>
      </c>
      <c r="N118" s="118">
        <v>0.3</v>
      </c>
      <c r="O118" s="2">
        <f t="shared" si="25"/>
        <v>197502907.67129594</v>
      </c>
      <c r="P118" s="18" t="s">
        <v>218</v>
      </c>
      <c r="Q118" s="118">
        <v>0.2</v>
      </c>
      <c r="R118" s="2">
        <f t="shared" si="26"/>
        <v>148652454.44408712</v>
      </c>
    </row>
    <row r="119" spans="1:19" x14ac:dyDescent="0.35">
      <c r="D119" s="2"/>
      <c r="E119" s="2"/>
      <c r="G119" s="2">
        <f>SUM(G116:G118)</f>
        <v>0.99999999999999978</v>
      </c>
      <c r="I119" s="217" t="s">
        <v>301</v>
      </c>
      <c r="J119" s="240" t="s">
        <v>177</v>
      </c>
      <c r="K119" s="6">
        <f>'Feedstock MIX per IVC'!N11*0.15</f>
        <v>163.48351359281949</v>
      </c>
      <c r="L119" s="2">
        <f>K119*F$115</f>
        <v>286245295.13210714</v>
      </c>
      <c r="M119" t="s">
        <v>211</v>
      </c>
      <c r="N119" s="118">
        <v>0.05</v>
      </c>
      <c r="O119" s="2">
        <f t="shared" si="25"/>
        <v>32917151.278549328</v>
      </c>
      <c r="P119" s="18" t="s">
        <v>219</v>
      </c>
      <c r="Q119" s="118">
        <v>0.15</v>
      </c>
      <c r="R119" s="2">
        <f t="shared" si="26"/>
        <v>111489340.83306532</v>
      </c>
    </row>
    <row r="120" spans="1:19" x14ac:dyDescent="0.35">
      <c r="D120" s="2"/>
      <c r="E120" s="2"/>
      <c r="G120" s="2"/>
      <c r="L120" s="2">
        <f>SUM(L116:L119)</f>
        <v>2856357472.039619</v>
      </c>
      <c r="M120" t="s">
        <v>216</v>
      </c>
      <c r="N120" s="118">
        <v>0.03</v>
      </c>
      <c r="O120" s="2">
        <f t="shared" si="25"/>
        <v>19750290.767129596</v>
      </c>
      <c r="P120" s="102" t="s">
        <v>220</v>
      </c>
      <c r="Q120" s="118">
        <v>0.05</v>
      </c>
      <c r="R120" s="2">
        <f t="shared" si="26"/>
        <v>37163113.611021779</v>
      </c>
    </row>
    <row r="121" spans="1:19" x14ac:dyDescent="0.35">
      <c r="D121" s="2"/>
      <c r="E121" s="2"/>
      <c r="G121" s="2"/>
      <c r="M121" t="s">
        <v>212</v>
      </c>
      <c r="N121" s="118">
        <v>0.02</v>
      </c>
      <c r="O121" s="2">
        <f t="shared" si="25"/>
        <v>13166860.51141973</v>
      </c>
      <c r="P121" t="s">
        <v>262</v>
      </c>
      <c r="Q121" s="118">
        <v>0</v>
      </c>
      <c r="R121">
        <f t="shared" si="26"/>
        <v>0</v>
      </c>
    </row>
    <row r="122" spans="1:19" s="202" customFormat="1" x14ac:dyDescent="0.35">
      <c r="A122" s="202" t="s">
        <v>88</v>
      </c>
      <c r="B122" s="202">
        <v>2380</v>
      </c>
      <c r="C122" s="203">
        <f>B122*F122</f>
        <v>14301112308.59828</v>
      </c>
      <c r="D122" s="202">
        <f>'[3]Scenaior 3 2040'!$E$32</f>
        <v>6.1713346916411753</v>
      </c>
      <c r="E122" s="202">
        <f>'[1]Conversion factors selected IV '!$O$27</f>
        <v>0.97367441860465131</v>
      </c>
      <c r="F122" s="202">
        <f>D122*E122*1000000</f>
        <v>6008870.7178984368</v>
      </c>
      <c r="G122" s="202">
        <f>'LCoP 2040 high'!E6</f>
        <v>2513.8297872340427</v>
      </c>
      <c r="H122" s="202">
        <f>G122*F122</f>
        <v>15105278198.291496</v>
      </c>
      <c r="I122" s="202">
        <f>'LCoP 2040 high'!H6</f>
        <v>0.42319085907744397</v>
      </c>
      <c r="K122" s="202">
        <f>I122*G122</f>
        <v>1063.8297872340427</v>
      </c>
      <c r="L122" s="202">
        <f>I122*H122</f>
        <v>6392415657.3387632</v>
      </c>
      <c r="M122" s="202">
        <f>'LCoP 2040 high'!F6</f>
        <v>0.29834955564959798</v>
      </c>
      <c r="O122" s="202">
        <f>M122*H122</f>
        <v>4506653038.4238281</v>
      </c>
      <c r="P122" s="202">
        <f>'LCoP 2040 high'!G6</f>
        <v>0.27845958527295811</v>
      </c>
    </row>
    <row r="123" spans="1:19" x14ac:dyDescent="0.35">
      <c r="C123">
        <f>C122/C114</f>
        <v>0.48735982213671608</v>
      </c>
      <c r="D123" s="2"/>
      <c r="E123" s="2"/>
      <c r="G123" s="2"/>
      <c r="I123" s="8" t="s">
        <v>16</v>
      </c>
      <c r="J123" s="241" t="s">
        <v>81</v>
      </c>
      <c r="L123" s="2"/>
      <c r="M123" s="5" t="s">
        <v>211</v>
      </c>
      <c r="N123" s="34">
        <v>0</v>
      </c>
      <c r="O123" s="2">
        <f t="shared" ref="O123:O128" si="28">N123*$O$122</f>
        <v>0</v>
      </c>
      <c r="P123" s="18" t="s">
        <v>217</v>
      </c>
      <c r="Q123" s="34">
        <v>0.2</v>
      </c>
    </row>
    <row r="124" spans="1:19" x14ac:dyDescent="0.35">
      <c r="D124" s="2"/>
      <c r="E124" s="2"/>
      <c r="G124" s="2"/>
      <c r="L124" s="2"/>
      <c r="M124" t="s">
        <v>212</v>
      </c>
      <c r="N124" s="34">
        <v>0.02</v>
      </c>
      <c r="O124" s="2">
        <f t="shared" si="28"/>
        <v>90133060.768476561</v>
      </c>
      <c r="P124" s="18" t="s">
        <v>177</v>
      </c>
      <c r="Q124" s="34">
        <v>0.5</v>
      </c>
    </row>
    <row r="125" spans="1:19" x14ac:dyDescent="0.35">
      <c r="D125" s="2"/>
      <c r="E125" s="2"/>
      <c r="G125" s="2"/>
      <c r="L125" s="2"/>
      <c r="M125" s="5" t="s">
        <v>210</v>
      </c>
      <c r="N125" s="34">
        <v>0.5</v>
      </c>
      <c r="O125" s="2">
        <f t="shared" si="28"/>
        <v>2253326519.2119141</v>
      </c>
      <c r="P125" s="18" t="s">
        <v>218</v>
      </c>
      <c r="Q125" s="34">
        <v>0.15</v>
      </c>
    </row>
    <row r="126" spans="1:19" x14ac:dyDescent="0.35">
      <c r="D126" s="2"/>
      <c r="E126" s="2"/>
      <c r="G126" s="2"/>
      <c r="L126" s="2"/>
      <c r="M126" t="s">
        <v>213</v>
      </c>
      <c r="N126" s="34">
        <v>0.15</v>
      </c>
      <c r="O126" s="2">
        <f t="shared" si="28"/>
        <v>675997955.76357424</v>
      </c>
      <c r="P126" s="18" t="s">
        <v>219</v>
      </c>
      <c r="Q126" s="34">
        <v>0.1</v>
      </c>
    </row>
    <row r="127" spans="1:19" x14ac:dyDescent="0.35">
      <c r="D127" s="2"/>
      <c r="E127" s="2"/>
      <c r="G127" s="2"/>
      <c r="L127" s="2"/>
      <c r="M127" t="s">
        <v>214</v>
      </c>
      <c r="N127" s="34">
        <v>0.3</v>
      </c>
      <c r="O127" s="2">
        <f t="shared" si="28"/>
        <v>1351995911.5271485</v>
      </c>
      <c r="P127" s="18" t="s">
        <v>220</v>
      </c>
      <c r="Q127" s="34">
        <v>0.05</v>
      </c>
    </row>
    <row r="128" spans="1:19" x14ac:dyDescent="0.35">
      <c r="D128" s="2"/>
      <c r="E128" s="2"/>
      <c r="G128" s="2"/>
      <c r="L128" s="2"/>
      <c r="M128" t="s">
        <v>216</v>
      </c>
      <c r="N128" s="34">
        <v>0.03</v>
      </c>
      <c r="O128" s="2">
        <f t="shared" si="28"/>
        <v>135199591.15271485</v>
      </c>
      <c r="Q128" s="118"/>
    </row>
    <row r="129" spans="1:18" x14ac:dyDescent="0.35">
      <c r="D129" s="2"/>
      <c r="E129" s="2"/>
      <c r="G129" s="2"/>
      <c r="N129" s="118"/>
      <c r="O129" s="2"/>
      <c r="Q129" s="118"/>
    </row>
    <row r="130" spans="1:18" x14ac:dyDescent="0.35">
      <c r="D130" s="2"/>
      <c r="E130" s="2"/>
      <c r="G130" s="2"/>
      <c r="N130" s="118"/>
      <c r="O130" s="2"/>
      <c r="Q130" s="118"/>
    </row>
    <row r="131" spans="1:18" x14ac:dyDescent="0.35">
      <c r="D131" s="2"/>
      <c r="E131" s="2"/>
      <c r="G131" s="2"/>
      <c r="N131" s="118"/>
      <c r="O131" s="2"/>
      <c r="Q131" s="118"/>
    </row>
    <row r="132" spans="1:18" x14ac:dyDescent="0.35">
      <c r="D132" s="2"/>
      <c r="E132" s="2"/>
      <c r="G132" s="2"/>
      <c r="N132" s="118"/>
      <c r="O132" s="2"/>
      <c r="Q132" s="118"/>
    </row>
    <row r="133" spans="1:18" s="202" customFormat="1" x14ac:dyDescent="0.35">
      <c r="A133" s="202" t="s">
        <v>304</v>
      </c>
      <c r="B133" s="202">
        <v>2380</v>
      </c>
      <c r="C133" s="202">
        <f>B133*F133</f>
        <v>5828736288.8487091</v>
      </c>
      <c r="D133" s="202">
        <f>'[3]Scenaior 3 2040'!$E$33</f>
        <v>2.5152646655444366</v>
      </c>
      <c r="E133" s="202">
        <f>'[1]Conversion factors selected IV '!$O$76</f>
        <v>0.97367441860465131</v>
      </c>
      <c r="F133" s="202">
        <f>D133*E133*1000000</f>
        <v>2449048.8608608022</v>
      </c>
      <c r="G133" s="202">
        <f>'LCoP 2040 high'!E16</f>
        <v>2783.9654154223158</v>
      </c>
      <c r="H133" s="202">
        <f>G133*F133</f>
        <v>6818067329.3158922</v>
      </c>
      <c r="I133" s="202">
        <f>'LCoP 2040 high'!H16</f>
        <v>0.223679292843461</v>
      </c>
      <c r="L133" s="202">
        <f>I133*H133</f>
        <v>1525060478.7804835</v>
      </c>
      <c r="M133" s="202">
        <f>'LCoP 2040 high'!F16</f>
        <v>0.51904380420645402</v>
      </c>
      <c r="O133" s="202">
        <f>M133*H133</f>
        <v>3538875603.9438586</v>
      </c>
      <c r="P133" s="202">
        <f>'LCoP 2040 high'!G16</f>
        <v>0.25727690295008493</v>
      </c>
      <c r="R133" s="202">
        <f>P133*H133</f>
        <v>1754131246.5915496</v>
      </c>
    </row>
    <row r="134" spans="1:18" s="78" customFormat="1" x14ac:dyDescent="0.35">
      <c r="C134">
        <f>C133/C114</f>
        <v>0.19863433135247918</v>
      </c>
      <c r="F134" s="147" t="s">
        <v>179</v>
      </c>
      <c r="G134" s="2">
        <f>SUMIF($J$134:$J$143,F134,$L$134:$L$143)/$L$133</f>
        <v>0.67797355889627375</v>
      </c>
      <c r="I134" s="5" t="s">
        <v>4</v>
      </c>
      <c r="J134" s="147" t="s">
        <v>179</v>
      </c>
      <c r="K134" s="6">
        <f>'Feedstock MIX per IVC'!N69</f>
        <v>328.75394169844014</v>
      </c>
      <c r="L134" s="2">
        <f t="shared" ref="L134:L143" si="29">K134*F$133</f>
        <v>805134466.42006338</v>
      </c>
      <c r="M134" s="5" t="s">
        <v>211</v>
      </c>
      <c r="N134" s="34">
        <v>0</v>
      </c>
      <c r="O134" s="2">
        <f t="shared" ref="O134:O139" si="30">N134*O$133</f>
        <v>0</v>
      </c>
      <c r="P134" s="18" t="s">
        <v>217</v>
      </c>
      <c r="Q134" s="34">
        <v>0.25</v>
      </c>
      <c r="R134" s="2">
        <f>Q134*R$133</f>
        <v>438532811.64788741</v>
      </c>
    </row>
    <row r="135" spans="1:18" x14ac:dyDescent="0.35">
      <c r="F135" s="171" t="s">
        <v>222</v>
      </c>
      <c r="G135" s="2">
        <f t="shared" ref="G135:G139" si="31">SUMIF($J$134:$J$143,F135,$L$134:$L$143)/$L$133</f>
        <v>0.12922832970411152</v>
      </c>
      <c r="I135" s="5" t="s">
        <v>5</v>
      </c>
      <c r="J135" s="147" t="s">
        <v>179</v>
      </c>
      <c r="K135" s="6">
        <f>'Feedstock MIX per IVC'!N70</f>
        <v>15.165135855302227</v>
      </c>
      <c r="L135" s="2">
        <f t="shared" si="29"/>
        <v>37140158.691227227</v>
      </c>
      <c r="M135" t="s">
        <v>212</v>
      </c>
      <c r="N135" s="34">
        <v>0.02</v>
      </c>
      <c r="O135" s="2">
        <f t="shared" si="30"/>
        <v>70777512.078877181</v>
      </c>
      <c r="P135" s="18" t="s">
        <v>177</v>
      </c>
      <c r="Q135" s="34">
        <v>0.15</v>
      </c>
      <c r="R135" s="2">
        <f>Q135*R$133</f>
        <v>263119686.98873243</v>
      </c>
    </row>
    <row r="136" spans="1:18" x14ac:dyDescent="0.35">
      <c r="F136" s="149" t="s">
        <v>176</v>
      </c>
      <c r="G136" s="2">
        <f t="shared" si="31"/>
        <v>0.15225610035577186</v>
      </c>
      <c r="I136" s="5" t="s">
        <v>22</v>
      </c>
      <c r="J136" s="152" t="s">
        <v>180</v>
      </c>
      <c r="K136" s="6">
        <f>'Feedstock MIX per IVC'!N71</f>
        <v>0</v>
      </c>
      <c r="L136" s="2">
        <f t="shared" si="29"/>
        <v>0</v>
      </c>
      <c r="M136" s="5" t="s">
        <v>210</v>
      </c>
      <c r="N136" s="34">
        <v>0.55000000000000004</v>
      </c>
      <c r="O136" s="2">
        <f t="shared" si="30"/>
        <v>1946381582.1691225</v>
      </c>
      <c r="P136" s="18" t="s">
        <v>218</v>
      </c>
      <c r="Q136" s="34">
        <v>0.3</v>
      </c>
      <c r="R136" s="2">
        <f>Q136*R$133</f>
        <v>526239373.97746485</v>
      </c>
    </row>
    <row r="137" spans="1:18" x14ac:dyDescent="0.35">
      <c r="F137" s="152" t="s">
        <v>180</v>
      </c>
      <c r="G137" s="2">
        <f t="shared" si="31"/>
        <v>2.5320633913510301E-2</v>
      </c>
      <c r="I137" s="5" t="s">
        <v>6</v>
      </c>
      <c r="J137" s="150" t="s">
        <v>178</v>
      </c>
      <c r="K137" s="6">
        <f>'Feedstock MIX per IVC'!N72</f>
        <v>7.2889936763447416</v>
      </c>
      <c r="L137" s="2">
        <f t="shared" si="29"/>
        <v>17851101.659873679</v>
      </c>
      <c r="M137" t="s">
        <v>213</v>
      </c>
      <c r="N137" s="34">
        <v>0.1</v>
      </c>
      <c r="O137" s="2">
        <f t="shared" si="30"/>
        <v>353887560.39438587</v>
      </c>
      <c r="P137" s="18" t="s">
        <v>219</v>
      </c>
      <c r="Q137" s="34">
        <v>0.3</v>
      </c>
      <c r="R137" s="2">
        <f>Q137*R$133</f>
        <v>526239373.97746485</v>
      </c>
    </row>
    <row r="138" spans="1:18" s="78" customFormat="1" x14ac:dyDescent="0.35">
      <c r="F138" s="190" t="s">
        <v>77</v>
      </c>
      <c r="G138" s="276">
        <f t="shared" si="31"/>
        <v>3.5162009040439761E-3</v>
      </c>
      <c r="I138" s="5" t="s">
        <v>7</v>
      </c>
      <c r="J138" s="147" t="s">
        <v>179</v>
      </c>
      <c r="K138" s="6">
        <f>'Feedstock MIX per IVC'!N73</f>
        <v>61.937979630127082</v>
      </c>
      <c r="L138" s="2">
        <f t="shared" si="29"/>
        <v>151689138.45718229</v>
      </c>
      <c r="M138" t="s">
        <v>214</v>
      </c>
      <c r="N138" s="34">
        <v>0.3</v>
      </c>
      <c r="O138" s="2">
        <f t="shared" si="30"/>
        <v>1061662681.1831576</v>
      </c>
      <c r="P138" s="18" t="s">
        <v>220</v>
      </c>
      <c r="Q138" s="223">
        <v>0</v>
      </c>
      <c r="R138" s="2">
        <f>Q138*R$133</f>
        <v>0</v>
      </c>
    </row>
    <row r="139" spans="1:18" x14ac:dyDescent="0.35">
      <c r="F139" s="150" t="s">
        <v>178</v>
      </c>
      <c r="G139" s="2">
        <f t="shared" si="31"/>
        <v>1.1705176226288635E-2</v>
      </c>
      <c r="I139" s="5" t="s">
        <v>8</v>
      </c>
      <c r="J139" s="147" t="s">
        <v>179</v>
      </c>
      <c r="K139" s="6">
        <f>'Feedstock MIX per IVC'!N74</f>
        <v>16.3275291895695</v>
      </c>
      <c r="L139" s="2">
        <f t="shared" si="29"/>
        <v>39986916.76238668</v>
      </c>
      <c r="M139" t="s">
        <v>216</v>
      </c>
      <c r="N139" s="34">
        <v>0.03</v>
      </c>
      <c r="O139" s="2">
        <f t="shared" si="30"/>
        <v>106166268.11831576</v>
      </c>
    </row>
    <row r="140" spans="1:18" x14ac:dyDescent="0.35">
      <c r="F140" s="151" t="s">
        <v>78</v>
      </c>
      <c r="G140" s="276">
        <f>G138</f>
        <v>3.5162009040439761E-3</v>
      </c>
      <c r="I140" s="5" t="s">
        <v>9</v>
      </c>
      <c r="J140" s="171" t="s">
        <v>222</v>
      </c>
      <c r="K140" s="6">
        <f>'Feedstock MIX per IVC'!N75</f>
        <v>80.472473016027777</v>
      </c>
      <c r="L140" s="2">
        <f t="shared" si="29"/>
        <v>197081018.37055448</v>
      </c>
      <c r="N140" s="34"/>
    </row>
    <row r="141" spans="1:18" x14ac:dyDescent="0.35">
      <c r="F141"/>
      <c r="G141" s="2">
        <f>SUM(G134:G140)</f>
        <v>1.0035162009040439</v>
      </c>
      <c r="I141" s="5" t="s">
        <v>10</v>
      </c>
      <c r="J141" s="149" t="s">
        <v>176</v>
      </c>
      <c r="K141" s="6">
        <f>'Feedstock MIX per IVC'!N76</f>
        <v>94.812220783626273</v>
      </c>
      <c r="L141" s="2">
        <f t="shared" si="29"/>
        <v>232199761.30582279</v>
      </c>
    </row>
    <row r="142" spans="1:18" x14ac:dyDescent="0.35">
      <c r="F142"/>
      <c r="I142" s="5" t="s">
        <v>11</v>
      </c>
      <c r="J142" s="152" t="s">
        <v>180</v>
      </c>
      <c r="K142" s="6">
        <f>'Feedstock MIX per IVC'!N77</f>
        <v>15.767549066207943</v>
      </c>
      <c r="L142" s="2">
        <f t="shared" si="29"/>
        <v>38615498.079163365</v>
      </c>
    </row>
    <row r="143" spans="1:18" x14ac:dyDescent="0.35">
      <c r="I143" s="13" t="s">
        <v>32</v>
      </c>
      <c r="J143" s="190" t="s">
        <v>77</v>
      </c>
      <c r="K143" s="6">
        <f>'Feedstock MIX per IVC'!N78</f>
        <v>2.1895925066700666</v>
      </c>
      <c r="L143" s="2">
        <f t="shared" si="29"/>
        <v>5362419.0342096752</v>
      </c>
    </row>
    <row r="144" spans="1:18" x14ac:dyDescent="0.35">
      <c r="A144" s="78"/>
      <c r="B144" s="78"/>
      <c r="C144" s="78"/>
      <c r="D144" s="90"/>
      <c r="E144" s="90"/>
      <c r="F144" s="213"/>
      <c r="G144" s="99"/>
      <c r="L144" s="2">
        <f>SUM(L134:L143)</f>
        <v>1525060478.7804837</v>
      </c>
    </row>
    <row r="145" spans="1:19" s="201" customFormat="1" x14ac:dyDescent="0.35">
      <c r="A145" s="201" t="s">
        <v>335</v>
      </c>
      <c r="B145" s="202">
        <v>2380</v>
      </c>
      <c r="C145" s="202">
        <f>B145*F145</f>
        <v>5047032831.7897444</v>
      </c>
      <c r="D145" s="208">
        <f>'[3]Scenaior 3 2040'!$E$34</f>
        <v>2.120602030163758</v>
      </c>
      <c r="E145" s="208">
        <f>'[1]Conversion factors selected IV '!$O$125</f>
        <v>1</v>
      </c>
      <c r="F145" s="202">
        <f>D145*E145*1000000</f>
        <v>2120602.030163758</v>
      </c>
      <c r="G145" s="208">
        <f>'LCoP 2040 high'!E22</f>
        <v>2010.7628322856071</v>
      </c>
      <c r="H145" s="203">
        <f>G145*F145</f>
        <v>4264027744.3226867</v>
      </c>
      <c r="I145" s="202">
        <f>'LCoP 2040 high'!H22</f>
        <v>0.3447138673722781</v>
      </c>
      <c r="L145" s="202">
        <f>I145*H145</f>
        <v>1469869494.3281648</v>
      </c>
      <c r="M145" s="202">
        <f>'LCoP 2040 high'!F22</f>
        <v>0.34066673055686519</v>
      </c>
      <c r="O145" s="202">
        <f>M145*H145</f>
        <v>1452612390.6621745</v>
      </c>
      <c r="P145" s="202">
        <f>'LCoP 2040 high'!G22</f>
        <v>0.3146194020708567</v>
      </c>
      <c r="R145" s="202">
        <f>P145*H145</f>
        <v>1341545859.3323476</v>
      </c>
      <c r="S145" s="202">
        <f>L145+O145+R145</f>
        <v>4264027744.3226871</v>
      </c>
    </row>
    <row r="146" spans="1:19" x14ac:dyDescent="0.35">
      <c r="A146" s="78"/>
      <c r="B146" s="78"/>
      <c r="C146">
        <f>C145/C114</f>
        <v>0.171995084727805</v>
      </c>
      <c r="D146" s="90"/>
      <c r="E146" s="90"/>
      <c r="F146" s="147" t="s">
        <v>179</v>
      </c>
      <c r="G146" s="2">
        <f>SUMIF($J$146:$J$153,F146,$L$146:$L$153)/$L$145</f>
        <v>0.69024092690197614</v>
      </c>
      <c r="H146" s="192" t="s">
        <v>254</v>
      </c>
      <c r="I146" s="5" t="s">
        <v>4</v>
      </c>
      <c r="J146" s="147" t="s">
        <v>179</v>
      </c>
      <c r="K146" s="6">
        <f>'Feedstock MIX per IVC'!N111</f>
        <v>364.56177999527171</v>
      </c>
      <c r="L146" s="2">
        <f t="shared" ref="L146:L153" si="32">K146*F$145</f>
        <v>773090450.77808642</v>
      </c>
      <c r="M146" s="5" t="s">
        <v>211</v>
      </c>
      <c r="N146" s="167">
        <v>0.15</v>
      </c>
      <c r="O146" s="2">
        <f t="shared" ref="O146:O151" si="33">N146*O$145</f>
        <v>217891858.59932616</v>
      </c>
      <c r="P146" s="18" t="s">
        <v>217</v>
      </c>
      <c r="Q146" s="118">
        <v>0.15</v>
      </c>
      <c r="R146" s="2">
        <f>Q146*R$145</f>
        <v>201231878.89985213</v>
      </c>
    </row>
    <row r="147" spans="1:19" x14ac:dyDescent="0.35">
      <c r="A147" s="78"/>
      <c r="B147" s="78"/>
      <c r="C147" s="78"/>
      <c r="D147" s="90"/>
      <c r="E147" s="90"/>
      <c r="F147" s="171" t="s">
        <v>222</v>
      </c>
      <c r="G147" s="2">
        <f t="shared" ref="G147:G150" si="34">SUMIF($J$146:$J$153,F147,$L$146:$L$153)/$L$145</f>
        <v>0.12503848715005103</v>
      </c>
      <c r="H147" s="192" t="s">
        <v>254</v>
      </c>
      <c r="I147" s="5" t="s">
        <v>5</v>
      </c>
      <c r="J147" s="147" t="s">
        <v>179</v>
      </c>
      <c r="K147" s="6">
        <f>'Feedstock MIX per IVC'!N112</f>
        <v>16.812071357056464</v>
      </c>
      <c r="L147" s="2">
        <f t="shared" si="32"/>
        <v>35651712.651031904</v>
      </c>
      <c r="M147" t="s">
        <v>212</v>
      </c>
      <c r="N147" s="34">
        <v>0.02</v>
      </c>
      <c r="O147" s="2">
        <f t="shared" si="33"/>
        <v>29052247.81324349</v>
      </c>
      <c r="P147" s="18" t="s">
        <v>177</v>
      </c>
      <c r="Q147" s="118">
        <v>0.25</v>
      </c>
      <c r="R147" s="2">
        <f>Q147*R$145</f>
        <v>335386464.83308691</v>
      </c>
    </row>
    <row r="148" spans="1:19" x14ac:dyDescent="0.35">
      <c r="A148" s="78"/>
      <c r="B148" s="78"/>
      <c r="C148" s="78"/>
      <c r="D148" s="90"/>
      <c r="E148" s="90"/>
      <c r="F148" s="149" t="s">
        <v>176</v>
      </c>
      <c r="G148" s="2">
        <f t="shared" si="34"/>
        <v>0.1517905324529773</v>
      </c>
      <c r="H148" s="192" t="s">
        <v>254</v>
      </c>
      <c r="I148" s="5" t="s">
        <v>6</v>
      </c>
      <c r="J148" s="150" t="s">
        <v>178</v>
      </c>
      <c r="K148" s="6">
        <f>'Feedstock MIX per IVC'!N113</f>
        <v>8.0695561672370868</v>
      </c>
      <c r="L148" s="2">
        <f t="shared" si="32"/>
        <v>17112317.19076344</v>
      </c>
      <c r="M148" s="5" t="s">
        <v>210</v>
      </c>
      <c r="N148" s="167">
        <v>0.45</v>
      </c>
      <c r="O148" s="2">
        <f t="shared" si="33"/>
        <v>653675575.79797852</v>
      </c>
      <c r="P148" s="18" t="s">
        <v>218</v>
      </c>
      <c r="Q148" s="118">
        <v>0.2</v>
      </c>
      <c r="R148" s="2">
        <f>Q148*R$145</f>
        <v>268309171.86646953</v>
      </c>
    </row>
    <row r="149" spans="1:19" x14ac:dyDescent="0.35">
      <c r="A149" s="78"/>
      <c r="B149" s="78"/>
      <c r="C149" s="78"/>
      <c r="D149" s="90"/>
      <c r="E149" s="90"/>
      <c r="F149" s="152" t="s">
        <v>180</v>
      </c>
      <c r="G149" s="2">
        <f t="shared" si="34"/>
        <v>2.1287987817195229E-2</v>
      </c>
      <c r="H149" s="192" t="s">
        <v>254</v>
      </c>
      <c r="I149" s="5" t="s">
        <v>7</v>
      </c>
      <c r="J149" s="147" t="s">
        <v>179</v>
      </c>
      <c r="K149" s="6">
        <f>'Feedstock MIX per IVC'!N114</f>
        <v>78.789724886659172</v>
      </c>
      <c r="L149" s="2">
        <f t="shared" si="32"/>
        <v>167081650.55069339</v>
      </c>
      <c r="M149" t="s">
        <v>213</v>
      </c>
      <c r="N149" s="34">
        <v>0.1</v>
      </c>
      <c r="O149" s="2">
        <f t="shared" si="33"/>
        <v>145261239.06621745</v>
      </c>
      <c r="P149" s="18" t="s">
        <v>219</v>
      </c>
      <c r="Q149" s="118">
        <v>0.3</v>
      </c>
      <c r="R149" s="2">
        <f>Q149*R$145</f>
        <v>402463757.79970425</v>
      </c>
    </row>
    <row r="150" spans="1:19" x14ac:dyDescent="0.35">
      <c r="A150" s="78"/>
      <c r="B150" s="78"/>
      <c r="C150" s="78"/>
      <c r="D150" s="90"/>
      <c r="E150" s="90"/>
      <c r="F150" s="150" t="s">
        <v>178</v>
      </c>
      <c r="G150" s="2">
        <f t="shared" si="34"/>
        <v>1.1642065677800184E-2</v>
      </c>
      <c r="H150" s="192" t="s">
        <v>254</v>
      </c>
      <c r="I150" s="5" t="s">
        <v>8</v>
      </c>
      <c r="J150" s="147" t="s">
        <v>179</v>
      </c>
      <c r="K150" s="6">
        <f>'Feedstock MIX per IVC'!N115</f>
        <v>18.268523588656635</v>
      </c>
      <c r="L150" s="2">
        <f t="shared" si="32"/>
        <v>38740268.210199758</v>
      </c>
      <c r="M150" t="s">
        <v>214</v>
      </c>
      <c r="N150" s="34">
        <v>0.25</v>
      </c>
      <c r="O150" s="2">
        <f t="shared" si="33"/>
        <v>363153097.66554362</v>
      </c>
      <c r="P150" s="18" t="s">
        <v>220</v>
      </c>
      <c r="Q150" s="118">
        <v>0.1</v>
      </c>
      <c r="R150" s="2">
        <f>Q150*R$145</f>
        <v>134154585.93323477</v>
      </c>
    </row>
    <row r="151" spans="1:19" x14ac:dyDescent="0.35">
      <c r="A151" s="78"/>
      <c r="B151" s="78"/>
      <c r="C151" s="78"/>
      <c r="D151" s="90"/>
      <c r="E151" s="90"/>
      <c r="F151" s="213"/>
      <c r="G151" s="2">
        <f>SUM(G146:G150)</f>
        <v>1</v>
      </c>
      <c r="H151" s="192" t="s">
        <v>254</v>
      </c>
      <c r="I151" s="5" t="s">
        <v>9</v>
      </c>
      <c r="J151" s="171" t="s">
        <v>222</v>
      </c>
      <c r="K151" s="6">
        <f>'Feedstock MIX per IVC'!N116</f>
        <v>86.668905935458113</v>
      </c>
      <c r="L151" s="2">
        <f t="shared" si="32"/>
        <v>183790257.87880424</v>
      </c>
      <c r="M151" t="s">
        <v>216</v>
      </c>
      <c r="N151" s="34">
        <v>0.03</v>
      </c>
      <c r="O151" s="2">
        <f t="shared" si="33"/>
        <v>43578371.719865233</v>
      </c>
      <c r="Q151" s="34"/>
    </row>
    <row r="152" spans="1:19" x14ac:dyDescent="0.35">
      <c r="A152" s="78"/>
      <c r="B152" s="78"/>
      <c r="C152" s="78"/>
      <c r="D152" s="90"/>
      <c r="E152" s="90"/>
      <c r="F152" s="213"/>
      <c r="H152" s="192" t="s">
        <v>254</v>
      </c>
      <c r="I152" s="5" t="s">
        <v>10</v>
      </c>
      <c r="J152" s="149" t="s">
        <v>176</v>
      </c>
      <c r="K152" s="6">
        <f>'Feedstock MIX per IVC'!N117</f>
        <v>105.21176062593479</v>
      </c>
      <c r="L152" s="2">
        <f t="shared" si="32"/>
        <v>223112273.18046063</v>
      </c>
      <c r="M152" s="2"/>
      <c r="O152" s="2"/>
    </row>
    <row r="153" spans="1:19" x14ac:dyDescent="0.35">
      <c r="A153" s="78"/>
      <c r="B153" s="78"/>
      <c r="C153" s="78"/>
      <c r="D153" s="90"/>
      <c r="E153" s="90"/>
      <c r="F153" s="213"/>
      <c r="H153" s="192" t="s">
        <v>254</v>
      </c>
      <c r="I153" s="5" t="s">
        <v>11</v>
      </c>
      <c r="J153" s="152" t="s">
        <v>180</v>
      </c>
      <c r="K153" s="6">
        <f>'Feedstock MIX per IVC'!N118</f>
        <v>14.755509729333113</v>
      </c>
      <c r="L153" s="2">
        <f t="shared" si="32"/>
        <v>31290563.888124883</v>
      </c>
    </row>
    <row r="154" spans="1:19" x14ac:dyDescent="0.35">
      <c r="A154" s="78"/>
      <c r="B154" s="78"/>
      <c r="C154" s="78"/>
      <c r="D154" s="90"/>
      <c r="E154" s="90"/>
      <c r="F154" s="213"/>
      <c r="G154" s="99"/>
      <c r="K154" s="6"/>
      <c r="L154" s="2"/>
    </row>
    <row r="155" spans="1:19" s="91" customFormat="1" ht="34" customHeight="1" x14ac:dyDescent="0.35">
      <c r="A155" s="91" t="s">
        <v>81</v>
      </c>
      <c r="F155" s="169"/>
    </row>
    <row r="156" spans="1:19" ht="19" customHeight="1" x14ac:dyDescent="0.35">
      <c r="C156" s="2">
        <f>C157+C168+C176</f>
        <v>68523882426.01236</v>
      </c>
      <c r="D156" s="2">
        <f>D157+D168+D176</f>
        <v>35.883546374892738</v>
      </c>
      <c r="E156" s="2"/>
      <c r="F156" s="2">
        <f>F157+F168+F176</f>
        <v>72799949.721419424</v>
      </c>
      <c r="L156" s="2">
        <f>L157+L168+L176</f>
        <v>23533905631.244442</v>
      </c>
      <c r="O156" s="2">
        <f>O157+O168+O176</f>
        <v>9531207228.5768356</v>
      </c>
      <c r="R156" s="2">
        <f>R157+R168+R176</f>
        <v>15961980892.54406</v>
      </c>
    </row>
    <row r="157" spans="1:19" s="202" customFormat="1" x14ac:dyDescent="0.35">
      <c r="A157" s="202" t="s">
        <v>309</v>
      </c>
      <c r="B157" s="202">
        <v>935</v>
      </c>
      <c r="C157" s="202">
        <f>B157*F157</f>
        <v>26880733713.345932</v>
      </c>
      <c r="D157" s="202">
        <f>'[3]Scenaior 3 2040'!$E$21</f>
        <v>13.733375285067522</v>
      </c>
      <c r="E157" s="202">
        <f>'[1]Conversion factors selected IV '!$O$49</f>
        <v>2.0934000000000004</v>
      </c>
      <c r="F157" s="202">
        <f>D157*E157*1000000</f>
        <v>28749447.821760356</v>
      </c>
      <c r="G157" s="202">
        <f>'LCoP 2040 high'!E10</f>
        <v>560.93483576630842</v>
      </c>
      <c r="H157" s="202">
        <f>G157*F157</f>
        <v>16126566792.271198</v>
      </c>
      <c r="I157" s="202">
        <f>'LCoP 2040 high'!H10</f>
        <v>0.25035855648803945</v>
      </c>
      <c r="L157" s="202">
        <f>I157*H157</f>
        <v>4037423983.2209702</v>
      </c>
      <c r="M157" s="202">
        <f>'LCoP 2040 high'!F10</f>
        <v>0.500949454522856</v>
      </c>
      <c r="O157" s="202">
        <f>M157*H157</f>
        <v>8078594837.9146605</v>
      </c>
      <c r="P157" s="202">
        <f>'LCoP 2040 high'!G10</f>
        <v>0.24869198898910466</v>
      </c>
      <c r="R157" s="202">
        <f>P157*H157</f>
        <v>4010547971.1355696</v>
      </c>
    </row>
    <row r="158" spans="1:19" x14ac:dyDescent="0.35">
      <c r="C158">
        <f>C157/$C$156</f>
        <v>0.39228270147083394</v>
      </c>
      <c r="D158" s="2"/>
      <c r="E158" s="2"/>
      <c r="F158" s="147" t="s">
        <v>179</v>
      </c>
      <c r="G158" s="2">
        <f>SUMIF($J$158:$J$167,F158,$L$158:$L$167)/$L$157</f>
        <v>0.6231089961746118</v>
      </c>
      <c r="I158" s="5" t="s">
        <v>4</v>
      </c>
      <c r="J158" s="147" t="s">
        <v>179</v>
      </c>
      <c r="K158" s="6">
        <f>'Feedstock MIX per IVC'!N30</f>
        <v>67.993236631721032</v>
      </c>
      <c r="L158" s="2">
        <f t="shared" ref="L158:L167" si="35">K158*F$157</f>
        <v>1954768008.7762687</v>
      </c>
      <c r="M158" s="5" t="s">
        <v>211</v>
      </c>
      <c r="N158" s="34">
        <v>0</v>
      </c>
      <c r="O158" s="2">
        <f t="shared" ref="O158:O163" si="36">N158*O$157</f>
        <v>0</v>
      </c>
      <c r="P158" s="18" t="s">
        <v>217</v>
      </c>
      <c r="Q158" s="34">
        <v>0.25</v>
      </c>
      <c r="R158" s="2">
        <f>Q158*R$157</f>
        <v>1002636992.7838924</v>
      </c>
    </row>
    <row r="159" spans="1:19" x14ac:dyDescent="0.35">
      <c r="D159" s="2"/>
      <c r="E159" s="2"/>
      <c r="F159" s="171" t="s">
        <v>222</v>
      </c>
      <c r="G159" s="2">
        <f t="shared" ref="G159:G164" si="37">SUMIF($J$158:$J$167,F159,$L$158:$L$167)/$L$157</f>
        <v>0.11853071318652597</v>
      </c>
      <c r="I159" s="5" t="s">
        <v>5</v>
      </c>
      <c r="J159" s="147" t="s">
        <v>179</v>
      </c>
      <c r="K159" s="6">
        <f>'Feedstock MIX per IVC'!N31</f>
        <v>3.1358303572034152</v>
      </c>
      <c r="L159" s="2">
        <f t="shared" si="35"/>
        <v>90153391.232311726</v>
      </c>
      <c r="M159" t="s">
        <v>212</v>
      </c>
      <c r="N159" s="34">
        <v>0.02</v>
      </c>
      <c r="O159" s="2">
        <f t="shared" si="36"/>
        <v>161571896.75829321</v>
      </c>
      <c r="P159" s="18" t="s">
        <v>177</v>
      </c>
      <c r="Q159" s="34">
        <v>0.15</v>
      </c>
      <c r="R159" s="2">
        <f>Q159*R$157</f>
        <v>601582195.67033541</v>
      </c>
    </row>
    <row r="160" spans="1:19" x14ac:dyDescent="0.35">
      <c r="D160" s="2"/>
      <c r="E160" s="2"/>
      <c r="F160" s="149" t="s">
        <v>176</v>
      </c>
      <c r="G160" s="2">
        <f t="shared" si="37"/>
        <v>0.13969989007909225</v>
      </c>
      <c r="I160" s="5" t="s">
        <v>22</v>
      </c>
      <c r="J160" s="152" t="s">
        <v>180</v>
      </c>
      <c r="K160" s="6">
        <f>'Feedstock MIX per IVC'!N32</f>
        <v>0</v>
      </c>
      <c r="L160" s="2">
        <f t="shared" si="35"/>
        <v>0</v>
      </c>
      <c r="M160" s="5" t="s">
        <v>210</v>
      </c>
      <c r="N160" s="34">
        <v>0.55000000000000004</v>
      </c>
      <c r="O160" s="2">
        <f t="shared" si="36"/>
        <v>4443227160.8530636</v>
      </c>
      <c r="P160" s="18" t="s">
        <v>218</v>
      </c>
      <c r="Q160" s="34">
        <v>0.3</v>
      </c>
      <c r="R160" s="2">
        <f>Q160*R$157</f>
        <v>1203164391.3406708</v>
      </c>
    </row>
    <row r="161" spans="1:19" x14ac:dyDescent="0.35">
      <c r="D161" s="2"/>
      <c r="E161" s="2"/>
      <c r="F161" s="152" t="s">
        <v>180</v>
      </c>
      <c r="G161" s="2">
        <f t="shared" si="37"/>
        <v>2.3256094454136178E-2</v>
      </c>
      <c r="I161" s="5" t="s">
        <v>6</v>
      </c>
      <c r="J161" s="150" t="s">
        <v>178</v>
      </c>
      <c r="K161" s="6">
        <f>'Feedstock MIX per IVC'!N33</f>
        <v>1.5057576120307243</v>
      </c>
      <c r="L161" s="2">
        <f t="shared" si="35"/>
        <v>43289699.899295785</v>
      </c>
      <c r="M161" t="s">
        <v>213</v>
      </c>
      <c r="N161" s="34">
        <v>0.1</v>
      </c>
      <c r="O161" s="2">
        <f t="shared" si="36"/>
        <v>807859483.79146612</v>
      </c>
      <c r="P161" s="18" t="s">
        <v>219</v>
      </c>
      <c r="Q161" s="34">
        <v>0.3</v>
      </c>
      <c r="R161" s="2">
        <f>Q161*R$157</f>
        <v>1203164391.3406708</v>
      </c>
    </row>
    <row r="162" spans="1:19" x14ac:dyDescent="0.35">
      <c r="D162" s="2"/>
      <c r="E162" s="2"/>
      <c r="F162" s="190" t="s">
        <v>77</v>
      </c>
      <c r="G162" s="2">
        <f t="shared" si="37"/>
        <v>8.4682197137340459E-2</v>
      </c>
      <c r="I162" s="5" t="s">
        <v>7</v>
      </c>
      <c r="J162" s="147" t="s">
        <v>179</v>
      </c>
      <c r="K162" s="6">
        <f>'Feedstock MIX per IVC'!N34</f>
        <v>12.978838343418538</v>
      </c>
      <c r="L162" s="2">
        <f t="shared" si="35"/>
        <v>373134435.74117386</v>
      </c>
      <c r="M162" t="s">
        <v>214</v>
      </c>
      <c r="N162" s="34">
        <v>0.3</v>
      </c>
      <c r="O162" s="2">
        <f t="shared" si="36"/>
        <v>2423578451.3743982</v>
      </c>
      <c r="P162" s="18" t="s">
        <v>220</v>
      </c>
      <c r="Q162" s="223">
        <v>0</v>
      </c>
      <c r="R162" s="2">
        <f>Q162*R$157</f>
        <v>0</v>
      </c>
    </row>
    <row r="163" spans="1:19" x14ac:dyDescent="0.35">
      <c r="D163" s="2"/>
      <c r="E163" s="2"/>
      <c r="F163" s="150" t="s">
        <v>178</v>
      </c>
      <c r="G163" s="2">
        <f t="shared" si="37"/>
        <v>1.0722108968293242E-2</v>
      </c>
      <c r="I163" s="5" t="s">
        <v>8</v>
      </c>
      <c r="J163" s="147" t="s">
        <v>179</v>
      </c>
      <c r="K163" s="6">
        <f>'Feedstock MIX per IVC'!N35</f>
        <v>3.398304209947955</v>
      </c>
      <c r="L163" s="2">
        <f t="shared" si="35"/>
        <v>97699369.566367283</v>
      </c>
      <c r="M163" t="s">
        <v>216</v>
      </c>
      <c r="N163" s="34">
        <v>0.03</v>
      </c>
      <c r="O163" s="2">
        <f t="shared" si="36"/>
        <v>242357845.13743982</v>
      </c>
    </row>
    <row r="164" spans="1:19" x14ac:dyDescent="0.35">
      <c r="D164" s="2"/>
      <c r="E164" s="2"/>
      <c r="F164" s="151" t="s">
        <v>78</v>
      </c>
      <c r="G164" s="2">
        <f t="shared" si="37"/>
        <v>0</v>
      </c>
      <c r="I164" s="5" t="s">
        <v>9</v>
      </c>
      <c r="J164" s="171" t="s">
        <v>222</v>
      </c>
      <c r="K164" s="6">
        <f>'Feedstock MIX per IVC'!N36</f>
        <v>16.645841239613187</v>
      </c>
      <c r="L164" s="2">
        <f t="shared" si="35"/>
        <v>478558744.16756606</v>
      </c>
      <c r="M164" s="2"/>
    </row>
    <row r="165" spans="1:19" x14ac:dyDescent="0.35">
      <c r="D165" s="2"/>
      <c r="E165" s="2"/>
      <c r="F165" s="2"/>
      <c r="G165" s="2">
        <f>SUM(G158:G164)</f>
        <v>1</v>
      </c>
      <c r="I165" s="5" t="s">
        <v>10</v>
      </c>
      <c r="J165" s="149" t="s">
        <v>176</v>
      </c>
      <c r="K165" s="6">
        <f>'Feedstock MIX per IVC'!N37</f>
        <v>19.618731119828663</v>
      </c>
      <c r="L165" s="2">
        <f t="shared" si="35"/>
        <v>564027686.65866029</v>
      </c>
    </row>
    <row r="166" spans="1:19" s="31" customFormat="1" x14ac:dyDescent="0.35">
      <c r="I166" s="5" t="s">
        <v>11</v>
      </c>
      <c r="J166" s="152" t="s">
        <v>180</v>
      </c>
      <c r="K166" s="6">
        <f>'Feedstock MIX per IVC'!N38</f>
        <v>3.265965805232371</v>
      </c>
      <c r="L166" s="2">
        <f t="shared" si="35"/>
        <v>93894713.505181596</v>
      </c>
    </row>
    <row r="167" spans="1:19" x14ac:dyDescent="0.35">
      <c r="D167" s="2"/>
      <c r="E167" s="2"/>
      <c r="I167" s="13" t="s">
        <v>25</v>
      </c>
      <c r="J167" s="190" t="s">
        <v>77</v>
      </c>
      <c r="K167" s="6">
        <f>'Feedstock MIX per IVC'!N39</f>
        <v>11.892330447312565</v>
      </c>
      <c r="L167" s="2">
        <f t="shared" si="35"/>
        <v>341897933.67414457</v>
      </c>
    </row>
    <row r="168" spans="1:19" s="202" customFormat="1" x14ac:dyDescent="0.35">
      <c r="A168" s="202" t="s">
        <v>27</v>
      </c>
      <c r="B168" s="202">
        <v>935</v>
      </c>
      <c r="C168" s="202">
        <f>B168*F168</f>
        <v>39204456377.978104</v>
      </c>
      <c r="D168" s="202">
        <f>'[3]Scenaior 3 2040'!$E$22</f>
        <v>20.029569059661455</v>
      </c>
      <c r="E168" s="202">
        <f>'[1]Conversion factors selected IV '!$O$49</f>
        <v>2.0934000000000004</v>
      </c>
      <c r="F168" s="202">
        <f>D168*E168*1000000</f>
        <v>41929899.869495295</v>
      </c>
      <c r="G168" s="202">
        <f>'LCoP 2040 high'!E11</f>
        <v>936</v>
      </c>
      <c r="H168" s="202">
        <f>G168*F168</f>
        <v>39246386277.847595</v>
      </c>
      <c r="I168" s="202">
        <f>'LCoP 2040 high'!H11</f>
        <v>0.45931903197595364</v>
      </c>
      <c r="L168" s="202">
        <f>I168*H168</f>
        <v>18026612153.695309</v>
      </c>
      <c r="M168" s="202">
        <f>'LCoP 2040 high'!F11</f>
        <v>0.27034048401202315</v>
      </c>
      <c r="O168" s="202">
        <f>'LCoP 2040 high'!M11</f>
        <v>0</v>
      </c>
      <c r="P168" s="202">
        <f>'LCoP 2040 high'!G11</f>
        <v>0.27034048401202315</v>
      </c>
      <c r="R168" s="202">
        <f>P168*H168</f>
        <v>10609887062.076143</v>
      </c>
      <c r="S168" s="209"/>
    </row>
    <row r="169" spans="1:19" x14ac:dyDescent="0.35">
      <c r="C169">
        <f>C168/$C$156</f>
        <v>0.57212835860998579</v>
      </c>
      <c r="F169" s="151" t="s">
        <v>79</v>
      </c>
      <c r="G169">
        <v>1</v>
      </c>
      <c r="I169" s="13" t="s">
        <v>28</v>
      </c>
      <c r="J169" s="151" t="s">
        <v>79</v>
      </c>
      <c r="L169" s="2">
        <f>L168</f>
        <v>18026612153.695309</v>
      </c>
      <c r="M169" s="5" t="s">
        <v>211</v>
      </c>
      <c r="N169" s="34">
        <v>0</v>
      </c>
      <c r="O169" s="2">
        <f t="shared" ref="O169:O174" si="38">N169*O$168</f>
        <v>0</v>
      </c>
      <c r="P169" s="18" t="s">
        <v>217</v>
      </c>
      <c r="Q169" s="34">
        <v>0.25</v>
      </c>
      <c r="R169" s="2">
        <f t="shared" ref="R169:R174" si="39">Q169*R$168</f>
        <v>2652471765.5190358</v>
      </c>
    </row>
    <row r="170" spans="1:19" x14ac:dyDescent="0.35">
      <c r="M170" t="s">
        <v>212</v>
      </c>
      <c r="N170" s="34">
        <v>0.02</v>
      </c>
      <c r="O170" s="2">
        <f t="shared" si="38"/>
        <v>0</v>
      </c>
      <c r="P170" s="18" t="s">
        <v>177</v>
      </c>
      <c r="Q170" s="34">
        <v>0.15</v>
      </c>
      <c r="R170" s="2">
        <f t="shared" si="39"/>
        <v>1591483059.3114214</v>
      </c>
    </row>
    <row r="171" spans="1:19" x14ac:dyDescent="0.35">
      <c r="M171" s="5" t="s">
        <v>210</v>
      </c>
      <c r="N171" s="34">
        <v>0.55000000000000004</v>
      </c>
      <c r="O171" s="2">
        <f t="shared" si="38"/>
        <v>0</v>
      </c>
      <c r="P171" s="18" t="s">
        <v>218</v>
      </c>
      <c r="Q171" s="34">
        <v>0.3</v>
      </c>
      <c r="R171" s="2">
        <f t="shared" si="39"/>
        <v>3182966118.6228428</v>
      </c>
    </row>
    <row r="172" spans="1:19" x14ac:dyDescent="0.35">
      <c r="M172" t="s">
        <v>213</v>
      </c>
      <c r="N172" s="34">
        <v>0.1</v>
      </c>
      <c r="O172" s="2">
        <f t="shared" si="38"/>
        <v>0</v>
      </c>
      <c r="P172" s="18" t="s">
        <v>219</v>
      </c>
      <c r="Q172" s="34">
        <v>0.3</v>
      </c>
      <c r="R172" s="2">
        <f t="shared" si="39"/>
        <v>3182966118.6228428</v>
      </c>
    </row>
    <row r="173" spans="1:19" x14ac:dyDescent="0.35">
      <c r="M173" t="s">
        <v>214</v>
      </c>
      <c r="N173" s="34">
        <v>0.3</v>
      </c>
      <c r="O173" s="2">
        <f t="shared" si="38"/>
        <v>0</v>
      </c>
      <c r="P173" s="18" t="s">
        <v>220</v>
      </c>
      <c r="Q173" s="223">
        <v>0</v>
      </c>
      <c r="R173" s="2">
        <f t="shared" si="39"/>
        <v>0</v>
      </c>
    </row>
    <row r="174" spans="1:19" x14ac:dyDescent="0.35">
      <c r="M174" t="s">
        <v>216</v>
      </c>
      <c r="N174" s="34">
        <v>0.03</v>
      </c>
      <c r="O174" s="2">
        <f t="shared" si="38"/>
        <v>0</v>
      </c>
      <c r="R174" s="2">
        <f t="shared" si="39"/>
        <v>0</v>
      </c>
    </row>
    <row r="176" spans="1:19" x14ac:dyDescent="0.35">
      <c r="A176" s="201" t="s">
        <v>296</v>
      </c>
      <c r="B176" s="201">
        <v>1150</v>
      </c>
      <c r="C176" s="202">
        <f>B176*F176</f>
        <v>2438692334.6883216</v>
      </c>
      <c r="D176" s="208">
        <f>'[3]Scenaior 3 2040'!$E$19</f>
        <v>2.120602030163758</v>
      </c>
      <c r="E176" s="208">
        <f>'[1]Conversion factors selected IV '!$O$125</f>
        <v>1</v>
      </c>
      <c r="F176" s="202">
        <f>D176*E176*1000000</f>
        <v>2120602.030163758</v>
      </c>
      <c r="G176" s="208">
        <f>'LCoP 2040 high'!E22</f>
        <v>2010.7628322856071</v>
      </c>
      <c r="H176" s="203">
        <f>G176*F176</f>
        <v>4264027744.3226867</v>
      </c>
      <c r="I176" s="208">
        <f>'LCoP 2040 high'!H22</f>
        <v>0.3447138673722781</v>
      </c>
      <c r="J176" s="201"/>
      <c r="K176" s="201"/>
      <c r="L176" s="202">
        <f>I176*H176</f>
        <v>1469869494.3281648</v>
      </c>
      <c r="M176" s="208">
        <f>'LCoP 2040 high'!F22</f>
        <v>0.34066673055686519</v>
      </c>
      <c r="N176" s="267">
        <f>SUM(N177:N182)</f>
        <v>1</v>
      </c>
      <c r="O176" s="202">
        <f>M176*H176</f>
        <v>1452612390.6621745</v>
      </c>
      <c r="P176" s="208">
        <f>'LCoP 2040 high'!G22</f>
        <v>0.3146194020708567</v>
      </c>
      <c r="Q176" s="201"/>
      <c r="R176" s="202">
        <f>P176*H176</f>
        <v>1341545859.3323476</v>
      </c>
      <c r="S176" s="203">
        <f>R176+O176+L176</f>
        <v>4264027744.3226871</v>
      </c>
    </row>
    <row r="177" spans="1:19" x14ac:dyDescent="0.35">
      <c r="C177">
        <f>C176/$C$156</f>
        <v>3.5588939919180197E-2</v>
      </c>
      <c r="D177" s="6"/>
      <c r="E177" s="6"/>
      <c r="F177" s="147" t="s">
        <v>179</v>
      </c>
      <c r="G177" s="2">
        <f>SUMIF($J$177:$J$184,F177,$L$177:$L$184)/$L$176</f>
        <v>0.69024092690197614</v>
      </c>
      <c r="H177" s="192" t="s">
        <v>254</v>
      </c>
      <c r="I177" s="5" t="s">
        <v>4</v>
      </c>
      <c r="J177" s="147" t="s">
        <v>179</v>
      </c>
      <c r="K177" s="31">
        <f>'Feedstock MIX per IVC'!N111</f>
        <v>364.56177999527171</v>
      </c>
      <c r="L177" s="2">
        <f t="shared" ref="L177:L184" si="40">K177*F$176</f>
        <v>773090450.77808642</v>
      </c>
      <c r="M177" s="5" t="s">
        <v>211</v>
      </c>
      <c r="N177" s="167">
        <v>0.15</v>
      </c>
      <c r="O177" s="2">
        <f t="shared" ref="O177:O182" si="41">N177*O$176</f>
        <v>217891858.59932616</v>
      </c>
      <c r="P177" s="18" t="s">
        <v>217</v>
      </c>
      <c r="Q177" s="118">
        <v>0.15</v>
      </c>
      <c r="R177" s="2">
        <f>Q177*R$176</f>
        <v>201231878.89985213</v>
      </c>
    </row>
    <row r="178" spans="1:19" x14ac:dyDescent="0.35">
      <c r="D178" s="6"/>
      <c r="E178" s="6"/>
      <c r="F178" s="171" t="s">
        <v>222</v>
      </c>
      <c r="G178" s="2">
        <f>SUMIF($J$177:$J$184,F178,$L$177:$L$184)/$L$176</f>
        <v>0.12503848715005103</v>
      </c>
      <c r="H178" s="192" t="s">
        <v>254</v>
      </c>
      <c r="I178" s="5" t="s">
        <v>5</v>
      </c>
      <c r="J178" s="147" t="s">
        <v>179</v>
      </c>
      <c r="K178" s="31">
        <f>'Feedstock MIX per IVC'!N112</f>
        <v>16.812071357056464</v>
      </c>
      <c r="L178" s="2">
        <f t="shared" si="40"/>
        <v>35651712.651031904</v>
      </c>
      <c r="M178" t="s">
        <v>212</v>
      </c>
      <c r="N178" s="34">
        <v>0.02</v>
      </c>
      <c r="O178" s="2">
        <f t="shared" si="41"/>
        <v>29052247.81324349</v>
      </c>
      <c r="P178" s="18" t="s">
        <v>177</v>
      </c>
      <c r="Q178" s="118">
        <v>0.25</v>
      </c>
      <c r="R178" s="2">
        <f>Q178*R$176</f>
        <v>335386464.83308691</v>
      </c>
    </row>
    <row r="179" spans="1:19" x14ac:dyDescent="0.35">
      <c r="D179" s="6"/>
      <c r="E179" s="6"/>
      <c r="F179" s="149" t="s">
        <v>176</v>
      </c>
      <c r="G179" s="2">
        <f>SUMIF($J$177:$J$184,F179,$L$177:$L$184)/$L$176</f>
        <v>0.1517905324529773</v>
      </c>
      <c r="H179" s="192" t="s">
        <v>254</v>
      </c>
      <c r="I179" s="5" t="s">
        <v>6</v>
      </c>
      <c r="J179" s="150" t="s">
        <v>178</v>
      </c>
      <c r="K179" s="31">
        <f>'Feedstock MIX per IVC'!N113</f>
        <v>8.0695561672370868</v>
      </c>
      <c r="L179" s="2">
        <f t="shared" si="40"/>
        <v>17112317.19076344</v>
      </c>
      <c r="M179" s="5" t="s">
        <v>210</v>
      </c>
      <c r="N179" s="167">
        <v>0.45</v>
      </c>
      <c r="O179" s="2">
        <f t="shared" si="41"/>
        <v>653675575.79797852</v>
      </c>
      <c r="P179" s="18" t="s">
        <v>218</v>
      </c>
      <c r="Q179" s="118">
        <v>0.2</v>
      </c>
      <c r="R179" s="2">
        <f>Q179*R$176</f>
        <v>268309171.86646953</v>
      </c>
      <c r="S179" s="2"/>
    </row>
    <row r="180" spans="1:19" x14ac:dyDescent="0.35">
      <c r="D180" s="6"/>
      <c r="E180" s="6"/>
      <c r="F180" s="150" t="s">
        <v>178</v>
      </c>
      <c r="G180" s="2">
        <f>SUMIF($J$177:$J$184,F180,$L$177:$L$184)/$L$176</f>
        <v>1.1642065677800184E-2</v>
      </c>
      <c r="H180" s="192" t="s">
        <v>254</v>
      </c>
      <c r="I180" s="5" t="s">
        <v>7</v>
      </c>
      <c r="J180" s="147" t="s">
        <v>179</v>
      </c>
      <c r="K180" s="31">
        <f>'Feedstock MIX per IVC'!N114</f>
        <v>78.789724886659172</v>
      </c>
      <c r="L180" s="2">
        <f t="shared" si="40"/>
        <v>167081650.55069339</v>
      </c>
      <c r="M180" t="s">
        <v>213</v>
      </c>
      <c r="N180" s="34">
        <v>0.1</v>
      </c>
      <c r="O180" s="2">
        <f t="shared" si="41"/>
        <v>145261239.06621745</v>
      </c>
      <c r="P180" s="18" t="s">
        <v>219</v>
      </c>
      <c r="Q180" s="118">
        <v>0.3</v>
      </c>
      <c r="R180" s="2">
        <f>Q180*R$176</f>
        <v>402463757.79970425</v>
      </c>
    </row>
    <row r="181" spans="1:19" x14ac:dyDescent="0.35">
      <c r="D181" s="6"/>
      <c r="E181" s="6"/>
      <c r="F181" s="152" t="s">
        <v>180</v>
      </c>
      <c r="G181" s="2">
        <f>SUMIF($J$177:$J$184,F181,$L$177:$L$184)/$L$176</f>
        <v>2.1287987817195229E-2</v>
      </c>
      <c r="H181" s="192" t="s">
        <v>254</v>
      </c>
      <c r="I181" s="5" t="s">
        <v>8</v>
      </c>
      <c r="J181" s="147" t="s">
        <v>179</v>
      </c>
      <c r="K181" s="31">
        <f>'Feedstock MIX per IVC'!N115</f>
        <v>18.268523588656635</v>
      </c>
      <c r="L181" s="2">
        <f t="shared" si="40"/>
        <v>38740268.210199758</v>
      </c>
      <c r="M181" t="s">
        <v>214</v>
      </c>
      <c r="N181" s="34">
        <v>0.25</v>
      </c>
      <c r="O181" s="2">
        <f t="shared" si="41"/>
        <v>363153097.66554362</v>
      </c>
      <c r="P181" s="18" t="s">
        <v>220</v>
      </c>
      <c r="Q181" s="118">
        <v>0.1</v>
      </c>
      <c r="R181" s="2">
        <f>Q181*R$176</f>
        <v>134154585.93323477</v>
      </c>
    </row>
    <row r="182" spans="1:19" x14ac:dyDescent="0.35">
      <c r="D182" s="6"/>
      <c r="E182" s="6"/>
      <c r="F182" s="31"/>
      <c r="G182" s="6">
        <f>SUM(G177:G181)</f>
        <v>1</v>
      </c>
      <c r="H182" s="192" t="s">
        <v>254</v>
      </c>
      <c r="I182" s="5" t="s">
        <v>9</v>
      </c>
      <c r="J182" s="171" t="s">
        <v>222</v>
      </c>
      <c r="K182" s="31">
        <f>'Feedstock MIX per IVC'!N116</f>
        <v>86.668905935458113</v>
      </c>
      <c r="L182" s="2">
        <f t="shared" si="40"/>
        <v>183790257.87880424</v>
      </c>
      <c r="M182" t="s">
        <v>216</v>
      </c>
      <c r="N182" s="34">
        <v>0.03</v>
      </c>
      <c r="O182" s="2">
        <f t="shared" si="41"/>
        <v>43578371.719865233</v>
      </c>
      <c r="Q182" s="34"/>
      <c r="R182" s="2"/>
    </row>
    <row r="183" spans="1:19" x14ac:dyDescent="0.35">
      <c r="D183" s="6"/>
      <c r="E183" s="6"/>
      <c r="F183" s="31"/>
      <c r="G183" s="6"/>
      <c r="H183" s="192" t="s">
        <v>254</v>
      </c>
      <c r="I183" s="5" t="s">
        <v>10</v>
      </c>
      <c r="J183" s="149" t="s">
        <v>176</v>
      </c>
      <c r="K183" s="31">
        <f>'Feedstock MIX per IVC'!N117</f>
        <v>105.21176062593479</v>
      </c>
      <c r="L183" s="2">
        <f t="shared" si="40"/>
        <v>223112273.18046063</v>
      </c>
    </row>
    <row r="184" spans="1:19" x14ac:dyDescent="0.35">
      <c r="D184" s="6"/>
      <c r="E184" s="6"/>
      <c r="F184" s="31"/>
      <c r="G184" s="31"/>
      <c r="H184" s="192" t="s">
        <v>254</v>
      </c>
      <c r="I184" s="5" t="s">
        <v>11</v>
      </c>
      <c r="J184" s="152" t="s">
        <v>180</v>
      </c>
      <c r="K184" s="31">
        <f>'Feedstock MIX per IVC'!N118</f>
        <v>14.755509729333113</v>
      </c>
      <c r="L184" s="2">
        <f t="shared" si="40"/>
        <v>31290563.888124883</v>
      </c>
    </row>
    <row r="185" spans="1:19" ht="35.5" customHeight="1" x14ac:dyDescent="0.35">
      <c r="A185" s="229" t="s">
        <v>381</v>
      </c>
      <c r="B185" s="229"/>
      <c r="C185" s="229"/>
      <c r="D185" s="190"/>
      <c r="E185" s="190"/>
      <c r="F185" s="198"/>
      <c r="G185" s="190"/>
      <c r="H185" s="190"/>
      <c r="I185" s="190"/>
      <c r="J185" s="190"/>
      <c r="K185" s="190"/>
      <c r="L185" s="190"/>
      <c r="M185" s="190"/>
      <c r="N185" s="190"/>
      <c r="O185" s="190"/>
      <c r="P185" s="190"/>
      <c r="Q185" s="190"/>
      <c r="R185" s="190"/>
      <c r="S185" s="190"/>
    </row>
    <row r="186" spans="1:19" x14ac:dyDescent="0.35">
      <c r="B186" s="2">
        <f>C186/1000000</f>
        <v>26331.71605766979</v>
      </c>
      <c r="C186" s="2">
        <f>C187+C194</f>
        <v>26331716057.669788</v>
      </c>
      <c r="D186" s="2">
        <f>D187+D194</f>
        <v>18.200624999999999</v>
      </c>
      <c r="F186" s="2">
        <f>F187+F194</f>
        <v>24987394.86374101</v>
      </c>
      <c r="L186" s="2">
        <f>L187+L194</f>
        <v>19557299587.5</v>
      </c>
      <c r="O186" s="2">
        <f>O187+O194</f>
        <v>2044174542.7188492</v>
      </c>
      <c r="R186" s="2">
        <f>R187+R194</f>
        <v>1342352074.1586692</v>
      </c>
    </row>
    <row r="187" spans="1:19" x14ac:dyDescent="0.35">
      <c r="A187" s="202" t="s">
        <v>351</v>
      </c>
      <c r="B187" s="202">
        <v>935</v>
      </c>
      <c r="C187" s="203">
        <f>B187*F187</f>
        <v>15199834082.400003</v>
      </c>
      <c r="D187" s="284">
        <f>'[3]Scenaior 3 2040'!$E$37+'[3]Scenaior 3 2040'!$E$28</f>
        <v>7.7656000000000001</v>
      </c>
      <c r="E187" s="202">
        <f>'[1]Conversion factors selected IV '!$O$50</f>
        <v>2.0934000000000004</v>
      </c>
      <c r="F187" s="202">
        <f>D187*E187*1000000</f>
        <v>16256507.040000003</v>
      </c>
      <c r="G187" s="202">
        <f>'LCoP 2040 high'!E12</f>
        <v>370.61968567880001</v>
      </c>
      <c r="H187" s="202">
        <f>G187*F187</f>
        <v>6024981529.4000006</v>
      </c>
      <c r="I187" s="209">
        <f>'LCoP 2040 high'!H12</f>
        <v>0.78751803251959696</v>
      </c>
      <c r="J187" s="202"/>
      <c r="K187" s="202"/>
      <c r="L187" s="202">
        <f>I187*H187</f>
        <v>4744781600.000001</v>
      </c>
      <c r="M187" s="209">
        <f>'LCoP 2040 high'!F12</f>
        <v>0.1537964717001013</v>
      </c>
      <c r="N187" s="202"/>
      <c r="O187" s="202">
        <f>M187*H187</f>
        <v>926620901.28000021</v>
      </c>
      <c r="P187" s="209">
        <f>'LCoP 2040 high'!G12</f>
        <v>5.8685495780301807E-2</v>
      </c>
      <c r="Q187" s="202"/>
      <c r="R187" s="202">
        <f>P187*H187</f>
        <v>353579028.12000006</v>
      </c>
      <c r="S187" s="202"/>
    </row>
    <row r="188" spans="1:19" x14ac:dyDescent="0.35">
      <c r="E188" s="1"/>
      <c r="I188" s="15" t="s">
        <v>30</v>
      </c>
      <c r="J188" s="242" t="s">
        <v>177</v>
      </c>
      <c r="L188" s="2">
        <f>L187</f>
        <v>4744781600.000001</v>
      </c>
      <c r="M188" s="5" t="s">
        <v>211</v>
      </c>
      <c r="N188" s="34">
        <v>0.2</v>
      </c>
      <c r="O188" s="2">
        <f t="shared" ref="O188:O193" si="42">N188*O$187</f>
        <v>185324180.25600004</v>
      </c>
      <c r="P188" s="18" t="s">
        <v>217</v>
      </c>
      <c r="Q188" s="34">
        <v>0.35</v>
      </c>
      <c r="R188" s="2">
        <f>Q188*$R$187</f>
        <v>123752659.84200001</v>
      </c>
    </row>
    <row r="189" spans="1:19" x14ac:dyDescent="0.35">
      <c r="E189" s="1"/>
      <c r="M189" t="s">
        <v>212</v>
      </c>
      <c r="N189" s="34">
        <v>7.0000000000000007E-2</v>
      </c>
      <c r="O189" s="2">
        <f t="shared" si="42"/>
        <v>64863463.089600019</v>
      </c>
      <c r="P189" s="18" t="s">
        <v>177</v>
      </c>
      <c r="Q189" s="34">
        <v>0.15</v>
      </c>
      <c r="R189" s="2">
        <f>Q189*$R$187</f>
        <v>53036854.21800001</v>
      </c>
    </row>
    <row r="190" spans="1:19" x14ac:dyDescent="0.35">
      <c r="E190" s="1"/>
      <c r="M190" s="5" t="s">
        <v>210</v>
      </c>
      <c r="N190" s="34">
        <v>0.4</v>
      </c>
      <c r="O190" s="2">
        <f t="shared" si="42"/>
        <v>370648360.51200008</v>
      </c>
      <c r="P190" s="18" t="s">
        <v>218</v>
      </c>
      <c r="Q190" s="34">
        <v>0.12</v>
      </c>
      <c r="R190" s="2">
        <f>Q190*$R$187</f>
        <v>42429483.374400005</v>
      </c>
    </row>
    <row r="191" spans="1:19" x14ac:dyDescent="0.35">
      <c r="E191" s="1"/>
      <c r="M191" t="s">
        <v>213</v>
      </c>
      <c r="N191" s="34">
        <v>0.15</v>
      </c>
      <c r="O191" s="2">
        <f t="shared" si="42"/>
        <v>138993135.19200003</v>
      </c>
      <c r="P191" s="18" t="s">
        <v>219</v>
      </c>
      <c r="Q191" s="34">
        <v>0.3</v>
      </c>
      <c r="R191" s="2">
        <f>Q191*$R$187</f>
        <v>106073708.43600002</v>
      </c>
    </row>
    <row r="192" spans="1:19" x14ac:dyDescent="0.35">
      <c r="E192" s="1"/>
      <c r="M192" t="s">
        <v>214</v>
      </c>
      <c r="N192" s="34">
        <v>0.15</v>
      </c>
      <c r="O192" s="2">
        <f t="shared" si="42"/>
        <v>138993135.19200003</v>
      </c>
      <c r="P192" s="18" t="s">
        <v>220</v>
      </c>
      <c r="Q192" s="34">
        <v>0.08</v>
      </c>
      <c r="R192" s="2">
        <f>Q192*$R$187</f>
        <v>28286322.249600004</v>
      </c>
    </row>
    <row r="193" spans="1:19" x14ac:dyDescent="0.35">
      <c r="E193" s="1"/>
      <c r="M193" t="s">
        <v>216</v>
      </c>
      <c r="N193" s="34">
        <v>0.03</v>
      </c>
      <c r="O193" s="2">
        <f t="shared" si="42"/>
        <v>27798627.038400006</v>
      </c>
      <c r="Q193" s="34">
        <f>SUM(Q188:Q192)</f>
        <v>0.99999999999999989</v>
      </c>
    </row>
    <row r="194" spans="1:19" x14ac:dyDescent="0.35">
      <c r="A194" s="202" t="s">
        <v>352</v>
      </c>
      <c r="B194" s="202">
        <v>1275</v>
      </c>
      <c r="C194" s="203">
        <f>B194*F194</f>
        <v>11131881975.269785</v>
      </c>
      <c r="D194" s="284">
        <f>'[3]Scenaior 3 2040'!$E$16</f>
        <v>10.435025</v>
      </c>
      <c r="E194" s="202">
        <f>'[1]Conversion factors selected IV '!$O$62</f>
        <v>0.83669064748201449</v>
      </c>
      <c r="F194" s="202">
        <f>D194*E194*1000000</f>
        <v>8730887.8237410076</v>
      </c>
      <c r="G194" s="202">
        <f>'LCoP 2040 high'!E14</f>
        <v>1937.8149183147032</v>
      </c>
      <c r="H194" s="202">
        <f>G194*F194</f>
        <v>16918844674.977516</v>
      </c>
      <c r="I194" s="209">
        <f>'LCoP 2040 high'!H14</f>
        <v>0.87550410634168685</v>
      </c>
      <c r="J194" s="202"/>
      <c r="K194" s="202"/>
      <c r="L194" s="202">
        <f>I194*H194</f>
        <v>14812517987.499998</v>
      </c>
      <c r="M194" s="209">
        <f>'LCoP 2040 high'!F14</f>
        <v>6.6053779847726757E-2</v>
      </c>
      <c r="N194" s="202"/>
      <c r="O194" s="202">
        <f>M194*H194</f>
        <v>1117553641.438849</v>
      </c>
      <c r="P194" s="209">
        <f>'LCoP 2040 high'!G14</f>
        <v>5.8442113810586366E-2</v>
      </c>
      <c r="Q194" s="202"/>
      <c r="R194" s="202">
        <f>P194*H194</f>
        <v>988773046.03866911</v>
      </c>
      <c r="S194" s="202"/>
    </row>
    <row r="195" spans="1:19" x14ac:dyDescent="0.35">
      <c r="E195" s="1"/>
      <c r="I195" s="15" t="s">
        <v>30</v>
      </c>
      <c r="J195" s="242" t="s">
        <v>177</v>
      </c>
      <c r="L195" s="2">
        <f>L194</f>
        <v>14812517987.499998</v>
      </c>
      <c r="M195" s="5" t="s">
        <v>211</v>
      </c>
      <c r="N195" s="34">
        <v>0.2</v>
      </c>
      <c r="O195" s="2">
        <f t="shared" ref="O195:O200" si="43">N195*O$194</f>
        <v>223510728.28776979</v>
      </c>
      <c r="P195" s="18" t="s">
        <v>217</v>
      </c>
      <c r="Q195" s="34">
        <v>0.35</v>
      </c>
      <c r="R195" s="2">
        <f>Q195*$R$194</f>
        <v>346070566.11353415</v>
      </c>
    </row>
    <row r="196" spans="1:19" x14ac:dyDescent="0.35">
      <c r="M196" t="s">
        <v>212</v>
      </c>
      <c r="N196" s="34">
        <v>7.0000000000000007E-2</v>
      </c>
      <c r="O196" s="2">
        <f t="shared" si="43"/>
        <v>78228754.900719434</v>
      </c>
      <c r="P196" s="18" t="s">
        <v>177</v>
      </c>
      <c r="Q196" s="34">
        <v>0.15</v>
      </c>
      <c r="R196" s="2">
        <f>Q196*$R$194</f>
        <v>148315956.90580037</v>
      </c>
    </row>
    <row r="197" spans="1:19" x14ac:dyDescent="0.35">
      <c r="M197" s="5" t="s">
        <v>210</v>
      </c>
      <c r="N197" s="34">
        <v>0.4</v>
      </c>
      <c r="O197" s="2">
        <f t="shared" si="43"/>
        <v>447021456.57553959</v>
      </c>
      <c r="P197" s="18" t="s">
        <v>218</v>
      </c>
      <c r="Q197" s="34">
        <v>0.12</v>
      </c>
      <c r="R197" s="2">
        <f>Q197*$R$194</f>
        <v>118652765.52464029</v>
      </c>
    </row>
    <row r="198" spans="1:19" x14ac:dyDescent="0.35">
      <c r="M198" t="s">
        <v>213</v>
      </c>
      <c r="N198" s="34">
        <v>0.15</v>
      </c>
      <c r="O198" s="2">
        <f t="shared" si="43"/>
        <v>167633046.21582735</v>
      </c>
      <c r="P198" s="18" t="s">
        <v>219</v>
      </c>
      <c r="Q198" s="34">
        <v>0.3</v>
      </c>
      <c r="R198" s="2">
        <f>Q198*$R$194</f>
        <v>296631913.81160074</v>
      </c>
    </row>
    <row r="199" spans="1:19" x14ac:dyDescent="0.35">
      <c r="M199" t="s">
        <v>214</v>
      </c>
      <c r="N199" s="34">
        <v>0.15</v>
      </c>
      <c r="O199" s="2">
        <f t="shared" si="43"/>
        <v>167633046.21582735</v>
      </c>
      <c r="P199" s="18" t="s">
        <v>220</v>
      </c>
      <c r="Q199" s="34">
        <v>0.08</v>
      </c>
      <c r="R199" s="2">
        <f>Q199*$R$194</f>
        <v>79101843.683093533</v>
      </c>
    </row>
    <row r="200" spans="1:19" x14ac:dyDescent="0.35">
      <c r="M200" t="s">
        <v>216</v>
      </c>
      <c r="N200" s="34">
        <v>0.03</v>
      </c>
      <c r="O200" s="2">
        <f t="shared" si="43"/>
        <v>33526609.243165467</v>
      </c>
      <c r="Q200" s="34">
        <f>SUM(Q195:Q199)</f>
        <v>0.99999999999999989</v>
      </c>
    </row>
    <row r="201" spans="1:19" x14ac:dyDescent="0.35">
      <c r="O201" s="2">
        <f>SUM(O195:O200)</f>
        <v>1117553641.438849</v>
      </c>
      <c r="R201" s="2">
        <f>SUM(R195:R200)</f>
        <v>988773046.03866911</v>
      </c>
    </row>
    <row r="203" spans="1:19" x14ac:dyDescent="0.35">
      <c r="I203" s="78" t="s">
        <v>181</v>
      </c>
      <c r="J203" s="78"/>
      <c r="K203" s="78"/>
      <c r="L203" s="90">
        <f>SUM(L204:L209)</f>
        <v>19557299587.5</v>
      </c>
      <c r="M203" s="78"/>
      <c r="N203" s="78"/>
      <c r="O203" s="90">
        <f>SUM(O204:O209)</f>
        <v>2044174542.7188492</v>
      </c>
      <c r="P203" s="78"/>
      <c r="Q203" s="78"/>
      <c r="R203" s="90">
        <f>SUM(R204:R209)</f>
        <v>1342352074.158669</v>
      </c>
    </row>
    <row r="204" spans="1:19" x14ac:dyDescent="0.35">
      <c r="J204" s="242" t="s">
        <v>177</v>
      </c>
      <c r="L204" s="2">
        <f>L188+L195</f>
        <v>19557299587.5</v>
      </c>
      <c r="M204" s="5" t="s">
        <v>211</v>
      </c>
      <c r="O204">
        <f t="shared" ref="O204:O209" si="44">SUMIF($M$188:$M$200, M204, $O$188:$O$200)</f>
        <v>408834908.54376984</v>
      </c>
      <c r="P204" s="18" t="s">
        <v>217</v>
      </c>
      <c r="R204">
        <f>SUMIF($P$188:$P$199, P204, $R$188:$R$199)</f>
        <v>469823225.95553416</v>
      </c>
    </row>
    <row r="205" spans="1:19" x14ac:dyDescent="0.35">
      <c r="M205" t="s">
        <v>212</v>
      </c>
      <c r="O205">
        <f t="shared" si="44"/>
        <v>143092217.99031946</v>
      </c>
      <c r="P205" s="18" t="s">
        <v>177</v>
      </c>
      <c r="R205">
        <f>SUMIF($P$188:$P$199, P205, $R$188:$R$199)</f>
        <v>201352811.1238004</v>
      </c>
    </row>
    <row r="206" spans="1:19" x14ac:dyDescent="0.35">
      <c r="M206" s="5" t="s">
        <v>210</v>
      </c>
      <c r="O206">
        <f t="shared" si="44"/>
        <v>817669817.08753967</v>
      </c>
      <c r="P206" s="18" t="s">
        <v>218</v>
      </c>
      <c r="R206">
        <f>SUMIF($P$188:$P$199, P206, $R$188:$R$199)</f>
        <v>161082248.89904028</v>
      </c>
    </row>
    <row r="207" spans="1:19" x14ac:dyDescent="0.35">
      <c r="M207" t="s">
        <v>213</v>
      </c>
      <c r="O207">
        <f t="shared" si="44"/>
        <v>306626181.40782738</v>
      </c>
      <c r="P207" s="18" t="s">
        <v>219</v>
      </c>
      <c r="R207">
        <f>SUMIF($P$188:$P$199, P207, $R$188:$R$199)</f>
        <v>402705622.24760079</v>
      </c>
    </row>
    <row r="208" spans="1:19" x14ac:dyDescent="0.35">
      <c r="M208" t="s">
        <v>214</v>
      </c>
      <c r="O208">
        <f t="shared" si="44"/>
        <v>306626181.40782738</v>
      </c>
      <c r="P208" s="18" t="s">
        <v>220</v>
      </c>
      <c r="R208">
        <f>SUMIF($P$188:$P$199, P208, $R$188:$R$199)</f>
        <v>107388165.93269354</v>
      </c>
    </row>
    <row r="209" spans="1:19" x14ac:dyDescent="0.35">
      <c r="M209" t="s">
        <v>216</v>
      </c>
      <c r="O209">
        <f t="shared" si="44"/>
        <v>61325236.281565472</v>
      </c>
    </row>
    <row r="210" spans="1:19" s="190" customFormat="1" ht="32.5" customHeight="1" x14ac:dyDescent="0.35">
      <c r="A210" s="229" t="s">
        <v>323</v>
      </c>
      <c r="B210" s="229"/>
      <c r="C210" s="229"/>
      <c r="F210" s="198"/>
    </row>
    <row r="211" spans="1:19" x14ac:dyDescent="0.35">
      <c r="D211" s="2"/>
      <c r="E211" s="2"/>
      <c r="F211" s="2"/>
    </row>
    <row r="212" spans="1:19" s="151" customFormat="1" ht="29.5" customHeight="1" x14ac:dyDescent="0.35">
      <c r="A212" s="151" t="s">
        <v>224</v>
      </c>
      <c r="F212" s="230"/>
    </row>
    <row r="213" spans="1:19" ht="17.5" customHeight="1" x14ac:dyDescent="0.35">
      <c r="C213" s="2">
        <f>C214+C222+C229+C236</f>
        <v>12554667358.039951</v>
      </c>
      <c r="D213" s="2">
        <f>'[3]Scenaior 3 2040'!$K$3</f>
        <v>10.037971023431988</v>
      </c>
      <c r="E213" s="2"/>
      <c r="F213" s="2">
        <f>F214+F222+F229+F236</f>
        <v>10770749.699561741</v>
      </c>
    </row>
    <row r="214" spans="1:19" s="114" customFormat="1" x14ac:dyDescent="0.35">
      <c r="A214" s="114" t="s">
        <v>266</v>
      </c>
      <c r="B214" s="114">
        <v>1165.6261363636365</v>
      </c>
      <c r="C214" s="114">
        <f>B214*F214</f>
        <v>2179137518.5968814</v>
      </c>
      <c r="D214" s="114">
        <f>'[2]GAP analysis Sc. 2'!$L$20</f>
        <v>1.6521324819226708</v>
      </c>
      <c r="E214" s="114">
        <f>'[1]Conversion factors selected IV '!$O$4</f>
        <v>1.1315675675675676</v>
      </c>
      <c r="F214" s="114">
        <f>D214*E214*1000000</f>
        <v>1869499.5338686048</v>
      </c>
      <c r="G214" s="301">
        <f>'LCoP CONVENTIONAL'!$B$3</f>
        <v>800</v>
      </c>
      <c r="H214" s="114">
        <f>G214*F214</f>
        <v>1495599627.0948839</v>
      </c>
      <c r="I214" s="308">
        <f>'LCoP CONVENTIONAL'!$C$3</f>
        <v>0.75</v>
      </c>
      <c r="K214" s="114">
        <f>I214*G214</f>
        <v>600</v>
      </c>
      <c r="L214" s="114">
        <f>I214*H214</f>
        <v>1121699720.3211629</v>
      </c>
      <c r="M214" s="309">
        <f>'LCoP CONVENTIONAL'!$F$3</f>
        <v>6.5000000000000002E-2</v>
      </c>
      <c r="O214" s="114">
        <f>M214*H214</f>
        <v>97213975.761167452</v>
      </c>
      <c r="P214" s="309">
        <f>'LCoP CONVENTIONAL'!$I$3</f>
        <v>0.185</v>
      </c>
      <c r="R214" s="114">
        <f>P214*H214</f>
        <v>276685931.01255351</v>
      </c>
      <c r="S214" s="114">
        <f>SUM(L214,O214,R214)</f>
        <v>1495599627.0948839</v>
      </c>
    </row>
    <row r="215" spans="1:19" x14ac:dyDescent="0.35">
      <c r="D215" s="2"/>
      <c r="H215" s="192" t="s">
        <v>254</v>
      </c>
      <c r="I215" s="18" t="s">
        <v>225</v>
      </c>
      <c r="J215" s="154" t="s">
        <v>178</v>
      </c>
      <c r="K215" s="107">
        <f>'Feedtstocks only CONVENTIONAL'!$J$4</f>
        <v>0.76052615016678204</v>
      </c>
      <c r="L215" s="2">
        <f>K215*F$214</f>
        <v>1421803.2832316835</v>
      </c>
      <c r="M215" t="str">
        <f>'LCoP CONVENTIONAL'!$F$4</f>
        <v>Machinery and equipment</v>
      </c>
      <c r="N215" s="59">
        <f>'LCoP CONVENTIONAL'!$G$4</f>
        <v>0.45</v>
      </c>
      <c r="O215" s="2">
        <f>N215*$O$214</f>
        <v>43746289.092525356</v>
      </c>
      <c r="P215" t="str">
        <f>'LCoP CONVENTIONAL'!$I$4</f>
        <v>Chemical and chemical products</v>
      </c>
      <c r="Q215" s="59">
        <f>'LCoP CONVENTIONAL'!$J$4</f>
        <v>0.3</v>
      </c>
      <c r="R215" s="2">
        <f t="shared" ref="R215:R220" si="45">Q215*$R$214</f>
        <v>83005779.303766057</v>
      </c>
    </row>
    <row r="216" spans="1:19" x14ac:dyDescent="0.35">
      <c r="D216" s="2"/>
      <c r="H216" s="191" t="s">
        <v>252</v>
      </c>
      <c r="I216" s="18" t="s">
        <v>226</v>
      </c>
      <c r="J216" s="154" t="s">
        <v>178</v>
      </c>
      <c r="K216" s="107">
        <f>'Feedtstocks only CONVENTIONAL'!$J$5</f>
        <v>0.16011076845616465</v>
      </c>
      <c r="L216" s="2">
        <f>K216*F$214</f>
        <v>299327.0069961439</v>
      </c>
      <c r="M216" t="str">
        <f>'LCoP CONVENTIONAL'!$F$5</f>
        <v>Architectural and engineering services</v>
      </c>
      <c r="N216" s="59">
        <f>'LCoP CONVENTIONAL'!$G$5</f>
        <v>0.3</v>
      </c>
      <c r="O216" s="2">
        <f>N216*$O$214</f>
        <v>29164192.728350233</v>
      </c>
      <c r="P216" t="str">
        <f>'LCoP CONVENTIONAL'!$I$5</f>
        <v>Electricity, gas, steam &amp; AC</v>
      </c>
      <c r="Q216" s="59">
        <f>'LCoP CONVENTIONAL'!$J$5</f>
        <v>0.2</v>
      </c>
      <c r="R216" s="2">
        <f t="shared" si="45"/>
        <v>55337186.202510707</v>
      </c>
    </row>
    <row r="217" spans="1:19" x14ac:dyDescent="0.35">
      <c r="D217" s="2"/>
      <c r="H217" s="192" t="s">
        <v>254</v>
      </c>
      <c r="I217" s="18" t="s">
        <v>228</v>
      </c>
      <c r="J217" s="154" t="s">
        <v>178</v>
      </c>
      <c r="K217" s="107">
        <f>'Feedtstocks only CONVENTIONAL'!$J$6</f>
        <v>4.0027692114041162E-2</v>
      </c>
      <c r="L217" s="2">
        <f>K217*F$214</f>
        <v>74831.751749035975</v>
      </c>
      <c r="M217" t="str">
        <f>'LCoP CONVENTIONAL'!$F$6</f>
        <v>Constructions and construction works</v>
      </c>
      <c r="N217" s="59">
        <f>'LCoP CONVENTIONAL'!$G$6</f>
        <v>0.15</v>
      </c>
      <c r="O217" s="2">
        <f>N217*$O$214</f>
        <v>14582096.364175117</v>
      </c>
      <c r="P217" t="str">
        <f>'LCoP CONVENTIONAL'!$I$6</f>
        <v>Legal and accounting services; services of head offices; management consultancy services</v>
      </c>
      <c r="Q217" s="59">
        <f>'LCoP CONVENTIONAL'!$J$6</f>
        <v>0.25</v>
      </c>
      <c r="R217" s="2">
        <f t="shared" si="45"/>
        <v>69171482.753138378</v>
      </c>
    </row>
    <row r="218" spans="1:19" x14ac:dyDescent="0.35">
      <c r="D218" s="2"/>
      <c r="H218" s="191" t="s">
        <v>252</v>
      </c>
      <c r="I218" s="18" t="s">
        <v>227</v>
      </c>
      <c r="J218" s="154" t="s">
        <v>178</v>
      </c>
      <c r="K218" s="107">
        <f>'Feedtstocks only CONVENTIONAL'!$J$7</f>
        <v>3.9335389263012145E-2</v>
      </c>
      <c r="L218" s="2">
        <f>K218*F$214</f>
        <v>73537.491891741331</v>
      </c>
      <c r="M218" t="str">
        <f>'LCoP CONVENTIONAL'!$F$7</f>
        <v>Fabricated metal products</v>
      </c>
      <c r="N218" s="59">
        <f>'LCoP CONVENTIONAL'!$G$7</f>
        <v>7.0000000000000007E-2</v>
      </c>
      <c r="O218" s="2">
        <f>N218*$O$214</f>
        <v>6804978.3032817226</v>
      </c>
      <c r="P218" t="str">
        <f>'LCoP CONVENTIONAL'!$I$7</f>
        <v>Repair and installation services</v>
      </c>
      <c r="Q218" s="59">
        <f>'LCoP CONVENTIONAL'!$J$7</f>
        <v>0.15</v>
      </c>
      <c r="R218" s="2">
        <f t="shared" si="45"/>
        <v>41502889.651883028</v>
      </c>
    </row>
    <row r="219" spans="1:19" x14ac:dyDescent="0.35">
      <c r="D219" s="2"/>
      <c r="L219" s="2">
        <f>SUM(L215:L218)</f>
        <v>1869499.5338686046</v>
      </c>
      <c r="M219" t="str">
        <f>'LCoP CONVENTIONAL'!$F$8</f>
        <v>Computer, electronic and optical products</v>
      </c>
      <c r="N219" s="59">
        <f>'LCoP CONVENTIONAL'!$G$8</f>
        <v>0.03</v>
      </c>
      <c r="O219" s="2">
        <f>N219*$O$214</f>
        <v>2916419.2728350232</v>
      </c>
      <c r="P219" s="102" t="str">
        <f>'LCoP CONVENTIONAL'!$I$8</f>
        <v>Land transport services and transport services via pipelines</v>
      </c>
      <c r="Q219" s="59">
        <f>'LCoP CONVENTIONAL'!$J$8</f>
        <v>0.1</v>
      </c>
      <c r="R219" s="2">
        <f t="shared" si="45"/>
        <v>27668593.101255354</v>
      </c>
    </row>
    <row r="220" spans="1:19" x14ac:dyDescent="0.35">
      <c r="D220" s="2"/>
      <c r="O220" s="2">
        <f>SUM(O215:O219)</f>
        <v>97213975.761167437</v>
      </c>
      <c r="P220" t="str">
        <f>'LCoP CONVENTIONAL'!$I$9</f>
        <v>Waste management services</v>
      </c>
      <c r="Q220" s="59">
        <f>'LCoP CONVENTIONAL'!$J$9</f>
        <v>0</v>
      </c>
      <c r="R220" s="2">
        <f t="shared" si="45"/>
        <v>0</v>
      </c>
    </row>
    <row r="221" spans="1:19" s="117" customFormat="1" x14ac:dyDescent="0.35"/>
    <row r="222" spans="1:19" s="114" customFormat="1" x14ac:dyDescent="0.35">
      <c r="A222" s="114" t="s">
        <v>330</v>
      </c>
      <c r="B222" s="114">
        <v>1165.6261363636365</v>
      </c>
      <c r="C222" s="114">
        <f>B222*F222</f>
        <v>2585503974.4569879</v>
      </c>
      <c r="D222" s="114">
        <f>'[2]GAP analysis Sc. 2'!$L$21</f>
        <v>2.3310757894760554</v>
      </c>
      <c r="E222" s="114">
        <f>'[1]Conversion factors selected IV '!$O$7</f>
        <v>0.95154545454545458</v>
      </c>
      <c r="F222" s="114">
        <f>D222*E222*1000000</f>
        <v>2218124.5716768974</v>
      </c>
      <c r="G222" s="301">
        <f>'LCoP CONVENTIONAL'!$B$24</f>
        <v>900</v>
      </c>
      <c r="H222" s="114">
        <f>G222*F222</f>
        <v>1996312114.5092077</v>
      </c>
      <c r="I222" s="308">
        <f>'LCoP CONVENTIONAL'!$C$24</f>
        <v>0.66666666666666663</v>
      </c>
      <c r="K222" s="114">
        <f>I222*G222</f>
        <v>600</v>
      </c>
      <c r="L222" s="114">
        <f>I222*H222</f>
        <v>1330874743.0061383</v>
      </c>
      <c r="M222" s="308">
        <f>'LCoP CONVENTIONAL'!$F$24</f>
        <v>0.1111111111111111</v>
      </c>
      <c r="O222" s="114">
        <f>M222*H222</f>
        <v>221812457.16768974</v>
      </c>
      <c r="P222" s="309">
        <f>'LCoP CONVENTIONAL'!$I$24</f>
        <v>0.22222222222222221</v>
      </c>
      <c r="R222" s="114">
        <f>P222*H222</f>
        <v>443624914.33537948</v>
      </c>
      <c r="S222" s="114">
        <f>SUM(L222,O222,R222)</f>
        <v>1996312114.5092077</v>
      </c>
    </row>
    <row r="223" spans="1:19" x14ac:dyDescent="0.35">
      <c r="D223" s="2"/>
      <c r="I223" s="18" t="s">
        <v>225</v>
      </c>
      <c r="J223" s="154" t="s">
        <v>178</v>
      </c>
      <c r="M223" t="str">
        <f>'LCoP CONVENTIONAL'!$F$25</f>
        <v>Machinery and equipment</v>
      </c>
      <c r="N223" s="59">
        <f>'LCoP CONVENTIONAL'!$G$25</f>
        <v>0.55000000000000004</v>
      </c>
      <c r="O223">
        <f>N223*$O$222</f>
        <v>121996851.44222936</v>
      </c>
      <c r="P223" t="str">
        <f>'LCoP CONVENTIONAL'!$I$25</f>
        <v>Chemical and chemical products</v>
      </c>
      <c r="Q223" s="59">
        <f>'LCoP CONVENTIONAL'!$J$25</f>
        <v>0.4</v>
      </c>
      <c r="R223">
        <f t="shared" ref="R223:R228" si="46">Q223*$R$222</f>
        <v>177449965.73415181</v>
      </c>
    </row>
    <row r="224" spans="1:19" x14ac:dyDescent="0.35">
      <c r="D224" s="2"/>
      <c r="I224" s="18" t="s">
        <v>226</v>
      </c>
      <c r="J224" s="154" t="s">
        <v>178</v>
      </c>
      <c r="M224" t="str">
        <f>'LCoP CONVENTIONAL'!$F$26</f>
        <v>Architectural and engineering services</v>
      </c>
      <c r="N224" s="59">
        <f>'LCoP CONVENTIONAL'!$G$26</f>
        <v>0.25</v>
      </c>
      <c r="O224">
        <f>N224*$O$222</f>
        <v>55453114.291922435</v>
      </c>
      <c r="P224" t="str">
        <f>'LCoP CONVENTIONAL'!$I$26</f>
        <v>Electricity, gas, steam &amp; AC</v>
      </c>
      <c r="Q224" s="59">
        <f>'LCoP CONVENTIONAL'!$J$26</f>
        <v>0.2</v>
      </c>
      <c r="R224">
        <f t="shared" si="46"/>
        <v>88724982.867075905</v>
      </c>
    </row>
    <row r="225" spans="1:19" x14ac:dyDescent="0.35">
      <c r="D225" s="2"/>
      <c r="I225" s="18" t="s">
        <v>228</v>
      </c>
      <c r="J225" s="154" t="s">
        <v>178</v>
      </c>
      <c r="M225" t="str">
        <f>'LCoP CONVENTIONAL'!$F$27</f>
        <v>Constructions and construction works</v>
      </c>
      <c r="N225" s="59">
        <f>'LCoP CONVENTIONAL'!$G$27</f>
        <v>0.1</v>
      </c>
      <c r="O225">
        <f>N225*$O$222</f>
        <v>22181245.716768976</v>
      </c>
      <c r="P225" t="str">
        <f>'LCoP CONVENTIONAL'!$I$27</f>
        <v>Legal and accounting services; services of head offices; management consultancy services</v>
      </c>
      <c r="Q225" s="59">
        <f>'LCoP CONVENTIONAL'!$J$27</f>
        <v>0.2</v>
      </c>
      <c r="R225">
        <f t="shared" si="46"/>
        <v>88724982.867075905</v>
      </c>
    </row>
    <row r="226" spans="1:19" x14ac:dyDescent="0.35">
      <c r="D226" s="2"/>
      <c r="I226" s="18" t="s">
        <v>227</v>
      </c>
      <c r="J226" s="154" t="s">
        <v>178</v>
      </c>
      <c r="M226" t="str">
        <f>'LCoP CONVENTIONAL'!$F$28</f>
        <v>Fabricated metal products</v>
      </c>
      <c r="N226" s="59">
        <f>'LCoP CONVENTIONAL'!$G$28</f>
        <v>7.0000000000000007E-2</v>
      </c>
      <c r="O226">
        <f>N226*$O$222</f>
        <v>15526872.001738284</v>
      </c>
      <c r="P226" t="str">
        <f>'LCoP CONVENTIONAL'!$I$28</f>
        <v>Repair and installation services</v>
      </c>
      <c r="Q226" s="59">
        <f>'LCoP CONVENTIONAL'!$J$28</f>
        <v>0.15</v>
      </c>
      <c r="R226">
        <f t="shared" si="46"/>
        <v>66543737.150306918</v>
      </c>
    </row>
    <row r="227" spans="1:19" x14ac:dyDescent="0.35">
      <c r="D227" s="2"/>
      <c r="M227" t="str">
        <f>'LCoP CONVENTIONAL'!$F$29</f>
        <v>Computer, electronic and optical products</v>
      </c>
      <c r="N227" s="59">
        <f>'LCoP CONVENTIONAL'!$G$29</f>
        <v>0.03</v>
      </c>
      <c r="O227">
        <f>N227*$O$222</f>
        <v>6654373.7150306916</v>
      </c>
      <c r="P227" s="299" t="str">
        <f>'LCoP CONVENTIONAL'!$I$29</f>
        <v>Land transport services and transport services via pipelines</v>
      </c>
      <c r="Q227" s="59">
        <f>'LCoP CONVENTIONAL'!$J$29</f>
        <v>0.05</v>
      </c>
      <c r="R227">
        <f t="shared" si="46"/>
        <v>22181245.716768976</v>
      </c>
    </row>
    <row r="228" spans="1:19" x14ac:dyDescent="0.35">
      <c r="D228" s="2"/>
      <c r="P228" t="str">
        <f>'LCoP CONVENTIONAL'!$I$30</f>
        <v>Waste management services</v>
      </c>
      <c r="Q228" s="59">
        <f>'LCoP CONVENTIONAL'!$J$30</f>
        <v>0</v>
      </c>
      <c r="R228">
        <f t="shared" si="46"/>
        <v>0</v>
      </c>
    </row>
    <row r="229" spans="1:19" x14ac:dyDescent="0.35">
      <c r="A229" s="114" t="s">
        <v>356</v>
      </c>
      <c r="B229" s="114">
        <v>1165.6261363636365</v>
      </c>
      <c r="C229" s="114">
        <f>B229*F229</f>
        <v>1036601301.4153343</v>
      </c>
      <c r="D229" s="114">
        <f>'[2]GAP analysis Sc. 2'!$L$23</f>
        <v>0.93459388225313123</v>
      </c>
      <c r="E229" s="114">
        <f>'[1]Conversion factors selected IV '!$O$7</f>
        <v>0.95154545454545458</v>
      </c>
      <c r="F229" s="114">
        <f>D229*E229*1000000</f>
        <v>889308.56050395675</v>
      </c>
      <c r="G229" s="301">
        <f>'LCoP CONVENTIONAL'!$B$31</f>
        <v>1203</v>
      </c>
      <c r="H229" s="114">
        <f>G229*F229</f>
        <v>1069838198.28626</v>
      </c>
      <c r="I229" s="308">
        <f>'LCoP CONVENTIONAL'!$C$31</f>
        <v>0.75062344139650872</v>
      </c>
      <c r="J229" s="114"/>
      <c r="K229" s="114">
        <f>I229*G229</f>
        <v>903</v>
      </c>
      <c r="L229" s="114">
        <f>I229*H229</f>
        <v>803045630.13507295</v>
      </c>
      <c r="M229" s="308">
        <f>'LCoP CONVENTIONAL'!$F$31</f>
        <v>8.3125519534497094E-2</v>
      </c>
      <c r="N229" s="114"/>
      <c r="O229" s="114">
        <f>M229*H229</f>
        <v>88930856.050395682</v>
      </c>
      <c r="P229" s="308">
        <f>'LCoP CONVENTIONAL'!$I$31</f>
        <v>0.16625103906899419</v>
      </c>
      <c r="Q229" s="114"/>
      <c r="R229" s="114">
        <f>P229*H229</f>
        <v>177861712.10079136</v>
      </c>
      <c r="S229" s="114">
        <f>SUM(L229,O229,R229)</f>
        <v>1069838198.28626</v>
      </c>
    </row>
    <row r="230" spans="1:19" x14ac:dyDescent="0.35">
      <c r="I230" t="s">
        <v>353</v>
      </c>
      <c r="J230" s="147" t="s">
        <v>179</v>
      </c>
      <c r="L230" s="2">
        <f>L229</f>
        <v>803045630.13507295</v>
      </c>
      <c r="M230" t="str">
        <f>'LCoP CONVENTIONAL'!$F$32</f>
        <v>Machinery and equipment</v>
      </c>
      <c r="N230" s="59">
        <f>'LCoP CONVENTIONAL'!$G$32</f>
        <v>0.57999999999999996</v>
      </c>
      <c r="O230" s="2">
        <f>N230*$O$242</f>
        <v>0</v>
      </c>
      <c r="P230" t="str">
        <f>'LCoP CONVENTIONAL'!$I$32</f>
        <v>Chemical and chemical products</v>
      </c>
      <c r="Q230" s="59">
        <f>'LCoP CONVENTIONAL'!$J$32</f>
        <v>0.35</v>
      </c>
      <c r="R230" s="2" t="e">
        <f t="shared" ref="R230:R235" si="47">Q230*$R$242</f>
        <v>#REF!</v>
      </c>
    </row>
    <row r="231" spans="1:19" x14ac:dyDescent="0.35">
      <c r="M231" t="str">
        <f>'LCoP CONVENTIONAL'!$F$33</f>
        <v>Architectural and engineering services</v>
      </c>
      <c r="N231" s="59">
        <f>'LCoP CONVENTIONAL'!$G$33</f>
        <v>0.25</v>
      </c>
      <c r="O231" s="2">
        <f>N231*$O$242</f>
        <v>0</v>
      </c>
      <c r="P231" t="str">
        <f>'LCoP CONVENTIONAL'!$I$33</f>
        <v>Electricity, gas, steam &amp; AC</v>
      </c>
      <c r="Q231" s="59">
        <f>'LCoP CONVENTIONAL'!$J$33</f>
        <v>0.15</v>
      </c>
      <c r="R231" s="2" t="e">
        <f t="shared" si="47"/>
        <v>#REF!</v>
      </c>
    </row>
    <row r="232" spans="1:19" x14ac:dyDescent="0.35">
      <c r="M232" t="str">
        <f>'LCoP CONVENTIONAL'!$F$34</f>
        <v>Constructions and construction works</v>
      </c>
      <c r="N232" s="59">
        <f>'LCoP CONVENTIONAL'!$G$34</f>
        <v>0.08</v>
      </c>
      <c r="O232" s="2">
        <f>N232*$O$242</f>
        <v>0</v>
      </c>
      <c r="P232" t="str">
        <f>'LCoP CONVENTIONAL'!$I$34</f>
        <v>Legal and accounting services; services of head offices; management consultancy services</v>
      </c>
      <c r="Q232" s="59">
        <f>'LCoP CONVENTIONAL'!$J$34</f>
        <v>0.18</v>
      </c>
      <c r="R232" s="2" t="e">
        <f t="shared" si="47"/>
        <v>#REF!</v>
      </c>
    </row>
    <row r="233" spans="1:19" x14ac:dyDescent="0.35">
      <c r="M233" t="str">
        <f>'LCoP CONVENTIONAL'!$F$35</f>
        <v>Fabricated metal products</v>
      </c>
      <c r="N233" s="59">
        <f>'LCoP CONVENTIONAL'!$G$35</f>
        <v>0.06</v>
      </c>
      <c r="O233" s="2">
        <f>N233*$O$242</f>
        <v>0</v>
      </c>
      <c r="P233" t="str">
        <f>'LCoP CONVENTIONAL'!$I$35</f>
        <v>Repair and installation services</v>
      </c>
      <c r="Q233" s="59">
        <f>'LCoP CONVENTIONAL'!$J$35</f>
        <v>0.15</v>
      </c>
      <c r="R233" s="2" t="e">
        <f t="shared" si="47"/>
        <v>#REF!</v>
      </c>
    </row>
    <row r="234" spans="1:19" x14ac:dyDescent="0.35">
      <c r="M234" t="str">
        <f>'LCoP CONVENTIONAL'!$F$36</f>
        <v>Computer, electronic and optical products</v>
      </c>
      <c r="N234" s="59">
        <f>'LCoP CONVENTIONAL'!$G$36</f>
        <v>0.03</v>
      </c>
      <c r="O234" s="2">
        <f>N234*$O$242</f>
        <v>0</v>
      </c>
      <c r="P234" s="299" t="str">
        <f>'LCoP CONVENTIONAL'!$I$36</f>
        <v>Land transport services and transport services via pipelines</v>
      </c>
      <c r="Q234" s="59">
        <f>'LCoP CONVENTIONAL'!$J$36</f>
        <v>0.17</v>
      </c>
      <c r="R234" s="2" t="e">
        <f t="shared" si="47"/>
        <v>#REF!</v>
      </c>
    </row>
    <row r="235" spans="1:19" x14ac:dyDescent="0.35">
      <c r="P235" t="str">
        <f>'LCoP CONVENTIONAL'!$I$37</f>
        <v>Waste management services</v>
      </c>
      <c r="Q235" s="59">
        <f>'LCoP CONVENTIONAL'!$J$37</f>
        <v>0</v>
      </c>
      <c r="R235" s="2" t="e">
        <f t="shared" si="47"/>
        <v>#REF!</v>
      </c>
    </row>
    <row r="236" spans="1:19" s="114" customFormat="1" x14ac:dyDescent="0.35">
      <c r="A236" s="114" t="s">
        <v>245</v>
      </c>
      <c r="B236" s="114">
        <v>1165.6261363636365</v>
      </c>
      <c r="C236" s="114">
        <f>B236*F236</f>
        <v>6753424563.5707483</v>
      </c>
      <c r="D236" s="114">
        <f>D213-D214-D222-D229</f>
        <v>5.1201688697801302</v>
      </c>
      <c r="E236" s="114">
        <f>'[1]Conversion factors selected IV '!$O$4</f>
        <v>1.1315675675675676</v>
      </c>
      <c r="F236" s="114">
        <f>D236*E236*1000000</f>
        <v>5793817.0335122831</v>
      </c>
      <c r="G236" s="301">
        <f>'LCoP CONVENTIONAL'!$B$17</f>
        <v>1253</v>
      </c>
      <c r="H236" s="114">
        <f>G236*F236</f>
        <v>7259652742.9908905</v>
      </c>
      <c r="I236" s="309">
        <f>'LCoP CONVENTIONAL'!$C$17</f>
        <v>0.72067039106145248</v>
      </c>
      <c r="K236" s="114">
        <f>I236*G236</f>
        <v>903</v>
      </c>
      <c r="L236" s="114">
        <f>I236*H236</f>
        <v>5231816781.261591</v>
      </c>
      <c r="M236" s="309">
        <f>'LCoP CONVENTIONAL'!$F$17</f>
        <v>6.6241021548284124E-2</v>
      </c>
      <c r="O236" s="114">
        <f>M236*H236</f>
        <v>480886813.78151953</v>
      </c>
      <c r="P236" s="309">
        <f>'LCoP CONVENTIONAL'!$I$17</f>
        <v>0.21308858739026337</v>
      </c>
      <c r="R236" s="114">
        <f>P236*H236</f>
        <v>1546949147.9477797</v>
      </c>
      <c r="S236" s="114">
        <f>SUM(L236,O236,R236)</f>
        <v>7259652742.9908905</v>
      </c>
    </row>
    <row r="237" spans="1:19" x14ac:dyDescent="0.35">
      <c r="H237" s="192" t="s">
        <v>254</v>
      </c>
      <c r="I237" s="18" t="s">
        <v>268</v>
      </c>
      <c r="J237" s="154" t="s">
        <v>178</v>
      </c>
      <c r="K237" s="59">
        <v>0.42676656092472498</v>
      </c>
      <c r="L237" s="2">
        <f>K237*$L$236</f>
        <v>2232764455.1272731</v>
      </c>
      <c r="M237" t="str">
        <f>'LCoP CONVENTIONAL'!$F$18</f>
        <v>Machinery and equipment</v>
      </c>
      <c r="N237" s="59">
        <f>'LCoP CONVENTIONAL'!$G$18</f>
        <v>0.5</v>
      </c>
      <c r="O237" s="2" t="e">
        <f>N237*#REF!</f>
        <v>#REF!</v>
      </c>
      <c r="P237" t="str">
        <f>'LCoP CONVENTIONAL'!$I$18</f>
        <v>Chemical and chemical products</v>
      </c>
      <c r="Q237" s="59">
        <f>'LCoP CONVENTIONAL'!$J$18</f>
        <v>0.25</v>
      </c>
      <c r="R237" s="2" t="e">
        <f>Q237*#REF!</f>
        <v>#REF!</v>
      </c>
    </row>
    <row r="238" spans="1:19" x14ac:dyDescent="0.35">
      <c r="H238" s="191" t="s">
        <v>252</v>
      </c>
      <c r="I238" s="18" t="s">
        <v>269</v>
      </c>
      <c r="J238" s="154" t="s">
        <v>178</v>
      </c>
      <c r="K238" s="59">
        <v>0.28451104061648402</v>
      </c>
      <c r="L238" s="2">
        <f t="shared" ref="L238:L239" si="48">K238*$L$236</f>
        <v>1488509636.7515192</v>
      </c>
      <c r="M238" t="str">
        <f>'LCoP CONVENTIONAL'!$F$19</f>
        <v>Architectural and engineering services</v>
      </c>
      <c r="N238" s="59">
        <f>'LCoP CONVENTIONAL'!$G$19</f>
        <v>0.3</v>
      </c>
      <c r="O238" s="2" t="e">
        <f>N238*#REF!</f>
        <v>#REF!</v>
      </c>
      <c r="P238" t="str">
        <f>'LCoP CONVENTIONAL'!$I$19</f>
        <v>Electricity, gas, steam &amp; AC</v>
      </c>
      <c r="Q238" s="59">
        <f>'LCoP CONVENTIONAL'!$J$19</f>
        <v>0.15</v>
      </c>
      <c r="R238" s="2" t="e">
        <f>Q238*#REF!</f>
        <v>#REF!</v>
      </c>
    </row>
    <row r="239" spans="1:19" x14ac:dyDescent="0.35">
      <c r="H239" s="192" t="s">
        <v>254</v>
      </c>
      <c r="I239" s="18" t="s">
        <v>267</v>
      </c>
      <c r="J239" s="154" t="s">
        <v>178</v>
      </c>
      <c r="K239" s="59">
        <v>0.288722398458791</v>
      </c>
      <c r="L239" s="2">
        <f t="shared" si="48"/>
        <v>1510542689.3827984</v>
      </c>
      <c r="M239" t="str">
        <f>'LCoP CONVENTIONAL'!$F$20</f>
        <v>Constructions and construction works</v>
      </c>
      <c r="N239" s="59">
        <f>'LCoP CONVENTIONAL'!$G$20</f>
        <v>0.1</v>
      </c>
      <c r="O239" s="2" t="e">
        <f>N239*#REF!</f>
        <v>#REF!</v>
      </c>
      <c r="P239" t="str">
        <f>'LCoP CONVENTIONAL'!$I$20</f>
        <v>Legal and accounting services; services of head offices; management consultancy services</v>
      </c>
      <c r="Q239" s="59">
        <f>'LCoP CONVENTIONAL'!$J$20</f>
        <v>0.2</v>
      </c>
      <c r="R239" s="2" t="e">
        <f>Q239*#REF!</f>
        <v>#REF!</v>
      </c>
    </row>
    <row r="240" spans="1:19" x14ac:dyDescent="0.35">
      <c r="L240" s="2">
        <f>SUM(L237:L239)</f>
        <v>5231816781.261591</v>
      </c>
      <c r="M240" t="str">
        <f>'LCoP CONVENTIONAL'!$F$21</f>
        <v>Fabricated metal products</v>
      </c>
      <c r="N240" s="59">
        <f>'LCoP CONVENTIONAL'!$G$21</f>
        <v>7.0000000000000007E-2</v>
      </c>
      <c r="O240" s="2" t="e">
        <f>N240*#REF!</f>
        <v>#REF!</v>
      </c>
      <c r="P240" t="str">
        <f>'LCoP CONVENTIONAL'!$I$21</f>
        <v>Repair and installation services</v>
      </c>
      <c r="Q240" s="59">
        <f>'LCoP CONVENTIONAL'!$J$21</f>
        <v>0.2</v>
      </c>
      <c r="R240" s="2" t="e">
        <f>Q240*#REF!</f>
        <v>#REF!</v>
      </c>
    </row>
    <row r="241" spans="1:19" s="114" customFormat="1" x14ac:dyDescent="0.35">
      <c r="A241"/>
      <c r="B241"/>
      <c r="C241"/>
      <c r="D241"/>
      <c r="E241"/>
      <c r="F241" s="1"/>
      <c r="G241"/>
      <c r="H241"/>
      <c r="I241"/>
      <c r="J241"/>
      <c r="K241"/>
      <c r="L241"/>
      <c r="M241" t="str">
        <f>'LCoP CONVENTIONAL'!$F$22</f>
        <v>Computer, electronic and optical products</v>
      </c>
      <c r="N241" s="59">
        <f>'LCoP CONVENTIONAL'!$G$22</f>
        <v>0.03</v>
      </c>
      <c r="O241" s="2" t="e">
        <f>N241*#REF!</f>
        <v>#REF!</v>
      </c>
      <c r="P241" s="102" t="str">
        <f>'LCoP CONVENTIONAL'!$I$22</f>
        <v>Land transport services and transport services via pipelines</v>
      </c>
      <c r="Q241" s="59">
        <f>'LCoP CONVENTIONAL'!$J$22</f>
        <v>0.1</v>
      </c>
      <c r="R241" s="2" t="e">
        <f>Q241*#REF!</f>
        <v>#REF!</v>
      </c>
      <c r="S241"/>
    </row>
    <row r="242" spans="1:19" x14ac:dyDescent="0.35">
      <c r="P242" t="str">
        <f>'LCoP CONVENTIONAL'!$I$23</f>
        <v>Waste management services</v>
      </c>
      <c r="Q242" s="59">
        <f>'LCoP CONVENTIONAL'!$J$23</f>
        <v>0.1</v>
      </c>
      <c r="R242" t="e">
        <f>Q242*#REF!</f>
        <v>#REF!</v>
      </c>
    </row>
    <row r="243" spans="1:19" s="151" customFormat="1" ht="29.5" customHeight="1" x14ac:dyDescent="0.35">
      <c r="A243" s="151" t="s">
        <v>343</v>
      </c>
      <c r="E243" s="179"/>
    </row>
    <row r="244" spans="1:19" x14ac:dyDescent="0.35">
      <c r="B244" s="2"/>
      <c r="C244" s="2"/>
      <c r="D244" s="2">
        <f>D245</f>
        <v>3.0098384106015486</v>
      </c>
      <c r="E244" s="6">
        <f t="shared" ref="E244:F244" si="49">E245</f>
        <v>0.95154545454545458</v>
      </c>
      <c r="F244" s="2">
        <f t="shared" si="49"/>
        <v>2863998.0585242193</v>
      </c>
    </row>
    <row r="245" spans="1:19" s="114" customFormat="1" x14ac:dyDescent="0.35">
      <c r="A245" s="114" t="s">
        <v>408</v>
      </c>
      <c r="B245" s="114">
        <f>2100</f>
        <v>2100</v>
      </c>
      <c r="C245" s="114">
        <f>B245*F245</f>
        <v>6014395922.9008608</v>
      </c>
      <c r="D245" s="114">
        <f>'[3]Scenaior 3 2040'!$L$30</f>
        <v>3.0098384106015486</v>
      </c>
      <c r="E245" s="114">
        <f>'[1]Conversion factors selected IV '!$O$7</f>
        <v>0.95154545454545458</v>
      </c>
      <c r="F245" s="114">
        <f>D245*E245*1000000</f>
        <v>2863998.0585242193</v>
      </c>
      <c r="G245" s="301">
        <f>'LCoP CONVENTIONAL'!B45</f>
        <v>2903</v>
      </c>
      <c r="H245" s="114">
        <f>G245*F245</f>
        <v>8314186363.8958082</v>
      </c>
      <c r="I245" s="308">
        <f>'LCoP CONVENTIONAL'!$C$45</f>
        <v>0.67550809507406129</v>
      </c>
      <c r="K245" s="114">
        <f>I245*G245</f>
        <v>1961</v>
      </c>
      <c r="L245" s="114">
        <f>I245*H245</f>
        <v>5616300192.7659931</v>
      </c>
      <c r="M245" s="308">
        <f>'LCoP CONVENTIONAL'!$F$45</f>
        <v>0.12952118498105408</v>
      </c>
      <c r="O245" s="114">
        <f>M245*H245</f>
        <v>1076863270.0051064</v>
      </c>
      <c r="P245" s="308">
        <f>'LCoP CONVENTIONAL'!$I$45</f>
        <v>0.1949707199448846</v>
      </c>
      <c r="R245" s="114">
        <f>P245*H245</f>
        <v>1621022901.1247079</v>
      </c>
      <c r="S245" s="114">
        <f>SUM(L245,O245,R245)</f>
        <v>8314186363.8958073</v>
      </c>
    </row>
    <row r="246" spans="1:19" s="114" customFormat="1" x14ac:dyDescent="0.35">
      <c r="A246" s="117"/>
      <c r="B246" s="117"/>
      <c r="C246" s="117"/>
      <c r="D246" s="117"/>
      <c r="E246" s="117"/>
      <c r="F246" s="117"/>
      <c r="G246" s="117"/>
      <c r="H246" s="117"/>
      <c r="I246" t="s">
        <v>396</v>
      </c>
      <c r="J246" s="147" t="s">
        <v>400</v>
      </c>
      <c r="K246"/>
      <c r="L246" s="2">
        <f>$L$245</f>
        <v>5616300192.7659931</v>
      </c>
      <c r="M246" t="str">
        <f>'LCoP CONVENTIONAL'!$F$32</f>
        <v>Machinery and equipment</v>
      </c>
      <c r="N246" s="59">
        <f>'LCoP CONVENTIONAL'!$G$32</f>
        <v>0.57999999999999996</v>
      </c>
      <c r="O246" s="2">
        <f>N246*$O$245</f>
        <v>624580696.60296166</v>
      </c>
      <c r="P246" t="str">
        <f>'LCoP CONVENTIONAL'!$I$32</f>
        <v>Chemical and chemical products</v>
      </c>
      <c r="Q246" s="59">
        <f>'LCoP CONVENTIONAL'!$J$32</f>
        <v>0.35</v>
      </c>
      <c r="R246" s="2">
        <f>Q246*$R$245</f>
        <v>567358015.39364779</v>
      </c>
      <c r="S246" s="117"/>
    </row>
    <row r="247" spans="1:19" s="114" customFormat="1" x14ac:dyDescent="0.35">
      <c r="A247" s="117"/>
      <c r="B247" s="117"/>
      <c r="C247" s="117"/>
      <c r="D247" s="117"/>
      <c r="E247" s="117"/>
      <c r="F247" s="117"/>
      <c r="G247" s="117"/>
      <c r="H247" s="117"/>
      <c r="I247"/>
      <c r="J247"/>
      <c r="K247"/>
      <c r="L247"/>
      <c r="M247" t="str">
        <f>'LCoP CONVENTIONAL'!$F$33</f>
        <v>Architectural and engineering services</v>
      </c>
      <c r="N247" s="59">
        <f>'LCoP CONVENTIONAL'!$G$33</f>
        <v>0.25</v>
      </c>
      <c r="O247" s="2">
        <f t="shared" ref="O247:O250" si="50">N247*$O$245</f>
        <v>269215817.50127661</v>
      </c>
      <c r="P247" t="str">
        <f>'LCoP CONVENTIONAL'!$I$33</f>
        <v>Electricity, gas, steam &amp; AC</v>
      </c>
      <c r="Q247" s="59">
        <f>'LCoP CONVENTIONAL'!$J$33</f>
        <v>0.15</v>
      </c>
      <c r="R247" s="2">
        <f t="shared" ref="R247:R251" si="51">Q247*$R$245</f>
        <v>243153435.16870618</v>
      </c>
      <c r="S247" s="117"/>
    </row>
    <row r="248" spans="1:19" s="114" customFormat="1" x14ac:dyDescent="0.35">
      <c r="A248" s="117"/>
      <c r="B248" s="117"/>
      <c r="C248" s="117"/>
      <c r="D248" s="117"/>
      <c r="E248" s="117"/>
      <c r="F248" s="117"/>
      <c r="G248" s="117"/>
      <c r="H248" s="117"/>
      <c r="I248"/>
      <c r="J248"/>
      <c r="K248"/>
      <c r="L248"/>
      <c r="M248" t="str">
        <f>'LCoP CONVENTIONAL'!$F$34</f>
        <v>Constructions and construction works</v>
      </c>
      <c r="N248" s="59">
        <f>'LCoP CONVENTIONAL'!$G$34</f>
        <v>0.08</v>
      </c>
      <c r="O248" s="2">
        <f t="shared" si="50"/>
        <v>86149061.600408524</v>
      </c>
      <c r="P248" t="str">
        <f>'LCoP CONVENTIONAL'!$I$34</f>
        <v>Legal and accounting services; services of head offices; management consultancy services</v>
      </c>
      <c r="Q248" s="59">
        <f>'LCoP CONVENTIONAL'!$J$34</f>
        <v>0.18</v>
      </c>
      <c r="R248" s="2">
        <f t="shared" si="51"/>
        <v>291784122.20244741</v>
      </c>
      <c r="S248" s="117"/>
    </row>
    <row r="249" spans="1:19" s="114" customFormat="1" x14ac:dyDescent="0.35">
      <c r="A249" s="117"/>
      <c r="B249" s="117"/>
      <c r="C249" s="117"/>
      <c r="D249" s="117"/>
      <c r="E249" s="117"/>
      <c r="F249" s="117"/>
      <c r="G249" s="117"/>
      <c r="H249" s="117"/>
      <c r="I249"/>
      <c r="J249"/>
      <c r="K249"/>
      <c r="L249"/>
      <c r="M249" t="str">
        <f>'LCoP CONVENTIONAL'!$F$35</f>
        <v>Fabricated metal products</v>
      </c>
      <c r="N249" s="59">
        <f>'LCoP CONVENTIONAL'!$G$35</f>
        <v>0.06</v>
      </c>
      <c r="O249" s="2">
        <f t="shared" si="50"/>
        <v>64611796.200306386</v>
      </c>
      <c r="P249" t="str">
        <f>'LCoP CONVENTIONAL'!$I$35</f>
        <v>Repair and installation services</v>
      </c>
      <c r="Q249" s="59">
        <f>'LCoP CONVENTIONAL'!$J$35</f>
        <v>0.15</v>
      </c>
      <c r="R249" s="2">
        <f t="shared" si="51"/>
        <v>243153435.16870618</v>
      </c>
      <c r="S249" s="117"/>
    </row>
    <row r="250" spans="1:19" s="114" customFormat="1" x14ac:dyDescent="0.35">
      <c r="A250" s="117"/>
      <c r="B250" s="117"/>
      <c r="C250" s="117"/>
      <c r="D250" s="117"/>
      <c r="E250" s="117"/>
      <c r="F250" s="117"/>
      <c r="G250" s="117"/>
      <c r="H250" s="117"/>
      <c r="I250"/>
      <c r="J250"/>
      <c r="K250"/>
      <c r="L250"/>
      <c r="M250" t="str">
        <f>'LCoP CONVENTIONAL'!$F$36</f>
        <v>Computer, electronic and optical products</v>
      </c>
      <c r="N250" s="59">
        <f>'LCoP CONVENTIONAL'!$G$36</f>
        <v>0.03</v>
      </c>
      <c r="O250" s="2">
        <f t="shared" si="50"/>
        <v>32305898.100153193</v>
      </c>
      <c r="P250" s="299" t="str">
        <f>'LCoP CONVENTIONAL'!$I$36</f>
        <v>Land transport services and transport services via pipelines</v>
      </c>
      <c r="Q250" s="59">
        <f>'LCoP CONVENTIONAL'!$J$36</f>
        <v>0.17</v>
      </c>
      <c r="R250" s="2">
        <f t="shared" si="51"/>
        <v>275573893.19120038</v>
      </c>
      <c r="S250" s="117"/>
    </row>
    <row r="251" spans="1:19" s="114" customFormat="1" x14ac:dyDescent="0.35">
      <c r="A251" s="117"/>
      <c r="B251" s="117"/>
      <c r="C251" s="117"/>
      <c r="D251" s="117"/>
      <c r="E251" s="117"/>
      <c r="F251" s="117"/>
      <c r="G251" s="117"/>
      <c r="H251" s="117"/>
      <c r="I251" s="117"/>
      <c r="J251" s="117"/>
      <c r="K251" s="117"/>
      <c r="L251" s="117"/>
      <c r="M251" s="117"/>
      <c r="N251" s="117"/>
      <c r="O251" s="117"/>
      <c r="P251" s="117" t="str">
        <f>'LCoP CONVENTIONAL'!$I$37</f>
        <v>Waste management services</v>
      </c>
      <c r="Q251" s="300">
        <f>'LCoP CONVENTIONAL'!$J$37</f>
        <v>0</v>
      </c>
      <c r="R251" s="2">
        <f t="shared" si="51"/>
        <v>0</v>
      </c>
      <c r="S251" s="117"/>
    </row>
  </sheetData>
  <pageMargins left="0.7" right="0.7" top="0.78740157499999996" bottom="0.78740157499999996"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F974-B8C5-4128-81B8-F3F12C366C80}">
  <dimension ref="A1:L24"/>
  <sheetViews>
    <sheetView workbookViewId="0">
      <selection activeCell="H23" sqref="H23"/>
    </sheetView>
  </sheetViews>
  <sheetFormatPr baseColWidth="10" defaultRowHeight="14.5" x14ac:dyDescent="0.35"/>
  <cols>
    <col min="1" max="1" width="17.7265625" customWidth="1"/>
    <col min="2" max="2" width="18.08984375" customWidth="1"/>
    <col min="3" max="3" width="19.81640625" customWidth="1"/>
    <col min="4" max="8" width="15.7265625" customWidth="1"/>
    <col min="9" max="9" width="15" customWidth="1"/>
    <col min="10" max="10" width="19.81640625" customWidth="1"/>
  </cols>
  <sheetData>
    <row r="1" spans="1:12" s="49" customFormat="1" ht="21" customHeight="1" x14ac:dyDescent="0.35">
      <c r="A1" s="49" t="s">
        <v>99</v>
      </c>
      <c r="B1" s="49" t="s">
        <v>160</v>
      </c>
      <c r="C1" s="49" t="s">
        <v>161</v>
      </c>
      <c r="D1" s="49" t="s">
        <v>167</v>
      </c>
      <c r="E1" s="49" t="s">
        <v>166</v>
      </c>
      <c r="F1" s="49" t="s">
        <v>168</v>
      </c>
      <c r="G1" s="49" t="s">
        <v>163</v>
      </c>
      <c r="H1" s="49" t="s">
        <v>164</v>
      </c>
      <c r="I1" s="49" t="s">
        <v>115</v>
      </c>
      <c r="J1" s="49" t="s">
        <v>135</v>
      </c>
      <c r="K1" s="49" t="s">
        <v>368</v>
      </c>
      <c r="L1" s="49" t="s">
        <v>367</v>
      </c>
    </row>
    <row r="2" spans="1:12" s="50" customFormat="1" x14ac:dyDescent="0.35">
      <c r="A2" s="87" t="s">
        <v>385</v>
      </c>
      <c r="B2" s="102">
        <f>'CAPEX only'!K3</f>
        <v>83</v>
      </c>
      <c r="C2" s="89">
        <f>'OPEX only'!$E$3</f>
        <v>200.25</v>
      </c>
      <c r="D2" s="89">
        <f>'Feedstock MIX per IVC'!G3</f>
        <v>1000</v>
      </c>
      <c r="E2" s="107">
        <f t="shared" ref="E2:E10" si="0">B2+C2+D2</f>
        <v>1283.25</v>
      </c>
      <c r="F2" s="291">
        <f t="shared" ref="F2:F23" si="1">B2/E2</f>
        <v>6.4679524644457434E-2</v>
      </c>
      <c r="G2" s="291">
        <f>C2/E2</f>
        <v>0.15604909409701928</v>
      </c>
      <c r="H2" s="291">
        <f>D2/E2</f>
        <v>0.77927138125852324</v>
      </c>
      <c r="I2" s="50">
        <f>(83+267+903)-1226</f>
        <v>27</v>
      </c>
      <c r="J2" s="88">
        <f t="shared" ref="J2:J8" si="2">B2+C2+D2-I2</f>
        <v>1256.25</v>
      </c>
      <c r="K2" s="50" t="s">
        <v>369</v>
      </c>
      <c r="L2" s="50" t="s">
        <v>370</v>
      </c>
    </row>
    <row r="3" spans="1:12" x14ac:dyDescent="0.35">
      <c r="A3" t="s">
        <v>102</v>
      </c>
      <c r="B3" s="102">
        <f>'CAPEX only'!$K$4</f>
        <v>269</v>
      </c>
      <c r="C3" s="6">
        <f>'OPEX only'!$E$4</f>
        <v>303.75</v>
      </c>
      <c r="D3" s="6">
        <f>'Feedstock MIX per IVC'!G5</f>
        <v>1757.1544791795002</v>
      </c>
      <c r="E3" s="107">
        <f t="shared" si="0"/>
        <v>2329.9044791795004</v>
      </c>
      <c r="F3" s="291">
        <f t="shared" si="1"/>
        <v>0.1154553769924212</v>
      </c>
      <c r="G3" s="291">
        <f t="shared" ref="G3:G23" si="3">C3/E3</f>
        <v>0.13037015152954626</v>
      </c>
      <c r="H3" s="291">
        <f t="shared" ref="H3:H23" si="4">D3/E3</f>
        <v>0.7541744714780324</v>
      </c>
      <c r="I3">
        <f>(269+405+1342)-1218</f>
        <v>798</v>
      </c>
      <c r="J3" s="2">
        <f>B3+C3+D3-I3</f>
        <v>1531.9044791795004</v>
      </c>
      <c r="K3" t="s">
        <v>371</v>
      </c>
      <c r="L3" s="50" t="s">
        <v>370</v>
      </c>
    </row>
    <row r="4" spans="1:12" x14ac:dyDescent="0.35">
      <c r="A4" t="s">
        <v>101</v>
      </c>
      <c r="B4" s="102">
        <f>'CAPEX only'!$K$5</f>
        <v>376</v>
      </c>
      <c r="C4" s="6">
        <f>'OPEX only'!$E$5</f>
        <v>424.5</v>
      </c>
      <c r="D4" s="6">
        <f>'Feedstock MIX per IVC'!G8</f>
        <v>1658.411635968431</v>
      </c>
      <c r="E4" s="107">
        <f t="shared" si="0"/>
        <v>2458.9116359684313</v>
      </c>
      <c r="F4" s="291">
        <f t="shared" si="1"/>
        <v>0.15291318097810136</v>
      </c>
      <c r="G4" s="291">
        <f t="shared" si="3"/>
        <v>0.17263735458830856</v>
      </c>
      <c r="H4" s="291">
        <f t="shared" si="4"/>
        <v>0.67444946443359</v>
      </c>
      <c r="I4">
        <f>(376+566+1961)-1844</f>
        <v>1059</v>
      </c>
      <c r="J4" s="2">
        <f t="shared" si="2"/>
        <v>1399.9116359684313</v>
      </c>
    </row>
    <row r="5" spans="1:12" x14ac:dyDescent="0.35">
      <c r="A5" t="s">
        <v>103</v>
      </c>
      <c r="B5" s="102">
        <f>'CAPEX only'!K6</f>
        <v>555</v>
      </c>
      <c r="C5" s="6">
        <f>'OPEX only'!E6</f>
        <v>387</v>
      </c>
      <c r="D5" s="6">
        <f>'Feedstock MIX per IVC'!G12</f>
        <v>339.87863731123906</v>
      </c>
      <c r="E5" s="107">
        <f>B5+C5+D5</f>
        <v>1281.8786373112391</v>
      </c>
      <c r="F5" s="291">
        <f t="shared" si="1"/>
        <v>0.43295830341951974</v>
      </c>
      <c r="G5" s="291">
        <f t="shared" si="3"/>
        <v>0.30190065481685435</v>
      </c>
      <c r="H5" s="291">
        <f>D5/E5</f>
        <v>0.26514104176362585</v>
      </c>
      <c r="I5">
        <f>(555+516+472)-1543</f>
        <v>0</v>
      </c>
      <c r="J5" s="2">
        <f>B5+C5+D5-I5</f>
        <v>1281.8786373112391</v>
      </c>
    </row>
    <row r="6" spans="1:12" x14ac:dyDescent="0.35">
      <c r="A6" s="271">
        <v>6</v>
      </c>
      <c r="B6" s="272">
        <v>750</v>
      </c>
      <c r="C6" s="273">
        <v>700</v>
      </c>
      <c r="D6" s="273">
        <f>'Feedstock MIX per IVC'!G17</f>
        <v>1063.8297872340427</v>
      </c>
      <c r="E6" s="273">
        <f t="shared" si="0"/>
        <v>2513.8297872340427</v>
      </c>
      <c r="F6" s="292">
        <f t="shared" si="1"/>
        <v>0.29834955564959798</v>
      </c>
      <c r="G6" s="292">
        <f t="shared" si="3"/>
        <v>0.27845958527295811</v>
      </c>
      <c r="H6" s="292">
        <f t="shared" si="4"/>
        <v>0.42319085907744397</v>
      </c>
      <c r="I6" s="142"/>
      <c r="J6" s="272">
        <f t="shared" si="2"/>
        <v>2513.8297872340427</v>
      </c>
    </row>
    <row r="7" spans="1:12" x14ac:dyDescent="0.35">
      <c r="A7" s="48" t="s">
        <v>112</v>
      </c>
      <c r="B7" s="102">
        <f>'CAPEX only'!K10</f>
        <v>605</v>
      </c>
      <c r="C7" s="6">
        <f>'OPEX only'!E8</f>
        <v>684.75</v>
      </c>
      <c r="D7" s="6">
        <f>'Feedstock MIX per IVC'!G19</f>
        <v>-17.804006218534383</v>
      </c>
      <c r="E7" s="107">
        <f t="shared" si="0"/>
        <v>1271.9459937814656</v>
      </c>
      <c r="F7" s="291">
        <f t="shared" si="1"/>
        <v>0.47564912579452306</v>
      </c>
      <c r="G7" s="291">
        <f t="shared" si="3"/>
        <v>0.53834832874016469</v>
      </c>
      <c r="H7" s="291">
        <f t="shared" si="4"/>
        <v>-1.3997454534687821E-2</v>
      </c>
      <c r="I7">
        <f>(965+913-525)-1354</f>
        <v>-1</v>
      </c>
      <c r="J7" s="2">
        <f t="shared" si="2"/>
        <v>1272.9459937814656</v>
      </c>
      <c r="L7" s="24" t="s">
        <v>150</v>
      </c>
    </row>
    <row r="8" spans="1:12" x14ac:dyDescent="0.35">
      <c r="A8" s="48" t="s">
        <v>113</v>
      </c>
      <c r="B8" s="102">
        <f>'CAPEX only'!K10</f>
        <v>605</v>
      </c>
      <c r="C8" s="6">
        <f>'OPEX only'!E9</f>
        <v>291</v>
      </c>
      <c r="D8" s="6">
        <f>'Feedstock MIX per IVC'!G19</f>
        <v>-17.804006218534383</v>
      </c>
      <c r="E8" s="107">
        <f t="shared" si="0"/>
        <v>878.19599378146563</v>
      </c>
      <c r="F8" s="291">
        <f t="shared" si="1"/>
        <v>0.68891227503202546</v>
      </c>
      <c r="G8" s="291">
        <f t="shared" si="3"/>
        <v>0.33136111080052799</v>
      </c>
      <c r="H8" s="291">
        <f t="shared" si="4"/>
        <v>-2.0273385832553472E-2</v>
      </c>
      <c r="I8">
        <f>(605+388+799)-1791</f>
        <v>1</v>
      </c>
      <c r="J8" s="2">
        <f t="shared" si="2"/>
        <v>877.19599378146563</v>
      </c>
    </row>
    <row r="9" spans="1:12" x14ac:dyDescent="0.35">
      <c r="A9" s="48" t="s">
        <v>149</v>
      </c>
      <c r="B9" s="102">
        <v>605</v>
      </c>
      <c r="C9" s="6">
        <f>0.1*C7+0.9*C8</f>
        <v>330.37500000000006</v>
      </c>
      <c r="D9" s="6">
        <f>D8</f>
        <v>-17.804006218534383</v>
      </c>
      <c r="E9" s="107">
        <f t="shared" si="0"/>
        <v>917.57099378146563</v>
      </c>
      <c r="F9" s="291">
        <f t="shared" si="1"/>
        <v>0.65934952619490772</v>
      </c>
      <c r="G9" s="291">
        <f t="shared" si="3"/>
        <v>0.36005388382916148</v>
      </c>
      <c r="H9" s="291">
        <f t="shared" si="4"/>
        <v>-1.9403410024069152E-2</v>
      </c>
      <c r="I9">
        <v>0</v>
      </c>
      <c r="J9" s="2">
        <f>0.1*J7+0.9*J8</f>
        <v>916.77099378146568</v>
      </c>
    </row>
    <row r="10" spans="1:12" x14ac:dyDescent="0.35">
      <c r="A10" s="48" t="s">
        <v>104</v>
      </c>
      <c r="B10" s="102">
        <f>'CAPEX only'!K11</f>
        <v>281</v>
      </c>
      <c r="C10" s="6">
        <f>'OPEX only'!E10</f>
        <v>139.5</v>
      </c>
      <c r="D10" s="6">
        <f>'Feedstock MIX per IVC'!G29</f>
        <v>136.38488968932074</v>
      </c>
      <c r="E10" s="107">
        <f t="shared" si="0"/>
        <v>556.88488968932074</v>
      </c>
      <c r="F10" s="291">
        <f t="shared" si="1"/>
        <v>0.50459261007560552</v>
      </c>
      <c r="G10" s="291">
        <f t="shared" si="3"/>
        <v>0.2505006017990995</v>
      </c>
      <c r="H10" s="291">
        <f t="shared" si="4"/>
        <v>0.24490678812529498</v>
      </c>
      <c r="I10">
        <f>(281+186+200)-668</f>
        <v>-1</v>
      </c>
      <c r="J10" s="2">
        <f>B10+C10+D10-I10</f>
        <v>557.88488968932074</v>
      </c>
    </row>
    <row r="11" spans="1:12" x14ac:dyDescent="0.35">
      <c r="A11" s="48" t="s">
        <v>105</v>
      </c>
      <c r="B11" s="102">
        <f>(E11-D11)/2</f>
        <v>253.03869303525369</v>
      </c>
      <c r="C11" s="6">
        <f>(E11-D11)/2</f>
        <v>253.03869303525369</v>
      </c>
      <c r="D11" s="6">
        <f>'Feedstock MIX per IVC'!G40</f>
        <v>429.92261392949263</v>
      </c>
      <c r="E11" s="102">
        <v>936</v>
      </c>
      <c r="F11" s="291">
        <f t="shared" si="1"/>
        <v>0.27034048401202315</v>
      </c>
      <c r="G11" s="291">
        <f t="shared" si="3"/>
        <v>0.27034048401202315</v>
      </c>
      <c r="H11" s="291">
        <f t="shared" si="4"/>
        <v>0.45931903197595364</v>
      </c>
      <c r="I11">
        <v>0</v>
      </c>
      <c r="J11" s="2">
        <v>936</v>
      </c>
      <c r="L11" t="s">
        <v>310</v>
      </c>
    </row>
    <row r="12" spans="1:12" x14ac:dyDescent="0.35">
      <c r="A12" s="48" t="s">
        <v>106</v>
      </c>
      <c r="B12" s="102">
        <f>'CAPEX only'!K13</f>
        <v>57</v>
      </c>
      <c r="C12" s="6">
        <f>'OPEX only'!E12</f>
        <v>21.75</v>
      </c>
      <c r="D12" s="6">
        <f>'Feedstock MIX per IVC'!G42</f>
        <v>291.86968567880001</v>
      </c>
      <c r="E12" s="107">
        <f>B12+C12+D12</f>
        <v>370.61968567880001</v>
      </c>
      <c r="F12" s="291">
        <f t="shared" si="1"/>
        <v>0.1537964717001013</v>
      </c>
      <c r="G12" s="291">
        <f t="shared" si="3"/>
        <v>5.8685495780301807E-2</v>
      </c>
      <c r="H12" s="291">
        <f>D12/E12</f>
        <v>0.78751803251959696</v>
      </c>
      <c r="I12">
        <f>(57+29+427)-513</f>
        <v>0</v>
      </c>
      <c r="J12" s="2"/>
    </row>
    <row r="13" spans="1:12" x14ac:dyDescent="0.35">
      <c r="A13" s="48" t="s">
        <v>107</v>
      </c>
      <c r="B13" s="102">
        <f>'CAPEX only'!K14</f>
        <v>800</v>
      </c>
      <c r="C13" s="6">
        <f>'OPEX only'!E13</f>
        <v>270</v>
      </c>
      <c r="D13" s="6">
        <f>'Feedstock MIX per IVC'!G44</f>
        <v>233.90131741669694</v>
      </c>
      <c r="E13" s="107">
        <f t="shared" ref="E13:E21" si="5">B13+C13+D13</f>
        <v>1303.9013174166969</v>
      </c>
      <c r="F13" s="291">
        <f t="shared" si="1"/>
        <v>0.61354336353073746</v>
      </c>
      <c r="G13" s="291">
        <f t="shared" si="3"/>
        <v>0.20707088519162389</v>
      </c>
      <c r="H13" s="291">
        <f t="shared" si="4"/>
        <v>0.17938575127763864</v>
      </c>
      <c r="I13">
        <f>(800+360+446)-1606</f>
        <v>0</v>
      </c>
      <c r="J13" s="2">
        <f>B13+C13+D13-I13</f>
        <v>1303.9013174166969</v>
      </c>
    </row>
    <row r="14" spans="1:12" x14ac:dyDescent="0.35">
      <c r="A14" s="48" t="s">
        <v>108</v>
      </c>
      <c r="B14" s="102">
        <f>'CAPEX only'!K15</f>
        <v>128</v>
      </c>
      <c r="C14" s="6">
        <f>'OPEX only'!E14</f>
        <v>113.25</v>
      </c>
      <c r="D14" s="6">
        <f>'Feedstock MIX per IVC'!G55</f>
        <v>1696.5649183147032</v>
      </c>
      <c r="E14" s="107">
        <f t="shared" si="5"/>
        <v>1937.8149183147032</v>
      </c>
      <c r="F14" s="291">
        <f t="shared" si="1"/>
        <v>6.6053779847726757E-2</v>
      </c>
      <c r="G14" s="291">
        <f t="shared" si="3"/>
        <v>5.8442113810586366E-2</v>
      </c>
      <c r="H14" s="291">
        <f t="shared" si="4"/>
        <v>0.87550410634168685</v>
      </c>
      <c r="I14">
        <f>(128+151+976)-1255</f>
        <v>0</v>
      </c>
      <c r="J14" s="2">
        <f>B14+C14+D14-I14</f>
        <v>1937.8149183147032</v>
      </c>
      <c r="L14" s="24"/>
    </row>
    <row r="15" spans="1:12" x14ac:dyDescent="0.35">
      <c r="A15" s="48" t="s">
        <v>307</v>
      </c>
      <c r="B15" s="102">
        <f>B16</f>
        <v>1445</v>
      </c>
      <c r="C15" s="6">
        <f>C16</f>
        <v>716.25</v>
      </c>
      <c r="D15" s="6">
        <f>'Feedstock MIX per IVC'!G57</f>
        <v>335.37715289092154</v>
      </c>
      <c r="E15" s="107">
        <f>B15+C15+D15</f>
        <v>2496.6271528909215</v>
      </c>
      <c r="F15" s="291">
        <f t="shared" si="1"/>
        <v>0.57878085573442151</v>
      </c>
      <c r="G15" s="291">
        <f t="shared" si="3"/>
        <v>0.28688705046351515</v>
      </c>
      <c r="H15" s="291">
        <f t="shared" si="4"/>
        <v>0.13433209380206332</v>
      </c>
      <c r="I15">
        <f>(128+151+976)-1255</f>
        <v>0</v>
      </c>
      <c r="J15" s="2"/>
    </row>
    <row r="16" spans="1:12" x14ac:dyDescent="0.35">
      <c r="A16" s="48" t="s">
        <v>308</v>
      </c>
      <c r="B16" s="102">
        <f>'CAPEX only'!K16</f>
        <v>1445</v>
      </c>
      <c r="C16" s="6">
        <f>'OPEX only'!E15</f>
        <v>716.25</v>
      </c>
      <c r="D16" s="6">
        <f>'Feedstock MIX per IVC'!G68</f>
        <v>612.89647443844615</v>
      </c>
      <c r="E16" s="107">
        <f t="shared" si="5"/>
        <v>2774.1464744384461</v>
      </c>
      <c r="F16" s="291">
        <f t="shared" si="1"/>
        <v>0.52088093159987259</v>
      </c>
      <c r="G16" s="291">
        <f t="shared" si="3"/>
        <v>0.25818752059405448</v>
      </c>
      <c r="H16" s="291">
        <f t="shared" si="4"/>
        <v>0.22093154780607291</v>
      </c>
      <c r="I16">
        <f>(1445+955+1329)-1922</f>
        <v>1807</v>
      </c>
      <c r="J16" s="2">
        <f>B16+C16+D16-I16</f>
        <v>967.14647443844615</v>
      </c>
    </row>
    <row r="17" spans="1:10" x14ac:dyDescent="0.35">
      <c r="A17" s="48" t="s">
        <v>138</v>
      </c>
      <c r="B17" s="102">
        <f>'CAPEX only'!K17</f>
        <v>278</v>
      </c>
      <c r="C17" s="6">
        <f>'OPEX only'!E16</f>
        <v>294.75</v>
      </c>
      <c r="D17" s="6">
        <f>'Feedstock MIX per IVC'!G79</f>
        <v>593.6</v>
      </c>
      <c r="E17" s="107">
        <f t="shared" si="5"/>
        <v>1166.3499999999999</v>
      </c>
      <c r="F17" s="291">
        <f t="shared" si="1"/>
        <v>0.2383504093968363</v>
      </c>
      <c r="G17" s="291">
        <f t="shared" si="3"/>
        <v>0.2527114502507824</v>
      </c>
      <c r="H17" s="291">
        <f t="shared" si="4"/>
        <v>0.50893814035238139</v>
      </c>
      <c r="I17">
        <f>(278+393+463)-1134</f>
        <v>0</v>
      </c>
      <c r="J17" s="2">
        <f>B17+C17+D17-I17</f>
        <v>1166.3499999999999</v>
      </c>
    </row>
    <row r="18" spans="1:10" x14ac:dyDescent="0.35">
      <c r="A18" s="48" t="s">
        <v>137</v>
      </c>
      <c r="B18" s="102">
        <f>'CAPEX only'!K18</f>
        <v>1257</v>
      </c>
      <c r="C18">
        <v>904</v>
      </c>
      <c r="D18" s="6">
        <f>'Feedstock MIX per IVC'!G81</f>
        <v>989.3333333333336</v>
      </c>
      <c r="E18" s="107">
        <f t="shared" si="5"/>
        <v>3150.3333333333335</v>
      </c>
      <c r="F18" s="291">
        <f t="shared" si="1"/>
        <v>0.3990053962543646</v>
      </c>
      <c r="G18" s="291">
        <f t="shared" si="3"/>
        <v>0.28695376150671886</v>
      </c>
      <c r="H18" s="291">
        <f t="shared" si="4"/>
        <v>0.3140408422389166</v>
      </c>
      <c r="I18" s="2">
        <f>(1257+904+1064)-2681</f>
        <v>544</v>
      </c>
      <c r="J18" s="2">
        <f>B18+C17+D18-I18</f>
        <v>1997.0833333333335</v>
      </c>
    </row>
    <row r="19" spans="1:10" x14ac:dyDescent="0.35">
      <c r="A19" s="48" t="s">
        <v>199</v>
      </c>
      <c r="B19" s="102">
        <f>'CAPEX only'!K$19</f>
        <v>805</v>
      </c>
      <c r="C19" s="6">
        <f>'OPEX only'!E$18</f>
        <v>436.5</v>
      </c>
      <c r="D19" s="6">
        <f>'Feedstock MIX per IVC'!G83</f>
        <v>228.15753420264849</v>
      </c>
      <c r="E19" s="107">
        <f t="shared" si="5"/>
        <v>1469.6575342026485</v>
      </c>
      <c r="F19" s="291">
        <f t="shared" si="1"/>
        <v>0.5477466561192752</v>
      </c>
      <c r="G19" s="291">
        <f t="shared" si="3"/>
        <v>0.29700796943610386</v>
      </c>
      <c r="H19" s="291">
        <f t="shared" si="4"/>
        <v>0.15524537444462094</v>
      </c>
      <c r="I19">
        <f>(805+582+711)-1283</f>
        <v>815</v>
      </c>
      <c r="J19" s="2">
        <f>B19+C19+D19-I19</f>
        <v>654.65753420264855</v>
      </c>
    </row>
    <row r="20" spans="1:10" s="50" customFormat="1" x14ac:dyDescent="0.35">
      <c r="A20" s="87" t="s">
        <v>201</v>
      </c>
      <c r="B20" s="88">
        <f>'CAPEX only'!K$19</f>
        <v>805</v>
      </c>
      <c r="C20" s="89">
        <f>'OPEX only'!E$18</f>
        <v>436.5</v>
      </c>
      <c r="D20" s="89">
        <f>'Feedstock MIX per IVC'!G92</f>
        <v>720.75477937327389</v>
      </c>
      <c r="E20" s="89">
        <f t="shared" si="5"/>
        <v>1962.2547793732738</v>
      </c>
      <c r="F20" s="328">
        <f t="shared" si="1"/>
        <v>0.41024234389028197</v>
      </c>
      <c r="G20" s="328">
        <f t="shared" si="3"/>
        <v>0.22244817777404732</v>
      </c>
      <c r="H20" s="328">
        <f t="shared" si="4"/>
        <v>0.36730947833567074</v>
      </c>
      <c r="I20" s="50">
        <f>(805+582+711)-1283</f>
        <v>815</v>
      </c>
      <c r="J20" s="88">
        <f>B20+C20+D20-I20</f>
        <v>1147.2547793732738</v>
      </c>
    </row>
    <row r="21" spans="1:10" x14ac:dyDescent="0.35">
      <c r="A21" s="48" t="s">
        <v>200</v>
      </c>
      <c r="B21" s="102">
        <f>'CAPEX only'!K$20</f>
        <v>685</v>
      </c>
      <c r="C21" s="6">
        <f>'OPEX only'!E$19</f>
        <v>632.625</v>
      </c>
      <c r="D21" s="6">
        <f>'Feedstock MIX per IVC'!G101</f>
        <v>228.64993549590196</v>
      </c>
      <c r="E21" s="107">
        <f t="shared" si="5"/>
        <v>1546.2749354959019</v>
      </c>
      <c r="F21" s="291">
        <f t="shared" si="1"/>
        <v>0.44300013165531615</v>
      </c>
      <c r="G21" s="291">
        <f t="shared" si="3"/>
        <v>0.40912840626050273</v>
      </c>
      <c r="H21" s="291">
        <f t="shared" si="4"/>
        <v>0.14787146208418117</v>
      </c>
      <c r="I21">
        <f>(685+706+251)-1642</f>
        <v>0</v>
      </c>
      <c r="J21" s="2">
        <f>B21+C21+D21-I21</f>
        <v>1546.2749354959019</v>
      </c>
    </row>
    <row r="22" spans="1:10" x14ac:dyDescent="0.35">
      <c r="A22" s="48" t="s">
        <v>202</v>
      </c>
      <c r="B22" s="102">
        <f>'CAPEX only'!K$20</f>
        <v>685</v>
      </c>
      <c r="C22" s="6">
        <f>'OPEX only'!E$19</f>
        <v>632.625</v>
      </c>
      <c r="D22" s="6">
        <f>'Feedstock MIX per IVC'!G110</f>
        <v>682.67388373606661</v>
      </c>
      <c r="E22" s="107">
        <f>B22+C22+D22</f>
        <v>2000.2988837360667</v>
      </c>
      <c r="F22" s="291">
        <f t="shared" si="1"/>
        <v>0.3424488238080643</v>
      </c>
      <c r="G22" s="291">
        <f t="shared" si="3"/>
        <v>0.31626523673222873</v>
      </c>
      <c r="H22" s="291">
        <f t="shared" si="4"/>
        <v>0.34128593945970692</v>
      </c>
      <c r="I22">
        <f>(685+706+251)-1642</f>
        <v>0</v>
      </c>
      <c r="J22" s="2">
        <f>B22+C22+D22-I22</f>
        <v>2000.2988837360667</v>
      </c>
    </row>
    <row r="23" spans="1:10" x14ac:dyDescent="0.35">
      <c r="A23" s="48" t="s">
        <v>420</v>
      </c>
      <c r="B23" s="102">
        <f>'CAPEX only'!$K$4</f>
        <v>269</v>
      </c>
      <c r="C23" s="6">
        <f>'OPEX only'!$E$4</f>
        <v>303.75</v>
      </c>
      <c r="D23">
        <v>1000</v>
      </c>
      <c r="E23" s="107">
        <f>B23+C23+D23</f>
        <v>1572.75</v>
      </c>
      <c r="F23" s="325">
        <f t="shared" si="1"/>
        <v>0.17103799078048004</v>
      </c>
      <c r="G23" s="325">
        <f t="shared" si="3"/>
        <v>0.19313304721030042</v>
      </c>
      <c r="H23" s="325">
        <f>D23/E23</f>
        <v>0.63582896200921957</v>
      </c>
    </row>
    <row r="24" spans="1:10" x14ac:dyDescent="0.35">
      <c r="A24" s="48" t="s">
        <v>419</v>
      </c>
      <c r="B24" s="102">
        <f>'CAPEX only'!$K$5</f>
        <v>376</v>
      </c>
      <c r="C24" s="6">
        <f>'OPEX only'!$E$5</f>
        <v>424.5</v>
      </c>
      <c r="D24">
        <f>1000/0.46</f>
        <v>2173.913043478261</v>
      </c>
      <c r="E24" s="107">
        <f t="shared" ref="E24" si="6">B24+C24+D24</f>
        <v>2974.413043478261</v>
      </c>
      <c r="F24" s="291">
        <f>B24/E24</f>
        <v>0.12641149514336039</v>
      </c>
      <c r="G24" s="291">
        <f>C24/E24</f>
        <v>0.14271723321371407</v>
      </c>
      <c r="H24" s="291">
        <f t="shared" ref="H24" si="7">D24/E24</f>
        <v>0.73087127164292554</v>
      </c>
    </row>
  </sheetData>
  <pageMargins left="0.7" right="0.7" top="0.78740157499999996" bottom="0.78740157499999996"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0377-FC2D-4E35-9CF8-05A83141A340}">
  <dimension ref="A1:K23"/>
  <sheetViews>
    <sheetView workbookViewId="0">
      <selection activeCell="D12" sqref="D12"/>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49" customFormat="1" ht="21" customHeight="1" x14ac:dyDescent="0.35">
      <c r="A1" s="49" t="s">
        <v>99</v>
      </c>
      <c r="B1" s="49" t="s">
        <v>160</v>
      </c>
      <c r="C1" s="49" t="s">
        <v>161</v>
      </c>
      <c r="D1" s="49" t="s">
        <v>167</v>
      </c>
      <c r="E1" s="49" t="s">
        <v>166</v>
      </c>
      <c r="F1" s="49" t="s">
        <v>168</v>
      </c>
      <c r="G1" s="49" t="s">
        <v>163</v>
      </c>
      <c r="H1" s="49" t="s">
        <v>164</v>
      </c>
      <c r="I1" s="49" t="s">
        <v>115</v>
      </c>
      <c r="J1" s="49" t="s">
        <v>135</v>
      </c>
    </row>
    <row r="2" spans="1:11" s="50" customFormat="1" x14ac:dyDescent="0.35">
      <c r="A2" s="87">
        <v>1</v>
      </c>
      <c r="B2" s="102">
        <f>'CAPEX only'!K3</f>
        <v>83</v>
      </c>
      <c r="C2" s="89">
        <f>'OPEX only'!E3</f>
        <v>200.25</v>
      </c>
      <c r="D2" s="89">
        <f>'Feedstock MIX per IVC'!N4</f>
        <v>1000</v>
      </c>
      <c r="E2" s="107">
        <f>B2+C2+D2</f>
        <v>1283.25</v>
      </c>
      <c r="F2" s="278">
        <f t="shared" ref="F2:F22" si="0">B2/E2</f>
        <v>6.4679524644457434E-2</v>
      </c>
      <c r="G2" s="278">
        <f t="shared" ref="G2:G22" si="1">C2/E2</f>
        <v>0.15604909409701928</v>
      </c>
      <c r="H2" s="278">
        <f t="shared" ref="H2:H22" si="2">D2/E2</f>
        <v>0.77927138125852324</v>
      </c>
      <c r="I2" s="50">
        <f>(83+267+903)-1226</f>
        <v>27</v>
      </c>
      <c r="J2" s="88">
        <f t="shared" ref="J2:J8" si="3">B2+C2+D2-I2</f>
        <v>1256.25</v>
      </c>
      <c r="K2" s="51"/>
    </row>
    <row r="3" spans="1:11" x14ac:dyDescent="0.35">
      <c r="A3" t="s">
        <v>102</v>
      </c>
      <c r="B3" s="102">
        <f>'CAPEX only'!K4</f>
        <v>269</v>
      </c>
      <c r="C3" s="6">
        <f>'OPEX only'!E4</f>
        <v>303.75</v>
      </c>
      <c r="D3" s="6">
        <f>'Feedstock MIX per IVC'!N5</f>
        <v>1755.568868454804</v>
      </c>
      <c r="E3" s="107">
        <f t="shared" ref="E3:E10" si="4">B3+C3+D3</f>
        <v>2328.318868454804</v>
      </c>
      <c r="F3" s="278">
        <f t="shared" si="0"/>
        <v>0.11553400337236569</v>
      </c>
      <c r="G3" s="278">
        <f t="shared" si="1"/>
        <v>0.13045893503478095</v>
      </c>
      <c r="H3" s="278">
        <f t="shared" si="2"/>
        <v>0.75400706159285336</v>
      </c>
      <c r="I3">
        <f>(269+405+1342)-1218</f>
        <v>798</v>
      </c>
      <c r="J3" s="2">
        <f t="shared" si="3"/>
        <v>1530.318868454804</v>
      </c>
    </row>
    <row r="4" spans="1:11" x14ac:dyDescent="0.35">
      <c r="A4" t="s">
        <v>101</v>
      </c>
      <c r="B4" s="102">
        <f>'CAPEX only'!K5</f>
        <v>376</v>
      </c>
      <c r="C4" s="6">
        <f>'OPEX only'!E5</f>
        <v>424.5</v>
      </c>
      <c r="D4" s="6">
        <f>'Feedstock MIX per IVC'!N8</f>
        <v>1631.3538197741454</v>
      </c>
      <c r="E4" s="107">
        <f t="shared" si="4"/>
        <v>2431.8538197741454</v>
      </c>
      <c r="F4" s="278">
        <f t="shared" si="0"/>
        <v>0.15461455657516471</v>
      </c>
      <c r="G4" s="278">
        <f t="shared" si="1"/>
        <v>0.1745581895376527</v>
      </c>
      <c r="H4" s="278">
        <f t="shared" si="2"/>
        <v>0.67082725388718256</v>
      </c>
      <c r="I4">
        <f>(376+566+1961)-1844</f>
        <v>1059</v>
      </c>
      <c r="J4" s="2">
        <f t="shared" si="3"/>
        <v>1372.8538197741454</v>
      </c>
    </row>
    <row r="5" spans="1:11" x14ac:dyDescent="0.35">
      <c r="A5" t="s">
        <v>103</v>
      </c>
      <c r="B5" s="102">
        <f>'CAPEX only'!K6</f>
        <v>555</v>
      </c>
      <c r="C5" s="6">
        <f>'OPEX only'!E6</f>
        <v>387</v>
      </c>
      <c r="D5" s="6">
        <f>'Feedstock MIX per IVC'!N12</f>
        <v>345.7569444827248</v>
      </c>
      <c r="E5" s="107">
        <f t="shared" si="4"/>
        <v>1287.7569444827247</v>
      </c>
      <c r="F5" s="278">
        <f t="shared" si="0"/>
        <v>0.43098195073056761</v>
      </c>
      <c r="G5" s="278">
        <f t="shared" si="1"/>
        <v>0.30052254942834178</v>
      </c>
      <c r="H5" s="278">
        <f t="shared" si="2"/>
        <v>0.26849549984109067</v>
      </c>
      <c r="I5">
        <f>(555+516+472)-1543</f>
        <v>0</v>
      </c>
      <c r="J5" s="2">
        <f t="shared" si="3"/>
        <v>1287.7569444827247</v>
      </c>
    </row>
    <row r="6" spans="1:11" s="43" customFormat="1" x14ac:dyDescent="0.35">
      <c r="A6" s="95">
        <v>6</v>
      </c>
      <c r="B6" s="272">
        <v>750</v>
      </c>
      <c r="C6" s="273">
        <v>700</v>
      </c>
      <c r="D6" s="44">
        <f>'Feedstock MIX per IVC'!N17</f>
        <v>1063.8297872340427</v>
      </c>
      <c r="E6" s="147">
        <f t="shared" si="4"/>
        <v>2513.8297872340427</v>
      </c>
      <c r="F6" s="279">
        <f t="shared" si="0"/>
        <v>0.29834955564959798</v>
      </c>
      <c r="G6" s="279">
        <f t="shared" si="1"/>
        <v>0.27845958527295811</v>
      </c>
      <c r="H6" s="279">
        <f t="shared" si="2"/>
        <v>0.42319085907744397</v>
      </c>
      <c r="J6" s="96">
        <f t="shared" si="3"/>
        <v>2513.8297872340427</v>
      </c>
    </row>
    <row r="7" spans="1:11" x14ac:dyDescent="0.35">
      <c r="A7" s="48" t="s">
        <v>112</v>
      </c>
      <c r="B7" s="102">
        <f>'CAPEX only'!K10</f>
        <v>605</v>
      </c>
      <c r="C7" s="6">
        <f>'OPEX only'!E8</f>
        <v>684.75</v>
      </c>
      <c r="D7" s="6">
        <f>'Feedstock MIX per IVC'!N19</f>
        <v>-6.2609951391171048</v>
      </c>
      <c r="E7" s="107">
        <f t="shared" si="4"/>
        <v>1283.4890048608829</v>
      </c>
      <c r="F7" s="278">
        <f t="shared" si="0"/>
        <v>0.47137139290536878</v>
      </c>
      <c r="G7" s="278">
        <f t="shared" si="1"/>
        <v>0.53350671287925833</v>
      </c>
      <c r="H7" s="278">
        <f t="shared" si="2"/>
        <v>-4.8781057846270627E-3</v>
      </c>
      <c r="I7">
        <f>(965+913-525)-1354</f>
        <v>-1</v>
      </c>
      <c r="J7" s="2">
        <f t="shared" si="3"/>
        <v>1284.4890048608829</v>
      </c>
      <c r="K7" s="24" t="s">
        <v>150</v>
      </c>
    </row>
    <row r="8" spans="1:11" x14ac:dyDescent="0.35">
      <c r="A8" s="48" t="s">
        <v>113</v>
      </c>
      <c r="B8" s="102">
        <f>'CAPEX only'!K10</f>
        <v>605</v>
      </c>
      <c r="C8" s="6">
        <f>'OPEX only'!E9</f>
        <v>291</v>
      </c>
      <c r="D8" s="6">
        <f>'Feedstock MIX per IVC'!N19</f>
        <v>-6.2609951391171048</v>
      </c>
      <c r="E8" s="107">
        <f t="shared" si="4"/>
        <v>889.73900486088291</v>
      </c>
      <c r="F8" s="278">
        <f t="shared" si="0"/>
        <v>0.67997468549172591</v>
      </c>
      <c r="G8" s="278">
        <f t="shared" si="1"/>
        <v>0.32706220409602021</v>
      </c>
      <c r="H8" s="278">
        <f t="shared" si="2"/>
        <v>-7.0368895877460785E-3</v>
      </c>
      <c r="I8">
        <f>(605+388+799)-1791</f>
        <v>1</v>
      </c>
      <c r="J8" s="2">
        <f t="shared" si="3"/>
        <v>888.73900486088291</v>
      </c>
    </row>
    <row r="9" spans="1:11" x14ac:dyDescent="0.35">
      <c r="A9" s="48" t="s">
        <v>149</v>
      </c>
      <c r="B9" s="102">
        <v>605</v>
      </c>
      <c r="C9" s="6">
        <f>0.1*C7+0.9*C8</f>
        <v>330.37500000000006</v>
      </c>
      <c r="D9" s="6">
        <f>D8</f>
        <v>-6.2609951391171048</v>
      </c>
      <c r="E9" s="107">
        <f t="shared" si="4"/>
        <v>929.11400486088291</v>
      </c>
      <c r="F9" s="278">
        <f t="shared" si="0"/>
        <v>0.65115798151227655</v>
      </c>
      <c r="G9" s="278">
        <f t="shared" si="1"/>
        <v>0.35558069114399737</v>
      </c>
      <c r="H9" s="278">
        <f t="shared" si="2"/>
        <v>-6.7386726562738333E-3</v>
      </c>
      <c r="I9">
        <v>0</v>
      </c>
      <c r="J9" s="2">
        <f>0.1*J7+0.9*J8</f>
        <v>928.31400486088296</v>
      </c>
    </row>
    <row r="10" spans="1:11" x14ac:dyDescent="0.35">
      <c r="A10" s="48" t="s">
        <v>104</v>
      </c>
      <c r="B10" s="102">
        <f>'CAPEX only'!K11</f>
        <v>281</v>
      </c>
      <c r="C10" s="6">
        <f>'OPEX only'!E10</f>
        <v>139.5</v>
      </c>
      <c r="D10" s="6">
        <f>'Feedstock MIX per IVC'!N29</f>
        <v>140.43483576630845</v>
      </c>
      <c r="E10" s="107">
        <f t="shared" si="4"/>
        <v>560.93483576630842</v>
      </c>
      <c r="F10" s="278">
        <f t="shared" si="0"/>
        <v>0.500949454522856</v>
      </c>
      <c r="G10" s="278">
        <f t="shared" si="1"/>
        <v>0.24869198898910466</v>
      </c>
      <c r="H10" s="278">
        <f t="shared" si="2"/>
        <v>0.25035855648803945</v>
      </c>
      <c r="I10">
        <f>(281+186+200)-668</f>
        <v>-1</v>
      </c>
      <c r="J10" s="2">
        <f>B10+C10+D10-I10</f>
        <v>561.93483576630842</v>
      </c>
    </row>
    <row r="11" spans="1:11" x14ac:dyDescent="0.35">
      <c r="A11" s="48" t="s">
        <v>105</v>
      </c>
      <c r="B11" s="102">
        <f>(E11-D11)/2</f>
        <v>253.03869303525369</v>
      </c>
      <c r="C11" s="6">
        <f>(E11-D11)/2</f>
        <v>253.03869303525369</v>
      </c>
      <c r="D11" s="6">
        <f>'Feedstock MIX per IVC'!J41</f>
        <v>429.92261392949263</v>
      </c>
      <c r="E11" s="102">
        <v>936</v>
      </c>
      <c r="F11" s="278">
        <f t="shared" si="0"/>
        <v>0.27034048401202315</v>
      </c>
      <c r="G11" s="278">
        <f t="shared" si="1"/>
        <v>0.27034048401202315</v>
      </c>
      <c r="H11" s="278">
        <f t="shared" si="2"/>
        <v>0.45931903197595364</v>
      </c>
      <c r="I11">
        <v>0</v>
      </c>
      <c r="J11" s="2">
        <v>936</v>
      </c>
      <c r="K11" t="s">
        <v>310</v>
      </c>
    </row>
    <row r="12" spans="1:11" x14ac:dyDescent="0.35">
      <c r="A12" s="48" t="s">
        <v>106</v>
      </c>
      <c r="B12" s="102">
        <f>'CAPEX only'!K13</f>
        <v>57</v>
      </c>
      <c r="C12" s="6">
        <f>'OPEX only'!E12</f>
        <v>21.75</v>
      </c>
      <c r="D12" s="6">
        <f>'Feedstock MIX per IVC'!N42</f>
        <v>291.86968567880001</v>
      </c>
      <c r="E12" s="107">
        <f t="shared" ref="E12:E22" si="5">B12+C12+D12</f>
        <v>370.61968567880001</v>
      </c>
      <c r="F12" s="278">
        <f t="shared" si="0"/>
        <v>0.1537964717001013</v>
      </c>
      <c r="G12" s="278">
        <f t="shared" si="1"/>
        <v>5.8685495780301807E-2</v>
      </c>
      <c r="H12" s="278">
        <f t="shared" si="2"/>
        <v>0.78751803251959696</v>
      </c>
      <c r="I12">
        <f>(57+29+427)-513</f>
        <v>0</v>
      </c>
      <c r="J12" s="2"/>
    </row>
    <row r="13" spans="1:11" x14ac:dyDescent="0.35">
      <c r="A13" s="48" t="s">
        <v>107</v>
      </c>
      <c r="B13" s="102">
        <f>'CAPEX only'!K14</f>
        <v>800</v>
      </c>
      <c r="C13" s="6">
        <f>'OPEX only'!E13</f>
        <v>270</v>
      </c>
      <c r="D13" s="6">
        <f>'Feedstock MIX per IVC'!N44</f>
        <v>240.96764332420608</v>
      </c>
      <c r="E13" s="107">
        <f t="shared" si="5"/>
        <v>1310.9676433242062</v>
      </c>
      <c r="F13" s="278">
        <f t="shared" si="0"/>
        <v>0.6102362663745452</v>
      </c>
      <c r="G13" s="278">
        <f t="shared" si="1"/>
        <v>0.205954739901409</v>
      </c>
      <c r="H13" s="278">
        <f t="shared" si="2"/>
        <v>0.18380899372404577</v>
      </c>
      <c r="I13">
        <f>(800+360+446)-1606</f>
        <v>0</v>
      </c>
      <c r="J13" s="2">
        <f>B13+C13+D13-I13</f>
        <v>1310.9676433242062</v>
      </c>
    </row>
    <row r="14" spans="1:11" x14ac:dyDescent="0.35">
      <c r="A14" s="48" t="s">
        <v>108</v>
      </c>
      <c r="B14" s="102">
        <f>'CAPEX only'!K15</f>
        <v>128</v>
      </c>
      <c r="C14" s="6">
        <f>'OPEX only'!E14</f>
        <v>113.25</v>
      </c>
      <c r="D14" s="6">
        <f>'Feedstock MIX per IVC'!N55</f>
        <v>1696.5649183147032</v>
      </c>
      <c r="E14" s="107">
        <f t="shared" si="5"/>
        <v>1937.8149183147032</v>
      </c>
      <c r="F14" s="278">
        <f t="shared" si="0"/>
        <v>6.6053779847726757E-2</v>
      </c>
      <c r="G14" s="278">
        <f t="shared" si="1"/>
        <v>5.8442113810586366E-2</v>
      </c>
      <c r="H14" s="278">
        <f t="shared" si="2"/>
        <v>0.87550410634168685</v>
      </c>
      <c r="I14">
        <f>(128+151+976)-1255</f>
        <v>0</v>
      </c>
      <c r="J14" s="2">
        <f>B14+C14+D14-I14</f>
        <v>1937.8149183147032</v>
      </c>
      <c r="K14" s="24" t="s">
        <v>151</v>
      </c>
    </row>
    <row r="15" spans="1:11" x14ac:dyDescent="0.35">
      <c r="A15" s="48" t="s">
        <v>307</v>
      </c>
      <c r="B15" s="102">
        <f>B16</f>
        <v>1445</v>
      </c>
      <c r="C15" s="6">
        <f>C16</f>
        <v>716.25</v>
      </c>
      <c r="D15" s="6">
        <f>'Feedstock MIX per IVC'!N57</f>
        <v>354.62982190581977</v>
      </c>
      <c r="E15" s="107">
        <f t="shared" si="5"/>
        <v>2515.8798219058199</v>
      </c>
      <c r="F15" s="278">
        <f t="shared" si="0"/>
        <v>0.57435175854520304</v>
      </c>
      <c r="G15" s="278">
        <f t="shared" si="1"/>
        <v>0.28469165886366898</v>
      </c>
      <c r="H15" s="278">
        <f t="shared" si="2"/>
        <v>0.14095658259112787</v>
      </c>
      <c r="J15" s="2"/>
    </row>
    <row r="16" spans="1:11" x14ac:dyDescent="0.35">
      <c r="A16" s="48" t="s">
        <v>308</v>
      </c>
      <c r="B16" s="102">
        <f>'CAPEX only'!K16</f>
        <v>1445</v>
      </c>
      <c r="C16" s="6">
        <f>'OPEX only'!E15</f>
        <v>716.25</v>
      </c>
      <c r="D16" s="6">
        <f>'Feedstock MIX per IVC'!N68</f>
        <v>622.71541542231569</v>
      </c>
      <c r="E16" s="107">
        <f t="shared" si="5"/>
        <v>2783.9654154223158</v>
      </c>
      <c r="F16" s="278">
        <f t="shared" si="0"/>
        <v>0.51904380420645402</v>
      </c>
      <c r="G16" s="278">
        <f t="shared" si="1"/>
        <v>0.25727690295008493</v>
      </c>
      <c r="H16" s="278">
        <f t="shared" si="2"/>
        <v>0.223679292843461</v>
      </c>
      <c r="I16">
        <f>(1445+955+1329)-1922</f>
        <v>1807</v>
      </c>
      <c r="J16" s="2">
        <f>B16+C16+D16-I16</f>
        <v>976.9654154223158</v>
      </c>
    </row>
    <row r="17" spans="1:10" x14ac:dyDescent="0.35">
      <c r="A17" s="48" t="s">
        <v>138</v>
      </c>
      <c r="B17" s="102">
        <f>'CAPEX only'!K17</f>
        <v>278</v>
      </c>
      <c r="C17" s="6">
        <f>'OPEX only'!E16</f>
        <v>294.75</v>
      </c>
      <c r="D17" s="6">
        <f>'Feedstock MIX per IVC'!N79</f>
        <v>593.6</v>
      </c>
      <c r="E17" s="107">
        <f t="shared" si="5"/>
        <v>1166.3499999999999</v>
      </c>
      <c r="F17" s="278">
        <f t="shared" si="0"/>
        <v>0.2383504093968363</v>
      </c>
      <c r="G17" s="278">
        <f t="shared" si="1"/>
        <v>0.2527114502507824</v>
      </c>
      <c r="H17" s="278">
        <f t="shared" si="2"/>
        <v>0.50893814035238139</v>
      </c>
      <c r="I17">
        <f>(278+393+463)-1134</f>
        <v>0</v>
      </c>
      <c r="J17" s="2">
        <f>B17+C17+D17-I17</f>
        <v>1166.3499999999999</v>
      </c>
    </row>
    <row r="18" spans="1:10" x14ac:dyDescent="0.35">
      <c r="A18" s="48" t="s">
        <v>137</v>
      </c>
      <c r="B18" s="102">
        <f>'CAPEX only'!K18</f>
        <v>1257</v>
      </c>
      <c r="C18">
        <v>904</v>
      </c>
      <c r="D18" s="6">
        <f>'Feedstock MIX per IVC'!N81</f>
        <v>989.3333333333336</v>
      </c>
      <c r="E18" s="107">
        <f t="shared" si="5"/>
        <v>3150.3333333333335</v>
      </c>
      <c r="F18" s="278">
        <f t="shared" si="0"/>
        <v>0.3990053962543646</v>
      </c>
      <c r="G18" s="278">
        <f t="shared" si="1"/>
        <v>0.28695376150671886</v>
      </c>
      <c r="H18" s="278">
        <f t="shared" si="2"/>
        <v>0.3140408422389166</v>
      </c>
      <c r="I18" s="2">
        <f>(1257+904+1064)-2681</f>
        <v>544</v>
      </c>
      <c r="J18" s="2">
        <f>B18+C17+D18-I18</f>
        <v>1997.0833333333335</v>
      </c>
    </row>
    <row r="19" spans="1:10" x14ac:dyDescent="0.35">
      <c r="A19" s="48" t="s">
        <v>197</v>
      </c>
      <c r="B19" s="102">
        <f>'CAPEX only'!K$19</f>
        <v>805</v>
      </c>
      <c r="C19" s="6">
        <f>'OPEX only'!E$18</f>
        <v>436.5</v>
      </c>
      <c r="D19" s="6">
        <f>'Feedstock MIX per IVC'!N83</f>
        <v>229.86053757636907</v>
      </c>
      <c r="E19" s="107">
        <f t="shared" si="5"/>
        <v>1471.3605375763691</v>
      </c>
      <c r="F19" s="278">
        <f t="shared" si="0"/>
        <v>0.54711267526992347</v>
      </c>
      <c r="G19" s="278">
        <f t="shared" si="1"/>
        <v>0.2966642021805237</v>
      </c>
      <c r="H19" s="278">
        <f t="shared" si="2"/>
        <v>0.15622312254955284</v>
      </c>
      <c r="I19">
        <f>(805+582+711)-1283</f>
        <v>815</v>
      </c>
      <c r="J19" s="2">
        <f>B19+C19+D19-I19</f>
        <v>656.3605375763691</v>
      </c>
    </row>
    <row r="20" spans="1:10" x14ac:dyDescent="0.35">
      <c r="A20" s="48" t="s">
        <v>201</v>
      </c>
      <c r="B20" s="102">
        <f>'CAPEX only'!K$19</f>
        <v>805</v>
      </c>
      <c r="C20" s="6">
        <f>'OPEX only'!E$18</f>
        <v>436.5</v>
      </c>
      <c r="D20" s="6">
        <f>'Feedstock MIX per IVC'!N92</f>
        <v>732.7795389715352</v>
      </c>
      <c r="E20" s="107">
        <f t="shared" si="5"/>
        <v>1974.2795389715352</v>
      </c>
      <c r="F20" s="278">
        <f t="shared" si="0"/>
        <v>0.40774367768575975</v>
      </c>
      <c r="G20" s="278">
        <f t="shared" si="1"/>
        <v>0.22109331094389334</v>
      </c>
      <c r="H20" s="278">
        <f t="shared" si="2"/>
        <v>0.37116301137034691</v>
      </c>
      <c r="J20" s="2"/>
    </row>
    <row r="21" spans="1:10" x14ac:dyDescent="0.35">
      <c r="A21" s="48" t="s">
        <v>200</v>
      </c>
      <c r="B21" s="102">
        <f>'CAPEX only'!K$20</f>
        <v>685</v>
      </c>
      <c r="C21" s="6">
        <f>'OPEX only'!E$19</f>
        <v>632.625</v>
      </c>
      <c r="D21" s="6">
        <f>'Feedstock MIX per IVC'!N101</f>
        <v>230.15093733783311</v>
      </c>
      <c r="E21" s="107">
        <f t="shared" si="5"/>
        <v>1547.7759373378331</v>
      </c>
      <c r="F21" s="278">
        <f t="shared" si="0"/>
        <v>0.44257051907538802</v>
      </c>
      <c r="G21" s="278">
        <f t="shared" si="1"/>
        <v>0.40873164179571875</v>
      </c>
      <c r="H21" s="278">
        <f t="shared" si="2"/>
        <v>0.14869783912889328</v>
      </c>
      <c r="J21" s="2">
        <f>B21+C21+D21-I21</f>
        <v>1547.7759373378331</v>
      </c>
    </row>
    <row r="22" spans="1:10" x14ac:dyDescent="0.35">
      <c r="A22" s="48" t="s">
        <v>202</v>
      </c>
      <c r="B22" s="102">
        <f>'CAPEX only'!K$20</f>
        <v>685</v>
      </c>
      <c r="C22" s="6">
        <f>'OPEX only'!E$19</f>
        <v>632.625</v>
      </c>
      <c r="D22" s="6">
        <f>'Feedstock MIX per IVC'!N110</f>
        <v>693.13783228560703</v>
      </c>
      <c r="E22" s="107">
        <f t="shared" si="5"/>
        <v>2010.7628322856071</v>
      </c>
      <c r="F22" s="278">
        <f t="shared" si="0"/>
        <v>0.34066673055686519</v>
      </c>
      <c r="G22" s="278">
        <f t="shared" si="1"/>
        <v>0.3146194020708567</v>
      </c>
      <c r="H22" s="278">
        <f t="shared" si="2"/>
        <v>0.3447138673722781</v>
      </c>
    </row>
    <row r="23" spans="1:10" x14ac:dyDescent="0.35">
      <c r="A23" s="48"/>
    </row>
  </sheetData>
  <pageMargins left="0.7" right="0.7" top="0.78740157499999996" bottom="0.78740157499999996"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E533-9BB7-49CA-A0C7-CF1C4C5B8619}">
  <dimension ref="A1:K22"/>
  <sheetViews>
    <sheetView workbookViewId="0">
      <selection activeCell="A4" sqref="A4"/>
    </sheetView>
  </sheetViews>
  <sheetFormatPr baseColWidth="10" defaultRowHeight="14.5" x14ac:dyDescent="0.35"/>
  <cols>
    <col min="1" max="1" width="17.1796875" customWidth="1"/>
    <col min="2" max="2" width="17.453125" customWidth="1"/>
    <col min="4" max="8" width="20.1796875" customWidth="1"/>
  </cols>
  <sheetData>
    <row r="1" spans="1:11" x14ac:dyDescent="0.35">
      <c r="A1" s="49" t="s">
        <v>99</v>
      </c>
      <c r="B1" s="49" t="s">
        <v>160</v>
      </c>
      <c r="C1" s="49" t="s">
        <v>161</v>
      </c>
      <c r="D1" s="49" t="s">
        <v>162</v>
      </c>
      <c r="E1" s="49" t="s">
        <v>165</v>
      </c>
      <c r="F1" s="49" t="s">
        <v>159</v>
      </c>
      <c r="G1" s="49" t="s">
        <v>163</v>
      </c>
      <c r="H1" s="49" t="s">
        <v>164</v>
      </c>
      <c r="I1" s="49" t="s">
        <v>115</v>
      </c>
      <c r="J1" s="49" t="s">
        <v>136</v>
      </c>
    </row>
    <row r="2" spans="1:11" x14ac:dyDescent="0.35">
      <c r="A2" s="87">
        <v>1</v>
      </c>
      <c r="B2" s="102">
        <f>'CAPEX only'!K3</f>
        <v>83</v>
      </c>
      <c r="C2" s="107">
        <f>'OPEX only'!E3</f>
        <v>200.25</v>
      </c>
      <c r="D2" s="107">
        <f>'Feedstock MIX per IVC'!J4</f>
        <v>1000</v>
      </c>
      <c r="E2" s="102">
        <f>SUM(B2:D2)</f>
        <v>1283.25</v>
      </c>
      <c r="F2" s="244">
        <f>B2/E2</f>
        <v>6.4679524644457434E-2</v>
      </c>
      <c r="G2" s="244">
        <f>C2/E2</f>
        <v>0.15604909409701928</v>
      </c>
      <c r="H2" s="244">
        <f>D2/E2</f>
        <v>0.77927138125852324</v>
      </c>
      <c r="I2" s="50">
        <f>(83+267+903)-1226</f>
        <v>27</v>
      </c>
      <c r="J2" s="88">
        <f t="shared" ref="J2:J8" si="0">B2+C2+D2-I2</f>
        <v>1256.25</v>
      </c>
    </row>
    <row r="3" spans="1:11" x14ac:dyDescent="0.35">
      <c r="A3" t="s">
        <v>102</v>
      </c>
      <c r="B3" s="102">
        <f>'CAPEX only'!K4</f>
        <v>269</v>
      </c>
      <c r="C3" s="6">
        <f>'OPEX only'!E4</f>
        <v>303.75</v>
      </c>
      <c r="D3" s="6">
        <f>'Feedstock MIX per IVC'!J5</f>
        <v>1672.4228622062476</v>
      </c>
      <c r="E3" s="102">
        <f t="shared" ref="E3:E22" si="1">SUM(B3:D3)</f>
        <v>2245.1728622062474</v>
      </c>
      <c r="F3" s="244">
        <f t="shared" ref="F3:F22" si="2">B3/E3</f>
        <v>0.11981260085945622</v>
      </c>
      <c r="G3" s="244">
        <f t="shared" ref="G3:G22" si="3">C3/E3</f>
        <v>0.13529025097048261</v>
      </c>
      <c r="H3" s="244">
        <f t="shared" ref="H3:H22" si="4">D3/E3</f>
        <v>0.74489714817006125</v>
      </c>
      <c r="I3">
        <f>(269+405+1342)-1218</f>
        <v>798</v>
      </c>
      <c r="J3" s="2">
        <f t="shared" si="0"/>
        <v>1447.1728622062474</v>
      </c>
    </row>
    <row r="4" spans="1:11" x14ac:dyDescent="0.35">
      <c r="A4" t="s">
        <v>101</v>
      </c>
      <c r="B4" s="102">
        <f>'CAPEX only'!K5</f>
        <v>376</v>
      </c>
      <c r="C4" s="6">
        <f>'OPEX only'!E5</f>
        <v>424.5</v>
      </c>
      <c r="D4" s="6">
        <f>'Feedstock MIX per IVC'!J8</f>
        <v>1555.6028145761195</v>
      </c>
      <c r="E4" s="102">
        <f t="shared" si="1"/>
        <v>2356.1028145761193</v>
      </c>
      <c r="F4" s="244">
        <f t="shared" si="2"/>
        <v>0.15958556548290753</v>
      </c>
      <c r="G4" s="244">
        <f t="shared" si="3"/>
        <v>0.18017040571142087</v>
      </c>
      <c r="H4" s="244">
        <f t="shared" si="4"/>
        <v>0.66024402880567168</v>
      </c>
      <c r="I4">
        <f>(376+566+1961)-1844</f>
        <v>1059</v>
      </c>
      <c r="J4" s="2">
        <f t="shared" si="0"/>
        <v>1297.1028145761193</v>
      </c>
    </row>
    <row r="5" spans="1:11" x14ac:dyDescent="0.35">
      <c r="A5" t="s">
        <v>103</v>
      </c>
      <c r="B5" s="102">
        <f>'CAPEX only'!K6</f>
        <v>555</v>
      </c>
      <c r="C5" s="6">
        <f>'OPEX only'!E6</f>
        <v>387</v>
      </c>
      <c r="D5" s="6">
        <f>'Feedstock MIX per IVC'!J12</f>
        <v>342.22949834722374</v>
      </c>
      <c r="E5" s="102">
        <f t="shared" si="1"/>
        <v>1284.2294983472239</v>
      </c>
      <c r="F5" s="244">
        <f t="shared" si="2"/>
        <v>0.43216574663194796</v>
      </c>
      <c r="G5" s="244">
        <f t="shared" si="3"/>
        <v>0.30134800711092591</v>
      </c>
      <c r="H5" s="244">
        <f t="shared" si="4"/>
        <v>0.26648624625712602</v>
      </c>
      <c r="I5">
        <f>(555+516+472)-1543</f>
        <v>0</v>
      </c>
      <c r="J5" s="2">
        <f t="shared" si="0"/>
        <v>1284.2294983472239</v>
      </c>
    </row>
    <row r="6" spans="1:11" s="43" customFormat="1" x14ac:dyDescent="0.35">
      <c r="A6" s="95">
        <v>6</v>
      </c>
      <c r="B6" s="272">
        <v>750</v>
      </c>
      <c r="C6" s="273">
        <v>700</v>
      </c>
      <c r="D6" s="44">
        <f>'Feedstock MIX per IVC'!J17</f>
        <v>1063.8297872340427</v>
      </c>
      <c r="E6" s="132">
        <f t="shared" si="1"/>
        <v>2513.8297872340427</v>
      </c>
      <c r="F6" s="245">
        <f t="shared" si="2"/>
        <v>0.29834955564959798</v>
      </c>
      <c r="G6" s="245">
        <f t="shared" si="3"/>
        <v>0.27845958527295811</v>
      </c>
      <c r="H6" s="245">
        <f>D6/E6</f>
        <v>0.42319085907744397</v>
      </c>
      <c r="J6" s="96">
        <f t="shared" si="0"/>
        <v>2513.8297872340427</v>
      </c>
      <c r="K6" s="43" t="s">
        <v>382</v>
      </c>
    </row>
    <row r="7" spans="1:11" x14ac:dyDescent="0.35">
      <c r="A7" s="48" t="s">
        <v>112</v>
      </c>
      <c r="B7" s="102">
        <f>'CAPEX only'!K10</f>
        <v>605</v>
      </c>
      <c r="C7" s="6">
        <f>'OPEX only'!E8</f>
        <v>684.75</v>
      </c>
      <c r="D7" s="6">
        <f>'Feedstock MIX per IVC'!J19</f>
        <v>-12.642394445402832</v>
      </c>
      <c r="E7" s="102">
        <f t="shared" si="1"/>
        <v>1277.1076055545971</v>
      </c>
      <c r="F7" s="244">
        <f t="shared" si="2"/>
        <v>0.47372672229703977</v>
      </c>
      <c r="G7" s="244">
        <f t="shared" si="3"/>
        <v>0.53617251750892225</v>
      </c>
      <c r="H7" s="244">
        <f t="shared" si="4"/>
        <v>-9.8992398059619593E-3</v>
      </c>
      <c r="I7">
        <f>(965+913-525)-1354</f>
        <v>-1</v>
      </c>
      <c r="J7" s="2">
        <f t="shared" si="0"/>
        <v>1278.1076055545971</v>
      </c>
    </row>
    <row r="8" spans="1:11" x14ac:dyDescent="0.35">
      <c r="A8" s="48" t="s">
        <v>113</v>
      </c>
      <c r="B8" s="102">
        <f>'CAPEX only'!K10</f>
        <v>605</v>
      </c>
      <c r="C8" s="6">
        <f>'OPEX only'!E9</f>
        <v>291</v>
      </c>
      <c r="D8" s="6">
        <f>'Feedstock MIX per IVC'!J19</f>
        <v>-12.642394445402832</v>
      </c>
      <c r="E8" s="102">
        <f t="shared" si="1"/>
        <v>883.35760555459717</v>
      </c>
      <c r="F8" s="244">
        <f t="shared" si="2"/>
        <v>0.68488684106609765</v>
      </c>
      <c r="G8" s="244">
        <f t="shared" si="3"/>
        <v>0.32942491033096599</v>
      </c>
      <c r="H8" s="244">
        <f t="shared" si="4"/>
        <v>-1.4311751397063678E-2</v>
      </c>
      <c r="I8">
        <f>(605+388+799)-1791</f>
        <v>1</v>
      </c>
      <c r="J8" s="2">
        <f t="shared" si="0"/>
        <v>882.35760555459717</v>
      </c>
      <c r="K8" s="24" t="s">
        <v>150</v>
      </c>
    </row>
    <row r="9" spans="1:11" x14ac:dyDescent="0.35">
      <c r="A9" s="48" t="s">
        <v>149</v>
      </c>
      <c r="B9" s="102">
        <v>605</v>
      </c>
      <c r="C9" s="6">
        <f>0.1*C7+0.9*C8</f>
        <v>330.37500000000006</v>
      </c>
      <c r="D9" s="6">
        <f>D8</f>
        <v>-12.642394445402832</v>
      </c>
      <c r="E9" s="102">
        <f>SUM(B9:D9)</f>
        <v>922.73260555459717</v>
      </c>
      <c r="F9" s="244">
        <f t="shared" si="2"/>
        <v>0.65566123528968845</v>
      </c>
      <c r="G9" s="244">
        <f t="shared" si="3"/>
        <v>0.35803980265922453</v>
      </c>
      <c r="H9" s="244">
        <f t="shared" si="4"/>
        <v>-1.370103794891292E-2</v>
      </c>
      <c r="I9">
        <v>0</v>
      </c>
      <c r="J9" s="2">
        <f>0.1*J7+0.9*J8</f>
        <v>921.93260555459722</v>
      </c>
    </row>
    <row r="10" spans="1:11" x14ac:dyDescent="0.35">
      <c r="A10" s="48" t="s">
        <v>104</v>
      </c>
      <c r="B10" s="102">
        <f>'CAPEX only'!K11</f>
        <v>281</v>
      </c>
      <c r="C10" s="6">
        <f>'OPEX only'!E10</f>
        <v>139.5</v>
      </c>
      <c r="D10" s="6">
        <f>'Feedstock MIX per IVC'!J29</f>
        <v>138.68457111316235</v>
      </c>
      <c r="E10" s="102">
        <f t="shared" si="1"/>
        <v>559.18457111316229</v>
      </c>
      <c r="F10" s="244">
        <f t="shared" si="2"/>
        <v>0.50251744149631405</v>
      </c>
      <c r="G10" s="244">
        <f t="shared" si="3"/>
        <v>0.24947040245101712</v>
      </c>
      <c r="H10" s="244">
        <f t="shared" si="4"/>
        <v>0.24801215605266894</v>
      </c>
      <c r="I10">
        <f>(281+186+200)-668</f>
        <v>-1</v>
      </c>
      <c r="J10" s="2">
        <f>B10+C10+D10-I10</f>
        <v>560.18457111316229</v>
      </c>
    </row>
    <row r="11" spans="1:11" x14ac:dyDescent="0.35">
      <c r="A11" s="48" t="s">
        <v>105</v>
      </c>
      <c r="B11" s="102">
        <v>136</v>
      </c>
      <c r="C11" s="6">
        <v>92</v>
      </c>
      <c r="D11" s="54">
        <f>E11-B11-C11</f>
        <v>708</v>
      </c>
      <c r="E11" s="102">
        <v>936</v>
      </c>
      <c r="F11" s="244">
        <f t="shared" si="2"/>
        <v>0.14529914529914531</v>
      </c>
      <c r="G11" s="244">
        <f t="shared" si="3"/>
        <v>9.8290598290598288E-2</v>
      </c>
      <c r="H11" s="244">
        <f t="shared" si="4"/>
        <v>0.75641025641025639</v>
      </c>
      <c r="I11">
        <v>0</v>
      </c>
      <c r="J11" s="102">
        <v>936</v>
      </c>
    </row>
    <row r="12" spans="1:11" x14ac:dyDescent="0.35">
      <c r="A12" s="48" t="s">
        <v>106</v>
      </c>
      <c r="B12" s="102">
        <f>'CAPEX only'!K13</f>
        <v>57</v>
      </c>
      <c r="C12" s="6">
        <f>'OPEX only'!E12</f>
        <v>21.75</v>
      </c>
      <c r="D12" s="54">
        <f>'Feedstock MIX per IVC'!J42</f>
        <v>291.86968567880001</v>
      </c>
      <c r="E12" s="102">
        <f t="shared" si="1"/>
        <v>370.61968567880001</v>
      </c>
      <c r="F12" s="244">
        <f t="shared" si="2"/>
        <v>0.1537964717001013</v>
      </c>
      <c r="G12" s="244">
        <f t="shared" si="3"/>
        <v>5.8685495780301807E-2</v>
      </c>
      <c r="H12" s="244">
        <f t="shared" si="4"/>
        <v>0.78751803251959696</v>
      </c>
      <c r="I12">
        <f>(57+29+427)-513</f>
        <v>0</v>
      </c>
      <c r="J12" s="2"/>
    </row>
    <row r="13" spans="1:11" x14ac:dyDescent="0.35">
      <c r="A13" s="48" t="s">
        <v>107</v>
      </c>
      <c r="B13" s="102">
        <f>'CAPEX only'!K14</f>
        <v>800</v>
      </c>
      <c r="C13" s="6">
        <f>'OPEX only'!E13</f>
        <v>270</v>
      </c>
      <c r="D13" s="54">
        <f>'Feedstock MIX per IVC'!J44</f>
        <v>237.89336952552932</v>
      </c>
      <c r="E13" s="102">
        <f t="shared" si="1"/>
        <v>1307.8933695255294</v>
      </c>
      <c r="F13" s="244">
        <f t="shared" si="2"/>
        <v>0.61167065958153743</v>
      </c>
      <c r="G13" s="244">
        <f t="shared" si="3"/>
        <v>0.20643884760876888</v>
      </c>
      <c r="H13" s="244">
        <f t="shared" si="4"/>
        <v>0.18189049280969366</v>
      </c>
      <c r="I13">
        <f>(800+360+446)-1606</f>
        <v>0</v>
      </c>
      <c r="J13" s="2">
        <f>B13+C13+D13-I13</f>
        <v>1307.8933695255294</v>
      </c>
    </row>
    <row r="14" spans="1:11" x14ac:dyDescent="0.35">
      <c r="A14" s="48" t="s">
        <v>108</v>
      </c>
      <c r="B14" s="102">
        <f>'CAPEX only'!K15</f>
        <v>128</v>
      </c>
      <c r="C14" s="6">
        <f>'OPEX only'!E14</f>
        <v>113.25</v>
      </c>
      <c r="D14" s="54">
        <f>'Feedstock MIX per IVC'!J55</f>
        <v>1696.5649183147032</v>
      </c>
      <c r="E14" s="102">
        <f t="shared" si="1"/>
        <v>1937.8149183147032</v>
      </c>
      <c r="F14" s="244">
        <f t="shared" si="2"/>
        <v>6.6053779847726757E-2</v>
      </c>
      <c r="G14" s="244">
        <f t="shared" si="3"/>
        <v>5.8442113810586366E-2</v>
      </c>
      <c r="H14" s="244">
        <f t="shared" si="4"/>
        <v>0.87550410634168685</v>
      </c>
      <c r="I14">
        <f>(128+151+976)-1255</f>
        <v>0</v>
      </c>
      <c r="J14" s="2">
        <f>B14+C14+D14-I14</f>
        <v>1937.8149183147032</v>
      </c>
    </row>
    <row r="15" spans="1:11" x14ac:dyDescent="0.35">
      <c r="A15" s="48" t="s">
        <v>307</v>
      </c>
      <c r="B15" s="102">
        <f>B16</f>
        <v>1445</v>
      </c>
      <c r="C15" s="6">
        <f>C16</f>
        <v>716.25</v>
      </c>
      <c r="D15" s="54">
        <f>'Feedstock MIX per IVC'!J57</f>
        <v>341.0270558784427</v>
      </c>
      <c r="E15" s="102">
        <f t="shared" si="1"/>
        <v>2502.2770558784428</v>
      </c>
      <c r="F15" s="244">
        <f t="shared" si="2"/>
        <v>0.57747402375182721</v>
      </c>
      <c r="G15" s="244">
        <f t="shared" si="3"/>
        <v>0.28623928685968597</v>
      </c>
      <c r="H15" s="244">
        <f>D15/E15</f>
        <v>0.13628668938848684</v>
      </c>
      <c r="J15" s="2"/>
    </row>
    <row r="16" spans="1:11" x14ac:dyDescent="0.35">
      <c r="A16" s="48" t="s">
        <v>308</v>
      </c>
      <c r="B16" s="102">
        <f>'CAPEX only'!K16</f>
        <v>1445</v>
      </c>
      <c r="C16" s="6">
        <f>'OPEX only'!E15</f>
        <v>716.25</v>
      </c>
      <c r="D16" s="6">
        <f>'Feedstock MIX per IVC'!J68</f>
        <v>623.52471030380718</v>
      </c>
      <c r="E16" s="102">
        <f t="shared" si="1"/>
        <v>2784.7747103038073</v>
      </c>
      <c r="F16" s="244">
        <f t="shared" si="2"/>
        <v>0.51889296274252528</v>
      </c>
      <c r="G16" s="244">
        <f t="shared" si="3"/>
        <v>0.25720213464659775</v>
      </c>
      <c r="H16" s="244">
        <f>D16/E16</f>
        <v>0.223904902610877</v>
      </c>
      <c r="I16">
        <f>(1445+955+1329)-1922</f>
        <v>1807</v>
      </c>
      <c r="J16" s="2">
        <f>B16+C16+D16-I16</f>
        <v>977.7747103038073</v>
      </c>
    </row>
    <row r="17" spans="1:10" x14ac:dyDescent="0.35">
      <c r="A17" s="48" t="s">
        <v>138</v>
      </c>
      <c r="B17" s="102">
        <f>'CAPEX only'!K17</f>
        <v>278</v>
      </c>
      <c r="C17" s="6">
        <f>'OPEX only'!E16</f>
        <v>294.75</v>
      </c>
      <c r="D17" s="6">
        <f>'Feedstock MIX per IVC'!J79</f>
        <v>593.6</v>
      </c>
      <c r="E17" s="102">
        <f t="shared" si="1"/>
        <v>1166.3499999999999</v>
      </c>
      <c r="F17" s="244">
        <f t="shared" si="2"/>
        <v>0.2383504093968363</v>
      </c>
      <c r="G17" s="244">
        <f t="shared" si="3"/>
        <v>0.2527114502507824</v>
      </c>
      <c r="H17" s="244">
        <f t="shared" si="4"/>
        <v>0.50893814035238139</v>
      </c>
      <c r="I17">
        <f>(278+393+463)-1134</f>
        <v>0</v>
      </c>
      <c r="J17" s="2">
        <f>'CAPEX only'!J17</f>
        <v>277.23673736520732</v>
      </c>
    </row>
    <row r="18" spans="1:10" x14ac:dyDescent="0.35">
      <c r="A18" s="48" t="s">
        <v>137</v>
      </c>
      <c r="B18" s="102">
        <f>'CAPEX only'!K18</f>
        <v>1257</v>
      </c>
      <c r="C18">
        <v>904</v>
      </c>
      <c r="D18" s="6">
        <f>'Feedstock MIX per IVC'!J81</f>
        <v>989.3333333333336</v>
      </c>
      <c r="E18" s="102">
        <f t="shared" si="1"/>
        <v>3150.3333333333335</v>
      </c>
      <c r="F18" s="244">
        <f t="shared" si="2"/>
        <v>0.3990053962543646</v>
      </c>
      <c r="G18" s="244">
        <f t="shared" si="3"/>
        <v>0.28695376150671886</v>
      </c>
      <c r="H18" s="244">
        <f t="shared" si="4"/>
        <v>0.3140408422389166</v>
      </c>
      <c r="I18" s="2">
        <f>(1257+904+1064)-2681</f>
        <v>544</v>
      </c>
      <c r="J18" s="2">
        <f>B18+C18+D18-I18</f>
        <v>2606.3333333333335</v>
      </c>
    </row>
    <row r="19" spans="1:10" x14ac:dyDescent="0.35">
      <c r="A19" s="48" t="s">
        <v>199</v>
      </c>
      <c r="B19" s="102">
        <f>'CAPEX only'!K$19</f>
        <v>805</v>
      </c>
      <c r="C19" s="6">
        <f>'OPEX only'!E$18</f>
        <v>436.5</v>
      </c>
      <c r="D19" s="6">
        <f>'Feedstock MIX per IVC'!J83</f>
        <v>228.38971904427797</v>
      </c>
      <c r="E19" s="102">
        <f t="shared" si="1"/>
        <v>1469.8897190442781</v>
      </c>
      <c r="F19" s="244">
        <f t="shared" si="2"/>
        <v>0.5476601336618715</v>
      </c>
      <c r="G19" s="244">
        <f t="shared" si="3"/>
        <v>0.29696105384274146</v>
      </c>
      <c r="H19" s="244">
        <f t="shared" si="4"/>
        <v>0.15537881249538701</v>
      </c>
      <c r="I19">
        <f>(805+582+711)-1283</f>
        <v>815</v>
      </c>
      <c r="J19" s="2">
        <f>B19+C19+D19-I19</f>
        <v>654.88971904427808</v>
      </c>
    </row>
    <row r="20" spans="1:10" x14ac:dyDescent="0.35">
      <c r="A20" s="48" t="s">
        <v>198</v>
      </c>
      <c r="B20" s="102">
        <f>'CAPEX only'!K$19</f>
        <v>805</v>
      </c>
      <c r="C20" s="6">
        <f>'OPEX only'!E$18</f>
        <v>436.5</v>
      </c>
      <c r="D20" s="6">
        <f>'Feedstock MIX per IVC'!J92</f>
        <v>726.38922465199596</v>
      </c>
      <c r="E20" s="102">
        <f t="shared" si="1"/>
        <v>1967.8892246519958</v>
      </c>
      <c r="F20" s="244">
        <f t="shared" si="2"/>
        <v>0.40906774116940309</v>
      </c>
      <c r="G20" s="244">
        <f t="shared" si="3"/>
        <v>0.22181126586390615</v>
      </c>
      <c r="H20" s="244">
        <f t="shared" si="4"/>
        <v>0.36912099296669082</v>
      </c>
      <c r="J20" s="2"/>
    </row>
    <row r="21" spans="1:10" x14ac:dyDescent="0.35">
      <c r="A21" s="48" t="s">
        <v>200</v>
      </c>
      <c r="B21" s="102">
        <f>'CAPEX only'!K$20</f>
        <v>685</v>
      </c>
      <c r="C21" s="6">
        <f>'OPEX only'!E$19</f>
        <v>632.625</v>
      </c>
      <c r="D21" s="6">
        <f>'Feedstock MIX per IVC'!J101</f>
        <v>228.97051856720603</v>
      </c>
      <c r="E21" s="102">
        <f t="shared" si="1"/>
        <v>1546.595518567206</v>
      </c>
      <c r="F21" s="244">
        <f t="shared" si="2"/>
        <v>0.44290830522682256</v>
      </c>
      <c r="G21" s="244">
        <f t="shared" si="3"/>
        <v>0.40904360086732644</v>
      </c>
      <c r="H21" s="244">
        <f t="shared" si="4"/>
        <v>0.148048093905851</v>
      </c>
      <c r="J21" s="2">
        <f>B21+C21+D21-I21</f>
        <v>1546.595518567206</v>
      </c>
    </row>
    <row r="22" spans="1:10" x14ac:dyDescent="0.35">
      <c r="A22" s="48" t="s">
        <v>407</v>
      </c>
      <c r="B22" s="102">
        <f>'CAPEX only'!K$20</f>
        <v>685</v>
      </c>
      <c r="C22" s="6">
        <f>'OPEX only'!E$19</f>
        <v>632.625</v>
      </c>
      <c r="D22" s="6">
        <f>'Feedstock MIX per IVC'!J110</f>
        <v>688.26608153300685</v>
      </c>
      <c r="E22" s="102">
        <f t="shared" si="1"/>
        <v>2005.8910815330069</v>
      </c>
      <c r="F22" s="244">
        <f t="shared" si="2"/>
        <v>0.34149411516226852</v>
      </c>
      <c r="G22" s="244">
        <f t="shared" si="3"/>
        <v>0.31538352497011696</v>
      </c>
      <c r="H22" s="244">
        <f t="shared" si="4"/>
        <v>0.34312235986761452</v>
      </c>
    </row>
  </sheetData>
  <pageMargins left="0.7" right="0.7" top="0.78740157499999996" bottom="0.78740157499999996"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8668-460F-4DEA-8578-84C8FB8BB318}">
  <dimension ref="A1:K23"/>
  <sheetViews>
    <sheetView workbookViewId="0">
      <selection activeCell="A22" sqref="A22"/>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49" customFormat="1" ht="21" customHeight="1" x14ac:dyDescent="0.35">
      <c r="A1" s="49" t="s">
        <v>99</v>
      </c>
      <c r="B1" s="49" t="s">
        <v>160</v>
      </c>
      <c r="C1" s="49" t="s">
        <v>161</v>
      </c>
      <c r="D1" s="49" t="s">
        <v>167</v>
      </c>
      <c r="E1" s="49" t="s">
        <v>166</v>
      </c>
      <c r="F1" s="49" t="s">
        <v>168</v>
      </c>
      <c r="G1" s="49" t="s">
        <v>163</v>
      </c>
      <c r="H1" s="49" t="s">
        <v>164</v>
      </c>
      <c r="I1" s="49" t="s">
        <v>115</v>
      </c>
      <c r="J1" s="49" t="s">
        <v>135</v>
      </c>
    </row>
    <row r="2" spans="1:11" s="50" customFormat="1" x14ac:dyDescent="0.35">
      <c r="A2" s="87">
        <v>1</v>
      </c>
      <c r="B2" s="102">
        <f>'CAPEX only'!K3</f>
        <v>83</v>
      </c>
      <c r="C2" s="89">
        <f>'OPEX only'!E3</f>
        <v>200.25</v>
      </c>
      <c r="D2" s="89">
        <f>'Feedstock MIX per IVC'!L4</f>
        <v>1000</v>
      </c>
      <c r="E2" s="107">
        <f t="shared" ref="E2:E10" si="0">B2+C2+D2</f>
        <v>1283.25</v>
      </c>
      <c r="F2" s="278">
        <f t="shared" ref="F2:F22" si="1">B2/E2</f>
        <v>6.4679524644457434E-2</v>
      </c>
      <c r="G2" s="278">
        <f t="shared" ref="G2:G22" si="2">C2/E2</f>
        <v>0.15604909409701928</v>
      </c>
      <c r="H2" s="278">
        <f t="shared" ref="H2:H22" si="3">D2/E2</f>
        <v>0.77927138125852324</v>
      </c>
      <c r="I2" s="50">
        <f>(83+267+903)-1226</f>
        <v>27</v>
      </c>
      <c r="J2" s="88">
        <f t="shared" ref="J2:J8" si="4">B2+C2+D2-I2</f>
        <v>1256.25</v>
      </c>
      <c r="K2" s="51"/>
    </row>
    <row r="3" spans="1:11" x14ac:dyDescent="0.35">
      <c r="A3" t="s">
        <v>102</v>
      </c>
      <c r="B3" s="102">
        <f>'CAPEX only'!K4</f>
        <v>269</v>
      </c>
      <c r="C3" s="6">
        <f>'OPEX only'!E4</f>
        <v>303.75</v>
      </c>
      <c r="D3" s="6">
        <f>'Feedstock MIX per IVC'!L5</f>
        <v>1797.9346769414303</v>
      </c>
      <c r="E3" s="107">
        <f t="shared" si="0"/>
        <v>2370.6846769414306</v>
      </c>
      <c r="F3" s="278">
        <f t="shared" si="1"/>
        <v>0.11346932918428183</v>
      </c>
      <c r="G3" s="278">
        <f t="shared" si="2"/>
        <v>0.12812754178336655</v>
      </c>
      <c r="H3" s="278">
        <f t="shared" si="3"/>
        <v>0.75840312903235152</v>
      </c>
      <c r="I3">
        <f>(269+405+1342)-1218</f>
        <v>798</v>
      </c>
      <c r="J3" s="2">
        <f t="shared" si="4"/>
        <v>1572.6846769414306</v>
      </c>
    </row>
    <row r="4" spans="1:11" x14ac:dyDescent="0.35">
      <c r="A4" t="s">
        <v>101</v>
      </c>
      <c r="B4" s="102">
        <f>'CAPEX only'!K5</f>
        <v>376</v>
      </c>
      <c r="C4" s="6">
        <f>'OPEX only'!E5</f>
        <v>424.5</v>
      </c>
      <c r="D4" s="6">
        <f>'Feedstock MIX per IVC'!L8</f>
        <v>1682.758230470301</v>
      </c>
      <c r="E4" s="107">
        <f t="shared" si="0"/>
        <v>2483.258230470301</v>
      </c>
      <c r="F4" s="278">
        <f t="shared" si="1"/>
        <v>0.15141397515021621</v>
      </c>
      <c r="G4" s="278">
        <f t="shared" si="2"/>
        <v>0.17094476715762441</v>
      </c>
      <c r="H4" s="278">
        <f t="shared" si="3"/>
        <v>0.67764125769215944</v>
      </c>
      <c r="I4">
        <f>(376+566+1961)-1844</f>
        <v>1059</v>
      </c>
      <c r="J4" s="2">
        <f t="shared" si="4"/>
        <v>1424.258230470301</v>
      </c>
    </row>
    <row r="5" spans="1:11" x14ac:dyDescent="0.35">
      <c r="A5" t="s">
        <v>103</v>
      </c>
      <c r="B5" s="102">
        <f>'CAPEX only'!K6</f>
        <v>555</v>
      </c>
      <c r="C5" s="6">
        <f>'OPEX only'!E6</f>
        <v>387</v>
      </c>
      <c r="D5" s="6">
        <f>'Feedstock MIX per IVC'!L12</f>
        <v>344.58151396473244</v>
      </c>
      <c r="E5" s="107">
        <f t="shared" si="0"/>
        <v>1286.5815139647325</v>
      </c>
      <c r="F5" s="278">
        <f t="shared" si="1"/>
        <v>0.43137569907227313</v>
      </c>
      <c r="G5" s="278">
        <f t="shared" si="2"/>
        <v>0.30079710908282831</v>
      </c>
      <c r="H5" s="278">
        <f t="shared" si="3"/>
        <v>0.26782719184489856</v>
      </c>
      <c r="I5">
        <f>(555+516+472)-1543</f>
        <v>0</v>
      </c>
      <c r="J5" s="2">
        <f t="shared" si="4"/>
        <v>1286.5815139647325</v>
      </c>
    </row>
    <row r="6" spans="1:11" s="43" customFormat="1" x14ac:dyDescent="0.35">
      <c r="A6" s="95">
        <v>6</v>
      </c>
      <c r="B6" s="272">
        <v>750</v>
      </c>
      <c r="C6" s="273">
        <v>700</v>
      </c>
      <c r="D6" s="44">
        <f>'Feedstock MIX per IVC'!L17</f>
        <v>1063.8297872340427</v>
      </c>
      <c r="E6" s="147">
        <f t="shared" si="0"/>
        <v>2513.8297872340427</v>
      </c>
      <c r="F6" s="279">
        <f t="shared" si="1"/>
        <v>0.29834955564959798</v>
      </c>
      <c r="G6" s="279">
        <f t="shared" si="2"/>
        <v>0.27845958527295811</v>
      </c>
      <c r="H6" s="279">
        <f t="shared" si="3"/>
        <v>0.42319085907744397</v>
      </c>
      <c r="J6" s="96">
        <f t="shared" si="4"/>
        <v>2513.8297872340427</v>
      </c>
    </row>
    <row r="7" spans="1:11" x14ac:dyDescent="0.35">
      <c r="A7" s="48" t="s">
        <v>112</v>
      </c>
      <c r="B7" s="102">
        <f>'CAPEX only'!K10</f>
        <v>605</v>
      </c>
      <c r="C7" s="6">
        <f>'OPEX only'!E8</f>
        <v>684.75</v>
      </c>
      <c r="D7" s="6">
        <f>'Feedstock MIX per IVC'!L19</f>
        <v>-8.8418010256828765</v>
      </c>
      <c r="E7" s="107">
        <f t="shared" si="0"/>
        <v>1280.9081989743172</v>
      </c>
      <c r="F7" s="278">
        <f t="shared" si="1"/>
        <v>0.47232112378112001</v>
      </c>
      <c r="G7" s="278">
        <f t="shared" si="2"/>
        <v>0.53458163555226768</v>
      </c>
      <c r="H7" s="278">
        <f t="shared" si="3"/>
        <v>-6.9027593333877623E-3</v>
      </c>
      <c r="I7">
        <f>(965+913-525)-1354</f>
        <v>-1</v>
      </c>
      <c r="J7" s="2">
        <f t="shared" si="4"/>
        <v>1281.9081989743172</v>
      </c>
      <c r="K7" s="24" t="s">
        <v>150</v>
      </c>
    </row>
    <row r="8" spans="1:11" x14ac:dyDescent="0.35">
      <c r="A8" s="48" t="s">
        <v>113</v>
      </c>
      <c r="B8" s="102">
        <f>'CAPEX only'!K10</f>
        <v>605</v>
      </c>
      <c r="C8" s="6">
        <f>'OPEX only'!E9</f>
        <v>291</v>
      </c>
      <c r="D8" s="6">
        <f>'Feedstock MIX per IVC'!L19</f>
        <v>-8.8418010256828765</v>
      </c>
      <c r="E8" s="107">
        <f t="shared" si="0"/>
        <v>887.15819897431709</v>
      </c>
      <c r="F8" s="278">
        <f t="shared" si="1"/>
        <v>0.68195277989818204</v>
      </c>
      <c r="G8" s="278">
        <f t="shared" si="2"/>
        <v>0.32801365115763792</v>
      </c>
      <c r="H8" s="278">
        <f t="shared" si="3"/>
        <v>-9.9664310558198917E-3</v>
      </c>
      <c r="I8">
        <f>(605+388+799)-1791</f>
        <v>1</v>
      </c>
      <c r="J8" s="2">
        <f t="shared" si="4"/>
        <v>886.15819897431709</v>
      </c>
    </row>
    <row r="9" spans="1:11" x14ac:dyDescent="0.35">
      <c r="A9" s="48" t="s">
        <v>149</v>
      </c>
      <c r="B9" s="102">
        <v>605</v>
      </c>
      <c r="C9" s="6">
        <f>0.1*C7+0.9*C8</f>
        <v>330.37500000000006</v>
      </c>
      <c r="D9" s="6">
        <f>D8</f>
        <v>-8.8418010256828765</v>
      </c>
      <c r="E9" s="107">
        <f t="shared" si="0"/>
        <v>926.53319897431709</v>
      </c>
      <c r="F9" s="278">
        <f t="shared" si="1"/>
        <v>0.65297174528634483</v>
      </c>
      <c r="G9" s="278">
        <f t="shared" si="2"/>
        <v>0.35657114107268795</v>
      </c>
      <c r="H9" s="278">
        <f t="shared" si="3"/>
        <v>-9.5428863590326304E-3</v>
      </c>
      <c r="I9">
        <v>0</v>
      </c>
      <c r="J9" s="2">
        <f>0.1*J7+0.9*J8</f>
        <v>925.73319897431713</v>
      </c>
    </row>
    <row r="10" spans="1:11" x14ac:dyDescent="0.35">
      <c r="A10" s="48" t="s">
        <v>104</v>
      </c>
      <c r="B10" s="102">
        <f>'CAPEX only'!K11</f>
        <v>281</v>
      </c>
      <c r="C10" s="6">
        <f>'OPEX only'!E10</f>
        <v>139.5</v>
      </c>
      <c r="D10" s="6">
        <f>'Feedstock MIX per IVC'!L29</f>
        <v>139.28499505438765</v>
      </c>
      <c r="E10" s="107">
        <f t="shared" si="0"/>
        <v>559.78499505438765</v>
      </c>
      <c r="F10" s="278">
        <f t="shared" si="1"/>
        <v>0.50197844258526181</v>
      </c>
      <c r="G10" s="278">
        <f t="shared" si="2"/>
        <v>0.24920282114108194</v>
      </c>
      <c r="H10" s="278">
        <f t="shared" si="3"/>
        <v>0.24881873627365625</v>
      </c>
      <c r="I10">
        <f>(281+186+200)-668</f>
        <v>-1</v>
      </c>
      <c r="J10" s="2">
        <f>B10+C10+D10-I10</f>
        <v>560.78499505438765</v>
      </c>
    </row>
    <row r="11" spans="1:11" x14ac:dyDescent="0.35">
      <c r="A11" s="48" t="s">
        <v>105</v>
      </c>
      <c r="B11" s="102">
        <v>136</v>
      </c>
      <c r="C11" s="6">
        <v>92</v>
      </c>
      <c r="D11" s="6">
        <f>E11-B11-C11</f>
        <v>708</v>
      </c>
      <c r="E11" s="102">
        <v>936</v>
      </c>
      <c r="F11" s="278">
        <f t="shared" si="1"/>
        <v>0.14529914529914531</v>
      </c>
      <c r="G11" s="278">
        <f t="shared" si="2"/>
        <v>9.8290598290598288E-2</v>
      </c>
      <c r="H11" s="278">
        <f t="shared" si="3"/>
        <v>0.75641025641025639</v>
      </c>
      <c r="I11">
        <v>0</v>
      </c>
      <c r="J11" s="2">
        <v>936</v>
      </c>
      <c r="K11" t="s">
        <v>310</v>
      </c>
    </row>
    <row r="12" spans="1:11" x14ac:dyDescent="0.35">
      <c r="A12" s="48" t="s">
        <v>106</v>
      </c>
      <c r="B12" s="102">
        <f>'CAPEX only'!K13</f>
        <v>57</v>
      </c>
      <c r="C12" s="6">
        <f>'OPEX only'!E12</f>
        <v>21.75</v>
      </c>
      <c r="D12" s="6">
        <f>'Feedstock MIX per IVC'!L42</f>
        <v>291.86968567880001</v>
      </c>
      <c r="E12" s="107">
        <f t="shared" ref="E12:E22" si="5">B12+C12+D12</f>
        <v>370.61968567880001</v>
      </c>
      <c r="F12" s="278">
        <f t="shared" si="1"/>
        <v>0.1537964717001013</v>
      </c>
      <c r="G12" s="278">
        <f t="shared" si="2"/>
        <v>5.8685495780301807E-2</v>
      </c>
      <c r="H12" s="278">
        <f t="shared" si="3"/>
        <v>0.78751803251959696</v>
      </c>
      <c r="I12">
        <f>(57+29+427)-513</f>
        <v>0</v>
      </c>
      <c r="J12" s="2"/>
    </row>
    <row r="13" spans="1:11" x14ac:dyDescent="0.35">
      <c r="A13" s="48" t="s">
        <v>107</v>
      </c>
      <c r="B13" s="102">
        <f>'CAPEX only'!K14</f>
        <v>800</v>
      </c>
      <c r="C13" s="6">
        <f>'OPEX only'!E13</f>
        <v>270</v>
      </c>
      <c r="D13" s="6">
        <f>'Feedstock MIX per IVC'!L44</f>
        <v>238.97161726978987</v>
      </c>
      <c r="E13" s="107">
        <f t="shared" si="5"/>
        <v>1308.9716172697899</v>
      </c>
      <c r="F13" s="278">
        <f t="shared" si="1"/>
        <v>0.61116680411192859</v>
      </c>
      <c r="G13" s="278">
        <f t="shared" si="2"/>
        <v>0.20626879638777587</v>
      </c>
      <c r="H13" s="278">
        <f t="shared" si="3"/>
        <v>0.18256439950029554</v>
      </c>
      <c r="I13">
        <f>(800+360+446)-1606</f>
        <v>0</v>
      </c>
      <c r="J13" s="2">
        <f>B13+C13+D13-I13</f>
        <v>1308.9716172697899</v>
      </c>
    </row>
    <row r="14" spans="1:11" x14ac:dyDescent="0.35">
      <c r="A14" s="48" t="s">
        <v>108</v>
      </c>
      <c r="B14" s="102">
        <f>'CAPEX only'!K15</f>
        <v>128</v>
      </c>
      <c r="C14" s="6">
        <f>'OPEX only'!E14</f>
        <v>113.25</v>
      </c>
      <c r="D14" s="6">
        <f>'Feedstock MIX per IVC'!L55</f>
        <v>1696.5649183147032</v>
      </c>
      <c r="E14" s="107">
        <f t="shared" si="5"/>
        <v>1937.8149183147032</v>
      </c>
      <c r="F14" s="278">
        <f t="shared" si="1"/>
        <v>6.6053779847726757E-2</v>
      </c>
      <c r="G14" s="278">
        <f t="shared" si="2"/>
        <v>5.8442113810586366E-2</v>
      </c>
      <c r="H14" s="278">
        <f t="shared" si="3"/>
        <v>0.87550410634168685</v>
      </c>
      <c r="I14">
        <f>(128+151+976)-1255</f>
        <v>0</v>
      </c>
      <c r="J14" s="2">
        <f>B14+C14+D14-I14</f>
        <v>1937.8149183147032</v>
      </c>
      <c r="K14" s="24" t="s">
        <v>151</v>
      </c>
    </row>
    <row r="15" spans="1:11" x14ac:dyDescent="0.35">
      <c r="A15" s="48" t="s">
        <v>307</v>
      </c>
      <c r="B15" s="102">
        <f>B16</f>
        <v>1445</v>
      </c>
      <c r="C15" s="6">
        <f>C16</f>
        <v>716.25</v>
      </c>
      <c r="D15" s="6">
        <f>'Feedstock MIX per IVC'!L57</f>
        <v>351.80487041205919</v>
      </c>
      <c r="E15" s="107">
        <f t="shared" si="5"/>
        <v>2513.0548704120592</v>
      </c>
      <c r="F15" s="278">
        <f>B15/E15</f>
        <v>0.57499739341666944</v>
      </c>
      <c r="G15" s="278">
        <f t="shared" si="2"/>
        <v>0.28501168376103075</v>
      </c>
      <c r="H15" s="278">
        <f t="shared" si="3"/>
        <v>0.1399909228222998</v>
      </c>
      <c r="J15" s="2"/>
    </row>
    <row r="16" spans="1:11" x14ac:dyDescent="0.35">
      <c r="A16" s="48" t="s">
        <v>308</v>
      </c>
      <c r="B16" s="102">
        <f>'CAPEX only'!K16</f>
        <v>1445</v>
      </c>
      <c r="C16" s="6">
        <f>'OPEX only'!E15</f>
        <v>716.25</v>
      </c>
      <c r="D16" s="6">
        <f>'Feedstock MIX per IVC'!L68</f>
        <v>617.40129748963523</v>
      </c>
      <c r="E16" s="107">
        <f t="shared" si="5"/>
        <v>2778.651297489635</v>
      </c>
      <c r="F16" s="278">
        <f t="shared" si="1"/>
        <v>0.52003646564269557</v>
      </c>
      <c r="G16" s="278">
        <f t="shared" si="2"/>
        <v>0.25776894014988283</v>
      </c>
      <c r="H16" s="278">
        <f t="shared" si="3"/>
        <v>0.22219459420742169</v>
      </c>
      <c r="I16">
        <f>(1445+955+1329)-1922</f>
        <v>1807</v>
      </c>
      <c r="J16" s="2">
        <f>B16+C16+D16-I16</f>
        <v>971.651297489635</v>
      </c>
    </row>
    <row r="17" spans="1:10" x14ac:dyDescent="0.35">
      <c r="A17" s="48" t="s">
        <v>138</v>
      </c>
      <c r="B17" s="102">
        <f>'CAPEX only'!K17</f>
        <v>278</v>
      </c>
      <c r="C17" s="6">
        <f>'OPEX only'!E16</f>
        <v>294.75</v>
      </c>
      <c r="D17" s="6">
        <f>'Feedstock MIX per IVC'!L79</f>
        <v>593.6</v>
      </c>
      <c r="E17" s="107">
        <f t="shared" si="5"/>
        <v>1166.3499999999999</v>
      </c>
      <c r="F17" s="278">
        <f t="shared" si="1"/>
        <v>0.2383504093968363</v>
      </c>
      <c r="G17" s="278">
        <f t="shared" si="2"/>
        <v>0.2527114502507824</v>
      </c>
      <c r="H17" s="278">
        <f t="shared" si="3"/>
        <v>0.50893814035238139</v>
      </c>
      <c r="I17">
        <f>(278+393+463)-1134</f>
        <v>0</v>
      </c>
      <c r="J17" s="2">
        <f>B17+C17+D17-I17</f>
        <v>1166.3499999999999</v>
      </c>
    </row>
    <row r="18" spans="1:10" x14ac:dyDescent="0.35">
      <c r="A18" s="48" t="s">
        <v>137</v>
      </c>
      <c r="B18" s="102">
        <f>'CAPEX only'!K18</f>
        <v>1257</v>
      </c>
      <c r="C18">
        <v>904</v>
      </c>
      <c r="D18" s="6">
        <f>'Feedstock MIX per IVC'!L81</f>
        <v>989.3333333333336</v>
      </c>
      <c r="E18" s="107">
        <f t="shared" si="5"/>
        <v>3150.3333333333335</v>
      </c>
      <c r="F18" s="278">
        <f t="shared" si="1"/>
        <v>0.3990053962543646</v>
      </c>
      <c r="G18" s="278">
        <f t="shared" si="2"/>
        <v>0.28695376150671886</v>
      </c>
      <c r="H18" s="278">
        <f t="shared" si="3"/>
        <v>0.3140408422389166</v>
      </c>
      <c r="I18" s="2">
        <f>(1257+904+1064)-2681</f>
        <v>544</v>
      </c>
      <c r="J18" s="2">
        <f>B18+C17+D18-I18</f>
        <v>1997.0833333333335</v>
      </c>
    </row>
    <row r="19" spans="1:10" x14ac:dyDescent="0.35">
      <c r="A19" s="48" t="s">
        <v>197</v>
      </c>
      <c r="B19" s="102">
        <f>'CAPEX only'!K$19</f>
        <v>805</v>
      </c>
      <c r="C19" s="6">
        <f>'OPEX only'!E$18</f>
        <v>436.5</v>
      </c>
      <c r="D19" s="6">
        <f>'Feedstock MIX per IVC'!L83</f>
        <v>229.74444515555439</v>
      </c>
      <c r="E19" s="107">
        <f t="shared" si="5"/>
        <v>1471.2444451555543</v>
      </c>
      <c r="F19" s="278">
        <f t="shared" si="1"/>
        <v>0.54715584663763173</v>
      </c>
      <c r="G19" s="278">
        <f t="shared" si="2"/>
        <v>0.29668761125133691</v>
      </c>
      <c r="H19" s="278">
        <f t="shared" si="3"/>
        <v>0.15615654211103142</v>
      </c>
      <c r="I19">
        <f>(805+582+711)-1283</f>
        <v>815</v>
      </c>
      <c r="J19" s="2">
        <f>B19+C19+D19-I19</f>
        <v>656.24444515555433</v>
      </c>
    </row>
    <row r="20" spans="1:10" x14ac:dyDescent="0.35">
      <c r="A20" s="48" t="s">
        <v>201</v>
      </c>
      <c r="B20" s="102">
        <f>'CAPEX only'!K$19</f>
        <v>805</v>
      </c>
      <c r="C20" s="6">
        <f>'OPEX only'!E$18</f>
        <v>436.5</v>
      </c>
      <c r="D20" s="6">
        <f>'Feedstock MIX per IVC'!L92</f>
        <v>729.96231633217417</v>
      </c>
      <c r="E20" s="107">
        <f t="shared" si="5"/>
        <v>1971.4623163321742</v>
      </c>
      <c r="F20" s="278">
        <f t="shared" si="1"/>
        <v>0.40832634401943319</v>
      </c>
      <c r="G20" s="278">
        <f t="shared" si="2"/>
        <v>0.22140925362047528</v>
      </c>
      <c r="H20" s="278">
        <f t="shared" si="3"/>
        <v>0.3702644023600915</v>
      </c>
      <c r="J20" s="2"/>
    </row>
    <row r="21" spans="1:10" x14ac:dyDescent="0.35">
      <c r="A21" s="48" t="s">
        <v>200</v>
      </c>
      <c r="B21" s="102">
        <f>'CAPEX only'!K$20</f>
        <v>685</v>
      </c>
      <c r="C21" s="6">
        <f>'OPEX only'!E$19</f>
        <v>632.625</v>
      </c>
      <c r="D21" s="6">
        <f>'Feedstock MIX per IVC'!L101</f>
        <v>229.99064580218112</v>
      </c>
      <c r="E21" s="107">
        <f>B21+C21+D21</f>
        <v>1547.615645802181</v>
      </c>
      <c r="F21" s="278">
        <f>B21/E21</f>
        <v>0.44261635752909539</v>
      </c>
      <c r="G21" s="278">
        <f t="shared" si="2"/>
        <v>0.40877397544794741</v>
      </c>
      <c r="H21" s="278">
        <f>D21/E21</f>
        <v>0.14860966702295728</v>
      </c>
      <c r="J21" s="2">
        <f>B21+C21+D21-I21</f>
        <v>1547.615645802181</v>
      </c>
    </row>
    <row r="22" spans="1:10" x14ac:dyDescent="0.35">
      <c r="A22" s="48" t="s">
        <v>202</v>
      </c>
      <c r="B22" s="102">
        <f>'CAPEX only'!K$20</f>
        <v>685</v>
      </c>
      <c r="C22" s="6">
        <f>'OPEX only'!E$19</f>
        <v>632.625</v>
      </c>
      <c r="D22" s="6">
        <f>'Feedstock MIX per IVC'!L110</f>
        <v>690.34173338713697</v>
      </c>
      <c r="E22" s="107">
        <f t="shared" si="5"/>
        <v>2007.9667333871371</v>
      </c>
      <c r="F22" s="278">
        <f t="shared" si="1"/>
        <v>0.34114110986515611</v>
      </c>
      <c r="G22" s="278">
        <f t="shared" si="2"/>
        <v>0.31505751040648816</v>
      </c>
      <c r="H22" s="278">
        <f t="shared" si="3"/>
        <v>0.34380137972835562</v>
      </c>
    </row>
    <row r="23" spans="1:10" x14ac:dyDescent="0.35">
      <c r="A23" s="48"/>
    </row>
  </sheetData>
  <pageMargins left="0.7" right="0.7" top="0.78740157499999996" bottom="0.78740157499999996"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6278-FBF3-4598-B3F2-AAE5FA80C044}">
  <dimension ref="A1:K23"/>
  <sheetViews>
    <sheetView workbookViewId="0">
      <selection activeCell="A6" sqref="A6:XFD6"/>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49" customFormat="1" ht="21" customHeight="1" x14ac:dyDescent="0.35">
      <c r="A1" s="49" t="s">
        <v>99</v>
      </c>
      <c r="B1" s="49" t="s">
        <v>160</v>
      </c>
      <c r="C1" s="49" t="s">
        <v>161</v>
      </c>
      <c r="D1" s="49" t="s">
        <v>167</v>
      </c>
      <c r="E1" s="49" t="s">
        <v>166</v>
      </c>
      <c r="F1" s="49" t="s">
        <v>168</v>
      </c>
      <c r="G1" s="49" t="s">
        <v>163</v>
      </c>
      <c r="H1" s="49" t="s">
        <v>164</v>
      </c>
      <c r="I1" s="49" t="s">
        <v>115</v>
      </c>
      <c r="J1" s="49" t="s">
        <v>135</v>
      </c>
    </row>
    <row r="2" spans="1:11" s="50" customFormat="1" x14ac:dyDescent="0.35">
      <c r="A2" s="87">
        <v>1</v>
      </c>
      <c r="B2" s="102">
        <f>'CAPEX only'!K3</f>
        <v>83</v>
      </c>
      <c r="C2" s="89">
        <f>'OPEX only'!E3</f>
        <v>200.25</v>
      </c>
      <c r="D2" s="89">
        <f>'Feedstock MIX per IVC'!P4</f>
        <v>0</v>
      </c>
      <c r="E2" s="107">
        <f t="shared" ref="E2:E10" si="0">B2+C2+D2</f>
        <v>283.25</v>
      </c>
      <c r="F2" s="109">
        <f t="shared" ref="F2:F22" si="1">B2/E2</f>
        <v>0.29302736098852605</v>
      </c>
      <c r="G2" s="109">
        <f t="shared" ref="G2:G22" si="2">C2/E2</f>
        <v>0.706972639011474</v>
      </c>
      <c r="H2" s="109">
        <f t="shared" ref="H2:H22" si="3">D2/E2</f>
        <v>0</v>
      </c>
      <c r="I2" s="50">
        <f>(83+267+903)-1226</f>
        <v>27</v>
      </c>
      <c r="J2" s="88">
        <f t="shared" ref="J2:J8" si="4">B2+C2+D2-I2</f>
        <v>256.25</v>
      </c>
      <c r="K2" s="51"/>
    </row>
    <row r="3" spans="1:11" x14ac:dyDescent="0.35">
      <c r="A3" t="s">
        <v>102</v>
      </c>
      <c r="B3" s="102">
        <f>'CAPEX only'!K4</f>
        <v>269</v>
      </c>
      <c r="C3" s="6">
        <f>'OPEX only'!E4</f>
        <v>303.75</v>
      </c>
      <c r="D3" s="6">
        <f>'Feedstock MIX per IVC'!P5</f>
        <v>1838.7148747033607</v>
      </c>
      <c r="E3" s="107">
        <f t="shared" si="0"/>
        <v>2411.4648747033607</v>
      </c>
      <c r="F3" s="109">
        <f t="shared" si="1"/>
        <v>0.11155045334553763</v>
      </c>
      <c r="G3" s="109">
        <f t="shared" si="2"/>
        <v>0.12596078142642028</v>
      </c>
      <c r="H3" s="109">
        <f t="shared" si="3"/>
        <v>0.7624887652280421</v>
      </c>
      <c r="I3">
        <f>(269+405+1342)-1218</f>
        <v>798</v>
      </c>
      <c r="J3" s="2">
        <f t="shared" si="4"/>
        <v>1613.4648747033607</v>
      </c>
    </row>
    <row r="4" spans="1:11" x14ac:dyDescent="0.35">
      <c r="A4" t="s">
        <v>101</v>
      </c>
      <c r="B4" s="102">
        <f>'CAPEX only'!K5</f>
        <v>376</v>
      </c>
      <c r="C4" s="6">
        <f>'OPEX only'!E5</f>
        <v>424.5</v>
      </c>
      <c r="D4" s="6">
        <f>'Feedstock MIX per IVC'!P8</f>
        <v>1707.1048249721707</v>
      </c>
      <c r="E4" s="107">
        <f t="shared" si="0"/>
        <v>2507.6048249721707</v>
      </c>
      <c r="F4" s="109">
        <f t="shared" si="1"/>
        <v>0.14994388121109667</v>
      </c>
      <c r="G4" s="109">
        <f t="shared" si="2"/>
        <v>0.16928504673965566</v>
      </c>
      <c r="H4" s="109">
        <f t="shared" si="3"/>
        <v>0.68077107204924769</v>
      </c>
      <c r="I4">
        <f>(376+566+1961)-1844</f>
        <v>1059</v>
      </c>
      <c r="J4" s="2">
        <f t="shared" si="4"/>
        <v>1448.6048249721707</v>
      </c>
    </row>
    <row r="5" spans="1:11" x14ac:dyDescent="0.35">
      <c r="A5" t="s">
        <v>103</v>
      </c>
      <c r="B5" s="102">
        <f>'CAPEX only'!K6</f>
        <v>555</v>
      </c>
      <c r="C5" s="6">
        <f>'OPEX only'!E6</f>
        <v>387</v>
      </c>
      <c r="D5" s="6">
        <f>'Feedstock MIX per IVC'!P12</f>
        <v>349.28439061822587</v>
      </c>
      <c r="E5" s="107">
        <f t="shared" si="0"/>
        <v>1291.2843906182259</v>
      </c>
      <c r="F5" s="109">
        <f t="shared" si="1"/>
        <v>0.4298046224614267</v>
      </c>
      <c r="G5" s="109">
        <f t="shared" si="2"/>
        <v>0.29970160160823806</v>
      </c>
      <c r="H5" s="109">
        <f t="shared" si="3"/>
        <v>0.27049377593033525</v>
      </c>
      <c r="I5">
        <f>(555+516+472)-1543</f>
        <v>0</v>
      </c>
      <c r="J5" s="2">
        <f t="shared" si="4"/>
        <v>1291.2843906182259</v>
      </c>
    </row>
    <row r="6" spans="1:11" s="43" customFormat="1" x14ac:dyDescent="0.35">
      <c r="A6" s="95">
        <v>6</v>
      </c>
      <c r="B6" s="132">
        <f>'CAPEX only'!K8</f>
        <v>0</v>
      </c>
      <c r="C6" s="44">
        <f>'OPEX only'!E7</f>
        <v>0</v>
      </c>
      <c r="D6" s="44">
        <f>'Feedstock MIX per IVC'!P17</f>
        <v>0</v>
      </c>
      <c r="E6" s="147">
        <f t="shared" si="0"/>
        <v>0</v>
      </c>
      <c r="F6" s="160" t="e">
        <f t="shared" si="1"/>
        <v>#DIV/0!</v>
      </c>
      <c r="G6" s="160" t="e">
        <f t="shared" si="2"/>
        <v>#DIV/0!</v>
      </c>
      <c r="H6" s="160" t="e">
        <f t="shared" si="3"/>
        <v>#DIV/0!</v>
      </c>
      <c r="J6" s="96">
        <f t="shared" si="4"/>
        <v>0</v>
      </c>
    </row>
    <row r="7" spans="1:11" x14ac:dyDescent="0.35">
      <c r="A7" s="48" t="s">
        <v>112</v>
      </c>
      <c r="B7" s="102">
        <f>'CAPEX only'!K10</f>
        <v>605</v>
      </c>
      <c r="C7" s="6">
        <f>'OPEX only'!E8</f>
        <v>684.75</v>
      </c>
      <c r="D7" s="6">
        <f>'Feedstock MIX per IVC'!P19</f>
        <v>0.12040416716862246</v>
      </c>
      <c r="E7" s="107">
        <f t="shared" si="0"/>
        <v>1289.8704041671685</v>
      </c>
      <c r="F7" s="109">
        <f t="shared" si="1"/>
        <v>0.46903936864155804</v>
      </c>
      <c r="G7" s="109">
        <f t="shared" si="2"/>
        <v>0.53086728541703609</v>
      </c>
      <c r="H7" s="109">
        <f t="shared" si="3"/>
        <v>9.3345941405922789E-5</v>
      </c>
      <c r="I7">
        <f>(965+913-525)-1354</f>
        <v>-1</v>
      </c>
      <c r="J7" s="2">
        <f t="shared" si="4"/>
        <v>1290.8704041671685</v>
      </c>
      <c r="K7" s="24" t="s">
        <v>150</v>
      </c>
    </row>
    <row r="8" spans="1:11" x14ac:dyDescent="0.35">
      <c r="A8" s="48" t="s">
        <v>113</v>
      </c>
      <c r="B8" s="102">
        <f>'CAPEX only'!K10</f>
        <v>605</v>
      </c>
      <c r="C8" s="6">
        <f>'OPEX only'!E9</f>
        <v>291</v>
      </c>
      <c r="D8" s="6">
        <f>'Feedstock MIX per IVC'!P19</f>
        <v>0.12040416716862246</v>
      </c>
      <c r="E8" s="107">
        <f t="shared" si="0"/>
        <v>896.12040416716866</v>
      </c>
      <c r="F8" s="109">
        <f t="shared" si="1"/>
        <v>0.67513249021739608</v>
      </c>
      <c r="G8" s="109">
        <f t="shared" si="2"/>
        <v>0.32473314818721033</v>
      </c>
      <c r="H8" s="109">
        <f t="shared" si="3"/>
        <v>1.3436159539355986E-4</v>
      </c>
      <c r="I8">
        <f>(605+388+799)-1791</f>
        <v>1</v>
      </c>
      <c r="J8" s="2">
        <f t="shared" si="4"/>
        <v>895.12040416716866</v>
      </c>
    </row>
    <row r="9" spans="1:11" x14ac:dyDescent="0.35">
      <c r="A9" s="48" t="s">
        <v>149</v>
      </c>
      <c r="B9" s="102">
        <v>605</v>
      </c>
      <c r="C9" s="6">
        <f>0.1*C7+0.9*C8</f>
        <v>330.37500000000006</v>
      </c>
      <c r="D9" s="6">
        <f>D8</f>
        <v>0.12040416716862246</v>
      </c>
      <c r="E9" s="107">
        <f t="shared" si="0"/>
        <v>935.49540416716866</v>
      </c>
      <c r="F9" s="109">
        <f t="shared" si="1"/>
        <v>0.64671616483098116</v>
      </c>
      <c r="G9" s="109">
        <f t="shared" si="2"/>
        <v>0.35315512885295114</v>
      </c>
      <c r="H9" s="109">
        <f t="shared" si="3"/>
        <v>1.2870631606770223E-4</v>
      </c>
      <c r="I9">
        <v>0</v>
      </c>
      <c r="J9" s="2">
        <f>0.1*J7+0.9*J8</f>
        <v>934.69540416716859</v>
      </c>
    </row>
    <row r="10" spans="1:11" x14ac:dyDescent="0.35">
      <c r="A10" s="48" t="s">
        <v>104</v>
      </c>
      <c r="B10" s="102">
        <f>'CAPEX only'!K11</f>
        <v>281</v>
      </c>
      <c r="C10" s="6">
        <f>'OPEX only'!E10</f>
        <v>139.5</v>
      </c>
      <c r="D10" s="6">
        <f>'Feedstock MIX per IVC'!P29</f>
        <v>142.18510041945453</v>
      </c>
      <c r="E10" s="107">
        <f t="shared" si="0"/>
        <v>562.68510041945456</v>
      </c>
      <c r="F10" s="109">
        <f t="shared" si="1"/>
        <v>0.49939122217831622</v>
      </c>
      <c r="G10" s="109">
        <f t="shared" si="2"/>
        <v>0.24791841812766943</v>
      </c>
      <c r="H10" s="109">
        <f t="shared" si="3"/>
        <v>0.25269035969401432</v>
      </c>
      <c r="I10">
        <f>(281+186+200)-668</f>
        <v>-1</v>
      </c>
      <c r="J10" s="2">
        <f>B10+C10+D10-I10</f>
        <v>563.68510041945456</v>
      </c>
    </row>
    <row r="11" spans="1:11" x14ac:dyDescent="0.35">
      <c r="A11" s="48" t="s">
        <v>105</v>
      </c>
      <c r="B11" s="102">
        <v>136</v>
      </c>
      <c r="C11" s="6">
        <v>92</v>
      </c>
      <c r="D11" s="6">
        <f>E11-B11-C11</f>
        <v>708</v>
      </c>
      <c r="E11" s="102">
        <v>936</v>
      </c>
      <c r="F11" s="109">
        <f t="shared" si="1"/>
        <v>0.14529914529914531</v>
      </c>
      <c r="G11" s="109">
        <f t="shared" si="2"/>
        <v>9.8290598290598288E-2</v>
      </c>
      <c r="H11" s="109">
        <f t="shared" si="3"/>
        <v>0.75641025641025639</v>
      </c>
      <c r="I11">
        <v>0</v>
      </c>
      <c r="J11" s="2">
        <v>936</v>
      </c>
      <c r="K11" t="s">
        <v>310</v>
      </c>
    </row>
    <row r="12" spans="1:11" x14ac:dyDescent="0.35">
      <c r="A12" s="48" t="s">
        <v>106</v>
      </c>
      <c r="B12" s="102">
        <f>'CAPEX only'!K13</f>
        <v>57</v>
      </c>
      <c r="C12" s="6">
        <f>'OPEX only'!E12</f>
        <v>21.75</v>
      </c>
      <c r="D12" s="6">
        <f>'Feedstock MIX per IVC'!P42</f>
        <v>96.44</v>
      </c>
      <c r="E12" s="107">
        <f t="shared" ref="E12:E22" si="5">B12+C12+D12</f>
        <v>175.19</v>
      </c>
      <c r="F12" s="109">
        <f t="shared" si="1"/>
        <v>0.32536103658884641</v>
      </c>
      <c r="G12" s="109">
        <f t="shared" si="2"/>
        <v>0.12415092185627033</v>
      </c>
      <c r="H12" s="109">
        <f t="shared" si="3"/>
        <v>0.55048804155488329</v>
      </c>
      <c r="I12">
        <f>(57+29+427)-513</f>
        <v>0</v>
      </c>
      <c r="J12" s="2"/>
    </row>
    <row r="13" spans="1:11" x14ac:dyDescent="0.35">
      <c r="A13" s="48" t="s">
        <v>107</v>
      </c>
      <c r="B13" s="102">
        <f>'CAPEX only'!K14</f>
        <v>800</v>
      </c>
      <c r="C13" s="6">
        <f>'OPEX only'!E13</f>
        <v>270</v>
      </c>
      <c r="D13" s="6">
        <f>'Feedstock MIX per IVC'!P44</f>
        <v>244.04191712288286</v>
      </c>
      <c r="E13" s="107">
        <f t="shared" si="5"/>
        <v>1314.0419171228828</v>
      </c>
      <c r="F13" s="109">
        <f t="shared" si="1"/>
        <v>0.60880858485215883</v>
      </c>
      <c r="G13" s="109">
        <f t="shared" si="2"/>
        <v>0.2054728973876036</v>
      </c>
      <c r="H13" s="109">
        <f t="shared" si="3"/>
        <v>0.18571851776023768</v>
      </c>
      <c r="I13">
        <f>(800+360+446)-1606</f>
        <v>0</v>
      </c>
      <c r="J13" s="2">
        <f>B13+C13+D13-I13</f>
        <v>1314.0419171228828</v>
      </c>
    </row>
    <row r="14" spans="1:11" x14ac:dyDescent="0.35">
      <c r="A14" s="48" t="s">
        <v>108</v>
      </c>
      <c r="B14" s="102">
        <f>'CAPEX only'!K15</f>
        <v>128</v>
      </c>
      <c r="C14" s="6">
        <f>'OPEX only'!E14</f>
        <v>113.25</v>
      </c>
      <c r="D14" s="6">
        <f>'Feedstock MIX per IVC'!P55</f>
        <v>115.26362854686155</v>
      </c>
      <c r="E14" s="107">
        <f t="shared" si="5"/>
        <v>356.51362854686158</v>
      </c>
      <c r="F14" s="109">
        <f t="shared" si="1"/>
        <v>0.35903255794658961</v>
      </c>
      <c r="G14" s="109">
        <f t="shared" si="2"/>
        <v>0.31765966552696306</v>
      </c>
      <c r="H14" s="109">
        <f t="shared" si="3"/>
        <v>0.32330777652644727</v>
      </c>
      <c r="I14">
        <f>(128+151+976)-1255</f>
        <v>0</v>
      </c>
      <c r="J14" s="2">
        <f>B14+C14+D14-I14</f>
        <v>356.51362854686158</v>
      </c>
      <c r="K14" s="24" t="s">
        <v>151</v>
      </c>
    </row>
    <row r="15" spans="1:11" x14ac:dyDescent="0.35">
      <c r="A15" s="48" t="s">
        <v>307</v>
      </c>
      <c r="B15" s="102">
        <f>B16</f>
        <v>1445</v>
      </c>
      <c r="C15" s="6">
        <f>C16</f>
        <v>716.25</v>
      </c>
      <c r="D15" s="6">
        <f>'Feedstock MIX per IVC'!P57</f>
        <v>368.2325879331969</v>
      </c>
      <c r="E15" s="107">
        <f t="shared" si="5"/>
        <v>2529.482587933197</v>
      </c>
      <c r="F15" s="109">
        <f t="shared" si="1"/>
        <v>0.5712630744695848</v>
      </c>
      <c r="G15" s="109">
        <f t="shared" si="2"/>
        <v>0.28316067618604851</v>
      </c>
      <c r="H15" s="109">
        <f t="shared" si="3"/>
        <v>0.14557624934436664</v>
      </c>
      <c r="J15" s="2"/>
    </row>
    <row r="16" spans="1:11" x14ac:dyDescent="0.35">
      <c r="A16" s="48" t="s">
        <v>308</v>
      </c>
      <c r="B16" s="102">
        <f>'CAPEX only'!K16</f>
        <v>1445</v>
      </c>
      <c r="C16" s="6">
        <f>'OPEX only'!E15</f>
        <v>716.25</v>
      </c>
      <c r="D16" s="6">
        <f>'Feedstock MIX per IVC'!P68</f>
        <v>621.9061205408243</v>
      </c>
      <c r="E16" s="107">
        <f t="shared" si="5"/>
        <v>2783.1561205408243</v>
      </c>
      <c r="F16" s="109">
        <f t="shared" si="1"/>
        <v>0.51919473339469258</v>
      </c>
      <c r="G16" s="109">
        <f t="shared" si="2"/>
        <v>0.25735171473629653</v>
      </c>
      <c r="H16" s="109">
        <f t="shared" si="3"/>
        <v>0.22345355186901092</v>
      </c>
      <c r="I16">
        <f>(1445+955+1329)-1922</f>
        <v>1807</v>
      </c>
      <c r="J16" s="2">
        <f>B16+C16+D16-I16</f>
        <v>976.1561205408243</v>
      </c>
    </row>
    <row r="17" spans="1:10" x14ac:dyDescent="0.35">
      <c r="A17" s="48" t="s">
        <v>138</v>
      </c>
      <c r="B17" s="102">
        <f>'CAPEX only'!K17</f>
        <v>278</v>
      </c>
      <c r="C17" s="6">
        <f>'OPEX only'!E16</f>
        <v>294.75</v>
      </c>
      <c r="D17" s="6">
        <f>'Feedstock MIX per IVC'!P79</f>
        <v>317.03814186666671</v>
      </c>
      <c r="E17" s="107">
        <f t="shared" si="5"/>
        <v>889.78814186666671</v>
      </c>
      <c r="F17" s="109">
        <f t="shared" si="1"/>
        <v>0.31243392322220659</v>
      </c>
      <c r="G17" s="109">
        <f t="shared" si="2"/>
        <v>0.33125862902786113</v>
      </c>
      <c r="H17" s="109">
        <f t="shared" si="3"/>
        <v>0.35630744774993234</v>
      </c>
      <c r="I17">
        <f>(278+393+463)-1134</f>
        <v>0</v>
      </c>
      <c r="J17" s="2">
        <f>B17+C17+D17-I17</f>
        <v>889.78814186666671</v>
      </c>
    </row>
    <row r="18" spans="1:10" x14ac:dyDescent="0.35">
      <c r="A18" s="48" t="s">
        <v>137</v>
      </c>
      <c r="B18" s="102">
        <f>'CAPEX only'!K18</f>
        <v>1257</v>
      </c>
      <c r="C18">
        <v>904</v>
      </c>
      <c r="D18" s="6">
        <f>'Feedstock MIX per IVC'!P81</f>
        <v>340.75466666666671</v>
      </c>
      <c r="E18" s="107">
        <f t="shared" si="5"/>
        <v>2501.7546666666667</v>
      </c>
      <c r="F18" s="109">
        <f t="shared" si="1"/>
        <v>0.50244734895401411</v>
      </c>
      <c r="G18" s="109">
        <f t="shared" si="2"/>
        <v>0.36134638301863864</v>
      </c>
      <c r="H18" s="109">
        <f t="shared" si="3"/>
        <v>0.13620626802734723</v>
      </c>
      <c r="I18" s="2">
        <f>(1257+904+1064)-2681</f>
        <v>544</v>
      </c>
      <c r="J18" s="2">
        <f>B18+C17+D18-I18</f>
        <v>1348.5046666666667</v>
      </c>
    </row>
    <row r="19" spans="1:10" x14ac:dyDescent="0.35">
      <c r="A19" s="48" t="s">
        <v>197</v>
      </c>
      <c r="B19" s="102">
        <f>'CAPEX only'!K$19</f>
        <v>805</v>
      </c>
      <c r="C19" s="6">
        <f>'OPEX only'!E$18</f>
        <v>436.5</v>
      </c>
      <c r="D19" s="6">
        <f>'Feedstock MIX per IVC'!P83</f>
        <v>231.3313561084602</v>
      </c>
      <c r="E19" s="107">
        <f t="shared" si="5"/>
        <v>1472.8313561084601</v>
      </c>
      <c r="F19" s="109">
        <f t="shared" si="1"/>
        <v>0.54656631029840685</v>
      </c>
      <c r="G19" s="109">
        <f t="shared" si="2"/>
        <v>0.29636794341025419</v>
      </c>
      <c r="H19" s="109">
        <f t="shared" si="3"/>
        <v>0.15706574629133901</v>
      </c>
      <c r="I19">
        <f>(805+582+711)-1283</f>
        <v>815</v>
      </c>
      <c r="J19" s="2">
        <f>B19+C19+D19-I19</f>
        <v>657.83135610846011</v>
      </c>
    </row>
    <row r="20" spans="1:10" x14ac:dyDescent="0.35">
      <c r="A20" s="48" t="s">
        <v>201</v>
      </c>
      <c r="B20" s="102">
        <f>'CAPEX only'!K$19</f>
        <v>805</v>
      </c>
      <c r="C20" s="6">
        <f>'OPEX only'!E$18</f>
        <v>436.5</v>
      </c>
      <c r="D20" s="6">
        <f>'Feedstock MIX per IVC'!P92</f>
        <v>739.16985329107445</v>
      </c>
      <c r="E20" s="107">
        <f t="shared" si="5"/>
        <v>1980.6698532910746</v>
      </c>
      <c r="F20" s="109">
        <f t="shared" si="1"/>
        <v>0.40642815796000259</v>
      </c>
      <c r="G20" s="109">
        <f t="shared" si="2"/>
        <v>0.22037998875719395</v>
      </c>
      <c r="H20" s="109">
        <f t="shared" si="3"/>
        <v>0.37319185328280341</v>
      </c>
      <c r="J20" s="2"/>
    </row>
    <row r="21" spans="1:10" x14ac:dyDescent="0.35">
      <c r="A21" s="48" t="s">
        <v>200</v>
      </c>
      <c r="B21" s="102">
        <f>'CAPEX only'!K$20</f>
        <v>685</v>
      </c>
      <c r="C21" s="6">
        <f>'OPEX only'!E$19</f>
        <v>632.625</v>
      </c>
      <c r="D21" s="6">
        <f>'Feedstock MIX per IVC'!P101</f>
        <v>231.3313561084602</v>
      </c>
      <c r="E21" s="107">
        <f t="shared" si="5"/>
        <v>1548.9563561084601</v>
      </c>
      <c r="F21" s="109">
        <f t="shared" si="1"/>
        <v>0.44223324775978085</v>
      </c>
      <c r="G21" s="109">
        <f t="shared" si="2"/>
        <v>0.40842015819566624</v>
      </c>
      <c r="H21" s="109">
        <f t="shared" si="3"/>
        <v>0.14934659404455294</v>
      </c>
      <c r="J21" s="2">
        <f>B21+C21+D21-I21</f>
        <v>1548.9563561084601</v>
      </c>
    </row>
    <row r="22" spans="1:10" x14ac:dyDescent="0.35">
      <c r="A22" s="48" t="s">
        <v>202</v>
      </c>
      <c r="B22" s="102">
        <f>'CAPEX only'!K$20</f>
        <v>685</v>
      </c>
      <c r="C22" s="6">
        <f>'OPEX only'!E$19</f>
        <v>632.625</v>
      </c>
      <c r="D22" s="6">
        <f>'Feedstock MIX per IVC'!P110</f>
        <v>698.0095830382071</v>
      </c>
      <c r="E22" s="107">
        <f t="shared" si="5"/>
        <v>2015.634583038207</v>
      </c>
      <c r="F22" s="109">
        <f t="shared" si="1"/>
        <v>0.33984334549741929</v>
      </c>
      <c r="G22" s="109">
        <f t="shared" si="2"/>
        <v>0.31385897291285381</v>
      </c>
      <c r="H22" s="109">
        <f t="shared" si="3"/>
        <v>0.34629768158972696</v>
      </c>
    </row>
    <row r="23" spans="1:10" x14ac:dyDescent="0.35">
      <c r="A23" s="48"/>
    </row>
  </sheetData>
  <pageMargins left="0.7" right="0.7" top="0.78740157499999996" bottom="0.78740157499999996"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0D81-7EA6-49B0-A148-1676CCC6EC76}">
  <dimension ref="A1:J57"/>
  <sheetViews>
    <sheetView zoomScale="85" zoomScaleNormal="85" workbookViewId="0">
      <pane ySplit="1" topLeftCell="A23" activePane="bottomLeft" state="frozen"/>
      <selection pane="bottomLeft" activeCell="I3" sqref="I3"/>
    </sheetView>
  </sheetViews>
  <sheetFormatPr baseColWidth="10" defaultRowHeight="14.5" x14ac:dyDescent="0.35"/>
  <cols>
    <col min="1" max="1" width="31.81640625" customWidth="1"/>
    <col min="2" max="2" width="22" customWidth="1"/>
    <col min="3" max="3" width="22.36328125" customWidth="1"/>
    <col min="4" max="4" width="13.26953125" customWidth="1"/>
    <col min="7" max="7" width="11.36328125" bestFit="1" customWidth="1"/>
    <col min="8" max="9" width="11" bestFit="1" customWidth="1"/>
  </cols>
  <sheetData>
    <row r="1" spans="1:10" ht="34" customHeight="1" x14ac:dyDescent="0.35">
      <c r="B1" t="s">
        <v>276</v>
      </c>
      <c r="E1" s="33" t="s">
        <v>83</v>
      </c>
      <c r="F1" s="33" t="s">
        <v>65</v>
      </c>
      <c r="G1" s="33" t="s">
        <v>69</v>
      </c>
      <c r="H1" s="134" t="s">
        <v>271</v>
      </c>
      <c r="I1" s="134" t="s">
        <v>184</v>
      </c>
      <c r="J1" s="33" t="s">
        <v>280</v>
      </c>
    </row>
    <row r="2" spans="1:10" x14ac:dyDescent="0.35">
      <c r="A2" s="182" t="s">
        <v>224</v>
      </c>
      <c r="B2" s="182"/>
      <c r="C2" s="182"/>
    </row>
    <row r="3" spans="1:10" x14ac:dyDescent="0.35">
      <c r="A3" s="80" t="s">
        <v>243</v>
      </c>
      <c r="B3" s="80"/>
      <c r="C3" s="176">
        <v>0.75</v>
      </c>
      <c r="I3" s="6">
        <f>SUM(I4:I7)</f>
        <v>466.0773333333334</v>
      </c>
    </row>
    <row r="4" spans="1:10" x14ac:dyDescent="0.35">
      <c r="C4" t="s">
        <v>242</v>
      </c>
      <c r="D4" t="s">
        <v>229</v>
      </c>
      <c r="E4">
        <v>440</v>
      </c>
      <c r="F4">
        <f>1/1.06</f>
        <v>0.94339622641509424</v>
      </c>
      <c r="G4">
        <f>E4/F4</f>
        <v>466.40000000000003</v>
      </c>
      <c r="H4" s="34">
        <v>0.76</v>
      </c>
      <c r="I4" s="6">
        <f>H4*G4</f>
        <v>354.46400000000006</v>
      </c>
      <c r="J4" s="59">
        <f>I4/I$3</f>
        <v>0.76052615016678204</v>
      </c>
    </row>
    <row r="5" spans="1:10" x14ac:dyDescent="0.35">
      <c r="C5" t="s">
        <v>365</v>
      </c>
      <c r="D5" t="s">
        <v>230</v>
      </c>
      <c r="E5">
        <v>440</v>
      </c>
      <c r="F5">
        <f>1/1.06</f>
        <v>0.94339622641509424</v>
      </c>
      <c r="G5">
        <f t="shared" ref="G5:G7" si="0">E5/F5</f>
        <v>466.40000000000003</v>
      </c>
      <c r="H5" s="34">
        <v>0.16</v>
      </c>
      <c r="I5">
        <f>H5*G5</f>
        <v>74.624000000000009</v>
      </c>
      <c r="J5" s="59">
        <f t="shared" ref="J5:J7" si="1">I5/I$3</f>
        <v>0.16011076845616465</v>
      </c>
    </row>
    <row r="6" spans="1:10" x14ac:dyDescent="0.35">
      <c r="C6" t="s">
        <v>270</v>
      </c>
      <c r="D6" t="s">
        <v>231</v>
      </c>
      <c r="E6">
        <v>440</v>
      </c>
      <c r="F6">
        <f>1/1.06</f>
        <v>0.94339622641509424</v>
      </c>
      <c r="G6" s="6">
        <f t="shared" si="0"/>
        <v>466.40000000000003</v>
      </c>
      <c r="H6" s="34">
        <v>0.04</v>
      </c>
      <c r="I6" s="6">
        <f t="shared" ref="I6" si="2">H6*G6</f>
        <v>18.656000000000002</v>
      </c>
      <c r="J6" s="59">
        <f t="shared" si="1"/>
        <v>4.0027692114041162E-2</v>
      </c>
    </row>
    <row r="7" spans="1:10" x14ac:dyDescent="0.35">
      <c r="C7" t="s">
        <v>252</v>
      </c>
      <c r="D7" t="s">
        <v>232</v>
      </c>
      <c r="E7">
        <v>440</v>
      </c>
      <c r="F7">
        <v>0.96</v>
      </c>
      <c r="G7" s="6">
        <f t="shared" si="0"/>
        <v>458.33333333333337</v>
      </c>
      <c r="H7" s="34">
        <v>0.04</v>
      </c>
      <c r="I7" s="6">
        <f>H7*G7</f>
        <v>18.333333333333336</v>
      </c>
      <c r="J7" s="59">
        <f t="shared" si="1"/>
        <v>3.9335389263012145E-2</v>
      </c>
    </row>
    <row r="8" spans="1:10" x14ac:dyDescent="0.35">
      <c r="A8" s="80" t="s">
        <v>244</v>
      </c>
      <c r="B8" s="80"/>
      <c r="C8" s="176">
        <v>0.7</v>
      </c>
    </row>
    <row r="9" spans="1:10" x14ac:dyDescent="0.35">
      <c r="D9" t="s">
        <v>273</v>
      </c>
      <c r="E9" t="s">
        <v>274</v>
      </c>
    </row>
    <row r="15" spans="1:10" x14ac:dyDescent="0.35">
      <c r="A15" s="80" t="s">
        <v>245</v>
      </c>
      <c r="B15" s="80">
        <f>83+267+903</f>
        <v>1253</v>
      </c>
      <c r="C15" s="86">
        <f>903/(83+267+903)</f>
        <v>0.72067039106145248</v>
      </c>
      <c r="I15" s="77">
        <f>SUM(I16:I18)</f>
        <v>853.09425278075696</v>
      </c>
    </row>
    <row r="16" spans="1:10" x14ac:dyDescent="0.35">
      <c r="C16" t="s">
        <v>251</v>
      </c>
      <c r="D16" t="s">
        <v>233</v>
      </c>
      <c r="E16">
        <v>880</v>
      </c>
      <c r="F16" s="6">
        <f>'[1]Conversion factors selected IV '!$G$5</f>
        <v>0.95978351434331599</v>
      </c>
      <c r="G16" s="6">
        <f t="shared" ref="G16:G18" si="3">E16/F16</f>
        <v>916.87342702702711</v>
      </c>
      <c r="H16" s="59">
        <f>0.6618*0.6</f>
        <v>0.39708000000000004</v>
      </c>
      <c r="I16" s="6">
        <f>H16*G16</f>
        <v>364.07210040389197</v>
      </c>
    </row>
    <row r="17" spans="1:10" x14ac:dyDescent="0.35">
      <c r="C17" t="s">
        <v>275</v>
      </c>
      <c r="D17" t="s">
        <v>233</v>
      </c>
      <c r="E17">
        <v>880</v>
      </c>
      <c r="F17" s="6">
        <f>'[1]Conversion factors selected IV '!$G$5</f>
        <v>0.95978351434331599</v>
      </c>
      <c r="G17" s="6">
        <f t="shared" si="3"/>
        <v>916.87342702702711</v>
      </c>
      <c r="H17" s="59">
        <f>0.6618*0.4</f>
        <v>0.26472000000000001</v>
      </c>
      <c r="I17" s="6">
        <f t="shared" ref="I17:I18" si="4">H17*G17</f>
        <v>242.71473360259463</v>
      </c>
    </row>
    <row r="18" spans="1:10" x14ac:dyDescent="0.35">
      <c r="C18" t="s">
        <v>254</v>
      </c>
      <c r="D18" t="s">
        <v>253</v>
      </c>
      <c r="E18">
        <v>699</v>
      </c>
      <c r="F18" s="6">
        <f>'[1]Conversion factors selected IV '!$G$5</f>
        <v>0.95978351434331599</v>
      </c>
      <c r="G18" s="6">
        <f t="shared" si="3"/>
        <v>728.28923351351364</v>
      </c>
      <c r="H18" s="59">
        <v>0.3382</v>
      </c>
      <c r="I18" s="6">
        <f t="shared" si="4"/>
        <v>246.3074187742703</v>
      </c>
    </row>
    <row r="22" spans="1:10" x14ac:dyDescent="0.35">
      <c r="A22" s="80" t="s">
        <v>247</v>
      </c>
      <c r="B22" s="80"/>
      <c r="C22" s="176">
        <v>0.7</v>
      </c>
      <c r="I22" s="6">
        <f>SUM(I23:I26)</f>
        <v>466.0773333333334</v>
      </c>
    </row>
    <row r="23" spans="1:10" x14ac:dyDescent="0.35">
      <c r="C23" t="s">
        <v>242</v>
      </c>
      <c r="D23" t="s">
        <v>229</v>
      </c>
      <c r="E23">
        <v>440</v>
      </c>
      <c r="F23">
        <f>1/1.06</f>
        <v>0.94339622641509424</v>
      </c>
      <c r="G23">
        <f>E23/F23</f>
        <v>466.40000000000003</v>
      </c>
      <c r="H23" s="34">
        <v>0.76</v>
      </c>
      <c r="I23" s="6">
        <f>H23*G23</f>
        <v>354.46400000000006</v>
      </c>
      <c r="J23" s="59">
        <f>I23/I$22</f>
        <v>0.76052615016678204</v>
      </c>
    </row>
    <row r="24" spans="1:10" x14ac:dyDescent="0.35">
      <c r="C24" t="s">
        <v>252</v>
      </c>
      <c r="D24" t="s">
        <v>230</v>
      </c>
      <c r="E24">
        <v>440</v>
      </c>
      <c r="F24">
        <f>1/1.06</f>
        <v>0.94339622641509424</v>
      </c>
      <c r="G24">
        <f t="shared" ref="G24:G26" si="5">E24/F24</f>
        <v>466.40000000000003</v>
      </c>
      <c r="H24" s="34">
        <v>0.16</v>
      </c>
      <c r="I24" s="6">
        <f t="shared" ref="I24:I26" si="6">H24*G24</f>
        <v>74.624000000000009</v>
      </c>
      <c r="J24" s="59">
        <f t="shared" ref="J24:J26" si="7">I24/I$22</f>
        <v>0.16011076845616465</v>
      </c>
    </row>
    <row r="25" spans="1:10" x14ac:dyDescent="0.35">
      <c r="C25" t="s">
        <v>270</v>
      </c>
      <c r="D25" t="s">
        <v>231</v>
      </c>
      <c r="E25">
        <v>440</v>
      </c>
      <c r="F25">
        <f>1/1.06</f>
        <v>0.94339622641509424</v>
      </c>
      <c r="G25">
        <f t="shared" si="5"/>
        <v>466.40000000000003</v>
      </c>
      <c r="H25" s="34">
        <v>0.04</v>
      </c>
      <c r="I25" s="6">
        <f t="shared" si="6"/>
        <v>18.656000000000002</v>
      </c>
      <c r="J25" s="59">
        <f t="shared" si="7"/>
        <v>4.0027692114041162E-2</v>
      </c>
    </row>
    <row r="26" spans="1:10" x14ac:dyDescent="0.35">
      <c r="C26" t="s">
        <v>252</v>
      </c>
      <c r="D26" t="s">
        <v>232</v>
      </c>
      <c r="E26">
        <v>440</v>
      </c>
      <c r="F26">
        <v>0.96</v>
      </c>
      <c r="G26" s="193">
        <f t="shared" si="5"/>
        <v>458.33333333333337</v>
      </c>
      <c r="H26" s="34">
        <v>0.04</v>
      </c>
      <c r="I26" s="6">
        <f t="shared" si="6"/>
        <v>18.333333333333336</v>
      </c>
      <c r="J26" s="59">
        <f t="shared" si="7"/>
        <v>3.9335389263012145E-2</v>
      </c>
    </row>
    <row r="29" spans="1:10" x14ac:dyDescent="0.35">
      <c r="A29" s="80" t="s">
        <v>246</v>
      </c>
      <c r="B29" s="80"/>
      <c r="C29" s="176">
        <v>0.64</v>
      </c>
    </row>
    <row r="36" spans="1:10" x14ac:dyDescent="0.35">
      <c r="A36" s="80" t="s">
        <v>264</v>
      </c>
      <c r="B36" s="80">
        <f>E36+H35+J35</f>
        <v>0</v>
      </c>
      <c r="C36" s="86"/>
      <c r="F36" s="59"/>
      <c r="H36" t="s">
        <v>278</v>
      </c>
      <c r="I36">
        <f>SUM(I37:I39)</f>
        <v>853.09425278075696</v>
      </c>
      <c r="J36" t="s">
        <v>279</v>
      </c>
    </row>
    <row r="37" spans="1:10" x14ac:dyDescent="0.35">
      <c r="C37" t="s">
        <v>251</v>
      </c>
      <c r="D37" t="s">
        <v>233</v>
      </c>
      <c r="E37">
        <v>880</v>
      </c>
      <c r="F37" s="6">
        <f>'[1]Conversion factors selected IV '!$G$5</f>
        <v>0.95978351434331599</v>
      </c>
      <c r="G37" s="6">
        <f t="shared" ref="G37:G39" si="8">E37/F37</f>
        <v>916.87342702702711</v>
      </c>
      <c r="H37" s="59">
        <f>0.6618*0.6</f>
        <v>0.39708000000000004</v>
      </c>
      <c r="I37" s="6">
        <f>H37*G37</f>
        <v>364.07210040389197</v>
      </c>
      <c r="J37" s="59">
        <f>I37/I36</f>
        <v>0.42676656092472537</v>
      </c>
    </row>
    <row r="38" spans="1:10" x14ac:dyDescent="0.35">
      <c r="C38" t="s">
        <v>275</v>
      </c>
      <c r="D38" t="s">
        <v>233</v>
      </c>
      <c r="E38">
        <v>880</v>
      </c>
      <c r="F38" s="6">
        <f>'[1]Conversion factors selected IV '!$G$5</f>
        <v>0.95978351434331599</v>
      </c>
      <c r="G38" s="6">
        <f t="shared" si="8"/>
        <v>916.87342702702711</v>
      </c>
      <c r="H38" s="59">
        <f>0.6618*0.4</f>
        <v>0.26472000000000001</v>
      </c>
      <c r="I38" s="6">
        <f t="shared" ref="I38:I39" si="9">H38*G38</f>
        <v>242.71473360259463</v>
      </c>
      <c r="J38" s="59">
        <f>I38/I36</f>
        <v>0.28451104061648358</v>
      </c>
    </row>
    <row r="39" spans="1:10" x14ac:dyDescent="0.35">
      <c r="C39" t="s">
        <v>254</v>
      </c>
      <c r="D39" t="s">
        <v>253</v>
      </c>
      <c r="E39">
        <v>699</v>
      </c>
      <c r="F39" s="6">
        <f>'[1]Conversion factors selected IV '!$G$5</f>
        <v>0.95978351434331599</v>
      </c>
      <c r="G39" s="6">
        <f t="shared" si="8"/>
        <v>728.28923351351364</v>
      </c>
      <c r="H39" s="59">
        <v>0.3382</v>
      </c>
      <c r="I39" s="6">
        <f t="shared" si="9"/>
        <v>246.3074187742703</v>
      </c>
      <c r="J39" s="59">
        <f>I39/I36</f>
        <v>0.288722398458791</v>
      </c>
    </row>
    <row r="41" spans="1:10" x14ac:dyDescent="0.35">
      <c r="C41" s="59"/>
    </row>
    <row r="42" spans="1:10" x14ac:dyDescent="0.35">
      <c r="C42" s="59"/>
    </row>
    <row r="43" spans="1:10" x14ac:dyDescent="0.35">
      <c r="A43" s="80" t="s">
        <v>263</v>
      </c>
      <c r="B43" s="80">
        <f>E43+H42+J42</f>
        <v>0</v>
      </c>
      <c r="C43" s="86"/>
    </row>
    <row r="44" spans="1:10" x14ac:dyDescent="0.35">
      <c r="B44" t="s">
        <v>251</v>
      </c>
      <c r="C44" t="s">
        <v>233</v>
      </c>
    </row>
    <row r="45" spans="1:10" x14ac:dyDescent="0.35">
      <c r="B45" t="s">
        <v>254</v>
      </c>
      <c r="C45" t="s">
        <v>253</v>
      </c>
    </row>
    <row r="46" spans="1:10" x14ac:dyDescent="0.35">
      <c r="C46" s="59"/>
    </row>
    <row r="47" spans="1:10" x14ac:dyDescent="0.35">
      <c r="C47" s="59"/>
    </row>
    <row r="48" spans="1:10" x14ac:dyDescent="0.35">
      <c r="C48" s="59"/>
    </row>
    <row r="49" spans="1:8" x14ac:dyDescent="0.35">
      <c r="C49" s="59"/>
    </row>
    <row r="50" spans="1:8" x14ac:dyDescent="0.35">
      <c r="A50" s="184" t="s">
        <v>234</v>
      </c>
      <c r="B50" s="177"/>
      <c r="C50" s="177"/>
    </row>
    <row r="51" spans="1:8" x14ac:dyDescent="0.35">
      <c r="A51" s="151" t="s">
        <v>255</v>
      </c>
      <c r="B51" s="151"/>
      <c r="C51" s="181">
        <v>0.7</v>
      </c>
    </row>
    <row r="52" spans="1:8" x14ac:dyDescent="0.35">
      <c r="D52" t="s">
        <v>235</v>
      </c>
      <c r="F52">
        <v>0.65</v>
      </c>
      <c r="H52" s="34">
        <v>0.17</v>
      </c>
    </row>
    <row r="53" spans="1:8" x14ac:dyDescent="0.35">
      <c r="D53" t="s">
        <v>236</v>
      </c>
      <c r="H53" s="34">
        <v>0.43</v>
      </c>
    </row>
    <row r="54" spans="1:8" x14ac:dyDescent="0.35">
      <c r="D54" t="s">
        <v>237</v>
      </c>
      <c r="H54" s="34">
        <v>0.09</v>
      </c>
    </row>
    <row r="55" spans="1:8" x14ac:dyDescent="0.35">
      <c r="D55" t="s">
        <v>238</v>
      </c>
      <c r="H55" s="34">
        <v>0.03</v>
      </c>
    </row>
    <row r="56" spans="1:8" x14ac:dyDescent="0.35">
      <c r="D56" t="s">
        <v>239</v>
      </c>
      <c r="H56" s="34">
        <v>0.02</v>
      </c>
    </row>
    <row r="57" spans="1:8" x14ac:dyDescent="0.35">
      <c r="D57" t="s">
        <v>240</v>
      </c>
      <c r="H57" s="34">
        <v>0.26</v>
      </c>
    </row>
  </sheetData>
  <pageMargins left="0.7" right="0.7" top="0.78740157499999996" bottom="0.78740157499999996"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DBBE-3092-4A90-816C-F1EA02B28211}">
  <dimension ref="A1:S20"/>
  <sheetViews>
    <sheetView workbookViewId="0">
      <selection activeCell="K9" sqref="K9"/>
    </sheetView>
  </sheetViews>
  <sheetFormatPr baseColWidth="10" defaultRowHeight="14.5" x14ac:dyDescent="0.35"/>
  <cols>
    <col min="1" max="2" width="15.26953125" customWidth="1"/>
    <col min="3" max="3" width="14.453125" customWidth="1"/>
    <col min="4" max="6" width="14.7265625" customWidth="1"/>
    <col min="7" max="8" width="14.453125" customWidth="1"/>
    <col min="9" max="9" width="16.1796875" customWidth="1"/>
    <col min="10" max="12" width="13.81640625" customWidth="1"/>
    <col min="13" max="13" width="16.81640625" customWidth="1"/>
    <col min="16" max="16" width="18.81640625" customWidth="1"/>
  </cols>
  <sheetData>
    <row r="1" spans="1:19" ht="26.15" customHeight="1" x14ac:dyDescent="0.35">
      <c r="A1" t="s">
        <v>94</v>
      </c>
    </row>
    <row r="2" spans="1:19" ht="37" customHeight="1" x14ac:dyDescent="0.35">
      <c r="B2" t="s">
        <v>85</v>
      </c>
      <c r="C2" t="s">
        <v>95</v>
      </c>
      <c r="D2" t="s">
        <v>90</v>
      </c>
      <c r="E2" t="s">
        <v>117</v>
      </c>
      <c r="F2" t="s">
        <v>89</v>
      </c>
      <c r="G2" t="s">
        <v>97</v>
      </c>
      <c r="H2" t="s">
        <v>86</v>
      </c>
      <c r="I2" t="s">
        <v>98</v>
      </c>
      <c r="J2" t="s">
        <v>100</v>
      </c>
      <c r="K2" t="s">
        <v>141</v>
      </c>
      <c r="L2" s="50"/>
      <c r="M2" s="50"/>
    </row>
    <row r="3" spans="1:19" x14ac:dyDescent="0.35">
      <c r="A3" t="s">
        <v>0</v>
      </c>
      <c r="B3" s="6">
        <f>C3*D3/1000</f>
        <v>110.203</v>
      </c>
      <c r="C3">
        <v>193</v>
      </c>
      <c r="D3">
        <v>571</v>
      </c>
      <c r="E3">
        <f>20-2.75</f>
        <v>17.25</v>
      </c>
      <c r="F3">
        <v>0.08</v>
      </c>
      <c r="G3">
        <f>150*1000</f>
        <v>150000</v>
      </c>
      <c r="H3" s="77">
        <f>(F3*(1+F3)^E3)/((1+F3)^E3-1)</f>
        <v>0.10886110512204131</v>
      </c>
      <c r="I3" s="1">
        <f>B3*H3*1000000</f>
        <v>11996820.367764318</v>
      </c>
      <c r="J3" s="100">
        <f>I$3/G$3</f>
        <v>79.978802451762121</v>
      </c>
      <c r="K3" s="100">
        <v>83</v>
      </c>
      <c r="L3" s="51"/>
      <c r="M3" s="51"/>
      <c r="O3" s="6"/>
      <c r="P3" s="6"/>
      <c r="Q3" s="6"/>
      <c r="R3" s="34"/>
      <c r="S3" s="34"/>
    </row>
    <row r="4" spans="1:19" x14ac:dyDescent="0.35">
      <c r="A4" t="s">
        <v>142</v>
      </c>
      <c r="B4" s="6">
        <f>C4*D4/1000</f>
        <v>770.04</v>
      </c>
      <c r="C4">
        <v>744</v>
      </c>
      <c r="D4">
        <v>1035</v>
      </c>
      <c r="E4">
        <f>20-4.5</f>
        <v>15.5</v>
      </c>
      <c r="F4">
        <v>0.08</v>
      </c>
      <c r="G4">
        <f>500*1000</f>
        <v>500000</v>
      </c>
      <c r="H4" s="77">
        <f>(F4*(1+F4)^E4)/((1+F4)^E4-1)</f>
        <v>0.11483387741459251</v>
      </c>
      <c r="I4" s="1">
        <f>B4*H4*1000000</f>
        <v>88426678.964332819</v>
      </c>
      <c r="J4" s="100">
        <f>I4/G4</f>
        <v>176.85335792866564</v>
      </c>
      <c r="K4" s="100">
        <v>269</v>
      </c>
      <c r="L4" s="51"/>
      <c r="M4" s="51"/>
      <c r="O4" s="6"/>
      <c r="P4" s="6"/>
      <c r="Q4" s="6"/>
      <c r="R4" s="34"/>
      <c r="S4" s="34"/>
    </row>
    <row r="5" spans="1:19" x14ac:dyDescent="0.35">
      <c r="A5" t="s">
        <v>143</v>
      </c>
      <c r="B5" s="6">
        <f>C5*D5/1000</f>
        <v>770.04</v>
      </c>
      <c r="C5">
        <v>744</v>
      </c>
      <c r="D5">
        <v>1035</v>
      </c>
      <c r="E5">
        <f>20-4.5</f>
        <v>15.5</v>
      </c>
      <c r="F5">
        <v>0.08</v>
      </c>
      <c r="G5">
        <f>500*1000</f>
        <v>500000</v>
      </c>
      <c r="H5" s="77">
        <f>(F5*(1+F5)^E5)/((1+F5)^E5-1)</f>
        <v>0.11483387741459251</v>
      </c>
      <c r="I5" s="1">
        <f>B5*H5*1000000</f>
        <v>88426678.964332819</v>
      </c>
      <c r="J5" s="100">
        <f>I5/G5</f>
        <v>176.85335792866564</v>
      </c>
      <c r="K5" s="100">
        <v>376</v>
      </c>
      <c r="L5" s="51"/>
      <c r="M5" s="51"/>
      <c r="O5" s="6"/>
      <c r="P5" s="6"/>
      <c r="Q5" s="6"/>
      <c r="R5" s="34"/>
      <c r="S5" s="34"/>
    </row>
    <row r="6" spans="1:19" x14ac:dyDescent="0.35">
      <c r="A6" t="s">
        <v>91</v>
      </c>
      <c r="B6" s="6">
        <f>C6*D6/1000</f>
        <v>551.07000000000005</v>
      </c>
      <c r="C6" s="18">
        <v>78</v>
      </c>
      <c r="D6" s="24">
        <f>(5300+8830)/2</f>
        <v>7065</v>
      </c>
      <c r="E6">
        <f>20-3.5</f>
        <v>16.5</v>
      </c>
      <c r="F6">
        <v>0.08</v>
      </c>
      <c r="G6">
        <f>85*1000</f>
        <v>85000</v>
      </c>
      <c r="H6" s="77">
        <f t="shared" ref="H6:H19" si="0">(F6*(1+F6)^E6)/((1+F6)^E6-1)</f>
        <v>0.11124580093975582</v>
      </c>
      <c r="I6" s="1">
        <f>B6*H6*1000000</f>
        <v>61304223.523871243</v>
      </c>
      <c r="J6" s="100">
        <f t="shared" ref="J6:J19" si="1">I6/G6</f>
        <v>721.22615910436753</v>
      </c>
      <c r="K6" s="100">
        <v>555</v>
      </c>
      <c r="L6" s="51" t="s">
        <v>146</v>
      </c>
      <c r="M6" s="51"/>
      <c r="O6" s="6"/>
      <c r="P6" s="6"/>
      <c r="Q6" s="6"/>
      <c r="R6" s="34"/>
      <c r="S6" s="34"/>
    </row>
    <row r="7" spans="1:19" x14ac:dyDescent="0.35">
      <c r="A7" t="s">
        <v>87</v>
      </c>
      <c r="B7" s="6">
        <f>C7*D7/1000</f>
        <v>1084.9649999999999</v>
      </c>
      <c r="C7" s="24">
        <f>(75+135)/2</f>
        <v>105</v>
      </c>
      <c r="D7" s="24">
        <f>(8221+12445)/2</f>
        <v>10333</v>
      </c>
      <c r="E7">
        <f>20-3.5</f>
        <v>16.5</v>
      </c>
      <c r="F7">
        <v>0.08</v>
      </c>
      <c r="G7">
        <f>50*1000</f>
        <v>50000</v>
      </c>
      <c r="H7" s="77">
        <f t="shared" si="0"/>
        <v>0.11124580093975582</v>
      </c>
      <c r="I7" s="1">
        <f>B7*H7*1000000</f>
        <v>120697800.41660216</v>
      </c>
      <c r="J7" s="2">
        <f>I7/G7</f>
        <v>2413.9560083320434</v>
      </c>
      <c r="K7" s="2">
        <v>1892</v>
      </c>
      <c r="L7" s="51" t="s">
        <v>145</v>
      </c>
      <c r="M7" s="51"/>
      <c r="R7" s="34"/>
      <c r="S7" s="34"/>
    </row>
    <row r="8" spans="1:19" x14ac:dyDescent="0.35">
      <c r="A8" t="s">
        <v>88</v>
      </c>
      <c r="B8" s="6">
        <f t="shared" ref="B8:B17" si="2">C8*D8/1000</f>
        <v>828.89509999999996</v>
      </c>
      <c r="C8" s="24">
        <f>(135+74.9)/2</f>
        <v>104.95</v>
      </c>
      <c r="D8" s="10">
        <f>(((8221+12445)/2)+5463)/2</f>
        <v>7898</v>
      </c>
      <c r="E8">
        <v>16</v>
      </c>
      <c r="F8">
        <v>0.08</v>
      </c>
      <c r="G8">
        <f>50*1000</f>
        <v>50000</v>
      </c>
      <c r="H8" s="77">
        <f t="shared" si="0"/>
        <v>0.11297687198822257</v>
      </c>
      <c r="I8" s="1">
        <f t="shared" ref="I8:I19" si="3">B8*H8*1000000</f>
        <v>93645975.604364932</v>
      </c>
      <c r="J8" s="2">
        <f t="shared" si="1"/>
        <v>1872.9195120872987</v>
      </c>
      <c r="K8" s="2"/>
    </row>
    <row r="9" spans="1:19" x14ac:dyDescent="0.35">
      <c r="A9" t="s">
        <v>92</v>
      </c>
      <c r="B9" s="6">
        <f t="shared" ref="B9" si="4">C9*D9/1000</f>
        <v>31.6</v>
      </c>
      <c r="C9" s="24">
        <f>(5+11)/2</f>
        <v>8</v>
      </c>
      <c r="D9" s="24">
        <f>(2600+5300)/2</f>
        <v>3950</v>
      </c>
      <c r="E9">
        <f>20-(1.25+1.25)</f>
        <v>17.5</v>
      </c>
      <c r="F9">
        <v>0.08</v>
      </c>
      <c r="G9">
        <f>2.9*1000</f>
        <v>2900</v>
      </c>
      <c r="H9" s="77">
        <f t="shared" ref="H9" si="5">(F9*(1+F9)^E9)/((1+F9)^E9-1)</f>
        <v>0.10811781238078196</v>
      </c>
      <c r="I9" s="1">
        <f>B9*H9*1000000</f>
        <v>3416522.8712327098</v>
      </c>
      <c r="J9" s="2">
        <f t="shared" ref="J9" si="6">I9/G9</f>
        <v>1178.111334907831</v>
      </c>
      <c r="K9" s="2">
        <v>965</v>
      </c>
    </row>
    <row r="10" spans="1:19" x14ac:dyDescent="0.35">
      <c r="A10" t="s">
        <v>93</v>
      </c>
      <c r="B10" s="6">
        <f>C10*D10/1000</f>
        <v>16.5</v>
      </c>
      <c r="C10">
        <v>5</v>
      </c>
      <c r="D10">
        <v>3300</v>
      </c>
      <c r="E10">
        <f>20-(1.25+1.25)</f>
        <v>17.5</v>
      </c>
      <c r="F10">
        <v>0.08</v>
      </c>
      <c r="G10">
        <f>2.9*1000</f>
        <v>2900</v>
      </c>
      <c r="H10" s="77">
        <f t="shared" si="0"/>
        <v>0.10811781238078196</v>
      </c>
      <c r="I10" s="1">
        <f t="shared" si="3"/>
        <v>1783943.9042829021</v>
      </c>
      <c r="J10" s="2">
        <f t="shared" si="1"/>
        <v>615.15307044238</v>
      </c>
      <c r="K10" s="2">
        <v>605</v>
      </c>
    </row>
    <row r="11" spans="1:19" ht="15.5" customHeight="1" x14ac:dyDescent="0.35">
      <c r="A11" t="s">
        <v>26</v>
      </c>
      <c r="B11" s="6">
        <f>C11*D11/1000</f>
        <v>415.72500000000002</v>
      </c>
      <c r="C11" s="24">
        <f>(100+130)/2</f>
        <v>115</v>
      </c>
      <c r="D11">
        <v>3615</v>
      </c>
      <c r="E11">
        <v>16</v>
      </c>
      <c r="F11">
        <v>0.08</v>
      </c>
      <c r="G11">
        <f>145*1000</f>
        <v>145000</v>
      </c>
      <c r="H11" s="77">
        <f>(F11*(1+F11)^E11)/((1+F11)^E11-1)</f>
        <v>0.11297687198822257</v>
      </c>
      <c r="I11" s="1">
        <f>B11*H11*1000000</f>
        <v>46967310.107303828</v>
      </c>
      <c r="J11" s="2">
        <f>I11/G11</f>
        <v>323.91248349864708</v>
      </c>
      <c r="K11" s="2">
        <v>281</v>
      </c>
    </row>
    <row r="12" spans="1:19" x14ac:dyDescent="0.35">
      <c r="A12" t="s">
        <v>27</v>
      </c>
      <c r="B12" s="6">
        <f t="shared" si="2"/>
        <v>220.5</v>
      </c>
      <c r="C12">
        <v>105</v>
      </c>
      <c r="D12">
        <v>2100</v>
      </c>
      <c r="E12">
        <v>17</v>
      </c>
      <c r="F12">
        <v>0.08</v>
      </c>
      <c r="G12">
        <f>150*1000</f>
        <v>150000</v>
      </c>
      <c r="H12" s="77">
        <f t="shared" si="0"/>
        <v>0.1096294314987091</v>
      </c>
      <c r="I12" s="1">
        <f t="shared" si="3"/>
        <v>24173289.645465355</v>
      </c>
      <c r="J12" s="2">
        <f t="shared" si="1"/>
        <v>161.15526430310237</v>
      </c>
      <c r="K12" s="2"/>
    </row>
    <row r="13" spans="1:19" x14ac:dyDescent="0.35">
      <c r="A13" t="s">
        <v>29</v>
      </c>
      <c r="B13" s="6">
        <f t="shared" si="2"/>
        <v>24.209</v>
      </c>
      <c r="C13">
        <v>43</v>
      </c>
      <c r="D13">
        <v>563</v>
      </c>
      <c r="E13">
        <v>15.5</v>
      </c>
      <c r="F13">
        <v>0.08</v>
      </c>
      <c r="G13">
        <f>62*1000</f>
        <v>62000</v>
      </c>
      <c r="H13" s="77">
        <f t="shared" si="0"/>
        <v>0.11483387741459251</v>
      </c>
      <c r="I13" s="1">
        <f t="shared" si="3"/>
        <v>2780013.3383298703</v>
      </c>
      <c r="J13" s="100">
        <f t="shared" si="1"/>
        <v>44.838924811772102</v>
      </c>
      <c r="K13" s="100">
        <v>57</v>
      </c>
    </row>
    <row r="14" spans="1:19" x14ac:dyDescent="0.35">
      <c r="A14" t="s">
        <v>59</v>
      </c>
      <c r="B14" s="6">
        <f t="shared" si="2"/>
        <v>352.9</v>
      </c>
      <c r="C14">
        <v>100</v>
      </c>
      <c r="D14">
        <v>3529</v>
      </c>
      <c r="E14">
        <v>16</v>
      </c>
      <c r="F14">
        <v>0.08</v>
      </c>
      <c r="G14">
        <f>57.8*1000</f>
        <v>57800</v>
      </c>
      <c r="H14" s="77">
        <f t="shared" si="0"/>
        <v>0.11297687198822257</v>
      </c>
      <c r="I14" s="1">
        <f t="shared" si="3"/>
        <v>39869538.124643736</v>
      </c>
      <c r="J14" s="100">
        <f t="shared" si="1"/>
        <v>689.78439662013386</v>
      </c>
      <c r="K14" s="100">
        <v>800</v>
      </c>
    </row>
    <row r="15" spans="1:19" x14ac:dyDescent="0.35">
      <c r="A15" t="s">
        <v>33</v>
      </c>
      <c r="B15" s="6">
        <f t="shared" si="2"/>
        <v>2.52</v>
      </c>
      <c r="C15">
        <v>5</v>
      </c>
      <c r="D15">
        <v>504</v>
      </c>
      <c r="E15">
        <v>18</v>
      </c>
      <c r="F15">
        <v>0.08</v>
      </c>
      <c r="G15">
        <f>2.9*1000</f>
        <v>2900</v>
      </c>
      <c r="H15" s="77">
        <f t="shared" si="0"/>
        <v>0.10670209590483774</v>
      </c>
      <c r="I15" s="1">
        <f t="shared" si="3"/>
        <v>268889.28168019111</v>
      </c>
      <c r="J15" s="2">
        <f t="shared" si="1"/>
        <v>92.720441958686592</v>
      </c>
      <c r="K15" s="2">
        <v>128</v>
      </c>
    </row>
    <row r="16" spans="1:19" x14ac:dyDescent="0.35">
      <c r="A16" t="s">
        <v>34</v>
      </c>
      <c r="B16" s="6">
        <f t="shared" si="2"/>
        <v>1248.7065</v>
      </c>
      <c r="C16" s="24">
        <f>(200+217)/2</f>
        <v>208.5</v>
      </c>
      <c r="D16" s="24">
        <f>(3798+8180)/2</f>
        <v>5989</v>
      </c>
      <c r="E16">
        <f>20-3</f>
        <v>17</v>
      </c>
      <c r="F16">
        <v>0.08</v>
      </c>
      <c r="G16">
        <f>134*1000</f>
        <v>134000</v>
      </c>
      <c r="H16" s="77">
        <f t="shared" si="0"/>
        <v>0.1096294314987091</v>
      </c>
      <c r="I16" s="1">
        <f t="shared" si="3"/>
        <v>136894983.7037428</v>
      </c>
      <c r="J16" s="100">
        <f t="shared" si="1"/>
        <v>1021.6043559980806</v>
      </c>
      <c r="K16" s="100">
        <v>1445</v>
      </c>
      <c r="L16" s="24" t="s">
        <v>144</v>
      </c>
    </row>
    <row r="17" spans="1:11" x14ac:dyDescent="0.35">
      <c r="A17" t="s">
        <v>139</v>
      </c>
      <c r="B17" s="6">
        <f t="shared" si="2"/>
        <v>208.58360000000002</v>
      </c>
      <c r="C17" s="18">
        <v>78.8</v>
      </c>
      <c r="D17" s="18">
        <v>2647</v>
      </c>
      <c r="E17">
        <v>16</v>
      </c>
      <c r="F17">
        <v>0.08</v>
      </c>
      <c r="G17">
        <f>85*1000</f>
        <v>85000</v>
      </c>
      <c r="H17" s="77">
        <f>(F17*(1+F17)^E17)/((1+F17)^E17-1)</f>
        <v>0.11297687198822257</v>
      </c>
      <c r="I17" s="1">
        <f>B17*H17*1000000</f>
        <v>23565122.676042624</v>
      </c>
      <c r="J17" s="2">
        <f>I17/G17</f>
        <v>277.23673736520732</v>
      </c>
      <c r="K17" s="2">
        <v>278</v>
      </c>
    </row>
    <row r="18" spans="1:11" x14ac:dyDescent="0.35">
      <c r="A18" t="s">
        <v>140</v>
      </c>
      <c r="B18" s="6">
        <f>C18*D18/1000</f>
        <v>573.61500000000001</v>
      </c>
      <c r="C18" s="24">
        <f>(75+135)/2</f>
        <v>105</v>
      </c>
      <c r="D18">
        <v>5463</v>
      </c>
      <c r="E18">
        <f>20-4</f>
        <v>16</v>
      </c>
      <c r="F18">
        <v>0.08</v>
      </c>
      <c r="G18">
        <f>50*1000</f>
        <v>50000</v>
      </c>
      <c r="H18" s="77">
        <f t="shared" si="0"/>
        <v>0.11297687198822257</v>
      </c>
      <c r="I18" s="1">
        <f t="shared" si="3"/>
        <v>64805228.425524294</v>
      </c>
      <c r="J18" s="2">
        <f t="shared" si="1"/>
        <v>1296.1045685104859</v>
      </c>
      <c r="K18" s="2">
        <v>1257</v>
      </c>
    </row>
    <row r="19" spans="1:11" x14ac:dyDescent="0.35">
      <c r="A19" t="s">
        <v>60</v>
      </c>
      <c r="B19" s="6">
        <f t="shared" ref="B19:B20" si="7">C19*D19/1000</f>
        <v>196.48099999999999</v>
      </c>
      <c r="C19">
        <v>61</v>
      </c>
      <c r="D19">
        <v>3221</v>
      </c>
      <c r="E19">
        <v>15</v>
      </c>
      <c r="F19">
        <v>0.08</v>
      </c>
      <c r="G19">
        <f>38.7*1000</f>
        <v>38700</v>
      </c>
      <c r="H19" s="77">
        <f t="shared" si="0"/>
        <v>0.11682954493601999</v>
      </c>
      <c r="I19" s="1">
        <f t="shared" si="3"/>
        <v>22954785.818574145</v>
      </c>
      <c r="J19" s="2">
        <f t="shared" si="1"/>
        <v>593.1469203765929</v>
      </c>
      <c r="K19" s="2">
        <v>805</v>
      </c>
    </row>
    <row r="20" spans="1:11" x14ac:dyDescent="0.35">
      <c r="A20" t="s">
        <v>61</v>
      </c>
      <c r="B20" s="6">
        <f t="shared" si="7"/>
        <v>451.92</v>
      </c>
      <c r="C20">
        <v>120</v>
      </c>
      <c r="D20">
        <v>3766</v>
      </c>
      <c r="E20">
        <v>15</v>
      </c>
      <c r="F20">
        <v>0.08</v>
      </c>
      <c r="G20">
        <f>120*1000</f>
        <v>120000</v>
      </c>
      <c r="H20" s="77">
        <f>(F20*(1+F20)^E20)/((1+F20)^E20-1)</f>
        <v>0.11682954493601999</v>
      </c>
      <c r="I20" s="1">
        <f>B20*H20*1000000</f>
        <v>52797607.947486155</v>
      </c>
      <c r="J20" s="2">
        <f>I20/G20</f>
        <v>439.98006622905132</v>
      </c>
      <c r="K20" s="2">
        <v>685</v>
      </c>
    </row>
  </sheetData>
  <pageMargins left="0.7" right="0.7" top="0.78740157499999996" bottom="0.78740157499999996"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0A88-8CE0-40E1-B31F-4CBC72698B5B}">
  <dimension ref="A1:H21"/>
  <sheetViews>
    <sheetView workbookViewId="0">
      <selection activeCell="E4" sqref="E4"/>
    </sheetView>
  </sheetViews>
  <sheetFormatPr baseColWidth="10" defaultRowHeight="14.5" x14ac:dyDescent="0.35"/>
  <cols>
    <col min="2" max="2" width="13.90625" customWidth="1"/>
    <col min="3" max="3" width="19.81640625" customWidth="1"/>
    <col min="4" max="4" width="24.453125" customWidth="1"/>
    <col min="5" max="5" width="16.36328125" customWidth="1"/>
    <col min="6" max="6" width="22.6328125" customWidth="1"/>
  </cols>
  <sheetData>
    <row r="1" spans="1:8" s="52" customFormat="1" ht="19.5" customHeight="1" x14ac:dyDescent="0.35">
      <c r="A1" s="52" t="s">
        <v>118</v>
      </c>
      <c r="B1" s="52" t="s">
        <v>119</v>
      </c>
      <c r="C1" s="52" t="s">
        <v>120</v>
      </c>
      <c r="D1" s="52" t="s">
        <v>123</v>
      </c>
      <c r="E1" s="52" t="s">
        <v>124</v>
      </c>
      <c r="F1" s="52" t="s">
        <v>127</v>
      </c>
      <c r="G1" s="52" t="s">
        <v>128</v>
      </c>
    </row>
    <row r="2" spans="1:8" s="53" customFormat="1" ht="19.5" customHeight="1" x14ac:dyDescent="0.35">
      <c r="A2" s="53" t="s">
        <v>121</v>
      </c>
    </row>
    <row r="3" spans="1:8" x14ac:dyDescent="0.35">
      <c r="A3" s="48">
        <v>1</v>
      </c>
      <c r="B3">
        <v>14.5</v>
      </c>
      <c r="C3">
        <v>150</v>
      </c>
      <c r="D3" s="6">
        <f>B3*1000/C3</f>
        <v>96.666666666666671</v>
      </c>
      <c r="E3">
        <f>267*0.75</f>
        <v>200.25</v>
      </c>
      <c r="F3" s="6">
        <f>E3-D3</f>
        <v>103.58333333333333</v>
      </c>
    </row>
    <row r="4" spans="1:8" x14ac:dyDescent="0.35">
      <c r="A4" t="s">
        <v>102</v>
      </c>
      <c r="B4">
        <v>156</v>
      </c>
      <c r="C4">
        <v>500</v>
      </c>
      <c r="D4" s="6">
        <f>B4*1000/C4</f>
        <v>312</v>
      </c>
      <c r="E4">
        <f>405*0.75</f>
        <v>303.75</v>
      </c>
      <c r="F4" s="6">
        <f t="shared" ref="F4:F19" si="0">E4-D4</f>
        <v>-8.25</v>
      </c>
    </row>
    <row r="5" spans="1:8" x14ac:dyDescent="0.35">
      <c r="A5" t="s">
        <v>101</v>
      </c>
      <c r="B5">
        <v>156</v>
      </c>
      <c r="C5">
        <v>500</v>
      </c>
      <c r="D5" s="6">
        <f t="shared" ref="D5" si="1">B5*1000/C5</f>
        <v>312</v>
      </c>
      <c r="E5">
        <f>566*0.75</f>
        <v>424.5</v>
      </c>
      <c r="F5" s="6">
        <f t="shared" si="0"/>
        <v>112.5</v>
      </c>
    </row>
    <row r="6" spans="1:8" x14ac:dyDescent="0.35">
      <c r="A6" t="s">
        <v>103</v>
      </c>
      <c r="B6">
        <v>43.8</v>
      </c>
      <c r="C6">
        <v>85</v>
      </c>
      <c r="D6" s="6">
        <f>B6*1000/C6</f>
        <v>515.29411764705878</v>
      </c>
      <c r="E6">
        <f>516*0.75</f>
        <v>387</v>
      </c>
      <c r="F6" s="6">
        <f t="shared" si="0"/>
        <v>-128.29411764705878</v>
      </c>
    </row>
    <row r="7" spans="1:8" x14ac:dyDescent="0.35">
      <c r="A7" s="48">
        <v>6</v>
      </c>
      <c r="B7" s="24">
        <f>(52.5+93.7)/2</f>
        <v>73.099999999999994</v>
      </c>
      <c r="C7">
        <v>50</v>
      </c>
      <c r="D7" s="6">
        <f t="shared" ref="D7:D19" si="2">B7*1000/C7</f>
        <v>1462</v>
      </c>
      <c r="E7" s="38"/>
      <c r="F7" s="6">
        <f t="shared" si="0"/>
        <v>-1462</v>
      </c>
      <c r="H7" s="24" t="s">
        <v>126</v>
      </c>
    </row>
    <row r="8" spans="1:8" x14ac:dyDescent="0.35">
      <c r="A8" s="48" t="s">
        <v>112</v>
      </c>
      <c r="B8">
        <v>2.63</v>
      </c>
      <c r="C8">
        <v>2.9</v>
      </c>
      <c r="D8" s="6">
        <f t="shared" si="2"/>
        <v>906.89655172413791</v>
      </c>
      <c r="E8">
        <f>913*0.75</f>
        <v>684.75</v>
      </c>
      <c r="F8" s="6">
        <f t="shared" si="0"/>
        <v>-222.14655172413791</v>
      </c>
    </row>
    <row r="9" spans="1:8" x14ac:dyDescent="0.35">
      <c r="A9" s="48" t="s">
        <v>113</v>
      </c>
      <c r="B9">
        <v>1.1200000000000001</v>
      </c>
      <c r="C9">
        <v>2.9</v>
      </c>
      <c r="D9" s="6">
        <f t="shared" si="2"/>
        <v>386.20689655172413</v>
      </c>
      <c r="E9">
        <f>388*0.75</f>
        <v>291</v>
      </c>
      <c r="F9" s="6">
        <f t="shared" si="0"/>
        <v>-95.206896551724128</v>
      </c>
    </row>
    <row r="10" spans="1:8" x14ac:dyDescent="0.35">
      <c r="A10" s="48" t="s">
        <v>104</v>
      </c>
      <c r="B10">
        <v>27.1</v>
      </c>
      <c r="C10">
        <v>145</v>
      </c>
      <c r="D10" s="6">
        <f t="shared" si="2"/>
        <v>186.89655172413794</v>
      </c>
      <c r="E10">
        <f>186*0.75</f>
        <v>139.5</v>
      </c>
      <c r="F10" s="6">
        <f t="shared" si="0"/>
        <v>-47.396551724137936</v>
      </c>
    </row>
    <row r="11" spans="1:8" x14ac:dyDescent="0.35">
      <c r="A11" s="48" t="s">
        <v>105</v>
      </c>
      <c r="B11">
        <v>180</v>
      </c>
      <c r="C11">
        <v>150</v>
      </c>
      <c r="D11" s="6">
        <f t="shared" si="2"/>
        <v>1200</v>
      </c>
      <c r="E11" t="s">
        <v>116</v>
      </c>
      <c r="F11" s="6"/>
    </row>
    <row r="12" spans="1:8" x14ac:dyDescent="0.35">
      <c r="A12" s="48" t="s">
        <v>106</v>
      </c>
      <c r="B12">
        <v>1.8</v>
      </c>
      <c r="C12">
        <v>62</v>
      </c>
      <c r="D12" s="6">
        <f t="shared" si="2"/>
        <v>29.032258064516128</v>
      </c>
      <c r="E12">
        <f>29*0.75</f>
        <v>21.75</v>
      </c>
      <c r="F12" s="6">
        <f t="shared" si="0"/>
        <v>-7.2822580645161281</v>
      </c>
    </row>
    <row r="13" spans="1:8" x14ac:dyDescent="0.35">
      <c r="A13" s="48" t="s">
        <v>107</v>
      </c>
      <c r="B13">
        <v>20.8</v>
      </c>
      <c r="C13">
        <v>57.8</v>
      </c>
      <c r="D13" s="6">
        <f t="shared" si="2"/>
        <v>359.86159169550177</v>
      </c>
      <c r="E13">
        <f>360*0.75</f>
        <v>270</v>
      </c>
      <c r="F13" s="6">
        <f t="shared" si="0"/>
        <v>-89.861591695501772</v>
      </c>
    </row>
    <row r="14" spans="1:8" x14ac:dyDescent="0.35">
      <c r="A14" s="48" t="s">
        <v>108</v>
      </c>
      <c r="B14">
        <v>0.2</v>
      </c>
      <c r="C14">
        <v>2.9</v>
      </c>
      <c r="D14" s="6">
        <f t="shared" si="2"/>
        <v>68.965517241379317</v>
      </c>
      <c r="E14">
        <f>151*0.75</f>
        <v>113.25</v>
      </c>
      <c r="F14" s="6">
        <f t="shared" si="0"/>
        <v>44.284482758620683</v>
      </c>
    </row>
    <row r="15" spans="1:8" x14ac:dyDescent="0.35">
      <c r="A15" s="48" t="s">
        <v>109</v>
      </c>
      <c r="B15" s="24">
        <f>(57+163.9)/2</f>
        <v>110.45</v>
      </c>
      <c r="C15">
        <v>134</v>
      </c>
      <c r="D15" s="6">
        <f t="shared" si="2"/>
        <v>824.25373134328356</v>
      </c>
      <c r="E15">
        <f>955*0.75</f>
        <v>716.25</v>
      </c>
      <c r="F15" s="6">
        <f t="shared" si="0"/>
        <v>-108.00373134328356</v>
      </c>
    </row>
    <row r="16" spans="1:8" x14ac:dyDescent="0.35">
      <c r="A16" s="48" t="s">
        <v>147</v>
      </c>
      <c r="B16">
        <v>33.4</v>
      </c>
      <c r="C16">
        <v>85</v>
      </c>
      <c r="D16" s="6">
        <f t="shared" si="2"/>
        <v>392.94117647058823</v>
      </c>
      <c r="E16">
        <f>393*0.75</f>
        <v>294.75</v>
      </c>
      <c r="F16" s="6">
        <f t="shared" si="0"/>
        <v>-98.191176470588232</v>
      </c>
    </row>
    <row r="17" spans="1:8" x14ac:dyDescent="0.35">
      <c r="A17" s="48" t="s">
        <v>148</v>
      </c>
      <c r="D17" s="6"/>
      <c r="E17">
        <f>904*0.75</f>
        <v>678</v>
      </c>
      <c r="F17" s="6"/>
    </row>
    <row r="18" spans="1:8" x14ac:dyDescent="0.35">
      <c r="A18" s="48" t="s">
        <v>110</v>
      </c>
      <c r="C18">
        <v>38.700000000000003</v>
      </c>
      <c r="D18" s="6"/>
      <c r="E18">
        <f>582*0.75</f>
        <v>436.5</v>
      </c>
      <c r="F18" s="6"/>
    </row>
    <row r="19" spans="1:8" x14ac:dyDescent="0.35">
      <c r="A19" s="48" t="s">
        <v>111</v>
      </c>
      <c r="B19">
        <v>33.799999999999997</v>
      </c>
      <c r="C19">
        <v>120</v>
      </c>
      <c r="D19" s="6">
        <f t="shared" si="2"/>
        <v>281.66666666666669</v>
      </c>
      <c r="E19">
        <f>((981+706)/2)*0.75</f>
        <v>632.625</v>
      </c>
      <c r="F19" s="6">
        <f t="shared" si="0"/>
        <v>350.95833333333331</v>
      </c>
      <c r="G19" t="s">
        <v>129</v>
      </c>
      <c r="H19" s="24" t="s">
        <v>125</v>
      </c>
    </row>
    <row r="21" spans="1:8" x14ac:dyDescent="0.35">
      <c r="A21" s="48" t="s">
        <v>122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22</vt:i4>
      </vt:variant>
    </vt:vector>
  </HeadingPairs>
  <TitlesOfParts>
    <vt:vector size="22" baseType="lpstr">
      <vt:lpstr>Prices per feedstock &amp; per IVC</vt:lpstr>
      <vt:lpstr>LCoP CONVENTIONAL</vt:lpstr>
      <vt:lpstr>2023 costs</vt:lpstr>
      <vt:lpstr>2030 costs Sc 1</vt:lpstr>
      <vt:lpstr>Tabelle1</vt:lpstr>
      <vt:lpstr>2030 costs Sc 2</vt:lpstr>
      <vt:lpstr>2030 costs Sc 3</vt:lpstr>
      <vt:lpstr>Feedstock MIX per IVC</vt:lpstr>
      <vt:lpstr>2035 costs Sc 1</vt:lpstr>
      <vt:lpstr>2035 costs Sc 2</vt:lpstr>
      <vt:lpstr>2035 costs Sc 3</vt:lpstr>
      <vt:lpstr>2040 Sc 1</vt:lpstr>
      <vt:lpstr>2040 Sc 2</vt:lpstr>
      <vt:lpstr>2040 costs Sc 3</vt:lpstr>
      <vt:lpstr>LCoP 2030 MEDIUM</vt:lpstr>
      <vt:lpstr>LCoP 2040 high</vt:lpstr>
      <vt:lpstr>LCoP 2030 HIGH</vt:lpstr>
      <vt:lpstr>LCoP 2040 medium-high</vt:lpstr>
      <vt:lpstr>LCoP 2050 high</vt:lpstr>
      <vt:lpstr>Feedtstocks only CONVENTIONAL</vt:lpstr>
      <vt:lpstr>CAPEX only</vt:lpstr>
      <vt:lpstr>OPEX only</vt:lpstr>
    </vt:vector>
  </TitlesOfParts>
  <Company>BEST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Catalina Cherpin</dc:creator>
  <cp:lastModifiedBy>Lucie Catalina Cherpin</cp:lastModifiedBy>
  <dcterms:created xsi:type="dcterms:W3CDTF">2026-06-24T14:04:02Z</dcterms:created>
  <dcterms:modified xsi:type="dcterms:W3CDTF">2026-09-14T13:11:17Z</dcterms:modified>
</cp:coreProperties>
</file>