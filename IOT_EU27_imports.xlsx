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a2c94b4791397b6/BEST MA/Modell Files/"/>
    </mc:Choice>
  </mc:AlternateContent>
  <xr:revisionPtr revIDLastSave="84" documentId="8_{D16C0575-3F7E-4AC9-88AA-9C4431155DE8}" xr6:coauthVersionLast="47" xr6:coauthVersionMax="47" xr10:uidLastSave="{39B0E68D-43A3-47A9-9273-5DFD0D191C0F}"/>
  <bookViews>
    <workbookView xWindow="-11985" yWindow="-18120" windowWidth="29040" windowHeight="17520" activeTab="1" xr2:uid="{00000000-000D-0000-FFFF-FFFF00000000}"/>
  </bookViews>
  <sheets>
    <sheet name="Summary" sheetId="1" r:id="rId1"/>
    <sheet name="Sheet 1" sheetId="4" r:id="rId2"/>
    <sheet name="Sheet 2" sheetId="3" r:id="rId3"/>
    <sheet name="Sheet 3" sheetId="2" r:id="rId4"/>
  </sheets>
  <externalReferences>
    <externalReference r:id="rId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M23" i="2" l="1"/>
  <c r="C45" i="2"/>
  <c r="D45" i="2"/>
  <c r="E45" i="2"/>
  <c r="F45" i="2"/>
  <c r="G45" i="2"/>
  <c r="H45" i="2"/>
  <c r="I45" i="2"/>
  <c r="J45" i="2"/>
  <c r="K45" i="2"/>
  <c r="L45" i="2"/>
  <c r="M45" i="2"/>
  <c r="N45" i="2"/>
  <c r="O45" i="2"/>
  <c r="P45" i="2"/>
  <c r="Q45" i="2"/>
  <c r="R45" i="2"/>
  <c r="S45" i="2"/>
  <c r="T45" i="2"/>
  <c r="U45" i="2"/>
  <c r="V45" i="2"/>
  <c r="W45" i="2"/>
  <c r="X45" i="2"/>
  <c r="Y45" i="2"/>
  <c r="Z45" i="2"/>
  <c r="AA45" i="2"/>
  <c r="AB45" i="2"/>
  <c r="AC45" i="2"/>
  <c r="AD45" i="2"/>
  <c r="AE45" i="2"/>
  <c r="AF45" i="2"/>
  <c r="AG45" i="2"/>
  <c r="AH45" i="2"/>
  <c r="AI45" i="2"/>
  <c r="AJ45" i="2"/>
  <c r="AK45" i="2"/>
  <c r="AL45" i="2"/>
  <c r="AM45" i="2"/>
  <c r="AN45" i="2"/>
  <c r="AO45" i="2"/>
  <c r="AP45" i="2"/>
  <c r="AQ45" i="2"/>
  <c r="AR45" i="2"/>
  <c r="AS45" i="2"/>
  <c r="AT45" i="2"/>
  <c r="AU45" i="2"/>
  <c r="AV45" i="2"/>
  <c r="AW45" i="2"/>
  <c r="AX45" i="2"/>
  <c r="AY45" i="2"/>
  <c r="AZ45" i="2"/>
  <c r="BA45" i="2"/>
  <c r="BB45" i="2"/>
  <c r="BC45" i="2"/>
  <c r="BD45" i="2"/>
  <c r="BE45" i="2"/>
  <c r="BF45" i="2"/>
  <c r="BG45" i="2"/>
  <c r="BH45" i="2"/>
  <c r="BI45" i="2"/>
  <c r="BJ45" i="2"/>
  <c r="BK45" i="2"/>
  <c r="BL45" i="2"/>
  <c r="BM45" i="2"/>
  <c r="BN45" i="2"/>
  <c r="BO45" i="2"/>
  <c r="BP45" i="2"/>
  <c r="BQ45" i="2"/>
  <c r="BR45" i="2"/>
  <c r="BS45" i="2"/>
  <c r="BT45" i="2"/>
  <c r="BU45" i="2"/>
  <c r="BV45" i="2"/>
  <c r="BW45" i="2"/>
  <c r="BX45" i="2"/>
  <c r="BY45" i="2"/>
  <c r="BZ45" i="2"/>
  <c r="CA45" i="2"/>
  <c r="CB45" i="2"/>
  <c r="CC45" i="2"/>
  <c r="CD45" i="2"/>
  <c r="CE45" i="2"/>
  <c r="CF45" i="2"/>
  <c r="CG45" i="2"/>
  <c r="CH45" i="2"/>
  <c r="CI45" i="2"/>
  <c r="CJ45" i="2"/>
  <c r="CK45" i="2"/>
  <c r="CL45" i="2"/>
  <c r="CM45" i="2"/>
  <c r="CN45" i="2"/>
  <c r="CO45" i="2"/>
  <c r="CP45" i="2"/>
  <c r="B45" i="2"/>
  <c r="AS24" i="2"/>
  <c r="AS26" i="2"/>
  <c r="AS22" i="2"/>
  <c r="O16" i="2"/>
  <c r="M16" i="2" s="1"/>
  <c r="M12" i="2"/>
  <c r="M13" i="2"/>
  <c r="M14" i="2"/>
  <c r="M15" i="2"/>
  <c r="M17" i="2"/>
  <c r="M18" i="2"/>
  <c r="M19" i="2"/>
  <c r="M20" i="2"/>
  <c r="M21" i="2"/>
  <c r="N22" i="2"/>
  <c r="O22" i="2"/>
  <c r="P22" i="2"/>
  <c r="Q22" i="2"/>
  <c r="R22" i="2"/>
  <c r="S22" i="2"/>
  <c r="T22" i="2"/>
  <c r="U22" i="2"/>
  <c r="V22" i="2"/>
  <c r="W22" i="2"/>
  <c r="M22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6" i="2"/>
  <c r="M47" i="2"/>
  <c r="M48" i="2"/>
  <c r="M49" i="2"/>
  <c r="M50" i="2"/>
  <c r="M51" i="2"/>
  <c r="M52" i="2"/>
  <c r="M53" i="2"/>
  <c r="M54" i="2"/>
  <c r="M55" i="2"/>
  <c r="M56" i="2"/>
  <c r="M57" i="2"/>
  <c r="M58" i="2"/>
  <c r="M59" i="2"/>
  <c r="M60" i="2"/>
  <c r="M61" i="2"/>
  <c r="M62" i="2"/>
  <c r="M63" i="2"/>
  <c r="M64" i="2"/>
  <c r="M65" i="2"/>
  <c r="M66" i="2"/>
  <c r="M67" i="2"/>
  <c r="M68" i="2"/>
  <c r="M69" i="2"/>
  <c r="M70" i="2"/>
  <c r="M71" i="2"/>
  <c r="M72" i="2"/>
  <c r="M73" i="2"/>
  <c r="M74" i="2"/>
  <c r="M75" i="2"/>
  <c r="M76" i="2"/>
  <c r="M77" i="2"/>
  <c r="M78" i="2"/>
  <c r="M79" i="2"/>
  <c r="M80" i="2"/>
  <c r="M81" i="2"/>
  <c r="M82" i="2"/>
  <c r="M83" i="2"/>
  <c r="M84" i="2"/>
  <c r="M85" i="2"/>
  <c r="M86" i="2"/>
  <c r="M87" i="2"/>
  <c r="M88" i="2"/>
  <c r="M89" i="2"/>
  <c r="M90" i="2"/>
  <c r="M91" i="2"/>
  <c r="M92" i="2"/>
  <c r="M93" i="2"/>
  <c r="M94" i="2"/>
  <c r="M95" i="2"/>
  <c r="M96" i="2"/>
  <c r="M97" i="2"/>
  <c r="M98" i="2"/>
  <c r="M99" i="2"/>
  <c r="M100" i="2"/>
  <c r="M101" i="2"/>
  <c r="M102" i="2"/>
  <c r="M103" i="2"/>
  <c r="M104" i="2"/>
  <c r="M105" i="2"/>
  <c r="M11" i="2"/>
  <c r="C22" i="2"/>
  <c r="D22" i="2"/>
  <c r="E22" i="2"/>
  <c r="F22" i="2"/>
  <c r="G22" i="2"/>
  <c r="H22" i="2"/>
  <c r="I22" i="2"/>
  <c r="J22" i="2"/>
  <c r="K22" i="2"/>
  <c r="L22" i="2"/>
  <c r="X22" i="2"/>
  <c r="Y22" i="2"/>
  <c r="Z22" i="2"/>
  <c r="AA22" i="2"/>
  <c r="AB22" i="2"/>
  <c r="AC22" i="2"/>
  <c r="AD22" i="2"/>
  <c r="AE22" i="2"/>
  <c r="AF22" i="2"/>
  <c r="AG22" i="2"/>
  <c r="AH22" i="2"/>
  <c r="AI22" i="2"/>
  <c r="AK22" i="2"/>
  <c r="AL22" i="2"/>
  <c r="AM22" i="2"/>
  <c r="AN22" i="2"/>
  <c r="AO22" i="2"/>
  <c r="AP22" i="2"/>
  <c r="AQ22" i="2"/>
  <c r="AR22" i="2"/>
  <c r="AT22" i="2"/>
  <c r="AU22" i="2"/>
  <c r="AV22" i="2"/>
  <c r="AW22" i="2"/>
  <c r="AX22" i="2"/>
  <c r="AY22" i="2"/>
  <c r="AZ22" i="2"/>
  <c r="BA22" i="2"/>
  <c r="BB22" i="2"/>
  <c r="BC22" i="2"/>
  <c r="BD22" i="2"/>
  <c r="BE22" i="2"/>
  <c r="BF22" i="2"/>
  <c r="BG22" i="2"/>
  <c r="BH22" i="2"/>
  <c r="BI22" i="2"/>
  <c r="BJ22" i="2"/>
  <c r="BK22" i="2"/>
  <c r="BL22" i="2"/>
  <c r="BM22" i="2"/>
  <c r="BN22" i="2"/>
  <c r="BO22" i="2"/>
  <c r="BP22" i="2"/>
  <c r="BQ22" i="2"/>
  <c r="BR22" i="2"/>
  <c r="BS22" i="2"/>
  <c r="BT22" i="2"/>
  <c r="BU22" i="2"/>
  <c r="BV22" i="2"/>
  <c r="BW22" i="2"/>
  <c r="BX22" i="2"/>
  <c r="BY22" i="2"/>
  <c r="BZ22" i="2"/>
  <c r="CA22" i="2"/>
  <c r="CB22" i="2"/>
  <c r="CC22" i="2"/>
  <c r="CD22" i="2"/>
  <c r="CE22" i="2"/>
  <c r="CF22" i="2"/>
  <c r="CG22" i="2"/>
  <c r="CH22" i="2"/>
  <c r="CI22" i="2"/>
  <c r="CJ22" i="2"/>
  <c r="CK22" i="2"/>
  <c r="CL22" i="2"/>
  <c r="CM22" i="2"/>
  <c r="CN22" i="2"/>
  <c r="CO22" i="2"/>
  <c r="CP22" i="2"/>
  <c r="B22" i="2"/>
  <c r="AJ12" i="2"/>
  <c r="AJ13" i="2"/>
  <c r="AJ14" i="2"/>
  <c r="AJ15" i="2"/>
  <c r="AJ16" i="2"/>
  <c r="AJ17" i="2"/>
  <c r="AJ18" i="2"/>
  <c r="AJ19" i="2"/>
  <c r="AJ20" i="2"/>
  <c r="AJ21" i="2"/>
  <c r="AJ23" i="2"/>
  <c r="AJ24" i="2"/>
  <c r="AJ25" i="2"/>
  <c r="AJ26" i="2"/>
  <c r="AJ27" i="2"/>
  <c r="AJ28" i="2"/>
  <c r="AJ29" i="2"/>
  <c r="AJ30" i="2"/>
  <c r="AJ31" i="2"/>
  <c r="AJ32" i="2"/>
  <c r="AJ22" i="2"/>
  <c r="AJ33" i="2"/>
  <c r="AJ34" i="2"/>
  <c r="AJ35" i="2"/>
  <c r="AJ36" i="2"/>
  <c r="AJ37" i="2"/>
  <c r="AJ38" i="2"/>
  <c r="AJ39" i="2"/>
  <c r="AJ40" i="2"/>
  <c r="AJ41" i="2"/>
  <c r="AJ42" i="2"/>
  <c r="AJ43" i="2"/>
  <c r="AJ44" i="2"/>
  <c r="AJ46" i="2"/>
  <c r="AJ47" i="2"/>
  <c r="AJ48" i="2"/>
  <c r="AJ49" i="2"/>
  <c r="AJ50" i="2"/>
  <c r="AJ51" i="2"/>
  <c r="AJ52" i="2"/>
  <c r="AJ53" i="2"/>
  <c r="AJ54" i="2"/>
  <c r="AJ55" i="2"/>
  <c r="AJ56" i="2"/>
  <c r="AJ57" i="2"/>
  <c r="AJ58" i="2"/>
  <c r="AJ59" i="2"/>
  <c r="AJ60" i="2"/>
  <c r="AJ61" i="2"/>
  <c r="AJ62" i="2"/>
  <c r="AJ63" i="2"/>
  <c r="AJ64" i="2"/>
  <c r="AJ65" i="2"/>
  <c r="AJ66" i="2"/>
  <c r="AJ67" i="2"/>
  <c r="AJ68" i="2"/>
  <c r="AJ69" i="2"/>
  <c r="AJ70" i="2"/>
  <c r="AJ71" i="2"/>
  <c r="AJ72" i="2"/>
  <c r="AJ73" i="2"/>
  <c r="AJ74" i="2"/>
  <c r="AJ75" i="2"/>
  <c r="AJ76" i="2"/>
  <c r="AJ77" i="2"/>
  <c r="AJ78" i="2"/>
  <c r="AJ79" i="2"/>
  <c r="AJ80" i="2"/>
  <c r="AJ81" i="2"/>
  <c r="AJ82" i="2"/>
  <c r="AJ83" i="2"/>
  <c r="AJ84" i="2"/>
  <c r="AJ85" i="2"/>
  <c r="AJ86" i="2"/>
  <c r="AJ87" i="2"/>
  <c r="AJ88" i="2"/>
  <c r="AJ89" i="2"/>
  <c r="AJ90" i="2"/>
  <c r="AJ91" i="2"/>
  <c r="AJ92" i="2"/>
  <c r="AJ93" i="2"/>
  <c r="AJ94" i="2"/>
  <c r="AJ95" i="2"/>
  <c r="AJ96" i="2"/>
  <c r="AJ97" i="2"/>
  <c r="AJ98" i="2"/>
  <c r="AJ99" i="2"/>
  <c r="AJ100" i="2"/>
  <c r="AJ101" i="2"/>
  <c r="AJ102" i="2"/>
  <c r="AJ103" i="2"/>
  <c r="AJ104" i="2"/>
  <c r="AJ105" i="2"/>
  <c r="AJ106" i="2"/>
  <c r="AJ11" i="2"/>
</calcChain>
</file>

<file path=xl/sharedStrings.xml><?xml version="1.0" encoding="utf-8"?>
<sst xmlns="http://schemas.openxmlformats.org/spreadsheetml/2006/main" count="6406" uniqueCount="144">
  <si>
    <t>Symmetric input-output table at basic prices (product by product) [naio_10_cp1700__custom_22171867]</t>
  </si>
  <si>
    <t>Open product page</t>
  </si>
  <si>
    <t>Open in Data Browser</t>
  </si>
  <si>
    <t xml:space="preserve">Description: </t>
  </si>
  <si>
    <t>-</t>
  </si>
  <si>
    <t xml:space="preserve">Last update of data: </t>
  </si>
  <si>
    <t>03/07/2026 23:00</t>
  </si>
  <si>
    <t xml:space="preserve">Last change of data structure: </t>
  </si>
  <si>
    <t>04/06/2026 23:00</t>
  </si>
  <si>
    <t>Institutional source(s)</t>
  </si>
  <si>
    <t>Eurostat</t>
  </si>
  <si>
    <t>Contents</t>
  </si>
  <si>
    <t>Time frequency</t>
  </si>
  <si>
    <t>Unit of measure</t>
  </si>
  <si>
    <t>Stock or flow</t>
  </si>
  <si>
    <t>Sheet 1</t>
  </si>
  <si>
    <t>Annual</t>
  </si>
  <si>
    <t>Million euro</t>
  </si>
  <si>
    <t>Imports</t>
  </si>
  <si>
    <t>Data extracted on 22/07/2026 13:00:26 from [ESTAT]</t>
  </si>
  <si>
    <t xml:space="preserve">Dataset: </t>
  </si>
  <si>
    <t xml:space="preserve">Last updated: </t>
  </si>
  <si>
    <t/>
  </si>
  <si>
    <t>PRD_USE (Labels)</t>
  </si>
  <si>
    <t>Total</t>
  </si>
  <si>
    <t>Products of agriculture, hunting and related services</t>
  </si>
  <si>
    <t>Products of forestry, logging and related services</t>
  </si>
  <si>
    <t>Fish and other fishing products; aquaculture products; support services to fishing</t>
  </si>
  <si>
    <t>Mining and quarrying</t>
  </si>
  <si>
    <t>Food, beverages and tobacco products</t>
  </si>
  <si>
    <t>Textiles, wearing apparel, leather and related products</t>
  </si>
  <si>
    <t>Wood and of products of wood and cork, except furniture; articles of straw and plaiting materials</t>
  </si>
  <si>
    <t>Paper and paper products</t>
  </si>
  <si>
    <t>Printing and recording services</t>
  </si>
  <si>
    <t>Coke and refined petroleum products</t>
  </si>
  <si>
    <t>Basic pharmaceutical products and pharmaceutical preparations</t>
  </si>
  <si>
    <t>Rubber and plastic products</t>
  </si>
  <si>
    <t>Other non-metallic mineral products</t>
  </si>
  <si>
    <t>Basic metals</t>
  </si>
  <si>
    <t>Fabricated metal products, except machinery and equipment</t>
  </si>
  <si>
    <t>Computer, electronic and optical products</t>
  </si>
  <si>
    <t>Electrical equipment</t>
  </si>
  <si>
    <t>Machinery and equipment n.e.c.</t>
  </si>
  <si>
    <t>Motor vehicles, trailers and semi-trailers</t>
  </si>
  <si>
    <t>Other transport equipment</t>
  </si>
  <si>
    <t>Furniture and other manufactured goods</t>
  </si>
  <si>
    <t>Repair and installation services of machinery and equipment</t>
  </si>
  <si>
    <t>Natural water; water treatment and supply services</t>
  </si>
  <si>
    <t>Sewerage services; sewage sludge; waste collection, treatment and disposal services; materials recovery services; remediation services and other waste management services</t>
  </si>
  <si>
    <t>Constructions and construction works</t>
  </si>
  <si>
    <t>Wholesale and retail trade and repair services of motor vehicles and motorcycles</t>
  </si>
  <si>
    <t>Wholesale trade services, except of motor vehicles and motorcycles</t>
  </si>
  <si>
    <t>Retail trade services, except of motor vehicles and motorcycles</t>
  </si>
  <si>
    <t>Land transport services and transport services via pipelines</t>
  </si>
  <si>
    <t>Water transport services</t>
  </si>
  <si>
    <t>Air transport services</t>
  </si>
  <si>
    <t>Warehousing and support services for transportation</t>
  </si>
  <si>
    <t>Postal and courier services</t>
  </si>
  <si>
    <t>Accommodation and food services</t>
  </si>
  <si>
    <t>Publishing services</t>
  </si>
  <si>
    <t>Motion picture, video and television programme production services, sound recording and music publishing; programming and broadcasting services</t>
  </si>
  <si>
    <t>Telecommunications services</t>
  </si>
  <si>
    <t>Computer programming, consultancy and related services; Information services</t>
  </si>
  <si>
    <t>Financial services, except insurance and pension funding</t>
  </si>
  <si>
    <t>Insurance, reinsurance and pension funding services, except compulsory social security</t>
  </si>
  <si>
    <t>Services auxiliary to financial services and insurance services</t>
  </si>
  <si>
    <t>Real estate services excluding imputed rents</t>
  </si>
  <si>
    <t>Legal and accounting services; services of head offices; management consultancy services</t>
  </si>
  <si>
    <t>Architectural and engineering services; technical testing and analysis services</t>
  </si>
  <si>
    <t>Scientific research and development services</t>
  </si>
  <si>
    <t>Advertising and market research services</t>
  </si>
  <si>
    <t>Other professional, scientific and technical services and veterinary services</t>
  </si>
  <si>
    <t>Rental and leasing services</t>
  </si>
  <si>
    <t>Employment services</t>
  </si>
  <si>
    <t>Travel agency, tour operator and other reservation services and related services</t>
  </si>
  <si>
    <t>Security and investigation services; services to buildings and landscape; office administrative, office support and other business support services</t>
  </si>
  <si>
    <t>Public administration and defence services; compulsory social security services</t>
  </si>
  <si>
    <t>Education services</t>
  </si>
  <si>
    <t>Human health services</t>
  </si>
  <si>
    <t>Residential care services; social work services without accommodation</t>
  </si>
  <si>
    <t>Creative, arts, entertainment, library, archive, museum, other cultural services; gambling and betting services</t>
  </si>
  <si>
    <t>Sporting services and amusement and recreation services</t>
  </si>
  <si>
    <t>Services furnished by membership organisations</t>
  </si>
  <si>
    <t>Repair services of computers and personal and household goods</t>
  </si>
  <si>
    <t>Other personal services</t>
  </si>
  <si>
    <t>Services of households as employers; undifferentiated goods and services produced by households for own use</t>
  </si>
  <si>
    <t>Services provided by extraterritorial organisations and bodies</t>
  </si>
  <si>
    <t>Final consumption expediture</t>
  </si>
  <si>
    <t>Final consumption expenditure by government</t>
  </si>
  <si>
    <t>Final consumption expenditure by households</t>
  </si>
  <si>
    <t>Final consumption expenditure by non-profit organisations serving households (NPISH)</t>
  </si>
  <si>
    <t>Gross capital formation</t>
  </si>
  <si>
    <t>Changes in inventories and acquisition less disposals of valuables</t>
  </si>
  <si>
    <t>Exports of goods and services</t>
  </si>
  <si>
    <t>Exports of goods and services to EU countries</t>
  </si>
  <si>
    <t>Exports of goods and services to non-EU countries</t>
  </si>
  <si>
    <t>Exports of goods and services to euro area countries</t>
  </si>
  <si>
    <t>Exports of goods and services to EU countries outside the euro area</t>
  </si>
  <si>
    <t>Gross fixed capital formation</t>
  </si>
  <si>
    <t>Changes in inventories</t>
  </si>
  <si>
    <t>Acquisitions less disposals of valuables</t>
  </si>
  <si>
    <t>Total use</t>
  </si>
  <si>
    <t>Total final use</t>
  </si>
  <si>
    <t>PRD_AVA (Labels)</t>
  </si>
  <si>
    <t>:</t>
  </si>
  <si>
    <t>Value added, gross</t>
  </si>
  <si>
    <t>Operating surplus and mixed income, net</t>
  </si>
  <si>
    <t>Operating surplus and mixed income, gross</t>
  </si>
  <si>
    <t>Mixed income, gross</t>
  </si>
  <si>
    <t>Compensation of employees</t>
  </si>
  <si>
    <t>Wages and salaries</t>
  </si>
  <si>
    <t>Taxes less subsidies on products</t>
  </si>
  <si>
    <t>Other taxes less other subsidies on production</t>
  </si>
  <si>
    <t>Output</t>
  </si>
  <si>
    <t>Total intermediate consumption /final use</t>
  </si>
  <si>
    <t>Imports of goods and services</t>
  </si>
  <si>
    <t>Imports of goods and services from EU countries</t>
  </si>
  <si>
    <t>Imports of goods and services from non-EU countries</t>
  </si>
  <si>
    <t>Imports of goods and services from euro area countries</t>
  </si>
  <si>
    <t>Imports of goods and services from EU countries outside the euro area</t>
  </si>
  <si>
    <t>Consumption of fixed capital</t>
  </si>
  <si>
    <t>Use of imported products</t>
  </si>
  <si>
    <t>Total supply at basic prices</t>
  </si>
  <si>
    <t>not available</t>
  </si>
  <si>
    <t>Year</t>
  </si>
  <si>
    <t>Conventional biodiesel</t>
  </si>
  <si>
    <t>Advanced biodiesel</t>
  </si>
  <si>
    <t>Conventional  biogasoline</t>
  </si>
  <si>
    <t>Advanced biogasoline</t>
  </si>
  <si>
    <t>Conventional bio-kerosene</t>
  </si>
  <si>
    <t>Advanced bio-kerosene</t>
  </si>
  <si>
    <t>Conventional bio-HFO</t>
  </si>
  <si>
    <t>Advanced bio-HFO</t>
  </si>
  <si>
    <t>RFNBOs</t>
  </si>
  <si>
    <t>Advanced biogas</t>
  </si>
  <si>
    <t>Advanced Biogas</t>
  </si>
  <si>
    <t>Electricity, gas, steam and air conditioning - original</t>
  </si>
  <si>
    <t>Chemicals and chemical products - original</t>
  </si>
  <si>
    <t>Chemicals and chemical products - adapted</t>
  </si>
  <si>
    <t>Electricity, gas, steam and air conditioning - adapted</t>
  </si>
  <si>
    <t xml:space="preserve">Chemicals and chemical products - original </t>
  </si>
  <si>
    <t xml:space="preserve">Chemicals and chemical products - adapted </t>
  </si>
  <si>
    <t>Electricity, gas, steam and air conditioning adapted</t>
  </si>
  <si>
    <t>Electricity, gas, steam and air conditioning original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</si>
</sst>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#,##0.##########"/>
    <numFmt numFmtId="165" formatCode="#,##0.##"/>
    <numFmt numFmtId="166" formatCode="#,##0.###"/>
    <numFmt numFmtId="167" formatCode="#,##0.0000000000"/>
    <numFmt numFmtId="168" formatCode="#,##0.000"/>
    <numFmt numFmtId="169" formatCode="0.000"/>
  </numFmts>
  <fonts count="9" x14ac:knownFonts="1">
    <font>
      <sz val="11"/>
      <color indexed="8"/>
      <name val="Calibri"/>
      <family val="2"/>
      <scheme val="minor"/>
    </font>
    <font>
      <b/>
      <sz val="9"/>
      <name val="Arial"/>
      <family val="2"/>
    </font>
    <font>
      <sz val="9"/>
      <name val="Arial"/>
      <family val="2"/>
    </font>
    <font>
      <b/>
      <sz val="9"/>
      <color indexed="9"/>
      <name val="Arial"/>
      <family val="2"/>
    </font>
    <font>
      <b/>
      <sz val="11"/>
      <name val="Arial"/>
      <family val="2"/>
    </font>
    <font>
      <u/>
      <sz val="9"/>
      <color indexed="12"/>
      <name val="Arial"/>
      <family val="2"/>
    </font>
    <font>
      <b/>
      <sz val="9"/>
      <color theme="0"/>
      <name val="Arial"/>
      <family val="2"/>
    </font>
    <font>
      <sz val="9"/>
      <color theme="0"/>
      <name val="Arial"/>
      <family val="2"/>
    </font>
    <font>
      <sz val="11"/>
      <color indexed="8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4669AF"/>
      </patternFill>
    </fill>
    <fill>
      <patternFill patternType="solid">
        <fgColor rgb="FF0096DC"/>
      </patternFill>
    </fill>
    <fill>
      <patternFill patternType="solid">
        <fgColor rgb="FFDCE6F1"/>
      </patternFill>
    </fill>
    <fill>
      <patternFill patternType="solid">
        <fgColor rgb="FFF6F6F6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/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/>
      <bottom/>
      <diagonal/>
    </border>
  </borders>
  <cellStyleXfs count="2">
    <xf numFmtId="0" fontId="0" fillId="0" borderId="0"/>
    <xf numFmtId="43" fontId="8" fillId="0" borderId="0" applyFont="0" applyFill="0" applyBorder="0" applyAlignment="0" applyProtection="0"/>
  </cellStyleXfs>
  <cellXfs count="73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right" vertical="center"/>
    </xf>
    <xf numFmtId="0" fontId="1" fillId="3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left" vertical="center"/>
    </xf>
    <xf numFmtId="3" fontId="2" fillId="0" borderId="0" xfId="0" applyNumberFormat="1" applyFont="1" applyAlignment="1">
      <alignment horizontal="right" vertical="center" shrinkToFit="1"/>
    </xf>
    <xf numFmtId="3" fontId="2" fillId="5" borderId="0" xfId="0" applyNumberFormat="1" applyFont="1" applyFill="1" applyAlignment="1">
      <alignment horizontal="right" vertical="center" shrinkToFit="1"/>
    </xf>
    <xf numFmtId="0" fontId="4" fillId="0" borderId="0" xfId="0" applyFont="1" applyAlignment="1">
      <alignment horizontal="left" vertical="center"/>
    </xf>
    <xf numFmtId="0" fontId="2" fillId="0" borderId="0" xfId="0" applyFont="1" applyAlignment="1">
      <alignment horizontal="left" vertical="top" wrapText="1"/>
    </xf>
    <xf numFmtId="0" fontId="5" fillId="5" borderId="0" xfId="0" applyFont="1" applyFill="1" applyAlignment="1">
      <alignment horizontal="left" vertical="center"/>
    </xf>
    <xf numFmtId="0" fontId="5" fillId="0" borderId="0" xfId="0" applyFont="1" applyAlignment="1">
      <alignment horizontal="left" vertical="center"/>
    </xf>
    <xf numFmtId="164" fontId="2" fillId="0" borderId="0" xfId="0" applyNumberFormat="1" applyFont="1" applyAlignment="1">
      <alignment horizontal="right" vertical="center" shrinkToFit="1"/>
    </xf>
    <xf numFmtId="164" fontId="2" fillId="5" borderId="0" xfId="0" applyNumberFormat="1" applyFont="1" applyFill="1" applyAlignment="1">
      <alignment horizontal="right" vertical="center" shrinkToFit="1"/>
    </xf>
    <xf numFmtId="0" fontId="3" fillId="2" borderId="1" xfId="0" applyFont="1" applyFill="1" applyBorder="1" applyAlignment="1">
      <alignment horizontal="left" vertical="center"/>
    </xf>
    <xf numFmtId="164" fontId="2" fillId="6" borderId="0" xfId="0" applyNumberFormat="1" applyFont="1" applyFill="1" applyAlignment="1">
      <alignment horizontal="right" vertical="center" shrinkToFit="1"/>
    </xf>
    <xf numFmtId="0" fontId="1" fillId="7" borderId="1" xfId="0" applyFont="1" applyFill="1" applyBorder="1" applyAlignment="1">
      <alignment horizontal="left" vertical="center"/>
    </xf>
    <xf numFmtId="0" fontId="1" fillId="8" borderId="1" xfId="0" applyFont="1" applyFill="1" applyBorder="1" applyAlignment="1">
      <alignment horizontal="left" vertical="center"/>
    </xf>
    <xf numFmtId="0" fontId="1" fillId="9" borderId="1" xfId="0" applyFont="1" applyFill="1" applyBorder="1" applyAlignment="1">
      <alignment horizontal="left" vertical="center"/>
    </xf>
    <xf numFmtId="0" fontId="1" fillId="10" borderId="1" xfId="0" applyFont="1" applyFill="1" applyBorder="1" applyAlignment="1">
      <alignment horizontal="left" vertical="center"/>
    </xf>
    <xf numFmtId="0" fontId="1" fillId="11" borderId="1" xfId="0" applyFont="1" applyFill="1" applyBorder="1" applyAlignment="1">
      <alignment horizontal="left" vertical="center"/>
    </xf>
    <xf numFmtId="0" fontId="1" fillId="12" borderId="1" xfId="0" applyFont="1" applyFill="1" applyBorder="1" applyAlignment="1">
      <alignment horizontal="left" vertical="center"/>
    </xf>
    <xf numFmtId="0" fontId="3" fillId="13" borderId="1" xfId="0" applyFont="1" applyFill="1" applyBorder="1" applyAlignment="1">
      <alignment horizontal="left" vertical="center"/>
    </xf>
    <xf numFmtId="0" fontId="1" fillId="13" borderId="1" xfId="0" applyFont="1" applyFill="1" applyBorder="1" applyAlignment="1">
      <alignment horizontal="left" vertical="center"/>
    </xf>
    <xf numFmtId="0" fontId="6" fillId="13" borderId="1" xfId="0" applyFont="1" applyFill="1" applyBorder="1" applyAlignment="1">
      <alignment horizontal="left" vertical="center"/>
    </xf>
    <xf numFmtId="164" fontId="2" fillId="13" borderId="0" xfId="0" applyNumberFormat="1" applyFont="1" applyFill="1" applyAlignment="1">
      <alignment horizontal="right" vertical="center" shrinkToFit="1"/>
    </xf>
    <xf numFmtId="3" fontId="2" fillId="13" borderId="0" xfId="0" applyNumberFormat="1" applyFont="1" applyFill="1" applyAlignment="1">
      <alignment horizontal="right" vertical="center" shrinkToFit="1"/>
    </xf>
    <xf numFmtId="0" fontId="0" fillId="13" borderId="0" xfId="0" applyFill="1"/>
    <xf numFmtId="0" fontId="3" fillId="2" borderId="2" xfId="0" applyFont="1" applyFill="1" applyBorder="1" applyAlignment="1">
      <alignment horizontal="left" vertical="center"/>
    </xf>
    <xf numFmtId="43" fontId="1" fillId="7" borderId="1" xfId="0" applyNumberFormat="1" applyFont="1" applyFill="1" applyBorder="1" applyAlignment="1">
      <alignment horizontal="left" vertical="center"/>
    </xf>
    <xf numFmtId="43" fontId="1" fillId="8" borderId="1" xfId="0" applyNumberFormat="1" applyFont="1" applyFill="1" applyBorder="1" applyAlignment="1">
      <alignment horizontal="left" vertical="center"/>
    </xf>
    <xf numFmtId="165" fontId="7" fillId="14" borderId="0" xfId="0" applyNumberFormat="1" applyFont="1" applyFill="1" applyAlignment="1">
      <alignment horizontal="right" vertical="center" shrinkToFit="1"/>
    </xf>
    <xf numFmtId="0" fontId="1" fillId="0" borderId="1" xfId="0" applyFont="1" applyBorder="1" applyAlignment="1">
      <alignment horizontal="left" vertical="center"/>
    </xf>
    <xf numFmtId="0" fontId="1" fillId="15" borderId="1" xfId="0" applyFont="1" applyFill="1" applyBorder="1" applyAlignment="1">
      <alignment horizontal="left" vertical="center"/>
    </xf>
    <xf numFmtId="164" fontId="2" fillId="15" borderId="0" xfId="0" applyNumberFormat="1" applyFont="1" applyFill="1" applyAlignment="1">
      <alignment horizontal="right" vertical="center" shrinkToFit="1"/>
    </xf>
    <xf numFmtId="3" fontId="2" fillId="15" borderId="0" xfId="0" applyNumberFormat="1" applyFont="1" applyFill="1" applyAlignment="1">
      <alignment horizontal="right" vertical="center" shrinkToFit="1"/>
    </xf>
    <xf numFmtId="164" fontId="2" fillId="15" borderId="0" xfId="0" applyNumberFormat="1" applyFont="1" applyFill="1" applyAlignment="1">
      <alignment vertical="center" shrinkToFit="1"/>
    </xf>
    <xf numFmtId="0" fontId="2" fillId="7" borderId="1" xfId="0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left" vertical="center"/>
    </xf>
    <xf numFmtId="0" fontId="2" fillId="11" borderId="1" xfId="0" applyFont="1" applyFill="1" applyBorder="1" applyAlignment="1">
      <alignment horizontal="left" vertical="center"/>
    </xf>
    <xf numFmtId="0" fontId="2" fillId="3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right" vertical="center"/>
    </xf>
    <xf numFmtId="43" fontId="2" fillId="7" borderId="1" xfId="0" applyNumberFormat="1" applyFont="1" applyFill="1" applyBorder="1" applyAlignment="1">
      <alignment horizontal="left" vertical="center"/>
    </xf>
    <xf numFmtId="0" fontId="2" fillId="8" borderId="1" xfId="0" applyFont="1" applyFill="1" applyBorder="1" applyAlignment="1">
      <alignment horizontal="right" vertical="center"/>
    </xf>
    <xf numFmtId="0" fontId="2" fillId="7" borderId="1" xfId="0" applyFont="1" applyFill="1" applyBorder="1" applyAlignment="1">
      <alignment vertical="center"/>
    </xf>
    <xf numFmtId="0" fontId="2" fillId="15" borderId="1" xfId="0" applyFont="1" applyFill="1" applyBorder="1" applyAlignment="1">
      <alignment vertical="center"/>
    </xf>
    <xf numFmtId="164" fontId="2" fillId="16" borderId="0" xfId="0" applyNumberFormat="1" applyFont="1" applyFill="1" applyAlignment="1">
      <alignment horizontal="right" vertical="center" shrinkToFit="1"/>
    </xf>
    <xf numFmtId="165" fontId="7" fillId="16" borderId="0" xfId="0" applyNumberFormat="1" applyFont="1" applyFill="1" applyAlignment="1">
      <alignment horizontal="right" vertical="center" shrinkToFit="1"/>
    </xf>
    <xf numFmtId="3" fontId="2" fillId="16" borderId="0" xfId="0" applyNumberFormat="1" applyFont="1" applyFill="1" applyAlignment="1">
      <alignment horizontal="right" vertical="center" shrinkToFit="1"/>
    </xf>
    <xf numFmtId="0" fontId="2" fillId="16" borderId="1" xfId="0" applyFont="1" applyFill="1" applyBorder="1" applyAlignment="1">
      <alignment horizontal="right" vertical="center"/>
    </xf>
    <xf numFmtId="0" fontId="1" fillId="16" borderId="1" xfId="0" applyFont="1" applyFill="1" applyBorder="1" applyAlignment="1">
      <alignment horizontal="left" vertical="center"/>
    </xf>
    <xf numFmtId="165" fontId="2" fillId="16" borderId="0" xfId="0" applyNumberFormat="1" applyFont="1" applyFill="1" applyAlignment="1">
      <alignment horizontal="right" vertical="center" shrinkToFit="1"/>
    </xf>
    <xf numFmtId="43" fontId="2" fillId="8" borderId="1" xfId="0" applyNumberFormat="1" applyFont="1" applyFill="1" applyBorder="1" applyAlignment="1">
      <alignment horizontal="left" vertical="center"/>
    </xf>
    <xf numFmtId="0" fontId="2" fillId="9" borderId="1" xfId="0" applyFont="1" applyFill="1" applyBorder="1" applyAlignment="1">
      <alignment horizontal="right" vertical="center"/>
    </xf>
    <xf numFmtId="0" fontId="2" fillId="10" borderId="1" xfId="0" applyFont="1" applyFill="1" applyBorder="1" applyAlignment="1">
      <alignment horizontal="right" vertical="center"/>
    </xf>
    <xf numFmtId="0" fontId="2" fillId="11" borderId="1" xfId="0" applyFont="1" applyFill="1" applyBorder="1" applyAlignment="1">
      <alignment horizontal="right" vertical="center"/>
    </xf>
    <xf numFmtId="166" fontId="2" fillId="0" borderId="0" xfId="0" applyNumberFormat="1" applyFont="1" applyAlignment="1">
      <alignment horizontal="right" vertical="center" shrinkToFit="1"/>
    </xf>
    <xf numFmtId="0" fontId="0" fillId="16" borderId="0" xfId="0" applyFill="1"/>
    <xf numFmtId="167" fontId="0" fillId="0" borderId="0" xfId="0" applyNumberFormat="1"/>
    <xf numFmtId="0" fontId="2" fillId="12" borderId="1" xfId="0" applyFont="1" applyFill="1" applyBorder="1" applyAlignment="1">
      <alignment vertical="center"/>
    </xf>
    <xf numFmtId="168" fontId="0" fillId="0" borderId="0" xfId="0" applyNumberFormat="1"/>
    <xf numFmtId="0" fontId="2" fillId="8" borderId="1" xfId="0" applyFont="1" applyFill="1" applyBorder="1" applyAlignment="1">
      <alignment vertical="center"/>
    </xf>
    <xf numFmtId="0" fontId="2" fillId="9" borderId="1" xfId="0" applyFont="1" applyFill="1" applyBorder="1" applyAlignment="1">
      <alignment vertical="center"/>
    </xf>
    <xf numFmtId="0" fontId="2" fillId="10" borderId="1" xfId="0" applyFont="1" applyFill="1" applyBorder="1" applyAlignment="1">
      <alignment vertical="center"/>
    </xf>
    <xf numFmtId="0" fontId="2" fillId="11" borderId="1" xfId="0" applyFont="1" applyFill="1" applyBorder="1" applyAlignment="1">
      <alignment vertical="center"/>
    </xf>
    <xf numFmtId="168" fontId="2" fillId="7" borderId="1" xfId="0" applyNumberFormat="1" applyFont="1" applyFill="1" applyBorder="1" applyAlignment="1">
      <alignment horizontal="right" vertical="center"/>
    </xf>
    <xf numFmtId="165" fontId="2" fillId="0" borderId="0" xfId="0" applyNumberFormat="1" applyFont="1" applyAlignment="1">
      <alignment horizontal="right" vertical="center" shrinkToFit="1"/>
    </xf>
    <xf numFmtId="169" fontId="2" fillId="7" borderId="1" xfId="0" applyNumberFormat="1" applyFont="1" applyFill="1" applyBorder="1" applyAlignment="1">
      <alignment horizontal="right" vertical="center"/>
    </xf>
    <xf numFmtId="0" fontId="2" fillId="0" borderId="0" xfId="0" applyFont="1" applyAlignment="1">
      <alignment horizontal="left" vertical="top" wrapText="1"/>
    </xf>
    <xf numFmtId="0" fontId="0" fillId="0" borderId="0" xfId="0"/>
    <xf numFmtId="0" fontId="2" fillId="7" borderId="3" xfId="0" applyFont="1" applyFill="1" applyBorder="1" applyAlignment="1">
      <alignment horizontal="right" vertical="center"/>
    </xf>
  </cellXfs>
  <cellStyles count="2">
    <cellStyle name="Komma 2" xfId="1" xr:uid="{CC95AEAD-E0AE-40CB-A531-BFE5411ACDC3}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17</xdr:col>
      <xdr:colOff>174038</xdr:colOff>
      <xdr:row>3</xdr:row>
      <xdr:rowOff>57150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2192000" cy="628650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S:\Projekte\Standort%20WB\N-31-535-0-ETIP-B_2026-2028\Daten\WP3%20Sector%20Monitoring%20and%20Analysis\Task%203.2%20Assessment%20of%20building%20capacity\2023%20production%20-%20reference%20scenari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Market prices"/>
      <sheetName val="Production costs"/>
    </sheetNames>
    <sheetDataSet>
      <sheetData sheetId="0">
        <row r="3">
          <cell r="H3">
            <v>2109.8060243287136</v>
          </cell>
        </row>
        <row r="39">
          <cell r="K39">
            <v>3213.4163189999999</v>
          </cell>
        </row>
        <row r="40">
          <cell r="K40">
            <v>502.59044399999999</v>
          </cell>
        </row>
      </sheetData>
      <sheetData sheetId="1" refreshError="1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hyperlink" Target="https://ec.europa.eu/eurostat/databrowser/view/naio_10_cp1700__custom_22171867/default/table" TargetMode="External"/><Relationship Id="rId1" Type="http://schemas.openxmlformats.org/officeDocument/2006/relationships/hyperlink" Target="https://ec.europa.eu/eurostat/databrowser/product/page/naio_10_cp1700__custom_2217186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O16"/>
  <sheetViews>
    <sheetView showGridLines="0" workbookViewId="0">
      <selection activeCell="F16" sqref="F16"/>
    </sheetView>
  </sheetViews>
  <sheetFormatPr baseColWidth="10" defaultColWidth="8.7265625" defaultRowHeight="14.5" x14ac:dyDescent="0.35"/>
  <cols>
    <col min="1" max="1" width="19.90625" customWidth="1"/>
    <col min="2" max="2" width="8.90625" customWidth="1"/>
    <col min="3" max="3" width="14.453125" customWidth="1"/>
    <col min="4" max="4" width="14.81640625" customWidth="1"/>
    <col min="5" max="5" width="12.453125" customWidth="1"/>
  </cols>
  <sheetData>
    <row r="6" spans="1:15" x14ac:dyDescent="0.35">
      <c r="A6" s="8" t="s">
        <v>0</v>
      </c>
    </row>
    <row r="7" spans="1:15" x14ac:dyDescent="0.35">
      <c r="A7" s="10" t="s">
        <v>1</v>
      </c>
      <c r="B7" s="10" t="s">
        <v>2</v>
      </c>
    </row>
    <row r="8" spans="1:15" ht="42.75" customHeight="1" x14ac:dyDescent="0.35">
      <c r="A8" s="9" t="s">
        <v>3</v>
      </c>
      <c r="B8" s="70" t="s">
        <v>4</v>
      </c>
      <c r="C8" s="71"/>
      <c r="D8" s="71"/>
      <c r="E8" s="71"/>
      <c r="F8" s="71"/>
      <c r="G8" s="71"/>
      <c r="H8" s="71"/>
      <c r="I8" s="71"/>
      <c r="J8" s="71"/>
      <c r="K8" s="71"/>
      <c r="L8" s="71"/>
      <c r="M8" s="71"/>
      <c r="N8" s="71"/>
      <c r="O8" s="71"/>
    </row>
    <row r="10" spans="1:15" x14ac:dyDescent="0.35">
      <c r="A10" s="2" t="s">
        <v>5</v>
      </c>
      <c r="D10" s="2" t="s">
        <v>6</v>
      </c>
    </row>
    <row r="11" spans="1:15" x14ac:dyDescent="0.35">
      <c r="A11" s="2" t="s">
        <v>7</v>
      </c>
      <c r="D11" s="2" t="s">
        <v>8</v>
      </c>
    </row>
    <row r="13" spans="1:15" x14ac:dyDescent="0.35">
      <c r="B13" s="1" t="s">
        <v>9</v>
      </c>
    </row>
    <row r="14" spans="1:15" x14ac:dyDescent="0.35">
      <c r="C14" s="2" t="s">
        <v>10</v>
      </c>
    </row>
    <row r="15" spans="1:15" x14ac:dyDescent="0.35">
      <c r="B15" s="8" t="s">
        <v>11</v>
      </c>
      <c r="C15" s="8" t="s">
        <v>12</v>
      </c>
      <c r="D15" s="8" t="s">
        <v>13</v>
      </c>
      <c r="E15" s="8" t="s">
        <v>14</v>
      </c>
      <c r="F15" s="8" t="s">
        <v>124</v>
      </c>
    </row>
    <row r="16" spans="1:15" x14ac:dyDescent="0.35">
      <c r="B16" s="11" t="s">
        <v>15</v>
      </c>
      <c r="C16" s="2" t="s">
        <v>16</v>
      </c>
      <c r="D16" s="2" t="s">
        <v>17</v>
      </c>
      <c r="E16" s="2" t="s">
        <v>18</v>
      </c>
      <c r="F16">
        <v>2023</v>
      </c>
    </row>
  </sheetData>
  <mergeCells count="1">
    <mergeCell ref="B8:O8"/>
  </mergeCells>
  <hyperlinks>
    <hyperlink ref="A7" r:id="rId1" xr:uid="{00000000-0004-0000-0000-000000000000}"/>
    <hyperlink ref="B7" r:id="rId2" xr:uid="{00000000-0004-0000-0000-000001000000}"/>
    <hyperlink ref="B16" location="'Sheet 1'!A1" display="Sheet 1" xr:uid="{00000000-0004-0000-0000-000002000000}"/>
  </hyperlinks>
  <pageMargins left="0.7" right="0.7" top="0.75" bottom="0.75" header="0.3" footer="0.3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C4ACE9-33E1-4F06-8515-1460C3931582}">
  <dimension ref="A1:CO105"/>
  <sheetViews>
    <sheetView tabSelected="1" topLeftCell="BY1" workbookViewId="0">
      <selection activeCell="CL23" sqref="CL23"/>
    </sheetView>
  </sheetViews>
  <sheetFormatPr baseColWidth="10" defaultRowHeight="14.5" x14ac:dyDescent="0.35"/>
  <cols>
    <col min="93" max="93" width="19.08984375" customWidth="1"/>
  </cols>
  <sheetData>
    <row r="1" spans="1:92" x14ac:dyDescent="0.35">
      <c r="A1" s="2" t="s">
        <v>19</v>
      </c>
    </row>
    <row r="2" spans="1:92" x14ac:dyDescent="0.35">
      <c r="A2" s="2" t="s">
        <v>20</v>
      </c>
      <c r="B2" s="1" t="s">
        <v>0</v>
      </c>
    </row>
    <row r="3" spans="1:92" x14ac:dyDescent="0.35">
      <c r="A3" s="2" t="s">
        <v>21</v>
      </c>
      <c r="B3" s="2" t="s">
        <v>6</v>
      </c>
    </row>
    <row r="5" spans="1:92" x14ac:dyDescent="0.35">
      <c r="A5" s="1" t="s">
        <v>12</v>
      </c>
      <c r="B5" s="2" t="s">
        <v>16</v>
      </c>
    </row>
    <row r="6" spans="1:92" x14ac:dyDescent="0.35">
      <c r="A6" s="1" t="s">
        <v>13</v>
      </c>
      <c r="B6" s="2" t="s">
        <v>17</v>
      </c>
    </row>
    <row r="7" spans="1:92" x14ac:dyDescent="0.35">
      <c r="A7" s="1" t="s">
        <v>14</v>
      </c>
      <c r="B7" s="2" t="s">
        <v>18</v>
      </c>
      <c r="L7" s="60"/>
    </row>
    <row r="9" spans="1:92" x14ac:dyDescent="0.35">
      <c r="A9" s="3" t="s">
        <v>23</v>
      </c>
      <c r="B9" s="28" t="s">
        <v>24</v>
      </c>
      <c r="C9" s="14" t="s">
        <v>25</v>
      </c>
      <c r="D9" s="14" t="s">
        <v>26</v>
      </c>
      <c r="E9" s="14" t="s">
        <v>27</v>
      </c>
      <c r="F9" s="14" t="s">
        <v>28</v>
      </c>
      <c r="G9" s="14" t="s">
        <v>29</v>
      </c>
      <c r="H9" s="14" t="s">
        <v>30</v>
      </c>
      <c r="I9" s="14" t="s">
        <v>31</v>
      </c>
      <c r="J9" s="14" t="s">
        <v>32</v>
      </c>
      <c r="K9" s="14" t="s">
        <v>33</v>
      </c>
      <c r="L9" s="14" t="s">
        <v>34</v>
      </c>
      <c r="M9" s="32" t="s">
        <v>141</v>
      </c>
      <c r="N9" s="37" t="s">
        <v>125</v>
      </c>
      <c r="O9" s="37" t="s">
        <v>126</v>
      </c>
      <c r="P9" s="38" t="s">
        <v>127</v>
      </c>
      <c r="Q9" s="38" t="s">
        <v>128</v>
      </c>
      <c r="R9" s="39" t="s">
        <v>129</v>
      </c>
      <c r="S9" s="39" t="s">
        <v>130</v>
      </c>
      <c r="T9" s="40" t="s">
        <v>132</v>
      </c>
      <c r="U9" s="41" t="s">
        <v>133</v>
      </c>
      <c r="V9" s="14" t="s">
        <v>35</v>
      </c>
      <c r="W9" s="14" t="s">
        <v>36</v>
      </c>
      <c r="X9" s="14" t="s">
        <v>37</v>
      </c>
      <c r="Y9" s="14" t="s">
        <v>38</v>
      </c>
      <c r="Z9" s="14" t="s">
        <v>39</v>
      </c>
      <c r="AA9" s="14" t="s">
        <v>40</v>
      </c>
      <c r="AB9" s="14" t="s">
        <v>41</v>
      </c>
      <c r="AC9" s="14" t="s">
        <v>42</v>
      </c>
      <c r="AD9" s="14" t="s">
        <v>43</v>
      </c>
      <c r="AE9" s="14" t="s">
        <v>44</v>
      </c>
      <c r="AF9" s="14" t="s">
        <v>45</v>
      </c>
      <c r="AG9" s="14" t="s">
        <v>46</v>
      </c>
      <c r="AH9" s="22" t="s">
        <v>139</v>
      </c>
      <c r="AI9" s="22" t="s">
        <v>136</v>
      </c>
      <c r="AJ9" s="21" t="s">
        <v>135</v>
      </c>
      <c r="AK9" s="14" t="s">
        <v>47</v>
      </c>
      <c r="AL9" s="14" t="s">
        <v>48</v>
      </c>
      <c r="AM9" s="14" t="s">
        <v>49</v>
      </c>
      <c r="AN9" s="14" t="s">
        <v>50</v>
      </c>
      <c r="AO9" s="14" t="s">
        <v>51</v>
      </c>
      <c r="AP9" s="14" t="s">
        <v>52</v>
      </c>
      <c r="AQ9" s="14" t="s">
        <v>53</v>
      </c>
      <c r="AR9" s="14" t="s">
        <v>54</v>
      </c>
      <c r="AS9" s="14" t="s">
        <v>55</v>
      </c>
      <c r="AT9" s="14" t="s">
        <v>56</v>
      </c>
      <c r="AU9" s="14" t="s">
        <v>57</v>
      </c>
      <c r="AV9" s="14" t="s">
        <v>58</v>
      </c>
      <c r="AW9" s="14" t="s">
        <v>59</v>
      </c>
      <c r="AX9" s="14" t="s">
        <v>60</v>
      </c>
      <c r="AY9" s="14" t="s">
        <v>61</v>
      </c>
      <c r="AZ9" s="14" t="s">
        <v>62</v>
      </c>
      <c r="BA9" s="14" t="s">
        <v>63</v>
      </c>
      <c r="BB9" s="14" t="s">
        <v>64</v>
      </c>
      <c r="BC9" s="14" t="s">
        <v>65</v>
      </c>
      <c r="BD9" s="14" t="s">
        <v>66</v>
      </c>
      <c r="BE9" s="14" t="s">
        <v>67</v>
      </c>
      <c r="BF9" s="14" t="s">
        <v>68</v>
      </c>
      <c r="BG9" s="14" t="s">
        <v>69</v>
      </c>
      <c r="BH9" s="14" t="s">
        <v>70</v>
      </c>
      <c r="BI9" s="14" t="s">
        <v>71</v>
      </c>
      <c r="BJ9" s="14" t="s">
        <v>72</v>
      </c>
      <c r="BK9" s="14" t="s">
        <v>73</v>
      </c>
      <c r="BL9" s="14" t="s">
        <v>74</v>
      </c>
      <c r="BM9" s="14" t="s">
        <v>75</v>
      </c>
      <c r="BN9" s="14" t="s">
        <v>76</v>
      </c>
      <c r="BO9" s="14" t="s">
        <v>77</v>
      </c>
      <c r="BP9" s="14" t="s">
        <v>78</v>
      </c>
      <c r="BQ9" s="14" t="s">
        <v>79</v>
      </c>
      <c r="BR9" s="14" t="s">
        <v>80</v>
      </c>
      <c r="BS9" s="14" t="s">
        <v>81</v>
      </c>
      <c r="BT9" s="14" t="s">
        <v>82</v>
      </c>
      <c r="BU9" s="14" t="s">
        <v>83</v>
      </c>
      <c r="BV9" s="14" t="s">
        <v>84</v>
      </c>
      <c r="BW9" s="14" t="s">
        <v>85</v>
      </c>
      <c r="BX9" s="14" t="s">
        <v>86</v>
      </c>
      <c r="BY9" s="14" t="s">
        <v>87</v>
      </c>
      <c r="BZ9" s="14" t="s">
        <v>88</v>
      </c>
      <c r="CA9" s="14" t="s">
        <v>89</v>
      </c>
      <c r="CB9" s="14" t="s">
        <v>90</v>
      </c>
      <c r="CC9" s="14" t="s">
        <v>91</v>
      </c>
      <c r="CD9" s="14" t="s">
        <v>92</v>
      </c>
      <c r="CE9" s="14" t="s">
        <v>93</v>
      </c>
      <c r="CF9" s="14" t="s">
        <v>94</v>
      </c>
      <c r="CG9" s="14" t="s">
        <v>95</v>
      </c>
      <c r="CH9" s="14" t="s">
        <v>96</v>
      </c>
      <c r="CI9" s="14" t="s">
        <v>97</v>
      </c>
      <c r="CJ9" s="14" t="s">
        <v>98</v>
      </c>
      <c r="CK9" s="14" t="s">
        <v>99</v>
      </c>
      <c r="CL9" s="14" t="s">
        <v>100</v>
      </c>
      <c r="CM9" s="14" t="s">
        <v>101</v>
      </c>
      <c r="CN9" s="14" t="s">
        <v>102</v>
      </c>
    </row>
    <row r="10" spans="1:92" x14ac:dyDescent="0.35">
      <c r="A10" s="4" t="s">
        <v>103</v>
      </c>
      <c r="B10" s="4" t="s">
        <v>22</v>
      </c>
      <c r="C10" s="4" t="s">
        <v>22</v>
      </c>
      <c r="D10" s="4" t="s">
        <v>22</v>
      </c>
      <c r="E10" s="4" t="s">
        <v>22</v>
      </c>
      <c r="F10" s="4" t="s">
        <v>22</v>
      </c>
      <c r="G10" s="4" t="s">
        <v>22</v>
      </c>
      <c r="H10" s="4" t="s">
        <v>22</v>
      </c>
      <c r="I10" s="4" t="s">
        <v>22</v>
      </c>
      <c r="J10" s="4" t="s">
        <v>22</v>
      </c>
      <c r="K10" s="4" t="s">
        <v>22</v>
      </c>
      <c r="L10" s="4" t="s">
        <v>22</v>
      </c>
      <c r="M10" s="32"/>
      <c r="N10" s="42"/>
      <c r="O10" s="42"/>
      <c r="P10" s="42"/>
      <c r="Q10" s="42"/>
      <c r="R10" s="42"/>
      <c r="S10" s="42"/>
      <c r="T10" s="42"/>
      <c r="U10" s="42"/>
      <c r="V10" s="4" t="s">
        <v>22</v>
      </c>
      <c r="W10" s="4" t="s">
        <v>22</v>
      </c>
      <c r="X10" s="4" t="s">
        <v>22</v>
      </c>
      <c r="Y10" s="4" t="s">
        <v>22</v>
      </c>
      <c r="Z10" s="4" t="s">
        <v>22</v>
      </c>
      <c r="AA10" s="4" t="s">
        <v>22</v>
      </c>
      <c r="AB10" s="4" t="s">
        <v>22</v>
      </c>
      <c r="AC10" s="4" t="s">
        <v>22</v>
      </c>
      <c r="AD10" s="4" t="s">
        <v>22</v>
      </c>
      <c r="AE10" s="4" t="s">
        <v>22</v>
      </c>
      <c r="AF10" s="4" t="s">
        <v>22</v>
      </c>
      <c r="AG10" s="4" t="s">
        <v>22</v>
      </c>
      <c r="AH10" s="4"/>
      <c r="AI10" s="4" t="s">
        <v>22</v>
      </c>
      <c r="AJ10" s="4"/>
      <c r="AK10" s="4" t="s">
        <v>22</v>
      </c>
      <c r="AL10" s="4" t="s">
        <v>22</v>
      </c>
      <c r="AM10" s="4" t="s">
        <v>22</v>
      </c>
      <c r="AN10" s="4" t="s">
        <v>22</v>
      </c>
      <c r="AO10" s="4" t="s">
        <v>22</v>
      </c>
      <c r="AP10" s="4" t="s">
        <v>22</v>
      </c>
      <c r="AQ10" s="4" t="s">
        <v>22</v>
      </c>
      <c r="AR10" s="4" t="s">
        <v>22</v>
      </c>
      <c r="AS10" s="4" t="s">
        <v>22</v>
      </c>
      <c r="AT10" s="4" t="s">
        <v>22</v>
      </c>
      <c r="AU10" s="4" t="s">
        <v>22</v>
      </c>
      <c r="AV10" s="4" t="s">
        <v>22</v>
      </c>
      <c r="AW10" s="4" t="s">
        <v>22</v>
      </c>
      <c r="AX10" s="4" t="s">
        <v>22</v>
      </c>
      <c r="AY10" s="4" t="s">
        <v>22</v>
      </c>
      <c r="AZ10" s="4" t="s">
        <v>22</v>
      </c>
      <c r="BA10" s="4" t="s">
        <v>22</v>
      </c>
      <c r="BB10" s="4" t="s">
        <v>22</v>
      </c>
      <c r="BC10" s="4" t="s">
        <v>22</v>
      </c>
      <c r="BD10" s="4" t="s">
        <v>22</v>
      </c>
      <c r="BE10" s="4" t="s">
        <v>22</v>
      </c>
      <c r="BF10" s="4" t="s">
        <v>22</v>
      </c>
      <c r="BG10" s="4" t="s">
        <v>22</v>
      </c>
      <c r="BH10" s="4" t="s">
        <v>22</v>
      </c>
      <c r="BI10" s="4" t="s">
        <v>22</v>
      </c>
      <c r="BJ10" s="4" t="s">
        <v>22</v>
      </c>
      <c r="BK10" s="4" t="s">
        <v>22</v>
      </c>
      <c r="BL10" s="4" t="s">
        <v>22</v>
      </c>
      <c r="BM10" s="4" t="s">
        <v>22</v>
      </c>
      <c r="BN10" s="4" t="s">
        <v>22</v>
      </c>
      <c r="BO10" s="4" t="s">
        <v>22</v>
      </c>
      <c r="BP10" s="4" t="s">
        <v>22</v>
      </c>
      <c r="BQ10" s="4" t="s">
        <v>22</v>
      </c>
      <c r="BR10" s="4" t="s">
        <v>22</v>
      </c>
      <c r="BS10" s="4" t="s">
        <v>22</v>
      </c>
      <c r="BT10" s="4" t="s">
        <v>22</v>
      </c>
      <c r="BU10" s="4" t="s">
        <v>22</v>
      </c>
      <c r="BV10" s="4" t="s">
        <v>22</v>
      </c>
      <c r="BW10" s="4" t="s">
        <v>22</v>
      </c>
      <c r="BX10" s="4" t="s">
        <v>22</v>
      </c>
      <c r="BY10" s="4" t="s">
        <v>22</v>
      </c>
      <c r="BZ10" s="4" t="s">
        <v>22</v>
      </c>
      <c r="CA10" s="4" t="s">
        <v>22</v>
      </c>
      <c r="CB10" s="4" t="s">
        <v>22</v>
      </c>
      <c r="CC10" s="4" t="s">
        <v>22</v>
      </c>
      <c r="CD10" s="4" t="s">
        <v>22</v>
      </c>
      <c r="CE10" s="4" t="s">
        <v>22</v>
      </c>
      <c r="CF10" s="4" t="s">
        <v>22</v>
      </c>
      <c r="CG10" s="4" t="s">
        <v>22</v>
      </c>
      <c r="CH10" s="4" t="s">
        <v>22</v>
      </c>
      <c r="CI10" s="4" t="s">
        <v>22</v>
      </c>
      <c r="CJ10" s="4" t="s">
        <v>22</v>
      </c>
      <c r="CK10" s="4" t="s">
        <v>22</v>
      </c>
      <c r="CL10" s="4" t="s">
        <v>22</v>
      </c>
      <c r="CM10" s="4" t="s">
        <v>22</v>
      </c>
      <c r="CN10" s="4" t="s">
        <v>22</v>
      </c>
    </row>
    <row r="11" spans="1:92" x14ac:dyDescent="0.35">
      <c r="A11" s="5" t="s">
        <v>24</v>
      </c>
      <c r="B11" s="13">
        <v>2309989.5099999998</v>
      </c>
      <c r="C11" s="13">
        <v>23574.55</v>
      </c>
      <c r="D11" s="13">
        <v>1610.41</v>
      </c>
      <c r="E11" s="13">
        <v>1167.95</v>
      </c>
      <c r="F11" s="13">
        <v>5682.15</v>
      </c>
      <c r="G11" s="13">
        <v>108017.92</v>
      </c>
      <c r="H11" s="13">
        <v>25604.18</v>
      </c>
      <c r="I11" s="13">
        <v>10973.38</v>
      </c>
      <c r="J11" s="13">
        <v>18860.28</v>
      </c>
      <c r="K11" s="13">
        <v>4511.5200000000004</v>
      </c>
      <c r="L11" s="13">
        <v>279251.15999999997</v>
      </c>
      <c r="M11" s="68">
        <v>98620.810080666619</v>
      </c>
      <c r="N11" s="69">
        <v>1087.2770372694915</v>
      </c>
      <c r="O11" s="69">
        <v>1209.7228820638818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13">
        <v>51003.06</v>
      </c>
      <c r="W11" s="13">
        <v>39303.17</v>
      </c>
      <c r="X11" s="13">
        <v>21323.24</v>
      </c>
      <c r="Y11" s="13">
        <v>82285.850000000006</v>
      </c>
      <c r="Z11" s="13">
        <v>45403.5</v>
      </c>
      <c r="AA11" s="13">
        <v>54156.53</v>
      </c>
      <c r="AB11" s="13">
        <v>46944.27</v>
      </c>
      <c r="AC11" s="13">
        <v>62064.2</v>
      </c>
      <c r="AD11" s="13">
        <v>92421.33</v>
      </c>
      <c r="AE11" s="13">
        <v>40764.1</v>
      </c>
      <c r="AF11" s="13">
        <v>26601.05</v>
      </c>
      <c r="AG11" s="13">
        <v>27047.85</v>
      </c>
      <c r="AH11" s="13">
        <v>104284.04</v>
      </c>
      <c r="AI11" s="13">
        <v>104284.04</v>
      </c>
      <c r="AJ11" s="61">
        <v>0</v>
      </c>
      <c r="AK11" s="13">
        <v>2277.29</v>
      </c>
      <c r="AL11" s="13">
        <v>13866.6</v>
      </c>
      <c r="AM11" s="13">
        <v>106317.12</v>
      </c>
      <c r="AN11" s="13">
        <v>19294.740000000002</v>
      </c>
      <c r="AO11" s="13">
        <v>108816.82</v>
      </c>
      <c r="AP11" s="13">
        <v>35387.230000000003</v>
      </c>
      <c r="AQ11" s="13">
        <v>31108.97</v>
      </c>
      <c r="AR11" s="13">
        <v>43969.75</v>
      </c>
      <c r="AS11" s="13">
        <v>22083.74</v>
      </c>
      <c r="AT11" s="13">
        <v>29703.24</v>
      </c>
      <c r="AU11" s="13">
        <v>6980.07</v>
      </c>
      <c r="AV11" s="13">
        <v>26729.83</v>
      </c>
      <c r="AW11" s="13">
        <v>32604.37</v>
      </c>
      <c r="AX11" s="13">
        <v>11255.04</v>
      </c>
      <c r="AY11" s="13">
        <v>18373.599999999999</v>
      </c>
      <c r="AZ11" s="13">
        <v>110991.78</v>
      </c>
      <c r="BA11" s="13">
        <v>48952.42</v>
      </c>
      <c r="BB11" s="13">
        <v>28579.65</v>
      </c>
      <c r="BC11" s="13">
        <v>22000.59</v>
      </c>
      <c r="BD11" s="13">
        <v>19198.82</v>
      </c>
      <c r="BE11" s="13">
        <v>48393.95</v>
      </c>
      <c r="BF11" s="13">
        <v>16355.74</v>
      </c>
      <c r="BG11" s="13">
        <v>26081.71</v>
      </c>
      <c r="BH11" s="13">
        <v>11318.65</v>
      </c>
      <c r="BI11" s="13">
        <v>8630.74</v>
      </c>
      <c r="BJ11" s="13">
        <v>28651.27</v>
      </c>
      <c r="BK11" s="13">
        <v>5527.09</v>
      </c>
      <c r="BL11" s="13">
        <v>9990.73</v>
      </c>
      <c r="BM11" s="13">
        <v>24845.4</v>
      </c>
      <c r="BN11" s="13">
        <v>24995.95</v>
      </c>
      <c r="BO11" s="13">
        <v>9701.32</v>
      </c>
      <c r="BP11" s="13">
        <v>47483.33</v>
      </c>
      <c r="BQ11" s="13">
        <v>10754.93</v>
      </c>
      <c r="BR11" s="13">
        <v>8468.56</v>
      </c>
      <c r="BS11" s="13">
        <v>4527.24</v>
      </c>
      <c r="BT11" s="13">
        <v>4413.0600000000004</v>
      </c>
      <c r="BU11" s="13">
        <v>2726.67</v>
      </c>
      <c r="BV11" s="13">
        <v>4783.03</v>
      </c>
      <c r="BW11" s="13">
        <v>75.010000000000005</v>
      </c>
      <c r="BX11" s="7">
        <v>0</v>
      </c>
      <c r="BY11" s="13">
        <v>520129.82</v>
      </c>
      <c r="BZ11" s="13">
        <v>37113.949999999997</v>
      </c>
      <c r="CA11" s="13">
        <v>482500.83</v>
      </c>
      <c r="CB11" s="13">
        <v>515.04999999999995</v>
      </c>
      <c r="CC11" s="13">
        <v>316500.83</v>
      </c>
      <c r="CD11" s="13">
        <v>48710.29</v>
      </c>
      <c r="CE11" s="7">
        <v>0</v>
      </c>
      <c r="CF11" s="7" t="s">
        <v>104</v>
      </c>
      <c r="CG11" s="7">
        <v>0</v>
      </c>
      <c r="CH11" s="7" t="s">
        <v>104</v>
      </c>
      <c r="CI11" s="7">
        <v>0</v>
      </c>
      <c r="CJ11" s="13">
        <v>267790.55</v>
      </c>
      <c r="CK11" s="7" t="s">
        <v>104</v>
      </c>
      <c r="CL11" s="7" t="s">
        <v>104</v>
      </c>
      <c r="CM11" s="13">
        <v>3146620.16</v>
      </c>
      <c r="CN11" s="13">
        <v>836630.66</v>
      </c>
    </row>
    <row r="12" spans="1:92" x14ac:dyDescent="0.35">
      <c r="A12" s="5" t="s">
        <v>25</v>
      </c>
      <c r="B12" s="12">
        <v>29931.02</v>
      </c>
      <c r="C12" s="12">
        <v>3123.35</v>
      </c>
      <c r="D12" s="12">
        <v>36.380000000000003</v>
      </c>
      <c r="E12" s="12">
        <v>1.51</v>
      </c>
      <c r="F12" s="12">
        <v>3.21</v>
      </c>
      <c r="G12" s="12">
        <v>22756.73</v>
      </c>
      <c r="H12" s="12">
        <v>292.76</v>
      </c>
      <c r="I12" s="12">
        <v>6.09</v>
      </c>
      <c r="J12" s="12">
        <v>16.920000000000002</v>
      </c>
      <c r="K12" s="12">
        <v>2.52</v>
      </c>
      <c r="L12" s="12">
        <v>6.73</v>
      </c>
      <c r="M12" s="12">
        <v>481.48</v>
      </c>
      <c r="N12" s="43">
        <v>0</v>
      </c>
      <c r="O12" s="43">
        <v>0</v>
      </c>
      <c r="P12" s="43">
        <v>0</v>
      </c>
      <c r="Q12" s="43">
        <v>0</v>
      </c>
      <c r="R12" s="43">
        <v>0</v>
      </c>
      <c r="S12" s="43">
        <v>0</v>
      </c>
      <c r="T12" s="43">
        <v>0</v>
      </c>
      <c r="U12" s="43">
        <v>0</v>
      </c>
      <c r="V12" s="12">
        <v>77.95</v>
      </c>
      <c r="W12" s="12">
        <v>280.64</v>
      </c>
      <c r="X12" s="12">
        <v>5.73</v>
      </c>
      <c r="Y12" s="12">
        <v>4.37</v>
      </c>
      <c r="Z12" s="12">
        <v>8.4700000000000006</v>
      </c>
      <c r="AA12" s="12">
        <v>1.95</v>
      </c>
      <c r="AB12" s="12">
        <v>3.77</v>
      </c>
      <c r="AC12" s="12">
        <v>10.119999999999999</v>
      </c>
      <c r="AD12" s="12">
        <v>10.16</v>
      </c>
      <c r="AE12" s="12">
        <v>0.7</v>
      </c>
      <c r="AF12" s="12">
        <v>30.57</v>
      </c>
      <c r="AG12" s="12">
        <v>17.78</v>
      </c>
      <c r="AH12" s="13">
        <v>120.44</v>
      </c>
      <c r="AI12" s="12">
        <v>120.44</v>
      </c>
      <c r="AJ12" s="61">
        <v>0</v>
      </c>
      <c r="AK12" s="12">
        <v>0.99</v>
      </c>
      <c r="AL12" s="12">
        <v>9.81</v>
      </c>
      <c r="AM12" s="12">
        <v>40.07</v>
      </c>
      <c r="AN12" s="12">
        <v>1.94</v>
      </c>
      <c r="AO12" s="12">
        <v>596.28</v>
      </c>
      <c r="AP12" s="12">
        <v>113.35</v>
      </c>
      <c r="AQ12" s="12">
        <v>20.32</v>
      </c>
      <c r="AR12" s="12">
        <v>10.17</v>
      </c>
      <c r="AS12" s="12">
        <v>0.68</v>
      </c>
      <c r="AT12" s="12">
        <v>9.6999999999999993</v>
      </c>
      <c r="AU12" s="12">
        <v>0.77</v>
      </c>
      <c r="AV12" s="12">
        <v>695.26</v>
      </c>
      <c r="AW12" s="12">
        <v>0.35</v>
      </c>
      <c r="AX12" s="12">
        <v>1.23</v>
      </c>
      <c r="AY12" s="12">
        <v>0.96</v>
      </c>
      <c r="AZ12" s="12">
        <v>22.21</v>
      </c>
      <c r="BA12" s="12">
        <v>0.37</v>
      </c>
      <c r="BB12" s="12">
        <v>0.05</v>
      </c>
      <c r="BC12" s="12">
        <v>0.3</v>
      </c>
      <c r="BD12" s="12">
        <v>98.32</v>
      </c>
      <c r="BE12" s="12">
        <v>53.73</v>
      </c>
      <c r="BF12" s="12">
        <v>15.42</v>
      </c>
      <c r="BG12" s="12">
        <v>67.48</v>
      </c>
      <c r="BH12" s="12">
        <v>9.6999999999999993</v>
      </c>
      <c r="BI12" s="12">
        <v>56.09</v>
      </c>
      <c r="BJ12" s="12">
        <v>73.03</v>
      </c>
      <c r="BK12" s="12">
        <v>2.3199999999999998</v>
      </c>
      <c r="BL12" s="12">
        <v>3.49</v>
      </c>
      <c r="BM12" s="12">
        <v>394.19</v>
      </c>
      <c r="BN12" s="12">
        <v>96.73</v>
      </c>
      <c r="BO12" s="12">
        <v>31.88</v>
      </c>
      <c r="BP12" s="12">
        <v>91.05</v>
      </c>
      <c r="BQ12" s="12">
        <v>72.91</v>
      </c>
      <c r="BR12" s="12">
        <v>14.32</v>
      </c>
      <c r="BS12" s="12">
        <v>7.49</v>
      </c>
      <c r="BT12" s="12">
        <v>4.66</v>
      </c>
      <c r="BU12" s="12">
        <v>0.87</v>
      </c>
      <c r="BV12" s="12">
        <v>12.16</v>
      </c>
      <c r="BW12" s="12">
        <v>7.0000000000000007E-2</v>
      </c>
      <c r="BX12" s="6">
        <v>0</v>
      </c>
      <c r="BY12" s="12">
        <v>18346.55</v>
      </c>
      <c r="BZ12" s="12">
        <v>107.83</v>
      </c>
      <c r="CA12" s="12">
        <v>18238.71</v>
      </c>
      <c r="CB12" s="12">
        <v>0.01</v>
      </c>
      <c r="CC12" s="12">
        <v>1541.61</v>
      </c>
      <c r="CD12" s="12">
        <v>943.83</v>
      </c>
      <c r="CE12" s="6">
        <v>0</v>
      </c>
      <c r="CF12" s="6" t="s">
        <v>104</v>
      </c>
      <c r="CG12" s="6">
        <v>0</v>
      </c>
      <c r="CH12" s="6" t="s">
        <v>104</v>
      </c>
      <c r="CI12" s="6">
        <v>0</v>
      </c>
      <c r="CJ12" s="12">
        <v>597.79</v>
      </c>
      <c r="CK12" s="6" t="s">
        <v>104</v>
      </c>
      <c r="CL12" s="6" t="s">
        <v>104</v>
      </c>
      <c r="CM12" s="12">
        <v>49819.19</v>
      </c>
      <c r="CN12" s="12">
        <v>19888.16</v>
      </c>
    </row>
    <row r="13" spans="1:92" x14ac:dyDescent="0.35">
      <c r="A13" s="5" t="s">
        <v>26</v>
      </c>
      <c r="B13" s="13">
        <v>1075.6600000000001</v>
      </c>
      <c r="C13" s="13">
        <v>11.81</v>
      </c>
      <c r="D13" s="13">
        <v>88.16</v>
      </c>
      <c r="E13" s="13">
        <v>0.08</v>
      </c>
      <c r="F13" s="13">
        <v>0.37</v>
      </c>
      <c r="G13" s="13">
        <v>16.98</v>
      </c>
      <c r="H13" s="13">
        <v>0.85</v>
      </c>
      <c r="I13" s="13">
        <v>498.54</v>
      </c>
      <c r="J13" s="13">
        <v>218.93</v>
      </c>
      <c r="K13" s="13">
        <v>0.62</v>
      </c>
      <c r="L13" s="13">
        <v>0.13</v>
      </c>
      <c r="M13" s="12">
        <v>41.06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13">
        <v>2.48</v>
      </c>
      <c r="W13" s="13">
        <v>10.029999999999999</v>
      </c>
      <c r="X13" s="13">
        <v>1.24</v>
      </c>
      <c r="Y13" s="13">
        <v>0.57999999999999996</v>
      </c>
      <c r="Z13" s="13">
        <v>3.68</v>
      </c>
      <c r="AA13" s="13">
        <v>0.18</v>
      </c>
      <c r="AB13" s="13">
        <v>0.15</v>
      </c>
      <c r="AC13" s="13">
        <v>0.54</v>
      </c>
      <c r="AD13" s="13">
        <v>0.21</v>
      </c>
      <c r="AE13" s="13">
        <v>0.09</v>
      </c>
      <c r="AF13" s="13">
        <v>44.06</v>
      </c>
      <c r="AG13" s="13">
        <v>2.5099999999999998</v>
      </c>
      <c r="AH13" s="13">
        <v>20.329999999999998</v>
      </c>
      <c r="AI13" s="13">
        <v>20.329999999999998</v>
      </c>
      <c r="AJ13" s="61">
        <v>0</v>
      </c>
      <c r="AK13" s="13">
        <v>0.13</v>
      </c>
      <c r="AL13" s="13">
        <v>7.31</v>
      </c>
      <c r="AM13" s="13">
        <v>27.87</v>
      </c>
      <c r="AN13" s="13">
        <v>7.0000000000000007E-2</v>
      </c>
      <c r="AO13" s="13">
        <v>17.010000000000002</v>
      </c>
      <c r="AP13" s="13">
        <v>3.86</v>
      </c>
      <c r="AQ13" s="13">
        <v>1.52</v>
      </c>
      <c r="AR13" s="13">
        <v>0.14000000000000001</v>
      </c>
      <c r="AS13" s="13">
        <v>3.03</v>
      </c>
      <c r="AT13" s="13">
        <v>1.05</v>
      </c>
      <c r="AU13" s="7">
        <v>0</v>
      </c>
      <c r="AV13" s="13">
        <v>3.39</v>
      </c>
      <c r="AW13" s="13">
        <v>0.06</v>
      </c>
      <c r="AX13" s="13">
        <v>7.0000000000000007E-2</v>
      </c>
      <c r="AY13" s="13">
        <v>0.01</v>
      </c>
      <c r="AZ13" s="13">
        <v>1.39</v>
      </c>
      <c r="BA13" s="13">
        <v>0.02</v>
      </c>
      <c r="BB13" s="7">
        <v>0</v>
      </c>
      <c r="BC13" s="13">
        <v>0.02</v>
      </c>
      <c r="BD13" s="13">
        <v>2.04</v>
      </c>
      <c r="BE13" s="13">
        <v>2.61</v>
      </c>
      <c r="BF13" s="13">
        <v>1.48</v>
      </c>
      <c r="BG13" s="13">
        <v>3.86</v>
      </c>
      <c r="BH13" s="13">
        <v>0.25</v>
      </c>
      <c r="BI13" s="13">
        <v>0.23</v>
      </c>
      <c r="BJ13" s="13">
        <v>4.1500000000000004</v>
      </c>
      <c r="BK13" s="13">
        <v>0.24</v>
      </c>
      <c r="BL13" s="13">
        <v>0.03</v>
      </c>
      <c r="BM13" s="13">
        <v>4.7300000000000004</v>
      </c>
      <c r="BN13" s="13">
        <v>14.42</v>
      </c>
      <c r="BO13" s="13">
        <v>0.38</v>
      </c>
      <c r="BP13" s="13">
        <v>1.22</v>
      </c>
      <c r="BQ13" s="13">
        <v>1.0900000000000001</v>
      </c>
      <c r="BR13" s="13">
        <v>5.34</v>
      </c>
      <c r="BS13" s="13">
        <v>0.48</v>
      </c>
      <c r="BT13" s="13">
        <v>1.19</v>
      </c>
      <c r="BU13" s="13">
        <v>0.1</v>
      </c>
      <c r="BV13" s="13">
        <v>1.3</v>
      </c>
      <c r="BW13" s="13">
        <v>0.01</v>
      </c>
      <c r="BX13" s="7">
        <v>0</v>
      </c>
      <c r="BY13" s="13">
        <v>257.27999999999997</v>
      </c>
      <c r="BZ13" s="7">
        <v>0</v>
      </c>
      <c r="CA13" s="13">
        <v>257.27999999999997</v>
      </c>
      <c r="CB13" s="7">
        <v>0</v>
      </c>
      <c r="CC13" s="13">
        <v>34.56</v>
      </c>
      <c r="CD13" s="13">
        <v>34.340000000000003</v>
      </c>
      <c r="CE13" s="7">
        <v>0</v>
      </c>
      <c r="CF13" s="7" t="s">
        <v>104</v>
      </c>
      <c r="CG13" s="7">
        <v>0</v>
      </c>
      <c r="CH13" s="7" t="s">
        <v>104</v>
      </c>
      <c r="CI13" s="7">
        <v>0</v>
      </c>
      <c r="CJ13" s="13">
        <v>0.22</v>
      </c>
      <c r="CK13" s="7" t="s">
        <v>104</v>
      </c>
      <c r="CL13" s="7" t="s">
        <v>104</v>
      </c>
      <c r="CM13" s="13">
        <v>1367.5</v>
      </c>
      <c r="CN13" s="13">
        <v>291.83999999999997</v>
      </c>
    </row>
    <row r="14" spans="1:92" x14ac:dyDescent="0.35">
      <c r="A14" s="5" t="s">
        <v>27</v>
      </c>
      <c r="B14" s="12">
        <v>4672.9799999999996</v>
      </c>
      <c r="C14" s="12">
        <v>15.56</v>
      </c>
      <c r="D14" s="12">
        <v>0.68</v>
      </c>
      <c r="E14" s="12">
        <v>72.02</v>
      </c>
      <c r="F14" s="12">
        <v>1.02</v>
      </c>
      <c r="G14" s="12">
        <v>3235.86</v>
      </c>
      <c r="H14" s="12">
        <v>1.64</v>
      </c>
      <c r="I14" s="12">
        <v>0.36</v>
      </c>
      <c r="J14" s="12">
        <v>0.44</v>
      </c>
      <c r="K14" s="12">
        <v>0.01</v>
      </c>
      <c r="L14" s="12">
        <v>0.16</v>
      </c>
      <c r="M14" s="12">
        <v>55.59</v>
      </c>
      <c r="N14" s="43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12">
        <v>44.3</v>
      </c>
      <c r="W14" s="12">
        <v>0.25</v>
      </c>
      <c r="X14" s="12">
        <v>0.1</v>
      </c>
      <c r="Y14" s="12">
        <v>0.28999999999999998</v>
      </c>
      <c r="Z14" s="12">
        <v>0.19</v>
      </c>
      <c r="AA14" s="12">
        <v>0.53</v>
      </c>
      <c r="AB14" s="12">
        <v>0.27</v>
      </c>
      <c r="AC14" s="12">
        <v>0.31</v>
      </c>
      <c r="AD14" s="12">
        <v>0.39</v>
      </c>
      <c r="AE14" s="12">
        <v>0.01</v>
      </c>
      <c r="AF14" s="12">
        <v>1.2</v>
      </c>
      <c r="AG14" s="12">
        <v>0.71</v>
      </c>
      <c r="AH14" s="13">
        <v>10.37</v>
      </c>
      <c r="AI14" s="12">
        <v>10.37</v>
      </c>
      <c r="AJ14" s="61">
        <v>0</v>
      </c>
      <c r="AK14" s="12">
        <v>0.08</v>
      </c>
      <c r="AL14" s="12">
        <v>1.37</v>
      </c>
      <c r="AM14" s="12">
        <v>14.33</v>
      </c>
      <c r="AN14" s="12">
        <v>0.54</v>
      </c>
      <c r="AO14" s="12">
        <v>94.91</v>
      </c>
      <c r="AP14" s="12">
        <v>30.84</v>
      </c>
      <c r="AQ14" s="12">
        <v>7.2</v>
      </c>
      <c r="AR14" s="12">
        <v>2.33</v>
      </c>
      <c r="AS14" s="12">
        <v>0.1</v>
      </c>
      <c r="AT14" s="12">
        <v>6.54</v>
      </c>
      <c r="AU14" s="12">
        <v>0.21</v>
      </c>
      <c r="AV14" s="12">
        <v>853.2</v>
      </c>
      <c r="AW14" s="12">
        <v>0.5</v>
      </c>
      <c r="AX14" s="12">
        <v>0.53</v>
      </c>
      <c r="AY14" s="12">
        <v>0.95</v>
      </c>
      <c r="AZ14" s="12">
        <v>8.43</v>
      </c>
      <c r="BA14" s="12">
        <v>0.72</v>
      </c>
      <c r="BB14" s="12">
        <v>0.59</v>
      </c>
      <c r="BC14" s="12">
        <v>0.32</v>
      </c>
      <c r="BD14" s="12">
        <v>13.22</v>
      </c>
      <c r="BE14" s="12">
        <v>20.38</v>
      </c>
      <c r="BF14" s="12">
        <v>3.71</v>
      </c>
      <c r="BG14" s="12">
        <v>12.84</v>
      </c>
      <c r="BH14" s="12">
        <v>1.99</v>
      </c>
      <c r="BI14" s="12">
        <v>2.36</v>
      </c>
      <c r="BJ14" s="12">
        <v>32.479999999999997</v>
      </c>
      <c r="BK14" s="12">
        <v>1.44</v>
      </c>
      <c r="BL14" s="12">
        <v>0.5</v>
      </c>
      <c r="BM14" s="12">
        <v>15.75</v>
      </c>
      <c r="BN14" s="12">
        <v>4.8600000000000003</v>
      </c>
      <c r="BO14" s="12">
        <v>6.62</v>
      </c>
      <c r="BP14" s="12">
        <v>25.63</v>
      </c>
      <c r="BQ14" s="12">
        <v>31.97</v>
      </c>
      <c r="BR14" s="12">
        <v>13.79</v>
      </c>
      <c r="BS14" s="12">
        <v>12.63</v>
      </c>
      <c r="BT14" s="12">
        <v>5.58</v>
      </c>
      <c r="BU14" s="12">
        <v>0.18</v>
      </c>
      <c r="BV14" s="12">
        <v>1.07</v>
      </c>
      <c r="BW14" s="12">
        <v>7.0000000000000007E-2</v>
      </c>
      <c r="BX14" s="6">
        <v>0</v>
      </c>
      <c r="BY14" s="12">
        <v>2819.14</v>
      </c>
      <c r="BZ14" s="6">
        <v>0</v>
      </c>
      <c r="CA14" s="12">
        <v>2819.14</v>
      </c>
      <c r="CB14" s="6">
        <v>0</v>
      </c>
      <c r="CC14" s="12">
        <v>-94.48</v>
      </c>
      <c r="CD14" s="12">
        <v>-102.7</v>
      </c>
      <c r="CE14" s="6">
        <v>0</v>
      </c>
      <c r="CF14" s="6" t="s">
        <v>104</v>
      </c>
      <c r="CG14" s="6">
        <v>0</v>
      </c>
      <c r="CH14" s="6" t="s">
        <v>104</v>
      </c>
      <c r="CI14" s="6">
        <v>0</v>
      </c>
      <c r="CJ14" s="12">
        <v>8.2200000000000006</v>
      </c>
      <c r="CK14" s="6" t="s">
        <v>104</v>
      </c>
      <c r="CL14" s="6" t="s">
        <v>104</v>
      </c>
      <c r="CM14" s="12">
        <v>7397.64</v>
      </c>
      <c r="CN14" s="12">
        <v>2724.66</v>
      </c>
    </row>
    <row r="15" spans="1:92" x14ac:dyDescent="0.35">
      <c r="A15" s="5" t="s">
        <v>28</v>
      </c>
      <c r="B15" s="13">
        <v>419718.97</v>
      </c>
      <c r="C15" s="13">
        <v>1170.02</v>
      </c>
      <c r="D15" s="13">
        <v>11.38</v>
      </c>
      <c r="E15" s="13">
        <v>7.97</v>
      </c>
      <c r="F15" s="13">
        <v>1879.13</v>
      </c>
      <c r="G15" s="13">
        <v>2466.29</v>
      </c>
      <c r="H15" s="13">
        <v>376.76</v>
      </c>
      <c r="I15" s="13">
        <v>61.18</v>
      </c>
      <c r="J15" s="13">
        <v>1514.33</v>
      </c>
      <c r="K15" s="13">
        <v>79.540000000000006</v>
      </c>
      <c r="L15" s="13">
        <v>244051.82</v>
      </c>
      <c r="M15" s="12">
        <v>23220.21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13">
        <v>399.42</v>
      </c>
      <c r="W15" s="13">
        <v>630.48</v>
      </c>
      <c r="X15" s="13">
        <v>5260.42</v>
      </c>
      <c r="Y15" s="13">
        <v>32850.67</v>
      </c>
      <c r="Z15" s="13">
        <v>1734.41</v>
      </c>
      <c r="AA15" s="13">
        <v>110.66</v>
      </c>
      <c r="AB15" s="13">
        <v>448.48</v>
      </c>
      <c r="AC15" s="13">
        <v>971.21</v>
      </c>
      <c r="AD15" s="13">
        <v>399.43</v>
      </c>
      <c r="AE15" s="13">
        <v>220.02</v>
      </c>
      <c r="AF15" s="13">
        <v>507.03</v>
      </c>
      <c r="AG15" s="13">
        <v>578.66</v>
      </c>
      <c r="AH15" s="13">
        <v>72495.429999999993</v>
      </c>
      <c r="AI15" s="13">
        <v>72495.429999999993</v>
      </c>
      <c r="AJ15" s="61">
        <v>0</v>
      </c>
      <c r="AK15" s="13">
        <v>324.60000000000002</v>
      </c>
      <c r="AL15" s="13">
        <v>598.58000000000004</v>
      </c>
      <c r="AM15" s="13">
        <v>5477.06</v>
      </c>
      <c r="AN15" s="13">
        <v>70.14</v>
      </c>
      <c r="AO15" s="13">
        <v>8049.84</v>
      </c>
      <c r="AP15" s="13">
        <v>1028.46</v>
      </c>
      <c r="AQ15" s="13">
        <v>1959.78</v>
      </c>
      <c r="AR15" s="13">
        <v>44.83</v>
      </c>
      <c r="AS15" s="13">
        <v>17.8</v>
      </c>
      <c r="AT15" s="13">
        <v>527.15</v>
      </c>
      <c r="AU15" s="13">
        <v>117.52</v>
      </c>
      <c r="AV15" s="13">
        <v>747.48</v>
      </c>
      <c r="AW15" s="13">
        <v>13.7</v>
      </c>
      <c r="AX15" s="13">
        <v>10.42</v>
      </c>
      <c r="AY15" s="13">
        <v>80.88</v>
      </c>
      <c r="AZ15" s="13">
        <v>606.71</v>
      </c>
      <c r="BA15" s="13">
        <v>21.46</v>
      </c>
      <c r="BB15" s="13">
        <v>7.9</v>
      </c>
      <c r="BC15" s="13">
        <v>31.08</v>
      </c>
      <c r="BD15" s="13">
        <v>787.03</v>
      </c>
      <c r="BE15" s="13">
        <v>2694.76</v>
      </c>
      <c r="BF15" s="13">
        <v>855.73</v>
      </c>
      <c r="BG15" s="13">
        <v>762.64</v>
      </c>
      <c r="BH15" s="13">
        <v>67.180000000000007</v>
      </c>
      <c r="BI15" s="13">
        <v>129.1</v>
      </c>
      <c r="BJ15" s="13">
        <v>597.77</v>
      </c>
      <c r="BK15" s="13">
        <v>163.44999999999999</v>
      </c>
      <c r="BL15" s="13">
        <v>3.1</v>
      </c>
      <c r="BM15" s="13">
        <v>728.62</v>
      </c>
      <c r="BN15" s="13">
        <v>582.52</v>
      </c>
      <c r="BO15" s="13">
        <v>178.95</v>
      </c>
      <c r="BP15" s="13">
        <v>465.95</v>
      </c>
      <c r="BQ15" s="13">
        <v>241.92</v>
      </c>
      <c r="BR15" s="13">
        <v>43.12</v>
      </c>
      <c r="BS15" s="13">
        <v>82.26</v>
      </c>
      <c r="BT15" s="13">
        <v>66.489999999999995</v>
      </c>
      <c r="BU15" s="13">
        <v>8.27</v>
      </c>
      <c r="BV15" s="13">
        <v>78.58</v>
      </c>
      <c r="BW15" s="13">
        <v>1.22</v>
      </c>
      <c r="BX15" s="7">
        <v>0</v>
      </c>
      <c r="BY15" s="13">
        <v>20275.72</v>
      </c>
      <c r="BZ15" s="13">
        <v>121.55</v>
      </c>
      <c r="CA15" s="13">
        <v>20154.18</v>
      </c>
      <c r="CB15" s="7">
        <v>0</v>
      </c>
      <c r="CC15" s="13">
        <v>4958.07</v>
      </c>
      <c r="CD15" s="13">
        <v>4633.1099999999997</v>
      </c>
      <c r="CE15" s="7">
        <v>0</v>
      </c>
      <c r="CF15" s="7" t="s">
        <v>104</v>
      </c>
      <c r="CG15" s="7">
        <v>0</v>
      </c>
      <c r="CH15" s="7" t="s">
        <v>104</v>
      </c>
      <c r="CI15" s="7">
        <v>0</v>
      </c>
      <c r="CJ15" s="13">
        <v>324.95999999999998</v>
      </c>
      <c r="CK15" s="7" t="s">
        <v>104</v>
      </c>
      <c r="CL15" s="7" t="s">
        <v>104</v>
      </c>
      <c r="CM15" s="13">
        <v>444952.76</v>
      </c>
      <c r="CN15" s="13">
        <v>25233.79</v>
      </c>
    </row>
    <row r="16" spans="1:92" x14ac:dyDescent="0.35">
      <c r="A16" s="5" t="s">
        <v>29</v>
      </c>
      <c r="B16" s="12">
        <v>33329.67</v>
      </c>
      <c r="C16" s="12">
        <v>1583.59</v>
      </c>
      <c r="D16" s="12">
        <v>17.2</v>
      </c>
      <c r="E16" s="12">
        <v>48.54</v>
      </c>
      <c r="F16" s="12">
        <v>9.93</v>
      </c>
      <c r="G16" s="12">
        <v>19484.98</v>
      </c>
      <c r="H16" s="12">
        <v>218.33</v>
      </c>
      <c r="I16" s="12">
        <v>4.8099999999999996</v>
      </c>
      <c r="J16" s="12">
        <v>57.45</v>
      </c>
      <c r="K16" s="12">
        <v>2.0499999999999998</v>
      </c>
      <c r="L16" s="12">
        <v>114.1</v>
      </c>
      <c r="M16" s="58">
        <v>-1077.3599193333732</v>
      </c>
      <c r="N16" s="44">
        <v>1087.2770372694915</v>
      </c>
      <c r="O16" s="44">
        <v>1209.7228820638818</v>
      </c>
      <c r="P16" s="45">
        <v>0</v>
      </c>
      <c r="Q16" s="45">
        <v>0</v>
      </c>
      <c r="R16" s="45">
        <v>0</v>
      </c>
      <c r="S16" s="45">
        <v>0</v>
      </c>
      <c r="T16" s="45">
        <v>0</v>
      </c>
      <c r="U16" s="45">
        <v>0</v>
      </c>
      <c r="V16" s="12">
        <v>348.8</v>
      </c>
      <c r="W16" s="12">
        <v>41.43</v>
      </c>
      <c r="X16" s="12">
        <v>13.22</v>
      </c>
      <c r="Y16" s="12">
        <v>15.9</v>
      </c>
      <c r="Z16" s="12">
        <v>12.83</v>
      </c>
      <c r="AA16" s="12">
        <v>20.67</v>
      </c>
      <c r="AB16" s="12">
        <v>8.58</v>
      </c>
      <c r="AC16" s="12">
        <v>22.92</v>
      </c>
      <c r="AD16" s="12">
        <v>10.59</v>
      </c>
      <c r="AE16" s="12">
        <v>3.45</v>
      </c>
      <c r="AF16" s="12">
        <v>73.430000000000007</v>
      </c>
      <c r="AG16" s="12">
        <v>20.7</v>
      </c>
      <c r="AH16" s="13">
        <v>123.73</v>
      </c>
      <c r="AI16" s="12">
        <v>123.73</v>
      </c>
      <c r="AJ16" s="61">
        <v>0</v>
      </c>
      <c r="AK16" s="12">
        <v>1.66</v>
      </c>
      <c r="AL16" s="12">
        <v>55.48</v>
      </c>
      <c r="AM16" s="12">
        <v>74.790000000000006</v>
      </c>
      <c r="AN16" s="12">
        <v>13.23</v>
      </c>
      <c r="AO16" s="12">
        <v>900.11</v>
      </c>
      <c r="AP16" s="12">
        <v>455.76</v>
      </c>
      <c r="AQ16" s="12">
        <v>60.04</v>
      </c>
      <c r="AR16" s="12">
        <v>56.81</v>
      </c>
      <c r="AS16" s="12">
        <v>27.86</v>
      </c>
      <c r="AT16" s="12">
        <v>36.090000000000003</v>
      </c>
      <c r="AU16" s="12">
        <v>9.0500000000000007</v>
      </c>
      <c r="AV16" s="12">
        <v>5374.56</v>
      </c>
      <c r="AW16" s="12">
        <v>23.85</v>
      </c>
      <c r="AX16" s="12">
        <v>20.23</v>
      </c>
      <c r="AY16" s="12">
        <v>21.53</v>
      </c>
      <c r="AZ16" s="12">
        <v>90.98</v>
      </c>
      <c r="BA16" s="12">
        <v>6.45</v>
      </c>
      <c r="BB16" s="12">
        <v>4.53</v>
      </c>
      <c r="BC16" s="12">
        <v>5.83</v>
      </c>
      <c r="BD16" s="12">
        <v>97.49</v>
      </c>
      <c r="BE16" s="12">
        <v>122.17</v>
      </c>
      <c r="BF16" s="12">
        <v>36.409999999999997</v>
      </c>
      <c r="BG16" s="12">
        <v>144.30000000000001</v>
      </c>
      <c r="BH16" s="12">
        <v>23.23</v>
      </c>
      <c r="BI16" s="12">
        <v>48.53</v>
      </c>
      <c r="BJ16" s="12">
        <v>123.78</v>
      </c>
      <c r="BK16" s="12">
        <v>14.54</v>
      </c>
      <c r="BL16" s="12">
        <v>16.93</v>
      </c>
      <c r="BM16" s="12">
        <v>211.37</v>
      </c>
      <c r="BN16" s="12">
        <v>228.23</v>
      </c>
      <c r="BO16" s="12">
        <v>228.36</v>
      </c>
      <c r="BP16" s="12">
        <v>651.30999999999995</v>
      </c>
      <c r="BQ16" s="12">
        <v>426.72</v>
      </c>
      <c r="BR16" s="12">
        <v>46.16</v>
      </c>
      <c r="BS16" s="12">
        <v>119.03</v>
      </c>
      <c r="BT16" s="12">
        <v>43.61</v>
      </c>
      <c r="BU16" s="12">
        <v>3.41</v>
      </c>
      <c r="BV16" s="12">
        <v>27.66</v>
      </c>
      <c r="BW16" s="12">
        <v>0.73</v>
      </c>
      <c r="BX16" s="6">
        <v>0</v>
      </c>
      <c r="BY16" s="12">
        <v>48645.45</v>
      </c>
      <c r="BZ16" s="12">
        <v>47.97</v>
      </c>
      <c r="CA16" s="12">
        <v>48523.24</v>
      </c>
      <c r="CB16" s="12">
        <v>74.239999999999995</v>
      </c>
      <c r="CC16" s="12">
        <v>1942.86</v>
      </c>
      <c r="CD16" s="12">
        <v>1942.86</v>
      </c>
      <c r="CE16" s="6">
        <v>0</v>
      </c>
      <c r="CF16" s="6" t="s">
        <v>104</v>
      </c>
      <c r="CG16" s="6">
        <v>0</v>
      </c>
      <c r="CH16" s="6" t="s">
        <v>104</v>
      </c>
      <c r="CI16" s="6">
        <v>0</v>
      </c>
      <c r="CJ16" s="6">
        <v>0</v>
      </c>
      <c r="CK16" s="6" t="s">
        <v>104</v>
      </c>
      <c r="CL16" s="6" t="s">
        <v>104</v>
      </c>
      <c r="CM16" s="12">
        <v>83917.98</v>
      </c>
      <c r="CN16" s="12">
        <v>50588.31</v>
      </c>
    </row>
    <row r="17" spans="1:93" x14ac:dyDescent="0.35">
      <c r="A17" s="5" t="s">
        <v>30</v>
      </c>
      <c r="B17" s="13">
        <v>33921.31</v>
      </c>
      <c r="C17" s="13">
        <v>171.27</v>
      </c>
      <c r="D17" s="13">
        <v>21.64</v>
      </c>
      <c r="E17" s="13">
        <v>18.54</v>
      </c>
      <c r="F17" s="13">
        <v>29.18</v>
      </c>
      <c r="G17" s="13">
        <v>417.97</v>
      </c>
      <c r="H17" s="13">
        <v>12927.21</v>
      </c>
      <c r="I17" s="13">
        <v>92.47</v>
      </c>
      <c r="J17" s="13">
        <v>577.33000000000004</v>
      </c>
      <c r="K17" s="13">
        <v>225.77</v>
      </c>
      <c r="L17" s="13">
        <v>63.38</v>
      </c>
      <c r="M17" s="12">
        <v>465.06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7">
        <v>177</v>
      </c>
      <c r="W17" s="13">
        <v>1303.22</v>
      </c>
      <c r="X17" s="13">
        <v>222.02</v>
      </c>
      <c r="Y17" s="13">
        <v>131.35</v>
      </c>
      <c r="Z17" s="13">
        <v>394.5</v>
      </c>
      <c r="AA17" s="13">
        <v>133.53</v>
      </c>
      <c r="AB17" s="13">
        <v>191.16</v>
      </c>
      <c r="AC17" s="13">
        <v>386.25</v>
      </c>
      <c r="AD17" s="13">
        <v>1868.57</v>
      </c>
      <c r="AE17" s="13">
        <v>271.36</v>
      </c>
      <c r="AF17" s="13">
        <v>1728.12</v>
      </c>
      <c r="AG17" s="13">
        <v>243.2</v>
      </c>
      <c r="AH17" s="13">
        <v>209.43</v>
      </c>
      <c r="AI17" s="13">
        <v>209.43</v>
      </c>
      <c r="AJ17" s="61">
        <v>0</v>
      </c>
      <c r="AK17" s="13">
        <v>12.63</v>
      </c>
      <c r="AL17" s="13">
        <v>168.51</v>
      </c>
      <c r="AM17" s="13">
        <v>1055.29</v>
      </c>
      <c r="AN17" s="13">
        <v>251.16</v>
      </c>
      <c r="AO17" s="13">
        <v>1552.76</v>
      </c>
      <c r="AP17" s="13">
        <v>942.05</v>
      </c>
      <c r="AQ17" s="13">
        <v>240.55</v>
      </c>
      <c r="AR17" s="13">
        <v>69.92</v>
      </c>
      <c r="AS17" s="13">
        <v>31.97</v>
      </c>
      <c r="AT17" s="13">
        <v>210.69</v>
      </c>
      <c r="AU17" s="13">
        <v>74.010000000000005</v>
      </c>
      <c r="AV17" s="13">
        <v>635.32000000000005</v>
      </c>
      <c r="AW17" s="13">
        <v>36.39</v>
      </c>
      <c r="AX17" s="13">
        <v>293.86</v>
      </c>
      <c r="AY17" s="13">
        <v>121.56</v>
      </c>
      <c r="AZ17" s="13">
        <v>190.81</v>
      </c>
      <c r="BA17" s="13">
        <v>35.96</v>
      </c>
      <c r="BB17" s="13">
        <v>18.510000000000002</v>
      </c>
      <c r="BC17" s="13">
        <v>24.51</v>
      </c>
      <c r="BD17" s="13">
        <v>194.03</v>
      </c>
      <c r="BE17" s="13">
        <v>302.37</v>
      </c>
      <c r="BF17" s="13">
        <v>136.72</v>
      </c>
      <c r="BG17" s="13">
        <v>301.70999999999998</v>
      </c>
      <c r="BH17" s="7">
        <v>47</v>
      </c>
      <c r="BI17" s="13">
        <v>176.54</v>
      </c>
      <c r="BJ17" s="13">
        <v>230.41</v>
      </c>
      <c r="BK17" s="13">
        <v>82.65</v>
      </c>
      <c r="BL17" s="13">
        <v>36.799999999999997</v>
      </c>
      <c r="BM17" s="13">
        <v>463.04</v>
      </c>
      <c r="BN17" s="13">
        <v>600.52</v>
      </c>
      <c r="BO17" s="13">
        <v>272.97000000000003</v>
      </c>
      <c r="BP17" s="13">
        <v>1586.86</v>
      </c>
      <c r="BQ17" s="13">
        <v>516.30999999999995</v>
      </c>
      <c r="BR17" s="13">
        <v>250.39</v>
      </c>
      <c r="BS17" s="13">
        <v>172.26</v>
      </c>
      <c r="BT17" s="13">
        <v>71.540000000000006</v>
      </c>
      <c r="BU17" s="13">
        <v>88.02</v>
      </c>
      <c r="BV17" s="13">
        <v>153.06</v>
      </c>
      <c r="BW17" s="13">
        <v>2.13</v>
      </c>
      <c r="BX17" s="7">
        <v>0</v>
      </c>
      <c r="BY17" s="13">
        <v>79746.720000000001</v>
      </c>
      <c r="BZ17" s="13">
        <v>116.42</v>
      </c>
      <c r="CA17" s="13">
        <v>79533.45</v>
      </c>
      <c r="CB17" s="13">
        <v>96.85</v>
      </c>
      <c r="CC17" s="13">
        <v>14648.18</v>
      </c>
      <c r="CD17" s="13">
        <v>14021.59</v>
      </c>
      <c r="CE17" s="7">
        <v>0</v>
      </c>
      <c r="CF17" s="7" t="s">
        <v>104</v>
      </c>
      <c r="CG17" s="7">
        <v>0</v>
      </c>
      <c r="CH17" s="7" t="s">
        <v>104</v>
      </c>
      <c r="CI17" s="7">
        <v>0</v>
      </c>
      <c r="CJ17" s="13">
        <v>626.59</v>
      </c>
      <c r="CK17" s="7" t="s">
        <v>104</v>
      </c>
      <c r="CL17" s="7" t="s">
        <v>104</v>
      </c>
      <c r="CM17" s="13">
        <v>128316.21</v>
      </c>
      <c r="CN17" s="13">
        <v>94394.89</v>
      </c>
    </row>
    <row r="18" spans="1:93" x14ac:dyDescent="0.35">
      <c r="A18" s="5" t="s">
        <v>31</v>
      </c>
      <c r="B18" s="12">
        <v>14405.27</v>
      </c>
      <c r="C18" s="12">
        <v>188.52</v>
      </c>
      <c r="D18" s="12">
        <v>27.84</v>
      </c>
      <c r="E18" s="12">
        <v>5.25</v>
      </c>
      <c r="F18" s="12">
        <v>19.079999999999998</v>
      </c>
      <c r="G18" s="12">
        <v>474.96</v>
      </c>
      <c r="H18" s="12">
        <v>38.33</v>
      </c>
      <c r="I18" s="12">
        <v>3464.21</v>
      </c>
      <c r="J18" s="12">
        <v>283.83999999999997</v>
      </c>
      <c r="K18" s="12">
        <v>15.12</v>
      </c>
      <c r="L18" s="12">
        <v>10.4</v>
      </c>
      <c r="M18" s="12">
        <v>120.35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12">
        <v>34.47</v>
      </c>
      <c r="W18" s="12">
        <v>155.88999999999999</v>
      </c>
      <c r="X18" s="12">
        <v>145.62</v>
      </c>
      <c r="Y18" s="12">
        <v>101.9</v>
      </c>
      <c r="Z18" s="12">
        <v>267.75</v>
      </c>
      <c r="AA18" s="12">
        <v>38.71</v>
      </c>
      <c r="AB18" s="12">
        <v>75.5</v>
      </c>
      <c r="AC18" s="12">
        <v>120.1</v>
      </c>
      <c r="AD18" s="12">
        <v>173.25</v>
      </c>
      <c r="AE18" s="12">
        <v>105.55</v>
      </c>
      <c r="AF18" s="12">
        <v>1927.91</v>
      </c>
      <c r="AG18" s="12">
        <v>166.53</v>
      </c>
      <c r="AH18" s="13">
        <v>295.52999999999997</v>
      </c>
      <c r="AI18" s="12">
        <v>295.52999999999997</v>
      </c>
      <c r="AJ18" s="61">
        <v>0</v>
      </c>
      <c r="AK18" s="12">
        <v>2.46</v>
      </c>
      <c r="AL18" s="12">
        <v>53.73</v>
      </c>
      <c r="AM18" s="12">
        <v>4408.17</v>
      </c>
      <c r="AN18" s="12">
        <v>29.22</v>
      </c>
      <c r="AO18" s="12">
        <v>332.16</v>
      </c>
      <c r="AP18" s="12">
        <v>126.2</v>
      </c>
      <c r="AQ18" s="12">
        <v>69.77</v>
      </c>
      <c r="AR18" s="12">
        <v>3.69</v>
      </c>
      <c r="AS18" s="12">
        <v>2.5099999999999998</v>
      </c>
      <c r="AT18" s="12">
        <v>65.260000000000005</v>
      </c>
      <c r="AU18" s="12">
        <v>3.37</v>
      </c>
      <c r="AV18" s="12">
        <v>102.12</v>
      </c>
      <c r="AW18" s="12">
        <v>10.97</v>
      </c>
      <c r="AX18" s="12">
        <v>56.25</v>
      </c>
      <c r="AY18" s="12">
        <v>21.13</v>
      </c>
      <c r="AZ18" s="12">
        <v>47.96</v>
      </c>
      <c r="BA18" s="12">
        <v>2.36</v>
      </c>
      <c r="BB18" s="12">
        <v>1.52</v>
      </c>
      <c r="BC18" s="12">
        <v>3.32</v>
      </c>
      <c r="BD18" s="12">
        <v>166.33</v>
      </c>
      <c r="BE18" s="12">
        <v>44.36</v>
      </c>
      <c r="BF18" s="12">
        <v>45.35</v>
      </c>
      <c r="BG18" s="12">
        <v>53.78</v>
      </c>
      <c r="BH18" s="12">
        <v>17.97</v>
      </c>
      <c r="BI18" s="12">
        <v>23.31</v>
      </c>
      <c r="BJ18" s="12">
        <v>66.73</v>
      </c>
      <c r="BK18" s="12">
        <v>4.9000000000000004</v>
      </c>
      <c r="BL18" s="12">
        <v>1.46</v>
      </c>
      <c r="BM18" s="12">
        <v>181.35</v>
      </c>
      <c r="BN18" s="12">
        <v>27.64</v>
      </c>
      <c r="BO18" s="12">
        <v>33.74</v>
      </c>
      <c r="BP18" s="12">
        <v>13.81</v>
      </c>
      <c r="BQ18" s="12">
        <v>16.79</v>
      </c>
      <c r="BR18" s="12">
        <v>28.91</v>
      </c>
      <c r="BS18" s="12">
        <v>14.49</v>
      </c>
      <c r="BT18" s="12">
        <v>11.2</v>
      </c>
      <c r="BU18" s="12">
        <v>10.61</v>
      </c>
      <c r="BV18" s="12">
        <v>43.35</v>
      </c>
      <c r="BW18" s="12">
        <v>0.44</v>
      </c>
      <c r="BX18" s="6">
        <v>0</v>
      </c>
      <c r="BY18" s="12">
        <v>1812.18</v>
      </c>
      <c r="BZ18" s="6">
        <v>0</v>
      </c>
      <c r="CA18" s="12">
        <v>1812.18</v>
      </c>
      <c r="CB18" s="6">
        <v>0</v>
      </c>
      <c r="CC18" s="12">
        <v>735.8</v>
      </c>
      <c r="CD18" s="12">
        <v>244.76</v>
      </c>
      <c r="CE18" s="6">
        <v>0</v>
      </c>
      <c r="CF18" s="6" t="s">
        <v>104</v>
      </c>
      <c r="CG18" s="6">
        <v>0</v>
      </c>
      <c r="CH18" s="6" t="s">
        <v>104</v>
      </c>
      <c r="CI18" s="6">
        <v>0</v>
      </c>
      <c r="CJ18" s="12">
        <v>491.03</v>
      </c>
      <c r="CK18" s="6" t="s">
        <v>104</v>
      </c>
      <c r="CL18" s="6" t="s">
        <v>104</v>
      </c>
      <c r="CM18" s="12">
        <v>16953.240000000002</v>
      </c>
      <c r="CN18" s="12">
        <v>2547.9699999999998</v>
      </c>
    </row>
    <row r="19" spans="1:93" x14ac:dyDescent="0.35">
      <c r="A19" s="5" t="s">
        <v>32</v>
      </c>
      <c r="B19" s="13">
        <v>14416.64</v>
      </c>
      <c r="C19" s="13">
        <v>43.52</v>
      </c>
      <c r="D19" s="13">
        <v>28.92</v>
      </c>
      <c r="E19" s="13">
        <v>1.19</v>
      </c>
      <c r="F19" s="13">
        <v>9.25</v>
      </c>
      <c r="G19" s="13">
        <v>1375.77</v>
      </c>
      <c r="H19" s="13">
        <v>81.16</v>
      </c>
      <c r="I19" s="13">
        <v>163.41999999999999</v>
      </c>
      <c r="J19" s="13">
        <v>5736.06</v>
      </c>
      <c r="K19" s="13">
        <v>846.76</v>
      </c>
      <c r="L19" s="13">
        <v>20.61</v>
      </c>
      <c r="M19" s="12">
        <v>401.99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13">
        <v>265.41000000000003</v>
      </c>
      <c r="W19" s="13">
        <v>353.84</v>
      </c>
      <c r="X19" s="13">
        <v>105.92</v>
      </c>
      <c r="Y19" s="13">
        <v>44.82</v>
      </c>
      <c r="Z19" s="13">
        <v>95.07</v>
      </c>
      <c r="AA19" s="13">
        <v>72.45</v>
      </c>
      <c r="AB19" s="13">
        <v>94.62</v>
      </c>
      <c r="AC19" s="13">
        <v>82.68</v>
      </c>
      <c r="AD19" s="13">
        <v>91.18</v>
      </c>
      <c r="AE19" s="13">
        <v>12.72</v>
      </c>
      <c r="AF19" s="13">
        <v>248.84</v>
      </c>
      <c r="AG19" s="13">
        <v>38.5</v>
      </c>
      <c r="AH19" s="13">
        <v>133.34</v>
      </c>
      <c r="AI19" s="13">
        <v>133.34</v>
      </c>
      <c r="AJ19" s="61">
        <v>0</v>
      </c>
      <c r="AK19" s="13">
        <v>4.18</v>
      </c>
      <c r="AL19" s="13">
        <v>92.23</v>
      </c>
      <c r="AM19" s="13">
        <v>212.17</v>
      </c>
      <c r="AN19" s="13">
        <v>39.25</v>
      </c>
      <c r="AO19" s="13">
        <v>558.22</v>
      </c>
      <c r="AP19" s="13">
        <v>252.33</v>
      </c>
      <c r="AQ19" s="13">
        <v>57.63</v>
      </c>
      <c r="AR19" s="13">
        <v>4.62</v>
      </c>
      <c r="AS19" s="13">
        <v>7.24</v>
      </c>
      <c r="AT19" s="13">
        <v>51.35</v>
      </c>
      <c r="AU19" s="13">
        <v>11.99</v>
      </c>
      <c r="AV19" s="13">
        <v>146.35</v>
      </c>
      <c r="AW19" s="13">
        <v>473.77</v>
      </c>
      <c r="AX19" s="13">
        <v>49.6</v>
      </c>
      <c r="AY19" s="13">
        <v>18.72</v>
      </c>
      <c r="AZ19" s="13">
        <v>388.15</v>
      </c>
      <c r="BA19" s="13">
        <v>57.28</v>
      </c>
      <c r="BB19" s="13">
        <v>37.17</v>
      </c>
      <c r="BC19" s="13">
        <v>50.77</v>
      </c>
      <c r="BD19" s="13">
        <v>86.05</v>
      </c>
      <c r="BE19" s="13">
        <v>221.56</v>
      </c>
      <c r="BF19" s="13">
        <v>70.489999999999995</v>
      </c>
      <c r="BG19" s="13">
        <v>96.88</v>
      </c>
      <c r="BH19" s="13">
        <v>82.29</v>
      </c>
      <c r="BI19" s="13">
        <v>59.47</v>
      </c>
      <c r="BJ19" s="13">
        <v>91.21</v>
      </c>
      <c r="BK19" s="13">
        <v>15.69</v>
      </c>
      <c r="BL19" s="13">
        <v>17.38</v>
      </c>
      <c r="BM19" s="13">
        <v>175.09</v>
      </c>
      <c r="BN19" s="13">
        <v>140.18</v>
      </c>
      <c r="BO19" s="13">
        <v>70.98</v>
      </c>
      <c r="BP19" s="13">
        <v>237.43</v>
      </c>
      <c r="BQ19" s="13">
        <v>85.02</v>
      </c>
      <c r="BR19" s="13">
        <v>25.07</v>
      </c>
      <c r="BS19" s="13">
        <v>18.579999999999998</v>
      </c>
      <c r="BT19" s="13">
        <v>22.89</v>
      </c>
      <c r="BU19" s="13">
        <v>3.42</v>
      </c>
      <c r="BV19" s="13">
        <v>35.36</v>
      </c>
      <c r="BW19" s="13">
        <v>0.55000000000000004</v>
      </c>
      <c r="BX19" s="7">
        <v>0</v>
      </c>
      <c r="BY19" s="13">
        <v>2813.46</v>
      </c>
      <c r="BZ19" s="13">
        <v>29.06</v>
      </c>
      <c r="CA19" s="13">
        <v>2784.39</v>
      </c>
      <c r="CB19" s="7">
        <v>0</v>
      </c>
      <c r="CC19" s="13">
        <v>15.4</v>
      </c>
      <c r="CD19" s="13">
        <v>15.33</v>
      </c>
      <c r="CE19" s="7">
        <v>0</v>
      </c>
      <c r="CF19" s="7" t="s">
        <v>104</v>
      </c>
      <c r="CG19" s="7">
        <v>0</v>
      </c>
      <c r="CH19" s="6" t="s">
        <v>104</v>
      </c>
      <c r="CI19" s="7">
        <v>0</v>
      </c>
      <c r="CJ19" s="13">
        <v>7.0000000000000007E-2</v>
      </c>
      <c r="CK19" s="7" t="s">
        <v>104</v>
      </c>
      <c r="CL19" s="7" t="s">
        <v>104</v>
      </c>
      <c r="CM19" s="13">
        <v>17245.5</v>
      </c>
      <c r="CN19" s="13">
        <v>2828.86</v>
      </c>
    </row>
    <row r="20" spans="1:93" x14ac:dyDescent="0.35">
      <c r="A20" s="5" t="s">
        <v>33</v>
      </c>
      <c r="B20" s="12">
        <v>5949.24</v>
      </c>
      <c r="C20" s="12">
        <v>8.73</v>
      </c>
      <c r="D20" s="12">
        <v>1.07</v>
      </c>
      <c r="E20" s="12">
        <v>0.95</v>
      </c>
      <c r="F20" s="12">
        <v>1.39</v>
      </c>
      <c r="G20" s="12">
        <v>78.39</v>
      </c>
      <c r="H20" s="12">
        <v>27.64</v>
      </c>
      <c r="I20" s="12">
        <v>7.01</v>
      </c>
      <c r="J20" s="12">
        <v>406.31</v>
      </c>
      <c r="K20" s="12">
        <v>505.38</v>
      </c>
      <c r="L20" s="12">
        <v>3.62</v>
      </c>
      <c r="M20" s="12">
        <v>138.07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12">
        <v>54.68</v>
      </c>
      <c r="W20" s="12">
        <v>231.1</v>
      </c>
      <c r="X20" s="12">
        <v>12.32</v>
      </c>
      <c r="Y20" s="12">
        <v>32.28</v>
      </c>
      <c r="Z20" s="12">
        <v>73.39</v>
      </c>
      <c r="AA20" s="12">
        <v>40.19</v>
      </c>
      <c r="AB20" s="12">
        <v>19.8</v>
      </c>
      <c r="AC20" s="12">
        <v>136.19999999999999</v>
      </c>
      <c r="AD20" s="12">
        <v>53.6</v>
      </c>
      <c r="AE20" s="12">
        <v>7.59</v>
      </c>
      <c r="AF20" s="12">
        <v>30.55</v>
      </c>
      <c r="AG20" s="12">
        <v>30.18</v>
      </c>
      <c r="AH20" s="13">
        <v>36.659999999999997</v>
      </c>
      <c r="AI20" s="12">
        <v>36.659999999999997</v>
      </c>
      <c r="AJ20" s="61">
        <v>0</v>
      </c>
      <c r="AK20" s="12">
        <v>4.5</v>
      </c>
      <c r="AL20" s="12">
        <v>23.01</v>
      </c>
      <c r="AM20" s="12">
        <v>72.27</v>
      </c>
      <c r="AN20" s="12">
        <v>52.28</v>
      </c>
      <c r="AO20" s="12">
        <v>395.67</v>
      </c>
      <c r="AP20" s="12">
        <v>238.71</v>
      </c>
      <c r="AQ20" s="12">
        <v>134.97999999999999</v>
      </c>
      <c r="AR20" s="12">
        <v>1.1599999999999999</v>
      </c>
      <c r="AS20" s="12">
        <v>5.79</v>
      </c>
      <c r="AT20" s="12">
        <v>29.48</v>
      </c>
      <c r="AU20" s="12">
        <v>78.69</v>
      </c>
      <c r="AV20" s="12">
        <v>54.17</v>
      </c>
      <c r="AW20" s="12">
        <v>464.03</v>
      </c>
      <c r="AX20" s="12">
        <v>126.88</v>
      </c>
      <c r="AY20" s="12">
        <v>55.66</v>
      </c>
      <c r="AZ20" s="12">
        <v>323.02999999999997</v>
      </c>
      <c r="BA20" s="12">
        <v>125.34</v>
      </c>
      <c r="BB20" s="12">
        <v>92.36</v>
      </c>
      <c r="BC20" s="12">
        <v>117.79</v>
      </c>
      <c r="BD20" s="12">
        <v>46.33</v>
      </c>
      <c r="BE20" s="12">
        <v>330.09</v>
      </c>
      <c r="BF20" s="12">
        <v>61.14</v>
      </c>
      <c r="BG20" s="12">
        <v>80.44</v>
      </c>
      <c r="BH20" s="12">
        <v>226.86</v>
      </c>
      <c r="BI20" s="12">
        <v>63.51</v>
      </c>
      <c r="BJ20" s="12">
        <v>58.71</v>
      </c>
      <c r="BK20" s="12">
        <v>22.39</v>
      </c>
      <c r="BL20" s="12">
        <v>20.92</v>
      </c>
      <c r="BM20" s="12">
        <v>144.22999999999999</v>
      </c>
      <c r="BN20" s="12">
        <v>232.97</v>
      </c>
      <c r="BO20" s="12">
        <v>116.97</v>
      </c>
      <c r="BP20" s="12">
        <v>44.51</v>
      </c>
      <c r="BQ20" s="12">
        <v>34.82</v>
      </c>
      <c r="BR20" s="12">
        <v>42.41</v>
      </c>
      <c r="BS20" s="12">
        <v>38.76</v>
      </c>
      <c r="BT20" s="12">
        <v>41.06</v>
      </c>
      <c r="BU20" s="12">
        <v>3.15</v>
      </c>
      <c r="BV20" s="12">
        <v>6.24</v>
      </c>
      <c r="BW20" s="12">
        <v>0.88</v>
      </c>
      <c r="BX20" s="6">
        <v>0</v>
      </c>
      <c r="BY20" s="12">
        <v>157.06</v>
      </c>
      <c r="BZ20" s="12">
        <v>1.49</v>
      </c>
      <c r="CA20" s="12">
        <v>155.57</v>
      </c>
      <c r="CB20" s="6">
        <v>0</v>
      </c>
      <c r="CC20" s="12">
        <v>-904.67</v>
      </c>
      <c r="CD20" s="12">
        <v>-933.11</v>
      </c>
      <c r="CE20" s="6">
        <v>0</v>
      </c>
      <c r="CF20" s="6" t="s">
        <v>104</v>
      </c>
      <c r="CG20" s="6">
        <v>0</v>
      </c>
      <c r="CH20" s="6" t="s">
        <v>104</v>
      </c>
      <c r="CI20" s="6">
        <v>0</v>
      </c>
      <c r="CJ20" s="12">
        <v>28.44</v>
      </c>
      <c r="CK20" s="6" t="s">
        <v>104</v>
      </c>
      <c r="CL20" s="6" t="s">
        <v>104</v>
      </c>
      <c r="CM20" s="12">
        <v>5201.63</v>
      </c>
      <c r="CN20" s="12">
        <v>-747.61</v>
      </c>
      <c r="CO20" s="60"/>
    </row>
    <row r="21" spans="1:93" x14ac:dyDescent="0.35">
      <c r="A21" s="5" t="s">
        <v>34</v>
      </c>
      <c r="B21" s="13">
        <v>43753.11</v>
      </c>
      <c r="C21" s="13">
        <v>1209.23</v>
      </c>
      <c r="D21" s="13">
        <v>76.95</v>
      </c>
      <c r="E21" s="13">
        <v>43.12</v>
      </c>
      <c r="F21" s="13">
        <v>140.99</v>
      </c>
      <c r="G21" s="7">
        <v>539</v>
      </c>
      <c r="H21" s="13">
        <v>47.74</v>
      </c>
      <c r="I21" s="13">
        <v>61.87</v>
      </c>
      <c r="J21" s="13">
        <v>61.16</v>
      </c>
      <c r="K21" s="13">
        <v>7.33</v>
      </c>
      <c r="L21" s="13">
        <v>5972.58</v>
      </c>
      <c r="M21" s="12">
        <v>5857.18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13">
        <v>146.28</v>
      </c>
      <c r="W21" s="13">
        <v>138.83000000000001</v>
      </c>
      <c r="X21" s="13">
        <v>674.32</v>
      </c>
      <c r="Y21" s="13">
        <v>922.86</v>
      </c>
      <c r="Z21" s="13">
        <v>247.51</v>
      </c>
      <c r="AA21" s="13">
        <v>23.27</v>
      </c>
      <c r="AB21" s="13">
        <v>142.38999999999999</v>
      </c>
      <c r="AC21" s="13">
        <v>200.11</v>
      </c>
      <c r="AD21" s="13">
        <v>125.22</v>
      </c>
      <c r="AE21" s="13">
        <v>44.19</v>
      </c>
      <c r="AF21" s="13">
        <v>136.84</v>
      </c>
      <c r="AG21" s="13">
        <v>169.2</v>
      </c>
      <c r="AH21" s="13">
        <v>1602.06</v>
      </c>
      <c r="AI21" s="13">
        <v>1602.06</v>
      </c>
      <c r="AJ21" s="61">
        <v>0</v>
      </c>
      <c r="AK21" s="13">
        <v>33.950000000000003</v>
      </c>
      <c r="AL21" s="13">
        <v>353.86</v>
      </c>
      <c r="AM21" s="13">
        <v>1986.74</v>
      </c>
      <c r="AN21" s="13">
        <v>243.38</v>
      </c>
      <c r="AO21" s="13">
        <v>1108.8699999999999</v>
      </c>
      <c r="AP21" s="12">
        <v>414.64</v>
      </c>
      <c r="AQ21" s="12">
        <v>4938.03</v>
      </c>
      <c r="AR21" s="12">
        <v>7080.8</v>
      </c>
      <c r="AS21" s="12">
        <v>4451.22</v>
      </c>
      <c r="AT21" s="13">
        <v>1029.97</v>
      </c>
      <c r="AU21" s="13">
        <v>109.72</v>
      </c>
      <c r="AV21" s="13">
        <v>251.63</v>
      </c>
      <c r="AW21" s="13">
        <v>16.93</v>
      </c>
      <c r="AX21" s="13">
        <v>50.84</v>
      </c>
      <c r="AY21" s="13">
        <v>51.25</v>
      </c>
      <c r="AZ21" s="13">
        <v>138.71</v>
      </c>
      <c r="BA21" s="13">
        <v>27.8</v>
      </c>
      <c r="BB21" s="13">
        <v>52.18</v>
      </c>
      <c r="BC21" s="13">
        <v>24.44</v>
      </c>
      <c r="BD21" s="13">
        <v>135.72</v>
      </c>
      <c r="BE21" s="13">
        <v>231.24</v>
      </c>
      <c r="BF21" s="13">
        <v>145.93</v>
      </c>
      <c r="BG21" s="13">
        <v>152.91999999999999</v>
      </c>
      <c r="BH21" s="13">
        <v>37.299999999999997</v>
      </c>
      <c r="BI21" s="13">
        <v>62.47</v>
      </c>
      <c r="BJ21" s="13">
        <v>626.26</v>
      </c>
      <c r="BK21" s="13">
        <v>28.52</v>
      </c>
      <c r="BL21" s="13">
        <v>32.28</v>
      </c>
      <c r="BM21" s="13">
        <v>335.45</v>
      </c>
      <c r="BN21" s="13">
        <v>450.35</v>
      </c>
      <c r="BO21" s="13">
        <v>111.85</v>
      </c>
      <c r="BP21" s="13">
        <v>174.79</v>
      </c>
      <c r="BQ21" s="13">
        <v>86.87</v>
      </c>
      <c r="BR21" s="13">
        <v>41.15</v>
      </c>
      <c r="BS21" s="13">
        <v>49.43</v>
      </c>
      <c r="BT21" s="13">
        <v>38.54</v>
      </c>
      <c r="BU21" s="13">
        <v>9.7899999999999991</v>
      </c>
      <c r="BV21" s="13">
        <v>45.86</v>
      </c>
      <c r="BW21" s="13">
        <v>1.22</v>
      </c>
      <c r="BX21" s="7">
        <v>0</v>
      </c>
      <c r="BY21" s="13">
        <v>14816.47</v>
      </c>
      <c r="BZ21" s="13">
        <v>176.39</v>
      </c>
      <c r="CA21" s="13">
        <v>14640.08</v>
      </c>
      <c r="CB21" s="7">
        <v>0</v>
      </c>
      <c r="CC21" s="13">
        <v>-269.94</v>
      </c>
      <c r="CD21" s="13">
        <v>-269.94</v>
      </c>
      <c r="CE21" s="7">
        <v>0</v>
      </c>
      <c r="CF21" s="7" t="s">
        <v>104</v>
      </c>
      <c r="CG21" s="7">
        <v>0</v>
      </c>
      <c r="CH21" s="6" t="s">
        <v>104</v>
      </c>
      <c r="CI21" s="7">
        <v>0</v>
      </c>
      <c r="CJ21" s="7">
        <v>0</v>
      </c>
      <c r="CK21" s="7" t="s">
        <v>104</v>
      </c>
      <c r="CL21" s="7" t="s">
        <v>104</v>
      </c>
      <c r="CM21" s="13">
        <v>58299.63</v>
      </c>
      <c r="CN21" s="13">
        <v>14546.53</v>
      </c>
      <c r="CO21" s="60"/>
    </row>
    <row r="22" spans="1:93" x14ac:dyDescent="0.35">
      <c r="A22" s="52" t="s">
        <v>138</v>
      </c>
      <c r="B22" s="48">
        <v>110583.02</v>
      </c>
      <c r="C22" s="48">
        <v>4093.86</v>
      </c>
      <c r="D22" s="48">
        <v>80</v>
      </c>
      <c r="E22" s="48">
        <v>39.67</v>
      </c>
      <c r="F22" s="48">
        <v>300.14</v>
      </c>
      <c r="G22" s="48">
        <v>3433.42</v>
      </c>
      <c r="H22" s="48">
        <v>1758.98</v>
      </c>
      <c r="I22" s="48">
        <v>704.5</v>
      </c>
      <c r="J22" s="48">
        <v>1842.68</v>
      </c>
      <c r="K22" s="48">
        <v>363.06</v>
      </c>
      <c r="L22" s="48">
        <v>3540.72</v>
      </c>
      <c r="M22" s="48">
        <v>35103.89</v>
      </c>
      <c r="N22" s="48">
        <v>0</v>
      </c>
      <c r="O22" s="48">
        <v>0</v>
      </c>
      <c r="P22" s="48">
        <v>0</v>
      </c>
      <c r="Q22" s="48">
        <v>0</v>
      </c>
      <c r="R22" s="48">
        <v>0</v>
      </c>
      <c r="S22" s="48">
        <v>0</v>
      </c>
      <c r="T22" s="48">
        <v>0</v>
      </c>
      <c r="U22" s="48">
        <v>0</v>
      </c>
      <c r="V22" s="48">
        <v>7938.31</v>
      </c>
      <c r="W22" s="48">
        <v>13143.58</v>
      </c>
      <c r="X22" s="48">
        <v>1531.27</v>
      </c>
      <c r="Y22" s="48">
        <v>1570.64</v>
      </c>
      <c r="Z22" s="48">
        <v>2013.07</v>
      </c>
      <c r="AA22" s="48">
        <v>1148.08</v>
      </c>
      <c r="AB22" s="48">
        <v>1971.16</v>
      </c>
      <c r="AC22" s="48">
        <v>1201.94</v>
      </c>
      <c r="AD22" s="48">
        <v>1937.14</v>
      </c>
      <c r="AE22" s="48">
        <v>555.98</v>
      </c>
      <c r="AF22" s="48">
        <v>1307.3900000000001</v>
      </c>
      <c r="AG22" s="48">
        <v>620.49</v>
      </c>
      <c r="AH22" s="48">
        <v>2037.53</v>
      </c>
      <c r="AI22" s="48">
        <v>2037.53</v>
      </c>
      <c r="AJ22" s="61">
        <v>0</v>
      </c>
      <c r="AK22" s="48">
        <v>55.77</v>
      </c>
      <c r="AL22" s="48">
        <v>387.46</v>
      </c>
      <c r="AM22" s="48">
        <v>3983.64</v>
      </c>
      <c r="AN22" s="48">
        <v>466</v>
      </c>
      <c r="AO22" s="48">
        <v>3607.54</v>
      </c>
      <c r="AP22" s="48">
        <v>764.92</v>
      </c>
      <c r="AQ22" s="53">
        <v>443.64</v>
      </c>
      <c r="AR22" s="48">
        <v>18.91</v>
      </c>
      <c r="AS22" s="48">
        <v>62.08</v>
      </c>
      <c r="AT22" s="48">
        <v>245.85</v>
      </c>
      <c r="AU22" s="48">
        <v>9.35</v>
      </c>
      <c r="AV22" s="48">
        <v>526.47</v>
      </c>
      <c r="AW22" s="48">
        <v>1024.8599999999999</v>
      </c>
      <c r="AX22" s="48">
        <v>76.38</v>
      </c>
      <c r="AY22" s="48">
        <v>28.54</v>
      </c>
      <c r="AZ22" s="48">
        <v>728.52</v>
      </c>
      <c r="BA22" s="48">
        <v>14.75</v>
      </c>
      <c r="BB22" s="48">
        <v>7.88</v>
      </c>
      <c r="BC22" s="48">
        <v>14.66</v>
      </c>
      <c r="BD22" s="48">
        <v>847.82</v>
      </c>
      <c r="BE22" s="48">
        <v>408.88</v>
      </c>
      <c r="BF22" s="48">
        <v>427.6</v>
      </c>
      <c r="BG22" s="48">
        <v>1584.91</v>
      </c>
      <c r="BH22" s="48">
        <v>64.14</v>
      </c>
      <c r="BI22" s="48">
        <v>242.27</v>
      </c>
      <c r="BJ22" s="48">
        <v>701.43</v>
      </c>
      <c r="BK22" s="48">
        <v>53.99</v>
      </c>
      <c r="BL22" s="48">
        <v>15.52</v>
      </c>
      <c r="BM22" s="48">
        <v>1069.0999999999999</v>
      </c>
      <c r="BN22" s="48">
        <v>262.37</v>
      </c>
      <c r="BO22" s="48">
        <v>173.71</v>
      </c>
      <c r="BP22" s="48">
        <v>2979.42</v>
      </c>
      <c r="BQ22" s="48">
        <v>267.63</v>
      </c>
      <c r="BR22" s="48">
        <v>88.65</v>
      </c>
      <c r="BS22" s="48">
        <v>57.14</v>
      </c>
      <c r="BT22" s="48">
        <v>70.09</v>
      </c>
      <c r="BU22" s="48">
        <v>16.260000000000002</v>
      </c>
      <c r="BV22" s="48">
        <v>546.75</v>
      </c>
      <c r="BW22" s="48">
        <v>0.67</v>
      </c>
      <c r="BX22" s="48">
        <v>0</v>
      </c>
      <c r="BY22" s="53">
        <v>6703.043236999999</v>
      </c>
      <c r="BZ22" s="48">
        <v>20.98</v>
      </c>
      <c r="CA22" s="48">
        <v>10398</v>
      </c>
      <c r="CB22" s="48">
        <v>7.0000000000000007E-2</v>
      </c>
      <c r="CC22" s="48">
        <v>2222.71</v>
      </c>
      <c r="CD22" s="48">
        <v>2212.08</v>
      </c>
      <c r="CE22" s="48">
        <v>0</v>
      </c>
      <c r="CF22" s="7" t="s">
        <v>104</v>
      </c>
      <c r="CG22" s="48">
        <v>0</v>
      </c>
      <c r="CH22" s="6" t="s">
        <v>104</v>
      </c>
      <c r="CI22" s="48">
        <v>0</v>
      </c>
      <c r="CJ22" s="48">
        <v>10.63</v>
      </c>
      <c r="CK22" s="7" t="s">
        <v>104</v>
      </c>
      <c r="CL22" s="7" t="s">
        <v>104</v>
      </c>
      <c r="CM22" s="53">
        <v>119508.773237</v>
      </c>
      <c r="CN22" s="48">
        <v>8925.7532370000008</v>
      </c>
      <c r="CO22" s="59"/>
    </row>
    <row r="23" spans="1:93" x14ac:dyDescent="0.35">
      <c r="A23" s="16" t="s">
        <v>125</v>
      </c>
      <c r="B23" s="46">
        <v>0</v>
      </c>
      <c r="C23" s="43">
        <v>0</v>
      </c>
      <c r="D23" s="43">
        <v>0</v>
      </c>
      <c r="E23" s="43">
        <v>0</v>
      </c>
      <c r="F23" s="43">
        <v>0</v>
      </c>
      <c r="G23" s="43">
        <v>0</v>
      </c>
      <c r="H23" s="43">
        <v>0</v>
      </c>
      <c r="I23" s="43">
        <v>0</v>
      </c>
      <c r="J23" s="43">
        <v>0</v>
      </c>
      <c r="K23" s="43">
        <v>0</v>
      </c>
      <c r="L23" s="43">
        <v>0</v>
      </c>
      <c r="M23" s="12">
        <v>0</v>
      </c>
      <c r="N23" s="46">
        <v>0</v>
      </c>
      <c r="O23" s="46">
        <v>0</v>
      </c>
      <c r="P23" s="46">
        <v>0</v>
      </c>
      <c r="Q23" s="46">
        <v>0</v>
      </c>
      <c r="R23" s="46">
        <v>0</v>
      </c>
      <c r="S23" s="46">
        <v>0</v>
      </c>
      <c r="T23" s="46">
        <v>0</v>
      </c>
      <c r="U23" s="46">
        <v>0</v>
      </c>
      <c r="V23" s="46">
        <v>0</v>
      </c>
      <c r="W23" s="46">
        <v>0</v>
      </c>
      <c r="X23" s="46">
        <v>0</v>
      </c>
      <c r="Y23" s="46">
        <v>0</v>
      </c>
      <c r="Z23" s="46">
        <v>0</v>
      </c>
      <c r="AA23" s="46">
        <v>0</v>
      </c>
      <c r="AB23" s="46">
        <v>0</v>
      </c>
      <c r="AC23" s="46">
        <v>0</v>
      </c>
      <c r="AD23" s="46">
        <v>0</v>
      </c>
      <c r="AE23" s="46">
        <v>0</v>
      </c>
      <c r="AF23" s="46">
        <v>0</v>
      </c>
      <c r="AG23" s="46">
        <v>0</v>
      </c>
      <c r="AH23" s="46">
        <v>0</v>
      </c>
      <c r="AI23" s="46">
        <v>0</v>
      </c>
      <c r="AJ23" s="61">
        <v>0</v>
      </c>
      <c r="AK23" s="46">
        <v>0</v>
      </c>
      <c r="AL23" s="46">
        <v>0</v>
      </c>
      <c r="AM23" s="46">
        <v>0</v>
      </c>
      <c r="AN23" s="46">
        <v>0</v>
      </c>
      <c r="AO23" s="46">
        <v>0</v>
      </c>
      <c r="AP23" s="46">
        <v>0</v>
      </c>
      <c r="AQ23" s="46">
        <v>0</v>
      </c>
      <c r="AR23" s="46">
        <v>0</v>
      </c>
      <c r="AS23" s="46">
        <v>0</v>
      </c>
      <c r="AT23" s="46">
        <v>0</v>
      </c>
      <c r="AU23" s="46">
        <v>0</v>
      </c>
      <c r="AV23" s="46">
        <v>0</v>
      </c>
      <c r="AW23" s="46">
        <v>0</v>
      </c>
      <c r="AX23" s="46">
        <v>0</v>
      </c>
      <c r="AY23" s="46">
        <v>0</v>
      </c>
      <c r="AZ23" s="46">
        <v>0</v>
      </c>
      <c r="BA23" s="46">
        <v>0</v>
      </c>
      <c r="BB23" s="46">
        <v>0</v>
      </c>
      <c r="BC23" s="46">
        <v>0</v>
      </c>
      <c r="BD23" s="46">
        <v>0</v>
      </c>
      <c r="BE23" s="46">
        <v>0</v>
      </c>
      <c r="BF23" s="46">
        <v>0</v>
      </c>
      <c r="BG23" s="46">
        <v>0</v>
      </c>
      <c r="BH23" s="46">
        <v>0</v>
      </c>
      <c r="BI23" s="46">
        <v>0</v>
      </c>
      <c r="BJ23" s="46">
        <v>0</v>
      </c>
      <c r="BK23" s="46">
        <v>0</v>
      </c>
      <c r="BL23" s="46">
        <v>0</v>
      </c>
      <c r="BM23" s="46">
        <v>0</v>
      </c>
      <c r="BN23" s="46">
        <v>0</v>
      </c>
      <c r="BO23" s="46">
        <v>0</v>
      </c>
      <c r="BP23" s="46">
        <v>0</v>
      </c>
      <c r="BQ23" s="46">
        <v>0</v>
      </c>
      <c r="BR23" s="46">
        <v>0</v>
      </c>
      <c r="BS23" s="46">
        <v>0</v>
      </c>
      <c r="BT23" s="46">
        <v>0</v>
      </c>
      <c r="BU23" s="46">
        <v>0</v>
      </c>
      <c r="BV23" s="46">
        <v>0</v>
      </c>
      <c r="BW23" s="46">
        <v>0</v>
      </c>
      <c r="BX23" s="46">
        <v>0</v>
      </c>
      <c r="BY23" s="54">
        <v>2892.0746871000001</v>
      </c>
      <c r="BZ23" s="43">
        <v>0</v>
      </c>
      <c r="CA23" s="43">
        <v>0</v>
      </c>
      <c r="CB23" s="43">
        <v>0</v>
      </c>
      <c r="CC23" s="43">
        <v>0</v>
      </c>
      <c r="CD23" s="43">
        <v>0</v>
      </c>
      <c r="CE23" s="43">
        <v>0</v>
      </c>
      <c r="CF23" s="7" t="s">
        <v>104</v>
      </c>
      <c r="CG23" s="43">
        <v>0</v>
      </c>
      <c r="CH23" s="6" t="s">
        <v>104</v>
      </c>
      <c r="CI23" s="43">
        <v>0</v>
      </c>
      <c r="CJ23" s="43">
        <v>0</v>
      </c>
      <c r="CK23" s="43">
        <v>0</v>
      </c>
      <c r="CL23" s="43">
        <v>0</v>
      </c>
      <c r="CM23" s="67">
        <v>2892.0746871000001</v>
      </c>
      <c r="CN23" s="62">
        <v>2892.0746871000001</v>
      </c>
      <c r="CO23" s="16"/>
    </row>
    <row r="24" spans="1:93" x14ac:dyDescent="0.35">
      <c r="A24" s="16" t="s">
        <v>126</v>
      </c>
      <c r="B24" s="46">
        <v>0</v>
      </c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12">
        <v>0</v>
      </c>
      <c r="N24" s="46">
        <v>0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6">
        <v>0</v>
      </c>
      <c r="U24" s="46">
        <v>0</v>
      </c>
      <c r="V24" s="46">
        <v>0</v>
      </c>
      <c r="W24" s="46">
        <v>0</v>
      </c>
      <c r="X24" s="46">
        <v>0</v>
      </c>
      <c r="Y24" s="46">
        <v>0</v>
      </c>
      <c r="Z24" s="46">
        <v>0</v>
      </c>
      <c r="AA24" s="46">
        <v>0</v>
      </c>
      <c r="AB24" s="46">
        <v>0</v>
      </c>
      <c r="AC24" s="46">
        <v>0</v>
      </c>
      <c r="AD24" s="46">
        <v>0</v>
      </c>
      <c r="AE24" s="46">
        <v>0</v>
      </c>
      <c r="AF24" s="46">
        <v>0</v>
      </c>
      <c r="AG24" s="46">
        <v>0</v>
      </c>
      <c r="AH24" s="46">
        <v>0</v>
      </c>
      <c r="AI24" s="46">
        <v>0</v>
      </c>
      <c r="AJ24" s="61">
        <v>0</v>
      </c>
      <c r="AK24" s="46">
        <v>0</v>
      </c>
      <c r="AL24" s="46">
        <v>0</v>
      </c>
      <c r="AM24" s="46">
        <v>0</v>
      </c>
      <c r="AN24" s="46">
        <v>0</v>
      </c>
      <c r="AO24" s="46">
        <v>0</v>
      </c>
      <c r="AP24" s="46">
        <v>0</v>
      </c>
      <c r="AQ24" s="46">
        <v>0</v>
      </c>
      <c r="AR24" s="46">
        <v>0</v>
      </c>
      <c r="AS24" s="46">
        <v>0</v>
      </c>
      <c r="AT24" s="46">
        <v>0</v>
      </c>
      <c r="AU24" s="46">
        <v>0</v>
      </c>
      <c r="AV24" s="46">
        <v>0</v>
      </c>
      <c r="AW24" s="46">
        <v>0</v>
      </c>
      <c r="AX24" s="46">
        <v>0</v>
      </c>
      <c r="AY24" s="46">
        <v>0</v>
      </c>
      <c r="AZ24" s="46">
        <v>0</v>
      </c>
      <c r="BA24" s="46">
        <v>0</v>
      </c>
      <c r="BB24" s="46">
        <v>0</v>
      </c>
      <c r="BC24" s="46">
        <v>0</v>
      </c>
      <c r="BD24" s="46">
        <v>0</v>
      </c>
      <c r="BE24" s="46">
        <v>0</v>
      </c>
      <c r="BF24" s="46">
        <v>0</v>
      </c>
      <c r="BG24" s="46">
        <v>0</v>
      </c>
      <c r="BH24" s="46">
        <v>0</v>
      </c>
      <c r="BI24" s="46">
        <v>0</v>
      </c>
      <c r="BJ24" s="46">
        <v>0</v>
      </c>
      <c r="BK24" s="46">
        <v>0</v>
      </c>
      <c r="BL24" s="46">
        <v>0</v>
      </c>
      <c r="BM24" s="46">
        <v>0</v>
      </c>
      <c r="BN24" s="46">
        <v>0</v>
      </c>
      <c r="BO24" s="46">
        <v>0</v>
      </c>
      <c r="BP24" s="46">
        <v>0</v>
      </c>
      <c r="BQ24" s="46">
        <v>0</v>
      </c>
      <c r="BR24" s="46">
        <v>0</v>
      </c>
      <c r="BS24" s="46">
        <v>0</v>
      </c>
      <c r="BT24" s="46">
        <v>0</v>
      </c>
      <c r="BU24" s="46">
        <v>0</v>
      </c>
      <c r="BV24" s="46">
        <v>0</v>
      </c>
      <c r="BW24" s="46">
        <v>0</v>
      </c>
      <c r="BX24" s="46">
        <v>0</v>
      </c>
      <c r="BY24" s="54">
        <v>321.34163190000004</v>
      </c>
      <c r="BZ24" s="43">
        <v>0</v>
      </c>
      <c r="CA24" s="43">
        <v>0</v>
      </c>
      <c r="CB24" s="43">
        <v>0</v>
      </c>
      <c r="CC24" s="43">
        <v>0</v>
      </c>
      <c r="CD24" s="43">
        <v>0</v>
      </c>
      <c r="CE24" s="43">
        <v>0</v>
      </c>
      <c r="CF24" s="7" t="s">
        <v>104</v>
      </c>
      <c r="CG24" s="43">
        <v>0</v>
      </c>
      <c r="CH24" s="6" t="s">
        <v>104</v>
      </c>
      <c r="CI24" s="43">
        <v>0</v>
      </c>
      <c r="CJ24" s="43">
        <v>0</v>
      </c>
      <c r="CK24" s="43">
        <v>0</v>
      </c>
      <c r="CL24" s="43">
        <v>0</v>
      </c>
      <c r="CM24" s="67">
        <v>321.34163190000004</v>
      </c>
      <c r="CN24" s="62">
        <v>321.34163190000004</v>
      </c>
      <c r="CO24" s="16"/>
    </row>
    <row r="25" spans="1:93" x14ac:dyDescent="0.35">
      <c r="A25" s="17" t="s">
        <v>127</v>
      </c>
      <c r="B25" s="63">
        <v>0</v>
      </c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12">
        <v>0</v>
      </c>
      <c r="N25" s="46">
        <v>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  <c r="AA25" s="46">
        <v>0</v>
      </c>
      <c r="AB25" s="46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>
        <v>0</v>
      </c>
      <c r="AJ25" s="61">
        <v>0</v>
      </c>
      <c r="AK25" s="46">
        <v>0</v>
      </c>
      <c r="AL25" s="46">
        <v>0</v>
      </c>
      <c r="AM25" s="46">
        <v>0</v>
      </c>
      <c r="AN25" s="46">
        <v>0</v>
      </c>
      <c r="AO25" s="46">
        <v>0</v>
      </c>
      <c r="AP25" s="46">
        <v>0</v>
      </c>
      <c r="AQ25" s="46">
        <v>0</v>
      </c>
      <c r="AR25" s="46">
        <v>0</v>
      </c>
      <c r="AS25" s="46">
        <v>0</v>
      </c>
      <c r="AT25" s="46">
        <v>0</v>
      </c>
      <c r="AU25" s="46">
        <v>0</v>
      </c>
      <c r="AV25" s="46">
        <v>0</v>
      </c>
      <c r="AW25" s="46">
        <v>0</v>
      </c>
      <c r="AX25" s="46">
        <v>0</v>
      </c>
      <c r="AY25" s="46">
        <v>0</v>
      </c>
      <c r="AZ25" s="46">
        <v>0</v>
      </c>
      <c r="BA25" s="46">
        <v>0</v>
      </c>
      <c r="BB25" s="46">
        <v>0</v>
      </c>
      <c r="BC25" s="46">
        <v>0</v>
      </c>
      <c r="BD25" s="46">
        <v>0</v>
      </c>
      <c r="BE25" s="46">
        <v>0</v>
      </c>
      <c r="BF25" s="46">
        <v>0</v>
      </c>
      <c r="BG25" s="46">
        <v>0</v>
      </c>
      <c r="BH25" s="46">
        <v>0</v>
      </c>
      <c r="BI25" s="46">
        <v>0</v>
      </c>
      <c r="BJ25" s="46">
        <v>0</v>
      </c>
      <c r="BK25" s="46">
        <v>0</v>
      </c>
      <c r="BL25" s="46">
        <v>0</v>
      </c>
      <c r="BM25" s="46">
        <v>0</v>
      </c>
      <c r="BN25" s="46">
        <v>0</v>
      </c>
      <c r="BO25" s="46">
        <v>0</v>
      </c>
      <c r="BP25" s="46">
        <v>0</v>
      </c>
      <c r="BQ25" s="46">
        <v>0</v>
      </c>
      <c r="BR25" s="46">
        <v>0</v>
      </c>
      <c r="BS25" s="46">
        <v>0</v>
      </c>
      <c r="BT25" s="46">
        <v>0</v>
      </c>
      <c r="BU25" s="46">
        <v>0</v>
      </c>
      <c r="BV25" s="46">
        <v>0</v>
      </c>
      <c r="BW25" s="46">
        <v>0</v>
      </c>
      <c r="BX25" s="46">
        <v>0</v>
      </c>
      <c r="BY25" s="54">
        <v>452.3313996</v>
      </c>
      <c r="BZ25" s="43">
        <v>0</v>
      </c>
      <c r="CA25" s="43">
        <v>0</v>
      </c>
      <c r="CB25" s="43">
        <v>0</v>
      </c>
      <c r="CC25" s="43">
        <v>0</v>
      </c>
      <c r="CD25" s="43">
        <v>0</v>
      </c>
      <c r="CE25" s="43">
        <v>0</v>
      </c>
      <c r="CF25" s="7" t="s">
        <v>104</v>
      </c>
      <c r="CG25" s="43">
        <v>0</v>
      </c>
      <c r="CH25" s="6" t="s">
        <v>104</v>
      </c>
      <c r="CI25" s="43">
        <v>0</v>
      </c>
      <c r="CJ25" s="43">
        <v>0</v>
      </c>
      <c r="CK25" s="43">
        <v>0</v>
      </c>
      <c r="CL25" s="43">
        <v>0</v>
      </c>
      <c r="CM25" s="67">
        <v>452.3313996</v>
      </c>
      <c r="CN25" s="62">
        <v>452.3313996</v>
      </c>
      <c r="CO25" s="17"/>
    </row>
    <row r="26" spans="1:93" x14ac:dyDescent="0.35">
      <c r="A26" s="17" t="s">
        <v>128</v>
      </c>
      <c r="B26" s="63">
        <v>0</v>
      </c>
      <c r="C26" s="43">
        <v>0</v>
      </c>
      <c r="D26" s="43">
        <v>0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  <c r="J26" s="43">
        <v>0</v>
      </c>
      <c r="K26" s="43">
        <v>0</v>
      </c>
      <c r="L26" s="43">
        <v>0</v>
      </c>
      <c r="M26" s="12">
        <v>0</v>
      </c>
      <c r="N26" s="46">
        <v>0</v>
      </c>
      <c r="O26" s="46">
        <v>0</v>
      </c>
      <c r="P26" s="46">
        <v>0</v>
      </c>
      <c r="Q26" s="46">
        <v>0</v>
      </c>
      <c r="R26" s="46">
        <v>0</v>
      </c>
      <c r="S26" s="46">
        <v>0</v>
      </c>
      <c r="T26" s="46">
        <v>0</v>
      </c>
      <c r="U26" s="46">
        <v>0</v>
      </c>
      <c r="V26" s="46">
        <v>0</v>
      </c>
      <c r="W26" s="46">
        <v>0</v>
      </c>
      <c r="X26" s="46">
        <v>0</v>
      </c>
      <c r="Y26" s="46">
        <v>0</v>
      </c>
      <c r="Z26" s="46">
        <v>0</v>
      </c>
      <c r="AA26" s="46">
        <v>0</v>
      </c>
      <c r="AB26" s="46">
        <v>0</v>
      </c>
      <c r="AC26" s="46">
        <v>0</v>
      </c>
      <c r="AD26" s="46">
        <v>0</v>
      </c>
      <c r="AE26" s="46">
        <v>0</v>
      </c>
      <c r="AF26" s="46">
        <v>0</v>
      </c>
      <c r="AG26" s="46">
        <v>0</v>
      </c>
      <c r="AH26" s="46">
        <v>0</v>
      </c>
      <c r="AI26" s="46">
        <v>0</v>
      </c>
      <c r="AJ26" s="61">
        <v>0</v>
      </c>
      <c r="AK26" s="46">
        <v>0</v>
      </c>
      <c r="AL26" s="46">
        <v>0</v>
      </c>
      <c r="AM26" s="46">
        <v>0</v>
      </c>
      <c r="AN26" s="46">
        <v>0</v>
      </c>
      <c r="AO26" s="46">
        <v>0</v>
      </c>
      <c r="AP26" s="46">
        <v>0</v>
      </c>
      <c r="AQ26" s="46">
        <v>0</v>
      </c>
      <c r="AR26" s="46">
        <v>0</v>
      </c>
      <c r="AS26" s="46">
        <v>0</v>
      </c>
      <c r="AT26" s="46">
        <v>0</v>
      </c>
      <c r="AU26" s="46">
        <v>0</v>
      </c>
      <c r="AV26" s="46">
        <v>0</v>
      </c>
      <c r="AW26" s="46">
        <v>0</v>
      </c>
      <c r="AX26" s="46">
        <v>0</v>
      </c>
      <c r="AY26" s="46">
        <v>0</v>
      </c>
      <c r="AZ26" s="46">
        <v>0</v>
      </c>
      <c r="BA26" s="46">
        <v>0</v>
      </c>
      <c r="BB26" s="46">
        <v>0</v>
      </c>
      <c r="BC26" s="46">
        <v>0</v>
      </c>
      <c r="BD26" s="46">
        <v>0</v>
      </c>
      <c r="BE26" s="46">
        <v>0</v>
      </c>
      <c r="BF26" s="46">
        <v>0</v>
      </c>
      <c r="BG26" s="46">
        <v>0</v>
      </c>
      <c r="BH26" s="46">
        <v>0</v>
      </c>
      <c r="BI26" s="46">
        <v>0</v>
      </c>
      <c r="BJ26" s="46">
        <v>0</v>
      </c>
      <c r="BK26" s="46">
        <v>0</v>
      </c>
      <c r="BL26" s="46">
        <v>0</v>
      </c>
      <c r="BM26" s="46">
        <v>0</v>
      </c>
      <c r="BN26" s="46">
        <v>0</v>
      </c>
      <c r="BO26" s="46">
        <v>0</v>
      </c>
      <c r="BP26" s="46">
        <v>0</v>
      </c>
      <c r="BQ26" s="46">
        <v>0</v>
      </c>
      <c r="BR26" s="46">
        <v>0</v>
      </c>
      <c r="BS26" s="46">
        <v>0</v>
      </c>
      <c r="BT26" s="46">
        <v>0</v>
      </c>
      <c r="BU26" s="46">
        <v>0</v>
      </c>
      <c r="BV26" s="46">
        <v>0</v>
      </c>
      <c r="BW26" s="46">
        <v>0</v>
      </c>
      <c r="BX26" s="46">
        <v>0</v>
      </c>
      <c r="BY26" s="54">
        <v>50.259044400000001</v>
      </c>
      <c r="BZ26" s="43">
        <v>0</v>
      </c>
      <c r="CA26" s="43">
        <v>0</v>
      </c>
      <c r="CB26" s="43">
        <v>0</v>
      </c>
      <c r="CC26" s="43">
        <v>0</v>
      </c>
      <c r="CD26" s="43">
        <v>0</v>
      </c>
      <c r="CE26" s="43">
        <v>0</v>
      </c>
      <c r="CF26" s="7" t="s">
        <v>104</v>
      </c>
      <c r="CG26" s="43">
        <v>0</v>
      </c>
      <c r="CH26" s="6" t="s">
        <v>104</v>
      </c>
      <c r="CI26" s="43">
        <v>0</v>
      </c>
      <c r="CJ26" s="43">
        <v>0</v>
      </c>
      <c r="CK26" s="43">
        <v>0</v>
      </c>
      <c r="CL26" s="43">
        <v>0</v>
      </c>
      <c r="CM26" s="67">
        <v>50.259044400000001</v>
      </c>
      <c r="CN26" s="62">
        <v>50.259044400000001</v>
      </c>
      <c r="CO26" s="17"/>
    </row>
    <row r="27" spans="1:93" x14ac:dyDescent="0.35">
      <c r="A27" s="18" t="s">
        <v>129</v>
      </c>
      <c r="B27" s="64">
        <v>0</v>
      </c>
      <c r="C27" s="43">
        <v>0</v>
      </c>
      <c r="D27" s="43">
        <v>0</v>
      </c>
      <c r="E27" s="43">
        <v>0</v>
      </c>
      <c r="F27" s="43">
        <v>0</v>
      </c>
      <c r="G27" s="43">
        <v>0</v>
      </c>
      <c r="H27" s="43">
        <v>0</v>
      </c>
      <c r="I27" s="43">
        <v>0</v>
      </c>
      <c r="J27" s="43">
        <v>0</v>
      </c>
      <c r="K27" s="43">
        <v>0</v>
      </c>
      <c r="L27" s="43">
        <v>0</v>
      </c>
      <c r="M27" s="12">
        <v>0</v>
      </c>
      <c r="N27" s="46">
        <v>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  <c r="AA27" s="46">
        <v>0</v>
      </c>
      <c r="AB27" s="46">
        <v>0</v>
      </c>
      <c r="AC27" s="46">
        <v>0</v>
      </c>
      <c r="AD27" s="46">
        <v>0</v>
      </c>
      <c r="AE27" s="46">
        <v>0</v>
      </c>
      <c r="AF27" s="46">
        <v>0</v>
      </c>
      <c r="AG27" s="46">
        <v>0</v>
      </c>
      <c r="AH27" s="46">
        <v>0</v>
      </c>
      <c r="AI27" s="46">
        <v>0</v>
      </c>
      <c r="AJ27" s="61">
        <v>0</v>
      </c>
      <c r="AK27" s="46">
        <v>0</v>
      </c>
      <c r="AL27" s="46">
        <v>0</v>
      </c>
      <c r="AM27" s="46">
        <v>0</v>
      </c>
      <c r="AN27" s="46">
        <v>0</v>
      </c>
      <c r="AO27" s="46">
        <v>0</v>
      </c>
      <c r="AP27" s="46">
        <v>0</v>
      </c>
      <c r="AQ27" s="46">
        <v>0</v>
      </c>
      <c r="AR27" s="46">
        <v>0</v>
      </c>
      <c r="AS27" s="46">
        <v>0</v>
      </c>
      <c r="AT27" s="46">
        <v>0</v>
      </c>
      <c r="AU27" s="46">
        <v>0</v>
      </c>
      <c r="AV27" s="46">
        <v>0</v>
      </c>
      <c r="AW27" s="46">
        <v>0</v>
      </c>
      <c r="AX27" s="46">
        <v>0</v>
      </c>
      <c r="AY27" s="46">
        <v>0</v>
      </c>
      <c r="AZ27" s="46">
        <v>0</v>
      </c>
      <c r="BA27" s="46">
        <v>0</v>
      </c>
      <c r="BB27" s="46">
        <v>0</v>
      </c>
      <c r="BC27" s="46">
        <v>0</v>
      </c>
      <c r="BD27" s="46">
        <v>0</v>
      </c>
      <c r="BE27" s="46">
        <v>0</v>
      </c>
      <c r="BF27" s="46">
        <v>0</v>
      </c>
      <c r="BG27" s="46">
        <v>0</v>
      </c>
      <c r="BH27" s="46">
        <v>0</v>
      </c>
      <c r="BI27" s="46">
        <v>0</v>
      </c>
      <c r="BJ27" s="46">
        <v>0</v>
      </c>
      <c r="BK27" s="46">
        <v>0</v>
      </c>
      <c r="BL27" s="46">
        <v>0</v>
      </c>
      <c r="BM27" s="46">
        <v>0</v>
      </c>
      <c r="BN27" s="46">
        <v>0</v>
      </c>
      <c r="BO27" s="46">
        <v>0</v>
      </c>
      <c r="BP27" s="46">
        <v>0</v>
      </c>
      <c r="BQ27" s="46">
        <v>0</v>
      </c>
      <c r="BR27" s="46">
        <v>0</v>
      </c>
      <c r="BS27" s="46">
        <v>0</v>
      </c>
      <c r="BT27" s="46">
        <v>0</v>
      </c>
      <c r="BU27" s="46">
        <v>0</v>
      </c>
      <c r="BV27" s="46">
        <v>0</v>
      </c>
      <c r="BW27" s="46">
        <v>0</v>
      </c>
      <c r="BX27" s="46">
        <v>0</v>
      </c>
      <c r="BY27" s="55">
        <v>0</v>
      </c>
      <c r="BZ27" s="43">
        <v>0</v>
      </c>
      <c r="CA27" s="43">
        <v>0</v>
      </c>
      <c r="CB27" s="43">
        <v>0</v>
      </c>
      <c r="CC27" s="43">
        <v>0</v>
      </c>
      <c r="CD27" s="43">
        <v>0</v>
      </c>
      <c r="CE27" s="43">
        <v>0</v>
      </c>
      <c r="CF27" s="7" t="s">
        <v>104</v>
      </c>
      <c r="CG27" s="43">
        <v>0</v>
      </c>
      <c r="CH27" s="6" t="s">
        <v>104</v>
      </c>
      <c r="CI27" s="43">
        <v>0</v>
      </c>
      <c r="CJ27" s="43">
        <v>0</v>
      </c>
      <c r="CK27" s="43">
        <v>0</v>
      </c>
      <c r="CL27" s="43">
        <v>0</v>
      </c>
      <c r="CM27" s="67">
        <v>0</v>
      </c>
      <c r="CN27" s="62">
        <v>0</v>
      </c>
      <c r="CO27" s="18"/>
    </row>
    <row r="28" spans="1:93" x14ac:dyDescent="0.35">
      <c r="A28" s="18" t="s">
        <v>130</v>
      </c>
      <c r="B28" s="64">
        <v>0</v>
      </c>
      <c r="C28" s="43">
        <v>0</v>
      </c>
      <c r="D28" s="43">
        <v>0</v>
      </c>
      <c r="E28" s="43">
        <v>0</v>
      </c>
      <c r="F28" s="43">
        <v>0</v>
      </c>
      <c r="G28" s="43">
        <v>0</v>
      </c>
      <c r="H28" s="43">
        <v>0</v>
      </c>
      <c r="I28" s="43">
        <v>0</v>
      </c>
      <c r="J28" s="43">
        <v>0</v>
      </c>
      <c r="K28" s="43">
        <v>0</v>
      </c>
      <c r="L28" s="43">
        <v>0</v>
      </c>
      <c r="M28" s="12">
        <v>0</v>
      </c>
      <c r="N28" s="46">
        <v>0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6">
        <v>0</v>
      </c>
      <c r="U28" s="46">
        <v>0</v>
      </c>
      <c r="V28" s="46">
        <v>0</v>
      </c>
      <c r="W28" s="46">
        <v>0</v>
      </c>
      <c r="X28" s="46">
        <v>0</v>
      </c>
      <c r="Y28" s="46">
        <v>0</v>
      </c>
      <c r="Z28" s="46">
        <v>0</v>
      </c>
      <c r="AA28" s="46">
        <v>0</v>
      </c>
      <c r="AB28" s="46">
        <v>0</v>
      </c>
      <c r="AC28" s="46">
        <v>0</v>
      </c>
      <c r="AD28" s="46">
        <v>0</v>
      </c>
      <c r="AE28" s="46">
        <v>0</v>
      </c>
      <c r="AF28" s="46">
        <v>0</v>
      </c>
      <c r="AG28" s="46">
        <v>0</v>
      </c>
      <c r="AH28" s="46">
        <v>0</v>
      </c>
      <c r="AI28" s="46">
        <v>0</v>
      </c>
      <c r="AJ28" s="61">
        <v>0</v>
      </c>
      <c r="AK28" s="46">
        <v>0</v>
      </c>
      <c r="AL28" s="46">
        <v>0</v>
      </c>
      <c r="AM28" s="46">
        <v>0</v>
      </c>
      <c r="AN28" s="46">
        <v>0</v>
      </c>
      <c r="AO28" s="46">
        <v>0</v>
      </c>
      <c r="AP28" s="46">
        <v>0</v>
      </c>
      <c r="AQ28" s="46">
        <v>0</v>
      </c>
      <c r="AR28" s="46">
        <v>0</v>
      </c>
      <c r="AS28" s="46">
        <v>0</v>
      </c>
      <c r="AT28" s="46">
        <v>0</v>
      </c>
      <c r="AU28" s="46">
        <v>0</v>
      </c>
      <c r="AV28" s="46">
        <v>0</v>
      </c>
      <c r="AW28" s="46">
        <v>0</v>
      </c>
      <c r="AX28" s="46">
        <v>0</v>
      </c>
      <c r="AY28" s="46">
        <v>0</v>
      </c>
      <c r="AZ28" s="46">
        <v>0</v>
      </c>
      <c r="BA28" s="46">
        <v>0</v>
      </c>
      <c r="BB28" s="46">
        <v>0</v>
      </c>
      <c r="BC28" s="46">
        <v>0</v>
      </c>
      <c r="BD28" s="46">
        <v>0</v>
      </c>
      <c r="BE28" s="46">
        <v>0</v>
      </c>
      <c r="BF28" s="46">
        <v>0</v>
      </c>
      <c r="BG28" s="46">
        <v>0</v>
      </c>
      <c r="BH28" s="46">
        <v>0</v>
      </c>
      <c r="BI28" s="46">
        <v>0</v>
      </c>
      <c r="BJ28" s="46">
        <v>0</v>
      </c>
      <c r="BK28" s="46">
        <v>0</v>
      </c>
      <c r="BL28" s="46">
        <v>0</v>
      </c>
      <c r="BM28" s="46">
        <v>0</v>
      </c>
      <c r="BN28" s="46">
        <v>0</v>
      </c>
      <c r="BO28" s="46">
        <v>0</v>
      </c>
      <c r="BP28" s="46">
        <v>0</v>
      </c>
      <c r="BQ28" s="46">
        <v>0</v>
      </c>
      <c r="BR28" s="46">
        <v>0</v>
      </c>
      <c r="BS28" s="46">
        <v>0</v>
      </c>
      <c r="BT28" s="46">
        <v>0</v>
      </c>
      <c r="BU28" s="46">
        <v>0</v>
      </c>
      <c r="BV28" s="46">
        <v>0</v>
      </c>
      <c r="BW28" s="46">
        <v>0</v>
      </c>
      <c r="BX28" s="46">
        <v>0</v>
      </c>
      <c r="BY28" s="55">
        <v>0</v>
      </c>
      <c r="BZ28" s="43">
        <v>0</v>
      </c>
      <c r="CA28" s="43">
        <v>0</v>
      </c>
      <c r="CB28" s="43">
        <v>0</v>
      </c>
      <c r="CC28" s="43">
        <v>0</v>
      </c>
      <c r="CD28" s="43">
        <v>0</v>
      </c>
      <c r="CE28" s="43">
        <v>0</v>
      </c>
      <c r="CF28" s="7" t="s">
        <v>104</v>
      </c>
      <c r="CG28" s="43">
        <v>0</v>
      </c>
      <c r="CH28" s="6" t="s">
        <v>104</v>
      </c>
      <c r="CI28" s="43">
        <v>0</v>
      </c>
      <c r="CJ28" s="43">
        <v>0</v>
      </c>
      <c r="CK28" s="43">
        <v>0</v>
      </c>
      <c r="CL28" s="43">
        <v>0</v>
      </c>
      <c r="CM28" s="67">
        <v>0</v>
      </c>
      <c r="CN28" s="62">
        <v>0</v>
      </c>
      <c r="CO28" s="18"/>
    </row>
    <row r="29" spans="1:93" x14ac:dyDescent="0.35">
      <c r="A29" s="19" t="s">
        <v>132</v>
      </c>
      <c r="B29" s="65">
        <v>0</v>
      </c>
      <c r="C29" s="43">
        <v>0</v>
      </c>
      <c r="D29" s="43">
        <v>0</v>
      </c>
      <c r="E29" s="43">
        <v>0</v>
      </c>
      <c r="F29" s="43">
        <v>0</v>
      </c>
      <c r="G29" s="43">
        <v>0</v>
      </c>
      <c r="H29" s="43">
        <v>0</v>
      </c>
      <c r="I29" s="43">
        <v>0</v>
      </c>
      <c r="J29" s="43">
        <v>0</v>
      </c>
      <c r="K29" s="43">
        <v>0</v>
      </c>
      <c r="L29" s="43">
        <v>0</v>
      </c>
      <c r="M29" s="12">
        <v>0</v>
      </c>
      <c r="N29" s="46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  <c r="AA29" s="46">
        <v>0</v>
      </c>
      <c r="AB29" s="46">
        <v>0</v>
      </c>
      <c r="AC29" s="46">
        <v>0</v>
      </c>
      <c r="AD29" s="46">
        <v>0</v>
      </c>
      <c r="AE29" s="46">
        <v>0</v>
      </c>
      <c r="AF29" s="46">
        <v>0</v>
      </c>
      <c r="AG29" s="46">
        <v>0</v>
      </c>
      <c r="AH29" s="46">
        <v>0</v>
      </c>
      <c r="AI29" s="46">
        <v>0</v>
      </c>
      <c r="AJ29" s="61">
        <v>0</v>
      </c>
      <c r="AK29" s="46">
        <v>0</v>
      </c>
      <c r="AL29" s="46">
        <v>0</v>
      </c>
      <c r="AM29" s="46">
        <v>0</v>
      </c>
      <c r="AN29" s="46">
        <v>0</v>
      </c>
      <c r="AO29" s="46">
        <v>0</v>
      </c>
      <c r="AP29" s="46">
        <v>0</v>
      </c>
      <c r="AQ29" s="46">
        <v>0</v>
      </c>
      <c r="AR29" s="46">
        <v>0</v>
      </c>
      <c r="AS29" s="46">
        <v>0</v>
      </c>
      <c r="AT29" s="46">
        <v>0</v>
      </c>
      <c r="AU29" s="46">
        <v>0</v>
      </c>
      <c r="AV29" s="46">
        <v>0</v>
      </c>
      <c r="AW29" s="46">
        <v>0</v>
      </c>
      <c r="AX29" s="46">
        <v>0</v>
      </c>
      <c r="AY29" s="46">
        <v>0</v>
      </c>
      <c r="AZ29" s="46">
        <v>0</v>
      </c>
      <c r="BA29" s="46">
        <v>0</v>
      </c>
      <c r="BB29" s="46">
        <v>0</v>
      </c>
      <c r="BC29" s="46">
        <v>0</v>
      </c>
      <c r="BD29" s="46">
        <v>0</v>
      </c>
      <c r="BE29" s="46">
        <v>0</v>
      </c>
      <c r="BF29" s="46">
        <v>0</v>
      </c>
      <c r="BG29" s="46">
        <v>0</v>
      </c>
      <c r="BH29" s="46">
        <v>0</v>
      </c>
      <c r="BI29" s="46">
        <v>0</v>
      </c>
      <c r="BJ29" s="46">
        <v>0</v>
      </c>
      <c r="BK29" s="46">
        <v>0</v>
      </c>
      <c r="BL29" s="46">
        <v>0</v>
      </c>
      <c r="BM29" s="46">
        <v>0</v>
      </c>
      <c r="BN29" s="46">
        <v>0</v>
      </c>
      <c r="BO29" s="46">
        <v>0</v>
      </c>
      <c r="BP29" s="46">
        <v>0</v>
      </c>
      <c r="BQ29" s="46">
        <v>0</v>
      </c>
      <c r="BR29" s="46">
        <v>0</v>
      </c>
      <c r="BS29" s="46">
        <v>0</v>
      </c>
      <c r="BT29" s="46">
        <v>0</v>
      </c>
      <c r="BU29" s="46">
        <v>0</v>
      </c>
      <c r="BV29" s="46">
        <v>0</v>
      </c>
      <c r="BW29" s="46">
        <v>0</v>
      </c>
      <c r="BX29" s="46">
        <v>0</v>
      </c>
      <c r="BY29" s="56">
        <v>0</v>
      </c>
      <c r="BZ29" s="43">
        <v>0</v>
      </c>
      <c r="CA29" s="43">
        <v>0</v>
      </c>
      <c r="CB29" s="43">
        <v>0</v>
      </c>
      <c r="CC29" s="43">
        <v>0</v>
      </c>
      <c r="CD29" s="43">
        <v>0</v>
      </c>
      <c r="CE29" s="43">
        <v>0</v>
      </c>
      <c r="CF29" s="7" t="s">
        <v>104</v>
      </c>
      <c r="CG29" s="43">
        <v>0</v>
      </c>
      <c r="CH29" s="6" t="s">
        <v>104</v>
      </c>
      <c r="CI29" s="43">
        <v>0</v>
      </c>
      <c r="CJ29" s="43">
        <v>0</v>
      </c>
      <c r="CK29" s="43">
        <v>0</v>
      </c>
      <c r="CL29" s="43">
        <v>0</v>
      </c>
      <c r="CM29" s="67">
        <v>0</v>
      </c>
      <c r="CN29" s="62">
        <v>0</v>
      </c>
      <c r="CO29" s="19"/>
    </row>
    <row r="30" spans="1:93" x14ac:dyDescent="0.35">
      <c r="A30" s="20" t="s">
        <v>133</v>
      </c>
      <c r="B30" s="66">
        <v>0</v>
      </c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3">
        <v>0</v>
      </c>
      <c r="I30" s="43">
        <v>0</v>
      </c>
      <c r="J30" s="43">
        <v>0</v>
      </c>
      <c r="K30" s="43">
        <v>0</v>
      </c>
      <c r="L30" s="43">
        <v>0</v>
      </c>
      <c r="M30" s="12">
        <v>0</v>
      </c>
      <c r="N30" s="46">
        <v>0</v>
      </c>
      <c r="O30" s="46">
        <v>0</v>
      </c>
      <c r="P30" s="46">
        <v>0</v>
      </c>
      <c r="Q30" s="46">
        <v>0</v>
      </c>
      <c r="R30" s="46">
        <v>0</v>
      </c>
      <c r="S30" s="46">
        <v>0</v>
      </c>
      <c r="T30" s="46">
        <v>0</v>
      </c>
      <c r="U30" s="46">
        <v>0</v>
      </c>
      <c r="V30" s="46">
        <v>0</v>
      </c>
      <c r="W30" s="46">
        <v>0</v>
      </c>
      <c r="X30" s="46">
        <v>0</v>
      </c>
      <c r="Y30" s="46">
        <v>0</v>
      </c>
      <c r="Z30" s="46">
        <v>0</v>
      </c>
      <c r="AA30" s="46">
        <v>0</v>
      </c>
      <c r="AB30" s="46">
        <v>0</v>
      </c>
      <c r="AC30" s="46">
        <v>0</v>
      </c>
      <c r="AD30" s="46">
        <v>0</v>
      </c>
      <c r="AE30" s="46">
        <v>0</v>
      </c>
      <c r="AF30" s="46">
        <v>0</v>
      </c>
      <c r="AG30" s="46">
        <v>0</v>
      </c>
      <c r="AH30" s="46">
        <v>0</v>
      </c>
      <c r="AI30" s="46">
        <v>0</v>
      </c>
      <c r="AJ30" s="61">
        <v>0</v>
      </c>
      <c r="AK30" s="46">
        <v>0</v>
      </c>
      <c r="AL30" s="46">
        <v>0</v>
      </c>
      <c r="AM30" s="46">
        <v>0</v>
      </c>
      <c r="AN30" s="46">
        <v>0</v>
      </c>
      <c r="AO30" s="46">
        <v>0</v>
      </c>
      <c r="AP30" s="46">
        <v>0</v>
      </c>
      <c r="AQ30" s="46">
        <v>0</v>
      </c>
      <c r="AR30" s="46">
        <v>0</v>
      </c>
      <c r="AS30" s="46">
        <v>0</v>
      </c>
      <c r="AT30" s="46">
        <v>0</v>
      </c>
      <c r="AU30" s="46">
        <v>0</v>
      </c>
      <c r="AV30" s="46">
        <v>0</v>
      </c>
      <c r="AW30" s="46">
        <v>0</v>
      </c>
      <c r="AX30" s="46">
        <v>0</v>
      </c>
      <c r="AY30" s="46">
        <v>0</v>
      </c>
      <c r="AZ30" s="46">
        <v>0</v>
      </c>
      <c r="BA30" s="46">
        <v>0</v>
      </c>
      <c r="BB30" s="46">
        <v>0</v>
      </c>
      <c r="BC30" s="46">
        <v>0</v>
      </c>
      <c r="BD30" s="46">
        <v>0</v>
      </c>
      <c r="BE30" s="46">
        <v>0</v>
      </c>
      <c r="BF30" s="46">
        <v>0</v>
      </c>
      <c r="BG30" s="46">
        <v>0</v>
      </c>
      <c r="BH30" s="46">
        <v>0</v>
      </c>
      <c r="BI30" s="46">
        <v>0</v>
      </c>
      <c r="BJ30" s="46">
        <v>0</v>
      </c>
      <c r="BK30" s="46">
        <v>0</v>
      </c>
      <c r="BL30" s="46">
        <v>0</v>
      </c>
      <c r="BM30" s="46">
        <v>0</v>
      </c>
      <c r="BN30" s="46">
        <v>0</v>
      </c>
      <c r="BO30" s="46">
        <v>0</v>
      </c>
      <c r="BP30" s="46">
        <v>0</v>
      </c>
      <c r="BQ30" s="46">
        <v>0</v>
      </c>
      <c r="BR30" s="46">
        <v>0</v>
      </c>
      <c r="BS30" s="46">
        <v>0</v>
      </c>
      <c r="BT30" s="46">
        <v>0</v>
      </c>
      <c r="BU30" s="46">
        <v>0</v>
      </c>
      <c r="BV30" s="46">
        <v>0</v>
      </c>
      <c r="BW30" s="46">
        <v>0</v>
      </c>
      <c r="BX30" s="46">
        <v>0</v>
      </c>
      <c r="BY30" s="57">
        <v>0</v>
      </c>
      <c r="BZ30" s="43">
        <v>0</v>
      </c>
      <c r="CA30" s="43">
        <v>0</v>
      </c>
      <c r="CB30" s="43">
        <v>0</v>
      </c>
      <c r="CC30" s="43">
        <v>0</v>
      </c>
      <c r="CD30" s="43">
        <v>0</v>
      </c>
      <c r="CE30" s="43">
        <v>0</v>
      </c>
      <c r="CF30" s="7" t="s">
        <v>104</v>
      </c>
      <c r="CG30" s="43">
        <v>0</v>
      </c>
      <c r="CH30" s="6" t="s">
        <v>104</v>
      </c>
      <c r="CI30" s="43">
        <v>0</v>
      </c>
      <c r="CJ30" s="43">
        <v>0</v>
      </c>
      <c r="CK30" s="43">
        <v>0</v>
      </c>
      <c r="CL30" s="43">
        <v>0</v>
      </c>
      <c r="CM30" s="67">
        <v>0</v>
      </c>
      <c r="CN30" s="62">
        <v>0</v>
      </c>
      <c r="CO30" s="20"/>
    </row>
    <row r="31" spans="1:93" x14ac:dyDescent="0.35">
      <c r="A31" s="5" t="s">
        <v>35</v>
      </c>
      <c r="B31" s="13">
        <v>43131.8</v>
      </c>
      <c r="C31" s="13">
        <v>393.35</v>
      </c>
      <c r="D31" s="13">
        <v>2.36</v>
      </c>
      <c r="E31" s="13">
        <v>7.08</v>
      </c>
      <c r="F31" s="13">
        <v>3.42</v>
      </c>
      <c r="G31" s="13">
        <v>997.21</v>
      </c>
      <c r="H31" s="13">
        <v>7.42</v>
      </c>
      <c r="I31" s="13">
        <v>7.91</v>
      </c>
      <c r="J31" s="13">
        <v>12.74</v>
      </c>
      <c r="K31" s="13">
        <v>0.53</v>
      </c>
      <c r="L31" s="13">
        <v>28.6</v>
      </c>
      <c r="M31" s="12">
        <v>1866.05</v>
      </c>
      <c r="N31" s="46">
        <v>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13">
        <v>13976.51</v>
      </c>
      <c r="W31" s="13">
        <v>82.95</v>
      </c>
      <c r="X31" s="13">
        <v>27.18</v>
      </c>
      <c r="Y31" s="13">
        <v>10.82</v>
      </c>
      <c r="Z31" s="13">
        <v>8.0299999999999994</v>
      </c>
      <c r="AA31" s="13">
        <v>18.29</v>
      </c>
      <c r="AB31" s="13">
        <v>12.98</v>
      </c>
      <c r="AC31" s="13">
        <v>12.7</v>
      </c>
      <c r="AD31" s="13">
        <v>9.64</v>
      </c>
      <c r="AE31" s="13">
        <v>4.1399999999999997</v>
      </c>
      <c r="AF31" s="13">
        <v>138.80000000000001</v>
      </c>
      <c r="AG31" s="13">
        <v>33.44</v>
      </c>
      <c r="AH31" s="13">
        <v>13.69</v>
      </c>
      <c r="AI31" s="13">
        <v>13.69</v>
      </c>
      <c r="AJ31" s="61">
        <v>0</v>
      </c>
      <c r="AK31" s="13">
        <v>1.1399999999999999</v>
      </c>
      <c r="AL31" s="13">
        <v>19.97</v>
      </c>
      <c r="AM31" s="13">
        <v>52.8</v>
      </c>
      <c r="AN31" s="13">
        <v>5.4</v>
      </c>
      <c r="AO31" s="13">
        <v>2936.51</v>
      </c>
      <c r="AP31" s="13">
        <v>477.43</v>
      </c>
      <c r="AQ31" s="13">
        <v>33.979999999999997</v>
      </c>
      <c r="AR31" s="13">
        <v>0.74</v>
      </c>
      <c r="AS31" s="13">
        <v>0.7</v>
      </c>
      <c r="AT31" s="13">
        <v>49.76</v>
      </c>
      <c r="AU31" s="13">
        <v>4.21</v>
      </c>
      <c r="AV31" s="13">
        <v>63.86</v>
      </c>
      <c r="AW31" s="13">
        <v>5.18</v>
      </c>
      <c r="AX31" s="13">
        <v>1.77</v>
      </c>
      <c r="AY31" s="13">
        <v>10.66</v>
      </c>
      <c r="AZ31" s="13">
        <v>149.30000000000001</v>
      </c>
      <c r="BA31" s="13">
        <v>3.73</v>
      </c>
      <c r="BB31" s="13">
        <v>1.99</v>
      </c>
      <c r="BC31" s="13">
        <v>1.72</v>
      </c>
      <c r="BD31" s="13">
        <v>226.99</v>
      </c>
      <c r="BE31" s="13">
        <v>283.45999999999998</v>
      </c>
      <c r="BF31" s="13">
        <v>118.25</v>
      </c>
      <c r="BG31" s="13">
        <v>1482.52</v>
      </c>
      <c r="BH31" s="13">
        <v>39.799999999999997</v>
      </c>
      <c r="BI31" s="13">
        <v>448.39</v>
      </c>
      <c r="BJ31" s="13">
        <v>525.19000000000005</v>
      </c>
      <c r="BK31" s="13">
        <v>31.62</v>
      </c>
      <c r="BL31" s="13">
        <v>2.94</v>
      </c>
      <c r="BM31" s="13">
        <v>273.07</v>
      </c>
      <c r="BN31" s="13">
        <v>740.38</v>
      </c>
      <c r="BO31" s="13">
        <v>207.4</v>
      </c>
      <c r="BP31" s="13">
        <v>15762.81</v>
      </c>
      <c r="BQ31" s="13">
        <v>1402.53</v>
      </c>
      <c r="BR31" s="13">
        <v>17.149999999999999</v>
      </c>
      <c r="BS31" s="13">
        <v>22.24</v>
      </c>
      <c r="BT31" s="13">
        <v>12.37</v>
      </c>
      <c r="BU31" s="13">
        <v>2.6</v>
      </c>
      <c r="BV31" s="13">
        <v>32.39</v>
      </c>
      <c r="BW31" s="13">
        <v>3.03</v>
      </c>
      <c r="BX31" s="7">
        <v>0</v>
      </c>
      <c r="BY31" s="13">
        <v>40837.75</v>
      </c>
      <c r="BZ31" s="13">
        <v>23722.95</v>
      </c>
      <c r="CA31" s="13">
        <v>17096.349999999999</v>
      </c>
      <c r="CB31" s="13">
        <v>18.45</v>
      </c>
      <c r="CC31" s="13">
        <v>4671.3599999999997</v>
      </c>
      <c r="CD31" s="13">
        <v>4671.3599999999997</v>
      </c>
      <c r="CE31" s="7">
        <v>0</v>
      </c>
      <c r="CF31" s="7" t="s">
        <v>104</v>
      </c>
      <c r="CG31" s="7">
        <v>0</v>
      </c>
      <c r="CH31" s="6" t="s">
        <v>104</v>
      </c>
      <c r="CI31" s="7">
        <v>0</v>
      </c>
      <c r="CJ31" s="7">
        <v>0</v>
      </c>
      <c r="CK31" s="7" t="s">
        <v>104</v>
      </c>
      <c r="CL31" s="7" t="s">
        <v>104</v>
      </c>
      <c r="CM31" s="13">
        <v>88640.91</v>
      </c>
      <c r="CN31" s="13">
        <v>45509.11</v>
      </c>
    </row>
    <row r="32" spans="1:93" x14ac:dyDescent="0.35">
      <c r="A32" s="5" t="s">
        <v>36</v>
      </c>
      <c r="B32" s="12">
        <v>41045.14</v>
      </c>
      <c r="C32" s="12">
        <v>321.70999999999998</v>
      </c>
      <c r="D32" s="12">
        <v>11.84</v>
      </c>
      <c r="E32" s="12">
        <v>8.41</v>
      </c>
      <c r="F32" s="12">
        <v>59.57</v>
      </c>
      <c r="G32" s="12">
        <v>3426.25</v>
      </c>
      <c r="H32" s="12">
        <v>330.62</v>
      </c>
      <c r="I32" s="12">
        <v>205.15</v>
      </c>
      <c r="J32" s="12">
        <v>588.15</v>
      </c>
      <c r="K32" s="12">
        <v>112.31</v>
      </c>
      <c r="L32" s="12">
        <v>280.33999999999997</v>
      </c>
      <c r="M32" s="12">
        <v>1717.87</v>
      </c>
      <c r="N32" s="46">
        <v>0</v>
      </c>
      <c r="O32" s="46">
        <v>0</v>
      </c>
      <c r="P32" s="46">
        <v>0</v>
      </c>
      <c r="Q32" s="46">
        <v>0</v>
      </c>
      <c r="R32" s="46">
        <v>0</v>
      </c>
      <c r="S32" s="46">
        <v>0</v>
      </c>
      <c r="T32" s="46">
        <v>0</v>
      </c>
      <c r="U32" s="46">
        <v>0</v>
      </c>
      <c r="V32" s="12">
        <v>1444.98</v>
      </c>
      <c r="W32" s="12">
        <v>6241.55</v>
      </c>
      <c r="X32" s="12">
        <v>465.27</v>
      </c>
      <c r="Y32" s="12">
        <v>371.02</v>
      </c>
      <c r="Z32" s="12">
        <v>965.39</v>
      </c>
      <c r="AA32" s="12">
        <v>559.36</v>
      </c>
      <c r="AB32" s="12">
        <v>1152.48</v>
      </c>
      <c r="AC32" s="12">
        <v>1319.93</v>
      </c>
      <c r="AD32" s="12">
        <v>3846.39</v>
      </c>
      <c r="AE32" s="12">
        <v>382.72</v>
      </c>
      <c r="AF32" s="12">
        <v>997.69</v>
      </c>
      <c r="AG32" s="12">
        <v>480.35</v>
      </c>
      <c r="AH32" s="13">
        <v>181.48</v>
      </c>
      <c r="AI32" s="12">
        <v>181.48</v>
      </c>
      <c r="AJ32" s="61">
        <v>0</v>
      </c>
      <c r="AK32" s="12">
        <v>16.559999999999999</v>
      </c>
      <c r="AL32" s="12">
        <v>234.18</v>
      </c>
      <c r="AM32" s="12">
        <v>6900.06</v>
      </c>
      <c r="AN32" s="12">
        <v>908.76</v>
      </c>
      <c r="AO32" s="12">
        <v>1478.21</v>
      </c>
      <c r="AP32" s="12">
        <v>697.28</v>
      </c>
      <c r="AQ32" s="12">
        <v>904.72</v>
      </c>
      <c r="AR32" s="12">
        <v>18.72</v>
      </c>
      <c r="AS32" s="12">
        <v>27.38</v>
      </c>
      <c r="AT32" s="12">
        <v>248.64</v>
      </c>
      <c r="AU32" s="12">
        <v>31.93</v>
      </c>
      <c r="AV32" s="12">
        <v>153.08000000000001</v>
      </c>
      <c r="AW32" s="12">
        <v>48.92</v>
      </c>
      <c r="AX32" s="12">
        <v>29.04</v>
      </c>
      <c r="AY32" s="12">
        <v>160.6</v>
      </c>
      <c r="AZ32" s="12">
        <v>235.02</v>
      </c>
      <c r="BA32" s="12">
        <v>32.99</v>
      </c>
      <c r="BB32" s="12">
        <v>31.4</v>
      </c>
      <c r="BC32" s="12">
        <v>23.8</v>
      </c>
      <c r="BD32" s="12">
        <v>396.4</v>
      </c>
      <c r="BE32" s="12">
        <v>181.57</v>
      </c>
      <c r="BF32" s="12">
        <v>224.14</v>
      </c>
      <c r="BG32" s="12">
        <v>437.94</v>
      </c>
      <c r="BH32" s="12">
        <v>66.14</v>
      </c>
      <c r="BI32" s="12">
        <v>101.27</v>
      </c>
      <c r="BJ32" s="12">
        <v>291.97000000000003</v>
      </c>
      <c r="BK32" s="12">
        <v>18.39</v>
      </c>
      <c r="BL32" s="12">
        <v>8.33</v>
      </c>
      <c r="BM32" s="12">
        <v>459.81</v>
      </c>
      <c r="BN32" s="12">
        <v>183.07</v>
      </c>
      <c r="BO32" s="12">
        <v>64.290000000000006</v>
      </c>
      <c r="BP32" s="12">
        <v>680.59</v>
      </c>
      <c r="BQ32" s="12">
        <v>125.75</v>
      </c>
      <c r="BR32" s="12">
        <v>39.700000000000003</v>
      </c>
      <c r="BS32" s="12">
        <v>24.66</v>
      </c>
      <c r="BT32" s="12">
        <v>16.829999999999998</v>
      </c>
      <c r="BU32" s="12">
        <v>24.09</v>
      </c>
      <c r="BV32" s="12">
        <v>46.87</v>
      </c>
      <c r="BW32" s="12">
        <v>1.25</v>
      </c>
      <c r="BX32" s="6">
        <v>0</v>
      </c>
      <c r="BY32" s="12">
        <v>6631.83</v>
      </c>
      <c r="BZ32" s="12">
        <v>14.89</v>
      </c>
      <c r="CA32" s="12">
        <v>6616.94</v>
      </c>
      <c r="CB32" s="6">
        <v>0</v>
      </c>
      <c r="CC32" s="12">
        <v>369.73</v>
      </c>
      <c r="CD32" s="12">
        <v>-29.93</v>
      </c>
      <c r="CE32" s="6">
        <v>0</v>
      </c>
      <c r="CF32" s="7" t="s">
        <v>104</v>
      </c>
      <c r="CG32" s="6">
        <v>0</v>
      </c>
      <c r="CH32" s="6" t="s">
        <v>104</v>
      </c>
      <c r="CI32" s="6">
        <v>0</v>
      </c>
      <c r="CJ32" s="12">
        <v>399.66</v>
      </c>
      <c r="CK32" s="6" t="s">
        <v>104</v>
      </c>
      <c r="CL32" s="6" t="s">
        <v>104</v>
      </c>
      <c r="CM32" s="12">
        <v>48046.7</v>
      </c>
      <c r="CN32" s="12">
        <v>7001.56</v>
      </c>
    </row>
    <row r="33" spans="1:92" x14ac:dyDescent="0.35">
      <c r="A33" s="5" t="s">
        <v>37</v>
      </c>
      <c r="B33" s="13">
        <v>24465.56</v>
      </c>
      <c r="C33" s="13">
        <v>151.62</v>
      </c>
      <c r="D33" s="13">
        <v>4.66</v>
      </c>
      <c r="E33" s="13">
        <v>4.2</v>
      </c>
      <c r="F33" s="13">
        <v>107.77</v>
      </c>
      <c r="G33" s="13">
        <v>1286.3399999999999</v>
      </c>
      <c r="H33" s="7">
        <v>106</v>
      </c>
      <c r="I33" s="13">
        <v>203.8</v>
      </c>
      <c r="J33" s="13">
        <v>24.08</v>
      </c>
      <c r="K33" s="13">
        <v>4.91</v>
      </c>
      <c r="L33" s="13">
        <v>55.35</v>
      </c>
      <c r="M33" s="12">
        <v>817.41</v>
      </c>
      <c r="N33" s="46">
        <v>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13">
        <v>270.69</v>
      </c>
      <c r="W33" s="13">
        <v>491.56</v>
      </c>
      <c r="X33" s="13">
        <v>3324.77</v>
      </c>
      <c r="Y33" s="13">
        <v>582.72</v>
      </c>
      <c r="Z33" s="13">
        <v>604.30999999999995</v>
      </c>
      <c r="AA33" s="13">
        <v>261.42</v>
      </c>
      <c r="AB33" s="7">
        <v>625</v>
      </c>
      <c r="AC33" s="13">
        <v>504.25</v>
      </c>
      <c r="AD33" s="13">
        <v>1376.21</v>
      </c>
      <c r="AE33" s="13">
        <v>265.31</v>
      </c>
      <c r="AF33" s="13">
        <v>389.5</v>
      </c>
      <c r="AG33" s="13">
        <v>291.04000000000002</v>
      </c>
      <c r="AH33" s="13">
        <v>115.36</v>
      </c>
      <c r="AI33" s="13">
        <v>115.36</v>
      </c>
      <c r="AJ33" s="61">
        <v>0</v>
      </c>
      <c r="AK33" s="13">
        <v>11.35</v>
      </c>
      <c r="AL33" s="13">
        <v>114.17</v>
      </c>
      <c r="AM33" s="13">
        <v>9745.6</v>
      </c>
      <c r="AN33" s="13">
        <v>262.7</v>
      </c>
      <c r="AO33" s="13">
        <v>354.32</v>
      </c>
      <c r="AP33" s="13">
        <v>124.46</v>
      </c>
      <c r="AQ33" s="13">
        <v>83.81</v>
      </c>
      <c r="AR33" s="13">
        <v>2.64</v>
      </c>
      <c r="AS33" s="13">
        <v>8.92</v>
      </c>
      <c r="AT33" s="13">
        <v>60.13</v>
      </c>
      <c r="AU33" s="13">
        <v>0.91</v>
      </c>
      <c r="AV33" s="13">
        <v>269.92</v>
      </c>
      <c r="AW33" s="13">
        <v>2.19</v>
      </c>
      <c r="AX33" s="13">
        <v>1.45</v>
      </c>
      <c r="AY33" s="13">
        <v>17.86</v>
      </c>
      <c r="AZ33" s="13">
        <v>51.68</v>
      </c>
      <c r="BA33" s="13">
        <v>5.57</v>
      </c>
      <c r="BB33" s="13">
        <v>0.73</v>
      </c>
      <c r="BC33" s="13">
        <v>2.82</v>
      </c>
      <c r="BD33" s="13">
        <v>331.69</v>
      </c>
      <c r="BE33" s="13">
        <v>61.56</v>
      </c>
      <c r="BF33" s="13">
        <v>89.57</v>
      </c>
      <c r="BG33" s="13">
        <v>246.07</v>
      </c>
      <c r="BH33" s="13">
        <v>9.17</v>
      </c>
      <c r="BI33" s="13">
        <v>32.409999999999997</v>
      </c>
      <c r="BJ33" s="13">
        <v>132.74</v>
      </c>
      <c r="BK33" s="13">
        <v>8.89</v>
      </c>
      <c r="BL33" s="13">
        <v>1.79</v>
      </c>
      <c r="BM33" s="13">
        <v>167.16</v>
      </c>
      <c r="BN33" s="13">
        <v>37.82</v>
      </c>
      <c r="BO33" s="13">
        <v>42.7</v>
      </c>
      <c r="BP33" s="13">
        <v>177.56</v>
      </c>
      <c r="BQ33" s="13">
        <v>19.97</v>
      </c>
      <c r="BR33" s="13">
        <v>23.3</v>
      </c>
      <c r="BS33" s="13">
        <v>8.19</v>
      </c>
      <c r="BT33" s="13">
        <v>12.37</v>
      </c>
      <c r="BU33" s="13">
        <v>9.08</v>
      </c>
      <c r="BV33" s="13">
        <v>63.58</v>
      </c>
      <c r="BW33" s="13">
        <v>0.44</v>
      </c>
      <c r="BX33" s="7">
        <v>0</v>
      </c>
      <c r="BY33" s="13">
        <v>2911.72</v>
      </c>
      <c r="BZ33" s="7">
        <v>0</v>
      </c>
      <c r="CA33" s="13">
        <v>2911.72</v>
      </c>
      <c r="CB33" s="7">
        <v>0</v>
      </c>
      <c r="CC33" s="13">
        <v>-64.790000000000006</v>
      </c>
      <c r="CD33" s="7">
        <v>-452</v>
      </c>
      <c r="CE33" s="7">
        <v>0</v>
      </c>
      <c r="CF33" s="7" t="s">
        <v>104</v>
      </c>
      <c r="CG33" s="7">
        <v>0</v>
      </c>
      <c r="CH33" s="6" t="s">
        <v>104</v>
      </c>
      <c r="CI33" s="7">
        <v>0</v>
      </c>
      <c r="CJ33" s="13">
        <v>387.21</v>
      </c>
      <c r="CK33" s="7" t="s">
        <v>104</v>
      </c>
      <c r="CL33" s="7" t="s">
        <v>104</v>
      </c>
      <c r="CM33" s="13">
        <v>27312.49</v>
      </c>
      <c r="CN33" s="13">
        <v>2846.93</v>
      </c>
    </row>
    <row r="34" spans="1:92" x14ac:dyDescent="0.35">
      <c r="A34" s="5" t="s">
        <v>38</v>
      </c>
      <c r="B34" s="12">
        <v>66656.55</v>
      </c>
      <c r="C34" s="12">
        <v>24.58</v>
      </c>
      <c r="D34" s="12">
        <v>2.81</v>
      </c>
      <c r="E34" s="12">
        <v>0.42</v>
      </c>
      <c r="F34" s="12">
        <v>73.650000000000006</v>
      </c>
      <c r="G34" s="12">
        <v>408.44</v>
      </c>
      <c r="H34" s="12">
        <v>61.01</v>
      </c>
      <c r="I34" s="12">
        <v>110.2</v>
      </c>
      <c r="J34" s="12">
        <v>90.28</v>
      </c>
      <c r="K34" s="12">
        <v>19.149999999999999</v>
      </c>
      <c r="L34" s="12">
        <v>190.42</v>
      </c>
      <c r="M34" s="12">
        <v>1373.24</v>
      </c>
      <c r="N34" s="46">
        <v>0</v>
      </c>
      <c r="O34" s="46">
        <v>0</v>
      </c>
      <c r="P34" s="46">
        <v>0</v>
      </c>
      <c r="Q34" s="46">
        <v>0</v>
      </c>
      <c r="R34" s="46">
        <v>0</v>
      </c>
      <c r="S34" s="46">
        <v>0</v>
      </c>
      <c r="T34" s="46">
        <v>0</v>
      </c>
      <c r="U34" s="46">
        <v>0</v>
      </c>
      <c r="V34" s="12">
        <v>189.08</v>
      </c>
      <c r="W34" s="12">
        <v>781.98</v>
      </c>
      <c r="X34" s="12">
        <v>443.81</v>
      </c>
      <c r="Y34" s="12">
        <v>25375.06</v>
      </c>
      <c r="Z34" s="12">
        <v>11590.93</v>
      </c>
      <c r="AA34" s="12">
        <v>706.69</v>
      </c>
      <c r="AB34" s="12">
        <v>3822.13</v>
      </c>
      <c r="AC34" s="12">
        <v>5195.87</v>
      </c>
      <c r="AD34" s="12">
        <v>3548.25</v>
      </c>
      <c r="AE34" s="12">
        <v>743.68</v>
      </c>
      <c r="AF34" s="12">
        <v>1633.85</v>
      </c>
      <c r="AG34" s="12">
        <v>1283.5999999999999</v>
      </c>
      <c r="AH34" s="13">
        <v>243.3</v>
      </c>
      <c r="AI34" s="12">
        <v>243.3</v>
      </c>
      <c r="AJ34" s="61">
        <v>0</v>
      </c>
      <c r="AK34" s="12">
        <v>23.54</v>
      </c>
      <c r="AL34" s="12">
        <v>939.75</v>
      </c>
      <c r="AM34" s="12">
        <v>4026.21</v>
      </c>
      <c r="AN34" s="12">
        <v>173.75</v>
      </c>
      <c r="AO34" s="12">
        <v>938.92</v>
      </c>
      <c r="AP34" s="12">
        <v>149.16999999999999</v>
      </c>
      <c r="AQ34" s="12">
        <v>170.55</v>
      </c>
      <c r="AR34" s="12">
        <v>3.5</v>
      </c>
      <c r="AS34" s="12">
        <v>1.84</v>
      </c>
      <c r="AT34" s="12">
        <v>101.24</v>
      </c>
      <c r="AU34" s="12">
        <v>1.29</v>
      </c>
      <c r="AV34" s="12">
        <v>24.81</v>
      </c>
      <c r="AW34" s="12">
        <v>8.25</v>
      </c>
      <c r="AX34" s="12">
        <v>4.4800000000000004</v>
      </c>
      <c r="AY34" s="12">
        <v>47.79</v>
      </c>
      <c r="AZ34" s="12">
        <v>131.13</v>
      </c>
      <c r="BA34" s="12">
        <v>3.23</v>
      </c>
      <c r="BB34" s="12">
        <v>1.1399999999999999</v>
      </c>
      <c r="BC34" s="12">
        <v>3.31</v>
      </c>
      <c r="BD34" s="12">
        <v>203.68</v>
      </c>
      <c r="BE34" s="12">
        <v>118.98</v>
      </c>
      <c r="BF34" s="12">
        <v>519.04999999999995</v>
      </c>
      <c r="BG34" s="12">
        <v>563.04</v>
      </c>
      <c r="BH34" s="12">
        <v>26.6</v>
      </c>
      <c r="BI34" s="12">
        <v>43.37</v>
      </c>
      <c r="BJ34" s="12">
        <v>236.97</v>
      </c>
      <c r="BK34" s="12">
        <v>13.15</v>
      </c>
      <c r="BL34" s="12">
        <v>0.65</v>
      </c>
      <c r="BM34" s="12">
        <v>163.99</v>
      </c>
      <c r="BN34" s="12">
        <v>31.79</v>
      </c>
      <c r="BO34" s="12">
        <v>12.97</v>
      </c>
      <c r="BP34" s="12">
        <v>3.06</v>
      </c>
      <c r="BQ34" s="6">
        <v>1</v>
      </c>
      <c r="BR34" s="12">
        <v>9.93</v>
      </c>
      <c r="BS34" s="12">
        <v>2.62</v>
      </c>
      <c r="BT34" s="12">
        <v>2.27</v>
      </c>
      <c r="BU34" s="12">
        <v>28.71</v>
      </c>
      <c r="BV34" s="12">
        <v>8.02</v>
      </c>
      <c r="BW34" s="12">
        <v>0.36</v>
      </c>
      <c r="BX34" s="6">
        <v>0</v>
      </c>
      <c r="BY34" s="12">
        <v>45.48</v>
      </c>
      <c r="BZ34" s="6">
        <v>0</v>
      </c>
      <c r="CA34" s="12">
        <v>45.48</v>
      </c>
      <c r="CB34" s="6">
        <v>0</v>
      </c>
      <c r="CC34" s="12">
        <v>-1307.26</v>
      </c>
      <c r="CD34" s="12">
        <v>-1534.74</v>
      </c>
      <c r="CE34" s="6">
        <v>0</v>
      </c>
      <c r="CF34" s="7" t="s">
        <v>104</v>
      </c>
      <c r="CG34" s="6">
        <v>0</v>
      </c>
      <c r="CH34" s="6" t="s">
        <v>104</v>
      </c>
      <c r="CI34" s="6">
        <v>0</v>
      </c>
      <c r="CJ34" s="12">
        <v>227.48</v>
      </c>
      <c r="CK34" s="6" t="s">
        <v>104</v>
      </c>
      <c r="CL34" s="6" t="s">
        <v>104</v>
      </c>
      <c r="CM34" s="12">
        <v>65394.77</v>
      </c>
      <c r="CN34" s="12">
        <v>-1261.78</v>
      </c>
    </row>
    <row r="35" spans="1:92" x14ac:dyDescent="0.35">
      <c r="A35" s="5" t="s">
        <v>39</v>
      </c>
      <c r="B35" s="13">
        <v>44118.75</v>
      </c>
      <c r="C35" s="13">
        <v>424.19</v>
      </c>
      <c r="D35" s="13">
        <v>22.08</v>
      </c>
      <c r="E35" s="13">
        <v>7.8</v>
      </c>
      <c r="F35" s="13">
        <v>112.53</v>
      </c>
      <c r="G35" s="13">
        <v>1630.46</v>
      </c>
      <c r="H35" s="13">
        <v>256.12</v>
      </c>
      <c r="I35" s="13">
        <v>368.44</v>
      </c>
      <c r="J35" s="13">
        <v>133.94</v>
      </c>
      <c r="K35" s="13">
        <v>23.87</v>
      </c>
      <c r="L35" s="13">
        <v>182.1</v>
      </c>
      <c r="M35" s="12">
        <v>662.82</v>
      </c>
      <c r="N35" s="46">
        <v>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13">
        <v>275.33</v>
      </c>
      <c r="W35" s="13">
        <v>1115.29</v>
      </c>
      <c r="X35" s="13">
        <v>366.77</v>
      </c>
      <c r="Y35" s="13">
        <v>1333.02</v>
      </c>
      <c r="Z35" s="13">
        <v>7133.02</v>
      </c>
      <c r="AA35" s="13">
        <v>639.6</v>
      </c>
      <c r="AB35" s="13">
        <v>1696.05</v>
      </c>
      <c r="AC35" s="13">
        <v>3727.46</v>
      </c>
      <c r="AD35" s="13">
        <v>4377.18</v>
      </c>
      <c r="AE35" s="13">
        <v>1135.32</v>
      </c>
      <c r="AF35" s="13">
        <v>1146.78</v>
      </c>
      <c r="AG35" s="13">
        <v>1497.7</v>
      </c>
      <c r="AH35" s="13">
        <v>341.89</v>
      </c>
      <c r="AI35" s="13">
        <v>341.89</v>
      </c>
      <c r="AJ35" s="61">
        <v>0</v>
      </c>
      <c r="AK35" s="13">
        <v>24.57</v>
      </c>
      <c r="AL35" s="13">
        <v>271.72000000000003</v>
      </c>
      <c r="AM35" s="13">
        <v>9290.51</v>
      </c>
      <c r="AN35" s="13">
        <v>493.81</v>
      </c>
      <c r="AO35" s="13">
        <v>971.66</v>
      </c>
      <c r="AP35" s="13">
        <v>265.97000000000003</v>
      </c>
      <c r="AQ35" s="13">
        <v>259.60000000000002</v>
      </c>
      <c r="AR35" s="13">
        <v>23.13</v>
      </c>
      <c r="AS35" s="13">
        <v>8.8000000000000007</v>
      </c>
      <c r="AT35" s="7">
        <v>248</v>
      </c>
      <c r="AU35" s="13">
        <v>16.38</v>
      </c>
      <c r="AV35" s="13">
        <v>267.24</v>
      </c>
      <c r="AW35" s="13">
        <v>13.28</v>
      </c>
      <c r="AX35" s="13">
        <v>13.07</v>
      </c>
      <c r="AY35" s="13">
        <v>71.59</v>
      </c>
      <c r="AZ35" s="13">
        <v>145.44</v>
      </c>
      <c r="BA35" s="13">
        <v>24.74</v>
      </c>
      <c r="BB35" s="13">
        <v>8.44</v>
      </c>
      <c r="BC35" s="13">
        <v>10.99</v>
      </c>
      <c r="BD35" s="13">
        <v>295.38</v>
      </c>
      <c r="BE35" s="13">
        <v>138.07</v>
      </c>
      <c r="BF35" s="13">
        <v>593.59</v>
      </c>
      <c r="BG35" s="13">
        <v>434.85</v>
      </c>
      <c r="BH35" s="13">
        <v>67.95</v>
      </c>
      <c r="BI35" s="13">
        <v>57.37</v>
      </c>
      <c r="BJ35" s="13">
        <v>280.61</v>
      </c>
      <c r="BK35" s="13">
        <v>17.59</v>
      </c>
      <c r="BL35" s="13">
        <v>8.27</v>
      </c>
      <c r="BM35" s="13">
        <v>315.43</v>
      </c>
      <c r="BN35" s="13">
        <v>533.47</v>
      </c>
      <c r="BO35" s="13">
        <v>58.89</v>
      </c>
      <c r="BP35" s="13">
        <v>91.92</v>
      </c>
      <c r="BQ35" s="13">
        <v>38.68</v>
      </c>
      <c r="BR35" s="13">
        <v>29.09</v>
      </c>
      <c r="BS35" s="13">
        <v>26.25</v>
      </c>
      <c r="BT35" s="13">
        <v>13.31</v>
      </c>
      <c r="BU35" s="13">
        <v>39.5</v>
      </c>
      <c r="BV35" s="13">
        <v>39.04</v>
      </c>
      <c r="BW35" s="13">
        <v>0.84</v>
      </c>
      <c r="BX35" s="7">
        <v>0</v>
      </c>
      <c r="BY35" s="13">
        <v>4101.45</v>
      </c>
      <c r="BZ35" s="13">
        <v>41.63</v>
      </c>
      <c r="CA35" s="13">
        <v>4054.21</v>
      </c>
      <c r="CB35" s="13">
        <v>5.61</v>
      </c>
      <c r="CC35" s="13">
        <v>7606.32</v>
      </c>
      <c r="CD35" s="13">
        <v>602.44000000000005</v>
      </c>
      <c r="CE35" s="7">
        <v>0</v>
      </c>
      <c r="CF35" s="7" t="s">
        <v>104</v>
      </c>
      <c r="CG35" s="7">
        <v>0</v>
      </c>
      <c r="CH35" s="6" t="s">
        <v>104</v>
      </c>
      <c r="CI35" s="7">
        <v>0</v>
      </c>
      <c r="CJ35" s="13">
        <v>7003.89</v>
      </c>
      <c r="CK35" s="7" t="s">
        <v>104</v>
      </c>
      <c r="CL35" s="7" t="s">
        <v>104</v>
      </c>
      <c r="CM35" s="13">
        <v>55826.52</v>
      </c>
      <c r="CN35" s="13">
        <v>11707.77</v>
      </c>
    </row>
    <row r="36" spans="1:92" x14ac:dyDescent="0.35">
      <c r="A36" s="5" t="s">
        <v>40</v>
      </c>
      <c r="B36" s="12">
        <v>72150.94</v>
      </c>
      <c r="C36" s="12">
        <v>33.36</v>
      </c>
      <c r="D36" s="12">
        <v>7.92</v>
      </c>
      <c r="E36" s="12">
        <v>2.78</v>
      </c>
      <c r="F36" s="12">
        <v>35.17</v>
      </c>
      <c r="G36" s="12">
        <v>160.63</v>
      </c>
      <c r="H36" s="12">
        <v>25.81</v>
      </c>
      <c r="I36" s="12">
        <v>21.03</v>
      </c>
      <c r="J36" s="12">
        <v>33.82</v>
      </c>
      <c r="K36" s="12">
        <v>88.56</v>
      </c>
      <c r="L36" s="12">
        <v>91.63</v>
      </c>
      <c r="M36" s="12">
        <v>260.45</v>
      </c>
      <c r="N36" s="46">
        <v>0</v>
      </c>
      <c r="O36" s="46">
        <v>0</v>
      </c>
      <c r="P36" s="46">
        <v>0</v>
      </c>
      <c r="Q36" s="46">
        <v>0</v>
      </c>
      <c r="R36" s="46">
        <v>0</v>
      </c>
      <c r="S36" s="46">
        <v>0</v>
      </c>
      <c r="T36" s="46">
        <v>0</v>
      </c>
      <c r="U36" s="46">
        <v>0</v>
      </c>
      <c r="V36" s="12">
        <v>258.33</v>
      </c>
      <c r="W36" s="12">
        <v>264.08999999999997</v>
      </c>
      <c r="X36" s="12">
        <v>181.19</v>
      </c>
      <c r="Y36" s="12">
        <v>192.75</v>
      </c>
      <c r="Z36" s="12">
        <v>917.1</v>
      </c>
      <c r="AA36" s="12">
        <v>21881.18</v>
      </c>
      <c r="AB36" s="12">
        <v>6402.16</v>
      </c>
      <c r="AC36" s="12">
        <v>3747.23</v>
      </c>
      <c r="AD36" s="12">
        <v>3714.56</v>
      </c>
      <c r="AE36" s="12">
        <v>1814.38</v>
      </c>
      <c r="AF36" s="12">
        <v>832.89</v>
      </c>
      <c r="AG36" s="12">
        <v>2454.96</v>
      </c>
      <c r="AH36" s="13">
        <v>565.41999999999996</v>
      </c>
      <c r="AI36" s="12">
        <v>565.41999999999996</v>
      </c>
      <c r="AJ36" s="61">
        <v>0</v>
      </c>
      <c r="AK36" s="12">
        <v>55.45</v>
      </c>
      <c r="AL36" s="12">
        <v>139.33000000000001</v>
      </c>
      <c r="AM36" s="12">
        <v>2632.17</v>
      </c>
      <c r="AN36" s="12">
        <v>325.98</v>
      </c>
      <c r="AO36" s="12">
        <v>2401.85</v>
      </c>
      <c r="AP36" s="12">
        <v>589.86</v>
      </c>
      <c r="AQ36" s="6">
        <v>225</v>
      </c>
      <c r="AR36" s="12">
        <v>26.77</v>
      </c>
      <c r="AS36" s="12">
        <v>45.54</v>
      </c>
      <c r="AT36" s="12">
        <v>281.54000000000002</v>
      </c>
      <c r="AU36" s="12">
        <v>107.33</v>
      </c>
      <c r="AV36" s="12">
        <v>232.19</v>
      </c>
      <c r="AW36" s="12">
        <v>732.73</v>
      </c>
      <c r="AX36" s="12">
        <v>428.54</v>
      </c>
      <c r="AY36" s="12">
        <v>2816.78</v>
      </c>
      <c r="AZ36" s="12">
        <v>5654.68</v>
      </c>
      <c r="BA36" s="12">
        <v>155.65</v>
      </c>
      <c r="BB36" s="12">
        <v>115.15</v>
      </c>
      <c r="BC36" s="12">
        <v>127.27</v>
      </c>
      <c r="BD36" s="12">
        <v>271.24</v>
      </c>
      <c r="BE36" s="12">
        <v>605.33000000000004</v>
      </c>
      <c r="BF36" s="12">
        <v>1226.1199999999999</v>
      </c>
      <c r="BG36" s="12">
        <v>1926.33</v>
      </c>
      <c r="BH36" s="12">
        <v>367.66</v>
      </c>
      <c r="BI36" s="12">
        <v>265.95999999999998</v>
      </c>
      <c r="BJ36" s="12">
        <v>911.95</v>
      </c>
      <c r="BK36" s="12">
        <v>97.09</v>
      </c>
      <c r="BL36" s="12">
        <v>33.799999999999997</v>
      </c>
      <c r="BM36" s="12">
        <v>1006.62</v>
      </c>
      <c r="BN36" s="12">
        <v>1098.3</v>
      </c>
      <c r="BO36" s="12">
        <v>421.94</v>
      </c>
      <c r="BP36" s="12">
        <v>1298.7</v>
      </c>
      <c r="BQ36" s="12">
        <v>287.92</v>
      </c>
      <c r="BR36" s="12">
        <v>447.05</v>
      </c>
      <c r="BS36" s="12">
        <v>152.96</v>
      </c>
      <c r="BT36" s="12">
        <v>119.86</v>
      </c>
      <c r="BU36" s="12">
        <v>472.85</v>
      </c>
      <c r="BV36" s="12">
        <v>57.3</v>
      </c>
      <c r="BW36" s="12">
        <v>0.8</v>
      </c>
      <c r="BX36" s="6">
        <v>0</v>
      </c>
      <c r="BY36" s="12">
        <v>33632.449999999997</v>
      </c>
      <c r="BZ36" s="12">
        <v>497.07</v>
      </c>
      <c r="CA36" s="12">
        <v>33131.32</v>
      </c>
      <c r="CB36" s="12">
        <v>4.05</v>
      </c>
      <c r="CC36" s="12">
        <v>63796.07</v>
      </c>
      <c r="CD36" s="12">
        <v>17824.849999999999</v>
      </c>
      <c r="CE36" s="6">
        <v>0</v>
      </c>
      <c r="CF36" s="7" t="s">
        <v>104</v>
      </c>
      <c r="CG36" s="6">
        <v>0</v>
      </c>
      <c r="CH36" s="6" t="s">
        <v>104</v>
      </c>
      <c r="CI36" s="6">
        <v>0</v>
      </c>
      <c r="CJ36" s="12">
        <v>45971.22</v>
      </c>
      <c r="CK36" s="6" t="s">
        <v>104</v>
      </c>
      <c r="CL36" s="6" t="s">
        <v>104</v>
      </c>
      <c r="CM36" s="12">
        <v>169579.45</v>
      </c>
      <c r="CN36" s="12">
        <v>97428.51</v>
      </c>
    </row>
    <row r="37" spans="1:92" x14ac:dyDescent="0.35">
      <c r="A37" s="5" t="s">
        <v>41</v>
      </c>
      <c r="B37" s="13">
        <v>69489.69</v>
      </c>
      <c r="C37" s="13">
        <v>117.93</v>
      </c>
      <c r="D37" s="13">
        <v>9.33</v>
      </c>
      <c r="E37" s="13">
        <v>2.27</v>
      </c>
      <c r="F37" s="13">
        <v>57.99</v>
      </c>
      <c r="G37" s="13">
        <v>599.21</v>
      </c>
      <c r="H37" s="13">
        <v>48.44</v>
      </c>
      <c r="I37" s="13">
        <v>73.09</v>
      </c>
      <c r="J37" s="13">
        <v>107.74</v>
      </c>
      <c r="K37" s="13">
        <v>26.45</v>
      </c>
      <c r="L37" s="13">
        <v>134.49</v>
      </c>
      <c r="M37" s="12">
        <v>320.41000000000003</v>
      </c>
      <c r="N37" s="46">
        <v>0</v>
      </c>
      <c r="O37" s="46">
        <v>0</v>
      </c>
      <c r="P37" s="46">
        <v>0</v>
      </c>
      <c r="Q37" s="46">
        <v>0</v>
      </c>
      <c r="R37" s="46">
        <v>0</v>
      </c>
      <c r="S37" s="46">
        <v>0</v>
      </c>
      <c r="T37" s="46">
        <v>0</v>
      </c>
      <c r="U37" s="46">
        <v>0</v>
      </c>
      <c r="V37" s="13">
        <v>224.17</v>
      </c>
      <c r="W37" s="13">
        <v>546.30999999999995</v>
      </c>
      <c r="X37" s="13">
        <v>204.41</v>
      </c>
      <c r="Y37" s="13">
        <v>822.78</v>
      </c>
      <c r="Z37" s="13">
        <v>1629.72</v>
      </c>
      <c r="AA37" s="13">
        <v>3455.73</v>
      </c>
      <c r="AB37" s="13">
        <v>15433.13</v>
      </c>
      <c r="AC37" s="13">
        <v>5864.46</v>
      </c>
      <c r="AD37" s="13">
        <v>8075.83</v>
      </c>
      <c r="AE37" s="13">
        <v>1707.57</v>
      </c>
      <c r="AF37" s="13">
        <v>642.55999999999995</v>
      </c>
      <c r="AG37" s="13">
        <v>2616.42</v>
      </c>
      <c r="AH37" s="13">
        <v>2123.0700000000002</v>
      </c>
      <c r="AI37" s="13">
        <v>2123.0700000000002</v>
      </c>
      <c r="AJ37" s="61">
        <v>0</v>
      </c>
      <c r="AK37" s="13">
        <v>81.599999999999994</v>
      </c>
      <c r="AL37" s="13">
        <v>302.70999999999998</v>
      </c>
      <c r="AM37" s="13">
        <v>12955.07</v>
      </c>
      <c r="AN37" s="13">
        <v>652.92999999999995</v>
      </c>
      <c r="AO37" s="13">
        <v>1751.79</v>
      </c>
      <c r="AP37" s="13">
        <v>504.76</v>
      </c>
      <c r="AQ37" s="13">
        <v>429.64</v>
      </c>
      <c r="AR37" s="13">
        <v>23.72</v>
      </c>
      <c r="AS37" s="13">
        <v>34.79</v>
      </c>
      <c r="AT37" s="13">
        <v>325.52</v>
      </c>
      <c r="AU37" s="13">
        <v>50.53</v>
      </c>
      <c r="AV37" s="13">
        <v>433.24</v>
      </c>
      <c r="AW37" s="13">
        <v>47.35</v>
      </c>
      <c r="AX37" s="13">
        <v>91.87</v>
      </c>
      <c r="AY37" s="13">
        <v>761.44</v>
      </c>
      <c r="AZ37" s="13">
        <v>824.53</v>
      </c>
      <c r="BA37" s="13">
        <v>12.16</v>
      </c>
      <c r="BB37" s="13">
        <v>11.99</v>
      </c>
      <c r="BC37" s="13">
        <v>19.579999999999998</v>
      </c>
      <c r="BD37" s="13">
        <v>667.03</v>
      </c>
      <c r="BE37" s="13">
        <v>407.76</v>
      </c>
      <c r="BF37" s="13">
        <v>635.58000000000004</v>
      </c>
      <c r="BG37" s="13">
        <v>1077.93</v>
      </c>
      <c r="BH37" s="13">
        <v>56.48</v>
      </c>
      <c r="BI37" s="13">
        <v>161.74</v>
      </c>
      <c r="BJ37" s="13">
        <v>606.94000000000005</v>
      </c>
      <c r="BK37" s="13">
        <v>28.65</v>
      </c>
      <c r="BL37" s="13">
        <v>10.37</v>
      </c>
      <c r="BM37" s="13">
        <v>437.04</v>
      </c>
      <c r="BN37" s="13">
        <v>289.73</v>
      </c>
      <c r="BO37" s="13">
        <v>114.32</v>
      </c>
      <c r="BP37" s="13">
        <v>187.28</v>
      </c>
      <c r="BQ37" s="13">
        <v>74.849999999999994</v>
      </c>
      <c r="BR37" s="13">
        <v>99.52</v>
      </c>
      <c r="BS37" s="13">
        <v>61.24</v>
      </c>
      <c r="BT37" s="13">
        <v>17.66</v>
      </c>
      <c r="BU37" s="13">
        <v>185.93</v>
      </c>
      <c r="BV37" s="13">
        <v>210.15</v>
      </c>
      <c r="BW37" s="13">
        <v>0.8</v>
      </c>
      <c r="BX37" s="7">
        <v>0</v>
      </c>
      <c r="BY37" s="13">
        <v>18155.43</v>
      </c>
      <c r="BZ37" s="13">
        <v>15.29</v>
      </c>
      <c r="CA37" s="13">
        <v>18138.830000000002</v>
      </c>
      <c r="CB37" s="13">
        <v>1.31</v>
      </c>
      <c r="CC37" s="13">
        <v>18664.669999999998</v>
      </c>
      <c r="CD37" s="13">
        <v>3780.33</v>
      </c>
      <c r="CE37" s="7">
        <v>0</v>
      </c>
      <c r="CF37" s="7" t="s">
        <v>104</v>
      </c>
      <c r="CG37" s="7">
        <v>0</v>
      </c>
      <c r="CH37" s="6" t="s">
        <v>104</v>
      </c>
      <c r="CI37" s="7">
        <v>0</v>
      </c>
      <c r="CJ37" s="13">
        <v>14884.33</v>
      </c>
      <c r="CK37" s="7" t="s">
        <v>104</v>
      </c>
      <c r="CL37" s="7" t="s">
        <v>104</v>
      </c>
      <c r="CM37" s="13">
        <v>106309.78</v>
      </c>
      <c r="CN37" s="13">
        <v>36820.089999999997</v>
      </c>
    </row>
    <row r="38" spans="1:92" x14ac:dyDescent="0.35">
      <c r="A38" s="5" t="s">
        <v>42</v>
      </c>
      <c r="B38" s="12">
        <v>56311.89</v>
      </c>
      <c r="C38" s="12">
        <v>586.1</v>
      </c>
      <c r="D38" s="12">
        <v>47.1</v>
      </c>
      <c r="E38" s="12">
        <v>13.79</v>
      </c>
      <c r="F38" s="12">
        <v>194.08</v>
      </c>
      <c r="G38" s="12">
        <v>778.75</v>
      </c>
      <c r="H38" s="12">
        <v>133.56</v>
      </c>
      <c r="I38" s="12">
        <v>123.17</v>
      </c>
      <c r="J38" s="12">
        <v>279.23</v>
      </c>
      <c r="K38" s="12">
        <v>78.98</v>
      </c>
      <c r="L38" s="12">
        <v>328.47</v>
      </c>
      <c r="M38" s="12">
        <v>443.57</v>
      </c>
      <c r="N38" s="46">
        <v>0</v>
      </c>
      <c r="O38" s="46">
        <v>0</v>
      </c>
      <c r="P38" s="46">
        <v>0</v>
      </c>
      <c r="Q38" s="46">
        <v>0</v>
      </c>
      <c r="R38" s="46">
        <v>0</v>
      </c>
      <c r="S38" s="46">
        <v>0</v>
      </c>
      <c r="T38" s="46">
        <v>0</v>
      </c>
      <c r="U38" s="46">
        <v>0</v>
      </c>
      <c r="V38" s="12">
        <v>239.5</v>
      </c>
      <c r="W38" s="12">
        <v>811.75</v>
      </c>
      <c r="X38" s="12">
        <v>352.64</v>
      </c>
      <c r="Y38" s="12">
        <v>1041.54</v>
      </c>
      <c r="Z38" s="12">
        <v>2221.4499999999998</v>
      </c>
      <c r="AA38" s="12">
        <v>1193.06</v>
      </c>
      <c r="AB38" s="12">
        <v>1840.3</v>
      </c>
      <c r="AC38" s="12">
        <v>16979.91</v>
      </c>
      <c r="AD38" s="12">
        <v>7412.53</v>
      </c>
      <c r="AE38" s="12">
        <v>2035.67</v>
      </c>
      <c r="AF38" s="12">
        <v>325.52999999999997</v>
      </c>
      <c r="AG38" s="12">
        <v>3689.43</v>
      </c>
      <c r="AH38" s="13">
        <v>741.71</v>
      </c>
      <c r="AI38" s="12">
        <v>741.71</v>
      </c>
      <c r="AJ38" s="61">
        <v>0</v>
      </c>
      <c r="AK38" s="12">
        <v>84.75</v>
      </c>
      <c r="AL38" s="12">
        <v>519.19000000000005</v>
      </c>
      <c r="AM38" s="12">
        <v>4977.1400000000003</v>
      </c>
      <c r="AN38" s="12">
        <v>877.72</v>
      </c>
      <c r="AO38" s="12">
        <v>1281.29</v>
      </c>
      <c r="AP38" s="12">
        <v>353.1</v>
      </c>
      <c r="AQ38" s="12">
        <v>295.51</v>
      </c>
      <c r="AR38" s="12">
        <v>67.55</v>
      </c>
      <c r="AS38" s="12">
        <v>44.3</v>
      </c>
      <c r="AT38" s="12">
        <v>669.52</v>
      </c>
      <c r="AU38" s="12">
        <v>23.19</v>
      </c>
      <c r="AV38" s="12">
        <v>169.71</v>
      </c>
      <c r="AW38" s="12">
        <v>29.58</v>
      </c>
      <c r="AX38" s="12">
        <v>31.83</v>
      </c>
      <c r="AY38" s="12">
        <v>175.9</v>
      </c>
      <c r="AZ38" s="12">
        <v>326.77</v>
      </c>
      <c r="BA38" s="12">
        <v>35.229999999999997</v>
      </c>
      <c r="BB38" s="12">
        <v>23.05</v>
      </c>
      <c r="BC38" s="12">
        <v>17.62</v>
      </c>
      <c r="BD38" s="12">
        <v>241.87</v>
      </c>
      <c r="BE38" s="12">
        <v>322.52</v>
      </c>
      <c r="BF38" s="12">
        <v>565.08000000000004</v>
      </c>
      <c r="BG38" s="12">
        <v>1083.5999999999999</v>
      </c>
      <c r="BH38" s="12">
        <v>41.45</v>
      </c>
      <c r="BI38" s="12">
        <v>118.63</v>
      </c>
      <c r="BJ38" s="12">
        <v>814.53</v>
      </c>
      <c r="BK38" s="12">
        <v>35.29</v>
      </c>
      <c r="BL38" s="12">
        <v>19.079999999999998</v>
      </c>
      <c r="BM38" s="12">
        <v>485.44</v>
      </c>
      <c r="BN38" s="12">
        <v>154.32</v>
      </c>
      <c r="BO38" s="12">
        <v>57.86</v>
      </c>
      <c r="BP38" s="12">
        <v>143.02000000000001</v>
      </c>
      <c r="BQ38" s="12">
        <v>72.91</v>
      </c>
      <c r="BR38" s="12">
        <v>82.98</v>
      </c>
      <c r="BS38" s="6">
        <v>41</v>
      </c>
      <c r="BT38" s="12">
        <v>49.52</v>
      </c>
      <c r="BU38" s="12">
        <v>49.52</v>
      </c>
      <c r="BV38" s="12">
        <v>37.74</v>
      </c>
      <c r="BW38" s="12">
        <v>0.78</v>
      </c>
      <c r="BX38" s="6">
        <v>0</v>
      </c>
      <c r="BY38" s="12">
        <v>1971.62</v>
      </c>
      <c r="BZ38" s="12">
        <v>58.09</v>
      </c>
      <c r="CA38" s="12">
        <v>1913.01</v>
      </c>
      <c r="CB38" s="12">
        <v>0.53</v>
      </c>
      <c r="CC38" s="12">
        <v>50342.6</v>
      </c>
      <c r="CD38" s="12">
        <v>2149.4899999999998</v>
      </c>
      <c r="CE38" s="6">
        <v>0</v>
      </c>
      <c r="CF38" s="7" t="s">
        <v>104</v>
      </c>
      <c r="CG38" s="6">
        <v>0</v>
      </c>
      <c r="CH38" s="6" t="s">
        <v>104</v>
      </c>
      <c r="CI38" s="6">
        <v>0</v>
      </c>
      <c r="CJ38" s="12">
        <v>48193.11</v>
      </c>
      <c r="CK38" s="6" t="s">
        <v>104</v>
      </c>
      <c r="CL38" s="6" t="s">
        <v>104</v>
      </c>
      <c r="CM38" s="12">
        <v>108626.12</v>
      </c>
      <c r="CN38" s="12">
        <v>52314.22</v>
      </c>
    </row>
    <row r="39" spans="1:92" x14ac:dyDescent="0.35">
      <c r="A39" s="5" t="s">
        <v>43</v>
      </c>
      <c r="B39" s="13">
        <v>45848.67</v>
      </c>
      <c r="C39" s="13">
        <v>94.99</v>
      </c>
      <c r="D39" s="13">
        <v>11.47</v>
      </c>
      <c r="E39" s="13">
        <v>2.14</v>
      </c>
      <c r="F39" s="13">
        <v>12.56</v>
      </c>
      <c r="G39" s="13">
        <v>54.47</v>
      </c>
      <c r="H39" s="13">
        <v>30.81</v>
      </c>
      <c r="I39" s="13">
        <v>19.010000000000002</v>
      </c>
      <c r="J39" s="13">
        <v>6.57</v>
      </c>
      <c r="K39" s="13">
        <v>1.29</v>
      </c>
      <c r="L39" s="13">
        <v>17.93</v>
      </c>
      <c r="M39" s="12">
        <v>196.53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13">
        <v>6.17</v>
      </c>
      <c r="W39" s="13">
        <v>294.37</v>
      </c>
      <c r="X39" s="13">
        <v>173.13</v>
      </c>
      <c r="Y39" s="13">
        <v>81.94</v>
      </c>
      <c r="Z39" s="13">
        <v>467.52</v>
      </c>
      <c r="AA39" s="13">
        <v>260.83999999999997</v>
      </c>
      <c r="AB39" s="13">
        <v>698.42</v>
      </c>
      <c r="AC39" s="13">
        <v>1685.12</v>
      </c>
      <c r="AD39" s="13">
        <v>31330.1</v>
      </c>
      <c r="AE39" s="13">
        <v>327.08</v>
      </c>
      <c r="AF39" s="13">
        <v>103.35</v>
      </c>
      <c r="AG39" s="13">
        <v>571.5</v>
      </c>
      <c r="AH39" s="13">
        <v>58.79</v>
      </c>
      <c r="AI39" s="13">
        <v>58.79</v>
      </c>
      <c r="AJ39" s="61">
        <v>0</v>
      </c>
      <c r="AK39" s="13">
        <v>5.64</v>
      </c>
      <c r="AL39" s="13">
        <v>76.36</v>
      </c>
      <c r="AM39" s="13">
        <v>216.01</v>
      </c>
      <c r="AN39" s="13">
        <v>3976.71</v>
      </c>
      <c r="AO39" s="13">
        <v>579.41</v>
      </c>
      <c r="AP39" s="13">
        <v>111.8</v>
      </c>
      <c r="AQ39" s="13">
        <v>1275.32</v>
      </c>
      <c r="AR39" s="13">
        <v>11.18</v>
      </c>
      <c r="AS39" s="13">
        <v>48.98</v>
      </c>
      <c r="AT39" s="13">
        <v>247.03</v>
      </c>
      <c r="AU39" s="13">
        <v>17.059999999999999</v>
      </c>
      <c r="AV39" s="13">
        <v>40.409999999999997</v>
      </c>
      <c r="AW39" s="13">
        <v>4.28</v>
      </c>
      <c r="AX39" s="13">
        <v>6.87</v>
      </c>
      <c r="AY39" s="13">
        <v>16.78</v>
      </c>
      <c r="AZ39" s="13">
        <v>152.06</v>
      </c>
      <c r="BA39" s="13">
        <v>19.75</v>
      </c>
      <c r="BB39" s="13">
        <v>9.4600000000000009</v>
      </c>
      <c r="BC39" s="13">
        <v>23.67</v>
      </c>
      <c r="BD39" s="13">
        <v>120.1</v>
      </c>
      <c r="BE39" s="13">
        <v>191.47</v>
      </c>
      <c r="BF39" s="13">
        <v>84.24</v>
      </c>
      <c r="BG39" s="13">
        <v>1079.1600000000001</v>
      </c>
      <c r="BH39" s="13">
        <v>25.49</v>
      </c>
      <c r="BI39" s="13">
        <v>93.1</v>
      </c>
      <c r="BJ39" s="13">
        <v>387.2</v>
      </c>
      <c r="BK39" s="13">
        <v>25.98</v>
      </c>
      <c r="BL39" s="13">
        <v>9.17</v>
      </c>
      <c r="BM39" s="13">
        <v>273.77999999999997</v>
      </c>
      <c r="BN39" s="13">
        <v>76.83</v>
      </c>
      <c r="BO39" s="13">
        <v>37.68</v>
      </c>
      <c r="BP39" s="13">
        <v>28.55</v>
      </c>
      <c r="BQ39" s="13">
        <v>15.73</v>
      </c>
      <c r="BR39" s="13">
        <v>8.84</v>
      </c>
      <c r="BS39" s="13">
        <v>18.03</v>
      </c>
      <c r="BT39" s="13">
        <v>19.399999999999999</v>
      </c>
      <c r="BU39" s="13">
        <v>3.62</v>
      </c>
      <c r="BV39" s="13">
        <v>5.28</v>
      </c>
      <c r="BW39" s="13">
        <v>0.18</v>
      </c>
      <c r="BX39" s="7">
        <v>0</v>
      </c>
      <c r="BY39" s="13">
        <v>34581.24</v>
      </c>
      <c r="BZ39" s="13">
        <v>9.4600000000000009</v>
      </c>
      <c r="CA39" s="13">
        <v>34570.879999999997</v>
      </c>
      <c r="CB39" s="13">
        <v>0.9</v>
      </c>
      <c r="CC39" s="13">
        <v>31679.11</v>
      </c>
      <c r="CD39" s="13">
        <v>-903.95</v>
      </c>
      <c r="CE39" s="7">
        <v>0</v>
      </c>
      <c r="CF39" s="7" t="s">
        <v>104</v>
      </c>
      <c r="CG39" s="7">
        <v>0</v>
      </c>
      <c r="CH39" s="6" t="s">
        <v>104</v>
      </c>
      <c r="CI39" s="7">
        <v>0</v>
      </c>
      <c r="CJ39" s="13">
        <v>32583.06</v>
      </c>
      <c r="CK39" s="7" t="s">
        <v>104</v>
      </c>
      <c r="CL39" s="7" t="s">
        <v>104</v>
      </c>
      <c r="CM39" s="13">
        <v>112109.02</v>
      </c>
      <c r="CN39" s="13">
        <v>66260.350000000006</v>
      </c>
    </row>
    <row r="40" spans="1:92" x14ac:dyDescent="0.35">
      <c r="A40" s="5" t="s">
        <v>44</v>
      </c>
      <c r="B40" s="12">
        <v>35470.49</v>
      </c>
      <c r="C40" s="12">
        <v>25.13</v>
      </c>
      <c r="D40" s="12">
        <v>14.81</v>
      </c>
      <c r="E40" s="12">
        <v>1.25</v>
      </c>
      <c r="F40" s="12">
        <v>24.2</v>
      </c>
      <c r="G40" s="12">
        <v>16.62</v>
      </c>
      <c r="H40" s="12">
        <v>11.53</v>
      </c>
      <c r="I40" s="12">
        <v>9.17</v>
      </c>
      <c r="J40" s="12">
        <v>2.0299999999999998</v>
      </c>
      <c r="K40" s="12">
        <v>0.69</v>
      </c>
      <c r="L40" s="12">
        <v>4.1399999999999997</v>
      </c>
      <c r="M40" s="12">
        <v>7.25</v>
      </c>
      <c r="N40" s="46">
        <v>0</v>
      </c>
      <c r="O40" s="46">
        <v>0</v>
      </c>
      <c r="P40" s="46">
        <v>0</v>
      </c>
      <c r="Q40" s="46">
        <v>0</v>
      </c>
      <c r="R40" s="46">
        <v>0</v>
      </c>
      <c r="S40" s="46">
        <v>0</v>
      </c>
      <c r="T40" s="46">
        <v>0</v>
      </c>
      <c r="U40" s="46">
        <v>0</v>
      </c>
      <c r="V40" s="12">
        <v>2.2799999999999998</v>
      </c>
      <c r="W40" s="12">
        <v>81.44</v>
      </c>
      <c r="X40" s="12">
        <v>7.61</v>
      </c>
      <c r="Y40" s="12">
        <v>35.28</v>
      </c>
      <c r="Z40" s="12">
        <v>233.84</v>
      </c>
      <c r="AA40" s="12">
        <v>162.19</v>
      </c>
      <c r="AB40" s="12">
        <v>140.25</v>
      </c>
      <c r="AC40" s="12">
        <v>195.69</v>
      </c>
      <c r="AD40" s="12">
        <v>406.48</v>
      </c>
      <c r="AE40" s="12">
        <v>24097.62</v>
      </c>
      <c r="AF40" s="12">
        <v>135.30000000000001</v>
      </c>
      <c r="AG40" s="12">
        <v>2475.63</v>
      </c>
      <c r="AH40" s="13">
        <v>32.979999999999997</v>
      </c>
      <c r="AI40" s="12">
        <v>32.979999999999997</v>
      </c>
      <c r="AJ40" s="61">
        <v>0</v>
      </c>
      <c r="AK40" s="12">
        <v>5.66</v>
      </c>
      <c r="AL40" s="12">
        <v>52.77</v>
      </c>
      <c r="AM40" s="12">
        <v>190.25</v>
      </c>
      <c r="AN40" s="12">
        <v>253.77</v>
      </c>
      <c r="AO40" s="12">
        <v>168.05</v>
      </c>
      <c r="AP40" s="12">
        <v>89.57</v>
      </c>
      <c r="AQ40" s="12">
        <v>1260.55</v>
      </c>
      <c r="AR40" s="12">
        <v>106.59</v>
      </c>
      <c r="AS40" s="12">
        <v>1898.03</v>
      </c>
      <c r="AT40" s="12">
        <v>399.64</v>
      </c>
      <c r="AU40" s="12">
        <v>5.79</v>
      </c>
      <c r="AV40" s="12">
        <v>34.76</v>
      </c>
      <c r="AW40" s="12">
        <v>9.44</v>
      </c>
      <c r="AX40" s="12">
        <v>0.47</v>
      </c>
      <c r="AY40" s="12">
        <v>4.09</v>
      </c>
      <c r="AZ40" s="12">
        <v>84.66</v>
      </c>
      <c r="BA40" s="12">
        <v>5.65</v>
      </c>
      <c r="BB40" s="12">
        <v>1.01</v>
      </c>
      <c r="BC40" s="12">
        <v>3.39</v>
      </c>
      <c r="BD40" s="12">
        <v>75.540000000000006</v>
      </c>
      <c r="BE40" s="12">
        <v>34.21</v>
      </c>
      <c r="BF40" s="12">
        <v>83.09</v>
      </c>
      <c r="BG40" s="12">
        <v>359.62</v>
      </c>
      <c r="BH40" s="12">
        <v>4.9000000000000004</v>
      </c>
      <c r="BI40" s="12">
        <v>77.569999999999993</v>
      </c>
      <c r="BJ40" s="12">
        <v>466.77</v>
      </c>
      <c r="BK40" s="12">
        <v>6.81</v>
      </c>
      <c r="BL40" s="12">
        <v>6.96</v>
      </c>
      <c r="BM40" s="12">
        <v>88.78</v>
      </c>
      <c r="BN40" s="12">
        <v>1430.39</v>
      </c>
      <c r="BO40" s="12">
        <v>10.93</v>
      </c>
      <c r="BP40" s="12">
        <v>65.86</v>
      </c>
      <c r="BQ40" s="12">
        <v>3.91</v>
      </c>
      <c r="BR40" s="12">
        <v>8.01</v>
      </c>
      <c r="BS40" s="12">
        <v>13.72</v>
      </c>
      <c r="BT40" s="12">
        <v>8.4700000000000006</v>
      </c>
      <c r="BU40" s="12">
        <v>7.96</v>
      </c>
      <c r="BV40" s="12">
        <v>19.32</v>
      </c>
      <c r="BW40" s="12">
        <v>0.11</v>
      </c>
      <c r="BX40" s="6">
        <v>0</v>
      </c>
      <c r="BY40" s="12">
        <v>11806.51</v>
      </c>
      <c r="BZ40" s="12">
        <v>197.04</v>
      </c>
      <c r="CA40" s="12">
        <v>11605.08</v>
      </c>
      <c r="CB40" s="12">
        <v>4.4000000000000004</v>
      </c>
      <c r="CC40" s="12">
        <v>26970.46</v>
      </c>
      <c r="CD40" s="12">
        <v>-12687.14</v>
      </c>
      <c r="CE40" s="6">
        <v>0</v>
      </c>
      <c r="CF40" s="7" t="s">
        <v>104</v>
      </c>
      <c r="CG40" s="6">
        <v>0</v>
      </c>
      <c r="CH40" s="6" t="s">
        <v>104</v>
      </c>
      <c r="CI40" s="6">
        <v>0</v>
      </c>
      <c r="CJ40" s="12">
        <v>39657.599999999999</v>
      </c>
      <c r="CK40" s="6" t="s">
        <v>104</v>
      </c>
      <c r="CL40" s="6" t="s">
        <v>104</v>
      </c>
      <c r="CM40" s="12">
        <v>74247.45</v>
      </c>
      <c r="CN40" s="12">
        <v>38776.97</v>
      </c>
    </row>
    <row r="41" spans="1:92" x14ac:dyDescent="0.35">
      <c r="A41" s="5" t="s">
        <v>45</v>
      </c>
      <c r="B41" s="13">
        <v>19933.439999999999</v>
      </c>
      <c r="C41" s="13">
        <v>27.67</v>
      </c>
      <c r="D41" s="13">
        <v>2.5</v>
      </c>
      <c r="E41" s="13">
        <v>3.12</v>
      </c>
      <c r="F41" s="13">
        <v>11.45</v>
      </c>
      <c r="G41" s="13">
        <v>312.93</v>
      </c>
      <c r="H41" s="13">
        <v>159.44999999999999</v>
      </c>
      <c r="I41" s="13">
        <v>113.03</v>
      </c>
      <c r="J41" s="13">
        <v>48.19</v>
      </c>
      <c r="K41" s="13">
        <v>19.45</v>
      </c>
      <c r="L41" s="13">
        <v>13.31</v>
      </c>
      <c r="M41" s="12">
        <v>320.85000000000002</v>
      </c>
      <c r="N41" s="46">
        <v>0</v>
      </c>
      <c r="O41" s="46">
        <v>0</v>
      </c>
      <c r="P41" s="46">
        <v>0</v>
      </c>
      <c r="Q41" s="46">
        <v>0</v>
      </c>
      <c r="R41" s="46">
        <v>0</v>
      </c>
      <c r="S41" s="46">
        <v>0</v>
      </c>
      <c r="T41" s="46">
        <v>0</v>
      </c>
      <c r="U41" s="46">
        <v>0</v>
      </c>
      <c r="V41" s="13">
        <v>504.11</v>
      </c>
      <c r="W41" s="13">
        <v>126.43</v>
      </c>
      <c r="X41" s="13">
        <v>72.48</v>
      </c>
      <c r="Y41" s="13">
        <v>97.66</v>
      </c>
      <c r="Z41" s="13">
        <v>146.63999999999999</v>
      </c>
      <c r="AA41" s="13">
        <v>372.82</v>
      </c>
      <c r="AB41" s="13">
        <v>152.19999999999999</v>
      </c>
      <c r="AC41" s="13">
        <v>210.26</v>
      </c>
      <c r="AD41" s="13">
        <v>447.26</v>
      </c>
      <c r="AE41" s="13">
        <v>93.23</v>
      </c>
      <c r="AF41" s="13">
        <v>2630.77</v>
      </c>
      <c r="AG41" s="13">
        <v>283.01</v>
      </c>
      <c r="AH41" s="13">
        <v>116.56</v>
      </c>
      <c r="AI41" s="13">
        <v>116.56</v>
      </c>
      <c r="AJ41" s="61">
        <v>0</v>
      </c>
      <c r="AK41" s="13">
        <v>6.99</v>
      </c>
      <c r="AL41" s="13">
        <v>59.89</v>
      </c>
      <c r="AM41" s="13">
        <v>932.42</v>
      </c>
      <c r="AN41" s="13">
        <v>66.709999999999994</v>
      </c>
      <c r="AO41" s="13">
        <v>399.97</v>
      </c>
      <c r="AP41" s="13">
        <v>408.99</v>
      </c>
      <c r="AQ41" s="13">
        <v>99.05</v>
      </c>
      <c r="AR41" s="13">
        <v>22.2</v>
      </c>
      <c r="AS41" s="13">
        <v>9.57</v>
      </c>
      <c r="AT41" s="13">
        <v>58.97</v>
      </c>
      <c r="AU41" s="13">
        <v>6.14</v>
      </c>
      <c r="AV41" s="13">
        <v>359.29</v>
      </c>
      <c r="AW41" s="13">
        <v>42.71</v>
      </c>
      <c r="AX41" s="13">
        <v>180.36</v>
      </c>
      <c r="AY41" s="7">
        <v>91</v>
      </c>
      <c r="AZ41" s="13">
        <v>219.99</v>
      </c>
      <c r="BA41" s="13">
        <v>38.619999999999997</v>
      </c>
      <c r="BB41" s="13">
        <v>12.67</v>
      </c>
      <c r="BC41" s="13">
        <v>22.16</v>
      </c>
      <c r="BD41" s="13">
        <v>166.24</v>
      </c>
      <c r="BE41" s="13">
        <v>143.91</v>
      </c>
      <c r="BF41" s="13">
        <v>91.01</v>
      </c>
      <c r="BG41" s="13">
        <v>272.93</v>
      </c>
      <c r="BH41" s="13">
        <v>78.66</v>
      </c>
      <c r="BI41" s="13">
        <v>98.02</v>
      </c>
      <c r="BJ41" s="13">
        <v>178.54</v>
      </c>
      <c r="BK41" s="13">
        <v>38.630000000000003</v>
      </c>
      <c r="BL41" s="13">
        <v>6.87</v>
      </c>
      <c r="BM41" s="13">
        <v>216.88</v>
      </c>
      <c r="BN41" s="13">
        <v>248.01</v>
      </c>
      <c r="BO41" s="13">
        <v>231.52</v>
      </c>
      <c r="BP41" s="13">
        <v>7647.1</v>
      </c>
      <c r="BQ41" s="13">
        <v>576.27</v>
      </c>
      <c r="BR41" s="13">
        <v>219.06</v>
      </c>
      <c r="BS41" s="13">
        <v>269.95999999999998</v>
      </c>
      <c r="BT41" s="13">
        <v>57.24</v>
      </c>
      <c r="BU41" s="13">
        <v>17.16</v>
      </c>
      <c r="BV41" s="7">
        <v>51</v>
      </c>
      <c r="BW41" s="13">
        <v>1.4</v>
      </c>
      <c r="BX41" s="7">
        <v>0</v>
      </c>
      <c r="BY41" s="13">
        <v>31313.8</v>
      </c>
      <c r="BZ41" s="13">
        <v>2896.97</v>
      </c>
      <c r="CA41" s="13">
        <v>28404.38</v>
      </c>
      <c r="CB41" s="13">
        <v>12.44</v>
      </c>
      <c r="CC41" s="13">
        <v>15156.4</v>
      </c>
      <c r="CD41" s="13">
        <v>4429.12</v>
      </c>
      <c r="CE41" s="7">
        <v>0</v>
      </c>
      <c r="CF41" s="7" t="s">
        <v>104</v>
      </c>
      <c r="CG41" s="7">
        <v>0</v>
      </c>
      <c r="CH41" s="6" t="s">
        <v>104</v>
      </c>
      <c r="CI41" s="7">
        <v>0</v>
      </c>
      <c r="CJ41" s="13">
        <v>10727.29</v>
      </c>
      <c r="CK41" s="7" t="s">
        <v>104</v>
      </c>
      <c r="CL41" s="7" t="s">
        <v>104</v>
      </c>
      <c r="CM41" s="13">
        <v>66403.64</v>
      </c>
      <c r="CN41" s="13">
        <v>46470.2</v>
      </c>
    </row>
    <row r="42" spans="1:92" x14ac:dyDescent="0.35">
      <c r="A42" s="5" t="s">
        <v>46</v>
      </c>
      <c r="B42" s="12">
        <v>16160.5</v>
      </c>
      <c r="C42" s="12">
        <v>520.78</v>
      </c>
      <c r="D42" s="12">
        <v>7.84</v>
      </c>
      <c r="E42" s="12">
        <v>14.86</v>
      </c>
      <c r="F42" s="12">
        <v>169.51</v>
      </c>
      <c r="G42" s="12">
        <v>548.15</v>
      </c>
      <c r="H42" s="12">
        <v>55.8</v>
      </c>
      <c r="I42" s="12">
        <v>57.08</v>
      </c>
      <c r="J42" s="12">
        <v>121.7</v>
      </c>
      <c r="K42" s="12">
        <v>11.35</v>
      </c>
      <c r="L42" s="12">
        <v>140.86000000000001</v>
      </c>
      <c r="M42" s="12">
        <v>310.32</v>
      </c>
      <c r="N42" s="46">
        <v>0</v>
      </c>
      <c r="O42" s="46">
        <v>0</v>
      </c>
      <c r="P42" s="46">
        <v>0</v>
      </c>
      <c r="Q42" s="46">
        <v>0</v>
      </c>
      <c r="R42" s="46">
        <v>0</v>
      </c>
      <c r="S42" s="46">
        <v>0</v>
      </c>
      <c r="T42" s="46">
        <v>0</v>
      </c>
      <c r="U42" s="46">
        <v>0</v>
      </c>
      <c r="V42" s="12">
        <v>146.59</v>
      </c>
      <c r="W42" s="12">
        <v>121.61</v>
      </c>
      <c r="X42" s="12">
        <v>173.19</v>
      </c>
      <c r="Y42" s="12">
        <v>286.62</v>
      </c>
      <c r="Z42" s="12">
        <v>290.37</v>
      </c>
      <c r="AA42" s="12">
        <v>122.3</v>
      </c>
      <c r="AB42" s="12">
        <v>223.1</v>
      </c>
      <c r="AC42" s="12">
        <v>370.43</v>
      </c>
      <c r="AD42" s="12">
        <v>151.53</v>
      </c>
      <c r="AE42" s="12">
        <v>248.65</v>
      </c>
      <c r="AF42" s="12">
        <v>174.84</v>
      </c>
      <c r="AG42" s="12">
        <v>686.53</v>
      </c>
      <c r="AH42" s="13">
        <v>939.03</v>
      </c>
      <c r="AI42" s="12">
        <v>939.03</v>
      </c>
      <c r="AJ42" s="61">
        <v>0</v>
      </c>
      <c r="AK42" s="12">
        <v>25.46</v>
      </c>
      <c r="AL42" s="12">
        <v>145.87</v>
      </c>
      <c r="AM42" s="12">
        <v>672.98</v>
      </c>
      <c r="AN42" s="12">
        <v>55.74</v>
      </c>
      <c r="AO42" s="12">
        <v>390.36</v>
      </c>
      <c r="AP42" s="12">
        <v>193.52</v>
      </c>
      <c r="AQ42" s="12">
        <v>605.34</v>
      </c>
      <c r="AR42" s="12">
        <v>2340.63</v>
      </c>
      <c r="AS42" s="12">
        <v>2686.27</v>
      </c>
      <c r="AT42" s="12">
        <v>308.33</v>
      </c>
      <c r="AU42" s="12">
        <v>20.13</v>
      </c>
      <c r="AV42" s="12">
        <v>187.09</v>
      </c>
      <c r="AW42" s="12">
        <v>22.37</v>
      </c>
      <c r="AX42" s="12">
        <v>7.71</v>
      </c>
      <c r="AY42" s="12">
        <v>179.34</v>
      </c>
      <c r="AZ42" s="12">
        <v>371.78</v>
      </c>
      <c r="BA42" s="12">
        <v>9.67</v>
      </c>
      <c r="BB42" s="12">
        <v>2.37</v>
      </c>
      <c r="BC42" s="12">
        <v>16.47</v>
      </c>
      <c r="BD42" s="12">
        <v>76.569999999999993</v>
      </c>
      <c r="BE42" s="12">
        <v>126.58</v>
      </c>
      <c r="BF42" s="12">
        <v>75.03</v>
      </c>
      <c r="BG42" s="12">
        <v>102.9</v>
      </c>
      <c r="BH42" s="12">
        <v>12.43</v>
      </c>
      <c r="BI42" s="12">
        <v>31.47</v>
      </c>
      <c r="BJ42" s="12">
        <v>339.66</v>
      </c>
      <c r="BK42" s="12">
        <v>52.54</v>
      </c>
      <c r="BL42" s="12">
        <v>7.79</v>
      </c>
      <c r="BM42" s="12">
        <v>91.18</v>
      </c>
      <c r="BN42" s="12">
        <v>662.18</v>
      </c>
      <c r="BO42" s="12">
        <v>27.37</v>
      </c>
      <c r="BP42" s="12">
        <v>187.11</v>
      </c>
      <c r="BQ42" s="12">
        <v>87.62</v>
      </c>
      <c r="BR42" s="12">
        <v>47.74</v>
      </c>
      <c r="BS42" s="12">
        <v>34.42</v>
      </c>
      <c r="BT42" s="12">
        <v>8.09</v>
      </c>
      <c r="BU42" s="12">
        <v>5.82</v>
      </c>
      <c r="BV42" s="12">
        <v>45.32</v>
      </c>
      <c r="BW42" s="12">
        <v>4.21</v>
      </c>
      <c r="BX42" s="6">
        <v>0</v>
      </c>
      <c r="BY42" s="12">
        <v>98.91</v>
      </c>
      <c r="BZ42" s="12">
        <v>5.05</v>
      </c>
      <c r="CA42" s="12">
        <v>93.86</v>
      </c>
      <c r="CB42" s="6">
        <v>0</v>
      </c>
      <c r="CC42" s="12">
        <v>2553.89</v>
      </c>
      <c r="CD42" s="12">
        <v>455.91</v>
      </c>
      <c r="CE42" s="6">
        <v>0</v>
      </c>
      <c r="CF42" s="7" t="s">
        <v>104</v>
      </c>
      <c r="CG42" s="6">
        <v>0</v>
      </c>
      <c r="CH42" s="6" t="s">
        <v>104</v>
      </c>
      <c r="CI42" s="6">
        <v>0</v>
      </c>
      <c r="CJ42" s="12">
        <v>2097.98</v>
      </c>
      <c r="CK42" s="7" t="s">
        <v>104</v>
      </c>
      <c r="CL42" s="7" t="s">
        <v>104</v>
      </c>
      <c r="CM42" s="12">
        <v>18813.3</v>
      </c>
      <c r="CN42" s="12">
        <v>2652.8</v>
      </c>
    </row>
    <row r="43" spans="1:92" x14ac:dyDescent="0.35">
      <c r="A43" s="33" t="s">
        <v>139</v>
      </c>
      <c r="B43" s="34">
        <v>3727.95</v>
      </c>
      <c r="C43" s="34">
        <v>61.09</v>
      </c>
      <c r="D43" s="34">
        <v>2.4700000000000002</v>
      </c>
      <c r="E43" s="34">
        <v>0.75</v>
      </c>
      <c r="F43" s="34">
        <v>27.71</v>
      </c>
      <c r="G43" s="34">
        <v>180.7</v>
      </c>
      <c r="H43" s="34">
        <v>28.35</v>
      </c>
      <c r="I43" s="34">
        <v>18.260000000000002</v>
      </c>
      <c r="J43" s="34">
        <v>38.229999999999997</v>
      </c>
      <c r="K43" s="34">
        <v>5.16</v>
      </c>
      <c r="L43" s="34">
        <v>55.91</v>
      </c>
      <c r="M43" s="34">
        <v>127.78</v>
      </c>
      <c r="N43" s="34">
        <v>0</v>
      </c>
      <c r="O43" s="34">
        <v>0</v>
      </c>
      <c r="P43" s="34">
        <v>0</v>
      </c>
      <c r="Q43" s="34">
        <v>0</v>
      </c>
      <c r="R43" s="34">
        <v>0</v>
      </c>
      <c r="S43" s="34">
        <v>0</v>
      </c>
      <c r="T43" s="34">
        <v>0</v>
      </c>
      <c r="U43" s="34">
        <v>0</v>
      </c>
      <c r="V43" s="34">
        <v>23.56</v>
      </c>
      <c r="W43" s="34">
        <v>61.99</v>
      </c>
      <c r="X43" s="34">
        <v>60.27</v>
      </c>
      <c r="Y43" s="34">
        <v>178.51</v>
      </c>
      <c r="Z43" s="34">
        <v>79.34</v>
      </c>
      <c r="AA43" s="34">
        <v>20.43</v>
      </c>
      <c r="AB43" s="34">
        <v>45.64</v>
      </c>
      <c r="AC43" s="34">
        <v>44.4</v>
      </c>
      <c r="AD43" s="34">
        <v>54.66</v>
      </c>
      <c r="AE43" s="34">
        <v>8.4600000000000009</v>
      </c>
      <c r="AF43" s="34">
        <v>24.9</v>
      </c>
      <c r="AG43" s="34">
        <v>11.59</v>
      </c>
      <c r="AH43" s="34">
        <v>1393.32</v>
      </c>
      <c r="AI43" s="34">
        <v>1393.32</v>
      </c>
      <c r="AJ43" s="61">
        <v>0</v>
      </c>
      <c r="AK43" s="34">
        <v>29.52</v>
      </c>
      <c r="AL43" s="34">
        <v>47.63</v>
      </c>
      <c r="AM43" s="34">
        <v>118.55</v>
      </c>
      <c r="AN43" s="34">
        <v>20.95</v>
      </c>
      <c r="AO43" s="34">
        <v>88.15</v>
      </c>
      <c r="AP43" s="34">
        <v>110.17</v>
      </c>
      <c r="AQ43" s="34">
        <v>79.77</v>
      </c>
      <c r="AR43" s="34">
        <v>2.4300000000000002</v>
      </c>
      <c r="AS43" s="34">
        <v>6.13</v>
      </c>
      <c r="AT43" s="34">
        <v>33.6</v>
      </c>
      <c r="AU43" s="34">
        <v>4.12</v>
      </c>
      <c r="AV43" s="34">
        <v>100.04</v>
      </c>
      <c r="AW43" s="34">
        <v>5.65</v>
      </c>
      <c r="AX43" s="34">
        <v>5.27</v>
      </c>
      <c r="AY43" s="34">
        <v>27.44</v>
      </c>
      <c r="AZ43" s="34">
        <v>51.03</v>
      </c>
      <c r="BA43" s="34">
        <v>9.41</v>
      </c>
      <c r="BB43" s="34">
        <v>3.59</v>
      </c>
      <c r="BC43" s="34">
        <v>4.8099999999999996</v>
      </c>
      <c r="BD43" s="34">
        <v>65.11</v>
      </c>
      <c r="BE43" s="34">
        <v>38.07</v>
      </c>
      <c r="BF43" s="34">
        <v>19.16</v>
      </c>
      <c r="BG43" s="34">
        <v>26.49</v>
      </c>
      <c r="BH43" s="34">
        <v>6.59</v>
      </c>
      <c r="BI43" s="34">
        <v>11.02</v>
      </c>
      <c r="BJ43" s="34">
        <v>17.97</v>
      </c>
      <c r="BK43" s="34">
        <v>3.8</v>
      </c>
      <c r="BL43" s="34">
        <v>2.16</v>
      </c>
      <c r="BM43" s="34">
        <v>24.89</v>
      </c>
      <c r="BN43" s="34">
        <v>49.77</v>
      </c>
      <c r="BO43" s="34">
        <v>30.29</v>
      </c>
      <c r="BP43" s="34">
        <v>57.82</v>
      </c>
      <c r="BQ43" s="34">
        <v>22.77</v>
      </c>
      <c r="BR43" s="34">
        <v>8.85</v>
      </c>
      <c r="BS43" s="34">
        <v>16.72</v>
      </c>
      <c r="BT43" s="34">
        <v>5.73</v>
      </c>
      <c r="BU43" s="34">
        <v>1.57</v>
      </c>
      <c r="BV43" s="34">
        <v>17.38</v>
      </c>
      <c r="BW43" s="34">
        <v>0.09</v>
      </c>
      <c r="BX43" s="34">
        <v>0</v>
      </c>
      <c r="BY43" s="34">
        <v>1097.93</v>
      </c>
      <c r="BZ43" s="34">
        <v>16.260000000000002</v>
      </c>
      <c r="CA43" s="34">
        <v>1081.67</v>
      </c>
      <c r="CB43" s="34">
        <v>0</v>
      </c>
      <c r="CC43" s="34">
        <v>42.23</v>
      </c>
      <c r="CD43" s="34">
        <v>39.56</v>
      </c>
      <c r="CE43" s="34">
        <v>0</v>
      </c>
      <c r="CF43" s="7" t="s">
        <v>104</v>
      </c>
      <c r="CG43" s="34">
        <v>0</v>
      </c>
      <c r="CH43" s="6" t="s">
        <v>104</v>
      </c>
      <c r="CI43" s="34">
        <v>0</v>
      </c>
      <c r="CJ43" s="34">
        <v>2.66</v>
      </c>
      <c r="CK43" s="7" t="s">
        <v>104</v>
      </c>
      <c r="CL43" s="7" t="s">
        <v>104</v>
      </c>
      <c r="CM43" s="34">
        <v>4868.1000000000004</v>
      </c>
      <c r="CN43" s="34">
        <v>1140.1500000000001</v>
      </c>
    </row>
    <row r="44" spans="1:92" x14ac:dyDescent="0.35">
      <c r="A44" s="21" t="s">
        <v>134</v>
      </c>
      <c r="B44" s="61">
        <v>0</v>
      </c>
      <c r="C44" s="61">
        <v>0</v>
      </c>
      <c r="D44" s="61">
        <v>0</v>
      </c>
      <c r="E44" s="61">
        <v>0</v>
      </c>
      <c r="F44" s="61">
        <v>0</v>
      </c>
      <c r="G44" s="61">
        <v>0</v>
      </c>
      <c r="H44" s="61">
        <v>0</v>
      </c>
      <c r="I44" s="61">
        <v>0</v>
      </c>
      <c r="J44" s="61">
        <v>0</v>
      </c>
      <c r="K44" s="61">
        <v>0</v>
      </c>
      <c r="L44" s="61">
        <v>0</v>
      </c>
      <c r="M44" s="12">
        <v>0</v>
      </c>
      <c r="N44" s="43">
        <v>0</v>
      </c>
      <c r="O44" s="43">
        <v>0</v>
      </c>
      <c r="P44" s="43">
        <v>0</v>
      </c>
      <c r="Q44" s="43">
        <v>0</v>
      </c>
      <c r="R44" s="43">
        <v>0</v>
      </c>
      <c r="S44" s="43">
        <v>0</v>
      </c>
      <c r="T44" s="43">
        <v>0</v>
      </c>
      <c r="U44" s="43">
        <v>0</v>
      </c>
      <c r="V44" s="43">
        <v>0</v>
      </c>
      <c r="W44" s="43">
        <v>0</v>
      </c>
      <c r="X44" s="43">
        <v>0</v>
      </c>
      <c r="Y44" s="43">
        <v>0</v>
      </c>
      <c r="Z44" s="43">
        <v>0</v>
      </c>
      <c r="AA44" s="43">
        <v>0</v>
      </c>
      <c r="AB44" s="43">
        <v>0</v>
      </c>
      <c r="AC44" s="43">
        <v>0</v>
      </c>
      <c r="AD44" s="43">
        <v>0</v>
      </c>
      <c r="AE44" s="43">
        <v>0</v>
      </c>
      <c r="AF44" s="43">
        <v>0</v>
      </c>
      <c r="AG44" s="43">
        <v>0</v>
      </c>
      <c r="AH44" s="43">
        <v>0</v>
      </c>
      <c r="AI44" s="43">
        <v>0</v>
      </c>
      <c r="AJ44" s="43">
        <v>0</v>
      </c>
      <c r="AK44" s="43">
        <v>0</v>
      </c>
      <c r="AL44" s="43">
        <v>0</v>
      </c>
      <c r="AM44" s="43">
        <v>0</v>
      </c>
      <c r="AN44" s="43">
        <v>0</v>
      </c>
      <c r="AO44" s="43">
        <v>0</v>
      </c>
      <c r="AP44" s="43">
        <v>0</v>
      </c>
      <c r="AQ44" s="43">
        <v>0</v>
      </c>
      <c r="AR44" s="43">
        <v>0</v>
      </c>
      <c r="AS44" s="43">
        <v>0</v>
      </c>
      <c r="AT44" s="43">
        <v>0</v>
      </c>
      <c r="AU44" s="43">
        <v>0</v>
      </c>
      <c r="AV44" s="43">
        <v>0</v>
      </c>
      <c r="AW44" s="43">
        <v>0</v>
      </c>
      <c r="AX44" s="43">
        <v>0</v>
      </c>
      <c r="AY44" s="43">
        <v>0</v>
      </c>
      <c r="AZ44" s="43">
        <v>0</v>
      </c>
      <c r="BA44" s="43">
        <v>0</v>
      </c>
      <c r="BB44" s="43">
        <v>0</v>
      </c>
      <c r="BC44" s="43">
        <v>0</v>
      </c>
      <c r="BD44" s="43">
        <v>0</v>
      </c>
      <c r="BE44" s="43">
        <v>0</v>
      </c>
      <c r="BF44" s="43">
        <v>0</v>
      </c>
      <c r="BG44" s="43">
        <v>0</v>
      </c>
      <c r="BH44" s="43">
        <v>0</v>
      </c>
      <c r="BI44" s="43">
        <v>0</v>
      </c>
      <c r="BJ44" s="43">
        <v>0</v>
      </c>
      <c r="BK44" s="43">
        <v>0</v>
      </c>
      <c r="BL44" s="43">
        <v>0</v>
      </c>
      <c r="BM44" s="43">
        <v>0</v>
      </c>
      <c r="BN44" s="43">
        <v>0</v>
      </c>
      <c r="BO44" s="43">
        <v>0</v>
      </c>
      <c r="BP44" s="43">
        <v>0</v>
      </c>
      <c r="BQ44" s="43">
        <v>0</v>
      </c>
      <c r="BR44" s="43">
        <v>0</v>
      </c>
      <c r="BS44" s="43">
        <v>0</v>
      </c>
      <c r="BT44" s="43">
        <v>0</v>
      </c>
      <c r="BU44" s="43">
        <v>0</v>
      </c>
      <c r="BV44" s="43">
        <v>0</v>
      </c>
      <c r="BW44" s="43">
        <v>0</v>
      </c>
      <c r="BX44" s="43">
        <v>0</v>
      </c>
      <c r="BY44" s="43">
        <v>0</v>
      </c>
      <c r="BZ44" s="43">
        <v>0</v>
      </c>
      <c r="CA44" s="43">
        <v>0</v>
      </c>
      <c r="CB44" s="43">
        <v>0</v>
      </c>
      <c r="CC44" s="43">
        <v>0</v>
      </c>
      <c r="CD44" s="43">
        <v>0</v>
      </c>
      <c r="CE44" s="43">
        <v>0</v>
      </c>
      <c r="CF44" s="7" t="s">
        <v>104</v>
      </c>
      <c r="CG44" s="6">
        <v>0</v>
      </c>
      <c r="CH44" s="6" t="s">
        <v>104</v>
      </c>
      <c r="CI44" s="61">
        <v>0</v>
      </c>
      <c r="CJ44" s="61">
        <v>0</v>
      </c>
      <c r="CK44" s="7" t="s">
        <v>104</v>
      </c>
      <c r="CL44" s="7" t="s">
        <v>104</v>
      </c>
      <c r="CM44" s="67">
        <v>0</v>
      </c>
      <c r="CN44" s="62">
        <v>0</v>
      </c>
    </row>
    <row r="45" spans="1:92" x14ac:dyDescent="0.35">
      <c r="A45" s="5" t="s">
        <v>47</v>
      </c>
      <c r="B45" s="12">
        <v>252.06</v>
      </c>
      <c r="C45" s="12">
        <v>9.81</v>
      </c>
      <c r="D45" s="12">
        <v>1.32</v>
      </c>
      <c r="E45" s="12">
        <v>1.33</v>
      </c>
      <c r="F45" s="12">
        <v>2.1800000000000002</v>
      </c>
      <c r="G45" s="12">
        <v>5.51</v>
      </c>
      <c r="H45" s="12">
        <v>2.5</v>
      </c>
      <c r="I45" s="12">
        <v>2.87</v>
      </c>
      <c r="J45" s="12">
        <v>2.84</v>
      </c>
      <c r="K45" s="12">
        <v>1.99</v>
      </c>
      <c r="L45" s="12">
        <v>3.78</v>
      </c>
      <c r="M45" s="12">
        <v>12.94</v>
      </c>
      <c r="N45" s="43">
        <v>0</v>
      </c>
      <c r="O45" s="43">
        <v>0</v>
      </c>
      <c r="P45" s="43">
        <v>0</v>
      </c>
      <c r="Q45" s="43">
        <v>0</v>
      </c>
      <c r="R45" s="43">
        <v>0</v>
      </c>
      <c r="S45" s="43">
        <v>0</v>
      </c>
      <c r="T45" s="43">
        <v>0</v>
      </c>
      <c r="U45" s="43">
        <v>0</v>
      </c>
      <c r="V45" s="12">
        <v>8.07</v>
      </c>
      <c r="W45" s="12">
        <v>4.0199999999999996</v>
      </c>
      <c r="X45" s="12">
        <v>3.36</v>
      </c>
      <c r="Y45" s="12">
        <v>4.4000000000000004</v>
      </c>
      <c r="Z45" s="12">
        <v>4.2300000000000004</v>
      </c>
      <c r="AA45" s="12">
        <v>4.3099999999999996</v>
      </c>
      <c r="AB45" s="12">
        <v>3.87</v>
      </c>
      <c r="AC45" s="12">
        <v>3.66</v>
      </c>
      <c r="AD45" s="12">
        <v>2.64</v>
      </c>
      <c r="AE45" s="12">
        <v>2.57</v>
      </c>
      <c r="AF45" s="12">
        <v>3.44</v>
      </c>
      <c r="AG45" s="12">
        <v>3.4</v>
      </c>
      <c r="AH45" s="13">
        <v>4.93</v>
      </c>
      <c r="AI45" s="12">
        <v>4.93</v>
      </c>
      <c r="AJ45" s="61">
        <v>0</v>
      </c>
      <c r="AK45" s="12">
        <v>3.96</v>
      </c>
      <c r="AL45" s="12">
        <v>5.34</v>
      </c>
      <c r="AM45" s="12">
        <v>4.3</v>
      </c>
      <c r="AN45" s="12">
        <v>3.42</v>
      </c>
      <c r="AO45" s="12">
        <v>5.72</v>
      </c>
      <c r="AP45" s="12">
        <v>3.52</v>
      </c>
      <c r="AQ45" s="12">
        <v>3.62</v>
      </c>
      <c r="AR45" s="12">
        <v>4.2</v>
      </c>
      <c r="AS45" s="12">
        <v>4.16</v>
      </c>
      <c r="AT45" s="12">
        <v>5.32</v>
      </c>
      <c r="AU45" s="12">
        <v>2.25</v>
      </c>
      <c r="AV45" s="12">
        <v>5.18</v>
      </c>
      <c r="AW45" s="12">
        <v>2.46</v>
      </c>
      <c r="AX45" s="12">
        <v>1.99</v>
      </c>
      <c r="AY45" s="12">
        <v>3.89</v>
      </c>
      <c r="AZ45" s="12">
        <v>5.24</v>
      </c>
      <c r="BA45" s="12">
        <v>1.7</v>
      </c>
      <c r="BB45" s="12">
        <v>4.08</v>
      </c>
      <c r="BC45" s="12">
        <v>3.9</v>
      </c>
      <c r="BD45" s="12">
        <v>4.57</v>
      </c>
      <c r="BE45" s="12">
        <v>4.05</v>
      </c>
      <c r="BF45" s="12">
        <v>3.72</v>
      </c>
      <c r="BG45" s="12">
        <v>4.88</v>
      </c>
      <c r="BH45" s="12">
        <v>2.4</v>
      </c>
      <c r="BI45" s="12">
        <v>2.98</v>
      </c>
      <c r="BJ45" s="12">
        <v>3.53</v>
      </c>
      <c r="BK45" s="12">
        <v>2.84</v>
      </c>
      <c r="BL45" s="12">
        <v>2.79</v>
      </c>
      <c r="BM45" s="12">
        <v>3.88</v>
      </c>
      <c r="BN45" s="12">
        <v>10.45</v>
      </c>
      <c r="BO45" s="12">
        <v>3.49</v>
      </c>
      <c r="BP45" s="12">
        <v>10.96</v>
      </c>
      <c r="BQ45" s="12">
        <v>5.14</v>
      </c>
      <c r="BR45" s="12">
        <v>2.64</v>
      </c>
      <c r="BS45" s="12">
        <v>2.56</v>
      </c>
      <c r="BT45" s="12">
        <v>2.14</v>
      </c>
      <c r="BU45" s="12">
        <v>1.24</v>
      </c>
      <c r="BV45" s="12">
        <v>3.55</v>
      </c>
      <c r="BW45" s="12">
        <v>0.03</v>
      </c>
      <c r="BX45" s="6">
        <v>0</v>
      </c>
      <c r="BY45" s="12">
        <v>30.59</v>
      </c>
      <c r="BZ45" s="12">
        <v>6.01</v>
      </c>
      <c r="CA45" s="12">
        <v>22.77</v>
      </c>
      <c r="CB45" s="12">
        <v>1.81</v>
      </c>
      <c r="CC45" s="12">
        <v>-9.48</v>
      </c>
      <c r="CD45" s="12">
        <v>-15.74</v>
      </c>
      <c r="CE45" s="6">
        <v>0</v>
      </c>
      <c r="CF45" s="7" t="s">
        <v>104</v>
      </c>
      <c r="CG45" s="6">
        <v>0</v>
      </c>
      <c r="CH45" s="6" t="s">
        <v>104</v>
      </c>
      <c r="CI45" s="6">
        <v>0</v>
      </c>
      <c r="CJ45" s="12">
        <v>6.26</v>
      </c>
      <c r="CK45" s="7" t="s">
        <v>104</v>
      </c>
      <c r="CL45" s="6" t="s">
        <v>104</v>
      </c>
      <c r="CM45" s="12">
        <v>273.17</v>
      </c>
      <c r="CN45" s="12">
        <v>21.11</v>
      </c>
    </row>
    <row r="46" spans="1:92" x14ac:dyDescent="0.35">
      <c r="A46" s="5" t="s">
        <v>48</v>
      </c>
      <c r="B46" s="13">
        <v>4527.6000000000004</v>
      </c>
      <c r="C46" s="13">
        <v>4.66</v>
      </c>
      <c r="D46" s="13">
        <v>1.06</v>
      </c>
      <c r="E46" s="13">
        <v>0.61</v>
      </c>
      <c r="F46" s="13">
        <v>11.61</v>
      </c>
      <c r="G46" s="13">
        <v>38.700000000000003</v>
      </c>
      <c r="H46" s="13">
        <v>10.89</v>
      </c>
      <c r="I46" s="13">
        <v>7.26</v>
      </c>
      <c r="J46" s="13">
        <v>97.27</v>
      </c>
      <c r="K46" s="13">
        <v>2.66</v>
      </c>
      <c r="L46" s="13">
        <v>22.95</v>
      </c>
      <c r="M46" s="12">
        <v>75.87</v>
      </c>
      <c r="N46" s="43">
        <v>0</v>
      </c>
      <c r="O46" s="43">
        <v>0</v>
      </c>
      <c r="P46" s="43">
        <v>0</v>
      </c>
      <c r="Q46" s="43">
        <v>0</v>
      </c>
      <c r="R46" s="43">
        <v>0</v>
      </c>
      <c r="S46" s="43">
        <v>0</v>
      </c>
      <c r="T46" s="43">
        <v>0</v>
      </c>
      <c r="U46" s="43">
        <v>0</v>
      </c>
      <c r="V46" s="13">
        <v>24.52</v>
      </c>
      <c r="W46" s="13">
        <v>234.5</v>
      </c>
      <c r="X46" s="13">
        <v>30.08</v>
      </c>
      <c r="Y46" s="13">
        <v>1311.54</v>
      </c>
      <c r="Z46" s="13">
        <v>368.6</v>
      </c>
      <c r="AA46" s="13">
        <v>5.29</v>
      </c>
      <c r="AB46" s="13">
        <v>111.41</v>
      </c>
      <c r="AC46" s="13">
        <v>28.62</v>
      </c>
      <c r="AD46" s="13">
        <v>16.21</v>
      </c>
      <c r="AE46" s="13">
        <v>4.5199999999999996</v>
      </c>
      <c r="AF46" s="13">
        <v>15.21</v>
      </c>
      <c r="AG46" s="13">
        <v>21.03</v>
      </c>
      <c r="AH46" s="13">
        <v>135.16</v>
      </c>
      <c r="AI46" s="13">
        <v>135.16</v>
      </c>
      <c r="AJ46" s="61">
        <v>0</v>
      </c>
      <c r="AK46" s="13">
        <v>24.96</v>
      </c>
      <c r="AL46" s="13">
        <v>1280.21</v>
      </c>
      <c r="AM46" s="13">
        <v>97.09</v>
      </c>
      <c r="AN46" s="13">
        <v>7.47</v>
      </c>
      <c r="AO46" s="13">
        <v>89.33</v>
      </c>
      <c r="AP46" s="13">
        <v>41.09</v>
      </c>
      <c r="AQ46" s="13">
        <v>12.33</v>
      </c>
      <c r="AR46" s="13">
        <v>1.46</v>
      </c>
      <c r="AS46" s="13">
        <v>7.52</v>
      </c>
      <c r="AT46" s="13">
        <v>9.69</v>
      </c>
      <c r="AU46" s="13">
        <v>1.04</v>
      </c>
      <c r="AV46" s="13">
        <v>22.28</v>
      </c>
      <c r="AW46" s="13">
        <v>2.5299999999999998</v>
      </c>
      <c r="AX46" s="13">
        <v>3.22</v>
      </c>
      <c r="AY46" s="13">
        <v>10.02</v>
      </c>
      <c r="AZ46" s="13">
        <v>25.44</v>
      </c>
      <c r="BA46" s="13">
        <v>1.18</v>
      </c>
      <c r="BB46" s="13">
        <v>0.72</v>
      </c>
      <c r="BC46" s="13">
        <v>2.16</v>
      </c>
      <c r="BD46" s="13">
        <v>37.119999999999997</v>
      </c>
      <c r="BE46" s="13">
        <v>25.26</v>
      </c>
      <c r="BF46" s="13">
        <v>27.95</v>
      </c>
      <c r="BG46" s="13">
        <v>22.58</v>
      </c>
      <c r="BH46" s="13">
        <v>5.4</v>
      </c>
      <c r="BI46" s="13">
        <v>8.52</v>
      </c>
      <c r="BJ46" s="13">
        <v>13.64</v>
      </c>
      <c r="BK46" s="13">
        <v>1.76</v>
      </c>
      <c r="BL46" s="13">
        <v>1.51</v>
      </c>
      <c r="BM46" s="13">
        <v>42.73</v>
      </c>
      <c r="BN46" s="13">
        <v>27.69</v>
      </c>
      <c r="BO46" s="13">
        <v>4.0599999999999996</v>
      </c>
      <c r="BP46" s="13">
        <v>40.28</v>
      </c>
      <c r="BQ46" s="13">
        <v>19.28</v>
      </c>
      <c r="BR46" s="13">
        <v>9.0500000000000007</v>
      </c>
      <c r="BS46" s="13">
        <v>8.2799999999999994</v>
      </c>
      <c r="BT46" s="13">
        <v>6.63</v>
      </c>
      <c r="BU46" s="13">
        <v>0.67</v>
      </c>
      <c r="BV46" s="13">
        <v>5.21</v>
      </c>
      <c r="BW46" s="13">
        <v>0.04</v>
      </c>
      <c r="BX46" s="7">
        <v>0</v>
      </c>
      <c r="BY46" s="13">
        <v>224.77</v>
      </c>
      <c r="BZ46" s="13">
        <v>20.010000000000002</v>
      </c>
      <c r="CA46" s="13">
        <v>204.76</v>
      </c>
      <c r="CB46" s="7">
        <v>0</v>
      </c>
      <c r="CC46" s="13">
        <v>-38.119999999999997</v>
      </c>
      <c r="CD46" s="13">
        <v>-38.119999999999997</v>
      </c>
      <c r="CE46" s="7">
        <v>0</v>
      </c>
      <c r="CF46" s="7" t="s">
        <v>104</v>
      </c>
      <c r="CG46" s="7">
        <v>0</v>
      </c>
      <c r="CH46" s="6" t="s">
        <v>104</v>
      </c>
      <c r="CI46" s="7">
        <v>0</v>
      </c>
      <c r="CJ46" s="7">
        <v>0</v>
      </c>
      <c r="CK46" s="7" t="s">
        <v>104</v>
      </c>
      <c r="CL46" s="7" t="s">
        <v>104</v>
      </c>
      <c r="CM46" s="13">
        <v>4714.25</v>
      </c>
      <c r="CN46" s="13">
        <v>186.65</v>
      </c>
    </row>
    <row r="47" spans="1:92" x14ac:dyDescent="0.35">
      <c r="A47" s="5" t="s">
        <v>49</v>
      </c>
      <c r="B47" s="12">
        <v>1494.53</v>
      </c>
      <c r="C47" s="12">
        <v>10.97</v>
      </c>
      <c r="D47" s="12">
        <v>2.54</v>
      </c>
      <c r="E47" s="12">
        <v>0.7</v>
      </c>
      <c r="F47" s="12">
        <v>3.5</v>
      </c>
      <c r="G47" s="12">
        <v>22.13</v>
      </c>
      <c r="H47" s="12">
        <v>2.36</v>
      </c>
      <c r="I47" s="12">
        <v>3.2</v>
      </c>
      <c r="J47" s="12">
        <v>3.68</v>
      </c>
      <c r="K47" s="12">
        <v>1.54</v>
      </c>
      <c r="L47" s="12">
        <v>4.9800000000000004</v>
      </c>
      <c r="M47" s="12">
        <v>13.47</v>
      </c>
      <c r="N47" s="43">
        <v>0</v>
      </c>
      <c r="O47" s="43">
        <v>0</v>
      </c>
      <c r="P47" s="43">
        <v>0</v>
      </c>
      <c r="Q47" s="43">
        <v>0</v>
      </c>
      <c r="R47" s="43">
        <v>0</v>
      </c>
      <c r="S47" s="43">
        <v>0</v>
      </c>
      <c r="T47" s="43">
        <v>0</v>
      </c>
      <c r="U47" s="43">
        <v>0</v>
      </c>
      <c r="V47" s="12">
        <v>31.38</v>
      </c>
      <c r="W47" s="12">
        <v>5.19</v>
      </c>
      <c r="X47" s="12">
        <v>5.85</v>
      </c>
      <c r="Y47" s="12">
        <v>23.63</v>
      </c>
      <c r="Z47" s="12">
        <v>27.78</v>
      </c>
      <c r="AA47" s="12">
        <v>12.18</v>
      </c>
      <c r="AB47" s="12">
        <v>5.66</v>
      </c>
      <c r="AC47" s="12">
        <v>25.79</v>
      </c>
      <c r="AD47" s="12">
        <v>5.33</v>
      </c>
      <c r="AE47" s="12">
        <v>2.67</v>
      </c>
      <c r="AF47" s="12">
        <v>4.7699999999999996</v>
      </c>
      <c r="AG47" s="12">
        <v>43.04</v>
      </c>
      <c r="AH47" s="13">
        <v>47.76</v>
      </c>
      <c r="AI47" s="12">
        <v>47.76</v>
      </c>
      <c r="AJ47" s="61">
        <v>0</v>
      </c>
      <c r="AK47" s="12">
        <v>3.48</v>
      </c>
      <c r="AL47" s="12">
        <v>20.309999999999999</v>
      </c>
      <c r="AM47" s="12">
        <v>771.53</v>
      </c>
      <c r="AN47" s="12">
        <v>4.83</v>
      </c>
      <c r="AO47" s="12">
        <v>16.649999999999999</v>
      </c>
      <c r="AP47" s="12">
        <v>10.25</v>
      </c>
      <c r="AQ47" s="12">
        <v>15.28</v>
      </c>
      <c r="AR47" s="12">
        <v>2.97</v>
      </c>
      <c r="AS47" s="12">
        <v>3.93</v>
      </c>
      <c r="AT47" s="12">
        <v>28.86</v>
      </c>
      <c r="AU47" s="12">
        <v>2.06</v>
      </c>
      <c r="AV47" s="12">
        <v>12.04</v>
      </c>
      <c r="AW47" s="12">
        <v>1.72</v>
      </c>
      <c r="AX47" s="12">
        <v>3.2</v>
      </c>
      <c r="AY47" s="12">
        <v>5.95</v>
      </c>
      <c r="AZ47" s="12">
        <v>7.48</v>
      </c>
      <c r="BA47" s="12">
        <v>3.34</v>
      </c>
      <c r="BB47" s="12">
        <v>4.63</v>
      </c>
      <c r="BC47" s="12">
        <v>2.65</v>
      </c>
      <c r="BD47" s="12">
        <v>67.489999999999995</v>
      </c>
      <c r="BE47" s="12">
        <v>10.97</v>
      </c>
      <c r="BF47" s="12">
        <v>29.26</v>
      </c>
      <c r="BG47" s="12">
        <v>13.85</v>
      </c>
      <c r="BH47" s="12">
        <v>3.37</v>
      </c>
      <c r="BI47" s="12">
        <v>2.75</v>
      </c>
      <c r="BJ47" s="12">
        <v>7.99</v>
      </c>
      <c r="BK47" s="12">
        <v>3.24</v>
      </c>
      <c r="BL47" s="12">
        <v>2.41</v>
      </c>
      <c r="BM47" s="12">
        <v>10.77</v>
      </c>
      <c r="BN47" s="12">
        <v>65.87</v>
      </c>
      <c r="BO47" s="12">
        <v>10.26</v>
      </c>
      <c r="BP47" s="12">
        <v>11.84</v>
      </c>
      <c r="BQ47" s="12">
        <v>7.36</v>
      </c>
      <c r="BR47" s="12">
        <v>4.82</v>
      </c>
      <c r="BS47" s="12">
        <v>4.3899999999999997</v>
      </c>
      <c r="BT47" s="12">
        <v>2.95</v>
      </c>
      <c r="BU47" s="12">
        <v>1.06</v>
      </c>
      <c r="BV47" s="12">
        <v>2.46</v>
      </c>
      <c r="BW47" s="12">
        <v>0.16</v>
      </c>
      <c r="BX47" s="6">
        <v>0</v>
      </c>
      <c r="BY47" s="12">
        <v>46.44</v>
      </c>
      <c r="BZ47" s="12">
        <v>4.26</v>
      </c>
      <c r="CA47" s="12">
        <v>42.18</v>
      </c>
      <c r="CB47" s="6">
        <v>0</v>
      </c>
      <c r="CC47" s="12">
        <v>1385.54</v>
      </c>
      <c r="CD47" s="12">
        <v>-84.93</v>
      </c>
      <c r="CE47" s="6">
        <v>0</v>
      </c>
      <c r="CF47" s="7" t="s">
        <v>104</v>
      </c>
      <c r="CG47" s="6">
        <v>0</v>
      </c>
      <c r="CH47" s="6" t="s">
        <v>104</v>
      </c>
      <c r="CI47" s="6">
        <v>0</v>
      </c>
      <c r="CJ47" s="12">
        <v>1470.47</v>
      </c>
      <c r="CK47" s="6" t="s">
        <v>104</v>
      </c>
      <c r="CL47" s="6" t="s">
        <v>104</v>
      </c>
      <c r="CM47" s="12">
        <v>2926.51</v>
      </c>
      <c r="CN47" s="12">
        <v>1431.97</v>
      </c>
    </row>
    <row r="48" spans="1:92" x14ac:dyDescent="0.35">
      <c r="A48" s="5" t="s">
        <v>50</v>
      </c>
      <c r="B48" s="13">
        <v>10872.61</v>
      </c>
      <c r="C48" s="13">
        <v>206.77</v>
      </c>
      <c r="D48" s="13">
        <v>38.36</v>
      </c>
      <c r="E48" s="13">
        <v>41.3</v>
      </c>
      <c r="F48" s="13">
        <v>81.27</v>
      </c>
      <c r="G48" s="13">
        <v>200.07</v>
      </c>
      <c r="H48" s="13">
        <v>92.87</v>
      </c>
      <c r="I48" s="13">
        <v>108.84</v>
      </c>
      <c r="J48" s="13">
        <v>106.78</v>
      </c>
      <c r="K48" s="13">
        <v>59.19</v>
      </c>
      <c r="L48" s="13">
        <v>125.37</v>
      </c>
      <c r="M48" s="12">
        <v>170.77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43">
        <v>0</v>
      </c>
      <c r="T48" s="43">
        <v>0</v>
      </c>
      <c r="U48" s="43">
        <v>0</v>
      </c>
      <c r="V48" s="13">
        <v>243.07</v>
      </c>
      <c r="W48" s="13">
        <v>151.22999999999999</v>
      </c>
      <c r="X48" s="13">
        <v>140.91999999999999</v>
      </c>
      <c r="Y48" s="13">
        <v>161.72999999999999</v>
      </c>
      <c r="Z48" s="13">
        <v>185.81</v>
      </c>
      <c r="AA48" s="13">
        <v>149.97999999999999</v>
      </c>
      <c r="AB48" s="13">
        <v>140.82</v>
      </c>
      <c r="AC48" s="13">
        <v>184.4</v>
      </c>
      <c r="AD48" s="13">
        <v>442.26</v>
      </c>
      <c r="AE48" s="13">
        <v>111.06</v>
      </c>
      <c r="AF48" s="13">
        <v>130.08000000000001</v>
      </c>
      <c r="AG48" s="13">
        <v>145.87</v>
      </c>
      <c r="AH48" s="13">
        <v>129.75</v>
      </c>
      <c r="AI48" s="13">
        <v>129.75</v>
      </c>
      <c r="AJ48" s="61">
        <v>0</v>
      </c>
      <c r="AK48" s="13">
        <v>75.53</v>
      </c>
      <c r="AL48" s="13">
        <v>196.47</v>
      </c>
      <c r="AM48" s="13">
        <v>417.72</v>
      </c>
      <c r="AN48" s="13">
        <v>757.34</v>
      </c>
      <c r="AO48" s="13">
        <v>306.77</v>
      </c>
      <c r="AP48" s="13">
        <v>231.56</v>
      </c>
      <c r="AQ48" s="13">
        <v>690.4</v>
      </c>
      <c r="AR48" s="13">
        <v>98.35</v>
      </c>
      <c r="AS48" s="13">
        <v>205.45</v>
      </c>
      <c r="AT48" s="13">
        <v>478.03</v>
      </c>
      <c r="AU48" s="13">
        <v>324.89999999999998</v>
      </c>
      <c r="AV48" s="13">
        <v>133.13999999999999</v>
      </c>
      <c r="AW48" s="13">
        <v>100.49</v>
      </c>
      <c r="AX48" s="13">
        <v>66.91</v>
      </c>
      <c r="AY48" s="13">
        <v>173.37</v>
      </c>
      <c r="AZ48" s="13">
        <v>241.6</v>
      </c>
      <c r="BA48" s="13">
        <v>68.13</v>
      </c>
      <c r="BB48" s="13">
        <v>118.27</v>
      </c>
      <c r="BC48" s="13">
        <v>124.58</v>
      </c>
      <c r="BD48" s="13">
        <v>105.02</v>
      </c>
      <c r="BE48" s="13">
        <v>191.32</v>
      </c>
      <c r="BF48" s="13">
        <v>127.12</v>
      </c>
      <c r="BG48" s="13">
        <v>154.63</v>
      </c>
      <c r="BH48" s="13">
        <v>94.26</v>
      </c>
      <c r="BI48" s="13">
        <v>104.21</v>
      </c>
      <c r="BJ48" s="13">
        <v>381.33</v>
      </c>
      <c r="BK48" s="13">
        <v>105.58</v>
      </c>
      <c r="BL48" s="13">
        <v>116.3</v>
      </c>
      <c r="BM48" s="13">
        <v>165.46</v>
      </c>
      <c r="BN48" s="13">
        <v>186.87</v>
      </c>
      <c r="BO48" s="13">
        <v>97.79</v>
      </c>
      <c r="BP48" s="13">
        <v>198.42</v>
      </c>
      <c r="BQ48" s="13">
        <v>122.44</v>
      </c>
      <c r="BR48" s="13">
        <v>75.17</v>
      </c>
      <c r="BS48" s="13">
        <v>69.8</v>
      </c>
      <c r="BT48" s="13">
        <v>66.010000000000005</v>
      </c>
      <c r="BU48" s="7">
        <v>49</v>
      </c>
      <c r="BV48" s="13">
        <v>103.9</v>
      </c>
      <c r="BW48" s="13">
        <v>0.41</v>
      </c>
      <c r="BX48" s="7">
        <v>0</v>
      </c>
      <c r="BY48" s="13">
        <v>2689.45</v>
      </c>
      <c r="BZ48" s="13">
        <v>189.45</v>
      </c>
      <c r="CA48" s="13">
        <v>2449.5500000000002</v>
      </c>
      <c r="CB48" s="13">
        <v>50.45</v>
      </c>
      <c r="CC48" s="13">
        <v>444.73</v>
      </c>
      <c r="CD48" s="13">
        <v>177.08</v>
      </c>
      <c r="CE48" s="7">
        <v>0</v>
      </c>
      <c r="CF48" s="7" t="s">
        <v>104</v>
      </c>
      <c r="CG48" s="7">
        <v>0</v>
      </c>
      <c r="CH48" s="6" t="s">
        <v>104</v>
      </c>
      <c r="CI48" s="7">
        <v>0</v>
      </c>
      <c r="CJ48" s="13">
        <v>267.64999999999998</v>
      </c>
      <c r="CK48" s="7" t="s">
        <v>104</v>
      </c>
      <c r="CL48" s="7" t="s">
        <v>104</v>
      </c>
      <c r="CM48" s="13">
        <v>14006.79</v>
      </c>
      <c r="CN48" s="13">
        <v>3134.17</v>
      </c>
    </row>
    <row r="49" spans="1:92" x14ac:dyDescent="0.35">
      <c r="A49" s="5" t="s">
        <v>51</v>
      </c>
      <c r="B49" s="12">
        <v>297916.03000000003</v>
      </c>
      <c r="C49" s="12">
        <v>3632.54</v>
      </c>
      <c r="D49" s="12">
        <v>216.09</v>
      </c>
      <c r="E49" s="12">
        <v>149.09</v>
      </c>
      <c r="F49" s="12">
        <v>357.85</v>
      </c>
      <c r="G49" s="12">
        <v>24115.84</v>
      </c>
      <c r="H49" s="12">
        <v>4270.74</v>
      </c>
      <c r="I49" s="12">
        <v>1931.76</v>
      </c>
      <c r="J49" s="12">
        <v>2253.7600000000002</v>
      </c>
      <c r="K49" s="12">
        <v>318.85000000000002</v>
      </c>
      <c r="L49" s="12">
        <v>3026.23</v>
      </c>
      <c r="M49" s="12">
        <v>9635.5400000000009</v>
      </c>
      <c r="N49" s="43">
        <v>0</v>
      </c>
      <c r="O49" s="43">
        <v>0</v>
      </c>
      <c r="P49" s="43">
        <v>0</v>
      </c>
      <c r="Q49" s="43">
        <v>0</v>
      </c>
      <c r="R49" s="43">
        <v>0</v>
      </c>
      <c r="S49" s="43">
        <v>0</v>
      </c>
      <c r="T49" s="43">
        <v>0</v>
      </c>
      <c r="U49" s="43">
        <v>0</v>
      </c>
      <c r="V49" s="12">
        <v>9711.16</v>
      </c>
      <c r="W49" s="12">
        <v>4711.45</v>
      </c>
      <c r="X49" s="12">
        <v>2562.9299999999998</v>
      </c>
      <c r="Y49" s="12">
        <v>3736.58</v>
      </c>
      <c r="Z49" s="12">
        <v>5370.24</v>
      </c>
      <c r="AA49" s="12">
        <v>12022.17</v>
      </c>
      <c r="AB49" s="6">
        <v>4833</v>
      </c>
      <c r="AC49" s="12">
        <v>8691.4</v>
      </c>
      <c r="AD49" s="12">
        <v>9458.56</v>
      </c>
      <c r="AE49" s="12">
        <v>2098.23</v>
      </c>
      <c r="AF49" s="12">
        <v>6033.72</v>
      </c>
      <c r="AG49" s="12">
        <v>3454.78</v>
      </c>
      <c r="AH49" s="13">
        <v>5115.09</v>
      </c>
      <c r="AI49" s="12">
        <v>5115.09</v>
      </c>
      <c r="AJ49" s="61">
        <v>0</v>
      </c>
      <c r="AK49" s="12">
        <v>208.16</v>
      </c>
      <c r="AL49" s="12">
        <v>2212.73</v>
      </c>
      <c r="AM49" s="12">
        <v>10858.03</v>
      </c>
      <c r="AN49" s="12">
        <v>2449.8000000000002</v>
      </c>
      <c r="AO49" s="12">
        <v>43064.21</v>
      </c>
      <c r="AP49" s="12">
        <v>10858.01</v>
      </c>
      <c r="AQ49" s="12">
        <v>2149.27</v>
      </c>
      <c r="AR49" s="12">
        <v>1512.85</v>
      </c>
      <c r="AS49" s="12">
        <v>2494.62</v>
      </c>
      <c r="AT49" s="12">
        <v>3121.07</v>
      </c>
      <c r="AU49" s="12">
        <v>266.07</v>
      </c>
      <c r="AV49" s="12">
        <v>4719.6899999999996</v>
      </c>
      <c r="AW49" s="12">
        <v>13070.72</v>
      </c>
      <c r="AX49" s="12">
        <v>847.73</v>
      </c>
      <c r="AY49" s="12">
        <v>1752.86</v>
      </c>
      <c r="AZ49" s="12">
        <v>40719.160000000003</v>
      </c>
      <c r="BA49" s="12">
        <v>288.26</v>
      </c>
      <c r="BB49" s="12">
        <v>163.09</v>
      </c>
      <c r="BC49" s="12">
        <v>1229.57</v>
      </c>
      <c r="BD49" s="12">
        <v>1544.26</v>
      </c>
      <c r="BE49" s="12">
        <v>4589.51</v>
      </c>
      <c r="BF49" s="12">
        <v>1386.49</v>
      </c>
      <c r="BG49" s="12">
        <v>3469.64</v>
      </c>
      <c r="BH49" s="12">
        <v>1387.02</v>
      </c>
      <c r="BI49" s="12">
        <v>821.15</v>
      </c>
      <c r="BJ49" s="12">
        <v>3610.05</v>
      </c>
      <c r="BK49" s="12">
        <v>311.05</v>
      </c>
      <c r="BL49" s="12">
        <v>803.37</v>
      </c>
      <c r="BM49" s="12">
        <v>2437.34</v>
      </c>
      <c r="BN49" s="12">
        <v>874.87</v>
      </c>
      <c r="BO49" s="12">
        <v>692.3</v>
      </c>
      <c r="BP49" s="12">
        <v>3337.11</v>
      </c>
      <c r="BQ49" s="12">
        <v>692.69</v>
      </c>
      <c r="BR49" s="6">
        <v>720</v>
      </c>
      <c r="BS49" s="12">
        <v>560.20000000000005</v>
      </c>
      <c r="BT49" s="12">
        <v>278.83</v>
      </c>
      <c r="BU49" s="12">
        <v>368.68</v>
      </c>
      <c r="BV49" s="12">
        <v>337.98</v>
      </c>
      <c r="BW49" s="6">
        <v>0</v>
      </c>
      <c r="BX49" s="6">
        <v>0</v>
      </c>
      <c r="BY49" s="12">
        <v>6028.16</v>
      </c>
      <c r="BZ49" s="12">
        <v>1303.23</v>
      </c>
      <c r="CA49" s="12">
        <v>4637.47</v>
      </c>
      <c r="CB49" s="12">
        <v>87.47</v>
      </c>
      <c r="CC49" s="12">
        <v>9620.2900000000009</v>
      </c>
      <c r="CD49" s="12">
        <v>2981.51</v>
      </c>
      <c r="CE49" s="6">
        <v>0</v>
      </c>
      <c r="CF49" s="7" t="s">
        <v>104</v>
      </c>
      <c r="CG49" s="6">
        <v>0</v>
      </c>
      <c r="CH49" s="6" t="s">
        <v>104</v>
      </c>
      <c r="CI49" s="6">
        <v>0</v>
      </c>
      <c r="CJ49" s="12">
        <v>6638.78</v>
      </c>
      <c r="CK49" s="6" t="s">
        <v>104</v>
      </c>
      <c r="CL49" s="6" t="s">
        <v>104</v>
      </c>
      <c r="CM49" s="12">
        <v>313564.48</v>
      </c>
      <c r="CN49" s="12">
        <v>15648.45</v>
      </c>
    </row>
    <row r="50" spans="1:92" x14ac:dyDescent="0.35">
      <c r="A50" s="5" t="s">
        <v>52</v>
      </c>
      <c r="B50" s="13">
        <v>67154.179999999993</v>
      </c>
      <c r="C50" s="13">
        <v>1120.53</v>
      </c>
      <c r="D50" s="7">
        <v>423</v>
      </c>
      <c r="E50" s="13">
        <v>426.3</v>
      </c>
      <c r="F50" s="13">
        <v>777.99</v>
      </c>
      <c r="G50" s="13">
        <v>1445.12</v>
      </c>
      <c r="H50" s="13">
        <v>944.92</v>
      </c>
      <c r="I50" s="13">
        <v>886.31</v>
      </c>
      <c r="J50" s="13">
        <v>1142.58</v>
      </c>
      <c r="K50" s="13">
        <v>696.26</v>
      </c>
      <c r="L50" s="13">
        <v>1296.03</v>
      </c>
      <c r="M50" s="12">
        <v>1442.05</v>
      </c>
      <c r="N50" s="43">
        <v>0</v>
      </c>
      <c r="O50" s="43">
        <v>0</v>
      </c>
      <c r="P50" s="43">
        <v>0</v>
      </c>
      <c r="Q50" s="43">
        <v>0</v>
      </c>
      <c r="R50" s="43">
        <v>0</v>
      </c>
      <c r="S50" s="43">
        <v>0</v>
      </c>
      <c r="T50" s="43">
        <v>0</v>
      </c>
      <c r="U50" s="43">
        <v>0</v>
      </c>
      <c r="V50" s="13">
        <v>1039.04</v>
      </c>
      <c r="W50" s="13">
        <v>1302.5</v>
      </c>
      <c r="X50" s="13">
        <v>1044.47</v>
      </c>
      <c r="Y50" s="13">
        <v>1450.91</v>
      </c>
      <c r="Z50" s="13">
        <v>1364.21</v>
      </c>
      <c r="AA50" s="13">
        <v>1015.16</v>
      </c>
      <c r="AB50" s="13">
        <v>1081.95</v>
      </c>
      <c r="AC50" s="13">
        <v>1153.6500000000001</v>
      </c>
      <c r="AD50" s="13">
        <v>1155.69</v>
      </c>
      <c r="AE50" s="13">
        <v>984.41</v>
      </c>
      <c r="AF50" s="13">
        <v>1016.85</v>
      </c>
      <c r="AG50" s="13">
        <v>1267.5</v>
      </c>
      <c r="AH50" s="13">
        <v>1270.44</v>
      </c>
      <c r="AI50" s="13">
        <v>1270.44</v>
      </c>
      <c r="AJ50" s="61">
        <v>0</v>
      </c>
      <c r="AK50" s="13">
        <v>451.8</v>
      </c>
      <c r="AL50" s="13">
        <v>1324.8</v>
      </c>
      <c r="AM50" s="13">
        <v>1440.56</v>
      </c>
      <c r="AN50" s="13">
        <v>1019.45</v>
      </c>
      <c r="AO50" s="13">
        <v>1179.42</v>
      </c>
      <c r="AP50" s="13">
        <v>2119.73</v>
      </c>
      <c r="AQ50" s="13">
        <v>1384.81</v>
      </c>
      <c r="AR50" s="13">
        <v>1344.2</v>
      </c>
      <c r="AS50" s="13">
        <v>1124.47</v>
      </c>
      <c r="AT50" s="13">
        <v>1224.3599999999999</v>
      </c>
      <c r="AU50" s="13">
        <v>821.8</v>
      </c>
      <c r="AV50" s="13">
        <v>1266.04</v>
      </c>
      <c r="AW50" s="13">
        <v>1004.89</v>
      </c>
      <c r="AX50" s="13">
        <v>1071.96</v>
      </c>
      <c r="AY50" s="13">
        <v>1115.08</v>
      </c>
      <c r="AZ50" s="13">
        <v>1261.95</v>
      </c>
      <c r="BA50" s="13">
        <v>640.99</v>
      </c>
      <c r="BB50" s="13">
        <v>969.32</v>
      </c>
      <c r="BC50" s="13">
        <v>1052.3399999999999</v>
      </c>
      <c r="BD50" s="13">
        <v>1034.68</v>
      </c>
      <c r="BE50" s="13">
        <v>1160.8399999999999</v>
      </c>
      <c r="BF50" s="13">
        <v>1088.31</v>
      </c>
      <c r="BG50" s="13">
        <v>1296.68</v>
      </c>
      <c r="BH50" s="13">
        <v>1071.3699999999999</v>
      </c>
      <c r="BI50" s="13">
        <v>868.4</v>
      </c>
      <c r="BJ50" s="13">
        <v>1753.85</v>
      </c>
      <c r="BK50" s="13">
        <v>752.29</v>
      </c>
      <c r="BL50" s="13">
        <v>1149.8699999999999</v>
      </c>
      <c r="BM50" s="13">
        <v>1092.44</v>
      </c>
      <c r="BN50" s="13">
        <v>959.36</v>
      </c>
      <c r="BO50" s="13">
        <v>1035.1600000000001</v>
      </c>
      <c r="BP50" s="13">
        <v>1329.22</v>
      </c>
      <c r="BQ50" s="13">
        <v>1000.98</v>
      </c>
      <c r="BR50" s="13">
        <v>947.57</v>
      </c>
      <c r="BS50" s="13">
        <v>795.66</v>
      </c>
      <c r="BT50" s="13">
        <v>741.11</v>
      </c>
      <c r="BU50" s="13">
        <v>608.91999999999996</v>
      </c>
      <c r="BV50" s="13">
        <v>896.16</v>
      </c>
      <c r="BW50" s="13">
        <v>5.47</v>
      </c>
      <c r="BX50" s="7">
        <v>0</v>
      </c>
      <c r="BY50" s="13">
        <v>9469.18</v>
      </c>
      <c r="BZ50" s="13">
        <v>1420.75</v>
      </c>
      <c r="CA50" s="13">
        <v>7986.35</v>
      </c>
      <c r="CB50" s="13">
        <v>62.08</v>
      </c>
      <c r="CC50" s="13">
        <v>4460.67</v>
      </c>
      <c r="CD50" s="13">
        <v>3103.36</v>
      </c>
      <c r="CE50" s="7">
        <v>0</v>
      </c>
      <c r="CF50" s="7" t="s">
        <v>104</v>
      </c>
      <c r="CG50" s="7">
        <v>0</v>
      </c>
      <c r="CH50" s="6" t="s">
        <v>104</v>
      </c>
      <c r="CI50" s="7">
        <v>0</v>
      </c>
      <c r="CJ50" s="13">
        <v>1357.31</v>
      </c>
      <c r="CK50" s="7" t="s">
        <v>104</v>
      </c>
      <c r="CL50" s="7" t="s">
        <v>104</v>
      </c>
      <c r="CM50" s="13">
        <v>81084.039999999994</v>
      </c>
      <c r="CN50" s="13">
        <v>13929.85</v>
      </c>
    </row>
    <row r="51" spans="1:92" x14ac:dyDescent="0.35">
      <c r="A51" s="5" t="s">
        <v>53</v>
      </c>
      <c r="B51" s="12">
        <v>76679.98</v>
      </c>
      <c r="C51" s="12">
        <v>630.29999999999995</v>
      </c>
      <c r="D51" s="12">
        <v>42.58</v>
      </c>
      <c r="E51" s="12">
        <v>14.71</v>
      </c>
      <c r="F51" s="12">
        <v>238.94</v>
      </c>
      <c r="G51" s="12">
        <v>5003.5200000000004</v>
      </c>
      <c r="H51" s="12">
        <v>1026.3900000000001</v>
      </c>
      <c r="I51" s="12">
        <v>521.91</v>
      </c>
      <c r="J51" s="12">
        <v>1042.3599999999999</v>
      </c>
      <c r="K51" s="12">
        <v>120.82</v>
      </c>
      <c r="L51" s="12">
        <v>12015.05</v>
      </c>
      <c r="M51" s="12">
        <v>4172.18</v>
      </c>
      <c r="N51" s="43">
        <v>0</v>
      </c>
      <c r="O51" s="43">
        <v>0</v>
      </c>
      <c r="P51" s="43">
        <v>0</v>
      </c>
      <c r="Q51" s="43">
        <v>0</v>
      </c>
      <c r="R51" s="43">
        <v>0</v>
      </c>
      <c r="S51" s="43">
        <v>0</v>
      </c>
      <c r="T51" s="43">
        <v>0</v>
      </c>
      <c r="U51" s="43">
        <v>0</v>
      </c>
      <c r="V51" s="12">
        <v>775.96</v>
      </c>
      <c r="W51" s="12">
        <v>1944.6</v>
      </c>
      <c r="X51" s="12">
        <v>1243.8900000000001</v>
      </c>
      <c r="Y51" s="12">
        <v>4629.54</v>
      </c>
      <c r="Z51" s="12">
        <v>1738.55</v>
      </c>
      <c r="AA51" s="12">
        <v>1173.17</v>
      </c>
      <c r="AB51" s="12">
        <v>1660.5</v>
      </c>
      <c r="AC51" s="12">
        <v>1898.3</v>
      </c>
      <c r="AD51" s="12">
        <v>3846.56</v>
      </c>
      <c r="AE51" s="12">
        <v>815.69</v>
      </c>
      <c r="AF51" s="12">
        <v>1006.95</v>
      </c>
      <c r="AG51" s="12">
        <v>720.95</v>
      </c>
      <c r="AH51" s="13">
        <v>4226.1899999999996</v>
      </c>
      <c r="AI51" s="12">
        <v>4226.1899999999996</v>
      </c>
      <c r="AJ51" s="61">
        <v>0</v>
      </c>
      <c r="AK51" s="12">
        <v>50.25</v>
      </c>
      <c r="AL51" s="12">
        <v>456.12</v>
      </c>
      <c r="AM51" s="12">
        <v>4042.55</v>
      </c>
      <c r="AN51" s="12">
        <v>722.87</v>
      </c>
      <c r="AO51" s="12">
        <v>3885.34</v>
      </c>
      <c r="AP51" s="12">
        <v>1189.1199999999999</v>
      </c>
      <c r="AQ51" s="12">
        <v>4264.5600000000004</v>
      </c>
      <c r="AR51" s="12">
        <v>148.91</v>
      </c>
      <c r="AS51" s="12">
        <v>171.31</v>
      </c>
      <c r="AT51" s="12">
        <v>3588.91</v>
      </c>
      <c r="AU51" s="12">
        <v>137.03</v>
      </c>
      <c r="AV51" s="12">
        <v>493.55</v>
      </c>
      <c r="AW51" s="12">
        <v>497.02</v>
      </c>
      <c r="AX51" s="12">
        <v>187.02</v>
      </c>
      <c r="AY51" s="12">
        <v>213.81</v>
      </c>
      <c r="AZ51" s="12">
        <v>596.88</v>
      </c>
      <c r="BA51" s="12">
        <v>56.85</v>
      </c>
      <c r="BB51" s="12">
        <v>23.66</v>
      </c>
      <c r="BC51" s="12">
        <v>41.68</v>
      </c>
      <c r="BD51" s="12">
        <v>349.99</v>
      </c>
      <c r="BE51" s="12">
        <v>400.99</v>
      </c>
      <c r="BF51" s="12">
        <v>361.68</v>
      </c>
      <c r="BG51" s="12">
        <v>674.4</v>
      </c>
      <c r="BH51" s="12">
        <v>187.51</v>
      </c>
      <c r="BI51" s="12">
        <v>127.7</v>
      </c>
      <c r="BJ51" s="12">
        <v>394.45</v>
      </c>
      <c r="BK51" s="12">
        <v>54.66</v>
      </c>
      <c r="BL51" s="12">
        <v>115.15</v>
      </c>
      <c r="BM51" s="12">
        <v>350.11</v>
      </c>
      <c r="BN51" s="12">
        <v>617.20000000000005</v>
      </c>
      <c r="BO51" s="12">
        <v>219.78</v>
      </c>
      <c r="BP51" s="12">
        <v>1010.45</v>
      </c>
      <c r="BQ51" s="12">
        <v>151.69</v>
      </c>
      <c r="BR51" s="12">
        <v>75.430000000000007</v>
      </c>
      <c r="BS51" s="12">
        <v>77.27</v>
      </c>
      <c r="BT51" s="12">
        <v>109.71</v>
      </c>
      <c r="BU51" s="12">
        <v>48.63</v>
      </c>
      <c r="BV51" s="12">
        <v>73.84</v>
      </c>
      <c r="BW51" s="12">
        <v>2.2799999999999998</v>
      </c>
      <c r="BX51" s="6">
        <v>0</v>
      </c>
      <c r="BY51" s="12">
        <v>8052.43</v>
      </c>
      <c r="BZ51" s="12">
        <v>1846.76</v>
      </c>
      <c r="CA51" s="12">
        <v>6180.24</v>
      </c>
      <c r="CB51" s="12">
        <v>25.43</v>
      </c>
      <c r="CC51" s="12">
        <v>7413.92</v>
      </c>
      <c r="CD51" s="12">
        <v>199.91</v>
      </c>
      <c r="CE51" s="6">
        <v>0</v>
      </c>
      <c r="CF51" s="7" t="s">
        <v>104</v>
      </c>
      <c r="CG51" s="6">
        <v>0</v>
      </c>
      <c r="CH51" s="6" t="s">
        <v>104</v>
      </c>
      <c r="CI51" s="6">
        <v>0</v>
      </c>
      <c r="CJ51" s="12">
        <v>7214.01</v>
      </c>
      <c r="CK51" s="6" t="s">
        <v>104</v>
      </c>
      <c r="CL51" s="6" t="s">
        <v>104</v>
      </c>
      <c r="CM51" s="12">
        <v>92146.33</v>
      </c>
      <c r="CN51" s="12">
        <v>15466.35</v>
      </c>
    </row>
    <row r="52" spans="1:92" x14ac:dyDescent="0.35">
      <c r="A52" s="5" t="s">
        <v>54</v>
      </c>
      <c r="B52" s="13">
        <v>23749.03</v>
      </c>
      <c r="C52" s="13">
        <v>44.06</v>
      </c>
      <c r="D52" s="13">
        <v>26.77</v>
      </c>
      <c r="E52" s="13">
        <v>13.86</v>
      </c>
      <c r="F52" s="13">
        <v>56.65</v>
      </c>
      <c r="G52" s="13">
        <v>731.48</v>
      </c>
      <c r="H52" s="13">
        <v>84.78</v>
      </c>
      <c r="I52" s="13">
        <v>72.599999999999994</v>
      </c>
      <c r="J52" s="13">
        <v>115.97</v>
      </c>
      <c r="K52" s="13">
        <v>13.65</v>
      </c>
      <c r="L52" s="13">
        <v>3453.28</v>
      </c>
      <c r="M52" s="12">
        <v>825.9</v>
      </c>
      <c r="N52" s="43">
        <v>0</v>
      </c>
      <c r="O52" s="43">
        <v>0</v>
      </c>
      <c r="P52" s="43">
        <v>0</v>
      </c>
      <c r="Q52" s="43">
        <v>0</v>
      </c>
      <c r="R52" s="43">
        <v>0</v>
      </c>
      <c r="S52" s="43">
        <v>0</v>
      </c>
      <c r="T52" s="43">
        <v>0</v>
      </c>
      <c r="U52" s="43">
        <v>0</v>
      </c>
      <c r="V52" s="13">
        <v>258.19</v>
      </c>
      <c r="W52" s="13">
        <v>140.41</v>
      </c>
      <c r="X52" s="13">
        <v>185.37</v>
      </c>
      <c r="Y52" s="13">
        <v>672.1</v>
      </c>
      <c r="Z52" s="13">
        <v>208.82</v>
      </c>
      <c r="AA52" s="13">
        <v>327.48</v>
      </c>
      <c r="AB52" s="13">
        <v>247.66</v>
      </c>
      <c r="AC52" s="13">
        <v>295.55</v>
      </c>
      <c r="AD52" s="13">
        <v>374.44</v>
      </c>
      <c r="AE52" s="13">
        <v>139.32</v>
      </c>
      <c r="AF52" s="13">
        <v>92.24</v>
      </c>
      <c r="AG52" s="13">
        <v>124.84</v>
      </c>
      <c r="AH52" s="13">
        <v>502.44</v>
      </c>
      <c r="AI52" s="13">
        <v>502.44</v>
      </c>
      <c r="AJ52" s="61">
        <v>0</v>
      </c>
      <c r="AK52" s="13">
        <v>5.0199999999999996</v>
      </c>
      <c r="AL52" s="13">
        <v>93.56</v>
      </c>
      <c r="AM52" s="13">
        <v>360.12</v>
      </c>
      <c r="AN52" s="13">
        <v>95.28</v>
      </c>
      <c r="AO52" s="13">
        <v>822.21</v>
      </c>
      <c r="AP52" s="13">
        <v>96.18</v>
      </c>
      <c r="AQ52" s="13">
        <v>633.16</v>
      </c>
      <c r="AR52" s="13">
        <v>9885.9</v>
      </c>
      <c r="AS52" s="13">
        <v>72.52</v>
      </c>
      <c r="AT52" s="13">
        <v>1351.42</v>
      </c>
      <c r="AU52" s="13">
        <v>22.66</v>
      </c>
      <c r="AV52" s="13">
        <v>79.849999999999994</v>
      </c>
      <c r="AW52" s="13">
        <v>130.38999999999999</v>
      </c>
      <c r="AX52" s="13">
        <v>20.18</v>
      </c>
      <c r="AY52" s="13">
        <v>37.83</v>
      </c>
      <c r="AZ52" s="13">
        <v>110.98</v>
      </c>
      <c r="BA52" s="13">
        <v>4.83</v>
      </c>
      <c r="BB52" s="13">
        <v>7.59</v>
      </c>
      <c r="BC52" s="13">
        <v>10.79</v>
      </c>
      <c r="BD52" s="13">
        <v>42.68</v>
      </c>
      <c r="BE52" s="13">
        <v>97.14</v>
      </c>
      <c r="BF52" s="13">
        <v>32.99</v>
      </c>
      <c r="BG52" s="13">
        <v>75.290000000000006</v>
      </c>
      <c r="BH52" s="13">
        <v>16.45</v>
      </c>
      <c r="BI52" s="13">
        <v>25.44</v>
      </c>
      <c r="BJ52" s="13">
        <v>102.03</v>
      </c>
      <c r="BK52" s="13">
        <v>12.38</v>
      </c>
      <c r="BL52" s="13">
        <v>112.55</v>
      </c>
      <c r="BM52" s="13">
        <v>83.63</v>
      </c>
      <c r="BN52" s="13">
        <v>92.18</v>
      </c>
      <c r="BO52" s="13">
        <v>29.44</v>
      </c>
      <c r="BP52" s="13">
        <v>110.99</v>
      </c>
      <c r="BQ52" s="13">
        <v>27.33</v>
      </c>
      <c r="BR52" s="13">
        <v>12.16</v>
      </c>
      <c r="BS52" s="13">
        <v>9.36</v>
      </c>
      <c r="BT52" s="13">
        <v>5.67</v>
      </c>
      <c r="BU52" s="13">
        <v>5.68</v>
      </c>
      <c r="BV52" s="13">
        <v>6.18</v>
      </c>
      <c r="BW52" s="13">
        <v>1.1299999999999999</v>
      </c>
      <c r="BX52" s="7">
        <v>0</v>
      </c>
      <c r="BY52" s="13">
        <v>3866.57</v>
      </c>
      <c r="BZ52" s="13">
        <v>48.91</v>
      </c>
      <c r="CA52" s="13">
        <v>3817.52</v>
      </c>
      <c r="CB52" s="13">
        <v>0.13</v>
      </c>
      <c r="CC52" s="13">
        <v>1770.34</v>
      </c>
      <c r="CD52" s="13">
        <v>769.28</v>
      </c>
      <c r="CE52" s="7">
        <v>0</v>
      </c>
      <c r="CF52" s="7" t="s">
        <v>104</v>
      </c>
      <c r="CG52" s="7">
        <v>0</v>
      </c>
      <c r="CH52" s="6" t="s">
        <v>104</v>
      </c>
      <c r="CI52" s="7">
        <v>0</v>
      </c>
      <c r="CJ52" s="13">
        <v>1001.06</v>
      </c>
      <c r="CK52" s="7" t="s">
        <v>104</v>
      </c>
      <c r="CL52" s="7" t="s">
        <v>104</v>
      </c>
      <c r="CM52" s="13">
        <v>29385.94</v>
      </c>
      <c r="CN52" s="13">
        <v>5636.91</v>
      </c>
    </row>
    <row r="53" spans="1:92" x14ac:dyDescent="0.35">
      <c r="A53" s="5" t="s">
        <v>55</v>
      </c>
      <c r="B53" s="12">
        <v>6631.62</v>
      </c>
      <c r="C53" s="12">
        <v>27.83</v>
      </c>
      <c r="D53" s="12">
        <v>2.33</v>
      </c>
      <c r="E53" s="12">
        <v>1.32</v>
      </c>
      <c r="F53" s="12">
        <v>5.77</v>
      </c>
      <c r="G53" s="12">
        <v>136.16</v>
      </c>
      <c r="H53" s="12">
        <v>36.36</v>
      </c>
      <c r="I53" s="12">
        <v>7.18</v>
      </c>
      <c r="J53" s="12">
        <v>15.39</v>
      </c>
      <c r="K53" s="12">
        <v>8.23</v>
      </c>
      <c r="L53" s="12">
        <v>348.04</v>
      </c>
      <c r="M53" s="12">
        <v>140.6</v>
      </c>
      <c r="N53" s="43">
        <v>0</v>
      </c>
      <c r="O53" s="43">
        <v>0</v>
      </c>
      <c r="P53" s="43">
        <v>0</v>
      </c>
      <c r="Q53" s="43">
        <v>0</v>
      </c>
      <c r="R53" s="43">
        <v>0</v>
      </c>
      <c r="S53" s="43">
        <v>0</v>
      </c>
      <c r="T53" s="43">
        <v>0</v>
      </c>
      <c r="U53" s="43">
        <v>0</v>
      </c>
      <c r="V53" s="12">
        <v>72.52</v>
      </c>
      <c r="W53" s="12">
        <v>53.93</v>
      </c>
      <c r="X53" s="12">
        <v>31.07</v>
      </c>
      <c r="Y53" s="12">
        <v>81.150000000000006</v>
      </c>
      <c r="Z53" s="12">
        <v>101.3</v>
      </c>
      <c r="AA53" s="12">
        <v>151.22999999999999</v>
      </c>
      <c r="AB53" s="12">
        <v>156.41999999999999</v>
      </c>
      <c r="AC53" s="12">
        <v>208.14</v>
      </c>
      <c r="AD53" s="12">
        <v>167.77</v>
      </c>
      <c r="AE53" s="12">
        <v>192.62</v>
      </c>
      <c r="AF53" s="12">
        <v>44.05</v>
      </c>
      <c r="AG53" s="12">
        <v>85.38</v>
      </c>
      <c r="AH53" s="13">
        <v>285.3</v>
      </c>
      <c r="AI53" s="12">
        <v>285.3</v>
      </c>
      <c r="AJ53" s="61">
        <v>0</v>
      </c>
      <c r="AK53" s="12">
        <v>2.27</v>
      </c>
      <c r="AL53" s="12">
        <v>21.95</v>
      </c>
      <c r="AM53" s="12">
        <v>145.66</v>
      </c>
      <c r="AN53" s="12">
        <v>31.7</v>
      </c>
      <c r="AO53" s="12">
        <v>140.34</v>
      </c>
      <c r="AP53" s="12">
        <v>64.62</v>
      </c>
      <c r="AQ53" s="12">
        <v>47.24</v>
      </c>
      <c r="AR53" s="12">
        <v>51.67</v>
      </c>
      <c r="AS53" s="12">
        <v>973.42</v>
      </c>
      <c r="AT53" s="12">
        <v>205.23</v>
      </c>
      <c r="AU53" s="12">
        <v>102.03</v>
      </c>
      <c r="AV53" s="12">
        <v>58.56</v>
      </c>
      <c r="AW53" s="12">
        <v>29.55</v>
      </c>
      <c r="AX53" s="12">
        <v>60.08</v>
      </c>
      <c r="AY53" s="12">
        <v>38.19</v>
      </c>
      <c r="AZ53" s="12">
        <v>128.13999999999999</v>
      </c>
      <c r="BA53" s="12">
        <v>50.79</v>
      </c>
      <c r="BB53" s="12">
        <v>28.18</v>
      </c>
      <c r="BC53" s="12">
        <v>72.61</v>
      </c>
      <c r="BD53" s="12">
        <v>27.97</v>
      </c>
      <c r="BE53" s="12">
        <v>135.82</v>
      </c>
      <c r="BF53" s="12">
        <v>65.73</v>
      </c>
      <c r="BG53" s="12">
        <v>91.75</v>
      </c>
      <c r="BH53" s="12">
        <v>40.51</v>
      </c>
      <c r="BI53" s="12">
        <v>25.99</v>
      </c>
      <c r="BJ53" s="12">
        <v>68.099999999999994</v>
      </c>
      <c r="BK53" s="12">
        <v>12.6</v>
      </c>
      <c r="BL53" s="12">
        <v>992.02</v>
      </c>
      <c r="BM53" s="12">
        <v>68.53</v>
      </c>
      <c r="BN53" s="12">
        <v>168.04</v>
      </c>
      <c r="BO53" s="12">
        <v>36.81</v>
      </c>
      <c r="BP53" s="12">
        <v>114.38</v>
      </c>
      <c r="BQ53" s="12">
        <v>37.99</v>
      </c>
      <c r="BR53" s="12">
        <v>44.79</v>
      </c>
      <c r="BS53" s="12">
        <v>18.55</v>
      </c>
      <c r="BT53" s="12">
        <v>46.74</v>
      </c>
      <c r="BU53" s="12">
        <v>4.1399999999999997</v>
      </c>
      <c r="BV53" s="12">
        <v>17.8</v>
      </c>
      <c r="BW53" s="12">
        <v>1.0900000000000001</v>
      </c>
      <c r="BX53" s="6">
        <v>0</v>
      </c>
      <c r="BY53" s="12">
        <v>6347.3</v>
      </c>
      <c r="BZ53" s="12">
        <v>44.62</v>
      </c>
      <c r="CA53" s="12">
        <v>6302.58</v>
      </c>
      <c r="CB53" s="12">
        <v>0.11</v>
      </c>
      <c r="CC53" s="12">
        <v>557.46</v>
      </c>
      <c r="CD53" s="12">
        <v>-196.23</v>
      </c>
      <c r="CE53" s="6">
        <v>0</v>
      </c>
      <c r="CF53" s="7" t="s">
        <v>104</v>
      </c>
      <c r="CG53" s="6">
        <v>0</v>
      </c>
      <c r="CH53" s="6" t="s">
        <v>104</v>
      </c>
      <c r="CI53" s="6">
        <v>0</v>
      </c>
      <c r="CJ53" s="12">
        <v>753.68</v>
      </c>
      <c r="CK53" s="6" t="s">
        <v>104</v>
      </c>
      <c r="CL53" s="6" t="s">
        <v>104</v>
      </c>
      <c r="CM53" s="12">
        <v>13536.39</v>
      </c>
      <c r="CN53" s="12">
        <v>6904.76</v>
      </c>
    </row>
    <row r="54" spans="1:92" x14ac:dyDescent="0.35">
      <c r="A54" s="5" t="s">
        <v>56</v>
      </c>
      <c r="B54" s="13">
        <v>31653.97</v>
      </c>
      <c r="C54" s="13">
        <v>39.49</v>
      </c>
      <c r="D54" s="13">
        <v>5.9</v>
      </c>
      <c r="E54" s="13">
        <v>9.6300000000000008</v>
      </c>
      <c r="F54" s="13">
        <v>33.67</v>
      </c>
      <c r="G54" s="13">
        <v>423.54</v>
      </c>
      <c r="H54" s="13">
        <v>60.02</v>
      </c>
      <c r="I54" s="13">
        <v>49.24</v>
      </c>
      <c r="J54" s="13">
        <v>76.63</v>
      </c>
      <c r="K54" s="13">
        <v>10.44</v>
      </c>
      <c r="L54" s="13">
        <v>185.53</v>
      </c>
      <c r="M54" s="12">
        <v>246.12</v>
      </c>
      <c r="N54" s="43">
        <v>0</v>
      </c>
      <c r="O54" s="43">
        <v>0</v>
      </c>
      <c r="P54" s="43">
        <v>0</v>
      </c>
      <c r="Q54" s="43">
        <v>0</v>
      </c>
      <c r="R54" s="43">
        <v>0</v>
      </c>
      <c r="S54" s="43">
        <v>0</v>
      </c>
      <c r="T54" s="43">
        <v>0</v>
      </c>
      <c r="U54" s="43">
        <v>0</v>
      </c>
      <c r="V54" s="13">
        <v>99.92</v>
      </c>
      <c r="W54" s="13">
        <v>77.81</v>
      </c>
      <c r="X54" s="13">
        <v>98.68</v>
      </c>
      <c r="Y54" s="13">
        <v>150.71</v>
      </c>
      <c r="Z54" s="13">
        <v>110.74</v>
      </c>
      <c r="AA54" s="13">
        <v>50.78</v>
      </c>
      <c r="AB54" s="13">
        <v>53.04</v>
      </c>
      <c r="AC54" s="13">
        <v>114.79</v>
      </c>
      <c r="AD54" s="13">
        <v>162.01</v>
      </c>
      <c r="AE54" s="13">
        <v>59.91</v>
      </c>
      <c r="AF54" s="13">
        <v>41.71</v>
      </c>
      <c r="AG54" s="13">
        <v>72.930000000000007</v>
      </c>
      <c r="AH54" s="13">
        <v>144.38</v>
      </c>
      <c r="AI54" s="13">
        <v>144.38</v>
      </c>
      <c r="AJ54" s="61">
        <v>0</v>
      </c>
      <c r="AK54" s="13">
        <v>4.2699999999999996</v>
      </c>
      <c r="AL54" s="13">
        <v>63.84</v>
      </c>
      <c r="AM54" s="13">
        <v>381.07</v>
      </c>
      <c r="AN54" s="13">
        <v>193.86</v>
      </c>
      <c r="AO54" s="13">
        <v>2121.94</v>
      </c>
      <c r="AP54" s="13">
        <v>532.82000000000005</v>
      </c>
      <c r="AQ54" s="13">
        <v>1954.03</v>
      </c>
      <c r="AR54" s="13">
        <v>13762.63</v>
      </c>
      <c r="AS54" s="13">
        <v>2035.95</v>
      </c>
      <c r="AT54" s="13">
        <v>6444.37</v>
      </c>
      <c r="AU54" s="13">
        <v>295.26</v>
      </c>
      <c r="AV54" s="13">
        <v>60.27</v>
      </c>
      <c r="AW54" s="13">
        <v>47.62</v>
      </c>
      <c r="AX54" s="13">
        <v>9.2100000000000009</v>
      </c>
      <c r="AY54" s="13">
        <v>145.30000000000001</v>
      </c>
      <c r="AZ54" s="13">
        <v>207.4</v>
      </c>
      <c r="BA54" s="13">
        <v>9.1300000000000008</v>
      </c>
      <c r="BB54" s="13">
        <v>9.2200000000000006</v>
      </c>
      <c r="BC54" s="13">
        <v>12.1</v>
      </c>
      <c r="BD54" s="13">
        <v>132.66999999999999</v>
      </c>
      <c r="BE54" s="13">
        <v>128.1</v>
      </c>
      <c r="BF54" s="13">
        <v>40.6</v>
      </c>
      <c r="BG54" s="13">
        <v>52.73</v>
      </c>
      <c r="BH54" s="13">
        <v>30.34</v>
      </c>
      <c r="BI54" s="13">
        <v>24.35</v>
      </c>
      <c r="BJ54" s="13">
        <v>180.68</v>
      </c>
      <c r="BK54" s="13">
        <v>17.190000000000001</v>
      </c>
      <c r="BL54" s="13">
        <v>50.6</v>
      </c>
      <c r="BM54" s="13">
        <v>84.94</v>
      </c>
      <c r="BN54" s="13">
        <v>129.19</v>
      </c>
      <c r="BO54" s="13">
        <v>12.79</v>
      </c>
      <c r="BP54" s="13">
        <v>32.590000000000003</v>
      </c>
      <c r="BQ54" s="13">
        <v>6.76</v>
      </c>
      <c r="BR54" s="13">
        <v>13.72</v>
      </c>
      <c r="BS54" s="13">
        <v>11.16</v>
      </c>
      <c r="BT54" s="13">
        <v>3.79</v>
      </c>
      <c r="BU54" s="13">
        <v>15.28</v>
      </c>
      <c r="BV54" s="13">
        <v>15.45</v>
      </c>
      <c r="BW54" s="13">
        <v>3.14</v>
      </c>
      <c r="BX54" s="7">
        <v>0</v>
      </c>
      <c r="BY54" s="13">
        <v>340.73</v>
      </c>
      <c r="BZ54" s="13">
        <v>6.99</v>
      </c>
      <c r="CA54" s="13">
        <v>333.64</v>
      </c>
      <c r="CB54" s="13">
        <v>0.09</v>
      </c>
      <c r="CC54" s="13">
        <v>45.7</v>
      </c>
      <c r="CD54" s="13">
        <v>3.85</v>
      </c>
      <c r="CE54" s="7">
        <v>0</v>
      </c>
      <c r="CF54" s="7" t="s">
        <v>104</v>
      </c>
      <c r="CG54" s="7">
        <v>0</v>
      </c>
      <c r="CH54" s="6" t="s">
        <v>104</v>
      </c>
      <c r="CI54" s="7">
        <v>0</v>
      </c>
      <c r="CJ54" s="13">
        <v>41.85</v>
      </c>
      <c r="CK54" s="7" t="s">
        <v>104</v>
      </c>
      <c r="CL54" s="7" t="s">
        <v>104</v>
      </c>
      <c r="CM54" s="13">
        <v>32040.39</v>
      </c>
      <c r="CN54" s="13">
        <v>386.43</v>
      </c>
    </row>
    <row r="55" spans="1:92" x14ac:dyDescent="0.35">
      <c r="A55" s="5" t="s">
        <v>57</v>
      </c>
      <c r="B55" s="12">
        <v>16158.62</v>
      </c>
      <c r="C55" s="12">
        <v>38.340000000000003</v>
      </c>
      <c r="D55" s="12">
        <v>4.5199999999999996</v>
      </c>
      <c r="E55" s="12">
        <v>0.77</v>
      </c>
      <c r="F55" s="12">
        <v>12.24</v>
      </c>
      <c r="G55" s="12">
        <v>241.82</v>
      </c>
      <c r="H55" s="12">
        <v>70.64</v>
      </c>
      <c r="I55" s="12">
        <v>14.69</v>
      </c>
      <c r="J55" s="12">
        <v>27.03</v>
      </c>
      <c r="K55" s="12">
        <v>24.8</v>
      </c>
      <c r="L55" s="12">
        <v>58.53</v>
      </c>
      <c r="M55" s="12">
        <v>289.43</v>
      </c>
      <c r="N55" s="43">
        <v>0</v>
      </c>
      <c r="O55" s="43">
        <v>0</v>
      </c>
      <c r="P55" s="43">
        <v>0</v>
      </c>
      <c r="Q55" s="43">
        <v>0</v>
      </c>
      <c r="R55" s="43">
        <v>0</v>
      </c>
      <c r="S55" s="43">
        <v>0</v>
      </c>
      <c r="T55" s="43">
        <v>0</v>
      </c>
      <c r="U55" s="43">
        <v>0</v>
      </c>
      <c r="V55" s="12">
        <v>192.75</v>
      </c>
      <c r="W55" s="12">
        <v>69.02</v>
      </c>
      <c r="X55" s="12">
        <v>35.4</v>
      </c>
      <c r="Y55" s="12">
        <v>39.99</v>
      </c>
      <c r="Z55" s="12">
        <v>108.49</v>
      </c>
      <c r="AA55" s="12">
        <v>145.52000000000001</v>
      </c>
      <c r="AB55" s="12">
        <v>158.53</v>
      </c>
      <c r="AC55" s="12">
        <v>221.97</v>
      </c>
      <c r="AD55" s="12">
        <v>153.21</v>
      </c>
      <c r="AE55" s="12">
        <v>21.78</v>
      </c>
      <c r="AF55" s="12">
        <v>121.81</v>
      </c>
      <c r="AG55" s="12">
        <v>64.87</v>
      </c>
      <c r="AH55" s="13">
        <v>208.61</v>
      </c>
      <c r="AI55" s="12">
        <v>208.61</v>
      </c>
      <c r="AJ55" s="61">
        <v>0</v>
      </c>
      <c r="AK55" s="12">
        <v>22.61</v>
      </c>
      <c r="AL55" s="12">
        <v>116.87</v>
      </c>
      <c r="AM55" s="12">
        <v>180.07</v>
      </c>
      <c r="AN55" s="12">
        <v>171.21</v>
      </c>
      <c r="AO55" s="12">
        <v>1030.0999999999999</v>
      </c>
      <c r="AP55" s="12">
        <v>993.64</v>
      </c>
      <c r="AQ55" s="12">
        <v>370.65</v>
      </c>
      <c r="AR55" s="12">
        <v>191.34</v>
      </c>
      <c r="AS55" s="12">
        <v>110.92</v>
      </c>
      <c r="AT55" s="12">
        <v>429.75</v>
      </c>
      <c r="AU55" s="12">
        <v>2000.1</v>
      </c>
      <c r="AV55" s="12">
        <v>368.49</v>
      </c>
      <c r="AW55" s="12">
        <v>223.17</v>
      </c>
      <c r="AX55" s="12">
        <v>88.97</v>
      </c>
      <c r="AY55" s="12">
        <v>492.99</v>
      </c>
      <c r="AZ55" s="12">
        <v>833.93</v>
      </c>
      <c r="BA55" s="12">
        <v>378.69</v>
      </c>
      <c r="BB55" s="12">
        <v>164.94</v>
      </c>
      <c r="BC55" s="12">
        <v>317.8</v>
      </c>
      <c r="BD55" s="12">
        <v>177.8</v>
      </c>
      <c r="BE55" s="12">
        <v>2025.6</v>
      </c>
      <c r="BF55" s="12">
        <v>106.54</v>
      </c>
      <c r="BG55" s="12">
        <v>232.72</v>
      </c>
      <c r="BH55" s="12">
        <v>133.18</v>
      </c>
      <c r="BI55" s="12">
        <v>85.86</v>
      </c>
      <c r="BJ55" s="12">
        <v>334.56</v>
      </c>
      <c r="BK55" s="12">
        <v>234.61</v>
      </c>
      <c r="BL55" s="12">
        <v>43.25</v>
      </c>
      <c r="BM55" s="12">
        <v>303.33</v>
      </c>
      <c r="BN55" s="12">
        <v>833.56</v>
      </c>
      <c r="BO55" s="12">
        <v>132.54</v>
      </c>
      <c r="BP55" s="12">
        <v>208.66</v>
      </c>
      <c r="BQ55" s="12">
        <v>185.89</v>
      </c>
      <c r="BR55" s="12">
        <v>97.21</v>
      </c>
      <c r="BS55" s="12">
        <v>52.2</v>
      </c>
      <c r="BT55" s="12">
        <v>78.16</v>
      </c>
      <c r="BU55" s="12">
        <v>11.61</v>
      </c>
      <c r="BV55" s="12">
        <v>63.58</v>
      </c>
      <c r="BW55" s="12">
        <v>6.79</v>
      </c>
      <c r="BX55" s="6">
        <v>0</v>
      </c>
      <c r="BY55" s="12">
        <v>1421.19</v>
      </c>
      <c r="BZ55" s="12">
        <v>3.72</v>
      </c>
      <c r="CA55" s="12">
        <v>1417.47</v>
      </c>
      <c r="CB55" s="6">
        <v>0</v>
      </c>
      <c r="CC55" s="12">
        <v>0.05</v>
      </c>
      <c r="CD55" s="12">
        <v>0.05</v>
      </c>
      <c r="CE55" s="6">
        <v>0</v>
      </c>
      <c r="CF55" s="7" t="s">
        <v>104</v>
      </c>
      <c r="CG55" s="6">
        <v>0</v>
      </c>
      <c r="CH55" s="6" t="s">
        <v>104</v>
      </c>
      <c r="CI55" s="6">
        <v>0</v>
      </c>
      <c r="CJ55" s="6">
        <v>0</v>
      </c>
      <c r="CK55" s="6" t="s">
        <v>104</v>
      </c>
      <c r="CL55" s="6" t="s">
        <v>104</v>
      </c>
      <c r="CM55" s="12">
        <v>17579.86</v>
      </c>
      <c r="CN55" s="12">
        <v>1421.24</v>
      </c>
    </row>
    <row r="56" spans="1:92" x14ac:dyDescent="0.35">
      <c r="A56" s="5" t="s">
        <v>58</v>
      </c>
      <c r="B56" s="13">
        <v>2472.56</v>
      </c>
      <c r="C56" s="13">
        <v>12.41</v>
      </c>
      <c r="D56" s="13">
        <v>3.01</v>
      </c>
      <c r="E56" s="13">
        <v>6.45</v>
      </c>
      <c r="F56" s="13">
        <v>8.0500000000000007</v>
      </c>
      <c r="G56" s="13">
        <v>39.28</v>
      </c>
      <c r="H56" s="13">
        <v>17.93</v>
      </c>
      <c r="I56" s="13">
        <v>9.9700000000000006</v>
      </c>
      <c r="J56" s="13">
        <v>12.43</v>
      </c>
      <c r="K56" s="13">
        <v>8.5</v>
      </c>
      <c r="L56" s="13">
        <v>13.05</v>
      </c>
      <c r="M56" s="12">
        <v>32.57</v>
      </c>
      <c r="N56" s="43">
        <v>0</v>
      </c>
      <c r="O56" s="43">
        <v>0</v>
      </c>
      <c r="P56" s="43">
        <v>0</v>
      </c>
      <c r="Q56" s="43">
        <v>0</v>
      </c>
      <c r="R56" s="43">
        <v>0</v>
      </c>
      <c r="S56" s="43">
        <v>0</v>
      </c>
      <c r="T56" s="43">
        <v>0</v>
      </c>
      <c r="U56" s="43">
        <v>0</v>
      </c>
      <c r="V56" s="13">
        <v>19.22</v>
      </c>
      <c r="W56" s="13">
        <v>25.72</v>
      </c>
      <c r="X56" s="13">
        <v>17.809999999999999</v>
      </c>
      <c r="Y56" s="13">
        <v>24.61</v>
      </c>
      <c r="Z56" s="13">
        <v>34.880000000000003</v>
      </c>
      <c r="AA56" s="13">
        <v>30.18</v>
      </c>
      <c r="AB56" s="13">
        <v>27.51</v>
      </c>
      <c r="AC56" s="13">
        <v>53.23</v>
      </c>
      <c r="AD56" s="13">
        <v>40.86</v>
      </c>
      <c r="AE56" s="13">
        <v>21.18</v>
      </c>
      <c r="AF56" s="13">
        <v>20.7</v>
      </c>
      <c r="AG56" s="13">
        <v>26.35</v>
      </c>
      <c r="AH56" s="13">
        <v>30.54</v>
      </c>
      <c r="AI56" s="13">
        <v>30.54</v>
      </c>
      <c r="AJ56" s="61">
        <v>0</v>
      </c>
      <c r="AK56" s="13">
        <v>5.8</v>
      </c>
      <c r="AL56" s="13">
        <v>18.61</v>
      </c>
      <c r="AM56" s="13">
        <v>83.97</v>
      </c>
      <c r="AN56" s="13">
        <v>22.13</v>
      </c>
      <c r="AO56" s="13">
        <v>50.8</v>
      </c>
      <c r="AP56" s="13">
        <v>35.83</v>
      </c>
      <c r="AQ56" s="13">
        <v>81.150000000000006</v>
      </c>
      <c r="AR56" s="13">
        <v>19.64</v>
      </c>
      <c r="AS56" s="13">
        <v>33.159999999999997</v>
      </c>
      <c r="AT56" s="13">
        <v>62.67</v>
      </c>
      <c r="AU56" s="13">
        <v>8.48</v>
      </c>
      <c r="AV56" s="13">
        <v>45.14</v>
      </c>
      <c r="AW56" s="13">
        <v>14.09</v>
      </c>
      <c r="AX56" s="13">
        <v>21.84</v>
      </c>
      <c r="AY56" s="13">
        <v>38.78</v>
      </c>
      <c r="AZ56" s="13">
        <v>51.47</v>
      </c>
      <c r="BA56" s="13">
        <v>16.02</v>
      </c>
      <c r="BB56" s="13">
        <v>19.61</v>
      </c>
      <c r="BC56" s="13">
        <v>32.28</v>
      </c>
      <c r="BD56" s="7">
        <v>20</v>
      </c>
      <c r="BE56" s="13">
        <v>58.34</v>
      </c>
      <c r="BF56" s="13">
        <v>24.73</v>
      </c>
      <c r="BG56" s="13">
        <v>27.13</v>
      </c>
      <c r="BH56" s="13">
        <v>18.989999999999998</v>
      </c>
      <c r="BI56" s="13">
        <v>17.54</v>
      </c>
      <c r="BJ56" s="13">
        <v>27.3</v>
      </c>
      <c r="BK56" s="13">
        <v>18.3</v>
      </c>
      <c r="BL56" s="13">
        <v>773.85</v>
      </c>
      <c r="BM56" s="13">
        <v>35.49</v>
      </c>
      <c r="BN56" s="13">
        <v>39.729999999999997</v>
      </c>
      <c r="BO56" s="13">
        <v>44.32</v>
      </c>
      <c r="BP56" s="13">
        <v>47.81</v>
      </c>
      <c r="BQ56" s="13">
        <v>35.54</v>
      </c>
      <c r="BR56" s="13">
        <v>21.86</v>
      </c>
      <c r="BS56" s="13">
        <v>14.85</v>
      </c>
      <c r="BT56" s="13">
        <v>20.079999999999998</v>
      </c>
      <c r="BU56" s="13">
        <v>9.7200000000000006</v>
      </c>
      <c r="BV56" s="13">
        <v>18.98</v>
      </c>
      <c r="BW56" s="13">
        <v>0.11</v>
      </c>
      <c r="BX56" s="7">
        <v>0</v>
      </c>
      <c r="BY56" s="13">
        <v>611.37</v>
      </c>
      <c r="BZ56" s="13">
        <v>19.68</v>
      </c>
      <c r="CA56" s="13">
        <v>591.69000000000005</v>
      </c>
      <c r="CB56" s="7">
        <v>0</v>
      </c>
      <c r="CC56" s="13">
        <v>210.35</v>
      </c>
      <c r="CD56" s="13">
        <v>195.82</v>
      </c>
      <c r="CE56" s="7">
        <v>0</v>
      </c>
      <c r="CF56" s="7" t="s">
        <v>104</v>
      </c>
      <c r="CG56" s="7">
        <v>0</v>
      </c>
      <c r="CH56" s="6" t="s">
        <v>104</v>
      </c>
      <c r="CI56" s="7">
        <v>0</v>
      </c>
      <c r="CJ56" s="13">
        <v>14.52</v>
      </c>
      <c r="CK56" s="7" t="s">
        <v>104</v>
      </c>
      <c r="CL56" s="7" t="s">
        <v>104</v>
      </c>
      <c r="CM56" s="13">
        <v>3294.27</v>
      </c>
      <c r="CN56" s="13">
        <v>821.71</v>
      </c>
    </row>
    <row r="57" spans="1:92" x14ac:dyDescent="0.35">
      <c r="A57" s="5" t="s">
        <v>59</v>
      </c>
      <c r="B57" s="12">
        <v>26204.61</v>
      </c>
      <c r="C57" s="12">
        <v>28.32</v>
      </c>
      <c r="D57" s="12">
        <v>3.04</v>
      </c>
      <c r="E57" s="12">
        <v>0.31</v>
      </c>
      <c r="F57" s="12">
        <v>22.74</v>
      </c>
      <c r="G57" s="12">
        <v>496.77</v>
      </c>
      <c r="H57" s="12">
        <v>40.94</v>
      </c>
      <c r="I57" s="12">
        <v>20.5</v>
      </c>
      <c r="J57" s="12">
        <v>129.15</v>
      </c>
      <c r="K57" s="12">
        <v>137.30000000000001</v>
      </c>
      <c r="L57" s="12">
        <v>97.4</v>
      </c>
      <c r="M57" s="12">
        <v>419.44</v>
      </c>
      <c r="N57" s="43">
        <v>0</v>
      </c>
      <c r="O57" s="43">
        <v>0</v>
      </c>
      <c r="P57" s="43">
        <v>0</v>
      </c>
      <c r="Q57" s="43">
        <v>0</v>
      </c>
      <c r="R57" s="43">
        <v>0</v>
      </c>
      <c r="S57" s="43">
        <v>0</v>
      </c>
      <c r="T57" s="43">
        <v>0</v>
      </c>
      <c r="U57" s="43">
        <v>0</v>
      </c>
      <c r="V57" s="12">
        <v>1314.83</v>
      </c>
      <c r="W57" s="12">
        <v>102.53</v>
      </c>
      <c r="X57" s="12">
        <v>52.61</v>
      </c>
      <c r="Y57" s="12">
        <v>70.150000000000006</v>
      </c>
      <c r="Z57" s="12">
        <v>178.52</v>
      </c>
      <c r="AA57" s="12">
        <v>784.98</v>
      </c>
      <c r="AB57" s="12">
        <v>87.83</v>
      </c>
      <c r="AC57" s="12">
        <v>185.69</v>
      </c>
      <c r="AD57" s="12">
        <v>137.71</v>
      </c>
      <c r="AE57" s="12">
        <v>44.81</v>
      </c>
      <c r="AF57" s="12">
        <v>173.99</v>
      </c>
      <c r="AG57" s="12">
        <v>69.37</v>
      </c>
      <c r="AH57" s="13">
        <v>482.19</v>
      </c>
      <c r="AI57" s="12">
        <v>482.19</v>
      </c>
      <c r="AJ57" s="61">
        <v>0</v>
      </c>
      <c r="AK57" s="12">
        <v>28.77</v>
      </c>
      <c r="AL57" s="12">
        <v>168.19</v>
      </c>
      <c r="AM57" s="12">
        <v>220.42</v>
      </c>
      <c r="AN57" s="12">
        <v>112.64</v>
      </c>
      <c r="AO57" s="12">
        <v>885.4</v>
      </c>
      <c r="AP57" s="12">
        <v>377.54</v>
      </c>
      <c r="AQ57" s="12">
        <v>126.63</v>
      </c>
      <c r="AR57" s="12">
        <v>32.840000000000003</v>
      </c>
      <c r="AS57" s="12">
        <v>170.46</v>
      </c>
      <c r="AT57" s="12">
        <v>142.09</v>
      </c>
      <c r="AU57" s="12">
        <v>44.69</v>
      </c>
      <c r="AV57" s="12">
        <v>163.94</v>
      </c>
      <c r="AW57" s="12">
        <v>6841.12</v>
      </c>
      <c r="AX57" s="12">
        <v>154.19999999999999</v>
      </c>
      <c r="AY57" s="12">
        <v>202.19</v>
      </c>
      <c r="AZ57" s="12">
        <v>3352.63</v>
      </c>
      <c r="BA57" s="12">
        <v>514.72</v>
      </c>
      <c r="BB57" s="12">
        <v>186.49</v>
      </c>
      <c r="BC57" s="12">
        <v>418.98</v>
      </c>
      <c r="BD57" s="6">
        <v>103</v>
      </c>
      <c r="BE57" s="12">
        <v>1019.74</v>
      </c>
      <c r="BF57" s="12">
        <v>248.75</v>
      </c>
      <c r="BG57" s="12">
        <v>375.21</v>
      </c>
      <c r="BH57" s="12">
        <v>465.39</v>
      </c>
      <c r="BI57" s="12">
        <v>227.25</v>
      </c>
      <c r="BJ57" s="12">
        <v>330.57</v>
      </c>
      <c r="BK57" s="12">
        <v>78.84</v>
      </c>
      <c r="BL57" s="12">
        <v>171.6</v>
      </c>
      <c r="BM57" s="12">
        <v>351.99</v>
      </c>
      <c r="BN57" s="12">
        <v>718.29</v>
      </c>
      <c r="BO57" s="12">
        <v>1140.25</v>
      </c>
      <c r="BP57" s="12">
        <v>471.67</v>
      </c>
      <c r="BQ57" s="12">
        <v>307.63</v>
      </c>
      <c r="BR57" s="12">
        <v>533.5</v>
      </c>
      <c r="BS57" s="12">
        <v>100.23</v>
      </c>
      <c r="BT57" s="12">
        <v>276.99</v>
      </c>
      <c r="BU57" s="12">
        <v>8.25</v>
      </c>
      <c r="BV57" s="12">
        <v>49.76</v>
      </c>
      <c r="BW57" s="12">
        <v>0.71</v>
      </c>
      <c r="BX57" s="6">
        <v>0</v>
      </c>
      <c r="BY57" s="12">
        <v>9105.0499999999993</v>
      </c>
      <c r="BZ57" s="12">
        <v>12.38</v>
      </c>
      <c r="CA57" s="12">
        <v>9092.66</v>
      </c>
      <c r="CB57" s="12">
        <v>0.01</v>
      </c>
      <c r="CC57" s="12">
        <v>3637.75</v>
      </c>
      <c r="CD57" s="12">
        <v>-278.23</v>
      </c>
      <c r="CE57" s="6">
        <v>0</v>
      </c>
      <c r="CF57" s="7" t="s">
        <v>104</v>
      </c>
      <c r="CG57" s="6">
        <v>0</v>
      </c>
      <c r="CH57" s="6" t="s">
        <v>104</v>
      </c>
      <c r="CI57" s="6">
        <v>0</v>
      </c>
      <c r="CJ57" s="12">
        <v>3915.98</v>
      </c>
      <c r="CK57" s="6" t="s">
        <v>104</v>
      </c>
      <c r="CL57" s="6" t="s">
        <v>104</v>
      </c>
      <c r="CM57" s="12">
        <v>38947.4</v>
      </c>
      <c r="CN57" s="12">
        <v>12742.79</v>
      </c>
    </row>
    <row r="58" spans="1:92" x14ac:dyDescent="0.35">
      <c r="A58" s="5" t="s">
        <v>60</v>
      </c>
      <c r="B58" s="13">
        <v>17830.810000000001</v>
      </c>
      <c r="C58" s="13">
        <v>64.540000000000006</v>
      </c>
      <c r="D58" s="13">
        <v>0.28000000000000003</v>
      </c>
      <c r="E58" s="13">
        <v>0.79</v>
      </c>
      <c r="F58" s="13">
        <v>1.18</v>
      </c>
      <c r="G58" s="13">
        <v>94.44</v>
      </c>
      <c r="H58" s="13">
        <v>6.08</v>
      </c>
      <c r="I58" s="13">
        <v>7.76</v>
      </c>
      <c r="J58" s="13">
        <v>5.0599999999999996</v>
      </c>
      <c r="K58" s="13">
        <v>15.84</v>
      </c>
      <c r="L58" s="13">
        <v>4.01</v>
      </c>
      <c r="M58" s="12">
        <v>94.49</v>
      </c>
      <c r="N58" s="43">
        <v>0</v>
      </c>
      <c r="O58" s="43">
        <v>0</v>
      </c>
      <c r="P58" s="43">
        <v>0</v>
      </c>
      <c r="Q58" s="43">
        <v>0</v>
      </c>
      <c r="R58" s="43">
        <v>0</v>
      </c>
      <c r="S58" s="43">
        <v>0</v>
      </c>
      <c r="T58" s="43">
        <v>0</v>
      </c>
      <c r="U58" s="43">
        <v>0</v>
      </c>
      <c r="V58" s="13">
        <v>407.84</v>
      </c>
      <c r="W58" s="13">
        <v>9.4600000000000009</v>
      </c>
      <c r="X58" s="13">
        <v>4.9800000000000004</v>
      </c>
      <c r="Y58" s="13">
        <v>4.1900000000000004</v>
      </c>
      <c r="Z58" s="13">
        <v>10.130000000000001</v>
      </c>
      <c r="AA58" s="13">
        <v>74.09</v>
      </c>
      <c r="AB58" s="13">
        <v>10.69</v>
      </c>
      <c r="AC58" s="13">
        <v>10.28</v>
      </c>
      <c r="AD58" s="13">
        <v>21.85</v>
      </c>
      <c r="AE58" s="13">
        <v>6.31</v>
      </c>
      <c r="AF58" s="13">
        <v>110.98</v>
      </c>
      <c r="AG58" s="13">
        <v>12.8</v>
      </c>
      <c r="AH58" s="13">
        <v>27.96</v>
      </c>
      <c r="AI58" s="13">
        <v>27.96</v>
      </c>
      <c r="AJ58" s="61">
        <v>0</v>
      </c>
      <c r="AK58" s="13">
        <v>47.96</v>
      </c>
      <c r="AL58" s="13">
        <v>95.23</v>
      </c>
      <c r="AM58" s="13">
        <v>48.85</v>
      </c>
      <c r="AN58" s="13">
        <v>91.05</v>
      </c>
      <c r="AO58" s="13">
        <v>362.99</v>
      </c>
      <c r="AP58" s="13">
        <v>296.16000000000003</v>
      </c>
      <c r="AQ58" s="13">
        <v>14.4</v>
      </c>
      <c r="AR58" s="13">
        <v>9.6999999999999993</v>
      </c>
      <c r="AS58" s="13">
        <v>9.7799999999999994</v>
      </c>
      <c r="AT58" s="13">
        <v>31.94</v>
      </c>
      <c r="AU58" s="13">
        <v>3.18</v>
      </c>
      <c r="AV58" s="13">
        <v>208.95</v>
      </c>
      <c r="AW58" s="13">
        <v>325.20999999999998</v>
      </c>
      <c r="AX58" s="13">
        <v>4369.8599999999997</v>
      </c>
      <c r="AY58" s="13">
        <v>770.52</v>
      </c>
      <c r="AZ58" s="13">
        <v>3139.25</v>
      </c>
      <c r="BA58" s="13">
        <v>21.53</v>
      </c>
      <c r="BB58" s="13">
        <v>43.31</v>
      </c>
      <c r="BC58" s="13">
        <v>29.39</v>
      </c>
      <c r="BD58" s="13">
        <v>49.84</v>
      </c>
      <c r="BE58" s="13">
        <v>507.64</v>
      </c>
      <c r="BF58" s="13">
        <v>115.92</v>
      </c>
      <c r="BG58" s="13">
        <v>120.18</v>
      </c>
      <c r="BH58" s="13">
        <v>1773.1</v>
      </c>
      <c r="BI58" s="13">
        <v>59.78</v>
      </c>
      <c r="BJ58" s="13">
        <v>1343.3</v>
      </c>
      <c r="BK58" s="13">
        <v>21.02</v>
      </c>
      <c r="BL58" s="13">
        <v>12.12</v>
      </c>
      <c r="BM58" s="13">
        <v>178.08</v>
      </c>
      <c r="BN58" s="13">
        <v>1411.06</v>
      </c>
      <c r="BO58" s="13">
        <v>59.84</v>
      </c>
      <c r="BP58" s="13">
        <v>55.97</v>
      </c>
      <c r="BQ58" s="13">
        <v>203.91</v>
      </c>
      <c r="BR58" s="13">
        <v>383.79</v>
      </c>
      <c r="BS58" s="13">
        <v>153.72</v>
      </c>
      <c r="BT58" s="13">
        <v>414.48</v>
      </c>
      <c r="BU58" s="13">
        <v>8.02</v>
      </c>
      <c r="BV58" s="13">
        <v>33.229999999999997</v>
      </c>
      <c r="BW58" s="13">
        <v>0.56999999999999995</v>
      </c>
      <c r="BX58" s="7">
        <v>0</v>
      </c>
      <c r="BY58" s="13">
        <v>6616.99</v>
      </c>
      <c r="BZ58" s="13">
        <v>42.87</v>
      </c>
      <c r="CA58" s="13">
        <v>6573.57</v>
      </c>
      <c r="CB58" s="13">
        <v>0.55000000000000004</v>
      </c>
      <c r="CC58" s="13">
        <v>580.46</v>
      </c>
      <c r="CD58" s="13">
        <v>69.489999999999995</v>
      </c>
      <c r="CE58" s="7">
        <v>0</v>
      </c>
      <c r="CF58" s="7" t="s">
        <v>104</v>
      </c>
      <c r="CG58" s="7">
        <v>0</v>
      </c>
      <c r="CH58" s="6" t="s">
        <v>104</v>
      </c>
      <c r="CI58" s="7">
        <v>0</v>
      </c>
      <c r="CJ58" s="13">
        <v>510.97</v>
      </c>
      <c r="CK58" s="7" t="s">
        <v>104</v>
      </c>
      <c r="CL58" s="7" t="s">
        <v>104</v>
      </c>
      <c r="CM58" s="13">
        <v>25028.25</v>
      </c>
      <c r="CN58" s="13">
        <v>7197.44</v>
      </c>
    </row>
    <row r="59" spans="1:92" x14ac:dyDescent="0.35">
      <c r="A59" s="5" t="s">
        <v>61</v>
      </c>
      <c r="B59" s="12">
        <v>9345.6</v>
      </c>
      <c r="C59" s="12">
        <v>26.85</v>
      </c>
      <c r="D59" s="12">
        <v>2.5</v>
      </c>
      <c r="E59" s="12">
        <v>0.65</v>
      </c>
      <c r="F59" s="12">
        <v>7.33</v>
      </c>
      <c r="G59" s="12">
        <v>79.83</v>
      </c>
      <c r="H59" s="12">
        <v>8.6999999999999993</v>
      </c>
      <c r="I59" s="12">
        <v>6.6</v>
      </c>
      <c r="J59" s="12">
        <v>14.88</v>
      </c>
      <c r="K59" s="12">
        <v>4.88</v>
      </c>
      <c r="L59" s="12">
        <v>17.18</v>
      </c>
      <c r="M59" s="12">
        <v>49.07</v>
      </c>
      <c r="N59" s="43">
        <v>0</v>
      </c>
      <c r="O59" s="43">
        <v>0</v>
      </c>
      <c r="P59" s="43">
        <v>0</v>
      </c>
      <c r="Q59" s="43">
        <v>0</v>
      </c>
      <c r="R59" s="43">
        <v>0</v>
      </c>
      <c r="S59" s="43">
        <v>0</v>
      </c>
      <c r="T59" s="43">
        <v>0</v>
      </c>
      <c r="U59" s="43">
        <v>0</v>
      </c>
      <c r="V59" s="12">
        <v>36.25</v>
      </c>
      <c r="W59" s="12">
        <v>23.9</v>
      </c>
      <c r="X59" s="12">
        <v>16.47</v>
      </c>
      <c r="Y59" s="12">
        <v>21.56</v>
      </c>
      <c r="Z59" s="12">
        <v>46.2</v>
      </c>
      <c r="AA59" s="12">
        <v>62.52</v>
      </c>
      <c r="AB59" s="12">
        <v>29.1</v>
      </c>
      <c r="AC59" s="12">
        <v>61.02</v>
      </c>
      <c r="AD59" s="12">
        <v>51.94</v>
      </c>
      <c r="AE59" s="12">
        <v>15.59</v>
      </c>
      <c r="AF59" s="12">
        <v>22.5</v>
      </c>
      <c r="AG59" s="12">
        <v>35.47</v>
      </c>
      <c r="AH59" s="13">
        <v>73.84</v>
      </c>
      <c r="AI59" s="12">
        <v>73.84</v>
      </c>
      <c r="AJ59" s="61">
        <v>0</v>
      </c>
      <c r="AK59" s="12">
        <v>5.53</v>
      </c>
      <c r="AL59" s="12">
        <v>33.83</v>
      </c>
      <c r="AM59" s="12">
        <v>191.09</v>
      </c>
      <c r="AN59" s="12">
        <v>59.63</v>
      </c>
      <c r="AO59" s="12">
        <v>283.19</v>
      </c>
      <c r="AP59" s="12">
        <v>238.83</v>
      </c>
      <c r="AQ59" s="12">
        <v>85.91</v>
      </c>
      <c r="AR59" s="12">
        <v>26.88</v>
      </c>
      <c r="AS59" s="12">
        <v>31.04</v>
      </c>
      <c r="AT59" s="12">
        <v>81.2</v>
      </c>
      <c r="AU59" s="12">
        <v>137.91</v>
      </c>
      <c r="AV59" s="12">
        <v>141.84</v>
      </c>
      <c r="AW59" s="12">
        <v>207.04</v>
      </c>
      <c r="AX59" s="12">
        <v>86.04</v>
      </c>
      <c r="AY59" s="12">
        <v>3471.97</v>
      </c>
      <c r="AZ59" s="12">
        <v>631.01</v>
      </c>
      <c r="BA59" s="12">
        <v>169.53</v>
      </c>
      <c r="BB59" s="12">
        <v>105.26</v>
      </c>
      <c r="BC59" s="12">
        <v>273.85000000000002</v>
      </c>
      <c r="BD59" s="12">
        <v>107.69</v>
      </c>
      <c r="BE59" s="12">
        <v>600.69000000000005</v>
      </c>
      <c r="BF59" s="12">
        <v>88.04</v>
      </c>
      <c r="BG59" s="12">
        <v>105.34</v>
      </c>
      <c r="BH59" s="12">
        <v>102.87</v>
      </c>
      <c r="BI59" s="12">
        <v>58.81</v>
      </c>
      <c r="BJ59" s="12">
        <v>144.69999999999999</v>
      </c>
      <c r="BK59" s="12">
        <v>95.05</v>
      </c>
      <c r="BL59" s="6">
        <v>132</v>
      </c>
      <c r="BM59" s="12">
        <v>141.26</v>
      </c>
      <c r="BN59" s="12">
        <v>279.99</v>
      </c>
      <c r="BO59" s="12">
        <v>73.5</v>
      </c>
      <c r="BP59" s="12">
        <v>137.63999999999999</v>
      </c>
      <c r="BQ59" s="12">
        <v>73.36</v>
      </c>
      <c r="BR59" s="12">
        <v>119.41</v>
      </c>
      <c r="BS59" s="12">
        <v>32.39</v>
      </c>
      <c r="BT59" s="12">
        <v>30.61</v>
      </c>
      <c r="BU59" s="12">
        <v>8.43</v>
      </c>
      <c r="BV59" s="12">
        <v>36.479999999999997</v>
      </c>
      <c r="BW59" s="12">
        <v>0.94</v>
      </c>
      <c r="BX59" s="6">
        <v>0</v>
      </c>
      <c r="BY59" s="12">
        <v>5972.48</v>
      </c>
      <c r="BZ59" s="12">
        <v>7.53</v>
      </c>
      <c r="CA59" s="12">
        <v>5964.47</v>
      </c>
      <c r="CB59" s="12">
        <v>0.48</v>
      </c>
      <c r="CC59" s="12">
        <v>0.43</v>
      </c>
      <c r="CD59" s="12">
        <v>0.43</v>
      </c>
      <c r="CE59" s="6">
        <v>0</v>
      </c>
      <c r="CF59" s="7" t="s">
        <v>104</v>
      </c>
      <c r="CG59" s="6">
        <v>0</v>
      </c>
      <c r="CH59" s="6" t="s">
        <v>104</v>
      </c>
      <c r="CI59" s="6">
        <v>0</v>
      </c>
      <c r="CJ59" s="6">
        <v>0</v>
      </c>
      <c r="CK59" s="6" t="s">
        <v>104</v>
      </c>
      <c r="CL59" s="6" t="s">
        <v>104</v>
      </c>
      <c r="CM59" s="12">
        <v>15318.5</v>
      </c>
      <c r="CN59" s="12">
        <v>5972.91</v>
      </c>
    </row>
    <row r="60" spans="1:92" x14ac:dyDescent="0.35">
      <c r="A60" s="5" t="s">
        <v>62</v>
      </c>
      <c r="B60" s="13">
        <v>48206.76</v>
      </c>
      <c r="C60" s="13">
        <v>17.920000000000002</v>
      </c>
      <c r="D60" s="13">
        <v>8.5299999999999994</v>
      </c>
      <c r="E60" s="13">
        <v>1.59</v>
      </c>
      <c r="F60" s="13">
        <v>33.86</v>
      </c>
      <c r="G60" s="13">
        <v>362.08</v>
      </c>
      <c r="H60" s="13">
        <v>122.13</v>
      </c>
      <c r="I60" s="13">
        <v>33.979999999999997</v>
      </c>
      <c r="J60" s="13">
        <v>126.14</v>
      </c>
      <c r="K60" s="13">
        <v>46.52</v>
      </c>
      <c r="L60" s="7">
        <v>144</v>
      </c>
      <c r="M60" s="12">
        <v>532.17999999999995</v>
      </c>
      <c r="N60" s="43">
        <v>0</v>
      </c>
      <c r="O60" s="43">
        <v>0</v>
      </c>
      <c r="P60" s="43">
        <v>0</v>
      </c>
      <c r="Q60" s="43">
        <v>0</v>
      </c>
      <c r="R60" s="43">
        <v>0</v>
      </c>
      <c r="S60" s="43">
        <v>0</v>
      </c>
      <c r="T60" s="43">
        <v>0</v>
      </c>
      <c r="U60" s="43">
        <v>0</v>
      </c>
      <c r="V60" s="13">
        <v>301.45999999999998</v>
      </c>
      <c r="W60" s="13">
        <v>142.66</v>
      </c>
      <c r="X60" s="13">
        <v>90.68</v>
      </c>
      <c r="Y60" s="13">
        <v>232.15</v>
      </c>
      <c r="Z60" s="13">
        <v>332.05</v>
      </c>
      <c r="AA60" s="13">
        <v>309.01</v>
      </c>
      <c r="AB60" s="13">
        <v>272.32</v>
      </c>
      <c r="AC60" s="13">
        <v>393.79</v>
      </c>
      <c r="AD60" s="13">
        <v>504.36</v>
      </c>
      <c r="AE60" s="13">
        <v>203.33</v>
      </c>
      <c r="AF60" s="13">
        <v>101.02</v>
      </c>
      <c r="AG60" s="13">
        <v>185.5</v>
      </c>
      <c r="AH60" s="13">
        <v>574.51</v>
      </c>
      <c r="AI60" s="13">
        <v>574.51</v>
      </c>
      <c r="AJ60" s="61">
        <v>0</v>
      </c>
      <c r="AK60" s="13">
        <v>24.62</v>
      </c>
      <c r="AL60" s="13">
        <v>340.38</v>
      </c>
      <c r="AM60" s="13">
        <v>607.49</v>
      </c>
      <c r="AN60" s="13">
        <v>278.49</v>
      </c>
      <c r="AO60" s="13">
        <v>1535.19</v>
      </c>
      <c r="AP60" s="13">
        <v>805.37</v>
      </c>
      <c r="AQ60" s="13">
        <v>435.51</v>
      </c>
      <c r="AR60" s="13">
        <v>312.83</v>
      </c>
      <c r="AS60" s="13">
        <v>228.84</v>
      </c>
      <c r="AT60" s="13">
        <v>524.01</v>
      </c>
      <c r="AU60" s="13">
        <v>377.07</v>
      </c>
      <c r="AV60" s="13">
        <v>254.24</v>
      </c>
      <c r="AW60" s="13">
        <v>1481.7</v>
      </c>
      <c r="AX60" s="13">
        <v>287.12</v>
      </c>
      <c r="AY60" s="13">
        <v>933.84</v>
      </c>
      <c r="AZ60" s="13">
        <v>19365.46</v>
      </c>
      <c r="BA60" s="13">
        <v>1077.9000000000001</v>
      </c>
      <c r="BB60" s="13">
        <v>507.86</v>
      </c>
      <c r="BC60" s="13">
        <v>947.09</v>
      </c>
      <c r="BD60" s="13">
        <v>343.79</v>
      </c>
      <c r="BE60" s="13">
        <v>3591.73</v>
      </c>
      <c r="BF60" s="13">
        <v>557.83000000000004</v>
      </c>
      <c r="BG60" s="13">
        <v>844.74</v>
      </c>
      <c r="BH60" s="13">
        <v>666.73</v>
      </c>
      <c r="BI60" s="13">
        <v>346.25</v>
      </c>
      <c r="BJ60" s="13">
        <v>1086.96</v>
      </c>
      <c r="BK60" s="13">
        <v>296.69</v>
      </c>
      <c r="BL60" s="7">
        <v>175</v>
      </c>
      <c r="BM60" s="13">
        <v>833.59</v>
      </c>
      <c r="BN60" s="13">
        <v>994.93</v>
      </c>
      <c r="BO60" s="13">
        <v>505.42</v>
      </c>
      <c r="BP60" s="13">
        <v>751.45</v>
      </c>
      <c r="BQ60" s="13">
        <v>383.9</v>
      </c>
      <c r="BR60" s="13">
        <v>1096.8900000000001</v>
      </c>
      <c r="BS60" s="13">
        <v>67.400000000000006</v>
      </c>
      <c r="BT60" s="13">
        <v>90.45</v>
      </c>
      <c r="BU60" s="13">
        <v>91.36</v>
      </c>
      <c r="BV60" s="13">
        <v>76.28</v>
      </c>
      <c r="BW60" s="13">
        <v>8.6300000000000008</v>
      </c>
      <c r="BX60" s="7">
        <v>0</v>
      </c>
      <c r="BY60" s="13">
        <v>644.34</v>
      </c>
      <c r="BZ60" s="13">
        <v>22.63</v>
      </c>
      <c r="CA60" s="13">
        <v>621.71</v>
      </c>
      <c r="CB60" s="13">
        <v>0.01</v>
      </c>
      <c r="CC60" s="13">
        <v>17077.45</v>
      </c>
      <c r="CD60" s="13">
        <v>18.63</v>
      </c>
      <c r="CE60" s="7">
        <v>0</v>
      </c>
      <c r="CF60" s="7" t="s">
        <v>104</v>
      </c>
      <c r="CG60" s="7">
        <v>0</v>
      </c>
      <c r="CH60" s="6" t="s">
        <v>104</v>
      </c>
      <c r="CI60" s="7">
        <v>0</v>
      </c>
      <c r="CJ60" s="13">
        <v>17058.82</v>
      </c>
      <c r="CK60" s="7" t="s">
        <v>104</v>
      </c>
      <c r="CL60" s="7" t="s">
        <v>104</v>
      </c>
      <c r="CM60" s="13">
        <v>65928.539999999994</v>
      </c>
      <c r="CN60" s="13">
        <v>17721.79</v>
      </c>
    </row>
    <row r="61" spans="1:92" x14ac:dyDescent="0.35">
      <c r="A61" s="5" t="s">
        <v>63</v>
      </c>
      <c r="B61" s="12">
        <v>159349.18</v>
      </c>
      <c r="C61" s="12">
        <v>1496.41</v>
      </c>
      <c r="D61" s="12">
        <v>96.64</v>
      </c>
      <c r="E61" s="12">
        <v>38.31</v>
      </c>
      <c r="F61" s="12">
        <v>202.32</v>
      </c>
      <c r="G61" s="12">
        <v>3093.52</v>
      </c>
      <c r="H61" s="12">
        <v>609.37</v>
      </c>
      <c r="I61" s="12">
        <v>215.71</v>
      </c>
      <c r="J61" s="12">
        <v>350.02</v>
      </c>
      <c r="K61" s="12">
        <v>119.15</v>
      </c>
      <c r="L61" s="12">
        <v>1041.8900000000001</v>
      </c>
      <c r="M61" s="12">
        <v>1732.59</v>
      </c>
      <c r="N61" s="43">
        <v>0</v>
      </c>
      <c r="O61" s="43">
        <v>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12">
        <v>1047.58</v>
      </c>
      <c r="W61" s="12">
        <v>1086.1099999999999</v>
      </c>
      <c r="X61" s="12">
        <v>513.98</v>
      </c>
      <c r="Y61" s="12">
        <v>1339.9</v>
      </c>
      <c r="Z61" s="12">
        <v>1263.3599999999999</v>
      </c>
      <c r="AA61" s="6">
        <v>754</v>
      </c>
      <c r="AB61" s="12">
        <v>576.64</v>
      </c>
      <c r="AC61" s="12">
        <v>1597.72</v>
      </c>
      <c r="AD61" s="12">
        <v>1796.17</v>
      </c>
      <c r="AE61" s="12">
        <v>275.99</v>
      </c>
      <c r="AF61" s="12">
        <v>463.55</v>
      </c>
      <c r="AG61" s="12">
        <v>548.61</v>
      </c>
      <c r="AH61" s="13">
        <v>2564.9699999999998</v>
      </c>
      <c r="AI61" s="12">
        <v>2564.9699999999998</v>
      </c>
      <c r="AJ61" s="61">
        <v>0</v>
      </c>
      <c r="AK61" s="12">
        <v>122.57</v>
      </c>
      <c r="AL61" s="12">
        <v>636.96</v>
      </c>
      <c r="AM61" s="12">
        <v>7919.45</v>
      </c>
      <c r="AN61" s="12">
        <v>1509.58</v>
      </c>
      <c r="AO61" s="12">
        <v>10345.34</v>
      </c>
      <c r="AP61" s="12">
        <v>3860.43</v>
      </c>
      <c r="AQ61" s="12">
        <v>1663.75</v>
      </c>
      <c r="AR61" s="12">
        <v>4605.91</v>
      </c>
      <c r="AS61" s="12">
        <v>1719.57</v>
      </c>
      <c r="AT61" s="12">
        <v>2268.13</v>
      </c>
      <c r="AU61" s="12">
        <v>378.67</v>
      </c>
      <c r="AV61" s="12">
        <v>2529.6</v>
      </c>
      <c r="AW61" s="6">
        <v>736</v>
      </c>
      <c r="AX61" s="12">
        <v>411.84</v>
      </c>
      <c r="AY61" s="12">
        <v>1014.49</v>
      </c>
      <c r="AZ61" s="12">
        <v>7782.3</v>
      </c>
      <c r="BA61" s="12">
        <v>38537.46</v>
      </c>
      <c r="BB61" s="12">
        <v>12208.79</v>
      </c>
      <c r="BC61" s="12">
        <v>7041.32</v>
      </c>
      <c r="BD61" s="12">
        <v>5474.22</v>
      </c>
      <c r="BE61" s="12">
        <v>5966.83</v>
      </c>
      <c r="BF61" s="12">
        <v>1047.54</v>
      </c>
      <c r="BG61" s="12">
        <v>979.91</v>
      </c>
      <c r="BH61" s="12">
        <v>736.91</v>
      </c>
      <c r="BI61" s="12">
        <v>876.52</v>
      </c>
      <c r="BJ61" s="12">
        <v>3420.61</v>
      </c>
      <c r="BK61" s="12">
        <v>539.83000000000004</v>
      </c>
      <c r="BL61" s="12">
        <v>436.55</v>
      </c>
      <c r="BM61" s="12">
        <v>1511.74</v>
      </c>
      <c r="BN61" s="12">
        <v>4438.91</v>
      </c>
      <c r="BO61" s="12">
        <v>597.30999999999995</v>
      </c>
      <c r="BP61" s="12">
        <v>2341.35</v>
      </c>
      <c r="BQ61" s="12">
        <v>1113.5899999999999</v>
      </c>
      <c r="BR61" s="12">
        <v>432.87</v>
      </c>
      <c r="BS61" s="12">
        <v>238.19</v>
      </c>
      <c r="BT61" s="12">
        <v>519.61</v>
      </c>
      <c r="BU61" s="12">
        <v>74.59</v>
      </c>
      <c r="BV61" s="12">
        <v>483.47</v>
      </c>
      <c r="BW61" s="12">
        <v>2.02</v>
      </c>
      <c r="BX61" s="6">
        <v>0</v>
      </c>
      <c r="BY61" s="12">
        <v>37103.279999999999</v>
      </c>
      <c r="BZ61" s="12">
        <v>682.42</v>
      </c>
      <c r="CA61" s="12">
        <v>36420.86</v>
      </c>
      <c r="CB61" s="12">
        <v>0.01</v>
      </c>
      <c r="CC61" s="12">
        <v>16.95</v>
      </c>
      <c r="CD61" s="12">
        <v>0.05</v>
      </c>
      <c r="CE61" s="6">
        <v>0</v>
      </c>
      <c r="CF61" s="7" t="s">
        <v>104</v>
      </c>
      <c r="CG61" s="6">
        <v>0</v>
      </c>
      <c r="CH61" s="6" t="s">
        <v>104</v>
      </c>
      <c r="CI61" s="6">
        <v>0</v>
      </c>
      <c r="CJ61" s="12">
        <v>16.91</v>
      </c>
      <c r="CK61" s="6" t="s">
        <v>104</v>
      </c>
      <c r="CL61" s="6" t="s">
        <v>104</v>
      </c>
      <c r="CM61" s="12">
        <v>196469.42</v>
      </c>
      <c r="CN61" s="12">
        <v>37120.239999999998</v>
      </c>
    </row>
    <row r="62" spans="1:92" x14ac:dyDescent="0.35">
      <c r="A62" s="5" t="s">
        <v>64</v>
      </c>
      <c r="B62" s="13">
        <v>14385.08</v>
      </c>
      <c r="C62" s="13">
        <v>319.95</v>
      </c>
      <c r="D62" s="13">
        <v>3.54</v>
      </c>
      <c r="E62" s="13">
        <v>3.93</v>
      </c>
      <c r="F62" s="13">
        <v>25.54</v>
      </c>
      <c r="G62" s="13">
        <v>243.12</v>
      </c>
      <c r="H62" s="13">
        <v>56.23</v>
      </c>
      <c r="I62" s="13">
        <v>19.52</v>
      </c>
      <c r="J62" s="13">
        <v>61.36</v>
      </c>
      <c r="K62" s="13">
        <v>30.9</v>
      </c>
      <c r="L62" s="13">
        <v>498.72</v>
      </c>
      <c r="M62" s="12">
        <v>400.7</v>
      </c>
      <c r="N62" s="43">
        <v>0</v>
      </c>
      <c r="O62" s="43">
        <v>0</v>
      </c>
      <c r="P62" s="43">
        <v>0</v>
      </c>
      <c r="Q62" s="43">
        <v>0</v>
      </c>
      <c r="R62" s="43">
        <v>0</v>
      </c>
      <c r="S62" s="43">
        <v>0</v>
      </c>
      <c r="T62" s="43">
        <v>0</v>
      </c>
      <c r="U62" s="43">
        <v>0</v>
      </c>
      <c r="V62" s="13">
        <v>225.91</v>
      </c>
      <c r="W62" s="13">
        <v>96.76</v>
      </c>
      <c r="X62" s="13">
        <v>51.73</v>
      </c>
      <c r="Y62" s="13">
        <v>152.47</v>
      </c>
      <c r="Z62" s="13">
        <v>165.34</v>
      </c>
      <c r="AA62" s="13">
        <v>85.78</v>
      </c>
      <c r="AB62" s="13">
        <v>95.15</v>
      </c>
      <c r="AC62" s="13">
        <v>207.19</v>
      </c>
      <c r="AD62" s="13">
        <v>138.44</v>
      </c>
      <c r="AE62" s="13">
        <v>210.58</v>
      </c>
      <c r="AF62" s="13">
        <v>90.42</v>
      </c>
      <c r="AG62" s="13">
        <v>113.41</v>
      </c>
      <c r="AH62" s="13">
        <v>729.48</v>
      </c>
      <c r="AI62" s="13">
        <v>729.48</v>
      </c>
      <c r="AJ62" s="61">
        <v>0</v>
      </c>
      <c r="AK62" s="13">
        <v>15.32</v>
      </c>
      <c r="AL62" s="13">
        <v>102.1</v>
      </c>
      <c r="AM62" s="13">
        <v>636.83000000000004</v>
      </c>
      <c r="AN62" s="13">
        <v>108.97</v>
      </c>
      <c r="AO62" s="13">
        <v>321.29000000000002</v>
      </c>
      <c r="AP62" s="13">
        <v>187.3</v>
      </c>
      <c r="AQ62" s="13">
        <v>282.58</v>
      </c>
      <c r="AR62" s="13">
        <v>143.46</v>
      </c>
      <c r="AS62" s="13">
        <v>72.069999999999993</v>
      </c>
      <c r="AT62" s="13">
        <v>114.81</v>
      </c>
      <c r="AU62" s="7">
        <v>20</v>
      </c>
      <c r="AV62" s="13">
        <v>213.17</v>
      </c>
      <c r="AW62" s="13">
        <v>63.43</v>
      </c>
      <c r="AX62" s="13">
        <v>45.93</v>
      </c>
      <c r="AY62" s="13">
        <v>113.09</v>
      </c>
      <c r="AZ62" s="13">
        <v>316.73</v>
      </c>
      <c r="BA62" s="13">
        <v>69.47</v>
      </c>
      <c r="BB62" s="13">
        <v>5201.8100000000004</v>
      </c>
      <c r="BC62" s="13">
        <v>135.19999999999999</v>
      </c>
      <c r="BD62" s="13">
        <v>299.10000000000002</v>
      </c>
      <c r="BE62" s="13">
        <v>376.43</v>
      </c>
      <c r="BF62" s="13">
        <v>86.56</v>
      </c>
      <c r="BG62" s="13">
        <v>95.48</v>
      </c>
      <c r="BH62" s="13">
        <v>29.91</v>
      </c>
      <c r="BI62" s="13">
        <v>35.82</v>
      </c>
      <c r="BJ62" s="13">
        <v>279.75</v>
      </c>
      <c r="BK62" s="13">
        <v>19.329999999999998</v>
      </c>
      <c r="BL62" s="13">
        <v>10.69</v>
      </c>
      <c r="BM62" s="13">
        <v>141.47</v>
      </c>
      <c r="BN62" s="13">
        <v>209.21</v>
      </c>
      <c r="BO62" s="13">
        <v>92.04</v>
      </c>
      <c r="BP62" s="13">
        <v>327.45999999999998</v>
      </c>
      <c r="BQ62" s="13">
        <v>73.760000000000005</v>
      </c>
      <c r="BR62" s="13">
        <v>41.98</v>
      </c>
      <c r="BS62" s="13">
        <v>22.54</v>
      </c>
      <c r="BT62" s="13">
        <v>21.63</v>
      </c>
      <c r="BU62" s="13">
        <v>11.78</v>
      </c>
      <c r="BV62" s="13">
        <v>20.23</v>
      </c>
      <c r="BW62" s="13">
        <v>0.19</v>
      </c>
      <c r="BX62" s="7">
        <v>0</v>
      </c>
      <c r="BY62" s="13">
        <v>5527.33</v>
      </c>
      <c r="BZ62" s="13">
        <v>367.59</v>
      </c>
      <c r="CA62" s="13">
        <v>5159.63</v>
      </c>
      <c r="CB62" s="13">
        <v>0.11</v>
      </c>
      <c r="CC62" s="13">
        <v>750.9</v>
      </c>
      <c r="CD62" s="13">
        <v>-96.01</v>
      </c>
      <c r="CE62" s="7">
        <v>0</v>
      </c>
      <c r="CF62" s="7" t="s">
        <v>104</v>
      </c>
      <c r="CG62" s="7">
        <v>0</v>
      </c>
      <c r="CH62" s="6" t="s">
        <v>104</v>
      </c>
      <c r="CI62" s="7">
        <v>0</v>
      </c>
      <c r="CJ62" s="13">
        <v>846.9</v>
      </c>
      <c r="CK62" s="7" t="s">
        <v>104</v>
      </c>
      <c r="CL62" s="7" t="s">
        <v>104</v>
      </c>
      <c r="CM62" s="13">
        <v>20663.310000000001</v>
      </c>
      <c r="CN62" s="13">
        <v>6278.22</v>
      </c>
    </row>
    <row r="63" spans="1:92" x14ac:dyDescent="0.35">
      <c r="A63" s="5" t="s">
        <v>65</v>
      </c>
      <c r="B63" s="12">
        <v>16279.57</v>
      </c>
      <c r="C63" s="12">
        <v>18.53</v>
      </c>
      <c r="D63" s="12">
        <v>4.91</v>
      </c>
      <c r="E63" s="12">
        <v>1.56</v>
      </c>
      <c r="F63" s="12">
        <v>6.17</v>
      </c>
      <c r="G63" s="12">
        <v>71.27</v>
      </c>
      <c r="H63" s="12">
        <v>24.73</v>
      </c>
      <c r="I63" s="6">
        <v>19</v>
      </c>
      <c r="J63" s="12">
        <v>26.88</v>
      </c>
      <c r="K63" s="12">
        <v>6.13</v>
      </c>
      <c r="L63" s="12">
        <v>22.19</v>
      </c>
      <c r="M63" s="12">
        <v>53.64</v>
      </c>
      <c r="N63" s="43">
        <v>0</v>
      </c>
      <c r="O63" s="43">
        <v>0</v>
      </c>
      <c r="P63" s="43">
        <v>0</v>
      </c>
      <c r="Q63" s="43">
        <v>0</v>
      </c>
      <c r="R63" s="43">
        <v>0</v>
      </c>
      <c r="S63" s="43">
        <v>0</v>
      </c>
      <c r="T63" s="43">
        <v>0</v>
      </c>
      <c r="U63" s="43">
        <v>0</v>
      </c>
      <c r="V63" s="12">
        <v>51.58</v>
      </c>
      <c r="W63" s="12">
        <v>13.02</v>
      </c>
      <c r="X63" s="12">
        <v>34.020000000000003</v>
      </c>
      <c r="Y63" s="12">
        <v>17.04</v>
      </c>
      <c r="Z63" s="12">
        <v>44.49</v>
      </c>
      <c r="AA63" s="12">
        <v>23.81</v>
      </c>
      <c r="AB63" s="12">
        <v>21.85</v>
      </c>
      <c r="AC63" s="12">
        <v>123.61</v>
      </c>
      <c r="AD63" s="12">
        <v>77.3</v>
      </c>
      <c r="AE63" s="12">
        <v>94.99</v>
      </c>
      <c r="AF63" s="12">
        <v>36.380000000000003</v>
      </c>
      <c r="AG63" s="12">
        <v>34.85</v>
      </c>
      <c r="AH63" s="13">
        <v>51.78</v>
      </c>
      <c r="AI63" s="12">
        <v>51.78</v>
      </c>
      <c r="AJ63" s="61">
        <v>0</v>
      </c>
      <c r="AK63" s="12">
        <v>4.24</v>
      </c>
      <c r="AL63" s="12">
        <v>13.36</v>
      </c>
      <c r="AM63" s="12">
        <v>154.02000000000001</v>
      </c>
      <c r="AN63" s="12">
        <v>25.85</v>
      </c>
      <c r="AO63" s="12">
        <v>160.13999999999999</v>
      </c>
      <c r="AP63" s="12">
        <v>69.33</v>
      </c>
      <c r="AQ63" s="12">
        <v>103.32</v>
      </c>
      <c r="AR63" s="12">
        <v>52.73</v>
      </c>
      <c r="AS63" s="12">
        <v>58.79</v>
      </c>
      <c r="AT63" s="12">
        <v>38.409999999999997</v>
      </c>
      <c r="AU63" s="12">
        <v>8.41</v>
      </c>
      <c r="AV63" s="12">
        <v>45.29</v>
      </c>
      <c r="AW63" s="12">
        <v>20.100000000000001</v>
      </c>
      <c r="AX63" s="12">
        <v>8.31</v>
      </c>
      <c r="AY63" s="12">
        <v>106.46</v>
      </c>
      <c r="AZ63" s="12">
        <v>192.8</v>
      </c>
      <c r="BA63" s="12">
        <v>2361.2800000000002</v>
      </c>
      <c r="BB63" s="12">
        <v>4807.18</v>
      </c>
      <c r="BC63" s="12">
        <v>6281.62</v>
      </c>
      <c r="BD63" s="12">
        <v>146.5</v>
      </c>
      <c r="BE63" s="12">
        <v>206.46</v>
      </c>
      <c r="BF63" s="12">
        <v>53.36</v>
      </c>
      <c r="BG63" s="12">
        <v>59.44</v>
      </c>
      <c r="BH63" s="12">
        <v>12.53</v>
      </c>
      <c r="BI63" s="12">
        <v>48.81</v>
      </c>
      <c r="BJ63" s="12">
        <v>149.04</v>
      </c>
      <c r="BK63" s="12">
        <v>12.29</v>
      </c>
      <c r="BL63" s="12">
        <v>9.69</v>
      </c>
      <c r="BM63" s="12">
        <v>70.44</v>
      </c>
      <c r="BN63" s="12">
        <v>22.22</v>
      </c>
      <c r="BO63" s="12">
        <v>14.22</v>
      </c>
      <c r="BP63" s="12">
        <v>14.56</v>
      </c>
      <c r="BQ63" s="12">
        <v>12.45</v>
      </c>
      <c r="BR63" s="12">
        <v>8.9</v>
      </c>
      <c r="BS63" s="12">
        <v>14.13</v>
      </c>
      <c r="BT63" s="12">
        <v>14.29</v>
      </c>
      <c r="BU63" s="12">
        <v>8.7200000000000006</v>
      </c>
      <c r="BV63" s="12">
        <v>9.99</v>
      </c>
      <c r="BW63" s="12">
        <v>0.2</v>
      </c>
      <c r="BX63" s="6">
        <v>0</v>
      </c>
      <c r="BY63" s="12">
        <v>845.75</v>
      </c>
      <c r="BZ63" s="12">
        <v>5.9</v>
      </c>
      <c r="CA63" s="12">
        <v>839.67</v>
      </c>
      <c r="CB63" s="12">
        <v>0.18</v>
      </c>
      <c r="CC63" s="12">
        <v>9.5299999999999994</v>
      </c>
      <c r="CD63" s="12">
        <v>3.85</v>
      </c>
      <c r="CE63" s="6">
        <v>0</v>
      </c>
      <c r="CF63" s="7" t="s">
        <v>104</v>
      </c>
      <c r="CG63" s="6">
        <v>0</v>
      </c>
      <c r="CH63" s="6" t="s">
        <v>104</v>
      </c>
      <c r="CI63" s="6">
        <v>0</v>
      </c>
      <c r="CJ63" s="12">
        <v>5.68</v>
      </c>
      <c r="CK63" s="6" t="s">
        <v>104</v>
      </c>
      <c r="CL63" s="6" t="s">
        <v>104</v>
      </c>
      <c r="CM63" s="12">
        <v>17134.849999999999</v>
      </c>
      <c r="CN63" s="12">
        <v>855.28</v>
      </c>
    </row>
    <row r="64" spans="1:92" x14ac:dyDescent="0.35">
      <c r="A64" s="5" t="s">
        <v>66</v>
      </c>
      <c r="B64" s="13">
        <v>5198.8999999999996</v>
      </c>
      <c r="C64" s="13">
        <v>48.18</v>
      </c>
      <c r="D64" s="13">
        <v>13.73</v>
      </c>
      <c r="E64" s="13">
        <v>15.88</v>
      </c>
      <c r="F64" s="13">
        <v>25.28</v>
      </c>
      <c r="G64" s="13">
        <v>117.54</v>
      </c>
      <c r="H64" s="13">
        <v>32.43</v>
      </c>
      <c r="I64" s="13">
        <v>35.770000000000003</v>
      </c>
      <c r="J64" s="13">
        <v>36.159999999999997</v>
      </c>
      <c r="K64" s="13">
        <v>24.95</v>
      </c>
      <c r="L64" s="13">
        <v>42.95</v>
      </c>
      <c r="M64" s="12">
        <v>67.55</v>
      </c>
      <c r="N64" s="43">
        <v>0</v>
      </c>
      <c r="O64" s="43">
        <v>0</v>
      </c>
      <c r="P64" s="43">
        <v>0</v>
      </c>
      <c r="Q64" s="43">
        <v>0</v>
      </c>
      <c r="R64" s="43">
        <v>0</v>
      </c>
      <c r="S64" s="43">
        <v>0</v>
      </c>
      <c r="T64" s="43">
        <v>0</v>
      </c>
      <c r="U64" s="43">
        <v>0</v>
      </c>
      <c r="V64" s="13">
        <v>94.15</v>
      </c>
      <c r="W64" s="13">
        <v>62.95</v>
      </c>
      <c r="X64" s="13">
        <v>42.29</v>
      </c>
      <c r="Y64" s="13">
        <v>58.19</v>
      </c>
      <c r="Z64" s="13">
        <v>71.22</v>
      </c>
      <c r="AA64" s="13">
        <v>61.27</v>
      </c>
      <c r="AB64" s="13">
        <v>57.77</v>
      </c>
      <c r="AC64" s="13">
        <v>64.680000000000007</v>
      </c>
      <c r="AD64" s="13">
        <v>67.47</v>
      </c>
      <c r="AE64" s="13">
        <v>36.43</v>
      </c>
      <c r="AF64" s="13">
        <v>46.66</v>
      </c>
      <c r="AG64" s="13">
        <v>44.57</v>
      </c>
      <c r="AH64" s="13">
        <v>106.57</v>
      </c>
      <c r="AI64" s="13">
        <v>106.57</v>
      </c>
      <c r="AJ64" s="61">
        <v>0</v>
      </c>
      <c r="AK64" s="13">
        <v>27.1</v>
      </c>
      <c r="AL64" s="13">
        <v>49.48</v>
      </c>
      <c r="AM64" s="13">
        <v>200.75</v>
      </c>
      <c r="AN64" s="13">
        <v>95.79</v>
      </c>
      <c r="AO64" s="13">
        <v>144.63</v>
      </c>
      <c r="AP64" s="13">
        <v>161.25</v>
      </c>
      <c r="AQ64" s="13">
        <v>67.39</v>
      </c>
      <c r="AR64" s="13">
        <v>33.08</v>
      </c>
      <c r="AS64" s="13">
        <v>43.65</v>
      </c>
      <c r="AT64" s="13">
        <v>94.12</v>
      </c>
      <c r="AU64" s="13">
        <v>101.32</v>
      </c>
      <c r="AV64" s="13">
        <v>161.55000000000001</v>
      </c>
      <c r="AW64" s="13">
        <v>28.99</v>
      </c>
      <c r="AX64" s="13">
        <v>29.34</v>
      </c>
      <c r="AY64" s="13">
        <v>95.79</v>
      </c>
      <c r="AZ64" s="13">
        <v>137.99</v>
      </c>
      <c r="BA64" s="13">
        <v>45.46</v>
      </c>
      <c r="BB64" s="13">
        <v>65.02</v>
      </c>
      <c r="BC64" s="13">
        <v>96.78</v>
      </c>
      <c r="BD64" s="13">
        <v>159.59</v>
      </c>
      <c r="BE64" s="7">
        <v>910</v>
      </c>
      <c r="BF64" s="13">
        <v>85.13</v>
      </c>
      <c r="BG64" s="13">
        <v>86.05</v>
      </c>
      <c r="BH64" s="13">
        <v>62.19</v>
      </c>
      <c r="BI64" s="13">
        <v>43.15</v>
      </c>
      <c r="BJ64" s="13">
        <v>142.32</v>
      </c>
      <c r="BK64" s="13">
        <v>121.08</v>
      </c>
      <c r="BL64" s="13">
        <v>28.93</v>
      </c>
      <c r="BM64" s="13">
        <v>101.47</v>
      </c>
      <c r="BN64" s="13">
        <v>149.93</v>
      </c>
      <c r="BO64" s="13">
        <v>38.33</v>
      </c>
      <c r="BP64" s="13">
        <v>100.48</v>
      </c>
      <c r="BQ64" s="7">
        <v>64</v>
      </c>
      <c r="BR64" s="13">
        <v>28.15</v>
      </c>
      <c r="BS64" s="13">
        <v>32.44</v>
      </c>
      <c r="BT64" s="13">
        <v>24.16</v>
      </c>
      <c r="BU64" s="13">
        <v>19.12</v>
      </c>
      <c r="BV64" s="13">
        <v>48.27</v>
      </c>
      <c r="BW64" s="7">
        <v>0</v>
      </c>
      <c r="BX64" s="7">
        <v>0</v>
      </c>
      <c r="BY64" s="13">
        <v>469.6</v>
      </c>
      <c r="BZ64" s="13">
        <v>85.65</v>
      </c>
      <c r="CA64" s="13">
        <v>365.62</v>
      </c>
      <c r="CB64" s="13">
        <v>18.329999999999998</v>
      </c>
      <c r="CC64" s="13">
        <v>156.88999999999999</v>
      </c>
      <c r="CD64" s="13">
        <v>90.19</v>
      </c>
      <c r="CE64" s="7">
        <v>0</v>
      </c>
      <c r="CF64" s="7" t="s">
        <v>104</v>
      </c>
      <c r="CG64" s="7">
        <v>0</v>
      </c>
      <c r="CH64" s="6" t="s">
        <v>104</v>
      </c>
      <c r="CI64" s="7" t="s">
        <v>104</v>
      </c>
      <c r="CJ64" s="13">
        <v>66.69</v>
      </c>
      <c r="CK64" s="7" t="s">
        <v>104</v>
      </c>
      <c r="CL64" s="7" t="s">
        <v>104</v>
      </c>
      <c r="CM64" s="13">
        <v>5825.39</v>
      </c>
      <c r="CN64" s="13">
        <v>626.49</v>
      </c>
    </row>
    <row r="65" spans="1:92" x14ac:dyDescent="0.35">
      <c r="A65" s="5" t="s">
        <v>67</v>
      </c>
      <c r="B65" s="12">
        <v>69102.52</v>
      </c>
      <c r="C65" s="12">
        <v>110.46</v>
      </c>
      <c r="D65" s="12">
        <v>15.03</v>
      </c>
      <c r="E65" s="12">
        <v>4.2300000000000004</v>
      </c>
      <c r="F65" s="12">
        <v>93.71</v>
      </c>
      <c r="G65" s="12">
        <v>1597.31</v>
      </c>
      <c r="H65" s="12">
        <v>159.52000000000001</v>
      </c>
      <c r="I65" s="12">
        <v>89.54</v>
      </c>
      <c r="J65" s="12">
        <v>190.4</v>
      </c>
      <c r="K65" s="12">
        <v>47.26</v>
      </c>
      <c r="L65" s="6">
        <v>431</v>
      </c>
      <c r="M65" s="12">
        <v>1565.23</v>
      </c>
      <c r="N65" s="43">
        <v>0</v>
      </c>
      <c r="O65" s="43">
        <v>0</v>
      </c>
      <c r="P65" s="43">
        <v>0</v>
      </c>
      <c r="Q65" s="43">
        <v>0</v>
      </c>
      <c r="R65" s="43">
        <v>0</v>
      </c>
      <c r="S65" s="43">
        <v>0</v>
      </c>
      <c r="T65" s="43">
        <v>0</v>
      </c>
      <c r="U65" s="43">
        <v>0</v>
      </c>
      <c r="V65" s="12">
        <v>3496.58</v>
      </c>
      <c r="W65" s="12">
        <v>326.10000000000002</v>
      </c>
      <c r="X65" s="12">
        <v>283.17</v>
      </c>
      <c r="Y65" s="12">
        <v>468.47</v>
      </c>
      <c r="Z65" s="12">
        <v>464.09</v>
      </c>
      <c r="AA65" s="12">
        <v>4033.97</v>
      </c>
      <c r="AB65" s="12">
        <v>482.74</v>
      </c>
      <c r="AC65" s="12">
        <v>879.75</v>
      </c>
      <c r="AD65" s="12">
        <v>1088.29</v>
      </c>
      <c r="AE65" s="12">
        <v>255.93</v>
      </c>
      <c r="AF65" s="12">
        <v>368.08</v>
      </c>
      <c r="AG65" s="12">
        <v>327.38</v>
      </c>
      <c r="AH65" s="13">
        <v>663.58</v>
      </c>
      <c r="AI65" s="12">
        <v>663.58</v>
      </c>
      <c r="AJ65" s="61">
        <v>0</v>
      </c>
      <c r="AK65" s="12">
        <v>32.22</v>
      </c>
      <c r="AL65" s="12">
        <v>283.83</v>
      </c>
      <c r="AM65" s="12">
        <v>1444.74</v>
      </c>
      <c r="AN65" s="12">
        <v>520.16999999999996</v>
      </c>
      <c r="AO65" s="12">
        <v>4014.4</v>
      </c>
      <c r="AP65" s="12">
        <v>1190.33</v>
      </c>
      <c r="AQ65" s="12">
        <v>511.99</v>
      </c>
      <c r="AR65" s="12">
        <v>358.06</v>
      </c>
      <c r="AS65" s="12">
        <v>194.2</v>
      </c>
      <c r="AT65" s="6">
        <v>710</v>
      </c>
      <c r="AU65" s="12">
        <v>377.28</v>
      </c>
      <c r="AV65" s="12">
        <v>682.22</v>
      </c>
      <c r="AW65" s="12">
        <v>2856.46</v>
      </c>
      <c r="AX65" s="12">
        <v>268.98</v>
      </c>
      <c r="AY65" s="12">
        <v>712.85</v>
      </c>
      <c r="AZ65" s="12">
        <v>8911.2000000000007</v>
      </c>
      <c r="BA65" s="12">
        <v>1567.76</v>
      </c>
      <c r="BB65" s="12">
        <v>1623.5</v>
      </c>
      <c r="BC65" s="12">
        <v>1387.22</v>
      </c>
      <c r="BD65" s="12">
        <v>1351.13</v>
      </c>
      <c r="BE65" s="12">
        <v>10713.88</v>
      </c>
      <c r="BF65" s="12">
        <v>1660.99</v>
      </c>
      <c r="BG65" s="12">
        <v>1070.32</v>
      </c>
      <c r="BH65" s="12">
        <v>443.92</v>
      </c>
      <c r="BI65" s="12">
        <v>477.29</v>
      </c>
      <c r="BJ65" s="12">
        <v>1399.47</v>
      </c>
      <c r="BK65" s="12">
        <v>720.05</v>
      </c>
      <c r="BL65" s="12">
        <v>1303.51</v>
      </c>
      <c r="BM65" s="12">
        <v>1942.33</v>
      </c>
      <c r="BN65" s="12">
        <v>527.25</v>
      </c>
      <c r="BO65" s="12">
        <v>284.85000000000002</v>
      </c>
      <c r="BP65" s="12">
        <v>688.2</v>
      </c>
      <c r="BQ65" s="12">
        <v>256.99</v>
      </c>
      <c r="BR65" s="12">
        <v>691.8</v>
      </c>
      <c r="BS65" s="12">
        <v>132.88</v>
      </c>
      <c r="BT65" s="12">
        <v>181.64</v>
      </c>
      <c r="BU65" s="12">
        <v>39.04</v>
      </c>
      <c r="BV65" s="12">
        <v>123.18</v>
      </c>
      <c r="BW65" s="12">
        <v>4.5999999999999996</v>
      </c>
      <c r="BX65" s="6">
        <v>0</v>
      </c>
      <c r="BY65" s="12">
        <v>765.54</v>
      </c>
      <c r="BZ65" s="12">
        <v>0.01</v>
      </c>
      <c r="CA65" s="12">
        <v>765.39</v>
      </c>
      <c r="CB65" s="12">
        <v>0.14000000000000001</v>
      </c>
      <c r="CC65" s="12">
        <v>1608.05</v>
      </c>
      <c r="CD65" s="12">
        <v>21.67</v>
      </c>
      <c r="CE65" s="6">
        <v>0</v>
      </c>
      <c r="CF65" s="7" t="s">
        <v>104</v>
      </c>
      <c r="CG65" s="6">
        <v>0</v>
      </c>
      <c r="CH65" s="6" t="s">
        <v>104</v>
      </c>
      <c r="CI65" s="6">
        <v>0</v>
      </c>
      <c r="CJ65" s="12">
        <v>1586.38</v>
      </c>
      <c r="CK65" s="6" t="s">
        <v>104</v>
      </c>
      <c r="CL65" s="6" t="s">
        <v>104</v>
      </c>
      <c r="CM65" s="12">
        <v>71476.11</v>
      </c>
      <c r="CN65" s="12">
        <v>2373.59</v>
      </c>
    </row>
    <row r="66" spans="1:92" x14ac:dyDescent="0.35">
      <c r="A66" s="5" t="s">
        <v>68</v>
      </c>
      <c r="B66" s="13">
        <v>5559.38</v>
      </c>
      <c r="C66" s="13">
        <v>13.69</v>
      </c>
      <c r="D66" s="13">
        <v>0.98</v>
      </c>
      <c r="E66" s="13">
        <v>0.26</v>
      </c>
      <c r="F66" s="13">
        <v>22.86</v>
      </c>
      <c r="G66" s="13">
        <v>87.34</v>
      </c>
      <c r="H66" s="13">
        <v>5.58</v>
      </c>
      <c r="I66" s="13">
        <v>9.18</v>
      </c>
      <c r="J66" s="13">
        <v>13.12</v>
      </c>
      <c r="K66" s="13">
        <v>2.2400000000000002</v>
      </c>
      <c r="L66" s="13">
        <v>52.47</v>
      </c>
      <c r="M66" s="12">
        <v>120.66</v>
      </c>
      <c r="N66" s="43">
        <v>0</v>
      </c>
      <c r="O66" s="43">
        <v>0</v>
      </c>
      <c r="P66" s="43">
        <v>0</v>
      </c>
      <c r="Q66" s="43">
        <v>0</v>
      </c>
      <c r="R66" s="43">
        <v>0</v>
      </c>
      <c r="S66" s="43">
        <v>0</v>
      </c>
      <c r="T66" s="43">
        <v>0</v>
      </c>
      <c r="U66" s="43">
        <v>0</v>
      </c>
      <c r="V66" s="13">
        <v>120.77</v>
      </c>
      <c r="W66" s="13">
        <v>46.65</v>
      </c>
      <c r="X66" s="13">
        <v>38.89</v>
      </c>
      <c r="Y66" s="13">
        <v>45.18</v>
      </c>
      <c r="Z66" s="13">
        <v>122.08</v>
      </c>
      <c r="AA66" s="13">
        <v>93.43</v>
      </c>
      <c r="AB66" s="13">
        <v>75.94</v>
      </c>
      <c r="AC66" s="13">
        <v>134.43</v>
      </c>
      <c r="AD66" s="13">
        <v>126.13</v>
      </c>
      <c r="AE66" s="13">
        <v>79.28</v>
      </c>
      <c r="AF66" s="13">
        <v>21.99</v>
      </c>
      <c r="AG66" s="13">
        <v>122.1</v>
      </c>
      <c r="AH66" s="13">
        <v>140.21</v>
      </c>
      <c r="AI66" s="13">
        <v>140.21</v>
      </c>
      <c r="AJ66" s="61">
        <v>0</v>
      </c>
      <c r="AK66" s="13">
        <v>13.38</v>
      </c>
      <c r="AL66" s="13">
        <v>104.52</v>
      </c>
      <c r="AM66" s="13">
        <v>1421.63</v>
      </c>
      <c r="AN66" s="13">
        <v>22.12</v>
      </c>
      <c r="AO66" s="13">
        <v>112.23</v>
      </c>
      <c r="AP66" s="13">
        <v>32.479999999999997</v>
      </c>
      <c r="AQ66" s="13">
        <v>66.650000000000006</v>
      </c>
      <c r="AR66" s="13">
        <v>39.840000000000003</v>
      </c>
      <c r="AS66" s="13">
        <v>15.13</v>
      </c>
      <c r="AT66" s="13">
        <v>70.8</v>
      </c>
      <c r="AU66" s="13">
        <v>8.3699999999999992</v>
      </c>
      <c r="AV66" s="13">
        <v>38.9</v>
      </c>
      <c r="AW66" s="13">
        <v>17.399999999999999</v>
      </c>
      <c r="AX66" s="13">
        <v>7.29</v>
      </c>
      <c r="AY66" s="13">
        <v>44.54</v>
      </c>
      <c r="AZ66" s="13">
        <v>333.92</v>
      </c>
      <c r="BA66" s="13">
        <v>20.04</v>
      </c>
      <c r="BB66" s="13">
        <v>14.49</v>
      </c>
      <c r="BC66" s="13">
        <v>28.81</v>
      </c>
      <c r="BD66" s="13">
        <v>98.72</v>
      </c>
      <c r="BE66" s="13">
        <v>150.84</v>
      </c>
      <c r="BF66" s="13">
        <v>727.34</v>
      </c>
      <c r="BG66" s="13">
        <v>96.41</v>
      </c>
      <c r="BH66" s="13">
        <v>29.01</v>
      </c>
      <c r="BI66" s="13">
        <v>58.87</v>
      </c>
      <c r="BJ66" s="13">
        <v>102.9</v>
      </c>
      <c r="BK66" s="13">
        <v>33.369999999999997</v>
      </c>
      <c r="BL66" s="13">
        <v>2.58</v>
      </c>
      <c r="BM66" s="13">
        <v>94.93</v>
      </c>
      <c r="BN66" s="13">
        <v>153.58000000000001</v>
      </c>
      <c r="BO66" s="13">
        <v>25.2</v>
      </c>
      <c r="BP66" s="13">
        <v>33.28</v>
      </c>
      <c r="BQ66" s="13">
        <v>5.63</v>
      </c>
      <c r="BR66" s="13">
        <v>11.54</v>
      </c>
      <c r="BS66" s="13">
        <v>6.89</v>
      </c>
      <c r="BT66" s="13">
        <v>9.4600000000000009</v>
      </c>
      <c r="BU66" s="13">
        <v>2.0299999999999998</v>
      </c>
      <c r="BV66" s="13">
        <v>8.07</v>
      </c>
      <c r="BW66" s="13">
        <v>0.75</v>
      </c>
      <c r="BX66" s="7">
        <v>0</v>
      </c>
      <c r="BY66" s="13">
        <v>75.42</v>
      </c>
      <c r="BZ66" s="13">
        <v>7.94</v>
      </c>
      <c r="CA66" s="13">
        <v>67.459999999999994</v>
      </c>
      <c r="CB66" s="13">
        <v>0.02</v>
      </c>
      <c r="CC66" s="13">
        <v>1246.07</v>
      </c>
      <c r="CD66" s="13">
        <v>7.75</v>
      </c>
      <c r="CE66" s="7">
        <v>0</v>
      </c>
      <c r="CF66" s="7" t="s">
        <v>104</v>
      </c>
      <c r="CG66" s="7">
        <v>0</v>
      </c>
      <c r="CH66" s="6" t="s">
        <v>104</v>
      </c>
      <c r="CI66" s="7">
        <v>0</v>
      </c>
      <c r="CJ66" s="13">
        <v>1238.31</v>
      </c>
      <c r="CK66" s="7" t="s">
        <v>104</v>
      </c>
      <c r="CL66" s="7" t="s">
        <v>104</v>
      </c>
      <c r="CM66" s="13">
        <v>6880.86</v>
      </c>
      <c r="CN66" s="13">
        <v>1321.49</v>
      </c>
    </row>
    <row r="67" spans="1:92" x14ac:dyDescent="0.35">
      <c r="A67" s="5" t="s">
        <v>69</v>
      </c>
      <c r="B67" s="12">
        <v>3705.02</v>
      </c>
      <c r="C67" s="12">
        <v>2.02</v>
      </c>
      <c r="D67" s="12">
        <v>0.09</v>
      </c>
      <c r="E67" s="12">
        <v>0.41</v>
      </c>
      <c r="F67" s="12">
        <v>0.91</v>
      </c>
      <c r="G67" s="12">
        <v>52.04</v>
      </c>
      <c r="H67" s="12">
        <v>2.4300000000000002</v>
      </c>
      <c r="I67" s="12">
        <v>0.25</v>
      </c>
      <c r="J67" s="12">
        <v>2.4900000000000002</v>
      </c>
      <c r="K67" s="12">
        <v>0.47</v>
      </c>
      <c r="L67" s="12">
        <v>11.37</v>
      </c>
      <c r="M67" s="12">
        <v>65.260000000000005</v>
      </c>
      <c r="N67" s="43">
        <v>0</v>
      </c>
      <c r="O67" s="43">
        <v>0</v>
      </c>
      <c r="P67" s="43">
        <v>0</v>
      </c>
      <c r="Q67" s="43">
        <v>0</v>
      </c>
      <c r="R67" s="43">
        <v>0</v>
      </c>
      <c r="S67" s="43">
        <v>0</v>
      </c>
      <c r="T67" s="43">
        <v>0</v>
      </c>
      <c r="U67" s="43">
        <v>0</v>
      </c>
      <c r="V67" s="12">
        <v>484.74</v>
      </c>
      <c r="W67" s="12">
        <v>16.8</v>
      </c>
      <c r="X67" s="12">
        <v>7.69</v>
      </c>
      <c r="Y67" s="6">
        <v>2</v>
      </c>
      <c r="Z67" s="12">
        <v>9.27</v>
      </c>
      <c r="AA67" s="12">
        <v>120.86</v>
      </c>
      <c r="AB67" s="12">
        <v>30.41</v>
      </c>
      <c r="AC67" s="12">
        <v>38.130000000000003</v>
      </c>
      <c r="AD67" s="12">
        <v>253.98</v>
      </c>
      <c r="AE67" s="12">
        <v>5.97</v>
      </c>
      <c r="AF67" s="12">
        <v>10.25</v>
      </c>
      <c r="AG67" s="12">
        <v>6.5</v>
      </c>
      <c r="AH67" s="13">
        <v>11.56</v>
      </c>
      <c r="AI67" s="12">
        <v>11.56</v>
      </c>
      <c r="AJ67" s="61">
        <v>0</v>
      </c>
      <c r="AK67" s="12">
        <v>1.62</v>
      </c>
      <c r="AL67" s="12">
        <v>1.48</v>
      </c>
      <c r="AM67" s="12">
        <v>6.84</v>
      </c>
      <c r="AN67" s="12">
        <v>13.01</v>
      </c>
      <c r="AO67" s="12">
        <v>70.62</v>
      </c>
      <c r="AP67" s="12">
        <v>4.95</v>
      </c>
      <c r="AQ67" s="12">
        <v>2.63</v>
      </c>
      <c r="AR67" s="12">
        <v>0.63</v>
      </c>
      <c r="AS67" s="12">
        <v>1.25</v>
      </c>
      <c r="AT67" s="12">
        <v>1.03</v>
      </c>
      <c r="AU67" s="12">
        <v>23.4</v>
      </c>
      <c r="AV67" s="12">
        <v>1.03</v>
      </c>
      <c r="AW67" s="12">
        <v>61.48</v>
      </c>
      <c r="AX67" s="12">
        <v>0.3</v>
      </c>
      <c r="AY67" s="12">
        <v>2.09</v>
      </c>
      <c r="AZ67" s="12">
        <v>209.97</v>
      </c>
      <c r="BA67" s="12">
        <v>21.52</v>
      </c>
      <c r="BB67" s="12">
        <v>0.13</v>
      </c>
      <c r="BC67" s="12">
        <v>1.76</v>
      </c>
      <c r="BD67" s="12">
        <v>12.2</v>
      </c>
      <c r="BE67" s="12">
        <v>318.04000000000002</v>
      </c>
      <c r="BF67" s="12">
        <v>38.729999999999997</v>
      </c>
      <c r="BG67" s="12">
        <v>1333.54</v>
      </c>
      <c r="BH67" s="12">
        <v>15.46</v>
      </c>
      <c r="BI67" s="12">
        <v>19.09</v>
      </c>
      <c r="BJ67" s="12">
        <v>157.85</v>
      </c>
      <c r="BK67" s="12">
        <v>24.8</v>
      </c>
      <c r="BL67" s="12">
        <v>0.14000000000000001</v>
      </c>
      <c r="BM67" s="12">
        <v>58.89</v>
      </c>
      <c r="BN67" s="12">
        <v>40.79</v>
      </c>
      <c r="BO67" s="12">
        <v>57.44</v>
      </c>
      <c r="BP67" s="12">
        <v>52.26</v>
      </c>
      <c r="BQ67" s="12">
        <v>1.24</v>
      </c>
      <c r="BR67" s="12">
        <v>6.69</v>
      </c>
      <c r="BS67" s="12">
        <v>0.27</v>
      </c>
      <c r="BT67" s="12">
        <v>3.74</v>
      </c>
      <c r="BU67" s="12">
        <v>0.28999999999999998</v>
      </c>
      <c r="BV67" s="12">
        <v>7.0000000000000007E-2</v>
      </c>
      <c r="BW67" s="12">
        <v>1.86</v>
      </c>
      <c r="BX67" s="6">
        <v>0</v>
      </c>
      <c r="BY67" s="12">
        <v>41.12</v>
      </c>
      <c r="BZ67" s="12">
        <v>40.590000000000003</v>
      </c>
      <c r="CA67" s="6">
        <v>0</v>
      </c>
      <c r="CB67" s="12">
        <v>0.53</v>
      </c>
      <c r="CC67" s="12">
        <v>19097.12</v>
      </c>
      <c r="CD67" s="12">
        <v>153.80000000000001</v>
      </c>
      <c r="CE67" s="6">
        <v>0</v>
      </c>
      <c r="CF67" s="7" t="s">
        <v>104</v>
      </c>
      <c r="CG67" s="6">
        <v>0</v>
      </c>
      <c r="CH67" s="6" t="s">
        <v>104</v>
      </c>
      <c r="CI67" s="6">
        <v>0</v>
      </c>
      <c r="CJ67" s="12">
        <v>18943.32</v>
      </c>
      <c r="CK67" s="6" t="s">
        <v>104</v>
      </c>
      <c r="CL67" s="6" t="s">
        <v>104</v>
      </c>
      <c r="CM67" s="12">
        <v>22843.25</v>
      </c>
      <c r="CN67" s="12">
        <v>19138.240000000002</v>
      </c>
    </row>
    <row r="68" spans="1:92" x14ac:dyDescent="0.35">
      <c r="A68" s="5" t="s">
        <v>70</v>
      </c>
      <c r="B68" s="13">
        <v>8201.25</v>
      </c>
      <c r="C68" s="13">
        <v>7.1</v>
      </c>
      <c r="D68" s="13">
        <v>0.9</v>
      </c>
      <c r="E68" s="13">
        <v>0.32</v>
      </c>
      <c r="F68" s="13">
        <v>6.07</v>
      </c>
      <c r="G68" s="13">
        <v>800.93</v>
      </c>
      <c r="H68" s="13">
        <v>28.76</v>
      </c>
      <c r="I68" s="13">
        <v>7.12</v>
      </c>
      <c r="J68" s="13">
        <v>22.81</v>
      </c>
      <c r="K68" s="13">
        <v>5.49</v>
      </c>
      <c r="L68" s="13">
        <v>64.58</v>
      </c>
      <c r="M68" s="12">
        <v>257.64999999999998</v>
      </c>
      <c r="N68" s="43">
        <v>0</v>
      </c>
      <c r="O68" s="43">
        <v>0</v>
      </c>
      <c r="P68" s="43">
        <v>0</v>
      </c>
      <c r="Q68" s="43">
        <v>0</v>
      </c>
      <c r="R68" s="43">
        <v>0</v>
      </c>
      <c r="S68" s="43">
        <v>0</v>
      </c>
      <c r="T68" s="43">
        <v>0</v>
      </c>
      <c r="U68" s="43">
        <v>0</v>
      </c>
      <c r="V68" s="13">
        <v>884.8</v>
      </c>
      <c r="W68" s="13">
        <v>41.45</v>
      </c>
      <c r="X68" s="13">
        <v>38.200000000000003</v>
      </c>
      <c r="Y68" s="13">
        <v>18.079999999999998</v>
      </c>
      <c r="Z68" s="13">
        <v>41.09</v>
      </c>
      <c r="AA68" s="13">
        <v>129.61000000000001</v>
      </c>
      <c r="AB68" s="13">
        <v>37.14</v>
      </c>
      <c r="AC68" s="13">
        <v>45.16</v>
      </c>
      <c r="AD68" s="13">
        <v>127.95</v>
      </c>
      <c r="AE68" s="13">
        <v>10.46</v>
      </c>
      <c r="AF68" s="13">
        <v>108.79</v>
      </c>
      <c r="AG68" s="13">
        <v>19.149999999999999</v>
      </c>
      <c r="AH68" s="13">
        <v>47.41</v>
      </c>
      <c r="AI68" s="13">
        <v>47.41</v>
      </c>
      <c r="AJ68" s="61">
        <v>0</v>
      </c>
      <c r="AK68" s="13">
        <v>3.45</v>
      </c>
      <c r="AL68" s="13">
        <v>15.46</v>
      </c>
      <c r="AM68" s="13">
        <v>97.87</v>
      </c>
      <c r="AN68" s="13">
        <v>150.19</v>
      </c>
      <c r="AO68" s="13">
        <v>550.39</v>
      </c>
      <c r="AP68" s="13">
        <v>468.96</v>
      </c>
      <c r="AQ68" s="13">
        <v>31.43</v>
      </c>
      <c r="AR68" s="13">
        <v>7.44</v>
      </c>
      <c r="AS68" s="13">
        <v>25.51</v>
      </c>
      <c r="AT68" s="13">
        <v>31.92</v>
      </c>
      <c r="AU68" s="13">
        <v>29.67</v>
      </c>
      <c r="AV68" s="13">
        <v>82.82</v>
      </c>
      <c r="AW68" s="13">
        <v>119.68</v>
      </c>
      <c r="AX68" s="13">
        <v>56.38</v>
      </c>
      <c r="AY68" s="13">
        <v>78.98</v>
      </c>
      <c r="AZ68" s="13">
        <v>1156.03</v>
      </c>
      <c r="BA68" s="13">
        <v>89.25</v>
      </c>
      <c r="BB68" s="13">
        <v>117.12</v>
      </c>
      <c r="BC68" s="13">
        <v>75.92</v>
      </c>
      <c r="BD68" s="13">
        <v>51.46</v>
      </c>
      <c r="BE68" s="13">
        <v>366.07</v>
      </c>
      <c r="BF68" s="13">
        <v>26.05</v>
      </c>
      <c r="BG68" s="13">
        <v>129.47999999999999</v>
      </c>
      <c r="BH68" s="13">
        <v>562.36</v>
      </c>
      <c r="BI68" s="13">
        <v>36.799999999999997</v>
      </c>
      <c r="BJ68" s="13">
        <v>133.62</v>
      </c>
      <c r="BK68" s="13">
        <v>49.35</v>
      </c>
      <c r="BL68" s="13">
        <v>522.94000000000005</v>
      </c>
      <c r="BM68" s="13">
        <v>84.65</v>
      </c>
      <c r="BN68" s="13">
        <v>57.96</v>
      </c>
      <c r="BO68" s="13">
        <v>17.420000000000002</v>
      </c>
      <c r="BP68" s="13">
        <v>65.02</v>
      </c>
      <c r="BQ68" s="13">
        <v>16.149999999999999</v>
      </c>
      <c r="BR68" s="13">
        <v>78.87</v>
      </c>
      <c r="BS68" s="13">
        <v>28.37</v>
      </c>
      <c r="BT68" s="13">
        <v>20.13</v>
      </c>
      <c r="BU68" s="13">
        <v>5.57</v>
      </c>
      <c r="BV68" s="13">
        <v>9.4499999999999993</v>
      </c>
      <c r="BW68" s="13">
        <v>0.06</v>
      </c>
      <c r="BX68" s="7">
        <v>0</v>
      </c>
      <c r="BY68" s="13">
        <v>3.75</v>
      </c>
      <c r="BZ68" s="13">
        <v>0.77</v>
      </c>
      <c r="CA68" s="13">
        <v>2.98</v>
      </c>
      <c r="CB68" s="13">
        <v>0.01</v>
      </c>
      <c r="CC68" s="13">
        <v>1.25</v>
      </c>
      <c r="CD68" s="13">
        <v>0.62</v>
      </c>
      <c r="CE68" s="7">
        <v>0</v>
      </c>
      <c r="CF68" s="7" t="s">
        <v>104</v>
      </c>
      <c r="CG68" s="7">
        <v>0</v>
      </c>
      <c r="CH68" s="6" t="s">
        <v>104</v>
      </c>
      <c r="CI68" s="7">
        <v>0</v>
      </c>
      <c r="CJ68" s="13">
        <v>0.63</v>
      </c>
      <c r="CK68" s="7" t="s">
        <v>104</v>
      </c>
      <c r="CL68" s="7" t="s">
        <v>104</v>
      </c>
      <c r="CM68" s="13">
        <v>8206.25</v>
      </c>
      <c r="CN68" s="7">
        <v>5</v>
      </c>
    </row>
    <row r="69" spans="1:92" x14ac:dyDescent="0.35">
      <c r="A69" s="5" t="s">
        <v>71</v>
      </c>
      <c r="B69" s="12">
        <v>17683.669999999998</v>
      </c>
      <c r="C69" s="12">
        <v>135.12</v>
      </c>
      <c r="D69" s="12">
        <v>3.07</v>
      </c>
      <c r="E69" s="12">
        <v>0.79</v>
      </c>
      <c r="F69" s="12">
        <v>20.49</v>
      </c>
      <c r="G69" s="12">
        <v>395.65</v>
      </c>
      <c r="H69" s="12">
        <v>63.03</v>
      </c>
      <c r="I69" s="12">
        <v>17.059999999999999</v>
      </c>
      <c r="J69" s="12">
        <v>57.84</v>
      </c>
      <c r="K69" s="12">
        <v>29.24</v>
      </c>
      <c r="L69" s="12">
        <v>93.75</v>
      </c>
      <c r="M69" s="12">
        <v>331.81</v>
      </c>
      <c r="N69" s="43">
        <v>0</v>
      </c>
      <c r="O69" s="43">
        <v>0</v>
      </c>
      <c r="P69" s="43">
        <v>0</v>
      </c>
      <c r="Q69" s="43">
        <v>0</v>
      </c>
      <c r="R69" s="43">
        <v>0</v>
      </c>
      <c r="S69" s="43">
        <v>0</v>
      </c>
      <c r="T69" s="43">
        <v>0</v>
      </c>
      <c r="U69" s="43">
        <v>0</v>
      </c>
      <c r="V69" s="12">
        <v>412.82</v>
      </c>
      <c r="W69" s="12">
        <v>93.25</v>
      </c>
      <c r="X69" s="12">
        <v>54.29</v>
      </c>
      <c r="Y69" s="12">
        <v>104.3</v>
      </c>
      <c r="Z69" s="12">
        <v>130.03</v>
      </c>
      <c r="AA69" s="12">
        <v>153.63999999999999</v>
      </c>
      <c r="AB69" s="12">
        <v>186.57</v>
      </c>
      <c r="AC69" s="12">
        <v>236.43</v>
      </c>
      <c r="AD69" s="12">
        <v>377.04</v>
      </c>
      <c r="AE69" s="12">
        <v>46.67</v>
      </c>
      <c r="AF69" s="12">
        <v>81.09</v>
      </c>
      <c r="AG69" s="12">
        <v>114.16</v>
      </c>
      <c r="AH69" s="13">
        <v>215.29</v>
      </c>
      <c r="AI69" s="12">
        <v>215.29</v>
      </c>
      <c r="AJ69" s="61">
        <v>0</v>
      </c>
      <c r="AK69" s="12">
        <v>18.43</v>
      </c>
      <c r="AL69" s="12">
        <v>162.07</v>
      </c>
      <c r="AM69" s="12">
        <v>516.14</v>
      </c>
      <c r="AN69" s="12">
        <v>185.29</v>
      </c>
      <c r="AO69" s="12">
        <v>1130.1099999999999</v>
      </c>
      <c r="AP69" s="12">
        <v>401.21</v>
      </c>
      <c r="AQ69" s="12">
        <v>209.47</v>
      </c>
      <c r="AR69" s="12">
        <v>46.07</v>
      </c>
      <c r="AS69" s="12">
        <v>690.54</v>
      </c>
      <c r="AT69" s="12">
        <v>152.09</v>
      </c>
      <c r="AU69" s="12">
        <v>85.19</v>
      </c>
      <c r="AV69" s="12">
        <v>273.62</v>
      </c>
      <c r="AW69" s="12">
        <v>400.3</v>
      </c>
      <c r="AX69" s="12">
        <v>127.63</v>
      </c>
      <c r="AY69" s="12">
        <v>365.3</v>
      </c>
      <c r="AZ69" s="12">
        <v>1441.74</v>
      </c>
      <c r="BA69" s="12">
        <v>343.54</v>
      </c>
      <c r="BB69" s="12">
        <v>423.66</v>
      </c>
      <c r="BC69" s="12">
        <v>425.5</v>
      </c>
      <c r="BD69" s="12">
        <v>311.82</v>
      </c>
      <c r="BE69" s="12">
        <v>1423.88</v>
      </c>
      <c r="BF69" s="12">
        <v>346.36</v>
      </c>
      <c r="BG69" s="12">
        <v>324.45999999999998</v>
      </c>
      <c r="BH69" s="12">
        <v>564.08000000000004</v>
      </c>
      <c r="BI69" s="12">
        <v>744.65</v>
      </c>
      <c r="BJ69" s="12">
        <v>476.33</v>
      </c>
      <c r="BK69" s="12">
        <v>161.47999999999999</v>
      </c>
      <c r="BL69" s="12">
        <v>94.94</v>
      </c>
      <c r="BM69" s="12">
        <v>812.28</v>
      </c>
      <c r="BN69" s="12">
        <v>536.17999999999995</v>
      </c>
      <c r="BO69" s="12">
        <v>194.26</v>
      </c>
      <c r="BP69" s="12">
        <v>319.17</v>
      </c>
      <c r="BQ69" s="12">
        <v>142.59</v>
      </c>
      <c r="BR69" s="12">
        <v>118.05</v>
      </c>
      <c r="BS69" s="12">
        <v>83.72</v>
      </c>
      <c r="BT69" s="12">
        <v>165.26</v>
      </c>
      <c r="BU69" s="12">
        <v>17.61</v>
      </c>
      <c r="BV69" s="12">
        <v>93.3</v>
      </c>
      <c r="BW69" s="12">
        <v>1.95</v>
      </c>
      <c r="BX69" s="6">
        <v>0</v>
      </c>
      <c r="BY69" s="12">
        <v>4113.96</v>
      </c>
      <c r="BZ69" s="12">
        <v>15.29</v>
      </c>
      <c r="CA69" s="12">
        <v>4098.63</v>
      </c>
      <c r="CB69" s="12">
        <v>0.04</v>
      </c>
      <c r="CC69" s="12">
        <v>38.17</v>
      </c>
      <c r="CD69" s="12">
        <v>38.159999999999997</v>
      </c>
      <c r="CE69" s="6">
        <v>0</v>
      </c>
      <c r="CF69" s="7" t="s">
        <v>104</v>
      </c>
      <c r="CG69" s="6">
        <v>0</v>
      </c>
      <c r="CH69" s="6" t="s">
        <v>104</v>
      </c>
      <c r="CI69" s="6">
        <v>0</v>
      </c>
      <c r="CJ69" s="12">
        <v>0.01</v>
      </c>
      <c r="CK69" s="6" t="s">
        <v>104</v>
      </c>
      <c r="CL69" s="6" t="s">
        <v>104</v>
      </c>
      <c r="CM69" s="12">
        <v>21835.8</v>
      </c>
      <c r="CN69" s="12">
        <v>4152.13</v>
      </c>
    </row>
    <row r="70" spans="1:92" x14ac:dyDescent="0.35">
      <c r="A70" s="5" t="s">
        <v>72</v>
      </c>
      <c r="B70" s="13">
        <v>11127.63</v>
      </c>
      <c r="C70" s="13">
        <v>44.23</v>
      </c>
      <c r="D70" s="13">
        <v>1.74</v>
      </c>
      <c r="E70" s="13">
        <v>1.68</v>
      </c>
      <c r="F70" s="13">
        <v>12.26</v>
      </c>
      <c r="G70" s="13">
        <v>216.3</v>
      </c>
      <c r="H70" s="13">
        <v>63.08</v>
      </c>
      <c r="I70" s="13">
        <v>10.85</v>
      </c>
      <c r="J70" s="13">
        <v>18.739999999999998</v>
      </c>
      <c r="K70" s="13">
        <v>10.78</v>
      </c>
      <c r="L70" s="13">
        <v>41.09</v>
      </c>
      <c r="M70" s="12">
        <v>372.74</v>
      </c>
      <c r="N70" s="43">
        <v>0</v>
      </c>
      <c r="O70" s="43">
        <v>0</v>
      </c>
      <c r="P70" s="43">
        <v>0</v>
      </c>
      <c r="Q70" s="43">
        <v>0</v>
      </c>
      <c r="R70" s="43">
        <v>0</v>
      </c>
      <c r="S70" s="43">
        <v>0</v>
      </c>
      <c r="T70" s="43">
        <v>0</v>
      </c>
      <c r="U70" s="43">
        <v>0</v>
      </c>
      <c r="V70" s="13">
        <v>675.08</v>
      </c>
      <c r="W70" s="13">
        <v>67.05</v>
      </c>
      <c r="X70" s="13">
        <v>51.31</v>
      </c>
      <c r="Y70" s="13">
        <v>52.35</v>
      </c>
      <c r="Z70" s="13">
        <v>80.69</v>
      </c>
      <c r="AA70" s="13">
        <v>217.84</v>
      </c>
      <c r="AB70" s="13">
        <v>109.78</v>
      </c>
      <c r="AC70" s="13">
        <v>182.93</v>
      </c>
      <c r="AD70" s="13">
        <v>228.52</v>
      </c>
      <c r="AE70" s="13">
        <v>60.65</v>
      </c>
      <c r="AF70" s="13">
        <v>75.819999999999993</v>
      </c>
      <c r="AG70" s="13">
        <v>77.55</v>
      </c>
      <c r="AH70" s="13">
        <v>100.36</v>
      </c>
      <c r="AI70" s="13">
        <v>100.36</v>
      </c>
      <c r="AJ70" s="61">
        <v>0</v>
      </c>
      <c r="AK70" s="13">
        <v>14.47</v>
      </c>
      <c r="AL70" s="13">
        <v>93.05</v>
      </c>
      <c r="AM70" s="13">
        <v>428.15</v>
      </c>
      <c r="AN70" s="13">
        <v>88.81</v>
      </c>
      <c r="AO70" s="13">
        <v>518.44000000000005</v>
      </c>
      <c r="AP70" s="13">
        <v>236.34</v>
      </c>
      <c r="AQ70" s="13">
        <v>238.36</v>
      </c>
      <c r="AR70" s="13">
        <v>137.55000000000001</v>
      </c>
      <c r="AS70" s="13">
        <v>207.69</v>
      </c>
      <c r="AT70" s="13">
        <v>226.58</v>
      </c>
      <c r="AU70" s="13">
        <v>17.66</v>
      </c>
      <c r="AV70" s="13">
        <v>164.89</v>
      </c>
      <c r="AW70" s="13">
        <v>83.07</v>
      </c>
      <c r="AX70" s="13">
        <v>258.54000000000002</v>
      </c>
      <c r="AY70" s="13">
        <v>131.31</v>
      </c>
      <c r="AZ70" s="13">
        <v>2728.05</v>
      </c>
      <c r="BA70" s="13">
        <v>68.63</v>
      </c>
      <c r="BB70" s="13">
        <v>42.1</v>
      </c>
      <c r="BC70" s="13">
        <v>49.14</v>
      </c>
      <c r="BD70" s="13">
        <v>56.44</v>
      </c>
      <c r="BE70" s="13">
        <v>365.6</v>
      </c>
      <c r="BF70" s="13">
        <v>109.04</v>
      </c>
      <c r="BG70" s="13">
        <v>186.3</v>
      </c>
      <c r="BH70" s="13">
        <v>104.68</v>
      </c>
      <c r="BI70" s="7">
        <v>58</v>
      </c>
      <c r="BJ70" s="13">
        <v>993.68</v>
      </c>
      <c r="BK70" s="13">
        <v>18.78</v>
      </c>
      <c r="BL70" s="13">
        <v>21.73</v>
      </c>
      <c r="BM70" s="13">
        <v>244.98</v>
      </c>
      <c r="BN70" s="13">
        <v>102.23</v>
      </c>
      <c r="BO70" s="13">
        <v>64.790000000000006</v>
      </c>
      <c r="BP70" s="13">
        <v>95.56</v>
      </c>
      <c r="BQ70" s="13">
        <v>40.090000000000003</v>
      </c>
      <c r="BR70" s="13">
        <v>59.16</v>
      </c>
      <c r="BS70" s="13">
        <v>34.03</v>
      </c>
      <c r="BT70" s="13">
        <v>11.81</v>
      </c>
      <c r="BU70" s="13">
        <v>8.6300000000000008</v>
      </c>
      <c r="BV70" s="13">
        <v>45.08</v>
      </c>
      <c r="BW70" s="13">
        <v>0.77</v>
      </c>
      <c r="BX70" s="7">
        <v>0</v>
      </c>
      <c r="BY70" s="13">
        <v>212.72</v>
      </c>
      <c r="BZ70" s="13">
        <v>0.01</v>
      </c>
      <c r="CA70" s="13">
        <v>212.72</v>
      </c>
      <c r="CB70" s="7">
        <v>0</v>
      </c>
      <c r="CC70" s="13">
        <v>64.13</v>
      </c>
      <c r="CD70" s="13">
        <v>0.05</v>
      </c>
      <c r="CE70" s="7">
        <v>0</v>
      </c>
      <c r="CF70" s="7" t="s">
        <v>104</v>
      </c>
      <c r="CG70" s="7">
        <v>0</v>
      </c>
      <c r="CH70" s="6" t="s">
        <v>104</v>
      </c>
      <c r="CI70" s="7">
        <v>0</v>
      </c>
      <c r="CJ70" s="13">
        <v>64.08</v>
      </c>
      <c r="CK70" s="7" t="s">
        <v>104</v>
      </c>
      <c r="CL70" s="7" t="s">
        <v>104</v>
      </c>
      <c r="CM70" s="13">
        <v>11404.48</v>
      </c>
      <c r="CN70" s="13">
        <v>276.85000000000002</v>
      </c>
    </row>
    <row r="71" spans="1:92" x14ac:dyDescent="0.35">
      <c r="A71" s="5" t="s">
        <v>73</v>
      </c>
      <c r="B71" s="12">
        <v>12055.22</v>
      </c>
      <c r="C71" s="12">
        <v>454.38</v>
      </c>
      <c r="D71" s="12">
        <v>33.24</v>
      </c>
      <c r="E71" s="12">
        <v>34.340000000000003</v>
      </c>
      <c r="F71" s="12">
        <v>59.87</v>
      </c>
      <c r="G71" s="12">
        <v>637.61</v>
      </c>
      <c r="H71" s="12">
        <v>150.69</v>
      </c>
      <c r="I71" s="12">
        <v>98.55</v>
      </c>
      <c r="J71" s="12">
        <v>139.33000000000001</v>
      </c>
      <c r="K71" s="12">
        <v>76.430000000000007</v>
      </c>
      <c r="L71" s="12">
        <v>116.37</v>
      </c>
      <c r="M71" s="12">
        <v>263.26</v>
      </c>
      <c r="N71" s="43">
        <v>0</v>
      </c>
      <c r="O71" s="43">
        <v>0</v>
      </c>
      <c r="P71" s="43">
        <v>0</v>
      </c>
      <c r="Q71" s="43">
        <v>0</v>
      </c>
      <c r="R71" s="43">
        <v>0</v>
      </c>
      <c r="S71" s="43">
        <v>0</v>
      </c>
      <c r="T71" s="43">
        <v>0</v>
      </c>
      <c r="U71" s="43">
        <v>0</v>
      </c>
      <c r="V71" s="12">
        <v>190.16</v>
      </c>
      <c r="W71" s="12">
        <v>243.35</v>
      </c>
      <c r="X71" s="6">
        <v>149</v>
      </c>
      <c r="Y71" s="12">
        <v>213.42</v>
      </c>
      <c r="Z71" s="12">
        <v>396.4</v>
      </c>
      <c r="AA71" s="12">
        <v>184.52</v>
      </c>
      <c r="AB71" s="12">
        <v>217.58</v>
      </c>
      <c r="AC71" s="12">
        <v>395.54</v>
      </c>
      <c r="AD71" s="12">
        <v>344.71</v>
      </c>
      <c r="AE71" s="12">
        <v>175.23</v>
      </c>
      <c r="AF71" s="12">
        <v>170.89</v>
      </c>
      <c r="AG71" s="12">
        <v>210.17</v>
      </c>
      <c r="AH71" s="13">
        <v>171.45</v>
      </c>
      <c r="AI71" s="12">
        <v>171.45</v>
      </c>
      <c r="AJ71" s="61">
        <v>0</v>
      </c>
      <c r="AK71" s="12">
        <v>42.31</v>
      </c>
      <c r="AL71" s="12">
        <v>158.84</v>
      </c>
      <c r="AM71" s="12">
        <v>426.07</v>
      </c>
      <c r="AN71" s="12">
        <v>137.33000000000001</v>
      </c>
      <c r="AO71" s="12">
        <v>459.98</v>
      </c>
      <c r="AP71" s="12">
        <v>224.61</v>
      </c>
      <c r="AQ71" s="12">
        <v>216.84</v>
      </c>
      <c r="AR71" s="12">
        <v>100.19</v>
      </c>
      <c r="AS71" s="12">
        <v>128.51</v>
      </c>
      <c r="AT71" s="12">
        <v>518.96</v>
      </c>
      <c r="AU71" s="12">
        <v>146.88999999999999</v>
      </c>
      <c r="AV71" s="12">
        <v>263.36</v>
      </c>
      <c r="AW71" s="12">
        <v>79.81</v>
      </c>
      <c r="AX71" s="12">
        <v>70.55</v>
      </c>
      <c r="AY71" s="12">
        <v>109.67</v>
      </c>
      <c r="AZ71" s="12">
        <v>340.92</v>
      </c>
      <c r="BA71" s="12">
        <v>132.37</v>
      </c>
      <c r="BB71" s="12">
        <v>73.540000000000006</v>
      </c>
      <c r="BC71" s="12">
        <v>116.46</v>
      </c>
      <c r="BD71" s="12">
        <v>146.99</v>
      </c>
      <c r="BE71" s="12">
        <v>290.08999999999997</v>
      </c>
      <c r="BF71" s="12">
        <v>279.94</v>
      </c>
      <c r="BG71" s="12">
        <v>173.64</v>
      </c>
      <c r="BH71" s="12">
        <v>123.72</v>
      </c>
      <c r="BI71" s="12">
        <v>99.37</v>
      </c>
      <c r="BJ71" s="12">
        <v>158.26</v>
      </c>
      <c r="BK71" s="12">
        <v>335.16</v>
      </c>
      <c r="BL71" s="12">
        <v>50.52</v>
      </c>
      <c r="BM71" s="12">
        <v>381.73</v>
      </c>
      <c r="BN71" s="12">
        <v>108.77</v>
      </c>
      <c r="BO71" s="12">
        <v>102.16</v>
      </c>
      <c r="BP71" s="12">
        <v>419.16</v>
      </c>
      <c r="BQ71" s="12">
        <v>181.47</v>
      </c>
      <c r="BR71" s="12">
        <v>63.13</v>
      </c>
      <c r="BS71" s="12">
        <v>70.59</v>
      </c>
      <c r="BT71" s="12">
        <v>54.33</v>
      </c>
      <c r="BU71" s="12">
        <v>55.72</v>
      </c>
      <c r="BV71" s="12">
        <v>85.68</v>
      </c>
      <c r="BW71" s="12">
        <v>1.1399999999999999</v>
      </c>
      <c r="BX71" s="6">
        <v>0</v>
      </c>
      <c r="BY71" s="12">
        <v>247.29</v>
      </c>
      <c r="BZ71" s="12">
        <v>122.32</v>
      </c>
      <c r="CA71" s="12">
        <v>106.29</v>
      </c>
      <c r="CB71" s="12">
        <v>18.670000000000002</v>
      </c>
      <c r="CC71" s="12">
        <v>200.15</v>
      </c>
      <c r="CD71" s="12">
        <v>100.95</v>
      </c>
      <c r="CE71" s="6">
        <v>0</v>
      </c>
      <c r="CF71" s="7" t="s">
        <v>104</v>
      </c>
      <c r="CG71" s="6">
        <v>0</v>
      </c>
      <c r="CH71" s="6" t="s">
        <v>104</v>
      </c>
      <c r="CI71" s="6">
        <v>0</v>
      </c>
      <c r="CJ71" s="12">
        <v>99.2</v>
      </c>
      <c r="CK71" s="6" t="s">
        <v>104</v>
      </c>
      <c r="CL71" s="6" t="s">
        <v>104</v>
      </c>
      <c r="CM71" s="12">
        <v>12502.66</v>
      </c>
      <c r="CN71" s="12">
        <v>447.43</v>
      </c>
    </row>
    <row r="72" spans="1:92" x14ac:dyDescent="0.35">
      <c r="A72" s="5" t="s">
        <v>74</v>
      </c>
      <c r="B72" s="13">
        <v>13596.74</v>
      </c>
      <c r="C72" s="13">
        <v>133.55000000000001</v>
      </c>
      <c r="D72" s="13">
        <v>39.6</v>
      </c>
      <c r="E72" s="13">
        <v>59.99</v>
      </c>
      <c r="F72" s="13">
        <v>80.88</v>
      </c>
      <c r="G72" s="13">
        <v>251.6</v>
      </c>
      <c r="H72" s="13">
        <v>132.58000000000001</v>
      </c>
      <c r="I72" s="13">
        <v>95.35</v>
      </c>
      <c r="J72" s="13">
        <v>133.44</v>
      </c>
      <c r="K72" s="13">
        <v>83.42</v>
      </c>
      <c r="L72" s="13">
        <v>158.21</v>
      </c>
      <c r="M72" s="12">
        <v>212.23</v>
      </c>
      <c r="N72" s="43">
        <v>0</v>
      </c>
      <c r="O72" s="43">
        <v>0</v>
      </c>
      <c r="P72" s="43">
        <v>0</v>
      </c>
      <c r="Q72" s="43">
        <v>0</v>
      </c>
      <c r="R72" s="43">
        <v>0</v>
      </c>
      <c r="S72" s="43">
        <v>0</v>
      </c>
      <c r="T72" s="43">
        <v>0</v>
      </c>
      <c r="U72" s="43">
        <v>0</v>
      </c>
      <c r="V72" s="13">
        <v>170.43</v>
      </c>
      <c r="W72" s="13">
        <v>185.95</v>
      </c>
      <c r="X72" s="13">
        <v>154.77000000000001</v>
      </c>
      <c r="Y72" s="13">
        <v>201.54</v>
      </c>
      <c r="Z72" s="13">
        <v>202.74</v>
      </c>
      <c r="AA72" s="13">
        <v>148.61000000000001</v>
      </c>
      <c r="AB72" s="13">
        <v>176.82</v>
      </c>
      <c r="AC72" s="13">
        <v>191.97</v>
      </c>
      <c r="AD72" s="13">
        <v>214.63</v>
      </c>
      <c r="AE72" s="13">
        <v>166.58</v>
      </c>
      <c r="AF72" s="13">
        <v>132.47</v>
      </c>
      <c r="AG72" s="13">
        <v>156.26</v>
      </c>
      <c r="AH72" s="13">
        <v>168.95</v>
      </c>
      <c r="AI72" s="13">
        <v>168.95</v>
      </c>
      <c r="AJ72" s="61">
        <v>0</v>
      </c>
      <c r="AK72" s="13">
        <v>62.25</v>
      </c>
      <c r="AL72" s="13">
        <v>220.09</v>
      </c>
      <c r="AM72" s="13">
        <v>466.23</v>
      </c>
      <c r="AN72" s="13">
        <v>186.48</v>
      </c>
      <c r="AO72" s="13">
        <v>349.39</v>
      </c>
      <c r="AP72" s="13">
        <v>250.2</v>
      </c>
      <c r="AQ72" s="13">
        <v>456.05</v>
      </c>
      <c r="AR72" s="13">
        <v>239.06</v>
      </c>
      <c r="AS72" s="13">
        <v>1070.71</v>
      </c>
      <c r="AT72" s="13">
        <v>757.87</v>
      </c>
      <c r="AU72" s="13">
        <v>61.22</v>
      </c>
      <c r="AV72" s="13">
        <v>443.1</v>
      </c>
      <c r="AW72" s="13">
        <v>100.51</v>
      </c>
      <c r="AX72" s="13">
        <v>129.22</v>
      </c>
      <c r="AY72" s="13">
        <v>162.83000000000001</v>
      </c>
      <c r="AZ72" s="13">
        <v>244.66</v>
      </c>
      <c r="BA72" s="13">
        <v>91.62</v>
      </c>
      <c r="BB72" s="13">
        <v>101.49</v>
      </c>
      <c r="BC72" s="13">
        <v>86.4</v>
      </c>
      <c r="BD72" s="13">
        <v>132.31</v>
      </c>
      <c r="BE72" s="13">
        <v>365.08</v>
      </c>
      <c r="BF72" s="13">
        <v>157.1</v>
      </c>
      <c r="BG72" s="13">
        <v>164.61</v>
      </c>
      <c r="BH72" s="13">
        <v>127.44</v>
      </c>
      <c r="BI72" s="13">
        <v>107.97</v>
      </c>
      <c r="BJ72" s="13">
        <v>354.91</v>
      </c>
      <c r="BK72" s="13">
        <v>76.84</v>
      </c>
      <c r="BL72" s="13">
        <v>1585.93</v>
      </c>
      <c r="BM72" s="13">
        <v>157.61000000000001</v>
      </c>
      <c r="BN72" s="13">
        <v>213.42</v>
      </c>
      <c r="BO72" s="13">
        <v>146.9</v>
      </c>
      <c r="BP72" s="13">
        <v>218.98</v>
      </c>
      <c r="BQ72" s="13">
        <v>112.02</v>
      </c>
      <c r="BR72" s="13">
        <v>128.22</v>
      </c>
      <c r="BS72" s="13">
        <v>136.62</v>
      </c>
      <c r="BT72" s="13">
        <v>86.75</v>
      </c>
      <c r="BU72" s="13">
        <v>85.38</v>
      </c>
      <c r="BV72" s="13">
        <v>104.79</v>
      </c>
      <c r="BW72" s="13">
        <v>1.93</v>
      </c>
      <c r="BX72" s="7">
        <v>0</v>
      </c>
      <c r="BY72" s="13">
        <v>11196.53</v>
      </c>
      <c r="BZ72" s="13">
        <v>205.24</v>
      </c>
      <c r="CA72" s="13">
        <v>10982.45</v>
      </c>
      <c r="CB72" s="13">
        <v>8.84</v>
      </c>
      <c r="CC72" s="13">
        <v>345.35</v>
      </c>
      <c r="CD72" s="13">
        <v>182.32</v>
      </c>
      <c r="CE72" s="7">
        <v>0</v>
      </c>
      <c r="CF72" s="7" t="s">
        <v>104</v>
      </c>
      <c r="CG72" s="7">
        <v>0</v>
      </c>
      <c r="CH72" s="6" t="s">
        <v>104</v>
      </c>
      <c r="CI72" s="7">
        <v>0</v>
      </c>
      <c r="CJ72" s="13">
        <v>163.03</v>
      </c>
      <c r="CK72" s="7" t="s">
        <v>104</v>
      </c>
      <c r="CL72" s="7" t="s">
        <v>104</v>
      </c>
      <c r="CM72" s="13">
        <v>25138.62</v>
      </c>
      <c r="CN72" s="13">
        <v>11541.88</v>
      </c>
    </row>
    <row r="73" spans="1:92" x14ac:dyDescent="0.35">
      <c r="A73" s="5" t="s">
        <v>75</v>
      </c>
      <c r="B73" s="12">
        <v>76458.3</v>
      </c>
      <c r="C73" s="12">
        <v>435.47</v>
      </c>
      <c r="D73" s="12">
        <v>67.13</v>
      </c>
      <c r="E73" s="12">
        <v>15.66</v>
      </c>
      <c r="F73" s="12">
        <v>159.16999999999999</v>
      </c>
      <c r="G73" s="12">
        <v>2248.11</v>
      </c>
      <c r="H73" s="12">
        <v>420.58</v>
      </c>
      <c r="I73" s="12">
        <v>248.16</v>
      </c>
      <c r="J73" s="12">
        <v>398.49</v>
      </c>
      <c r="K73" s="12">
        <v>140.93</v>
      </c>
      <c r="L73" s="12">
        <v>495.55</v>
      </c>
      <c r="M73" s="12">
        <v>1722.86</v>
      </c>
      <c r="N73" s="43">
        <v>0</v>
      </c>
      <c r="O73" s="43">
        <v>0</v>
      </c>
      <c r="P73" s="43">
        <v>0</v>
      </c>
      <c r="Q73" s="43">
        <v>0</v>
      </c>
      <c r="R73" s="43">
        <v>0</v>
      </c>
      <c r="S73" s="43">
        <v>0</v>
      </c>
      <c r="T73" s="43">
        <v>0</v>
      </c>
      <c r="U73" s="43">
        <v>0</v>
      </c>
      <c r="V73" s="12">
        <v>1472.11</v>
      </c>
      <c r="W73" s="12">
        <v>642.66</v>
      </c>
      <c r="X73" s="12">
        <v>471.42</v>
      </c>
      <c r="Y73" s="12">
        <v>866.43</v>
      </c>
      <c r="Z73" s="12">
        <v>1021.13</v>
      </c>
      <c r="AA73" s="12">
        <v>534.78</v>
      </c>
      <c r="AB73" s="12">
        <v>745.96</v>
      </c>
      <c r="AC73" s="12">
        <v>1384.22</v>
      </c>
      <c r="AD73" s="12">
        <v>1564.78</v>
      </c>
      <c r="AE73" s="12">
        <v>494.92</v>
      </c>
      <c r="AF73" s="12">
        <v>720.27</v>
      </c>
      <c r="AG73" s="12">
        <v>630.72</v>
      </c>
      <c r="AH73" s="13">
        <v>2012.66</v>
      </c>
      <c r="AI73" s="12">
        <v>2012.66</v>
      </c>
      <c r="AJ73" s="61">
        <v>0</v>
      </c>
      <c r="AK73" s="12">
        <v>124.24</v>
      </c>
      <c r="AL73" s="12">
        <v>841.33</v>
      </c>
      <c r="AM73" s="12">
        <v>2537.84</v>
      </c>
      <c r="AN73" s="12">
        <v>943.56</v>
      </c>
      <c r="AO73" s="12">
        <v>3783.21</v>
      </c>
      <c r="AP73" s="12">
        <v>1890.62</v>
      </c>
      <c r="AQ73" s="12">
        <v>1272.3699999999999</v>
      </c>
      <c r="AR73" s="12">
        <v>816.49</v>
      </c>
      <c r="AS73" s="12">
        <v>699.19</v>
      </c>
      <c r="AT73" s="12">
        <v>1678.33</v>
      </c>
      <c r="AU73" s="12">
        <v>446.91</v>
      </c>
      <c r="AV73" s="12">
        <v>1851.72</v>
      </c>
      <c r="AW73" s="12">
        <v>944.22</v>
      </c>
      <c r="AX73" s="12">
        <v>826.33</v>
      </c>
      <c r="AY73" s="12">
        <v>1176.6300000000001</v>
      </c>
      <c r="AZ73" s="12">
        <v>5423.96</v>
      </c>
      <c r="BA73" s="12">
        <v>1606.14</v>
      </c>
      <c r="BB73" s="12">
        <v>1054.55</v>
      </c>
      <c r="BC73" s="12">
        <v>1107.0999999999999</v>
      </c>
      <c r="BD73" s="12">
        <v>1144.24</v>
      </c>
      <c r="BE73" s="12">
        <v>5184.82</v>
      </c>
      <c r="BF73" s="12">
        <v>1241.51</v>
      </c>
      <c r="BG73" s="12">
        <v>1363.72</v>
      </c>
      <c r="BH73" s="12">
        <v>1080.6600000000001</v>
      </c>
      <c r="BI73" s="12">
        <v>758.45</v>
      </c>
      <c r="BJ73" s="12">
        <v>3216.8</v>
      </c>
      <c r="BK73" s="12">
        <v>593.6</v>
      </c>
      <c r="BL73" s="12">
        <v>707.65</v>
      </c>
      <c r="BM73" s="12">
        <v>5261.53</v>
      </c>
      <c r="BN73" s="12">
        <v>2477.2800000000002</v>
      </c>
      <c r="BO73" s="12">
        <v>1131.32</v>
      </c>
      <c r="BP73" s="12">
        <v>1729.49</v>
      </c>
      <c r="BQ73" s="12">
        <v>847.69</v>
      </c>
      <c r="BR73" s="12">
        <v>608.91999999999996</v>
      </c>
      <c r="BS73" s="12">
        <v>348.39</v>
      </c>
      <c r="BT73" s="12">
        <v>331.37</v>
      </c>
      <c r="BU73" s="12">
        <v>145.25</v>
      </c>
      <c r="BV73" s="12">
        <v>344.31</v>
      </c>
      <c r="BW73" s="12">
        <v>2.4</v>
      </c>
      <c r="BX73" s="6">
        <v>0</v>
      </c>
      <c r="BY73" s="12">
        <v>4169.87</v>
      </c>
      <c r="BZ73" s="12">
        <v>101.39</v>
      </c>
      <c r="CA73" s="12">
        <v>4066.25</v>
      </c>
      <c r="CB73" s="12">
        <v>2.23</v>
      </c>
      <c r="CC73" s="12">
        <v>155.44999999999999</v>
      </c>
      <c r="CD73" s="12">
        <v>66.81</v>
      </c>
      <c r="CE73" s="6">
        <v>0</v>
      </c>
      <c r="CF73" s="6" t="s">
        <v>104</v>
      </c>
      <c r="CG73" s="6">
        <v>0</v>
      </c>
      <c r="CH73" s="6" t="s">
        <v>104</v>
      </c>
      <c r="CI73" s="6">
        <v>0</v>
      </c>
      <c r="CJ73" s="12">
        <v>88.64</v>
      </c>
      <c r="CK73" s="6" t="s">
        <v>104</v>
      </c>
      <c r="CL73" s="6" t="s">
        <v>104</v>
      </c>
      <c r="CM73" s="12">
        <v>80783.62</v>
      </c>
      <c r="CN73" s="12">
        <v>4325.32</v>
      </c>
    </row>
    <row r="74" spans="1:92" x14ac:dyDescent="0.35">
      <c r="A74" s="5" t="s">
        <v>76</v>
      </c>
      <c r="B74" s="13">
        <v>700.63</v>
      </c>
      <c r="C74" s="13">
        <v>9.85</v>
      </c>
      <c r="D74" s="13">
        <v>2.0499999999999998</v>
      </c>
      <c r="E74" s="13">
        <v>2.64</v>
      </c>
      <c r="F74" s="13">
        <v>3.95</v>
      </c>
      <c r="G74" s="13">
        <v>18.64</v>
      </c>
      <c r="H74" s="13">
        <v>5.61</v>
      </c>
      <c r="I74" s="13">
        <v>4.8499999999999996</v>
      </c>
      <c r="J74" s="13">
        <v>6.96</v>
      </c>
      <c r="K74" s="13">
        <v>4.03</v>
      </c>
      <c r="L74" s="13">
        <v>12.31</v>
      </c>
      <c r="M74" s="12">
        <v>14.15</v>
      </c>
      <c r="N74" s="43">
        <v>0</v>
      </c>
      <c r="O74" s="43">
        <v>0</v>
      </c>
      <c r="P74" s="43">
        <v>0</v>
      </c>
      <c r="Q74" s="43">
        <v>0</v>
      </c>
      <c r="R74" s="43">
        <v>0</v>
      </c>
      <c r="S74" s="43">
        <v>0</v>
      </c>
      <c r="T74" s="43">
        <v>0</v>
      </c>
      <c r="U74" s="43">
        <v>0</v>
      </c>
      <c r="V74" s="13">
        <v>6.39</v>
      </c>
      <c r="W74" s="13">
        <v>9.9</v>
      </c>
      <c r="X74" s="13">
        <v>7.42</v>
      </c>
      <c r="Y74" s="13">
        <v>10.27</v>
      </c>
      <c r="Z74" s="13">
        <v>10.45</v>
      </c>
      <c r="AA74" s="13">
        <v>7.26</v>
      </c>
      <c r="AB74" s="13">
        <v>8.99</v>
      </c>
      <c r="AC74" s="13">
        <v>9.18</v>
      </c>
      <c r="AD74" s="13">
        <v>9.68</v>
      </c>
      <c r="AE74" s="13">
        <v>5.56</v>
      </c>
      <c r="AF74" s="13">
        <v>6.44</v>
      </c>
      <c r="AG74" s="13">
        <v>6.91</v>
      </c>
      <c r="AH74" s="13">
        <v>43.77</v>
      </c>
      <c r="AI74" s="13">
        <v>43.77</v>
      </c>
      <c r="AJ74" s="61">
        <v>0</v>
      </c>
      <c r="AK74" s="13">
        <v>3.68</v>
      </c>
      <c r="AL74" s="13">
        <v>11.7</v>
      </c>
      <c r="AM74" s="13">
        <v>61.67</v>
      </c>
      <c r="AN74" s="13">
        <v>5.73</v>
      </c>
      <c r="AO74" s="13">
        <v>12.29</v>
      </c>
      <c r="AP74" s="13">
        <v>8.7899999999999991</v>
      </c>
      <c r="AQ74" s="13">
        <v>10.48</v>
      </c>
      <c r="AR74" s="13">
        <v>7.32</v>
      </c>
      <c r="AS74" s="13">
        <v>7.14</v>
      </c>
      <c r="AT74" s="13">
        <v>11.02</v>
      </c>
      <c r="AU74" s="13">
        <v>3.09</v>
      </c>
      <c r="AV74" s="13">
        <v>12.63</v>
      </c>
      <c r="AW74" s="13">
        <v>4.03</v>
      </c>
      <c r="AX74" s="13">
        <v>4.47</v>
      </c>
      <c r="AY74" s="13">
        <v>19.64</v>
      </c>
      <c r="AZ74" s="13">
        <v>11.21</v>
      </c>
      <c r="BA74" s="13">
        <v>6.26</v>
      </c>
      <c r="BB74" s="13">
        <v>6.98</v>
      </c>
      <c r="BC74" s="13">
        <v>6.57</v>
      </c>
      <c r="BD74" s="13">
        <v>11.33</v>
      </c>
      <c r="BE74" s="13">
        <v>21.64</v>
      </c>
      <c r="BF74" s="13">
        <v>14.28</v>
      </c>
      <c r="BG74" s="13">
        <v>8.41</v>
      </c>
      <c r="BH74" s="13">
        <v>6.58</v>
      </c>
      <c r="BI74" s="13">
        <v>6.34</v>
      </c>
      <c r="BJ74" s="13">
        <v>9.6999999999999993</v>
      </c>
      <c r="BK74" s="13">
        <v>3.35</v>
      </c>
      <c r="BL74" s="13">
        <v>3.08</v>
      </c>
      <c r="BM74" s="13">
        <v>12.45</v>
      </c>
      <c r="BN74" s="13">
        <v>111.4</v>
      </c>
      <c r="BO74" s="13">
        <v>6.43</v>
      </c>
      <c r="BP74" s="13">
        <v>13.83</v>
      </c>
      <c r="BQ74" s="13">
        <v>6.98</v>
      </c>
      <c r="BR74" s="13">
        <v>4.33</v>
      </c>
      <c r="BS74" s="13">
        <v>4.2699999999999996</v>
      </c>
      <c r="BT74" s="13">
        <v>4.53</v>
      </c>
      <c r="BU74" s="13">
        <v>3.43</v>
      </c>
      <c r="BV74" s="13">
        <v>4.05</v>
      </c>
      <c r="BW74" s="13">
        <v>2.31</v>
      </c>
      <c r="BX74" s="7">
        <v>0</v>
      </c>
      <c r="BY74" s="13">
        <v>536.08000000000004</v>
      </c>
      <c r="BZ74" s="13">
        <v>337.07</v>
      </c>
      <c r="CA74" s="13">
        <v>198.01</v>
      </c>
      <c r="CB74" s="13">
        <v>1.01</v>
      </c>
      <c r="CC74" s="13">
        <v>32.44</v>
      </c>
      <c r="CD74" s="13">
        <v>7.1</v>
      </c>
      <c r="CE74" s="7">
        <v>0</v>
      </c>
      <c r="CF74" s="7" t="s">
        <v>104</v>
      </c>
      <c r="CG74" s="7">
        <v>0</v>
      </c>
      <c r="CH74" s="6" t="s">
        <v>104</v>
      </c>
      <c r="CI74" s="7">
        <v>0</v>
      </c>
      <c r="CJ74" s="13">
        <v>25.34</v>
      </c>
      <c r="CK74" s="7" t="s">
        <v>104</v>
      </c>
      <c r="CL74" s="7" t="s">
        <v>104</v>
      </c>
      <c r="CM74" s="13">
        <v>1269.1500000000001</v>
      </c>
      <c r="CN74" s="13">
        <v>568.53</v>
      </c>
    </row>
    <row r="75" spans="1:92" x14ac:dyDescent="0.35">
      <c r="A75" s="5" t="s">
        <v>77</v>
      </c>
      <c r="B75" s="12">
        <v>1851.44</v>
      </c>
      <c r="C75" s="12">
        <v>15.18</v>
      </c>
      <c r="D75" s="12">
        <v>3.49</v>
      </c>
      <c r="E75" s="12">
        <v>6.28</v>
      </c>
      <c r="F75" s="12">
        <v>8.0399999999999991</v>
      </c>
      <c r="G75" s="12">
        <v>37.200000000000003</v>
      </c>
      <c r="H75" s="12">
        <v>11.58</v>
      </c>
      <c r="I75" s="12">
        <v>10.6</v>
      </c>
      <c r="J75" s="12">
        <v>14.26</v>
      </c>
      <c r="K75" s="12">
        <v>8.5</v>
      </c>
      <c r="L75" s="12">
        <v>12.97</v>
      </c>
      <c r="M75" s="12">
        <v>32.07</v>
      </c>
      <c r="N75" s="43">
        <v>0</v>
      </c>
      <c r="O75" s="43">
        <v>0</v>
      </c>
      <c r="P75" s="43">
        <v>0</v>
      </c>
      <c r="Q75" s="43">
        <v>0</v>
      </c>
      <c r="R75" s="43">
        <v>0</v>
      </c>
      <c r="S75" s="43">
        <v>0</v>
      </c>
      <c r="T75" s="43">
        <v>0</v>
      </c>
      <c r="U75" s="43">
        <v>0</v>
      </c>
      <c r="V75" s="12">
        <v>46.43</v>
      </c>
      <c r="W75" s="12">
        <v>41.04</v>
      </c>
      <c r="X75" s="12">
        <v>18.25</v>
      </c>
      <c r="Y75" s="12">
        <v>17.62</v>
      </c>
      <c r="Z75" s="12">
        <v>29.93</v>
      </c>
      <c r="AA75" s="12">
        <v>24.66</v>
      </c>
      <c r="AB75" s="12">
        <v>25.67</v>
      </c>
      <c r="AC75" s="12">
        <v>36.03</v>
      </c>
      <c r="AD75" s="12">
        <v>26.84</v>
      </c>
      <c r="AE75" s="12">
        <v>18.78</v>
      </c>
      <c r="AF75" s="12">
        <v>15.73</v>
      </c>
      <c r="AG75" s="12">
        <v>21.38</v>
      </c>
      <c r="AH75" s="13">
        <v>23.73</v>
      </c>
      <c r="AI75" s="12">
        <v>23.73</v>
      </c>
      <c r="AJ75" s="61">
        <v>0</v>
      </c>
      <c r="AK75" s="12">
        <v>8.1300000000000008</v>
      </c>
      <c r="AL75" s="12">
        <v>23.73</v>
      </c>
      <c r="AM75" s="12">
        <v>45.73</v>
      </c>
      <c r="AN75" s="12">
        <v>21.88</v>
      </c>
      <c r="AO75" s="12">
        <v>64.849999999999994</v>
      </c>
      <c r="AP75" s="12">
        <v>27.64</v>
      </c>
      <c r="AQ75" s="12">
        <v>23.49</v>
      </c>
      <c r="AR75" s="12">
        <v>15.58</v>
      </c>
      <c r="AS75" s="12">
        <v>21.31</v>
      </c>
      <c r="AT75" s="12">
        <v>34.93</v>
      </c>
      <c r="AU75" s="12">
        <v>9.17</v>
      </c>
      <c r="AV75" s="12">
        <v>28.03</v>
      </c>
      <c r="AW75" s="12">
        <v>15.99</v>
      </c>
      <c r="AX75" s="12">
        <v>11.07</v>
      </c>
      <c r="AY75" s="12">
        <v>25.85</v>
      </c>
      <c r="AZ75" s="12">
        <v>57.38</v>
      </c>
      <c r="BA75" s="12">
        <v>21.34</v>
      </c>
      <c r="BB75" s="12">
        <v>22.94</v>
      </c>
      <c r="BC75" s="12">
        <v>24.64</v>
      </c>
      <c r="BD75" s="12">
        <v>16.829999999999998</v>
      </c>
      <c r="BE75" s="12">
        <v>51.04</v>
      </c>
      <c r="BF75" s="12">
        <v>31.15</v>
      </c>
      <c r="BG75" s="12">
        <v>55.58</v>
      </c>
      <c r="BH75" s="12">
        <v>11.95</v>
      </c>
      <c r="BI75" s="12">
        <v>19.66</v>
      </c>
      <c r="BJ75" s="12">
        <v>20.07</v>
      </c>
      <c r="BK75" s="12">
        <v>13.65</v>
      </c>
      <c r="BL75" s="12">
        <v>7.5</v>
      </c>
      <c r="BM75" s="12">
        <v>24.84</v>
      </c>
      <c r="BN75" s="12">
        <v>121.58</v>
      </c>
      <c r="BO75" s="12">
        <v>252.08</v>
      </c>
      <c r="BP75" s="12">
        <v>77.17</v>
      </c>
      <c r="BQ75" s="12">
        <v>53.05</v>
      </c>
      <c r="BR75" s="12">
        <v>14.93</v>
      </c>
      <c r="BS75" s="12">
        <v>11.72</v>
      </c>
      <c r="BT75" s="12">
        <v>34.69</v>
      </c>
      <c r="BU75" s="12">
        <v>8.34</v>
      </c>
      <c r="BV75" s="12">
        <v>15.25</v>
      </c>
      <c r="BW75" s="12">
        <v>0.49</v>
      </c>
      <c r="BX75" s="6">
        <v>0</v>
      </c>
      <c r="BY75" s="12">
        <v>1295.03</v>
      </c>
      <c r="BZ75" s="12">
        <v>484.23</v>
      </c>
      <c r="CA75" s="12">
        <v>806.42</v>
      </c>
      <c r="CB75" s="12">
        <v>4.38</v>
      </c>
      <c r="CC75" s="12">
        <v>36.96</v>
      </c>
      <c r="CD75" s="12">
        <v>17.34</v>
      </c>
      <c r="CE75" s="6">
        <v>0</v>
      </c>
      <c r="CF75" s="6" t="s">
        <v>104</v>
      </c>
      <c r="CG75" s="6">
        <v>0</v>
      </c>
      <c r="CH75" s="6" t="s">
        <v>104</v>
      </c>
      <c r="CI75" s="6">
        <v>0</v>
      </c>
      <c r="CJ75" s="12">
        <v>19.62</v>
      </c>
      <c r="CK75" s="6" t="s">
        <v>104</v>
      </c>
      <c r="CL75" s="6" t="s">
        <v>104</v>
      </c>
      <c r="CM75" s="12">
        <v>3183.43</v>
      </c>
      <c r="CN75" s="12">
        <v>1331.99</v>
      </c>
    </row>
    <row r="76" spans="1:92" x14ac:dyDescent="0.35">
      <c r="A76" s="5" t="s">
        <v>78</v>
      </c>
      <c r="B76" s="13">
        <v>828.2</v>
      </c>
      <c r="C76" s="13">
        <v>2.76</v>
      </c>
      <c r="D76" s="13">
        <v>0.63</v>
      </c>
      <c r="E76" s="13">
        <v>0.48</v>
      </c>
      <c r="F76" s="13">
        <v>9.58</v>
      </c>
      <c r="G76" s="13">
        <v>9.18</v>
      </c>
      <c r="H76" s="13">
        <v>2.56</v>
      </c>
      <c r="I76" s="13">
        <v>2.91</v>
      </c>
      <c r="J76" s="13">
        <v>3.56</v>
      </c>
      <c r="K76" s="13">
        <v>0.78</v>
      </c>
      <c r="L76" s="13">
        <v>17.46</v>
      </c>
      <c r="M76" s="12">
        <v>7.47</v>
      </c>
      <c r="N76" s="43">
        <v>0</v>
      </c>
      <c r="O76" s="43">
        <v>0</v>
      </c>
      <c r="P76" s="43">
        <v>0</v>
      </c>
      <c r="Q76" s="43">
        <v>0</v>
      </c>
      <c r="R76" s="43">
        <v>0</v>
      </c>
      <c r="S76" s="43">
        <v>0</v>
      </c>
      <c r="T76" s="43">
        <v>0</v>
      </c>
      <c r="U76" s="43">
        <v>0</v>
      </c>
      <c r="V76" s="13">
        <v>19.89</v>
      </c>
      <c r="W76" s="13">
        <v>4.3499999999999996</v>
      </c>
      <c r="X76" s="13">
        <v>5.45</v>
      </c>
      <c r="Y76" s="13">
        <v>3.26</v>
      </c>
      <c r="Z76" s="13">
        <v>3.95</v>
      </c>
      <c r="AA76" s="13">
        <v>3.24</v>
      </c>
      <c r="AB76" s="13">
        <v>2.98</v>
      </c>
      <c r="AC76" s="13">
        <v>3.83</v>
      </c>
      <c r="AD76" s="13">
        <v>4.91</v>
      </c>
      <c r="AE76" s="13">
        <v>2.7</v>
      </c>
      <c r="AF76" s="13">
        <v>4.09</v>
      </c>
      <c r="AG76" s="13">
        <v>3.68</v>
      </c>
      <c r="AH76" s="13">
        <v>3.67</v>
      </c>
      <c r="AI76" s="13">
        <v>3.67</v>
      </c>
      <c r="AJ76" s="61">
        <v>0</v>
      </c>
      <c r="AK76" s="13">
        <v>0.97</v>
      </c>
      <c r="AL76" s="13">
        <v>7.66</v>
      </c>
      <c r="AM76" s="13">
        <v>16.98</v>
      </c>
      <c r="AN76" s="13">
        <v>2.6</v>
      </c>
      <c r="AO76" s="13">
        <v>7.5</v>
      </c>
      <c r="AP76" s="13">
        <v>4.9800000000000004</v>
      </c>
      <c r="AQ76" s="13">
        <v>10.3</v>
      </c>
      <c r="AR76" s="13">
        <v>2.82</v>
      </c>
      <c r="AS76" s="13">
        <v>2.64</v>
      </c>
      <c r="AT76" s="13">
        <v>4.91</v>
      </c>
      <c r="AU76" s="13">
        <v>4.0999999999999996</v>
      </c>
      <c r="AV76" s="13">
        <v>7.16</v>
      </c>
      <c r="AW76" s="13">
        <v>4.55</v>
      </c>
      <c r="AX76" s="13">
        <v>2.46</v>
      </c>
      <c r="AY76" s="13">
        <v>4.4000000000000004</v>
      </c>
      <c r="AZ76" s="13">
        <v>10.59</v>
      </c>
      <c r="BA76" s="13">
        <v>2.91</v>
      </c>
      <c r="BB76" s="13">
        <v>2.85</v>
      </c>
      <c r="BC76" s="13">
        <v>3.6</v>
      </c>
      <c r="BD76" s="13">
        <v>4.7699999999999996</v>
      </c>
      <c r="BE76" s="13">
        <v>10.49</v>
      </c>
      <c r="BF76" s="13">
        <v>4.3899999999999997</v>
      </c>
      <c r="BG76" s="13">
        <v>11.13</v>
      </c>
      <c r="BH76" s="13">
        <v>3.04</v>
      </c>
      <c r="BI76" s="13">
        <v>2.93</v>
      </c>
      <c r="BJ76" s="13">
        <v>14.73</v>
      </c>
      <c r="BK76" s="13">
        <v>4.5599999999999996</v>
      </c>
      <c r="BL76" s="13">
        <v>5.74</v>
      </c>
      <c r="BM76" s="13">
        <v>5.58</v>
      </c>
      <c r="BN76" s="13">
        <v>15.36</v>
      </c>
      <c r="BO76" s="13">
        <v>7.35</v>
      </c>
      <c r="BP76" s="13">
        <v>459.6</v>
      </c>
      <c r="BQ76" s="13">
        <v>30.73</v>
      </c>
      <c r="BR76" s="13">
        <v>2.54</v>
      </c>
      <c r="BS76" s="13">
        <v>9.5500000000000007</v>
      </c>
      <c r="BT76" s="13">
        <v>2.77</v>
      </c>
      <c r="BU76" s="13">
        <v>1.19</v>
      </c>
      <c r="BV76" s="13">
        <v>3.95</v>
      </c>
      <c r="BW76" s="13">
        <v>0.52</v>
      </c>
      <c r="BX76" s="7">
        <v>0</v>
      </c>
      <c r="BY76" s="13">
        <v>1908.75</v>
      </c>
      <c r="BZ76" s="13">
        <v>1343.07</v>
      </c>
      <c r="CA76" s="13">
        <v>563.30999999999995</v>
      </c>
      <c r="CB76" s="13">
        <v>2.37</v>
      </c>
      <c r="CC76" s="13">
        <v>8.33</v>
      </c>
      <c r="CD76" s="13">
        <v>5.77</v>
      </c>
      <c r="CE76" s="7">
        <v>0</v>
      </c>
      <c r="CF76" s="7" t="s">
        <v>104</v>
      </c>
      <c r="CG76" s="7">
        <v>0</v>
      </c>
      <c r="CH76" s="6" t="s">
        <v>104</v>
      </c>
      <c r="CI76" s="7">
        <v>0</v>
      </c>
      <c r="CJ76" s="13">
        <v>2.56</v>
      </c>
      <c r="CK76" s="7" t="s">
        <v>104</v>
      </c>
      <c r="CL76" s="7" t="s">
        <v>104</v>
      </c>
      <c r="CM76" s="13">
        <v>2745.27</v>
      </c>
      <c r="CN76" s="13">
        <v>1917.07</v>
      </c>
    </row>
    <row r="77" spans="1:92" x14ac:dyDescent="0.35">
      <c r="A77" s="5" t="s">
        <v>79</v>
      </c>
      <c r="B77" s="12">
        <v>133.29</v>
      </c>
      <c r="C77" s="12">
        <v>2.14</v>
      </c>
      <c r="D77" s="12">
        <v>0.91</v>
      </c>
      <c r="E77" s="12">
        <v>0.72</v>
      </c>
      <c r="F77" s="12">
        <v>1.48</v>
      </c>
      <c r="G77" s="12">
        <v>2.7</v>
      </c>
      <c r="H77" s="12">
        <v>1.87</v>
      </c>
      <c r="I77" s="12">
        <v>1.73</v>
      </c>
      <c r="J77" s="12">
        <v>2.0699999999999998</v>
      </c>
      <c r="K77" s="12">
        <v>1.23</v>
      </c>
      <c r="L77" s="12">
        <v>2.16</v>
      </c>
      <c r="M77" s="12">
        <v>3.14</v>
      </c>
      <c r="N77" s="43">
        <v>0</v>
      </c>
      <c r="O77" s="43">
        <v>0</v>
      </c>
      <c r="P77" s="43">
        <v>0</v>
      </c>
      <c r="Q77" s="43">
        <v>0</v>
      </c>
      <c r="R77" s="43">
        <v>0</v>
      </c>
      <c r="S77" s="43">
        <v>0</v>
      </c>
      <c r="T77" s="43">
        <v>0</v>
      </c>
      <c r="U77" s="43">
        <v>0</v>
      </c>
      <c r="V77" s="12">
        <v>2.54</v>
      </c>
      <c r="W77" s="12">
        <v>2.41</v>
      </c>
      <c r="X77" s="12">
        <v>1.97</v>
      </c>
      <c r="Y77" s="12">
        <v>2.62</v>
      </c>
      <c r="Z77" s="12">
        <v>2.62</v>
      </c>
      <c r="AA77" s="12">
        <v>2.0299999999999998</v>
      </c>
      <c r="AB77" s="12">
        <v>2.11</v>
      </c>
      <c r="AC77" s="12">
        <v>2.1800000000000002</v>
      </c>
      <c r="AD77" s="12">
        <v>2.0699999999999998</v>
      </c>
      <c r="AE77" s="12">
        <v>1.97</v>
      </c>
      <c r="AF77" s="12">
        <v>1.97</v>
      </c>
      <c r="AG77" s="12">
        <v>2.38</v>
      </c>
      <c r="AH77" s="13">
        <v>2.25</v>
      </c>
      <c r="AI77" s="12">
        <v>2.25</v>
      </c>
      <c r="AJ77" s="61">
        <v>0</v>
      </c>
      <c r="AK77" s="12">
        <v>0.9</v>
      </c>
      <c r="AL77" s="12">
        <v>2.4300000000000002</v>
      </c>
      <c r="AM77" s="12">
        <v>2.74</v>
      </c>
      <c r="AN77" s="12">
        <v>1.98</v>
      </c>
      <c r="AO77" s="12">
        <v>2.4</v>
      </c>
      <c r="AP77" s="12">
        <v>1.86</v>
      </c>
      <c r="AQ77" s="12">
        <v>2.64</v>
      </c>
      <c r="AR77" s="12">
        <v>3.27</v>
      </c>
      <c r="AS77" s="12">
        <v>2.34</v>
      </c>
      <c r="AT77" s="12">
        <v>2.42</v>
      </c>
      <c r="AU77" s="12">
        <v>1.54</v>
      </c>
      <c r="AV77" s="12">
        <v>2.2999999999999998</v>
      </c>
      <c r="AW77" s="12">
        <v>1.9</v>
      </c>
      <c r="AX77" s="12">
        <v>1.85</v>
      </c>
      <c r="AY77" s="12">
        <v>2.2200000000000002</v>
      </c>
      <c r="AZ77" s="12">
        <v>3.23</v>
      </c>
      <c r="BA77" s="12">
        <v>1.1399999999999999</v>
      </c>
      <c r="BB77" s="12">
        <v>1.8</v>
      </c>
      <c r="BC77" s="12">
        <v>1.64</v>
      </c>
      <c r="BD77" s="12">
        <v>1.89</v>
      </c>
      <c r="BE77" s="12">
        <v>2.39</v>
      </c>
      <c r="BF77" s="12">
        <v>2.06</v>
      </c>
      <c r="BG77" s="12">
        <v>5.0999999999999996</v>
      </c>
      <c r="BH77" s="12">
        <v>1.96</v>
      </c>
      <c r="BI77" s="12">
        <v>1.65</v>
      </c>
      <c r="BJ77" s="12">
        <v>3.14</v>
      </c>
      <c r="BK77" s="12">
        <v>1.56</v>
      </c>
      <c r="BL77" s="12">
        <v>2.35</v>
      </c>
      <c r="BM77" s="12">
        <v>2.06</v>
      </c>
      <c r="BN77" s="12">
        <v>1.9</v>
      </c>
      <c r="BO77" s="12">
        <v>1.87</v>
      </c>
      <c r="BP77" s="12">
        <v>4.7</v>
      </c>
      <c r="BQ77" s="12">
        <v>3.42</v>
      </c>
      <c r="BR77" s="12">
        <v>1.74</v>
      </c>
      <c r="BS77" s="12">
        <v>1.49</v>
      </c>
      <c r="BT77" s="12">
        <v>1.44</v>
      </c>
      <c r="BU77" s="6">
        <v>1</v>
      </c>
      <c r="BV77" s="12">
        <v>1.71</v>
      </c>
      <c r="BW77" s="12">
        <v>0.03</v>
      </c>
      <c r="BX77" s="6">
        <v>0</v>
      </c>
      <c r="BY77" s="12">
        <v>30.4</v>
      </c>
      <c r="BZ77" s="12">
        <v>20.47</v>
      </c>
      <c r="CA77" s="12">
        <v>9.31</v>
      </c>
      <c r="CB77" s="12">
        <v>0.62</v>
      </c>
      <c r="CC77" s="12">
        <v>6.18</v>
      </c>
      <c r="CD77" s="12">
        <v>3.39</v>
      </c>
      <c r="CE77" s="6">
        <v>0</v>
      </c>
      <c r="CF77" s="6" t="s">
        <v>104</v>
      </c>
      <c r="CG77" s="6">
        <v>0</v>
      </c>
      <c r="CH77" s="6" t="s">
        <v>104</v>
      </c>
      <c r="CI77" s="6">
        <v>0</v>
      </c>
      <c r="CJ77" s="12">
        <v>2.79</v>
      </c>
      <c r="CK77" s="6" t="s">
        <v>104</v>
      </c>
      <c r="CL77" s="6" t="s">
        <v>104</v>
      </c>
      <c r="CM77" s="12">
        <v>169.87</v>
      </c>
      <c r="CN77" s="12">
        <v>36.58</v>
      </c>
    </row>
    <row r="78" spans="1:92" x14ac:dyDescent="0.35">
      <c r="A78" s="5" t="s">
        <v>80</v>
      </c>
      <c r="B78" s="13">
        <v>1102.8699999999999</v>
      </c>
      <c r="C78" s="13">
        <v>0.2</v>
      </c>
      <c r="D78" s="13">
        <v>0.05</v>
      </c>
      <c r="E78" s="7">
        <v>0</v>
      </c>
      <c r="F78" s="13">
        <v>0.03</v>
      </c>
      <c r="G78" s="13">
        <v>3.28</v>
      </c>
      <c r="H78" s="13">
        <v>0.44</v>
      </c>
      <c r="I78" s="13">
        <v>0.23</v>
      </c>
      <c r="J78" s="13">
        <v>0.25</v>
      </c>
      <c r="K78" s="13">
        <v>0.54</v>
      </c>
      <c r="L78" s="13">
        <v>1.41</v>
      </c>
      <c r="M78" s="12">
        <v>1.08</v>
      </c>
      <c r="N78" s="43">
        <v>0</v>
      </c>
      <c r="O78" s="43">
        <v>0</v>
      </c>
      <c r="P78" s="43">
        <v>0</v>
      </c>
      <c r="Q78" s="43">
        <v>0</v>
      </c>
      <c r="R78" s="43">
        <v>0</v>
      </c>
      <c r="S78" s="43">
        <v>0</v>
      </c>
      <c r="T78" s="43">
        <v>0</v>
      </c>
      <c r="U78" s="43">
        <v>0</v>
      </c>
      <c r="V78" s="13">
        <v>5.03</v>
      </c>
      <c r="W78" s="13">
        <v>0.48</v>
      </c>
      <c r="X78" s="13">
        <v>0.63</v>
      </c>
      <c r="Y78" s="13">
        <v>0.43</v>
      </c>
      <c r="Z78" s="13">
        <v>1.35</v>
      </c>
      <c r="AA78" s="13">
        <v>4.8099999999999996</v>
      </c>
      <c r="AB78" s="13">
        <v>0.39</v>
      </c>
      <c r="AC78" s="13">
        <v>0.37</v>
      </c>
      <c r="AD78" s="13">
        <v>0.16</v>
      </c>
      <c r="AE78" s="13">
        <v>3.22</v>
      </c>
      <c r="AF78" s="13">
        <v>0.17</v>
      </c>
      <c r="AG78" s="13">
        <v>1.19</v>
      </c>
      <c r="AH78" s="13">
        <v>2.89</v>
      </c>
      <c r="AI78" s="13">
        <v>2.89</v>
      </c>
      <c r="AJ78" s="61">
        <v>0</v>
      </c>
      <c r="AK78" s="13">
        <v>0.19</v>
      </c>
      <c r="AL78" s="13">
        <v>2.59</v>
      </c>
      <c r="AM78" s="13">
        <v>4.1900000000000004</v>
      </c>
      <c r="AN78" s="13">
        <v>2.2799999999999998</v>
      </c>
      <c r="AO78" s="13">
        <v>21.48</v>
      </c>
      <c r="AP78" s="13">
        <v>6.25</v>
      </c>
      <c r="AQ78" s="13">
        <v>0.78</v>
      </c>
      <c r="AR78" s="13">
        <v>0.12</v>
      </c>
      <c r="AS78" s="13">
        <v>2.16</v>
      </c>
      <c r="AT78" s="13">
        <v>0.68</v>
      </c>
      <c r="AU78" s="13">
        <v>0.22</v>
      </c>
      <c r="AV78" s="13">
        <v>125.2</v>
      </c>
      <c r="AW78" s="13">
        <v>39.630000000000003</v>
      </c>
      <c r="AX78" s="13">
        <v>210.79</v>
      </c>
      <c r="AY78" s="13">
        <v>7.2</v>
      </c>
      <c r="AZ78" s="13">
        <v>42.21</v>
      </c>
      <c r="BA78" s="13">
        <v>8.1</v>
      </c>
      <c r="BB78" s="13">
        <v>0.6</v>
      </c>
      <c r="BC78" s="13">
        <v>0.51</v>
      </c>
      <c r="BD78" s="13">
        <v>8.31</v>
      </c>
      <c r="BE78" s="13">
        <v>12.79</v>
      </c>
      <c r="BF78" s="13">
        <v>3.73</v>
      </c>
      <c r="BG78" s="13">
        <v>7.81</v>
      </c>
      <c r="BH78" s="13">
        <v>8.89</v>
      </c>
      <c r="BI78" s="13">
        <v>16.32</v>
      </c>
      <c r="BJ78" s="13">
        <v>19.34</v>
      </c>
      <c r="BK78" s="13">
        <v>4.4000000000000004</v>
      </c>
      <c r="BL78" s="13">
        <v>60.31</v>
      </c>
      <c r="BM78" s="13">
        <v>13.33</v>
      </c>
      <c r="BN78" s="13">
        <v>23.65</v>
      </c>
      <c r="BO78" s="13">
        <v>13.02</v>
      </c>
      <c r="BP78" s="13">
        <v>0.98</v>
      </c>
      <c r="BQ78" s="13">
        <v>6.21</v>
      </c>
      <c r="BR78" s="13">
        <v>350.83</v>
      </c>
      <c r="BS78" s="13">
        <v>27.5</v>
      </c>
      <c r="BT78" s="13">
        <v>18.32</v>
      </c>
      <c r="BU78" s="13">
        <v>0.38</v>
      </c>
      <c r="BV78" s="13">
        <v>2.96</v>
      </c>
      <c r="BW78" s="13">
        <v>0.01</v>
      </c>
      <c r="BX78" s="7">
        <v>0</v>
      </c>
      <c r="BY78" s="13">
        <v>1593.72</v>
      </c>
      <c r="BZ78" s="13">
        <v>161.19999999999999</v>
      </c>
      <c r="CA78" s="13">
        <v>1430.12</v>
      </c>
      <c r="CB78" s="13">
        <v>2.4</v>
      </c>
      <c r="CC78" s="13">
        <v>765.48</v>
      </c>
      <c r="CD78" s="13">
        <v>629.73</v>
      </c>
      <c r="CE78" s="7">
        <v>0</v>
      </c>
      <c r="CF78" s="7" t="s">
        <v>104</v>
      </c>
      <c r="CG78" s="7">
        <v>0</v>
      </c>
      <c r="CH78" s="6" t="s">
        <v>104</v>
      </c>
      <c r="CI78" s="7">
        <v>0</v>
      </c>
      <c r="CJ78" s="13">
        <v>135.75</v>
      </c>
      <c r="CK78" s="7" t="s">
        <v>104</v>
      </c>
      <c r="CL78" s="7" t="s">
        <v>104</v>
      </c>
      <c r="CM78" s="13">
        <v>3462.07</v>
      </c>
      <c r="CN78" s="13">
        <v>2359.21</v>
      </c>
    </row>
    <row r="79" spans="1:92" x14ac:dyDescent="0.35">
      <c r="A79" s="5" t="s">
        <v>81</v>
      </c>
      <c r="B79" s="12">
        <v>599.6</v>
      </c>
      <c r="C79" s="12">
        <v>3.81</v>
      </c>
      <c r="D79" s="12">
        <v>1.26</v>
      </c>
      <c r="E79" s="12">
        <v>1.99</v>
      </c>
      <c r="F79" s="12">
        <v>2.4500000000000002</v>
      </c>
      <c r="G79" s="12">
        <v>10.09</v>
      </c>
      <c r="H79" s="12">
        <v>4.62</v>
      </c>
      <c r="I79" s="12">
        <v>2.73</v>
      </c>
      <c r="J79" s="12">
        <v>3.65</v>
      </c>
      <c r="K79" s="12">
        <v>3.34</v>
      </c>
      <c r="L79" s="12">
        <v>4.53</v>
      </c>
      <c r="M79" s="12">
        <v>5.0199999999999996</v>
      </c>
      <c r="N79" s="43">
        <v>0</v>
      </c>
      <c r="O79" s="43">
        <v>0</v>
      </c>
      <c r="P79" s="43">
        <v>0</v>
      </c>
      <c r="Q79" s="43">
        <v>0</v>
      </c>
      <c r="R79" s="43">
        <v>0</v>
      </c>
      <c r="S79" s="43">
        <v>0</v>
      </c>
      <c r="T79" s="43">
        <v>0</v>
      </c>
      <c r="U79" s="43">
        <v>0</v>
      </c>
      <c r="V79" s="12">
        <v>5.21</v>
      </c>
      <c r="W79" s="12">
        <v>5.58</v>
      </c>
      <c r="X79" s="12">
        <v>4.0999999999999996</v>
      </c>
      <c r="Y79" s="12">
        <v>4.55</v>
      </c>
      <c r="Z79" s="12">
        <v>5.23</v>
      </c>
      <c r="AA79" s="12">
        <v>4.41</v>
      </c>
      <c r="AB79" s="12">
        <v>4.79</v>
      </c>
      <c r="AC79" s="12">
        <v>4.29</v>
      </c>
      <c r="AD79" s="12">
        <v>3.95</v>
      </c>
      <c r="AE79" s="12">
        <v>4.57</v>
      </c>
      <c r="AF79" s="12">
        <v>4.7699999999999996</v>
      </c>
      <c r="AG79" s="12">
        <v>4.18</v>
      </c>
      <c r="AH79" s="13">
        <v>5.22</v>
      </c>
      <c r="AI79" s="12">
        <v>5.22</v>
      </c>
      <c r="AJ79" s="61">
        <v>0</v>
      </c>
      <c r="AK79" s="12">
        <v>1.81</v>
      </c>
      <c r="AL79" s="12">
        <v>4.3</v>
      </c>
      <c r="AM79" s="12">
        <v>8.1999999999999993</v>
      </c>
      <c r="AN79" s="12">
        <v>4.0599999999999996</v>
      </c>
      <c r="AO79" s="12">
        <v>5.1100000000000003</v>
      </c>
      <c r="AP79" s="12">
        <v>7.83</v>
      </c>
      <c r="AQ79" s="12">
        <v>5.6</v>
      </c>
      <c r="AR79" s="12">
        <v>4.62</v>
      </c>
      <c r="AS79" s="12">
        <v>3.79</v>
      </c>
      <c r="AT79" s="12">
        <v>5.29</v>
      </c>
      <c r="AU79" s="12">
        <v>1.92</v>
      </c>
      <c r="AV79" s="12">
        <v>14.23</v>
      </c>
      <c r="AW79" s="12">
        <v>4.57</v>
      </c>
      <c r="AX79" s="12">
        <v>10.52</v>
      </c>
      <c r="AY79" s="12">
        <v>5.58</v>
      </c>
      <c r="AZ79" s="12">
        <v>9.0299999999999994</v>
      </c>
      <c r="BA79" s="12">
        <v>2.4300000000000002</v>
      </c>
      <c r="BB79" s="12">
        <v>3.2</v>
      </c>
      <c r="BC79" s="12">
        <v>3.05</v>
      </c>
      <c r="BD79" s="12">
        <v>3.95</v>
      </c>
      <c r="BE79" s="12">
        <v>13.04</v>
      </c>
      <c r="BF79" s="12">
        <v>5.25</v>
      </c>
      <c r="BG79" s="12">
        <v>5.69</v>
      </c>
      <c r="BH79" s="12">
        <v>7.74</v>
      </c>
      <c r="BI79" s="12">
        <v>3.87</v>
      </c>
      <c r="BJ79" s="12">
        <v>6.44</v>
      </c>
      <c r="BK79" s="12">
        <v>2.56</v>
      </c>
      <c r="BL79" s="12">
        <v>133.71</v>
      </c>
      <c r="BM79" s="12">
        <v>5.67</v>
      </c>
      <c r="BN79" s="12">
        <v>88.72</v>
      </c>
      <c r="BO79" s="12">
        <v>4.1500000000000004</v>
      </c>
      <c r="BP79" s="12">
        <v>4.97</v>
      </c>
      <c r="BQ79" s="12">
        <v>4.97</v>
      </c>
      <c r="BR79" s="12">
        <v>10.47</v>
      </c>
      <c r="BS79" s="12">
        <v>75.94</v>
      </c>
      <c r="BT79" s="12">
        <v>5.47</v>
      </c>
      <c r="BU79" s="12">
        <v>2.87</v>
      </c>
      <c r="BV79" s="12">
        <v>4.62</v>
      </c>
      <c r="BW79" s="12">
        <v>0.02</v>
      </c>
      <c r="BX79" s="6">
        <v>0</v>
      </c>
      <c r="BY79" s="12">
        <v>219.84</v>
      </c>
      <c r="BZ79" s="12">
        <v>22.65</v>
      </c>
      <c r="CA79" s="12">
        <v>192.63</v>
      </c>
      <c r="CB79" s="12">
        <v>4.5599999999999996</v>
      </c>
      <c r="CC79" s="12">
        <v>10.130000000000001</v>
      </c>
      <c r="CD79" s="12">
        <v>5.53</v>
      </c>
      <c r="CE79" s="6">
        <v>0</v>
      </c>
      <c r="CF79" s="6" t="s">
        <v>104</v>
      </c>
      <c r="CG79" s="6">
        <v>0</v>
      </c>
      <c r="CH79" s="6" t="s">
        <v>104</v>
      </c>
      <c r="CI79" s="6">
        <v>0</v>
      </c>
      <c r="CJ79" s="12">
        <v>4.5999999999999996</v>
      </c>
      <c r="CK79" s="6" t="s">
        <v>104</v>
      </c>
      <c r="CL79" s="6" t="s">
        <v>104</v>
      </c>
      <c r="CM79" s="12">
        <v>829.56</v>
      </c>
      <c r="CN79" s="12">
        <v>229.97</v>
      </c>
    </row>
    <row r="80" spans="1:92" x14ac:dyDescent="0.35">
      <c r="A80" s="5" t="s">
        <v>82</v>
      </c>
      <c r="B80" s="13">
        <v>23.43</v>
      </c>
      <c r="C80" s="13">
        <v>0.45</v>
      </c>
      <c r="D80" s="13">
        <v>0.09</v>
      </c>
      <c r="E80" s="13">
        <v>0.09</v>
      </c>
      <c r="F80" s="13">
        <v>0.17</v>
      </c>
      <c r="G80" s="13">
        <v>0.6</v>
      </c>
      <c r="H80" s="13">
        <v>0.24</v>
      </c>
      <c r="I80" s="13">
        <v>0.21</v>
      </c>
      <c r="J80" s="13">
        <v>0.26</v>
      </c>
      <c r="K80" s="13">
        <v>0.16</v>
      </c>
      <c r="L80" s="13">
        <v>0.46</v>
      </c>
      <c r="M80" s="12">
        <v>0.53</v>
      </c>
      <c r="N80" s="43">
        <v>0</v>
      </c>
      <c r="O80" s="43">
        <v>0</v>
      </c>
      <c r="P80" s="43">
        <v>0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13">
        <v>0.35</v>
      </c>
      <c r="W80" s="13">
        <v>0.38</v>
      </c>
      <c r="X80" s="13">
        <v>0.31</v>
      </c>
      <c r="Y80" s="13">
        <v>0.5</v>
      </c>
      <c r="Z80" s="13">
        <v>0.49</v>
      </c>
      <c r="AA80" s="13">
        <v>0.32</v>
      </c>
      <c r="AB80" s="13">
        <v>0.35</v>
      </c>
      <c r="AC80" s="13">
        <v>0.39</v>
      </c>
      <c r="AD80" s="13">
        <v>0.47</v>
      </c>
      <c r="AE80" s="13">
        <v>0.28999999999999998</v>
      </c>
      <c r="AF80" s="13">
        <v>0.3</v>
      </c>
      <c r="AG80" s="13">
        <v>0.31</v>
      </c>
      <c r="AH80" s="13">
        <v>0.78</v>
      </c>
      <c r="AI80" s="13">
        <v>0.78</v>
      </c>
      <c r="AJ80" s="61">
        <v>0</v>
      </c>
      <c r="AK80" s="13">
        <v>0.12</v>
      </c>
      <c r="AL80" s="13">
        <v>0.37</v>
      </c>
      <c r="AM80" s="13">
        <v>1.1399999999999999</v>
      </c>
      <c r="AN80" s="13">
        <v>0.43</v>
      </c>
      <c r="AO80" s="13">
        <v>0.51</v>
      </c>
      <c r="AP80" s="13">
        <v>0.79</v>
      </c>
      <c r="AQ80" s="13">
        <v>0.55000000000000004</v>
      </c>
      <c r="AR80" s="13">
        <v>0.4</v>
      </c>
      <c r="AS80" s="13">
        <v>0.22</v>
      </c>
      <c r="AT80" s="13">
        <v>0.63</v>
      </c>
      <c r="AU80" s="13">
        <v>0.17</v>
      </c>
      <c r="AV80" s="13">
        <v>0.49</v>
      </c>
      <c r="AW80" s="13">
        <v>0.28000000000000003</v>
      </c>
      <c r="AX80" s="13">
        <v>0.21</v>
      </c>
      <c r="AY80" s="13">
        <v>0.34</v>
      </c>
      <c r="AZ80" s="13">
        <v>0.57999999999999996</v>
      </c>
      <c r="BA80" s="13">
        <v>0.24</v>
      </c>
      <c r="BB80" s="13">
        <v>0.3</v>
      </c>
      <c r="BC80" s="13">
        <v>0.44</v>
      </c>
      <c r="BD80" s="13">
        <v>0.26</v>
      </c>
      <c r="BE80" s="13">
        <v>1.01</v>
      </c>
      <c r="BF80" s="13">
        <v>0.49</v>
      </c>
      <c r="BG80" s="13">
        <v>0.48</v>
      </c>
      <c r="BH80" s="13">
        <v>0.27</v>
      </c>
      <c r="BI80" s="13">
        <v>0.23</v>
      </c>
      <c r="BJ80" s="13">
        <v>0.55000000000000004</v>
      </c>
      <c r="BK80" s="13">
        <v>0.23</v>
      </c>
      <c r="BL80" s="13">
        <v>0.25</v>
      </c>
      <c r="BM80" s="13">
        <v>0.5</v>
      </c>
      <c r="BN80" s="13">
        <v>0.31</v>
      </c>
      <c r="BO80" s="13">
        <v>0.2</v>
      </c>
      <c r="BP80" s="13">
        <v>0.35</v>
      </c>
      <c r="BQ80" s="13">
        <v>0.24</v>
      </c>
      <c r="BR80" s="13">
        <v>0.18</v>
      </c>
      <c r="BS80" s="13">
        <v>0.21</v>
      </c>
      <c r="BT80" s="13">
        <v>0.55000000000000004</v>
      </c>
      <c r="BU80" s="13">
        <v>0.14000000000000001</v>
      </c>
      <c r="BV80" s="13">
        <v>0.3</v>
      </c>
      <c r="BW80" s="7">
        <v>0</v>
      </c>
      <c r="BX80" s="7">
        <v>0</v>
      </c>
      <c r="BY80" s="13">
        <v>2.98</v>
      </c>
      <c r="BZ80" s="13">
        <v>0.35</v>
      </c>
      <c r="CA80" s="13">
        <v>1.69</v>
      </c>
      <c r="CB80" s="13">
        <v>0.95</v>
      </c>
      <c r="CC80" s="13">
        <v>0.67</v>
      </c>
      <c r="CD80" s="13">
        <v>0.37</v>
      </c>
      <c r="CE80" s="7">
        <v>0</v>
      </c>
      <c r="CF80" s="7" t="s">
        <v>104</v>
      </c>
      <c r="CG80" s="7">
        <v>0</v>
      </c>
      <c r="CH80" s="6" t="s">
        <v>104</v>
      </c>
      <c r="CI80" s="7">
        <v>0</v>
      </c>
      <c r="CJ80" s="13">
        <v>0.3</v>
      </c>
      <c r="CK80" s="7" t="s">
        <v>104</v>
      </c>
      <c r="CL80" s="7" t="s">
        <v>104</v>
      </c>
      <c r="CM80" s="13">
        <v>27.07</v>
      </c>
      <c r="CN80" s="13">
        <v>3.65</v>
      </c>
    </row>
    <row r="81" spans="1:92" x14ac:dyDescent="0.35">
      <c r="A81" s="5" t="s">
        <v>83</v>
      </c>
      <c r="B81" s="12">
        <v>61.77</v>
      </c>
      <c r="C81" s="12">
        <v>0.49</v>
      </c>
      <c r="D81" s="12">
        <v>0.18</v>
      </c>
      <c r="E81" s="12">
        <v>0.21</v>
      </c>
      <c r="F81" s="12">
        <v>0.33</v>
      </c>
      <c r="G81" s="12">
        <v>1.1499999999999999</v>
      </c>
      <c r="H81" s="12">
        <v>0.59</v>
      </c>
      <c r="I81" s="12">
        <v>0.44</v>
      </c>
      <c r="J81" s="12">
        <v>0.57999999999999996</v>
      </c>
      <c r="K81" s="12">
        <v>0.34</v>
      </c>
      <c r="L81" s="12">
        <v>0.94</v>
      </c>
      <c r="M81" s="12">
        <v>1.0900000000000001</v>
      </c>
      <c r="N81" s="43">
        <v>0</v>
      </c>
      <c r="O81" s="43">
        <v>0</v>
      </c>
      <c r="P81" s="43">
        <v>0</v>
      </c>
      <c r="Q81" s="43">
        <v>0</v>
      </c>
      <c r="R81" s="43">
        <v>0</v>
      </c>
      <c r="S81" s="43">
        <v>0</v>
      </c>
      <c r="T81" s="43">
        <v>0</v>
      </c>
      <c r="U81" s="43">
        <v>0</v>
      </c>
      <c r="V81" s="12">
        <v>0.85</v>
      </c>
      <c r="W81" s="12">
        <v>0.82</v>
      </c>
      <c r="X81" s="12">
        <v>0.78</v>
      </c>
      <c r="Y81" s="12">
        <v>1.1100000000000001</v>
      </c>
      <c r="Z81" s="12">
        <v>0.99</v>
      </c>
      <c r="AA81" s="12">
        <v>0.99</v>
      </c>
      <c r="AB81" s="12">
        <v>1.1100000000000001</v>
      </c>
      <c r="AC81" s="12">
        <v>1.23</v>
      </c>
      <c r="AD81" s="12">
        <v>1.69</v>
      </c>
      <c r="AE81" s="12">
        <v>0.66</v>
      </c>
      <c r="AF81" s="12">
        <v>0.78</v>
      </c>
      <c r="AG81" s="12">
        <v>0.69</v>
      </c>
      <c r="AH81" s="13">
        <v>1.1599999999999999</v>
      </c>
      <c r="AI81" s="12">
        <v>1.1599999999999999</v>
      </c>
      <c r="AJ81" s="61">
        <v>0</v>
      </c>
      <c r="AK81" s="12">
        <v>0.27</v>
      </c>
      <c r="AL81" s="12">
        <v>0.69</v>
      </c>
      <c r="AM81" s="12">
        <v>1.62</v>
      </c>
      <c r="AN81" s="12">
        <v>0.69</v>
      </c>
      <c r="AO81" s="12">
        <v>2.06</v>
      </c>
      <c r="AP81" s="12">
        <v>2.06</v>
      </c>
      <c r="AQ81" s="12">
        <v>0.94</v>
      </c>
      <c r="AR81" s="12">
        <v>0.8</v>
      </c>
      <c r="AS81" s="12">
        <v>0.86</v>
      </c>
      <c r="AT81" s="12">
        <v>1.02</v>
      </c>
      <c r="AU81" s="12">
        <v>0.34</v>
      </c>
      <c r="AV81" s="12">
        <v>2.21</v>
      </c>
      <c r="AW81" s="12">
        <v>0.8</v>
      </c>
      <c r="AX81" s="12">
        <v>0.5</v>
      </c>
      <c r="AY81" s="12">
        <v>1.48</v>
      </c>
      <c r="AZ81" s="12">
        <v>6.84</v>
      </c>
      <c r="BA81" s="12">
        <v>0.7</v>
      </c>
      <c r="BB81" s="12">
        <v>0.68</v>
      </c>
      <c r="BC81" s="12">
        <v>0.91</v>
      </c>
      <c r="BD81" s="12">
        <v>0.79</v>
      </c>
      <c r="BE81" s="12">
        <v>2.2999999999999998</v>
      </c>
      <c r="BF81" s="12">
        <v>0.85</v>
      </c>
      <c r="BG81" s="12">
        <v>1.05</v>
      </c>
      <c r="BH81" s="12">
        <v>0.79</v>
      </c>
      <c r="BI81" s="12">
        <v>0.53</v>
      </c>
      <c r="BJ81" s="12">
        <v>1.58</v>
      </c>
      <c r="BK81" s="12">
        <v>0.36</v>
      </c>
      <c r="BL81" s="12">
        <v>0.56000000000000005</v>
      </c>
      <c r="BM81" s="6">
        <v>1</v>
      </c>
      <c r="BN81" s="12">
        <v>1.01</v>
      </c>
      <c r="BO81" s="12">
        <v>1.1100000000000001</v>
      </c>
      <c r="BP81" s="12">
        <v>2.5299999999999998</v>
      </c>
      <c r="BQ81" s="12">
        <v>0.52</v>
      </c>
      <c r="BR81" s="12">
        <v>0.39</v>
      </c>
      <c r="BS81" s="12">
        <v>0.39</v>
      </c>
      <c r="BT81" s="12">
        <v>0.28999999999999998</v>
      </c>
      <c r="BU81" s="12">
        <v>0.67</v>
      </c>
      <c r="BV81" s="12">
        <v>0.39</v>
      </c>
      <c r="BW81" s="6">
        <v>0</v>
      </c>
      <c r="BX81" s="6">
        <v>0</v>
      </c>
      <c r="BY81" s="6">
        <v>28</v>
      </c>
      <c r="BZ81" s="12">
        <v>0.74</v>
      </c>
      <c r="CA81" s="12">
        <v>27.16</v>
      </c>
      <c r="CB81" s="12">
        <v>0.1</v>
      </c>
      <c r="CC81" s="12">
        <v>-532.57000000000005</v>
      </c>
      <c r="CD81" s="12">
        <v>-533.20000000000005</v>
      </c>
      <c r="CE81" s="6">
        <v>0</v>
      </c>
      <c r="CF81" s="6" t="s">
        <v>104</v>
      </c>
      <c r="CG81" s="6">
        <v>0</v>
      </c>
      <c r="CH81" s="6" t="s">
        <v>104</v>
      </c>
      <c r="CI81" s="6">
        <v>0</v>
      </c>
      <c r="CJ81" s="12">
        <v>0.63</v>
      </c>
      <c r="CK81" s="6" t="s">
        <v>104</v>
      </c>
      <c r="CL81" s="6" t="s">
        <v>104</v>
      </c>
      <c r="CM81" s="12">
        <v>-442.81</v>
      </c>
      <c r="CN81" s="12">
        <v>-504.57</v>
      </c>
    </row>
    <row r="82" spans="1:92" x14ac:dyDescent="0.35">
      <c r="A82" s="5" t="s">
        <v>84</v>
      </c>
      <c r="B82" s="13">
        <v>563.91</v>
      </c>
      <c r="C82" s="13">
        <v>3.28</v>
      </c>
      <c r="D82" s="13">
        <v>1.91</v>
      </c>
      <c r="E82" s="13">
        <v>1.0900000000000001</v>
      </c>
      <c r="F82" s="13">
        <v>2.4500000000000002</v>
      </c>
      <c r="G82" s="13">
        <v>5.92</v>
      </c>
      <c r="H82" s="13">
        <v>3.12</v>
      </c>
      <c r="I82" s="13">
        <v>5.1100000000000003</v>
      </c>
      <c r="J82" s="13">
        <v>3.49</v>
      </c>
      <c r="K82" s="13">
        <v>2.87</v>
      </c>
      <c r="L82" s="13">
        <v>5.57</v>
      </c>
      <c r="M82" s="12">
        <v>5.33</v>
      </c>
      <c r="N82" s="43">
        <v>0</v>
      </c>
      <c r="O82" s="43">
        <v>0</v>
      </c>
      <c r="P82" s="43">
        <v>0</v>
      </c>
      <c r="Q82" s="43">
        <v>0</v>
      </c>
      <c r="R82" s="43">
        <v>0</v>
      </c>
      <c r="S82" s="43">
        <v>0</v>
      </c>
      <c r="T82" s="43">
        <v>0</v>
      </c>
      <c r="U82" s="43">
        <v>0</v>
      </c>
      <c r="V82" s="13">
        <v>3.02</v>
      </c>
      <c r="W82" s="13">
        <v>6.56</v>
      </c>
      <c r="X82" s="13">
        <v>4.07</v>
      </c>
      <c r="Y82" s="13">
        <v>5.8</v>
      </c>
      <c r="Z82" s="13">
        <v>7.44</v>
      </c>
      <c r="AA82" s="13">
        <v>4.49</v>
      </c>
      <c r="AB82" s="13">
        <v>3.47</v>
      </c>
      <c r="AC82" s="13">
        <v>4.4800000000000004</v>
      </c>
      <c r="AD82" s="13">
        <v>4.3499999999999996</v>
      </c>
      <c r="AE82" s="13">
        <v>3.17</v>
      </c>
      <c r="AF82" s="13">
        <v>87.41</v>
      </c>
      <c r="AG82" s="13">
        <v>3.93</v>
      </c>
      <c r="AH82" s="13">
        <v>5.7</v>
      </c>
      <c r="AI82" s="13">
        <v>5.7</v>
      </c>
      <c r="AJ82" s="61">
        <v>0</v>
      </c>
      <c r="AK82" s="13">
        <v>1.42</v>
      </c>
      <c r="AL82" s="13">
        <v>7.21</v>
      </c>
      <c r="AM82" s="13">
        <v>5.56</v>
      </c>
      <c r="AN82" s="13">
        <v>4.59</v>
      </c>
      <c r="AO82" s="13">
        <v>6.94</v>
      </c>
      <c r="AP82" s="13">
        <v>7.55</v>
      </c>
      <c r="AQ82" s="13">
        <v>6.07</v>
      </c>
      <c r="AR82" s="13">
        <v>4.7300000000000004</v>
      </c>
      <c r="AS82" s="13">
        <v>7.39</v>
      </c>
      <c r="AT82" s="13">
        <v>5.27</v>
      </c>
      <c r="AU82" s="13">
        <v>4.2699999999999996</v>
      </c>
      <c r="AV82" s="13">
        <v>27.46</v>
      </c>
      <c r="AW82" s="13">
        <v>4.08</v>
      </c>
      <c r="AX82" s="7">
        <v>4</v>
      </c>
      <c r="AY82" s="13">
        <v>3.79</v>
      </c>
      <c r="AZ82" s="13">
        <v>7.38</v>
      </c>
      <c r="BA82" s="13">
        <v>2.2400000000000002</v>
      </c>
      <c r="BB82" s="13">
        <v>5.04</v>
      </c>
      <c r="BC82" s="13">
        <v>3.54</v>
      </c>
      <c r="BD82" s="13">
        <v>5.13</v>
      </c>
      <c r="BE82" s="13">
        <v>7.84</v>
      </c>
      <c r="BF82" s="13">
        <v>4.32</v>
      </c>
      <c r="BG82" s="13">
        <v>6.16</v>
      </c>
      <c r="BH82" s="13">
        <v>4.41</v>
      </c>
      <c r="BI82" s="13">
        <v>3.24</v>
      </c>
      <c r="BJ82" s="13">
        <v>10.07</v>
      </c>
      <c r="BK82" s="13">
        <v>3.8</v>
      </c>
      <c r="BL82" s="13">
        <v>80.430000000000007</v>
      </c>
      <c r="BM82" s="13">
        <v>5.34</v>
      </c>
      <c r="BN82" s="13">
        <v>8.14</v>
      </c>
      <c r="BO82" s="13">
        <v>6.5</v>
      </c>
      <c r="BP82" s="13">
        <v>41.39</v>
      </c>
      <c r="BQ82" s="13">
        <v>7.23</v>
      </c>
      <c r="BR82" s="13">
        <v>6.28</v>
      </c>
      <c r="BS82" s="13">
        <v>4.54</v>
      </c>
      <c r="BT82" s="13">
        <v>6.5</v>
      </c>
      <c r="BU82" s="13">
        <v>1.77</v>
      </c>
      <c r="BV82" s="13">
        <v>48.27</v>
      </c>
      <c r="BW82" s="7">
        <v>0</v>
      </c>
      <c r="BX82" s="7">
        <v>0</v>
      </c>
      <c r="BY82" s="13">
        <v>980.25</v>
      </c>
      <c r="BZ82" s="13">
        <v>12.83</v>
      </c>
      <c r="CA82" s="13">
        <v>965.36</v>
      </c>
      <c r="CB82" s="13">
        <v>2.06</v>
      </c>
      <c r="CC82" s="13">
        <v>14.71</v>
      </c>
      <c r="CD82" s="13">
        <v>10.38</v>
      </c>
      <c r="CE82" s="7">
        <v>0</v>
      </c>
      <c r="CF82" s="7" t="s">
        <v>104</v>
      </c>
      <c r="CG82" s="7">
        <v>0</v>
      </c>
      <c r="CH82" s="6" t="s">
        <v>104</v>
      </c>
      <c r="CI82" s="7">
        <v>0</v>
      </c>
      <c r="CJ82" s="13">
        <v>4.32</v>
      </c>
      <c r="CK82" s="7" t="s">
        <v>104</v>
      </c>
      <c r="CL82" s="7" t="s">
        <v>104</v>
      </c>
      <c r="CM82" s="13">
        <v>1558.87</v>
      </c>
      <c r="CN82" s="13">
        <v>994.96</v>
      </c>
    </row>
    <row r="83" spans="1:92" x14ac:dyDescent="0.35">
      <c r="A83" s="5" t="s">
        <v>85</v>
      </c>
      <c r="B83" s="12">
        <v>3.1</v>
      </c>
      <c r="C83" s="12">
        <v>0.06</v>
      </c>
      <c r="D83" s="12">
        <v>0.02</v>
      </c>
      <c r="E83" s="12">
        <v>0.02</v>
      </c>
      <c r="F83" s="12">
        <v>0.04</v>
      </c>
      <c r="G83" s="12">
        <v>7.0000000000000007E-2</v>
      </c>
      <c r="H83" s="12">
        <v>0.05</v>
      </c>
      <c r="I83" s="12">
        <v>0.04</v>
      </c>
      <c r="J83" s="12">
        <v>0.06</v>
      </c>
      <c r="K83" s="12">
        <v>0.04</v>
      </c>
      <c r="L83" s="12">
        <v>0.06</v>
      </c>
      <c r="M83" s="12">
        <v>7.0000000000000007E-2</v>
      </c>
      <c r="N83" s="43">
        <v>0</v>
      </c>
      <c r="O83" s="43">
        <v>0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12">
        <v>0.06</v>
      </c>
      <c r="W83" s="12">
        <v>0.06</v>
      </c>
      <c r="X83" s="12">
        <v>0.05</v>
      </c>
      <c r="Y83" s="12">
        <v>7.0000000000000007E-2</v>
      </c>
      <c r="Z83" s="12">
        <v>7.0000000000000007E-2</v>
      </c>
      <c r="AA83" s="12">
        <v>0.05</v>
      </c>
      <c r="AB83" s="12">
        <v>0.05</v>
      </c>
      <c r="AC83" s="12">
        <v>0.06</v>
      </c>
      <c r="AD83" s="12">
        <v>0.06</v>
      </c>
      <c r="AE83" s="12">
        <v>0.05</v>
      </c>
      <c r="AF83" s="12">
        <v>0.06</v>
      </c>
      <c r="AG83" s="12">
        <v>0.06</v>
      </c>
      <c r="AH83" s="13">
        <v>0.06</v>
      </c>
      <c r="AI83" s="12">
        <v>0.06</v>
      </c>
      <c r="AJ83" s="61">
        <v>0</v>
      </c>
      <c r="AK83" s="12">
        <v>0.02</v>
      </c>
      <c r="AL83" s="12">
        <v>7.0000000000000007E-2</v>
      </c>
      <c r="AM83" s="12">
        <v>7.0000000000000007E-2</v>
      </c>
      <c r="AN83" s="12">
        <v>0.05</v>
      </c>
      <c r="AO83" s="12">
        <v>0.05</v>
      </c>
      <c r="AP83" s="12">
        <v>0.04</v>
      </c>
      <c r="AQ83" s="12">
        <v>0.06</v>
      </c>
      <c r="AR83" s="12">
        <v>0.05</v>
      </c>
      <c r="AS83" s="12">
        <v>0.05</v>
      </c>
      <c r="AT83" s="12">
        <v>0.06</v>
      </c>
      <c r="AU83" s="12">
        <v>0.04</v>
      </c>
      <c r="AV83" s="12">
        <v>0.06</v>
      </c>
      <c r="AW83" s="12">
        <v>0.04</v>
      </c>
      <c r="AX83" s="12">
        <v>0.05</v>
      </c>
      <c r="AY83" s="12">
        <v>0.06</v>
      </c>
      <c r="AZ83" s="12">
        <v>0.06</v>
      </c>
      <c r="BA83" s="12">
        <v>0.03</v>
      </c>
      <c r="BB83" s="12">
        <v>0.05</v>
      </c>
      <c r="BC83" s="12">
        <v>0.04</v>
      </c>
      <c r="BD83" s="12">
        <v>0.05</v>
      </c>
      <c r="BE83" s="12">
        <v>0.05</v>
      </c>
      <c r="BF83" s="12">
        <v>0.05</v>
      </c>
      <c r="BG83" s="12">
        <v>0.06</v>
      </c>
      <c r="BH83" s="12">
        <v>0.04</v>
      </c>
      <c r="BI83" s="12">
        <v>0.04</v>
      </c>
      <c r="BJ83" s="12">
        <v>0.08</v>
      </c>
      <c r="BK83" s="12">
        <v>0.03</v>
      </c>
      <c r="BL83" s="12">
        <v>0.05</v>
      </c>
      <c r="BM83" s="12">
        <v>0.05</v>
      </c>
      <c r="BN83" s="12">
        <v>0.05</v>
      </c>
      <c r="BO83" s="12">
        <v>0.05</v>
      </c>
      <c r="BP83" s="12">
        <v>7.0000000000000007E-2</v>
      </c>
      <c r="BQ83" s="12">
        <v>0.04</v>
      </c>
      <c r="BR83" s="12">
        <v>0.04</v>
      </c>
      <c r="BS83" s="12">
        <v>0.03</v>
      </c>
      <c r="BT83" s="12">
        <v>0.03</v>
      </c>
      <c r="BU83" s="12">
        <v>0.03</v>
      </c>
      <c r="BV83" s="12">
        <v>0.04</v>
      </c>
      <c r="BW83" s="6">
        <v>0</v>
      </c>
      <c r="BX83" s="6">
        <v>0</v>
      </c>
      <c r="BY83" s="12">
        <v>0.4</v>
      </c>
      <c r="BZ83" s="12">
        <v>7.0000000000000007E-2</v>
      </c>
      <c r="CA83" s="12">
        <v>0.33</v>
      </c>
      <c r="CB83" s="12">
        <v>0.01</v>
      </c>
      <c r="CC83" s="12">
        <v>0.15</v>
      </c>
      <c r="CD83" s="12">
        <v>0.08</v>
      </c>
      <c r="CE83" s="6">
        <v>0</v>
      </c>
      <c r="CF83" s="6" t="s">
        <v>104</v>
      </c>
      <c r="CG83" s="6">
        <v>0</v>
      </c>
      <c r="CH83" s="6" t="s">
        <v>104</v>
      </c>
      <c r="CI83" s="6">
        <v>0</v>
      </c>
      <c r="CJ83" s="12">
        <v>7.0000000000000007E-2</v>
      </c>
      <c r="CK83" s="6" t="s">
        <v>104</v>
      </c>
      <c r="CL83" s="6" t="s">
        <v>104</v>
      </c>
      <c r="CM83" s="12">
        <v>3.65</v>
      </c>
      <c r="CN83" s="12">
        <v>0.55000000000000004</v>
      </c>
    </row>
    <row r="84" spans="1:92" x14ac:dyDescent="0.35">
      <c r="A84" s="5" t="s">
        <v>86</v>
      </c>
      <c r="B84" s="7">
        <v>0</v>
      </c>
      <c r="C84" s="7">
        <v>0</v>
      </c>
      <c r="D84" s="7">
        <v>0</v>
      </c>
      <c r="E84" s="7">
        <v>0</v>
      </c>
      <c r="F84" s="7">
        <v>0</v>
      </c>
      <c r="G84" s="7">
        <v>0</v>
      </c>
      <c r="H84" s="7">
        <v>0</v>
      </c>
      <c r="I84" s="7">
        <v>0</v>
      </c>
      <c r="J84" s="7">
        <v>0</v>
      </c>
      <c r="K84" s="7">
        <v>0</v>
      </c>
      <c r="L84" s="7">
        <v>0</v>
      </c>
      <c r="M84" s="12">
        <v>0</v>
      </c>
      <c r="N84" s="72">
        <v>0</v>
      </c>
      <c r="O84" s="72">
        <v>0</v>
      </c>
      <c r="P84" s="72">
        <v>0</v>
      </c>
      <c r="Q84" s="72">
        <v>0</v>
      </c>
      <c r="R84" s="72">
        <v>0</v>
      </c>
      <c r="S84" s="72">
        <v>0</v>
      </c>
      <c r="T84" s="72">
        <v>0</v>
      </c>
      <c r="U84" s="72">
        <v>0</v>
      </c>
      <c r="V84" s="7">
        <v>0</v>
      </c>
      <c r="W84" s="7">
        <v>0</v>
      </c>
      <c r="X84" s="7">
        <v>0</v>
      </c>
      <c r="Y84" s="7">
        <v>0</v>
      </c>
      <c r="Z84" s="7">
        <v>0</v>
      </c>
      <c r="AA84" s="7">
        <v>0</v>
      </c>
      <c r="AB84" s="7">
        <v>0</v>
      </c>
      <c r="AC84" s="7">
        <v>0</v>
      </c>
      <c r="AD84" s="7">
        <v>0</v>
      </c>
      <c r="AE84" s="7">
        <v>0</v>
      </c>
      <c r="AF84" s="7">
        <v>0</v>
      </c>
      <c r="AG84" s="7">
        <v>0</v>
      </c>
      <c r="AH84" s="13">
        <v>0</v>
      </c>
      <c r="AI84" s="7">
        <v>0</v>
      </c>
      <c r="AJ84" s="61">
        <v>0</v>
      </c>
      <c r="AK84" s="7">
        <v>0</v>
      </c>
      <c r="AL84" s="7">
        <v>0</v>
      </c>
      <c r="AM84" s="7">
        <v>0</v>
      </c>
      <c r="AN84" s="7">
        <v>0</v>
      </c>
      <c r="AO84" s="7">
        <v>0</v>
      </c>
      <c r="AP84" s="7">
        <v>0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  <c r="AY84" s="7">
        <v>0</v>
      </c>
      <c r="AZ84" s="7">
        <v>0</v>
      </c>
      <c r="BA84" s="7">
        <v>0</v>
      </c>
      <c r="BB84" s="7">
        <v>0</v>
      </c>
      <c r="BC84" s="7">
        <v>0</v>
      </c>
      <c r="BD84" s="7">
        <v>0</v>
      </c>
      <c r="BE84" s="7">
        <v>0</v>
      </c>
      <c r="BF84" s="7">
        <v>0</v>
      </c>
      <c r="BG84" s="7">
        <v>0</v>
      </c>
      <c r="BH84" s="7">
        <v>0</v>
      </c>
      <c r="BI84" s="7">
        <v>0</v>
      </c>
      <c r="BJ84" s="7">
        <v>0</v>
      </c>
      <c r="BK84" s="7">
        <v>0</v>
      </c>
      <c r="BL84" s="7">
        <v>0</v>
      </c>
      <c r="BM84" s="7">
        <v>0</v>
      </c>
      <c r="BN84" s="7">
        <v>0</v>
      </c>
      <c r="BO84" s="7">
        <v>0</v>
      </c>
      <c r="BP84" s="7">
        <v>0</v>
      </c>
      <c r="BQ84" s="7">
        <v>0</v>
      </c>
      <c r="BR84" s="7">
        <v>0</v>
      </c>
      <c r="BS84" s="7">
        <v>0</v>
      </c>
      <c r="BT84" s="7">
        <v>0</v>
      </c>
      <c r="BU84" s="7">
        <v>0</v>
      </c>
      <c r="BV84" s="7">
        <v>0</v>
      </c>
      <c r="BW84" s="7">
        <v>0</v>
      </c>
      <c r="BX84" s="7">
        <v>0</v>
      </c>
      <c r="BY84" s="7">
        <v>0</v>
      </c>
      <c r="BZ84" s="7">
        <v>0</v>
      </c>
      <c r="CA84" s="7">
        <v>0</v>
      </c>
      <c r="CB84" s="7">
        <v>0</v>
      </c>
      <c r="CC84" s="7">
        <v>0</v>
      </c>
      <c r="CD84" s="7">
        <v>0</v>
      </c>
      <c r="CE84" s="7">
        <v>0</v>
      </c>
      <c r="CF84" s="7" t="s">
        <v>104</v>
      </c>
      <c r="CG84" s="7">
        <v>0</v>
      </c>
      <c r="CH84" s="6" t="s">
        <v>104</v>
      </c>
      <c r="CI84" s="7">
        <v>0</v>
      </c>
      <c r="CJ84" s="7">
        <v>0</v>
      </c>
      <c r="CK84" s="7" t="s">
        <v>104</v>
      </c>
      <c r="CL84" s="7" t="s">
        <v>104</v>
      </c>
      <c r="CM84" s="7">
        <v>0</v>
      </c>
      <c r="CN84" s="7">
        <v>0</v>
      </c>
    </row>
    <row r="85" spans="1:92" x14ac:dyDescent="0.35">
      <c r="A85" s="5" t="s">
        <v>105</v>
      </c>
      <c r="B85" s="6" t="s">
        <v>104</v>
      </c>
      <c r="C85" s="6" t="s">
        <v>104</v>
      </c>
      <c r="D85" s="6" t="s">
        <v>104</v>
      </c>
      <c r="E85" s="6" t="s">
        <v>104</v>
      </c>
      <c r="F85" s="6" t="s">
        <v>104</v>
      </c>
      <c r="G85" s="6" t="s">
        <v>104</v>
      </c>
      <c r="H85" s="6" t="s">
        <v>104</v>
      </c>
      <c r="I85" s="6" t="s">
        <v>104</v>
      </c>
      <c r="J85" s="6" t="s">
        <v>104</v>
      </c>
      <c r="K85" s="6" t="s">
        <v>104</v>
      </c>
      <c r="L85" s="6" t="s">
        <v>104</v>
      </c>
      <c r="M85" s="6" t="s">
        <v>104</v>
      </c>
      <c r="N85" s="6" t="s">
        <v>104</v>
      </c>
      <c r="O85" s="6" t="s">
        <v>104</v>
      </c>
      <c r="P85" s="6" t="s">
        <v>104</v>
      </c>
      <c r="Q85" s="6" t="s">
        <v>104</v>
      </c>
      <c r="R85" s="6" t="s">
        <v>104</v>
      </c>
      <c r="S85" s="6" t="s">
        <v>104</v>
      </c>
      <c r="T85" s="6" t="s">
        <v>104</v>
      </c>
      <c r="U85" s="6" t="s">
        <v>104</v>
      </c>
      <c r="V85" s="6" t="s">
        <v>104</v>
      </c>
      <c r="W85" s="6" t="s">
        <v>104</v>
      </c>
      <c r="X85" s="6" t="s">
        <v>104</v>
      </c>
      <c r="Y85" s="6" t="s">
        <v>104</v>
      </c>
      <c r="Z85" s="6" t="s">
        <v>104</v>
      </c>
      <c r="AA85" s="6" t="s">
        <v>104</v>
      </c>
      <c r="AB85" s="6" t="s">
        <v>104</v>
      </c>
      <c r="AC85" s="6" t="s">
        <v>104</v>
      </c>
      <c r="AD85" s="6" t="s">
        <v>104</v>
      </c>
      <c r="AE85" s="6" t="s">
        <v>104</v>
      </c>
      <c r="AF85" s="6" t="s">
        <v>104</v>
      </c>
      <c r="AG85" s="6" t="s">
        <v>104</v>
      </c>
      <c r="AH85" s="6" t="s">
        <v>104</v>
      </c>
      <c r="AI85" s="6" t="s">
        <v>104</v>
      </c>
      <c r="AJ85" s="6" t="s">
        <v>104</v>
      </c>
      <c r="AK85" s="6" t="s">
        <v>104</v>
      </c>
      <c r="AL85" s="6" t="s">
        <v>104</v>
      </c>
      <c r="AM85" s="6" t="s">
        <v>104</v>
      </c>
      <c r="AN85" s="6" t="s">
        <v>104</v>
      </c>
      <c r="AO85" s="6" t="s">
        <v>104</v>
      </c>
      <c r="AP85" s="6" t="s">
        <v>104</v>
      </c>
      <c r="AQ85" s="6" t="s">
        <v>104</v>
      </c>
      <c r="AR85" s="6" t="s">
        <v>104</v>
      </c>
      <c r="AS85" s="6" t="s">
        <v>104</v>
      </c>
      <c r="AT85" s="6" t="s">
        <v>104</v>
      </c>
      <c r="AU85" s="6" t="s">
        <v>104</v>
      </c>
      <c r="AV85" s="6" t="s">
        <v>104</v>
      </c>
      <c r="AW85" s="6" t="s">
        <v>104</v>
      </c>
      <c r="AX85" s="6" t="s">
        <v>104</v>
      </c>
      <c r="AY85" s="6" t="s">
        <v>104</v>
      </c>
      <c r="AZ85" s="6" t="s">
        <v>104</v>
      </c>
      <c r="BA85" s="6" t="s">
        <v>104</v>
      </c>
      <c r="BB85" s="6" t="s">
        <v>104</v>
      </c>
      <c r="BC85" s="6" t="s">
        <v>104</v>
      </c>
      <c r="BD85" s="6" t="s">
        <v>104</v>
      </c>
      <c r="BE85" s="6" t="s">
        <v>104</v>
      </c>
      <c r="BF85" s="6" t="s">
        <v>104</v>
      </c>
      <c r="BG85" s="6" t="s">
        <v>104</v>
      </c>
      <c r="BH85" s="6" t="s">
        <v>104</v>
      </c>
      <c r="BI85" s="6" t="s">
        <v>104</v>
      </c>
      <c r="BJ85" s="6" t="s">
        <v>104</v>
      </c>
      <c r="BK85" s="6" t="s">
        <v>104</v>
      </c>
      <c r="BL85" s="6" t="s">
        <v>104</v>
      </c>
      <c r="BM85" s="6" t="s">
        <v>104</v>
      </c>
      <c r="BN85" s="6" t="s">
        <v>104</v>
      </c>
      <c r="BO85" s="6" t="s">
        <v>104</v>
      </c>
      <c r="BP85" s="6" t="s">
        <v>104</v>
      </c>
      <c r="BQ85" s="6" t="s">
        <v>104</v>
      </c>
      <c r="BR85" s="6" t="s">
        <v>104</v>
      </c>
      <c r="BS85" s="6" t="s">
        <v>104</v>
      </c>
      <c r="BT85" s="6" t="s">
        <v>104</v>
      </c>
      <c r="BU85" s="6" t="s">
        <v>104</v>
      </c>
      <c r="BV85" s="6" t="s">
        <v>104</v>
      </c>
      <c r="BW85" s="6" t="s">
        <v>104</v>
      </c>
      <c r="BX85" s="6" t="s">
        <v>104</v>
      </c>
      <c r="BY85" s="6" t="s">
        <v>104</v>
      </c>
      <c r="BZ85" s="6" t="s">
        <v>104</v>
      </c>
      <c r="CA85" s="6" t="s">
        <v>104</v>
      </c>
      <c r="CB85" s="6" t="s">
        <v>104</v>
      </c>
      <c r="CC85" s="6" t="s">
        <v>104</v>
      </c>
      <c r="CD85" s="6" t="s">
        <v>104</v>
      </c>
      <c r="CE85" s="6" t="s">
        <v>104</v>
      </c>
      <c r="CF85" s="6" t="s">
        <v>104</v>
      </c>
      <c r="CG85" s="6" t="s">
        <v>104</v>
      </c>
      <c r="CH85" s="6" t="s">
        <v>104</v>
      </c>
      <c r="CI85" s="6" t="s">
        <v>104</v>
      </c>
      <c r="CJ85" s="6" t="s">
        <v>104</v>
      </c>
      <c r="CK85" s="6" t="s">
        <v>104</v>
      </c>
      <c r="CL85" s="6" t="s">
        <v>104</v>
      </c>
      <c r="CM85" s="6" t="s">
        <v>104</v>
      </c>
      <c r="CN85" s="6" t="s">
        <v>104</v>
      </c>
    </row>
    <row r="86" spans="1:92" x14ac:dyDescent="0.35">
      <c r="A86" s="5" t="s">
        <v>106</v>
      </c>
      <c r="B86" s="7" t="s">
        <v>104</v>
      </c>
      <c r="C86" s="7" t="s">
        <v>104</v>
      </c>
      <c r="D86" s="7" t="s">
        <v>104</v>
      </c>
      <c r="E86" s="7" t="s">
        <v>104</v>
      </c>
      <c r="F86" s="7" t="s">
        <v>104</v>
      </c>
      <c r="G86" s="7" t="s">
        <v>104</v>
      </c>
      <c r="H86" s="7" t="s">
        <v>104</v>
      </c>
      <c r="I86" s="7" t="s">
        <v>104</v>
      </c>
      <c r="J86" s="7" t="s">
        <v>104</v>
      </c>
      <c r="K86" s="7" t="s">
        <v>104</v>
      </c>
      <c r="L86" s="6" t="s">
        <v>104</v>
      </c>
      <c r="M86" s="6" t="s">
        <v>104</v>
      </c>
      <c r="N86" s="6" t="s">
        <v>104</v>
      </c>
      <c r="O86" s="6" t="s">
        <v>104</v>
      </c>
      <c r="P86" s="6" t="s">
        <v>104</v>
      </c>
      <c r="Q86" s="6" t="s">
        <v>104</v>
      </c>
      <c r="R86" s="6" t="s">
        <v>104</v>
      </c>
      <c r="S86" s="6" t="s">
        <v>104</v>
      </c>
      <c r="T86" s="6" t="s">
        <v>104</v>
      </c>
      <c r="U86" s="6" t="s">
        <v>104</v>
      </c>
      <c r="V86" s="6" t="s">
        <v>104</v>
      </c>
      <c r="W86" s="7" t="s">
        <v>104</v>
      </c>
      <c r="X86" s="7" t="s">
        <v>104</v>
      </c>
      <c r="Y86" s="7" t="s">
        <v>104</v>
      </c>
      <c r="Z86" s="7" t="s">
        <v>104</v>
      </c>
      <c r="AA86" s="7" t="s">
        <v>104</v>
      </c>
      <c r="AB86" s="7" t="s">
        <v>104</v>
      </c>
      <c r="AC86" s="7" t="s">
        <v>104</v>
      </c>
      <c r="AD86" s="7" t="s">
        <v>104</v>
      </c>
      <c r="AE86" s="7" t="s">
        <v>104</v>
      </c>
      <c r="AF86" s="7" t="s">
        <v>104</v>
      </c>
      <c r="AG86" s="6" t="s">
        <v>104</v>
      </c>
      <c r="AH86" s="6" t="s">
        <v>104</v>
      </c>
      <c r="AI86" s="6" t="s">
        <v>104</v>
      </c>
      <c r="AJ86" s="6" t="s">
        <v>104</v>
      </c>
      <c r="AK86" s="7" t="s">
        <v>104</v>
      </c>
      <c r="AL86" s="7" t="s">
        <v>104</v>
      </c>
      <c r="AM86" s="7" t="s">
        <v>104</v>
      </c>
      <c r="AN86" s="7" t="s">
        <v>104</v>
      </c>
      <c r="AO86" s="7" t="s">
        <v>104</v>
      </c>
      <c r="AP86" s="7" t="s">
        <v>104</v>
      </c>
      <c r="AQ86" s="7" t="s">
        <v>104</v>
      </c>
      <c r="AR86" s="7" t="s">
        <v>104</v>
      </c>
      <c r="AS86" s="7" t="s">
        <v>104</v>
      </c>
      <c r="AT86" s="7" t="s">
        <v>104</v>
      </c>
      <c r="AU86" s="7" t="s">
        <v>104</v>
      </c>
      <c r="AV86" s="7" t="s">
        <v>104</v>
      </c>
      <c r="AW86" s="7" t="s">
        <v>104</v>
      </c>
      <c r="AX86" s="7" t="s">
        <v>104</v>
      </c>
      <c r="AY86" s="7" t="s">
        <v>104</v>
      </c>
      <c r="AZ86" s="7" t="s">
        <v>104</v>
      </c>
      <c r="BA86" s="7" t="s">
        <v>104</v>
      </c>
      <c r="BB86" s="7" t="s">
        <v>104</v>
      </c>
      <c r="BC86" s="7" t="s">
        <v>104</v>
      </c>
      <c r="BD86" s="7" t="s">
        <v>104</v>
      </c>
      <c r="BE86" s="7" t="s">
        <v>104</v>
      </c>
      <c r="BF86" s="7" t="s">
        <v>104</v>
      </c>
      <c r="BG86" s="7" t="s">
        <v>104</v>
      </c>
      <c r="BH86" s="7" t="s">
        <v>104</v>
      </c>
      <c r="BI86" s="7" t="s">
        <v>104</v>
      </c>
      <c r="BJ86" s="7" t="s">
        <v>104</v>
      </c>
      <c r="BK86" s="7" t="s">
        <v>104</v>
      </c>
      <c r="BL86" s="7" t="s">
        <v>104</v>
      </c>
      <c r="BM86" s="7" t="s">
        <v>104</v>
      </c>
      <c r="BN86" s="7" t="s">
        <v>104</v>
      </c>
      <c r="BO86" s="7" t="s">
        <v>104</v>
      </c>
      <c r="BP86" s="7" t="s">
        <v>104</v>
      </c>
      <c r="BQ86" s="7" t="s">
        <v>104</v>
      </c>
      <c r="BR86" s="7" t="s">
        <v>104</v>
      </c>
      <c r="BS86" s="7" t="s">
        <v>104</v>
      </c>
      <c r="BT86" s="7" t="s">
        <v>104</v>
      </c>
      <c r="BU86" s="7" t="s">
        <v>104</v>
      </c>
      <c r="BV86" s="7" t="s">
        <v>104</v>
      </c>
      <c r="BW86" s="7" t="s">
        <v>104</v>
      </c>
      <c r="BX86" s="7" t="s">
        <v>104</v>
      </c>
      <c r="BY86" s="7" t="s">
        <v>104</v>
      </c>
      <c r="BZ86" s="7" t="s">
        <v>104</v>
      </c>
      <c r="CA86" s="7" t="s">
        <v>104</v>
      </c>
      <c r="CB86" s="7" t="s">
        <v>104</v>
      </c>
      <c r="CC86" s="7" t="s">
        <v>104</v>
      </c>
      <c r="CD86" s="7" t="s">
        <v>104</v>
      </c>
      <c r="CE86" s="7" t="s">
        <v>104</v>
      </c>
      <c r="CF86" s="7" t="s">
        <v>104</v>
      </c>
      <c r="CG86" s="7" t="s">
        <v>104</v>
      </c>
      <c r="CH86" s="6" t="s">
        <v>104</v>
      </c>
      <c r="CI86" s="7" t="s">
        <v>104</v>
      </c>
      <c r="CJ86" s="7" t="s">
        <v>104</v>
      </c>
      <c r="CK86" s="7" t="s">
        <v>104</v>
      </c>
      <c r="CL86" s="7" t="s">
        <v>104</v>
      </c>
      <c r="CM86" s="7" t="s">
        <v>104</v>
      </c>
      <c r="CN86" s="7" t="s">
        <v>104</v>
      </c>
    </row>
    <row r="87" spans="1:92" x14ac:dyDescent="0.35">
      <c r="A87" s="5" t="s">
        <v>107</v>
      </c>
      <c r="B87" s="6" t="s">
        <v>104</v>
      </c>
      <c r="C87" s="6" t="s">
        <v>104</v>
      </c>
      <c r="D87" s="6" t="s">
        <v>104</v>
      </c>
      <c r="E87" s="6" t="s">
        <v>104</v>
      </c>
      <c r="F87" s="6" t="s">
        <v>104</v>
      </c>
      <c r="G87" s="6" t="s">
        <v>104</v>
      </c>
      <c r="H87" s="6" t="s">
        <v>104</v>
      </c>
      <c r="I87" s="6" t="s">
        <v>104</v>
      </c>
      <c r="J87" s="6" t="s">
        <v>104</v>
      </c>
      <c r="K87" s="6" t="s">
        <v>104</v>
      </c>
      <c r="L87" s="6" t="s">
        <v>104</v>
      </c>
      <c r="M87" s="6" t="s">
        <v>104</v>
      </c>
      <c r="N87" s="6" t="s">
        <v>104</v>
      </c>
      <c r="O87" s="6" t="s">
        <v>104</v>
      </c>
      <c r="P87" s="6" t="s">
        <v>104</v>
      </c>
      <c r="Q87" s="6" t="s">
        <v>104</v>
      </c>
      <c r="R87" s="6" t="s">
        <v>104</v>
      </c>
      <c r="S87" s="6" t="s">
        <v>104</v>
      </c>
      <c r="T87" s="6" t="s">
        <v>104</v>
      </c>
      <c r="U87" s="6" t="s">
        <v>104</v>
      </c>
      <c r="V87" s="6" t="s">
        <v>104</v>
      </c>
      <c r="W87" s="6" t="s">
        <v>104</v>
      </c>
      <c r="X87" s="6" t="s">
        <v>104</v>
      </c>
      <c r="Y87" s="6" t="s">
        <v>104</v>
      </c>
      <c r="Z87" s="6" t="s">
        <v>104</v>
      </c>
      <c r="AA87" s="6" t="s">
        <v>104</v>
      </c>
      <c r="AB87" s="6" t="s">
        <v>104</v>
      </c>
      <c r="AC87" s="6" t="s">
        <v>104</v>
      </c>
      <c r="AD87" s="6" t="s">
        <v>104</v>
      </c>
      <c r="AE87" s="6" t="s">
        <v>104</v>
      </c>
      <c r="AF87" s="6" t="s">
        <v>104</v>
      </c>
      <c r="AG87" s="6" t="s">
        <v>104</v>
      </c>
      <c r="AH87" s="6" t="s">
        <v>104</v>
      </c>
      <c r="AI87" s="6" t="s">
        <v>104</v>
      </c>
      <c r="AJ87" s="6" t="s">
        <v>104</v>
      </c>
      <c r="AK87" s="6" t="s">
        <v>104</v>
      </c>
      <c r="AL87" s="6" t="s">
        <v>104</v>
      </c>
      <c r="AM87" s="6" t="s">
        <v>104</v>
      </c>
      <c r="AN87" s="6" t="s">
        <v>104</v>
      </c>
      <c r="AO87" s="6" t="s">
        <v>104</v>
      </c>
      <c r="AP87" s="6" t="s">
        <v>104</v>
      </c>
      <c r="AQ87" s="6" t="s">
        <v>104</v>
      </c>
      <c r="AR87" s="6" t="s">
        <v>104</v>
      </c>
      <c r="AS87" s="6" t="s">
        <v>104</v>
      </c>
      <c r="AT87" s="6" t="s">
        <v>104</v>
      </c>
      <c r="AU87" s="6" t="s">
        <v>104</v>
      </c>
      <c r="AV87" s="6" t="s">
        <v>104</v>
      </c>
      <c r="AW87" s="6" t="s">
        <v>104</v>
      </c>
      <c r="AX87" s="6" t="s">
        <v>104</v>
      </c>
      <c r="AY87" s="6" t="s">
        <v>104</v>
      </c>
      <c r="AZ87" s="6" t="s">
        <v>104</v>
      </c>
      <c r="BA87" s="6" t="s">
        <v>104</v>
      </c>
      <c r="BB87" s="6" t="s">
        <v>104</v>
      </c>
      <c r="BC87" s="6" t="s">
        <v>104</v>
      </c>
      <c r="BD87" s="6" t="s">
        <v>104</v>
      </c>
      <c r="BE87" s="6" t="s">
        <v>104</v>
      </c>
      <c r="BF87" s="6" t="s">
        <v>104</v>
      </c>
      <c r="BG87" s="6" t="s">
        <v>104</v>
      </c>
      <c r="BH87" s="6" t="s">
        <v>104</v>
      </c>
      <c r="BI87" s="6" t="s">
        <v>104</v>
      </c>
      <c r="BJ87" s="6" t="s">
        <v>104</v>
      </c>
      <c r="BK87" s="6" t="s">
        <v>104</v>
      </c>
      <c r="BL87" s="6" t="s">
        <v>104</v>
      </c>
      <c r="BM87" s="6" t="s">
        <v>104</v>
      </c>
      <c r="BN87" s="6" t="s">
        <v>104</v>
      </c>
      <c r="BO87" s="6" t="s">
        <v>104</v>
      </c>
      <c r="BP87" s="6" t="s">
        <v>104</v>
      </c>
      <c r="BQ87" s="6" t="s">
        <v>104</v>
      </c>
      <c r="BR87" s="6" t="s">
        <v>104</v>
      </c>
      <c r="BS87" s="6" t="s">
        <v>104</v>
      </c>
      <c r="BT87" s="6" t="s">
        <v>104</v>
      </c>
      <c r="BU87" s="6" t="s">
        <v>104</v>
      </c>
      <c r="BV87" s="6" t="s">
        <v>104</v>
      </c>
      <c r="BW87" s="6" t="s">
        <v>104</v>
      </c>
      <c r="BX87" s="6" t="s">
        <v>104</v>
      </c>
      <c r="BY87" s="6" t="s">
        <v>104</v>
      </c>
      <c r="BZ87" s="6" t="s">
        <v>104</v>
      </c>
      <c r="CA87" s="6" t="s">
        <v>104</v>
      </c>
      <c r="CB87" s="6" t="s">
        <v>104</v>
      </c>
      <c r="CC87" s="6" t="s">
        <v>104</v>
      </c>
      <c r="CD87" s="6" t="s">
        <v>104</v>
      </c>
      <c r="CE87" s="6" t="s">
        <v>104</v>
      </c>
      <c r="CF87" s="6" t="s">
        <v>104</v>
      </c>
      <c r="CG87" s="6" t="s">
        <v>104</v>
      </c>
      <c r="CH87" s="6" t="s">
        <v>104</v>
      </c>
      <c r="CI87" s="6" t="s">
        <v>104</v>
      </c>
      <c r="CJ87" s="6" t="s">
        <v>104</v>
      </c>
      <c r="CK87" s="6" t="s">
        <v>104</v>
      </c>
      <c r="CL87" s="6" t="s">
        <v>104</v>
      </c>
      <c r="CM87" s="6" t="s">
        <v>104</v>
      </c>
      <c r="CN87" s="6" t="s">
        <v>104</v>
      </c>
    </row>
    <row r="88" spans="1:92" x14ac:dyDescent="0.35">
      <c r="A88" s="5" t="s">
        <v>108</v>
      </c>
      <c r="B88" s="7" t="s">
        <v>104</v>
      </c>
      <c r="C88" s="7" t="s">
        <v>104</v>
      </c>
      <c r="D88" s="7" t="s">
        <v>104</v>
      </c>
      <c r="E88" s="7" t="s">
        <v>104</v>
      </c>
      <c r="F88" s="7" t="s">
        <v>104</v>
      </c>
      <c r="G88" s="7" t="s">
        <v>104</v>
      </c>
      <c r="H88" s="7" t="s">
        <v>104</v>
      </c>
      <c r="I88" s="7" t="s">
        <v>104</v>
      </c>
      <c r="J88" s="7" t="s">
        <v>104</v>
      </c>
      <c r="K88" s="7" t="s">
        <v>104</v>
      </c>
      <c r="L88" s="6" t="s">
        <v>104</v>
      </c>
      <c r="M88" s="6" t="s">
        <v>104</v>
      </c>
      <c r="N88" s="6" t="s">
        <v>104</v>
      </c>
      <c r="O88" s="6" t="s">
        <v>104</v>
      </c>
      <c r="P88" s="6" t="s">
        <v>104</v>
      </c>
      <c r="Q88" s="6" t="s">
        <v>104</v>
      </c>
      <c r="R88" s="6" t="s">
        <v>104</v>
      </c>
      <c r="S88" s="6" t="s">
        <v>104</v>
      </c>
      <c r="T88" s="6" t="s">
        <v>104</v>
      </c>
      <c r="U88" s="6" t="s">
        <v>104</v>
      </c>
      <c r="V88" s="6" t="s">
        <v>104</v>
      </c>
      <c r="W88" s="7" t="s">
        <v>104</v>
      </c>
      <c r="X88" s="7" t="s">
        <v>104</v>
      </c>
      <c r="Y88" s="7" t="s">
        <v>104</v>
      </c>
      <c r="Z88" s="7" t="s">
        <v>104</v>
      </c>
      <c r="AA88" s="7" t="s">
        <v>104</v>
      </c>
      <c r="AB88" s="7" t="s">
        <v>104</v>
      </c>
      <c r="AC88" s="7" t="s">
        <v>104</v>
      </c>
      <c r="AD88" s="7" t="s">
        <v>104</v>
      </c>
      <c r="AE88" s="7" t="s">
        <v>104</v>
      </c>
      <c r="AF88" s="7" t="s">
        <v>104</v>
      </c>
      <c r="AG88" s="6" t="s">
        <v>104</v>
      </c>
      <c r="AH88" s="6" t="s">
        <v>104</v>
      </c>
      <c r="AI88" s="6" t="s">
        <v>104</v>
      </c>
      <c r="AJ88" s="6" t="s">
        <v>104</v>
      </c>
      <c r="AK88" s="7" t="s">
        <v>104</v>
      </c>
      <c r="AL88" s="7" t="s">
        <v>104</v>
      </c>
      <c r="AM88" s="7" t="s">
        <v>104</v>
      </c>
      <c r="AN88" s="7" t="s">
        <v>104</v>
      </c>
      <c r="AO88" s="7" t="s">
        <v>104</v>
      </c>
      <c r="AP88" s="7" t="s">
        <v>104</v>
      </c>
      <c r="AQ88" s="7" t="s">
        <v>104</v>
      </c>
      <c r="AR88" s="7" t="s">
        <v>104</v>
      </c>
      <c r="AS88" s="7" t="s">
        <v>104</v>
      </c>
      <c r="AT88" s="7" t="s">
        <v>104</v>
      </c>
      <c r="AU88" s="7" t="s">
        <v>104</v>
      </c>
      <c r="AV88" s="7" t="s">
        <v>104</v>
      </c>
      <c r="AW88" s="7" t="s">
        <v>104</v>
      </c>
      <c r="AX88" s="7" t="s">
        <v>104</v>
      </c>
      <c r="AY88" s="7" t="s">
        <v>104</v>
      </c>
      <c r="AZ88" s="7" t="s">
        <v>104</v>
      </c>
      <c r="BA88" s="7" t="s">
        <v>104</v>
      </c>
      <c r="BB88" s="7" t="s">
        <v>104</v>
      </c>
      <c r="BC88" s="7" t="s">
        <v>104</v>
      </c>
      <c r="BD88" s="7" t="s">
        <v>104</v>
      </c>
      <c r="BE88" s="7" t="s">
        <v>104</v>
      </c>
      <c r="BF88" s="7" t="s">
        <v>104</v>
      </c>
      <c r="BG88" s="7" t="s">
        <v>104</v>
      </c>
      <c r="BH88" s="7" t="s">
        <v>104</v>
      </c>
      <c r="BI88" s="7" t="s">
        <v>104</v>
      </c>
      <c r="BJ88" s="7" t="s">
        <v>104</v>
      </c>
      <c r="BK88" s="7" t="s">
        <v>104</v>
      </c>
      <c r="BL88" s="7" t="s">
        <v>104</v>
      </c>
      <c r="BM88" s="7" t="s">
        <v>104</v>
      </c>
      <c r="BN88" s="7" t="s">
        <v>104</v>
      </c>
      <c r="BO88" s="7" t="s">
        <v>104</v>
      </c>
      <c r="BP88" s="7" t="s">
        <v>104</v>
      </c>
      <c r="BQ88" s="7" t="s">
        <v>104</v>
      </c>
      <c r="BR88" s="7" t="s">
        <v>104</v>
      </c>
      <c r="BS88" s="7" t="s">
        <v>104</v>
      </c>
      <c r="BT88" s="7" t="s">
        <v>104</v>
      </c>
      <c r="BU88" s="7" t="s">
        <v>104</v>
      </c>
      <c r="BV88" s="7" t="s">
        <v>104</v>
      </c>
      <c r="BW88" s="7" t="s">
        <v>104</v>
      </c>
      <c r="BX88" s="7" t="s">
        <v>104</v>
      </c>
      <c r="BY88" s="7" t="s">
        <v>104</v>
      </c>
      <c r="BZ88" s="7" t="s">
        <v>104</v>
      </c>
      <c r="CA88" s="7" t="s">
        <v>104</v>
      </c>
      <c r="CB88" s="7" t="s">
        <v>104</v>
      </c>
      <c r="CC88" s="7" t="s">
        <v>104</v>
      </c>
      <c r="CD88" s="7" t="s">
        <v>104</v>
      </c>
      <c r="CE88" s="7" t="s">
        <v>104</v>
      </c>
      <c r="CF88" s="7" t="s">
        <v>104</v>
      </c>
      <c r="CG88" s="7" t="s">
        <v>104</v>
      </c>
      <c r="CH88" s="7" t="s">
        <v>104</v>
      </c>
      <c r="CI88" s="7" t="s">
        <v>104</v>
      </c>
      <c r="CJ88" s="7" t="s">
        <v>104</v>
      </c>
      <c r="CK88" s="7" t="s">
        <v>104</v>
      </c>
      <c r="CL88" s="7" t="s">
        <v>104</v>
      </c>
      <c r="CM88" s="7" t="s">
        <v>104</v>
      </c>
      <c r="CN88" s="7" t="s">
        <v>104</v>
      </c>
    </row>
    <row r="89" spans="1:92" x14ac:dyDescent="0.35">
      <c r="A89" s="5" t="s">
        <v>109</v>
      </c>
      <c r="B89" s="6" t="s">
        <v>104</v>
      </c>
      <c r="C89" s="6" t="s">
        <v>104</v>
      </c>
      <c r="D89" s="6" t="s">
        <v>104</v>
      </c>
      <c r="E89" s="6" t="s">
        <v>104</v>
      </c>
      <c r="F89" s="6" t="s">
        <v>104</v>
      </c>
      <c r="G89" s="6" t="s">
        <v>104</v>
      </c>
      <c r="H89" s="6" t="s">
        <v>104</v>
      </c>
      <c r="I89" s="6" t="s">
        <v>104</v>
      </c>
      <c r="J89" s="6" t="s">
        <v>104</v>
      </c>
      <c r="K89" s="6" t="s">
        <v>104</v>
      </c>
      <c r="L89" s="6" t="s">
        <v>104</v>
      </c>
      <c r="M89" s="6" t="s">
        <v>104</v>
      </c>
      <c r="N89" s="6" t="s">
        <v>104</v>
      </c>
      <c r="O89" s="6" t="s">
        <v>104</v>
      </c>
      <c r="P89" s="6" t="s">
        <v>104</v>
      </c>
      <c r="Q89" s="6" t="s">
        <v>104</v>
      </c>
      <c r="R89" s="6" t="s">
        <v>104</v>
      </c>
      <c r="S89" s="6" t="s">
        <v>104</v>
      </c>
      <c r="T89" s="6" t="s">
        <v>104</v>
      </c>
      <c r="U89" s="6" t="s">
        <v>104</v>
      </c>
      <c r="V89" s="6" t="s">
        <v>104</v>
      </c>
      <c r="W89" s="6" t="s">
        <v>104</v>
      </c>
      <c r="X89" s="6" t="s">
        <v>104</v>
      </c>
      <c r="Y89" s="6" t="s">
        <v>104</v>
      </c>
      <c r="Z89" s="6" t="s">
        <v>104</v>
      </c>
      <c r="AA89" s="6" t="s">
        <v>104</v>
      </c>
      <c r="AB89" s="6" t="s">
        <v>104</v>
      </c>
      <c r="AC89" s="6" t="s">
        <v>104</v>
      </c>
      <c r="AD89" s="6" t="s">
        <v>104</v>
      </c>
      <c r="AE89" s="6" t="s">
        <v>104</v>
      </c>
      <c r="AF89" s="6" t="s">
        <v>104</v>
      </c>
      <c r="AG89" s="6" t="s">
        <v>104</v>
      </c>
      <c r="AH89" s="6" t="s">
        <v>104</v>
      </c>
      <c r="AI89" s="6" t="s">
        <v>104</v>
      </c>
      <c r="AJ89" s="6" t="s">
        <v>104</v>
      </c>
      <c r="AK89" s="6" t="s">
        <v>104</v>
      </c>
      <c r="AL89" s="6" t="s">
        <v>104</v>
      </c>
      <c r="AM89" s="6" t="s">
        <v>104</v>
      </c>
      <c r="AN89" s="6" t="s">
        <v>104</v>
      </c>
      <c r="AO89" s="6" t="s">
        <v>104</v>
      </c>
      <c r="AP89" s="6" t="s">
        <v>104</v>
      </c>
      <c r="AQ89" s="6" t="s">
        <v>104</v>
      </c>
      <c r="AR89" s="6" t="s">
        <v>104</v>
      </c>
      <c r="AS89" s="6" t="s">
        <v>104</v>
      </c>
      <c r="AT89" s="6" t="s">
        <v>104</v>
      </c>
      <c r="AU89" s="6" t="s">
        <v>104</v>
      </c>
      <c r="AV89" s="6" t="s">
        <v>104</v>
      </c>
      <c r="AW89" s="6" t="s">
        <v>104</v>
      </c>
      <c r="AX89" s="6" t="s">
        <v>104</v>
      </c>
      <c r="AY89" s="6" t="s">
        <v>104</v>
      </c>
      <c r="AZ89" s="6" t="s">
        <v>104</v>
      </c>
      <c r="BA89" s="6" t="s">
        <v>104</v>
      </c>
      <c r="BB89" s="6" t="s">
        <v>104</v>
      </c>
      <c r="BC89" s="6" t="s">
        <v>104</v>
      </c>
      <c r="BD89" s="6" t="s">
        <v>104</v>
      </c>
      <c r="BE89" s="6" t="s">
        <v>104</v>
      </c>
      <c r="BF89" s="6" t="s">
        <v>104</v>
      </c>
      <c r="BG89" s="6" t="s">
        <v>104</v>
      </c>
      <c r="BH89" s="6" t="s">
        <v>104</v>
      </c>
      <c r="BI89" s="6" t="s">
        <v>104</v>
      </c>
      <c r="BJ89" s="6" t="s">
        <v>104</v>
      </c>
      <c r="BK89" s="6" t="s">
        <v>104</v>
      </c>
      <c r="BL89" s="6" t="s">
        <v>104</v>
      </c>
      <c r="BM89" s="6" t="s">
        <v>104</v>
      </c>
      <c r="BN89" s="6" t="s">
        <v>104</v>
      </c>
      <c r="BO89" s="6" t="s">
        <v>104</v>
      </c>
      <c r="BP89" s="6" t="s">
        <v>104</v>
      </c>
      <c r="BQ89" s="6" t="s">
        <v>104</v>
      </c>
      <c r="BR89" s="6" t="s">
        <v>104</v>
      </c>
      <c r="BS89" s="6" t="s">
        <v>104</v>
      </c>
      <c r="BT89" s="6" t="s">
        <v>104</v>
      </c>
      <c r="BU89" s="6" t="s">
        <v>104</v>
      </c>
      <c r="BV89" s="6" t="s">
        <v>104</v>
      </c>
      <c r="BW89" s="6" t="s">
        <v>104</v>
      </c>
      <c r="BX89" s="6" t="s">
        <v>104</v>
      </c>
      <c r="BY89" s="6" t="s">
        <v>104</v>
      </c>
      <c r="BZ89" s="6" t="s">
        <v>104</v>
      </c>
      <c r="CA89" s="6" t="s">
        <v>104</v>
      </c>
      <c r="CB89" s="6" t="s">
        <v>104</v>
      </c>
      <c r="CC89" s="6" t="s">
        <v>104</v>
      </c>
      <c r="CD89" s="6" t="s">
        <v>104</v>
      </c>
      <c r="CE89" s="6" t="s">
        <v>104</v>
      </c>
      <c r="CF89" s="6" t="s">
        <v>104</v>
      </c>
      <c r="CG89" s="6" t="s">
        <v>104</v>
      </c>
      <c r="CH89" s="6" t="s">
        <v>104</v>
      </c>
      <c r="CI89" s="6" t="s">
        <v>104</v>
      </c>
      <c r="CJ89" s="6" t="s">
        <v>104</v>
      </c>
      <c r="CK89" s="6" t="s">
        <v>104</v>
      </c>
      <c r="CL89" s="6" t="s">
        <v>104</v>
      </c>
      <c r="CM89" s="6" t="s">
        <v>104</v>
      </c>
      <c r="CN89" s="6" t="s">
        <v>104</v>
      </c>
    </row>
    <row r="90" spans="1:92" x14ac:dyDescent="0.35">
      <c r="A90" s="5" t="s">
        <v>110</v>
      </c>
      <c r="B90" s="7" t="s">
        <v>104</v>
      </c>
      <c r="C90" s="7" t="s">
        <v>104</v>
      </c>
      <c r="D90" s="7" t="s">
        <v>104</v>
      </c>
      <c r="E90" s="7" t="s">
        <v>104</v>
      </c>
      <c r="F90" s="7" t="s">
        <v>104</v>
      </c>
      <c r="G90" s="7" t="s">
        <v>104</v>
      </c>
      <c r="H90" s="7" t="s">
        <v>104</v>
      </c>
      <c r="I90" s="7" t="s">
        <v>104</v>
      </c>
      <c r="J90" s="7" t="s">
        <v>104</v>
      </c>
      <c r="K90" s="7" t="s">
        <v>104</v>
      </c>
      <c r="L90" s="6" t="s">
        <v>104</v>
      </c>
      <c r="M90" s="6" t="s">
        <v>104</v>
      </c>
      <c r="N90" s="6" t="s">
        <v>104</v>
      </c>
      <c r="O90" s="6" t="s">
        <v>104</v>
      </c>
      <c r="P90" s="6" t="s">
        <v>104</v>
      </c>
      <c r="Q90" s="6" t="s">
        <v>104</v>
      </c>
      <c r="R90" s="6" t="s">
        <v>104</v>
      </c>
      <c r="S90" s="6" t="s">
        <v>104</v>
      </c>
      <c r="T90" s="6" t="s">
        <v>104</v>
      </c>
      <c r="U90" s="6" t="s">
        <v>104</v>
      </c>
      <c r="V90" s="6" t="s">
        <v>104</v>
      </c>
      <c r="W90" s="7" t="s">
        <v>104</v>
      </c>
      <c r="X90" s="7" t="s">
        <v>104</v>
      </c>
      <c r="Y90" s="7" t="s">
        <v>104</v>
      </c>
      <c r="Z90" s="7" t="s">
        <v>104</v>
      </c>
      <c r="AA90" s="7" t="s">
        <v>104</v>
      </c>
      <c r="AB90" s="7" t="s">
        <v>104</v>
      </c>
      <c r="AC90" s="7" t="s">
        <v>104</v>
      </c>
      <c r="AD90" s="7" t="s">
        <v>104</v>
      </c>
      <c r="AE90" s="7" t="s">
        <v>104</v>
      </c>
      <c r="AF90" s="7" t="s">
        <v>104</v>
      </c>
      <c r="AG90" s="6" t="s">
        <v>104</v>
      </c>
      <c r="AH90" s="6" t="s">
        <v>104</v>
      </c>
      <c r="AI90" s="6" t="s">
        <v>104</v>
      </c>
      <c r="AJ90" s="6" t="s">
        <v>104</v>
      </c>
      <c r="AK90" s="7" t="s">
        <v>104</v>
      </c>
      <c r="AL90" s="7" t="s">
        <v>104</v>
      </c>
      <c r="AM90" s="7" t="s">
        <v>104</v>
      </c>
      <c r="AN90" s="7" t="s">
        <v>104</v>
      </c>
      <c r="AO90" s="7" t="s">
        <v>104</v>
      </c>
      <c r="AP90" s="7" t="s">
        <v>104</v>
      </c>
      <c r="AQ90" s="7" t="s">
        <v>104</v>
      </c>
      <c r="AR90" s="7" t="s">
        <v>104</v>
      </c>
      <c r="AS90" s="7" t="s">
        <v>104</v>
      </c>
      <c r="AT90" s="7" t="s">
        <v>104</v>
      </c>
      <c r="AU90" s="7" t="s">
        <v>104</v>
      </c>
      <c r="AV90" s="7" t="s">
        <v>104</v>
      </c>
      <c r="AW90" s="7" t="s">
        <v>104</v>
      </c>
      <c r="AX90" s="7" t="s">
        <v>104</v>
      </c>
      <c r="AY90" s="7" t="s">
        <v>104</v>
      </c>
      <c r="AZ90" s="7" t="s">
        <v>104</v>
      </c>
      <c r="BA90" s="7" t="s">
        <v>104</v>
      </c>
      <c r="BB90" s="7" t="s">
        <v>104</v>
      </c>
      <c r="BC90" s="7" t="s">
        <v>104</v>
      </c>
      <c r="BD90" s="7" t="s">
        <v>104</v>
      </c>
      <c r="BE90" s="7" t="s">
        <v>104</v>
      </c>
      <c r="BF90" s="7" t="s">
        <v>104</v>
      </c>
      <c r="BG90" s="7" t="s">
        <v>104</v>
      </c>
      <c r="BH90" s="7" t="s">
        <v>104</v>
      </c>
      <c r="BI90" s="7" t="s">
        <v>104</v>
      </c>
      <c r="BJ90" s="7" t="s">
        <v>104</v>
      </c>
      <c r="BK90" s="7" t="s">
        <v>104</v>
      </c>
      <c r="BL90" s="7" t="s">
        <v>104</v>
      </c>
      <c r="BM90" s="7" t="s">
        <v>104</v>
      </c>
      <c r="BN90" s="7" t="s">
        <v>104</v>
      </c>
      <c r="BO90" s="7" t="s">
        <v>104</v>
      </c>
      <c r="BP90" s="7" t="s">
        <v>104</v>
      </c>
      <c r="BQ90" s="7" t="s">
        <v>104</v>
      </c>
      <c r="BR90" s="7" t="s">
        <v>104</v>
      </c>
      <c r="BS90" s="7" t="s">
        <v>104</v>
      </c>
      <c r="BT90" s="7" t="s">
        <v>104</v>
      </c>
      <c r="BU90" s="7" t="s">
        <v>104</v>
      </c>
      <c r="BV90" s="7" t="s">
        <v>104</v>
      </c>
      <c r="BW90" s="7" t="s">
        <v>104</v>
      </c>
      <c r="BX90" s="7" t="s">
        <v>104</v>
      </c>
      <c r="BY90" s="7" t="s">
        <v>104</v>
      </c>
      <c r="BZ90" s="7" t="s">
        <v>104</v>
      </c>
      <c r="CA90" s="7" t="s">
        <v>104</v>
      </c>
      <c r="CB90" s="7" t="s">
        <v>104</v>
      </c>
      <c r="CC90" s="7" t="s">
        <v>104</v>
      </c>
      <c r="CD90" s="7" t="s">
        <v>104</v>
      </c>
      <c r="CE90" s="7" t="s">
        <v>104</v>
      </c>
      <c r="CF90" s="7" t="s">
        <v>104</v>
      </c>
      <c r="CG90" s="7" t="s">
        <v>104</v>
      </c>
      <c r="CH90" s="7" t="s">
        <v>104</v>
      </c>
      <c r="CI90" s="7" t="s">
        <v>104</v>
      </c>
      <c r="CJ90" s="7" t="s">
        <v>104</v>
      </c>
      <c r="CK90" s="7" t="s">
        <v>104</v>
      </c>
      <c r="CL90" s="7" t="s">
        <v>104</v>
      </c>
      <c r="CM90" s="7" t="s">
        <v>104</v>
      </c>
      <c r="CN90" s="7" t="s">
        <v>104</v>
      </c>
    </row>
    <row r="91" spans="1:92" x14ac:dyDescent="0.35">
      <c r="A91" s="5" t="s">
        <v>111</v>
      </c>
      <c r="B91" s="6" t="s">
        <v>104</v>
      </c>
      <c r="C91" s="6" t="s">
        <v>104</v>
      </c>
      <c r="D91" s="6" t="s">
        <v>104</v>
      </c>
      <c r="E91" s="6" t="s">
        <v>104</v>
      </c>
      <c r="F91" s="6" t="s">
        <v>104</v>
      </c>
      <c r="G91" s="6" t="s">
        <v>104</v>
      </c>
      <c r="H91" s="6" t="s">
        <v>104</v>
      </c>
      <c r="I91" s="6" t="s">
        <v>104</v>
      </c>
      <c r="J91" s="6" t="s">
        <v>104</v>
      </c>
      <c r="K91" s="6" t="s">
        <v>104</v>
      </c>
      <c r="L91" s="6" t="s">
        <v>104</v>
      </c>
      <c r="M91" s="6" t="s">
        <v>104</v>
      </c>
      <c r="N91" s="6" t="s">
        <v>104</v>
      </c>
      <c r="O91" s="6" t="s">
        <v>104</v>
      </c>
      <c r="P91" s="6" t="s">
        <v>104</v>
      </c>
      <c r="Q91" s="6" t="s">
        <v>104</v>
      </c>
      <c r="R91" s="6" t="s">
        <v>104</v>
      </c>
      <c r="S91" s="6" t="s">
        <v>104</v>
      </c>
      <c r="T91" s="6" t="s">
        <v>104</v>
      </c>
      <c r="U91" s="6" t="s">
        <v>104</v>
      </c>
      <c r="V91" s="6" t="s">
        <v>104</v>
      </c>
      <c r="W91" s="6" t="s">
        <v>104</v>
      </c>
      <c r="X91" s="6" t="s">
        <v>104</v>
      </c>
      <c r="Y91" s="6" t="s">
        <v>104</v>
      </c>
      <c r="Z91" s="6" t="s">
        <v>104</v>
      </c>
      <c r="AA91" s="6" t="s">
        <v>104</v>
      </c>
      <c r="AB91" s="6" t="s">
        <v>104</v>
      </c>
      <c r="AC91" s="6" t="s">
        <v>104</v>
      </c>
      <c r="AD91" s="6" t="s">
        <v>104</v>
      </c>
      <c r="AE91" s="6" t="s">
        <v>104</v>
      </c>
      <c r="AF91" s="6" t="s">
        <v>104</v>
      </c>
      <c r="AG91" s="6" t="s">
        <v>104</v>
      </c>
      <c r="AH91" s="6" t="s">
        <v>104</v>
      </c>
      <c r="AI91" s="6" t="s">
        <v>104</v>
      </c>
      <c r="AJ91" s="6" t="s">
        <v>104</v>
      </c>
      <c r="AK91" s="6" t="s">
        <v>104</v>
      </c>
      <c r="AL91" s="6" t="s">
        <v>104</v>
      </c>
      <c r="AM91" s="6" t="s">
        <v>104</v>
      </c>
      <c r="AN91" s="6" t="s">
        <v>104</v>
      </c>
      <c r="AO91" s="6" t="s">
        <v>104</v>
      </c>
      <c r="AP91" s="6" t="s">
        <v>104</v>
      </c>
      <c r="AQ91" s="6" t="s">
        <v>104</v>
      </c>
      <c r="AR91" s="6" t="s">
        <v>104</v>
      </c>
      <c r="AS91" s="6" t="s">
        <v>104</v>
      </c>
      <c r="AT91" s="6" t="s">
        <v>104</v>
      </c>
      <c r="AU91" s="6" t="s">
        <v>104</v>
      </c>
      <c r="AV91" s="6" t="s">
        <v>104</v>
      </c>
      <c r="AW91" s="6" t="s">
        <v>104</v>
      </c>
      <c r="AX91" s="6" t="s">
        <v>104</v>
      </c>
      <c r="AY91" s="6" t="s">
        <v>104</v>
      </c>
      <c r="AZ91" s="6" t="s">
        <v>104</v>
      </c>
      <c r="BA91" s="6" t="s">
        <v>104</v>
      </c>
      <c r="BB91" s="6" t="s">
        <v>104</v>
      </c>
      <c r="BC91" s="6" t="s">
        <v>104</v>
      </c>
      <c r="BD91" s="6" t="s">
        <v>104</v>
      </c>
      <c r="BE91" s="6" t="s">
        <v>104</v>
      </c>
      <c r="BF91" s="6" t="s">
        <v>104</v>
      </c>
      <c r="BG91" s="6" t="s">
        <v>104</v>
      </c>
      <c r="BH91" s="6" t="s">
        <v>104</v>
      </c>
      <c r="BI91" s="6" t="s">
        <v>104</v>
      </c>
      <c r="BJ91" s="6" t="s">
        <v>104</v>
      </c>
      <c r="BK91" s="6" t="s">
        <v>104</v>
      </c>
      <c r="BL91" s="6" t="s">
        <v>104</v>
      </c>
      <c r="BM91" s="6" t="s">
        <v>104</v>
      </c>
      <c r="BN91" s="6" t="s">
        <v>104</v>
      </c>
      <c r="BO91" s="6" t="s">
        <v>104</v>
      </c>
      <c r="BP91" s="6" t="s">
        <v>104</v>
      </c>
      <c r="BQ91" s="6" t="s">
        <v>104</v>
      </c>
      <c r="BR91" s="6" t="s">
        <v>104</v>
      </c>
      <c r="BS91" s="6" t="s">
        <v>104</v>
      </c>
      <c r="BT91" s="6" t="s">
        <v>104</v>
      </c>
      <c r="BU91" s="6" t="s">
        <v>104</v>
      </c>
      <c r="BV91" s="6" t="s">
        <v>104</v>
      </c>
      <c r="BW91" s="6" t="s">
        <v>104</v>
      </c>
      <c r="BX91" s="6" t="s">
        <v>104</v>
      </c>
      <c r="BY91" s="6" t="s">
        <v>104</v>
      </c>
      <c r="BZ91" s="6" t="s">
        <v>104</v>
      </c>
      <c r="CA91" s="6" t="s">
        <v>104</v>
      </c>
      <c r="CB91" s="6" t="s">
        <v>104</v>
      </c>
      <c r="CC91" s="6" t="s">
        <v>104</v>
      </c>
      <c r="CD91" s="6" t="s">
        <v>104</v>
      </c>
      <c r="CE91" s="6" t="s">
        <v>104</v>
      </c>
      <c r="CF91" s="6" t="s">
        <v>104</v>
      </c>
      <c r="CG91" s="6" t="s">
        <v>104</v>
      </c>
      <c r="CH91" s="6" t="s">
        <v>104</v>
      </c>
      <c r="CI91" s="6" t="s">
        <v>104</v>
      </c>
      <c r="CJ91" s="6" t="s">
        <v>104</v>
      </c>
      <c r="CK91" s="6" t="s">
        <v>104</v>
      </c>
      <c r="CL91" s="6" t="s">
        <v>104</v>
      </c>
      <c r="CM91" s="6" t="s">
        <v>104</v>
      </c>
      <c r="CN91" s="6" t="s">
        <v>104</v>
      </c>
    </row>
    <row r="92" spans="1:92" x14ac:dyDescent="0.35">
      <c r="A92" s="5" t="s">
        <v>112</v>
      </c>
      <c r="B92" s="7" t="s">
        <v>104</v>
      </c>
      <c r="C92" s="7" t="s">
        <v>104</v>
      </c>
      <c r="D92" s="7" t="s">
        <v>104</v>
      </c>
      <c r="E92" s="7" t="s">
        <v>104</v>
      </c>
      <c r="F92" s="7" t="s">
        <v>104</v>
      </c>
      <c r="G92" s="7" t="s">
        <v>104</v>
      </c>
      <c r="H92" s="7" t="s">
        <v>104</v>
      </c>
      <c r="I92" s="7" t="s">
        <v>104</v>
      </c>
      <c r="J92" s="7" t="s">
        <v>104</v>
      </c>
      <c r="K92" s="7" t="s">
        <v>104</v>
      </c>
      <c r="L92" s="6" t="s">
        <v>104</v>
      </c>
      <c r="M92" s="6" t="s">
        <v>104</v>
      </c>
      <c r="N92" s="6" t="s">
        <v>104</v>
      </c>
      <c r="O92" s="6" t="s">
        <v>104</v>
      </c>
      <c r="P92" s="6" t="s">
        <v>104</v>
      </c>
      <c r="Q92" s="6" t="s">
        <v>104</v>
      </c>
      <c r="R92" s="6" t="s">
        <v>104</v>
      </c>
      <c r="S92" s="6" t="s">
        <v>104</v>
      </c>
      <c r="T92" s="6" t="s">
        <v>104</v>
      </c>
      <c r="U92" s="6" t="s">
        <v>104</v>
      </c>
      <c r="V92" s="6" t="s">
        <v>104</v>
      </c>
      <c r="W92" s="7" t="s">
        <v>104</v>
      </c>
      <c r="X92" s="7" t="s">
        <v>104</v>
      </c>
      <c r="Y92" s="7" t="s">
        <v>104</v>
      </c>
      <c r="Z92" s="7" t="s">
        <v>104</v>
      </c>
      <c r="AA92" s="7" t="s">
        <v>104</v>
      </c>
      <c r="AB92" s="7" t="s">
        <v>104</v>
      </c>
      <c r="AC92" s="7" t="s">
        <v>104</v>
      </c>
      <c r="AD92" s="7" t="s">
        <v>104</v>
      </c>
      <c r="AE92" s="7" t="s">
        <v>104</v>
      </c>
      <c r="AF92" s="7" t="s">
        <v>104</v>
      </c>
      <c r="AG92" s="6" t="s">
        <v>104</v>
      </c>
      <c r="AH92" s="6" t="s">
        <v>104</v>
      </c>
      <c r="AI92" s="6" t="s">
        <v>104</v>
      </c>
      <c r="AJ92" s="6" t="s">
        <v>104</v>
      </c>
      <c r="AK92" s="7" t="s">
        <v>104</v>
      </c>
      <c r="AL92" s="7" t="s">
        <v>104</v>
      </c>
      <c r="AM92" s="7" t="s">
        <v>104</v>
      </c>
      <c r="AN92" s="7" t="s">
        <v>104</v>
      </c>
      <c r="AO92" s="7" t="s">
        <v>104</v>
      </c>
      <c r="AP92" s="7" t="s">
        <v>104</v>
      </c>
      <c r="AQ92" s="7" t="s">
        <v>104</v>
      </c>
      <c r="AR92" s="7" t="s">
        <v>104</v>
      </c>
      <c r="AS92" s="7" t="s">
        <v>104</v>
      </c>
      <c r="AT92" s="7" t="s">
        <v>104</v>
      </c>
      <c r="AU92" s="7" t="s">
        <v>104</v>
      </c>
      <c r="AV92" s="7" t="s">
        <v>104</v>
      </c>
      <c r="AW92" s="7" t="s">
        <v>104</v>
      </c>
      <c r="AX92" s="7" t="s">
        <v>104</v>
      </c>
      <c r="AY92" s="7" t="s">
        <v>104</v>
      </c>
      <c r="AZ92" s="7" t="s">
        <v>104</v>
      </c>
      <c r="BA92" s="7" t="s">
        <v>104</v>
      </c>
      <c r="BB92" s="7" t="s">
        <v>104</v>
      </c>
      <c r="BC92" s="7" t="s">
        <v>104</v>
      </c>
      <c r="BD92" s="7" t="s">
        <v>104</v>
      </c>
      <c r="BE92" s="7" t="s">
        <v>104</v>
      </c>
      <c r="BF92" s="7" t="s">
        <v>104</v>
      </c>
      <c r="BG92" s="7" t="s">
        <v>104</v>
      </c>
      <c r="BH92" s="7" t="s">
        <v>104</v>
      </c>
      <c r="BI92" s="7" t="s">
        <v>104</v>
      </c>
      <c r="BJ92" s="7" t="s">
        <v>104</v>
      </c>
      <c r="BK92" s="7" t="s">
        <v>104</v>
      </c>
      <c r="BL92" s="7" t="s">
        <v>104</v>
      </c>
      <c r="BM92" s="7" t="s">
        <v>104</v>
      </c>
      <c r="BN92" s="7" t="s">
        <v>104</v>
      </c>
      <c r="BO92" s="7" t="s">
        <v>104</v>
      </c>
      <c r="BP92" s="7" t="s">
        <v>104</v>
      </c>
      <c r="BQ92" s="7" t="s">
        <v>104</v>
      </c>
      <c r="BR92" s="7" t="s">
        <v>104</v>
      </c>
      <c r="BS92" s="7" t="s">
        <v>104</v>
      </c>
      <c r="BT92" s="7" t="s">
        <v>104</v>
      </c>
      <c r="BU92" s="7" t="s">
        <v>104</v>
      </c>
      <c r="BV92" s="7" t="s">
        <v>104</v>
      </c>
      <c r="BW92" s="7" t="s">
        <v>104</v>
      </c>
      <c r="BX92" s="7" t="s">
        <v>104</v>
      </c>
      <c r="BY92" s="7" t="s">
        <v>104</v>
      </c>
      <c r="BZ92" s="7" t="s">
        <v>104</v>
      </c>
      <c r="CA92" s="7" t="s">
        <v>104</v>
      </c>
      <c r="CB92" s="7" t="s">
        <v>104</v>
      </c>
      <c r="CC92" s="7" t="s">
        <v>104</v>
      </c>
      <c r="CD92" s="7" t="s">
        <v>104</v>
      </c>
      <c r="CE92" s="7" t="s">
        <v>104</v>
      </c>
      <c r="CF92" s="7" t="s">
        <v>104</v>
      </c>
      <c r="CG92" s="7" t="s">
        <v>104</v>
      </c>
      <c r="CH92" s="7" t="s">
        <v>104</v>
      </c>
      <c r="CI92" s="7" t="s">
        <v>104</v>
      </c>
      <c r="CJ92" s="7" t="s">
        <v>104</v>
      </c>
      <c r="CK92" s="7" t="s">
        <v>104</v>
      </c>
      <c r="CL92" s="7" t="s">
        <v>104</v>
      </c>
      <c r="CM92" s="7" t="s">
        <v>104</v>
      </c>
      <c r="CN92" s="7" t="s">
        <v>104</v>
      </c>
    </row>
    <row r="93" spans="1:92" x14ac:dyDescent="0.35">
      <c r="A93" s="5" t="s">
        <v>113</v>
      </c>
      <c r="B93" s="6" t="s">
        <v>104</v>
      </c>
      <c r="C93" s="6" t="s">
        <v>104</v>
      </c>
      <c r="D93" s="6" t="s">
        <v>104</v>
      </c>
      <c r="E93" s="6" t="s">
        <v>104</v>
      </c>
      <c r="F93" s="6" t="s">
        <v>104</v>
      </c>
      <c r="G93" s="6" t="s">
        <v>104</v>
      </c>
      <c r="H93" s="6" t="s">
        <v>104</v>
      </c>
      <c r="I93" s="6" t="s">
        <v>104</v>
      </c>
      <c r="J93" s="6" t="s">
        <v>104</v>
      </c>
      <c r="K93" s="6" t="s">
        <v>104</v>
      </c>
      <c r="L93" s="6" t="s">
        <v>104</v>
      </c>
      <c r="M93" s="6" t="s">
        <v>104</v>
      </c>
      <c r="N93" s="6" t="s">
        <v>104</v>
      </c>
      <c r="O93" s="6" t="s">
        <v>104</v>
      </c>
      <c r="P93" s="6" t="s">
        <v>104</v>
      </c>
      <c r="Q93" s="6" t="s">
        <v>104</v>
      </c>
      <c r="R93" s="6" t="s">
        <v>104</v>
      </c>
      <c r="S93" s="6" t="s">
        <v>104</v>
      </c>
      <c r="T93" s="6" t="s">
        <v>104</v>
      </c>
      <c r="U93" s="6" t="s">
        <v>104</v>
      </c>
      <c r="V93" s="6" t="s">
        <v>104</v>
      </c>
      <c r="W93" s="6" t="s">
        <v>104</v>
      </c>
      <c r="X93" s="6" t="s">
        <v>104</v>
      </c>
      <c r="Y93" s="6" t="s">
        <v>104</v>
      </c>
      <c r="Z93" s="6" t="s">
        <v>104</v>
      </c>
      <c r="AA93" s="6" t="s">
        <v>104</v>
      </c>
      <c r="AB93" s="6" t="s">
        <v>104</v>
      </c>
      <c r="AC93" s="6" t="s">
        <v>104</v>
      </c>
      <c r="AD93" s="6" t="s">
        <v>104</v>
      </c>
      <c r="AE93" s="6" t="s">
        <v>104</v>
      </c>
      <c r="AF93" s="6" t="s">
        <v>104</v>
      </c>
      <c r="AG93" s="6" t="s">
        <v>104</v>
      </c>
      <c r="AH93" s="6" t="s">
        <v>104</v>
      </c>
      <c r="AI93" s="6" t="s">
        <v>104</v>
      </c>
      <c r="AJ93" s="6" t="s">
        <v>104</v>
      </c>
      <c r="AK93" s="6" t="s">
        <v>104</v>
      </c>
      <c r="AL93" s="6" t="s">
        <v>104</v>
      </c>
      <c r="AM93" s="6" t="s">
        <v>104</v>
      </c>
      <c r="AN93" s="6" t="s">
        <v>104</v>
      </c>
      <c r="AO93" s="6" t="s">
        <v>104</v>
      </c>
      <c r="AP93" s="6" t="s">
        <v>104</v>
      </c>
      <c r="AQ93" s="6" t="s">
        <v>104</v>
      </c>
      <c r="AR93" s="6" t="s">
        <v>104</v>
      </c>
      <c r="AS93" s="6" t="s">
        <v>104</v>
      </c>
      <c r="AT93" s="6" t="s">
        <v>104</v>
      </c>
      <c r="AU93" s="6" t="s">
        <v>104</v>
      </c>
      <c r="AV93" s="6" t="s">
        <v>104</v>
      </c>
      <c r="AW93" s="6" t="s">
        <v>104</v>
      </c>
      <c r="AX93" s="6" t="s">
        <v>104</v>
      </c>
      <c r="AY93" s="6" t="s">
        <v>104</v>
      </c>
      <c r="AZ93" s="6" t="s">
        <v>104</v>
      </c>
      <c r="BA93" s="6" t="s">
        <v>104</v>
      </c>
      <c r="BB93" s="6" t="s">
        <v>104</v>
      </c>
      <c r="BC93" s="6" t="s">
        <v>104</v>
      </c>
      <c r="BD93" s="6" t="s">
        <v>104</v>
      </c>
      <c r="BE93" s="6" t="s">
        <v>104</v>
      </c>
      <c r="BF93" s="6" t="s">
        <v>104</v>
      </c>
      <c r="BG93" s="6" t="s">
        <v>104</v>
      </c>
      <c r="BH93" s="6" t="s">
        <v>104</v>
      </c>
      <c r="BI93" s="6" t="s">
        <v>104</v>
      </c>
      <c r="BJ93" s="6" t="s">
        <v>104</v>
      </c>
      <c r="BK93" s="6" t="s">
        <v>104</v>
      </c>
      <c r="BL93" s="6" t="s">
        <v>104</v>
      </c>
      <c r="BM93" s="6" t="s">
        <v>104</v>
      </c>
      <c r="BN93" s="6" t="s">
        <v>104</v>
      </c>
      <c r="BO93" s="6" t="s">
        <v>104</v>
      </c>
      <c r="BP93" s="6" t="s">
        <v>104</v>
      </c>
      <c r="BQ93" s="6" t="s">
        <v>104</v>
      </c>
      <c r="BR93" s="6" t="s">
        <v>104</v>
      </c>
      <c r="BS93" s="6" t="s">
        <v>104</v>
      </c>
      <c r="BT93" s="6" t="s">
        <v>104</v>
      </c>
      <c r="BU93" s="6" t="s">
        <v>104</v>
      </c>
      <c r="BV93" s="6" t="s">
        <v>104</v>
      </c>
      <c r="BW93" s="6" t="s">
        <v>104</v>
      </c>
      <c r="BX93" s="6" t="s">
        <v>104</v>
      </c>
      <c r="BY93" s="6" t="s">
        <v>104</v>
      </c>
      <c r="BZ93" s="6" t="s">
        <v>104</v>
      </c>
      <c r="CA93" s="6" t="s">
        <v>104</v>
      </c>
      <c r="CB93" s="6" t="s">
        <v>104</v>
      </c>
      <c r="CC93" s="6" t="s">
        <v>104</v>
      </c>
      <c r="CD93" s="6" t="s">
        <v>104</v>
      </c>
      <c r="CE93" s="6" t="s">
        <v>104</v>
      </c>
      <c r="CF93" s="6" t="s">
        <v>104</v>
      </c>
      <c r="CG93" s="6" t="s">
        <v>104</v>
      </c>
      <c r="CH93" s="6" t="s">
        <v>104</v>
      </c>
      <c r="CI93" s="6" t="s">
        <v>104</v>
      </c>
      <c r="CJ93" s="6" t="s">
        <v>104</v>
      </c>
      <c r="CK93" s="6" t="s">
        <v>104</v>
      </c>
      <c r="CL93" s="6" t="s">
        <v>104</v>
      </c>
      <c r="CM93" s="6" t="s">
        <v>104</v>
      </c>
      <c r="CN93" s="6" t="s">
        <v>104</v>
      </c>
    </row>
    <row r="94" spans="1:92" x14ac:dyDescent="0.35">
      <c r="A94" s="5" t="s">
        <v>114</v>
      </c>
      <c r="B94" s="7" t="s">
        <v>104</v>
      </c>
      <c r="C94" s="7" t="s">
        <v>104</v>
      </c>
      <c r="D94" s="7" t="s">
        <v>104</v>
      </c>
      <c r="E94" s="7" t="s">
        <v>104</v>
      </c>
      <c r="F94" s="7" t="s">
        <v>104</v>
      </c>
      <c r="G94" s="7" t="s">
        <v>104</v>
      </c>
      <c r="H94" s="7" t="s">
        <v>104</v>
      </c>
      <c r="I94" s="7" t="s">
        <v>104</v>
      </c>
      <c r="J94" s="7" t="s">
        <v>104</v>
      </c>
      <c r="K94" s="7" t="s">
        <v>104</v>
      </c>
      <c r="L94" s="6" t="s">
        <v>104</v>
      </c>
      <c r="M94" s="6" t="s">
        <v>104</v>
      </c>
      <c r="N94" s="6" t="s">
        <v>104</v>
      </c>
      <c r="O94" s="6" t="s">
        <v>104</v>
      </c>
      <c r="P94" s="6" t="s">
        <v>104</v>
      </c>
      <c r="Q94" s="6" t="s">
        <v>104</v>
      </c>
      <c r="R94" s="6" t="s">
        <v>104</v>
      </c>
      <c r="S94" s="6" t="s">
        <v>104</v>
      </c>
      <c r="T94" s="6" t="s">
        <v>104</v>
      </c>
      <c r="U94" s="6" t="s">
        <v>104</v>
      </c>
      <c r="V94" s="6" t="s">
        <v>104</v>
      </c>
      <c r="W94" s="7" t="s">
        <v>104</v>
      </c>
      <c r="X94" s="7" t="s">
        <v>104</v>
      </c>
      <c r="Y94" s="7" t="s">
        <v>104</v>
      </c>
      <c r="Z94" s="7" t="s">
        <v>104</v>
      </c>
      <c r="AA94" s="7" t="s">
        <v>104</v>
      </c>
      <c r="AB94" s="7" t="s">
        <v>104</v>
      </c>
      <c r="AC94" s="7" t="s">
        <v>104</v>
      </c>
      <c r="AD94" s="7" t="s">
        <v>104</v>
      </c>
      <c r="AE94" s="7" t="s">
        <v>104</v>
      </c>
      <c r="AF94" s="7" t="s">
        <v>104</v>
      </c>
      <c r="AG94" s="6" t="s">
        <v>104</v>
      </c>
      <c r="AH94" s="6" t="s">
        <v>104</v>
      </c>
      <c r="AI94" s="6" t="s">
        <v>104</v>
      </c>
      <c r="AJ94" s="6" t="s">
        <v>104</v>
      </c>
      <c r="AK94" s="7" t="s">
        <v>104</v>
      </c>
      <c r="AL94" s="7" t="s">
        <v>104</v>
      </c>
      <c r="AM94" s="7" t="s">
        <v>104</v>
      </c>
      <c r="AN94" s="7" t="s">
        <v>104</v>
      </c>
      <c r="AO94" s="7" t="s">
        <v>104</v>
      </c>
      <c r="AP94" s="7" t="s">
        <v>104</v>
      </c>
      <c r="AQ94" s="7" t="s">
        <v>104</v>
      </c>
      <c r="AR94" s="7" t="s">
        <v>104</v>
      </c>
      <c r="AS94" s="7" t="s">
        <v>104</v>
      </c>
      <c r="AT94" s="7" t="s">
        <v>104</v>
      </c>
      <c r="AU94" s="7" t="s">
        <v>104</v>
      </c>
      <c r="AV94" s="7" t="s">
        <v>104</v>
      </c>
      <c r="AW94" s="7" t="s">
        <v>104</v>
      </c>
      <c r="AX94" s="7" t="s">
        <v>104</v>
      </c>
      <c r="AY94" s="7" t="s">
        <v>104</v>
      </c>
      <c r="AZ94" s="7" t="s">
        <v>104</v>
      </c>
      <c r="BA94" s="7" t="s">
        <v>104</v>
      </c>
      <c r="BB94" s="7" t="s">
        <v>104</v>
      </c>
      <c r="BC94" s="7" t="s">
        <v>104</v>
      </c>
      <c r="BD94" s="7" t="s">
        <v>104</v>
      </c>
      <c r="BE94" s="7" t="s">
        <v>104</v>
      </c>
      <c r="BF94" s="7" t="s">
        <v>104</v>
      </c>
      <c r="BG94" s="7" t="s">
        <v>104</v>
      </c>
      <c r="BH94" s="7" t="s">
        <v>104</v>
      </c>
      <c r="BI94" s="7" t="s">
        <v>104</v>
      </c>
      <c r="BJ94" s="7" t="s">
        <v>104</v>
      </c>
      <c r="BK94" s="7" t="s">
        <v>104</v>
      </c>
      <c r="BL94" s="7" t="s">
        <v>104</v>
      </c>
      <c r="BM94" s="7" t="s">
        <v>104</v>
      </c>
      <c r="BN94" s="7" t="s">
        <v>104</v>
      </c>
      <c r="BO94" s="7" t="s">
        <v>104</v>
      </c>
      <c r="BP94" s="7" t="s">
        <v>104</v>
      </c>
      <c r="BQ94" s="7" t="s">
        <v>104</v>
      </c>
      <c r="BR94" s="7" t="s">
        <v>104</v>
      </c>
      <c r="BS94" s="7" t="s">
        <v>104</v>
      </c>
      <c r="BT94" s="7" t="s">
        <v>104</v>
      </c>
      <c r="BU94" s="7" t="s">
        <v>104</v>
      </c>
      <c r="BV94" s="7" t="s">
        <v>104</v>
      </c>
      <c r="BW94" s="7" t="s">
        <v>104</v>
      </c>
      <c r="BX94" s="7" t="s">
        <v>104</v>
      </c>
      <c r="BY94" s="7" t="s">
        <v>104</v>
      </c>
      <c r="BZ94" s="7" t="s">
        <v>104</v>
      </c>
      <c r="CA94" s="7" t="s">
        <v>104</v>
      </c>
      <c r="CB94" s="7" t="s">
        <v>104</v>
      </c>
      <c r="CC94" s="7" t="s">
        <v>104</v>
      </c>
      <c r="CD94" s="7" t="s">
        <v>104</v>
      </c>
      <c r="CE94" s="7" t="s">
        <v>104</v>
      </c>
      <c r="CF94" s="7" t="s">
        <v>104</v>
      </c>
      <c r="CG94" s="7" t="s">
        <v>104</v>
      </c>
      <c r="CH94" s="7" t="s">
        <v>104</v>
      </c>
      <c r="CI94" s="7" t="s">
        <v>104</v>
      </c>
      <c r="CJ94" s="7" t="s">
        <v>104</v>
      </c>
      <c r="CK94" s="7" t="s">
        <v>104</v>
      </c>
      <c r="CL94" s="7" t="s">
        <v>104</v>
      </c>
      <c r="CM94" s="7" t="s">
        <v>104</v>
      </c>
      <c r="CN94" s="7" t="s">
        <v>104</v>
      </c>
    </row>
    <row r="95" spans="1:92" x14ac:dyDescent="0.35">
      <c r="A95" s="5" t="s">
        <v>115</v>
      </c>
      <c r="B95" s="6" t="s">
        <v>104</v>
      </c>
      <c r="C95" s="6" t="s">
        <v>104</v>
      </c>
      <c r="D95" s="6" t="s">
        <v>104</v>
      </c>
      <c r="E95" s="6" t="s">
        <v>104</v>
      </c>
      <c r="F95" s="6" t="s">
        <v>104</v>
      </c>
      <c r="G95" s="6" t="s">
        <v>104</v>
      </c>
      <c r="H95" s="6" t="s">
        <v>104</v>
      </c>
      <c r="I95" s="6" t="s">
        <v>104</v>
      </c>
      <c r="J95" s="6" t="s">
        <v>104</v>
      </c>
      <c r="K95" s="6" t="s">
        <v>104</v>
      </c>
      <c r="L95" s="6" t="s">
        <v>104</v>
      </c>
      <c r="M95" s="6" t="s">
        <v>104</v>
      </c>
      <c r="N95" s="6" t="s">
        <v>104</v>
      </c>
      <c r="O95" s="6" t="s">
        <v>104</v>
      </c>
      <c r="P95" s="6" t="s">
        <v>104</v>
      </c>
      <c r="Q95" s="6" t="s">
        <v>104</v>
      </c>
      <c r="R95" s="6" t="s">
        <v>104</v>
      </c>
      <c r="S95" s="6" t="s">
        <v>104</v>
      </c>
      <c r="T95" s="6" t="s">
        <v>104</v>
      </c>
      <c r="U95" s="6" t="s">
        <v>104</v>
      </c>
      <c r="V95" s="6" t="s">
        <v>104</v>
      </c>
      <c r="W95" s="6" t="s">
        <v>104</v>
      </c>
      <c r="X95" s="6" t="s">
        <v>104</v>
      </c>
      <c r="Y95" s="6" t="s">
        <v>104</v>
      </c>
      <c r="Z95" s="6" t="s">
        <v>104</v>
      </c>
      <c r="AA95" s="6" t="s">
        <v>104</v>
      </c>
      <c r="AB95" s="6" t="s">
        <v>104</v>
      </c>
      <c r="AC95" s="6" t="s">
        <v>104</v>
      </c>
      <c r="AD95" s="6" t="s">
        <v>104</v>
      </c>
      <c r="AE95" s="6" t="s">
        <v>104</v>
      </c>
      <c r="AF95" s="6" t="s">
        <v>104</v>
      </c>
      <c r="AG95" s="6" t="s">
        <v>104</v>
      </c>
      <c r="AH95" s="6" t="s">
        <v>104</v>
      </c>
      <c r="AI95" s="6" t="s">
        <v>104</v>
      </c>
      <c r="AJ95" s="6" t="s">
        <v>104</v>
      </c>
      <c r="AK95" s="6" t="s">
        <v>104</v>
      </c>
      <c r="AL95" s="6" t="s">
        <v>104</v>
      </c>
      <c r="AM95" s="6" t="s">
        <v>104</v>
      </c>
      <c r="AN95" s="6" t="s">
        <v>104</v>
      </c>
      <c r="AO95" s="6" t="s">
        <v>104</v>
      </c>
      <c r="AP95" s="6" t="s">
        <v>104</v>
      </c>
      <c r="AQ95" s="6" t="s">
        <v>104</v>
      </c>
      <c r="AR95" s="6" t="s">
        <v>104</v>
      </c>
      <c r="AS95" s="6" t="s">
        <v>104</v>
      </c>
      <c r="AT95" s="6" t="s">
        <v>104</v>
      </c>
      <c r="AU95" s="6" t="s">
        <v>104</v>
      </c>
      <c r="AV95" s="6" t="s">
        <v>104</v>
      </c>
      <c r="AW95" s="6" t="s">
        <v>104</v>
      </c>
      <c r="AX95" s="6" t="s">
        <v>104</v>
      </c>
      <c r="AY95" s="6" t="s">
        <v>104</v>
      </c>
      <c r="AZ95" s="6" t="s">
        <v>104</v>
      </c>
      <c r="BA95" s="6" t="s">
        <v>104</v>
      </c>
      <c r="BB95" s="6" t="s">
        <v>104</v>
      </c>
      <c r="BC95" s="6" t="s">
        <v>104</v>
      </c>
      <c r="BD95" s="6" t="s">
        <v>104</v>
      </c>
      <c r="BE95" s="6" t="s">
        <v>104</v>
      </c>
      <c r="BF95" s="6" t="s">
        <v>104</v>
      </c>
      <c r="BG95" s="6" t="s">
        <v>104</v>
      </c>
      <c r="BH95" s="6" t="s">
        <v>104</v>
      </c>
      <c r="BI95" s="6" t="s">
        <v>104</v>
      </c>
      <c r="BJ95" s="6" t="s">
        <v>104</v>
      </c>
      <c r="BK95" s="6" t="s">
        <v>104</v>
      </c>
      <c r="BL95" s="6" t="s">
        <v>104</v>
      </c>
      <c r="BM95" s="6" t="s">
        <v>104</v>
      </c>
      <c r="BN95" s="6" t="s">
        <v>104</v>
      </c>
      <c r="BO95" s="6" t="s">
        <v>104</v>
      </c>
      <c r="BP95" s="6" t="s">
        <v>104</v>
      </c>
      <c r="BQ95" s="6" t="s">
        <v>104</v>
      </c>
      <c r="BR95" s="6" t="s">
        <v>104</v>
      </c>
      <c r="BS95" s="6" t="s">
        <v>104</v>
      </c>
      <c r="BT95" s="6" t="s">
        <v>104</v>
      </c>
      <c r="BU95" s="6" t="s">
        <v>104</v>
      </c>
      <c r="BV95" s="6" t="s">
        <v>104</v>
      </c>
      <c r="BW95" s="6" t="s">
        <v>104</v>
      </c>
      <c r="BX95" s="6" t="s">
        <v>104</v>
      </c>
      <c r="BY95" s="6" t="s">
        <v>104</v>
      </c>
      <c r="BZ95" s="6" t="s">
        <v>104</v>
      </c>
      <c r="CA95" s="6" t="s">
        <v>104</v>
      </c>
      <c r="CB95" s="6" t="s">
        <v>104</v>
      </c>
      <c r="CC95" s="6" t="s">
        <v>104</v>
      </c>
      <c r="CD95" s="6" t="s">
        <v>104</v>
      </c>
      <c r="CE95" s="6" t="s">
        <v>104</v>
      </c>
      <c r="CF95" s="6" t="s">
        <v>104</v>
      </c>
      <c r="CG95" s="6" t="s">
        <v>104</v>
      </c>
      <c r="CH95" s="6" t="s">
        <v>104</v>
      </c>
      <c r="CI95" s="6" t="s">
        <v>104</v>
      </c>
      <c r="CJ95" s="6" t="s">
        <v>104</v>
      </c>
      <c r="CK95" s="6" t="s">
        <v>104</v>
      </c>
      <c r="CL95" s="6" t="s">
        <v>104</v>
      </c>
      <c r="CM95" s="6" t="s">
        <v>104</v>
      </c>
      <c r="CN95" s="6" t="s">
        <v>104</v>
      </c>
    </row>
    <row r="96" spans="1:92" x14ac:dyDescent="0.35">
      <c r="A96" s="5" t="s">
        <v>116</v>
      </c>
      <c r="B96" s="7" t="s">
        <v>104</v>
      </c>
      <c r="C96" s="7" t="s">
        <v>104</v>
      </c>
      <c r="D96" s="7" t="s">
        <v>104</v>
      </c>
      <c r="E96" s="7" t="s">
        <v>104</v>
      </c>
      <c r="F96" s="7" t="s">
        <v>104</v>
      </c>
      <c r="G96" s="7" t="s">
        <v>104</v>
      </c>
      <c r="H96" s="7" t="s">
        <v>104</v>
      </c>
      <c r="I96" s="7" t="s">
        <v>104</v>
      </c>
      <c r="J96" s="7" t="s">
        <v>104</v>
      </c>
      <c r="K96" s="7" t="s">
        <v>104</v>
      </c>
      <c r="L96" s="6" t="s">
        <v>104</v>
      </c>
      <c r="M96" s="6" t="s">
        <v>104</v>
      </c>
      <c r="N96" s="6" t="s">
        <v>104</v>
      </c>
      <c r="O96" s="6" t="s">
        <v>104</v>
      </c>
      <c r="P96" s="6" t="s">
        <v>104</v>
      </c>
      <c r="Q96" s="6" t="s">
        <v>104</v>
      </c>
      <c r="R96" s="6" t="s">
        <v>104</v>
      </c>
      <c r="S96" s="6" t="s">
        <v>104</v>
      </c>
      <c r="T96" s="6" t="s">
        <v>104</v>
      </c>
      <c r="U96" s="6" t="s">
        <v>104</v>
      </c>
      <c r="V96" s="6" t="s">
        <v>104</v>
      </c>
      <c r="W96" s="7" t="s">
        <v>104</v>
      </c>
      <c r="X96" s="7" t="s">
        <v>104</v>
      </c>
      <c r="Y96" s="7" t="s">
        <v>104</v>
      </c>
      <c r="Z96" s="7" t="s">
        <v>104</v>
      </c>
      <c r="AA96" s="7" t="s">
        <v>104</v>
      </c>
      <c r="AB96" s="7" t="s">
        <v>104</v>
      </c>
      <c r="AC96" s="7" t="s">
        <v>104</v>
      </c>
      <c r="AD96" s="7" t="s">
        <v>104</v>
      </c>
      <c r="AE96" s="7" t="s">
        <v>104</v>
      </c>
      <c r="AF96" s="7" t="s">
        <v>104</v>
      </c>
      <c r="AG96" s="6" t="s">
        <v>104</v>
      </c>
      <c r="AH96" s="6" t="s">
        <v>104</v>
      </c>
      <c r="AI96" s="6" t="s">
        <v>104</v>
      </c>
      <c r="AJ96" s="6" t="s">
        <v>104</v>
      </c>
      <c r="AK96" s="7" t="s">
        <v>104</v>
      </c>
      <c r="AL96" s="7" t="s">
        <v>104</v>
      </c>
      <c r="AM96" s="7" t="s">
        <v>104</v>
      </c>
      <c r="AN96" s="7" t="s">
        <v>104</v>
      </c>
      <c r="AO96" s="7" t="s">
        <v>104</v>
      </c>
      <c r="AP96" s="7" t="s">
        <v>104</v>
      </c>
      <c r="AQ96" s="7" t="s">
        <v>104</v>
      </c>
      <c r="AR96" s="7" t="s">
        <v>104</v>
      </c>
      <c r="AS96" s="7" t="s">
        <v>104</v>
      </c>
      <c r="AT96" s="7" t="s">
        <v>104</v>
      </c>
      <c r="AU96" s="7" t="s">
        <v>104</v>
      </c>
      <c r="AV96" s="7" t="s">
        <v>104</v>
      </c>
      <c r="AW96" s="7" t="s">
        <v>104</v>
      </c>
      <c r="AX96" s="7" t="s">
        <v>104</v>
      </c>
      <c r="AY96" s="7" t="s">
        <v>104</v>
      </c>
      <c r="AZ96" s="7" t="s">
        <v>104</v>
      </c>
      <c r="BA96" s="7" t="s">
        <v>104</v>
      </c>
      <c r="BB96" s="7" t="s">
        <v>104</v>
      </c>
      <c r="BC96" s="7" t="s">
        <v>104</v>
      </c>
      <c r="BD96" s="7" t="s">
        <v>104</v>
      </c>
      <c r="BE96" s="7" t="s">
        <v>104</v>
      </c>
      <c r="BF96" s="7" t="s">
        <v>104</v>
      </c>
      <c r="BG96" s="7" t="s">
        <v>104</v>
      </c>
      <c r="BH96" s="7" t="s">
        <v>104</v>
      </c>
      <c r="BI96" s="7" t="s">
        <v>104</v>
      </c>
      <c r="BJ96" s="7" t="s">
        <v>104</v>
      </c>
      <c r="BK96" s="7" t="s">
        <v>104</v>
      </c>
      <c r="BL96" s="7" t="s">
        <v>104</v>
      </c>
      <c r="BM96" s="7" t="s">
        <v>104</v>
      </c>
      <c r="BN96" s="7" t="s">
        <v>104</v>
      </c>
      <c r="BO96" s="7" t="s">
        <v>104</v>
      </c>
      <c r="BP96" s="7" t="s">
        <v>104</v>
      </c>
      <c r="BQ96" s="7" t="s">
        <v>104</v>
      </c>
      <c r="BR96" s="7" t="s">
        <v>104</v>
      </c>
      <c r="BS96" s="7" t="s">
        <v>104</v>
      </c>
      <c r="BT96" s="7" t="s">
        <v>104</v>
      </c>
      <c r="BU96" s="7" t="s">
        <v>104</v>
      </c>
      <c r="BV96" s="7" t="s">
        <v>104</v>
      </c>
      <c r="BW96" s="7" t="s">
        <v>104</v>
      </c>
      <c r="BX96" s="7" t="s">
        <v>104</v>
      </c>
      <c r="BY96" s="7" t="s">
        <v>104</v>
      </c>
      <c r="BZ96" s="7" t="s">
        <v>104</v>
      </c>
      <c r="CA96" s="7" t="s">
        <v>104</v>
      </c>
      <c r="CB96" s="7" t="s">
        <v>104</v>
      </c>
      <c r="CC96" s="7" t="s">
        <v>104</v>
      </c>
      <c r="CD96" s="7" t="s">
        <v>104</v>
      </c>
      <c r="CE96" s="7" t="s">
        <v>104</v>
      </c>
      <c r="CF96" s="7" t="s">
        <v>104</v>
      </c>
      <c r="CG96" s="7" t="s">
        <v>104</v>
      </c>
      <c r="CH96" s="7" t="s">
        <v>104</v>
      </c>
      <c r="CI96" s="7" t="s">
        <v>104</v>
      </c>
      <c r="CJ96" s="7" t="s">
        <v>104</v>
      </c>
      <c r="CK96" s="7" t="s">
        <v>104</v>
      </c>
      <c r="CL96" s="7" t="s">
        <v>104</v>
      </c>
      <c r="CM96" s="7" t="s">
        <v>104</v>
      </c>
      <c r="CN96" s="7" t="s">
        <v>104</v>
      </c>
    </row>
    <row r="97" spans="1:92" x14ac:dyDescent="0.35">
      <c r="A97" s="5" t="s">
        <v>117</v>
      </c>
      <c r="B97" s="6" t="s">
        <v>104</v>
      </c>
      <c r="C97" s="6" t="s">
        <v>104</v>
      </c>
      <c r="D97" s="6" t="s">
        <v>104</v>
      </c>
      <c r="E97" s="6" t="s">
        <v>104</v>
      </c>
      <c r="F97" s="6" t="s">
        <v>104</v>
      </c>
      <c r="G97" s="6" t="s">
        <v>104</v>
      </c>
      <c r="H97" s="6" t="s">
        <v>104</v>
      </c>
      <c r="I97" s="6" t="s">
        <v>104</v>
      </c>
      <c r="J97" s="6" t="s">
        <v>104</v>
      </c>
      <c r="K97" s="6" t="s">
        <v>104</v>
      </c>
      <c r="L97" s="6" t="s">
        <v>104</v>
      </c>
      <c r="M97" s="6" t="s">
        <v>104</v>
      </c>
      <c r="N97" s="6" t="s">
        <v>104</v>
      </c>
      <c r="O97" s="6" t="s">
        <v>104</v>
      </c>
      <c r="P97" s="6" t="s">
        <v>104</v>
      </c>
      <c r="Q97" s="6" t="s">
        <v>104</v>
      </c>
      <c r="R97" s="6" t="s">
        <v>104</v>
      </c>
      <c r="S97" s="6" t="s">
        <v>104</v>
      </c>
      <c r="T97" s="6" t="s">
        <v>104</v>
      </c>
      <c r="U97" s="6" t="s">
        <v>104</v>
      </c>
      <c r="V97" s="6" t="s">
        <v>104</v>
      </c>
      <c r="W97" s="6" t="s">
        <v>104</v>
      </c>
      <c r="X97" s="6" t="s">
        <v>104</v>
      </c>
      <c r="Y97" s="6" t="s">
        <v>104</v>
      </c>
      <c r="Z97" s="6" t="s">
        <v>104</v>
      </c>
      <c r="AA97" s="6" t="s">
        <v>104</v>
      </c>
      <c r="AB97" s="6" t="s">
        <v>104</v>
      </c>
      <c r="AC97" s="6" t="s">
        <v>104</v>
      </c>
      <c r="AD97" s="6" t="s">
        <v>104</v>
      </c>
      <c r="AE97" s="6" t="s">
        <v>104</v>
      </c>
      <c r="AF97" s="6" t="s">
        <v>104</v>
      </c>
      <c r="AG97" s="6" t="s">
        <v>104</v>
      </c>
      <c r="AH97" s="6" t="s">
        <v>104</v>
      </c>
      <c r="AI97" s="6" t="s">
        <v>104</v>
      </c>
      <c r="AJ97" s="6" t="s">
        <v>104</v>
      </c>
      <c r="AK97" s="6" t="s">
        <v>104</v>
      </c>
      <c r="AL97" s="6" t="s">
        <v>104</v>
      </c>
      <c r="AM97" s="6" t="s">
        <v>104</v>
      </c>
      <c r="AN97" s="6" t="s">
        <v>104</v>
      </c>
      <c r="AO97" s="6" t="s">
        <v>104</v>
      </c>
      <c r="AP97" s="6" t="s">
        <v>104</v>
      </c>
      <c r="AQ97" s="6" t="s">
        <v>104</v>
      </c>
      <c r="AR97" s="6" t="s">
        <v>104</v>
      </c>
      <c r="AS97" s="6" t="s">
        <v>104</v>
      </c>
      <c r="AT97" s="6" t="s">
        <v>104</v>
      </c>
      <c r="AU97" s="6" t="s">
        <v>104</v>
      </c>
      <c r="AV97" s="6" t="s">
        <v>104</v>
      </c>
      <c r="AW97" s="6" t="s">
        <v>104</v>
      </c>
      <c r="AX97" s="6" t="s">
        <v>104</v>
      </c>
      <c r="AY97" s="6" t="s">
        <v>104</v>
      </c>
      <c r="AZ97" s="6" t="s">
        <v>104</v>
      </c>
      <c r="BA97" s="6" t="s">
        <v>104</v>
      </c>
      <c r="BB97" s="6" t="s">
        <v>104</v>
      </c>
      <c r="BC97" s="6" t="s">
        <v>104</v>
      </c>
      <c r="BD97" s="6" t="s">
        <v>104</v>
      </c>
      <c r="BE97" s="6" t="s">
        <v>104</v>
      </c>
      <c r="BF97" s="6" t="s">
        <v>104</v>
      </c>
      <c r="BG97" s="6" t="s">
        <v>104</v>
      </c>
      <c r="BH97" s="6" t="s">
        <v>104</v>
      </c>
      <c r="BI97" s="6" t="s">
        <v>104</v>
      </c>
      <c r="BJ97" s="6" t="s">
        <v>104</v>
      </c>
      <c r="BK97" s="6" t="s">
        <v>104</v>
      </c>
      <c r="BL97" s="6" t="s">
        <v>104</v>
      </c>
      <c r="BM97" s="6" t="s">
        <v>104</v>
      </c>
      <c r="BN97" s="6" t="s">
        <v>104</v>
      </c>
      <c r="BO97" s="6" t="s">
        <v>104</v>
      </c>
      <c r="BP97" s="6" t="s">
        <v>104</v>
      </c>
      <c r="BQ97" s="6" t="s">
        <v>104</v>
      </c>
      <c r="BR97" s="6" t="s">
        <v>104</v>
      </c>
      <c r="BS97" s="6" t="s">
        <v>104</v>
      </c>
      <c r="BT97" s="6" t="s">
        <v>104</v>
      </c>
      <c r="BU97" s="6" t="s">
        <v>104</v>
      </c>
      <c r="BV97" s="6" t="s">
        <v>104</v>
      </c>
      <c r="BW97" s="6" t="s">
        <v>104</v>
      </c>
      <c r="BX97" s="6" t="s">
        <v>104</v>
      </c>
      <c r="BY97" s="6" t="s">
        <v>104</v>
      </c>
      <c r="BZ97" s="6" t="s">
        <v>104</v>
      </c>
      <c r="CA97" s="6" t="s">
        <v>104</v>
      </c>
      <c r="CB97" s="6" t="s">
        <v>104</v>
      </c>
      <c r="CC97" s="6" t="s">
        <v>104</v>
      </c>
      <c r="CD97" s="6" t="s">
        <v>104</v>
      </c>
      <c r="CE97" s="6" t="s">
        <v>104</v>
      </c>
      <c r="CF97" s="6" t="s">
        <v>104</v>
      </c>
      <c r="CG97" s="6" t="s">
        <v>104</v>
      </c>
      <c r="CH97" s="6" t="s">
        <v>104</v>
      </c>
      <c r="CI97" s="6" t="s">
        <v>104</v>
      </c>
      <c r="CJ97" s="6" t="s">
        <v>104</v>
      </c>
      <c r="CK97" s="6" t="s">
        <v>104</v>
      </c>
      <c r="CL97" s="6" t="s">
        <v>104</v>
      </c>
      <c r="CM97" s="6" t="s">
        <v>104</v>
      </c>
      <c r="CN97" s="6" t="s">
        <v>104</v>
      </c>
    </row>
    <row r="98" spans="1:92" x14ac:dyDescent="0.35">
      <c r="A98" s="5" t="s">
        <v>118</v>
      </c>
      <c r="B98" s="7" t="s">
        <v>104</v>
      </c>
      <c r="C98" s="7" t="s">
        <v>104</v>
      </c>
      <c r="D98" s="7" t="s">
        <v>104</v>
      </c>
      <c r="E98" s="7" t="s">
        <v>104</v>
      </c>
      <c r="F98" s="7" t="s">
        <v>104</v>
      </c>
      <c r="G98" s="7" t="s">
        <v>104</v>
      </c>
      <c r="H98" s="7" t="s">
        <v>104</v>
      </c>
      <c r="I98" s="7" t="s">
        <v>104</v>
      </c>
      <c r="J98" s="7" t="s">
        <v>104</v>
      </c>
      <c r="K98" s="7" t="s">
        <v>104</v>
      </c>
      <c r="L98" s="6" t="s">
        <v>104</v>
      </c>
      <c r="M98" s="6" t="s">
        <v>104</v>
      </c>
      <c r="N98" s="6" t="s">
        <v>104</v>
      </c>
      <c r="O98" s="6" t="s">
        <v>104</v>
      </c>
      <c r="P98" s="6" t="s">
        <v>104</v>
      </c>
      <c r="Q98" s="6" t="s">
        <v>104</v>
      </c>
      <c r="R98" s="6" t="s">
        <v>104</v>
      </c>
      <c r="S98" s="6" t="s">
        <v>104</v>
      </c>
      <c r="T98" s="6" t="s">
        <v>104</v>
      </c>
      <c r="U98" s="6" t="s">
        <v>104</v>
      </c>
      <c r="V98" s="6" t="s">
        <v>104</v>
      </c>
      <c r="W98" s="7" t="s">
        <v>104</v>
      </c>
      <c r="X98" s="7" t="s">
        <v>104</v>
      </c>
      <c r="Y98" s="7" t="s">
        <v>104</v>
      </c>
      <c r="Z98" s="7" t="s">
        <v>104</v>
      </c>
      <c r="AA98" s="7" t="s">
        <v>104</v>
      </c>
      <c r="AB98" s="7" t="s">
        <v>104</v>
      </c>
      <c r="AC98" s="7" t="s">
        <v>104</v>
      </c>
      <c r="AD98" s="7" t="s">
        <v>104</v>
      </c>
      <c r="AE98" s="7" t="s">
        <v>104</v>
      </c>
      <c r="AF98" s="7" t="s">
        <v>104</v>
      </c>
      <c r="AG98" s="6" t="s">
        <v>104</v>
      </c>
      <c r="AH98" s="6" t="s">
        <v>104</v>
      </c>
      <c r="AI98" s="6" t="s">
        <v>104</v>
      </c>
      <c r="AJ98" s="6" t="s">
        <v>104</v>
      </c>
      <c r="AK98" s="7" t="s">
        <v>104</v>
      </c>
      <c r="AL98" s="7" t="s">
        <v>104</v>
      </c>
      <c r="AM98" s="7" t="s">
        <v>104</v>
      </c>
      <c r="AN98" s="7" t="s">
        <v>104</v>
      </c>
      <c r="AO98" s="7" t="s">
        <v>104</v>
      </c>
      <c r="AP98" s="7" t="s">
        <v>104</v>
      </c>
      <c r="AQ98" s="7" t="s">
        <v>104</v>
      </c>
      <c r="AR98" s="7" t="s">
        <v>104</v>
      </c>
      <c r="AS98" s="7" t="s">
        <v>104</v>
      </c>
      <c r="AT98" s="7" t="s">
        <v>104</v>
      </c>
      <c r="AU98" s="7" t="s">
        <v>104</v>
      </c>
      <c r="AV98" s="7" t="s">
        <v>104</v>
      </c>
      <c r="AW98" s="7" t="s">
        <v>104</v>
      </c>
      <c r="AX98" s="7" t="s">
        <v>104</v>
      </c>
      <c r="AY98" s="7" t="s">
        <v>104</v>
      </c>
      <c r="AZ98" s="7" t="s">
        <v>104</v>
      </c>
      <c r="BA98" s="7" t="s">
        <v>104</v>
      </c>
      <c r="BB98" s="7" t="s">
        <v>104</v>
      </c>
      <c r="BC98" s="7" t="s">
        <v>104</v>
      </c>
      <c r="BD98" s="7" t="s">
        <v>104</v>
      </c>
      <c r="BE98" s="7" t="s">
        <v>104</v>
      </c>
      <c r="BF98" s="7" t="s">
        <v>104</v>
      </c>
      <c r="BG98" s="7" t="s">
        <v>104</v>
      </c>
      <c r="BH98" s="7" t="s">
        <v>104</v>
      </c>
      <c r="BI98" s="7" t="s">
        <v>104</v>
      </c>
      <c r="BJ98" s="7" t="s">
        <v>104</v>
      </c>
      <c r="BK98" s="7" t="s">
        <v>104</v>
      </c>
      <c r="BL98" s="7" t="s">
        <v>104</v>
      </c>
      <c r="BM98" s="7" t="s">
        <v>104</v>
      </c>
      <c r="BN98" s="7" t="s">
        <v>104</v>
      </c>
      <c r="BO98" s="7" t="s">
        <v>104</v>
      </c>
      <c r="BP98" s="7" t="s">
        <v>104</v>
      </c>
      <c r="BQ98" s="7" t="s">
        <v>104</v>
      </c>
      <c r="BR98" s="7" t="s">
        <v>104</v>
      </c>
      <c r="BS98" s="7" t="s">
        <v>104</v>
      </c>
      <c r="BT98" s="7" t="s">
        <v>104</v>
      </c>
      <c r="BU98" s="7" t="s">
        <v>104</v>
      </c>
      <c r="BV98" s="7" t="s">
        <v>104</v>
      </c>
      <c r="BW98" s="7" t="s">
        <v>104</v>
      </c>
      <c r="BX98" s="7" t="s">
        <v>104</v>
      </c>
      <c r="BY98" s="7" t="s">
        <v>104</v>
      </c>
      <c r="BZ98" s="7" t="s">
        <v>104</v>
      </c>
      <c r="CA98" s="7" t="s">
        <v>104</v>
      </c>
      <c r="CB98" s="7" t="s">
        <v>104</v>
      </c>
      <c r="CC98" s="7" t="s">
        <v>104</v>
      </c>
      <c r="CD98" s="7" t="s">
        <v>104</v>
      </c>
      <c r="CE98" s="7" t="s">
        <v>104</v>
      </c>
      <c r="CF98" s="7" t="s">
        <v>104</v>
      </c>
      <c r="CG98" s="7" t="s">
        <v>104</v>
      </c>
      <c r="CH98" s="7" t="s">
        <v>104</v>
      </c>
      <c r="CI98" s="7" t="s">
        <v>104</v>
      </c>
      <c r="CJ98" s="7" t="s">
        <v>104</v>
      </c>
      <c r="CK98" s="7" t="s">
        <v>104</v>
      </c>
      <c r="CL98" s="7" t="s">
        <v>104</v>
      </c>
      <c r="CM98" s="7" t="s">
        <v>104</v>
      </c>
      <c r="CN98" s="7" t="s">
        <v>104</v>
      </c>
    </row>
    <row r="99" spans="1:92" x14ac:dyDescent="0.35">
      <c r="A99" s="5" t="s">
        <v>119</v>
      </c>
      <c r="B99" s="6" t="s">
        <v>104</v>
      </c>
      <c r="C99" s="6" t="s">
        <v>104</v>
      </c>
      <c r="D99" s="6" t="s">
        <v>104</v>
      </c>
      <c r="E99" s="6" t="s">
        <v>104</v>
      </c>
      <c r="F99" s="6" t="s">
        <v>104</v>
      </c>
      <c r="G99" s="6" t="s">
        <v>104</v>
      </c>
      <c r="H99" s="6" t="s">
        <v>104</v>
      </c>
      <c r="I99" s="6" t="s">
        <v>104</v>
      </c>
      <c r="J99" s="6" t="s">
        <v>104</v>
      </c>
      <c r="K99" s="6" t="s">
        <v>104</v>
      </c>
      <c r="L99" s="6" t="s">
        <v>104</v>
      </c>
      <c r="M99" s="6" t="s">
        <v>104</v>
      </c>
      <c r="N99" s="6" t="s">
        <v>104</v>
      </c>
      <c r="O99" s="6" t="s">
        <v>104</v>
      </c>
      <c r="P99" s="6" t="s">
        <v>104</v>
      </c>
      <c r="Q99" s="6" t="s">
        <v>104</v>
      </c>
      <c r="R99" s="6" t="s">
        <v>104</v>
      </c>
      <c r="S99" s="6" t="s">
        <v>104</v>
      </c>
      <c r="T99" s="6" t="s">
        <v>104</v>
      </c>
      <c r="U99" s="6" t="s">
        <v>104</v>
      </c>
      <c r="V99" s="6" t="s">
        <v>104</v>
      </c>
      <c r="W99" s="6" t="s">
        <v>104</v>
      </c>
      <c r="X99" s="6" t="s">
        <v>104</v>
      </c>
      <c r="Y99" s="6" t="s">
        <v>104</v>
      </c>
      <c r="Z99" s="6" t="s">
        <v>104</v>
      </c>
      <c r="AA99" s="6" t="s">
        <v>104</v>
      </c>
      <c r="AB99" s="6" t="s">
        <v>104</v>
      </c>
      <c r="AC99" s="6" t="s">
        <v>104</v>
      </c>
      <c r="AD99" s="6" t="s">
        <v>104</v>
      </c>
      <c r="AE99" s="6" t="s">
        <v>104</v>
      </c>
      <c r="AF99" s="6" t="s">
        <v>104</v>
      </c>
      <c r="AG99" s="6" t="s">
        <v>104</v>
      </c>
      <c r="AH99" s="6" t="s">
        <v>104</v>
      </c>
      <c r="AI99" s="6" t="s">
        <v>104</v>
      </c>
      <c r="AJ99" s="6" t="s">
        <v>104</v>
      </c>
      <c r="AK99" s="6" t="s">
        <v>104</v>
      </c>
      <c r="AL99" s="6" t="s">
        <v>104</v>
      </c>
      <c r="AM99" s="6" t="s">
        <v>104</v>
      </c>
      <c r="AN99" s="6" t="s">
        <v>104</v>
      </c>
      <c r="AO99" s="6" t="s">
        <v>104</v>
      </c>
      <c r="AP99" s="6" t="s">
        <v>104</v>
      </c>
      <c r="AQ99" s="6" t="s">
        <v>104</v>
      </c>
      <c r="AR99" s="6" t="s">
        <v>104</v>
      </c>
      <c r="AS99" s="6" t="s">
        <v>104</v>
      </c>
      <c r="AT99" s="6" t="s">
        <v>104</v>
      </c>
      <c r="AU99" s="6" t="s">
        <v>104</v>
      </c>
      <c r="AV99" s="6" t="s">
        <v>104</v>
      </c>
      <c r="AW99" s="6" t="s">
        <v>104</v>
      </c>
      <c r="AX99" s="6" t="s">
        <v>104</v>
      </c>
      <c r="AY99" s="6" t="s">
        <v>104</v>
      </c>
      <c r="AZ99" s="6" t="s">
        <v>104</v>
      </c>
      <c r="BA99" s="6" t="s">
        <v>104</v>
      </c>
      <c r="BB99" s="6" t="s">
        <v>104</v>
      </c>
      <c r="BC99" s="6" t="s">
        <v>104</v>
      </c>
      <c r="BD99" s="6" t="s">
        <v>104</v>
      </c>
      <c r="BE99" s="6" t="s">
        <v>104</v>
      </c>
      <c r="BF99" s="6" t="s">
        <v>104</v>
      </c>
      <c r="BG99" s="6" t="s">
        <v>104</v>
      </c>
      <c r="BH99" s="6" t="s">
        <v>104</v>
      </c>
      <c r="BI99" s="6" t="s">
        <v>104</v>
      </c>
      <c r="BJ99" s="6" t="s">
        <v>104</v>
      </c>
      <c r="BK99" s="6" t="s">
        <v>104</v>
      </c>
      <c r="BL99" s="6" t="s">
        <v>104</v>
      </c>
      <c r="BM99" s="6" t="s">
        <v>104</v>
      </c>
      <c r="BN99" s="6" t="s">
        <v>104</v>
      </c>
      <c r="BO99" s="6" t="s">
        <v>104</v>
      </c>
      <c r="BP99" s="6" t="s">
        <v>104</v>
      </c>
      <c r="BQ99" s="6" t="s">
        <v>104</v>
      </c>
      <c r="BR99" s="6" t="s">
        <v>104</v>
      </c>
      <c r="BS99" s="6" t="s">
        <v>104</v>
      </c>
      <c r="BT99" s="6" t="s">
        <v>104</v>
      </c>
      <c r="BU99" s="6" t="s">
        <v>104</v>
      </c>
      <c r="BV99" s="6" t="s">
        <v>104</v>
      </c>
      <c r="BW99" s="6" t="s">
        <v>104</v>
      </c>
      <c r="BX99" s="6" t="s">
        <v>104</v>
      </c>
      <c r="BY99" s="6" t="s">
        <v>104</v>
      </c>
      <c r="BZ99" s="6" t="s">
        <v>104</v>
      </c>
      <c r="CA99" s="6" t="s">
        <v>104</v>
      </c>
      <c r="CB99" s="6" t="s">
        <v>104</v>
      </c>
      <c r="CC99" s="6" t="s">
        <v>104</v>
      </c>
      <c r="CD99" s="6" t="s">
        <v>104</v>
      </c>
      <c r="CE99" s="6" t="s">
        <v>104</v>
      </c>
      <c r="CF99" s="6" t="s">
        <v>104</v>
      </c>
      <c r="CG99" s="6" t="s">
        <v>104</v>
      </c>
      <c r="CH99" s="6" t="s">
        <v>104</v>
      </c>
      <c r="CI99" s="6" t="s">
        <v>104</v>
      </c>
      <c r="CJ99" s="6" t="s">
        <v>104</v>
      </c>
      <c r="CK99" s="6" t="s">
        <v>104</v>
      </c>
      <c r="CL99" s="6" t="s">
        <v>104</v>
      </c>
      <c r="CM99" s="6" t="s">
        <v>104</v>
      </c>
      <c r="CN99" s="6" t="s">
        <v>104</v>
      </c>
    </row>
    <row r="100" spans="1:92" x14ac:dyDescent="0.35">
      <c r="A100" s="5" t="s">
        <v>120</v>
      </c>
      <c r="B100" s="7" t="s">
        <v>104</v>
      </c>
      <c r="C100" s="7" t="s">
        <v>104</v>
      </c>
      <c r="D100" s="7" t="s">
        <v>104</v>
      </c>
      <c r="E100" s="7" t="s">
        <v>104</v>
      </c>
      <c r="F100" s="7" t="s">
        <v>104</v>
      </c>
      <c r="G100" s="7" t="s">
        <v>104</v>
      </c>
      <c r="H100" s="7" t="s">
        <v>104</v>
      </c>
      <c r="I100" s="7" t="s">
        <v>104</v>
      </c>
      <c r="J100" s="7" t="s">
        <v>104</v>
      </c>
      <c r="K100" s="7" t="s">
        <v>104</v>
      </c>
      <c r="L100" s="6" t="s">
        <v>104</v>
      </c>
      <c r="M100" s="6" t="s">
        <v>104</v>
      </c>
      <c r="N100" s="6" t="s">
        <v>104</v>
      </c>
      <c r="O100" s="6" t="s">
        <v>104</v>
      </c>
      <c r="P100" s="6" t="s">
        <v>104</v>
      </c>
      <c r="Q100" s="6" t="s">
        <v>104</v>
      </c>
      <c r="R100" s="6" t="s">
        <v>104</v>
      </c>
      <c r="S100" s="6" t="s">
        <v>104</v>
      </c>
      <c r="T100" s="6" t="s">
        <v>104</v>
      </c>
      <c r="U100" s="6" t="s">
        <v>104</v>
      </c>
      <c r="V100" s="6" t="s">
        <v>104</v>
      </c>
      <c r="W100" s="7" t="s">
        <v>104</v>
      </c>
      <c r="X100" s="7" t="s">
        <v>104</v>
      </c>
      <c r="Y100" s="7" t="s">
        <v>104</v>
      </c>
      <c r="Z100" s="7" t="s">
        <v>104</v>
      </c>
      <c r="AA100" s="7" t="s">
        <v>104</v>
      </c>
      <c r="AB100" s="7" t="s">
        <v>104</v>
      </c>
      <c r="AC100" s="7" t="s">
        <v>104</v>
      </c>
      <c r="AD100" s="7" t="s">
        <v>104</v>
      </c>
      <c r="AE100" s="7" t="s">
        <v>104</v>
      </c>
      <c r="AF100" s="7" t="s">
        <v>104</v>
      </c>
      <c r="AG100" s="6" t="s">
        <v>104</v>
      </c>
      <c r="AH100" s="6" t="s">
        <v>104</v>
      </c>
      <c r="AI100" s="6" t="s">
        <v>104</v>
      </c>
      <c r="AJ100" s="6" t="s">
        <v>104</v>
      </c>
      <c r="AK100" s="7" t="s">
        <v>104</v>
      </c>
      <c r="AL100" s="7" t="s">
        <v>104</v>
      </c>
      <c r="AM100" s="7" t="s">
        <v>104</v>
      </c>
      <c r="AN100" s="7" t="s">
        <v>104</v>
      </c>
      <c r="AO100" s="7" t="s">
        <v>104</v>
      </c>
      <c r="AP100" s="7" t="s">
        <v>104</v>
      </c>
      <c r="AQ100" s="7" t="s">
        <v>104</v>
      </c>
      <c r="AR100" s="7" t="s">
        <v>104</v>
      </c>
      <c r="AS100" s="7" t="s">
        <v>104</v>
      </c>
      <c r="AT100" s="7" t="s">
        <v>104</v>
      </c>
      <c r="AU100" s="7" t="s">
        <v>104</v>
      </c>
      <c r="AV100" s="7" t="s">
        <v>104</v>
      </c>
      <c r="AW100" s="7" t="s">
        <v>104</v>
      </c>
      <c r="AX100" s="7" t="s">
        <v>104</v>
      </c>
      <c r="AY100" s="7" t="s">
        <v>104</v>
      </c>
      <c r="AZ100" s="7" t="s">
        <v>104</v>
      </c>
      <c r="BA100" s="7" t="s">
        <v>104</v>
      </c>
      <c r="BB100" s="7" t="s">
        <v>104</v>
      </c>
      <c r="BC100" s="7" t="s">
        <v>104</v>
      </c>
      <c r="BD100" s="7" t="s">
        <v>104</v>
      </c>
      <c r="BE100" s="7" t="s">
        <v>104</v>
      </c>
      <c r="BF100" s="7" t="s">
        <v>104</v>
      </c>
      <c r="BG100" s="7" t="s">
        <v>104</v>
      </c>
      <c r="BH100" s="7" t="s">
        <v>104</v>
      </c>
      <c r="BI100" s="7" t="s">
        <v>104</v>
      </c>
      <c r="BJ100" s="7" t="s">
        <v>104</v>
      </c>
      <c r="BK100" s="7" t="s">
        <v>104</v>
      </c>
      <c r="BL100" s="7" t="s">
        <v>104</v>
      </c>
      <c r="BM100" s="7" t="s">
        <v>104</v>
      </c>
      <c r="BN100" s="7" t="s">
        <v>104</v>
      </c>
      <c r="BO100" s="7" t="s">
        <v>104</v>
      </c>
      <c r="BP100" s="7" t="s">
        <v>104</v>
      </c>
      <c r="BQ100" s="7" t="s">
        <v>104</v>
      </c>
      <c r="BR100" s="7" t="s">
        <v>104</v>
      </c>
      <c r="BS100" s="7" t="s">
        <v>104</v>
      </c>
      <c r="BT100" s="7" t="s">
        <v>104</v>
      </c>
      <c r="BU100" s="7" t="s">
        <v>104</v>
      </c>
      <c r="BV100" s="7" t="s">
        <v>104</v>
      </c>
      <c r="BW100" s="7" t="s">
        <v>104</v>
      </c>
      <c r="BX100" s="7" t="s">
        <v>104</v>
      </c>
      <c r="BY100" s="7" t="s">
        <v>104</v>
      </c>
      <c r="BZ100" s="7" t="s">
        <v>104</v>
      </c>
      <c r="CA100" s="7" t="s">
        <v>104</v>
      </c>
      <c r="CB100" s="7" t="s">
        <v>104</v>
      </c>
      <c r="CC100" s="7" t="s">
        <v>104</v>
      </c>
      <c r="CD100" s="7" t="s">
        <v>104</v>
      </c>
      <c r="CE100" s="7" t="s">
        <v>104</v>
      </c>
      <c r="CF100" s="7" t="s">
        <v>104</v>
      </c>
      <c r="CG100" s="7" t="s">
        <v>104</v>
      </c>
      <c r="CH100" s="7" t="s">
        <v>104</v>
      </c>
      <c r="CI100" s="7" t="s">
        <v>104</v>
      </c>
      <c r="CJ100" s="7" t="s">
        <v>104</v>
      </c>
      <c r="CK100" s="7" t="s">
        <v>104</v>
      </c>
      <c r="CL100" s="7" t="s">
        <v>104</v>
      </c>
      <c r="CM100" s="7" t="s">
        <v>104</v>
      </c>
      <c r="CN100" s="7" t="s">
        <v>104</v>
      </c>
    </row>
    <row r="101" spans="1:92" x14ac:dyDescent="0.35">
      <c r="A101" s="5" t="s">
        <v>121</v>
      </c>
      <c r="B101" s="6" t="s">
        <v>104</v>
      </c>
      <c r="C101" s="6" t="s">
        <v>104</v>
      </c>
      <c r="D101" s="6" t="s">
        <v>104</v>
      </c>
      <c r="E101" s="6" t="s">
        <v>104</v>
      </c>
      <c r="F101" s="6" t="s">
        <v>104</v>
      </c>
      <c r="G101" s="6" t="s">
        <v>104</v>
      </c>
      <c r="H101" s="6" t="s">
        <v>104</v>
      </c>
      <c r="I101" s="6" t="s">
        <v>104</v>
      </c>
      <c r="J101" s="6" t="s">
        <v>104</v>
      </c>
      <c r="K101" s="6" t="s">
        <v>104</v>
      </c>
      <c r="L101" s="6" t="s">
        <v>104</v>
      </c>
      <c r="M101" s="6" t="s">
        <v>104</v>
      </c>
      <c r="N101" s="6" t="s">
        <v>104</v>
      </c>
      <c r="O101" s="6" t="s">
        <v>104</v>
      </c>
      <c r="P101" s="6" t="s">
        <v>104</v>
      </c>
      <c r="Q101" s="6" t="s">
        <v>104</v>
      </c>
      <c r="R101" s="6" t="s">
        <v>104</v>
      </c>
      <c r="S101" s="6" t="s">
        <v>104</v>
      </c>
      <c r="T101" s="6" t="s">
        <v>104</v>
      </c>
      <c r="U101" s="6" t="s">
        <v>104</v>
      </c>
      <c r="V101" s="6" t="s">
        <v>104</v>
      </c>
      <c r="W101" s="6" t="s">
        <v>104</v>
      </c>
      <c r="X101" s="6" t="s">
        <v>104</v>
      </c>
      <c r="Y101" s="6" t="s">
        <v>104</v>
      </c>
      <c r="Z101" s="6" t="s">
        <v>104</v>
      </c>
      <c r="AA101" s="6" t="s">
        <v>104</v>
      </c>
      <c r="AB101" s="6" t="s">
        <v>104</v>
      </c>
      <c r="AC101" s="6" t="s">
        <v>104</v>
      </c>
      <c r="AD101" s="6" t="s">
        <v>104</v>
      </c>
      <c r="AE101" s="6" t="s">
        <v>104</v>
      </c>
      <c r="AF101" s="6" t="s">
        <v>104</v>
      </c>
      <c r="AG101" s="6" t="s">
        <v>104</v>
      </c>
      <c r="AH101" s="6" t="s">
        <v>104</v>
      </c>
      <c r="AI101" s="6" t="s">
        <v>104</v>
      </c>
      <c r="AJ101" s="6" t="s">
        <v>104</v>
      </c>
      <c r="AK101" s="6" t="s">
        <v>104</v>
      </c>
      <c r="AL101" s="6" t="s">
        <v>104</v>
      </c>
      <c r="AM101" s="6" t="s">
        <v>104</v>
      </c>
      <c r="AN101" s="6" t="s">
        <v>104</v>
      </c>
      <c r="AO101" s="6" t="s">
        <v>104</v>
      </c>
      <c r="AP101" s="6" t="s">
        <v>104</v>
      </c>
      <c r="AQ101" s="6" t="s">
        <v>104</v>
      </c>
      <c r="AR101" s="6" t="s">
        <v>104</v>
      </c>
      <c r="AS101" s="6" t="s">
        <v>104</v>
      </c>
      <c r="AT101" s="6" t="s">
        <v>104</v>
      </c>
      <c r="AU101" s="6" t="s">
        <v>104</v>
      </c>
      <c r="AV101" s="6" t="s">
        <v>104</v>
      </c>
      <c r="AW101" s="6" t="s">
        <v>104</v>
      </c>
      <c r="AX101" s="6" t="s">
        <v>104</v>
      </c>
      <c r="AY101" s="6" t="s">
        <v>104</v>
      </c>
      <c r="AZ101" s="6" t="s">
        <v>104</v>
      </c>
      <c r="BA101" s="6" t="s">
        <v>104</v>
      </c>
      <c r="BB101" s="6" t="s">
        <v>104</v>
      </c>
      <c r="BC101" s="6" t="s">
        <v>104</v>
      </c>
      <c r="BD101" s="6" t="s">
        <v>104</v>
      </c>
      <c r="BE101" s="6" t="s">
        <v>104</v>
      </c>
      <c r="BF101" s="6" t="s">
        <v>104</v>
      </c>
      <c r="BG101" s="6" t="s">
        <v>104</v>
      </c>
      <c r="BH101" s="6" t="s">
        <v>104</v>
      </c>
      <c r="BI101" s="6" t="s">
        <v>104</v>
      </c>
      <c r="BJ101" s="6" t="s">
        <v>104</v>
      </c>
      <c r="BK101" s="6" t="s">
        <v>104</v>
      </c>
      <c r="BL101" s="6" t="s">
        <v>104</v>
      </c>
      <c r="BM101" s="6" t="s">
        <v>104</v>
      </c>
      <c r="BN101" s="6" t="s">
        <v>104</v>
      </c>
      <c r="BO101" s="6" t="s">
        <v>104</v>
      </c>
      <c r="BP101" s="6" t="s">
        <v>104</v>
      </c>
      <c r="BQ101" s="6" t="s">
        <v>104</v>
      </c>
      <c r="BR101" s="6" t="s">
        <v>104</v>
      </c>
      <c r="BS101" s="6" t="s">
        <v>104</v>
      </c>
      <c r="BT101" s="6" t="s">
        <v>104</v>
      </c>
      <c r="BU101" s="6" t="s">
        <v>104</v>
      </c>
      <c r="BV101" s="6" t="s">
        <v>104</v>
      </c>
      <c r="BW101" s="6" t="s">
        <v>104</v>
      </c>
      <c r="BX101" s="6" t="s">
        <v>104</v>
      </c>
      <c r="BY101" s="6" t="s">
        <v>104</v>
      </c>
      <c r="BZ101" s="6" t="s">
        <v>104</v>
      </c>
      <c r="CA101" s="6" t="s">
        <v>104</v>
      </c>
      <c r="CB101" s="6" t="s">
        <v>104</v>
      </c>
      <c r="CC101" s="6" t="s">
        <v>104</v>
      </c>
      <c r="CD101" s="6" t="s">
        <v>104</v>
      </c>
      <c r="CE101" s="6" t="s">
        <v>104</v>
      </c>
      <c r="CF101" s="6" t="s">
        <v>104</v>
      </c>
      <c r="CG101" s="6" t="s">
        <v>104</v>
      </c>
      <c r="CH101" s="6" t="s">
        <v>104</v>
      </c>
      <c r="CI101" s="6" t="s">
        <v>104</v>
      </c>
      <c r="CJ101" s="6" t="s">
        <v>104</v>
      </c>
      <c r="CK101" s="6" t="s">
        <v>104</v>
      </c>
      <c r="CL101" s="6" t="s">
        <v>104</v>
      </c>
      <c r="CM101" s="6" t="s">
        <v>104</v>
      </c>
      <c r="CN101" s="6" t="s">
        <v>104</v>
      </c>
    </row>
    <row r="102" spans="1:92" x14ac:dyDescent="0.35">
      <c r="A102" s="5" t="s">
        <v>122</v>
      </c>
      <c r="B102" s="7" t="s">
        <v>104</v>
      </c>
      <c r="C102" s="7" t="s">
        <v>104</v>
      </c>
      <c r="D102" s="7" t="s">
        <v>104</v>
      </c>
      <c r="E102" s="7" t="s">
        <v>104</v>
      </c>
      <c r="F102" s="7" t="s">
        <v>104</v>
      </c>
      <c r="G102" s="7" t="s">
        <v>104</v>
      </c>
      <c r="H102" s="7" t="s">
        <v>104</v>
      </c>
      <c r="I102" s="7" t="s">
        <v>104</v>
      </c>
      <c r="J102" s="7" t="s">
        <v>104</v>
      </c>
      <c r="K102" s="7" t="s">
        <v>104</v>
      </c>
      <c r="L102" s="6" t="s">
        <v>104</v>
      </c>
      <c r="M102" s="6" t="s">
        <v>104</v>
      </c>
      <c r="N102" s="6" t="s">
        <v>104</v>
      </c>
      <c r="O102" s="6" t="s">
        <v>104</v>
      </c>
      <c r="P102" s="6" t="s">
        <v>104</v>
      </c>
      <c r="Q102" s="6" t="s">
        <v>104</v>
      </c>
      <c r="R102" s="6" t="s">
        <v>104</v>
      </c>
      <c r="S102" s="6" t="s">
        <v>104</v>
      </c>
      <c r="T102" s="6" t="s">
        <v>104</v>
      </c>
      <c r="U102" s="6" t="s">
        <v>104</v>
      </c>
      <c r="V102" s="6" t="s">
        <v>104</v>
      </c>
      <c r="W102" s="7" t="s">
        <v>104</v>
      </c>
      <c r="X102" s="7" t="s">
        <v>104</v>
      </c>
      <c r="Y102" s="7" t="s">
        <v>104</v>
      </c>
      <c r="Z102" s="7" t="s">
        <v>104</v>
      </c>
      <c r="AA102" s="7" t="s">
        <v>104</v>
      </c>
      <c r="AB102" s="7" t="s">
        <v>104</v>
      </c>
      <c r="AC102" s="7" t="s">
        <v>104</v>
      </c>
      <c r="AD102" s="7" t="s">
        <v>104</v>
      </c>
      <c r="AE102" s="7" t="s">
        <v>104</v>
      </c>
      <c r="AF102" s="7" t="s">
        <v>104</v>
      </c>
      <c r="AG102" s="6" t="s">
        <v>104</v>
      </c>
      <c r="AH102" s="6" t="s">
        <v>104</v>
      </c>
      <c r="AI102" s="6" t="s">
        <v>104</v>
      </c>
      <c r="AJ102" s="6" t="s">
        <v>104</v>
      </c>
      <c r="AK102" s="7" t="s">
        <v>104</v>
      </c>
      <c r="AL102" s="7" t="s">
        <v>104</v>
      </c>
      <c r="AM102" s="7" t="s">
        <v>104</v>
      </c>
      <c r="AN102" s="7" t="s">
        <v>104</v>
      </c>
      <c r="AO102" s="7" t="s">
        <v>104</v>
      </c>
      <c r="AP102" s="7" t="s">
        <v>104</v>
      </c>
      <c r="AQ102" s="7" t="s">
        <v>104</v>
      </c>
      <c r="AR102" s="7" t="s">
        <v>104</v>
      </c>
      <c r="AS102" s="7" t="s">
        <v>104</v>
      </c>
      <c r="AT102" s="7" t="s">
        <v>104</v>
      </c>
      <c r="AU102" s="7" t="s">
        <v>104</v>
      </c>
      <c r="AV102" s="7" t="s">
        <v>104</v>
      </c>
      <c r="AW102" s="7" t="s">
        <v>104</v>
      </c>
      <c r="AX102" s="7" t="s">
        <v>104</v>
      </c>
      <c r="AY102" s="7" t="s">
        <v>104</v>
      </c>
      <c r="AZ102" s="7" t="s">
        <v>104</v>
      </c>
      <c r="BA102" s="7" t="s">
        <v>104</v>
      </c>
      <c r="BB102" s="7" t="s">
        <v>104</v>
      </c>
      <c r="BC102" s="7" t="s">
        <v>104</v>
      </c>
      <c r="BD102" s="7" t="s">
        <v>104</v>
      </c>
      <c r="BE102" s="7" t="s">
        <v>104</v>
      </c>
      <c r="BF102" s="7" t="s">
        <v>104</v>
      </c>
      <c r="BG102" s="7" t="s">
        <v>104</v>
      </c>
      <c r="BH102" s="7" t="s">
        <v>104</v>
      </c>
      <c r="BI102" s="7" t="s">
        <v>104</v>
      </c>
      <c r="BJ102" s="7" t="s">
        <v>104</v>
      </c>
      <c r="BK102" s="7" t="s">
        <v>104</v>
      </c>
      <c r="BL102" s="7" t="s">
        <v>104</v>
      </c>
      <c r="BM102" s="7" t="s">
        <v>104</v>
      </c>
      <c r="BN102" s="7" t="s">
        <v>104</v>
      </c>
      <c r="BO102" s="7" t="s">
        <v>104</v>
      </c>
      <c r="BP102" s="7" t="s">
        <v>104</v>
      </c>
      <c r="BQ102" s="7" t="s">
        <v>104</v>
      </c>
      <c r="BR102" s="7" t="s">
        <v>104</v>
      </c>
      <c r="BS102" s="7" t="s">
        <v>104</v>
      </c>
      <c r="BT102" s="7" t="s">
        <v>104</v>
      </c>
      <c r="BU102" s="7" t="s">
        <v>104</v>
      </c>
      <c r="BV102" s="7" t="s">
        <v>104</v>
      </c>
      <c r="BW102" s="7" t="s">
        <v>104</v>
      </c>
      <c r="BX102" s="7" t="s">
        <v>104</v>
      </c>
      <c r="BY102" s="7" t="s">
        <v>104</v>
      </c>
      <c r="BZ102" s="7" t="s">
        <v>104</v>
      </c>
      <c r="CA102" s="7" t="s">
        <v>104</v>
      </c>
      <c r="CB102" s="7" t="s">
        <v>104</v>
      </c>
      <c r="CC102" s="7" t="s">
        <v>104</v>
      </c>
      <c r="CD102" s="7" t="s">
        <v>104</v>
      </c>
      <c r="CE102" s="7" t="s">
        <v>104</v>
      </c>
      <c r="CF102" s="7" t="s">
        <v>104</v>
      </c>
      <c r="CG102" s="7" t="s">
        <v>104</v>
      </c>
      <c r="CH102" s="7" t="s">
        <v>104</v>
      </c>
      <c r="CI102" s="7" t="s">
        <v>104</v>
      </c>
      <c r="CJ102" s="7" t="s">
        <v>104</v>
      </c>
      <c r="CK102" s="7" t="s">
        <v>104</v>
      </c>
      <c r="CL102" s="7" t="s">
        <v>104</v>
      </c>
      <c r="CM102" s="7" t="s">
        <v>104</v>
      </c>
      <c r="CN102" s="7" t="s">
        <v>104</v>
      </c>
    </row>
    <row r="103" spans="1:92" x14ac:dyDescent="0.35">
      <c r="AG103" s="6" t="s">
        <v>104</v>
      </c>
      <c r="AH103" s="6" t="s">
        <v>104</v>
      </c>
    </row>
    <row r="105" spans="1:92" x14ac:dyDescent="0.35">
      <c r="A105" s="2"/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D29-4623-4479-BAF8-1A3B86AF56F1}">
  <dimension ref="A1:CM107"/>
  <sheetViews>
    <sheetView topLeftCell="BD1" zoomScaleNormal="100" workbookViewId="0">
      <selection activeCell="BM34" sqref="BM34"/>
    </sheetView>
  </sheetViews>
  <sheetFormatPr baseColWidth="10" defaultRowHeight="14.5" x14ac:dyDescent="0.35"/>
  <cols>
    <col min="1" max="1" width="10.90625" customWidth="1"/>
  </cols>
  <sheetData>
    <row r="1" spans="1:91" x14ac:dyDescent="0.35">
      <c r="A1" s="2" t="s">
        <v>19</v>
      </c>
    </row>
    <row r="2" spans="1:91" x14ac:dyDescent="0.35">
      <c r="A2" s="2" t="s">
        <v>20</v>
      </c>
      <c r="B2" s="1" t="s">
        <v>0</v>
      </c>
    </row>
    <row r="3" spans="1:91" x14ac:dyDescent="0.35">
      <c r="A3" s="2" t="s">
        <v>21</v>
      </c>
      <c r="B3" s="2" t="s">
        <v>6</v>
      </c>
    </row>
    <row r="5" spans="1:91" x14ac:dyDescent="0.35">
      <c r="A5" s="1" t="s">
        <v>12</v>
      </c>
      <c r="B5" s="2" t="s">
        <v>16</v>
      </c>
    </row>
    <row r="6" spans="1:91" x14ac:dyDescent="0.35">
      <c r="A6" s="1" t="s">
        <v>13</v>
      </c>
      <c r="B6" s="2" t="s">
        <v>17</v>
      </c>
    </row>
    <row r="7" spans="1:91" x14ac:dyDescent="0.35">
      <c r="A7" s="1" t="s">
        <v>14</v>
      </c>
      <c r="B7" s="2" t="s">
        <v>18</v>
      </c>
    </row>
    <row r="9" spans="1:91" x14ac:dyDescent="0.35">
      <c r="A9" s="3" t="s">
        <v>23</v>
      </c>
      <c r="B9" s="28" t="s">
        <v>24</v>
      </c>
      <c r="C9" s="14" t="s">
        <v>25</v>
      </c>
      <c r="D9" s="14" t="s">
        <v>26</v>
      </c>
      <c r="E9" s="14" t="s">
        <v>27</v>
      </c>
      <c r="F9" s="14" t="s">
        <v>28</v>
      </c>
      <c r="G9" s="14" t="s">
        <v>29</v>
      </c>
      <c r="H9" s="14" t="s">
        <v>30</v>
      </c>
      <c r="I9" s="14" t="s">
        <v>31</v>
      </c>
      <c r="J9" s="14" t="s">
        <v>32</v>
      </c>
      <c r="K9" s="14" t="s">
        <v>33</v>
      </c>
      <c r="L9" s="14" t="s">
        <v>34</v>
      </c>
      <c r="M9" s="32" t="s">
        <v>141</v>
      </c>
      <c r="N9" s="37" t="s">
        <v>125</v>
      </c>
      <c r="O9" s="37" t="s">
        <v>126</v>
      </c>
      <c r="P9" s="38" t="s">
        <v>127</v>
      </c>
      <c r="Q9" s="38" t="s">
        <v>128</v>
      </c>
      <c r="R9" s="39" t="s">
        <v>129</v>
      </c>
      <c r="S9" s="39" t="s">
        <v>130</v>
      </c>
      <c r="T9" s="40" t="s">
        <v>132</v>
      </c>
      <c r="U9" s="41" t="s">
        <v>133</v>
      </c>
      <c r="V9" s="14" t="s">
        <v>35</v>
      </c>
      <c r="W9" s="14" t="s">
        <v>36</v>
      </c>
      <c r="X9" s="14" t="s">
        <v>37</v>
      </c>
      <c r="Y9" s="14" t="s">
        <v>38</v>
      </c>
      <c r="Z9" s="14" t="s">
        <v>39</v>
      </c>
      <c r="AA9" s="14" t="s">
        <v>40</v>
      </c>
      <c r="AB9" s="14" t="s">
        <v>41</v>
      </c>
      <c r="AC9" s="14" t="s">
        <v>42</v>
      </c>
      <c r="AD9" s="14" t="s">
        <v>43</v>
      </c>
      <c r="AE9" s="14" t="s">
        <v>44</v>
      </c>
      <c r="AF9" s="14" t="s">
        <v>45</v>
      </c>
      <c r="AG9" s="14" t="s">
        <v>46</v>
      </c>
      <c r="AH9" s="22" t="s">
        <v>139</v>
      </c>
      <c r="AI9" s="21" t="s">
        <v>135</v>
      </c>
      <c r="AJ9" s="14" t="s">
        <v>47</v>
      </c>
      <c r="AK9" s="14" t="s">
        <v>48</v>
      </c>
      <c r="AL9" s="14" t="s">
        <v>49</v>
      </c>
      <c r="AM9" s="14" t="s">
        <v>50</v>
      </c>
      <c r="AN9" s="14" t="s">
        <v>51</v>
      </c>
      <c r="AO9" s="14" t="s">
        <v>52</v>
      </c>
      <c r="AP9" s="14" t="s">
        <v>53</v>
      </c>
      <c r="AQ9" s="14" t="s">
        <v>54</v>
      </c>
      <c r="AR9" s="14" t="s">
        <v>55</v>
      </c>
      <c r="AS9" s="14" t="s">
        <v>56</v>
      </c>
      <c r="AT9" s="14" t="s">
        <v>57</v>
      </c>
      <c r="AU9" s="14" t="s">
        <v>58</v>
      </c>
      <c r="AV9" s="14" t="s">
        <v>59</v>
      </c>
      <c r="AW9" s="14" t="s">
        <v>60</v>
      </c>
      <c r="AX9" s="14" t="s">
        <v>61</v>
      </c>
      <c r="AY9" s="14" t="s">
        <v>62</v>
      </c>
      <c r="AZ9" s="14" t="s">
        <v>63</v>
      </c>
      <c r="BA9" s="14" t="s">
        <v>64</v>
      </c>
      <c r="BB9" s="14" t="s">
        <v>65</v>
      </c>
      <c r="BC9" s="14" t="s">
        <v>66</v>
      </c>
      <c r="BD9" s="14" t="s">
        <v>67</v>
      </c>
      <c r="BE9" s="14" t="s">
        <v>68</v>
      </c>
      <c r="BF9" s="14" t="s">
        <v>69</v>
      </c>
      <c r="BG9" s="14" t="s">
        <v>70</v>
      </c>
      <c r="BH9" s="14" t="s">
        <v>71</v>
      </c>
      <c r="BI9" s="14" t="s">
        <v>72</v>
      </c>
      <c r="BJ9" s="14" t="s">
        <v>73</v>
      </c>
      <c r="BK9" s="14" t="s">
        <v>74</v>
      </c>
      <c r="BL9" s="14" t="s">
        <v>75</v>
      </c>
      <c r="BM9" s="14" t="s">
        <v>76</v>
      </c>
      <c r="BN9" s="14" t="s">
        <v>77</v>
      </c>
      <c r="BO9" s="14" t="s">
        <v>78</v>
      </c>
      <c r="BP9" s="14" t="s">
        <v>79</v>
      </c>
      <c r="BQ9" s="14" t="s">
        <v>80</v>
      </c>
      <c r="BR9" s="14" t="s">
        <v>81</v>
      </c>
      <c r="BS9" s="14" t="s">
        <v>82</v>
      </c>
      <c r="BT9" s="14" t="s">
        <v>83</v>
      </c>
      <c r="BU9" s="14" t="s">
        <v>84</v>
      </c>
      <c r="BV9" s="14" t="s">
        <v>85</v>
      </c>
      <c r="BW9" s="14" t="s">
        <v>86</v>
      </c>
      <c r="BX9" s="14" t="s">
        <v>87</v>
      </c>
      <c r="BY9" s="14" t="s">
        <v>88</v>
      </c>
      <c r="BZ9" s="14" t="s">
        <v>89</v>
      </c>
      <c r="CA9" s="14" t="s">
        <v>90</v>
      </c>
      <c r="CB9" s="14" t="s">
        <v>91</v>
      </c>
      <c r="CC9" s="14" t="s">
        <v>92</v>
      </c>
      <c r="CD9" s="14" t="s">
        <v>93</v>
      </c>
      <c r="CE9" s="14" t="s">
        <v>94</v>
      </c>
      <c r="CF9" s="14" t="s">
        <v>95</v>
      </c>
      <c r="CG9" s="14" t="s">
        <v>96</v>
      </c>
      <c r="CH9" s="14" t="s">
        <v>97</v>
      </c>
      <c r="CI9" s="14" t="s">
        <v>98</v>
      </c>
      <c r="CJ9" s="14" t="s">
        <v>99</v>
      </c>
      <c r="CK9" s="14" t="s">
        <v>100</v>
      </c>
      <c r="CL9" s="14" t="s">
        <v>101</v>
      </c>
      <c r="CM9" s="14" t="s">
        <v>102</v>
      </c>
    </row>
    <row r="10" spans="1:91" x14ac:dyDescent="0.35">
      <c r="A10" s="4" t="s">
        <v>103</v>
      </c>
      <c r="B10" s="4" t="s">
        <v>22</v>
      </c>
      <c r="C10" s="4" t="s">
        <v>22</v>
      </c>
      <c r="D10" s="4" t="s">
        <v>22</v>
      </c>
      <c r="E10" s="4" t="s">
        <v>22</v>
      </c>
      <c r="F10" s="4" t="s">
        <v>22</v>
      </c>
      <c r="G10" s="4" t="s">
        <v>22</v>
      </c>
      <c r="H10" s="4" t="s">
        <v>22</v>
      </c>
      <c r="I10" s="4" t="s">
        <v>22</v>
      </c>
      <c r="J10" s="4" t="s">
        <v>22</v>
      </c>
      <c r="K10" s="4" t="s">
        <v>22</v>
      </c>
      <c r="L10" s="4" t="s">
        <v>22</v>
      </c>
      <c r="M10" s="32"/>
      <c r="N10" s="42"/>
      <c r="O10" s="42"/>
      <c r="P10" s="42"/>
      <c r="Q10" s="42"/>
      <c r="R10" s="42"/>
      <c r="S10" s="42"/>
      <c r="T10" s="42"/>
      <c r="U10" s="42"/>
      <c r="V10" s="4" t="s">
        <v>22</v>
      </c>
      <c r="W10" s="4" t="s">
        <v>22</v>
      </c>
      <c r="X10" s="4" t="s">
        <v>22</v>
      </c>
      <c r="Y10" s="4" t="s">
        <v>22</v>
      </c>
      <c r="Z10" s="4" t="s">
        <v>22</v>
      </c>
      <c r="AA10" s="4" t="s">
        <v>22</v>
      </c>
      <c r="AB10" s="4" t="s">
        <v>22</v>
      </c>
      <c r="AC10" s="4" t="s">
        <v>22</v>
      </c>
      <c r="AD10" s="4" t="s">
        <v>22</v>
      </c>
      <c r="AE10" s="4" t="s">
        <v>22</v>
      </c>
      <c r="AF10" s="4" t="s">
        <v>22</v>
      </c>
      <c r="AG10" s="4" t="s">
        <v>22</v>
      </c>
      <c r="AH10" s="4"/>
      <c r="AI10" s="4"/>
      <c r="AJ10" s="4" t="s">
        <v>22</v>
      </c>
      <c r="AK10" s="4" t="s">
        <v>22</v>
      </c>
      <c r="AL10" s="4" t="s">
        <v>22</v>
      </c>
      <c r="AM10" s="4" t="s">
        <v>22</v>
      </c>
      <c r="AN10" s="4" t="s">
        <v>22</v>
      </c>
      <c r="AO10" s="4" t="s">
        <v>22</v>
      </c>
      <c r="AP10" s="4" t="s">
        <v>22</v>
      </c>
      <c r="AQ10" s="4" t="s">
        <v>22</v>
      </c>
      <c r="AR10" s="4" t="s">
        <v>22</v>
      </c>
      <c r="AS10" s="4" t="s">
        <v>22</v>
      </c>
      <c r="AT10" s="4" t="s">
        <v>22</v>
      </c>
      <c r="AU10" s="4" t="s">
        <v>22</v>
      </c>
      <c r="AV10" s="4" t="s">
        <v>22</v>
      </c>
      <c r="AW10" s="4" t="s">
        <v>22</v>
      </c>
      <c r="AX10" s="4" t="s">
        <v>22</v>
      </c>
      <c r="AY10" s="4" t="s">
        <v>22</v>
      </c>
      <c r="AZ10" s="4" t="s">
        <v>22</v>
      </c>
      <c r="BA10" s="4" t="s">
        <v>22</v>
      </c>
      <c r="BB10" s="4" t="s">
        <v>22</v>
      </c>
      <c r="BC10" s="4" t="s">
        <v>22</v>
      </c>
      <c r="BD10" s="4" t="s">
        <v>22</v>
      </c>
      <c r="BE10" s="4" t="s">
        <v>22</v>
      </c>
      <c r="BF10" s="4" t="s">
        <v>22</v>
      </c>
      <c r="BG10" s="4" t="s">
        <v>22</v>
      </c>
      <c r="BH10" s="4" t="s">
        <v>22</v>
      </c>
      <c r="BI10" s="4" t="s">
        <v>22</v>
      </c>
      <c r="BJ10" s="4" t="s">
        <v>22</v>
      </c>
      <c r="BK10" s="4" t="s">
        <v>22</v>
      </c>
      <c r="BL10" s="4" t="s">
        <v>22</v>
      </c>
      <c r="BM10" s="4" t="s">
        <v>22</v>
      </c>
      <c r="BN10" s="4" t="s">
        <v>22</v>
      </c>
      <c r="BO10" s="4" t="s">
        <v>22</v>
      </c>
      <c r="BP10" s="4" t="s">
        <v>22</v>
      </c>
      <c r="BQ10" s="4" t="s">
        <v>22</v>
      </c>
      <c r="BR10" s="4" t="s">
        <v>22</v>
      </c>
      <c r="BS10" s="4" t="s">
        <v>22</v>
      </c>
      <c r="BT10" s="4" t="s">
        <v>22</v>
      </c>
      <c r="BU10" s="4" t="s">
        <v>22</v>
      </c>
      <c r="BV10" s="4" t="s">
        <v>22</v>
      </c>
      <c r="BW10" s="4" t="s">
        <v>22</v>
      </c>
      <c r="BX10" s="4" t="s">
        <v>22</v>
      </c>
      <c r="BY10" s="4" t="s">
        <v>22</v>
      </c>
      <c r="BZ10" s="4" t="s">
        <v>22</v>
      </c>
      <c r="CA10" s="4" t="s">
        <v>22</v>
      </c>
      <c r="CB10" s="4" t="s">
        <v>22</v>
      </c>
      <c r="CC10" s="4" t="s">
        <v>22</v>
      </c>
      <c r="CD10" s="4" t="s">
        <v>22</v>
      </c>
      <c r="CE10" s="4" t="s">
        <v>22</v>
      </c>
      <c r="CF10" s="4" t="s">
        <v>22</v>
      </c>
      <c r="CG10" s="4" t="s">
        <v>22</v>
      </c>
      <c r="CH10" s="4" t="s">
        <v>22</v>
      </c>
      <c r="CI10" s="4" t="s">
        <v>22</v>
      </c>
      <c r="CJ10" s="4" t="s">
        <v>22</v>
      </c>
      <c r="CK10" s="4" t="s">
        <v>22</v>
      </c>
      <c r="CL10" s="4" t="s">
        <v>22</v>
      </c>
      <c r="CM10" s="4" t="s">
        <v>22</v>
      </c>
    </row>
    <row r="11" spans="1:91" x14ac:dyDescent="0.35">
      <c r="A11" s="5" t="s">
        <v>24</v>
      </c>
      <c r="B11" s="13">
        <v>2309989.5099999998</v>
      </c>
      <c r="C11" s="13">
        <v>23574.55</v>
      </c>
      <c r="D11" s="13">
        <v>1610.41</v>
      </c>
      <c r="E11" s="13">
        <v>1167.95</v>
      </c>
      <c r="F11" s="13">
        <v>5682.15</v>
      </c>
      <c r="G11" s="13">
        <v>108017.92</v>
      </c>
      <c r="H11" s="13">
        <v>25604.18</v>
      </c>
      <c r="I11" s="13">
        <v>10973.38</v>
      </c>
      <c r="J11" s="13">
        <v>18860.28</v>
      </c>
      <c r="K11" s="13">
        <v>4511.5200000000004</v>
      </c>
      <c r="L11" s="13">
        <v>279251.15999999997</v>
      </c>
      <c r="M11" s="12">
        <v>100917.81</v>
      </c>
      <c r="N11" s="43">
        <v>0</v>
      </c>
      <c r="O11" s="43">
        <v>0</v>
      </c>
      <c r="P11" s="43">
        <v>0</v>
      </c>
      <c r="Q11" s="43">
        <v>0</v>
      </c>
      <c r="R11" s="43">
        <v>0</v>
      </c>
      <c r="S11" s="43">
        <v>0</v>
      </c>
      <c r="T11" s="43">
        <v>0</v>
      </c>
      <c r="U11" s="43">
        <v>0</v>
      </c>
      <c r="V11" s="13">
        <v>51003.06</v>
      </c>
      <c r="W11" s="13">
        <v>39303.17</v>
      </c>
      <c r="X11" s="13">
        <v>21323.24</v>
      </c>
      <c r="Y11" s="13">
        <v>82285.850000000006</v>
      </c>
      <c r="Z11" s="13">
        <v>45403.5</v>
      </c>
      <c r="AA11" s="13">
        <v>54156.53</v>
      </c>
      <c r="AB11" s="13">
        <v>46944.27</v>
      </c>
      <c r="AC11" s="13">
        <v>62064.2</v>
      </c>
      <c r="AD11" s="13">
        <v>92421.33</v>
      </c>
      <c r="AE11" s="13">
        <v>40764.1</v>
      </c>
      <c r="AF11" s="13">
        <v>26601.05</v>
      </c>
      <c r="AG11" s="13">
        <v>27047.85</v>
      </c>
      <c r="AH11" s="13">
        <v>104284.04</v>
      </c>
      <c r="AJ11" s="13">
        <v>2277.29</v>
      </c>
      <c r="AK11" s="13">
        <v>13866.6</v>
      </c>
      <c r="AL11" s="13">
        <v>106317.12</v>
      </c>
      <c r="AM11" s="13">
        <v>19294.740000000002</v>
      </c>
      <c r="AN11" s="13">
        <v>108816.82</v>
      </c>
      <c r="AO11" s="13">
        <v>35387.230000000003</v>
      </c>
      <c r="AP11" s="13">
        <v>31108.97</v>
      </c>
      <c r="AQ11" s="13">
        <v>43969.75</v>
      </c>
      <c r="AR11" s="13">
        <v>22083.74</v>
      </c>
      <c r="AS11" s="13">
        <v>29703.24</v>
      </c>
      <c r="AT11" s="13">
        <v>6980.07</v>
      </c>
      <c r="AU11" s="13">
        <v>26729.83</v>
      </c>
      <c r="AV11" s="13">
        <v>32604.37</v>
      </c>
      <c r="AW11" s="13">
        <v>11255.04</v>
      </c>
      <c r="AX11" s="13">
        <v>18373.599999999999</v>
      </c>
      <c r="AY11" s="13">
        <v>110991.78</v>
      </c>
      <c r="AZ11" s="13">
        <v>48952.42</v>
      </c>
      <c r="BA11" s="13">
        <v>28579.65</v>
      </c>
      <c r="BB11" s="13">
        <v>22000.59</v>
      </c>
      <c r="BC11" s="13">
        <v>19198.82</v>
      </c>
      <c r="BD11" s="13">
        <v>48393.95</v>
      </c>
      <c r="BE11" s="13">
        <v>16355.74</v>
      </c>
      <c r="BF11" s="13">
        <v>26081.71</v>
      </c>
      <c r="BG11" s="13">
        <v>11318.65</v>
      </c>
      <c r="BH11" s="13">
        <v>8630.74</v>
      </c>
      <c r="BI11" s="13">
        <v>28651.27</v>
      </c>
      <c r="BJ11" s="13">
        <v>5527.09</v>
      </c>
      <c r="BK11" s="13">
        <v>9990.73</v>
      </c>
      <c r="BL11" s="13">
        <v>24845.4</v>
      </c>
      <c r="BM11" s="13">
        <v>24995.95</v>
      </c>
      <c r="BN11" s="13">
        <v>9701.32</v>
      </c>
      <c r="BO11" s="13">
        <v>47483.33</v>
      </c>
      <c r="BP11" s="13">
        <v>10754.93</v>
      </c>
      <c r="BQ11" s="13">
        <v>8468.56</v>
      </c>
      <c r="BR11" s="13">
        <v>4527.24</v>
      </c>
      <c r="BS11" s="13">
        <v>4413.0600000000004</v>
      </c>
      <c r="BT11" s="13">
        <v>2726.67</v>
      </c>
      <c r="BU11" s="13">
        <v>4783.03</v>
      </c>
      <c r="BV11" s="13">
        <v>75.010000000000005</v>
      </c>
      <c r="BW11" s="7">
        <v>0</v>
      </c>
      <c r="BX11" s="13">
        <v>520129.82</v>
      </c>
      <c r="BY11" s="13">
        <v>37113.949999999997</v>
      </c>
      <c r="BZ11" s="13">
        <v>482500.83</v>
      </c>
      <c r="CA11" s="13">
        <v>515.04999999999995</v>
      </c>
      <c r="CB11" s="13">
        <v>316500.83</v>
      </c>
      <c r="CC11" s="13">
        <v>48710.29</v>
      </c>
      <c r="CD11" s="7">
        <v>0</v>
      </c>
      <c r="CE11" s="7" t="s">
        <v>104</v>
      </c>
      <c r="CF11" s="7">
        <v>0</v>
      </c>
      <c r="CG11" s="7" t="s">
        <v>104</v>
      </c>
      <c r="CH11" s="7">
        <v>0</v>
      </c>
      <c r="CI11" s="13">
        <v>267790.55</v>
      </c>
      <c r="CJ11" s="7" t="s">
        <v>104</v>
      </c>
      <c r="CK11" s="7" t="s">
        <v>104</v>
      </c>
      <c r="CL11" s="13">
        <v>3146620.16</v>
      </c>
      <c r="CM11" s="13">
        <v>836630.66</v>
      </c>
    </row>
    <row r="12" spans="1:91" x14ac:dyDescent="0.35">
      <c r="A12" s="5" t="s">
        <v>25</v>
      </c>
      <c r="B12" s="12">
        <v>29931.02</v>
      </c>
      <c r="C12" s="12">
        <v>3123.35</v>
      </c>
      <c r="D12" s="12">
        <v>36.380000000000003</v>
      </c>
      <c r="E12" s="12">
        <v>1.51</v>
      </c>
      <c r="F12" s="12">
        <v>3.21</v>
      </c>
      <c r="G12" s="12">
        <v>22756.73</v>
      </c>
      <c r="H12" s="12">
        <v>292.76</v>
      </c>
      <c r="I12" s="12">
        <v>6.09</v>
      </c>
      <c r="J12" s="12">
        <v>16.920000000000002</v>
      </c>
      <c r="K12" s="12">
        <v>2.52</v>
      </c>
      <c r="L12" s="12">
        <v>6.73</v>
      </c>
      <c r="M12" s="12">
        <v>481.48</v>
      </c>
      <c r="N12" s="43">
        <v>0</v>
      </c>
      <c r="O12" s="43">
        <v>0</v>
      </c>
      <c r="P12" s="43">
        <v>0</v>
      </c>
      <c r="Q12" s="43">
        <v>0</v>
      </c>
      <c r="R12" s="43">
        <v>0</v>
      </c>
      <c r="S12" s="43">
        <v>0</v>
      </c>
      <c r="T12" s="43">
        <v>0</v>
      </c>
      <c r="U12" s="43">
        <v>0</v>
      </c>
      <c r="V12" s="12">
        <v>77.95</v>
      </c>
      <c r="W12" s="12">
        <v>280.64</v>
      </c>
      <c r="X12" s="12">
        <v>5.73</v>
      </c>
      <c r="Y12" s="12">
        <v>4.37</v>
      </c>
      <c r="Z12" s="12">
        <v>8.4700000000000006</v>
      </c>
      <c r="AA12" s="12">
        <v>1.95</v>
      </c>
      <c r="AB12" s="12">
        <v>3.77</v>
      </c>
      <c r="AC12" s="12">
        <v>10.119999999999999</v>
      </c>
      <c r="AD12" s="12">
        <v>10.16</v>
      </c>
      <c r="AE12" s="12">
        <v>0.7</v>
      </c>
      <c r="AF12" s="12">
        <v>30.57</v>
      </c>
      <c r="AG12" s="12">
        <v>17.78</v>
      </c>
      <c r="AH12" s="13">
        <v>120.44</v>
      </c>
      <c r="AJ12" s="12">
        <v>0.99</v>
      </c>
      <c r="AK12" s="12">
        <v>9.81</v>
      </c>
      <c r="AL12" s="12">
        <v>40.07</v>
      </c>
      <c r="AM12" s="12">
        <v>1.94</v>
      </c>
      <c r="AN12" s="12">
        <v>596.28</v>
      </c>
      <c r="AO12" s="12">
        <v>113.35</v>
      </c>
      <c r="AP12" s="12">
        <v>20.32</v>
      </c>
      <c r="AQ12" s="12">
        <v>10.17</v>
      </c>
      <c r="AR12" s="12">
        <v>0.68</v>
      </c>
      <c r="AS12" s="12">
        <v>9.6999999999999993</v>
      </c>
      <c r="AT12" s="12">
        <v>0.77</v>
      </c>
      <c r="AU12" s="12">
        <v>695.26</v>
      </c>
      <c r="AV12" s="12">
        <v>0.35</v>
      </c>
      <c r="AW12" s="12">
        <v>1.23</v>
      </c>
      <c r="AX12" s="12">
        <v>0.96</v>
      </c>
      <c r="AY12" s="12">
        <v>22.21</v>
      </c>
      <c r="AZ12" s="12">
        <v>0.37</v>
      </c>
      <c r="BA12" s="12">
        <v>0.05</v>
      </c>
      <c r="BB12" s="12">
        <v>0.3</v>
      </c>
      <c r="BC12" s="12">
        <v>98.32</v>
      </c>
      <c r="BD12" s="12">
        <v>53.73</v>
      </c>
      <c r="BE12" s="12">
        <v>15.42</v>
      </c>
      <c r="BF12" s="12">
        <v>67.48</v>
      </c>
      <c r="BG12" s="12">
        <v>9.6999999999999993</v>
      </c>
      <c r="BH12" s="12">
        <v>56.09</v>
      </c>
      <c r="BI12" s="12">
        <v>73.03</v>
      </c>
      <c r="BJ12" s="12">
        <v>2.3199999999999998</v>
      </c>
      <c r="BK12" s="12">
        <v>3.49</v>
      </c>
      <c r="BL12" s="12">
        <v>394.19</v>
      </c>
      <c r="BM12" s="12">
        <v>96.73</v>
      </c>
      <c r="BN12" s="12">
        <v>31.88</v>
      </c>
      <c r="BO12" s="12">
        <v>91.05</v>
      </c>
      <c r="BP12" s="12">
        <v>72.91</v>
      </c>
      <c r="BQ12" s="12">
        <v>14.32</v>
      </c>
      <c r="BR12" s="12">
        <v>7.49</v>
      </c>
      <c r="BS12" s="12">
        <v>4.66</v>
      </c>
      <c r="BT12" s="12">
        <v>0.87</v>
      </c>
      <c r="BU12" s="12">
        <v>12.16</v>
      </c>
      <c r="BV12" s="12">
        <v>7.0000000000000007E-2</v>
      </c>
      <c r="BW12" s="6">
        <v>0</v>
      </c>
      <c r="BX12" s="12">
        <v>18346.55</v>
      </c>
      <c r="BY12" s="12">
        <v>107.83</v>
      </c>
      <c r="BZ12" s="12">
        <v>18238.71</v>
      </c>
      <c r="CA12" s="12">
        <v>0.01</v>
      </c>
      <c r="CB12" s="12">
        <v>1541.61</v>
      </c>
      <c r="CC12" s="12">
        <v>943.83</v>
      </c>
      <c r="CD12" s="6">
        <v>0</v>
      </c>
      <c r="CE12" s="6" t="s">
        <v>104</v>
      </c>
      <c r="CF12" s="6">
        <v>0</v>
      </c>
      <c r="CG12" s="6" t="s">
        <v>104</v>
      </c>
      <c r="CH12" s="6">
        <v>0</v>
      </c>
      <c r="CI12" s="12">
        <v>597.79</v>
      </c>
      <c r="CJ12" s="6" t="s">
        <v>104</v>
      </c>
      <c r="CK12" s="6" t="s">
        <v>104</v>
      </c>
      <c r="CL12" s="12">
        <v>49819.19</v>
      </c>
      <c r="CM12" s="12">
        <v>19888.16</v>
      </c>
    </row>
    <row r="13" spans="1:91" x14ac:dyDescent="0.35">
      <c r="A13" s="5" t="s">
        <v>26</v>
      </c>
      <c r="B13" s="13">
        <v>1075.6600000000001</v>
      </c>
      <c r="C13" s="13">
        <v>11.81</v>
      </c>
      <c r="D13" s="13">
        <v>88.16</v>
      </c>
      <c r="E13" s="13">
        <v>0.08</v>
      </c>
      <c r="F13" s="13">
        <v>0.37</v>
      </c>
      <c r="G13" s="13">
        <v>16.98</v>
      </c>
      <c r="H13" s="13">
        <v>0.85</v>
      </c>
      <c r="I13" s="13">
        <v>498.54</v>
      </c>
      <c r="J13" s="13">
        <v>218.93</v>
      </c>
      <c r="K13" s="13">
        <v>0.62</v>
      </c>
      <c r="L13" s="13">
        <v>0.13</v>
      </c>
      <c r="M13" s="12">
        <v>41.06</v>
      </c>
      <c r="N13" s="43">
        <v>0</v>
      </c>
      <c r="O13" s="43">
        <v>0</v>
      </c>
      <c r="P13" s="43">
        <v>0</v>
      </c>
      <c r="Q13" s="43">
        <v>0</v>
      </c>
      <c r="R13" s="43">
        <v>0</v>
      </c>
      <c r="S13" s="43">
        <v>0</v>
      </c>
      <c r="T13" s="43">
        <v>0</v>
      </c>
      <c r="U13" s="43">
        <v>0</v>
      </c>
      <c r="V13" s="13">
        <v>2.48</v>
      </c>
      <c r="W13" s="13">
        <v>10.029999999999999</v>
      </c>
      <c r="X13" s="13">
        <v>1.24</v>
      </c>
      <c r="Y13" s="13">
        <v>0.57999999999999996</v>
      </c>
      <c r="Z13" s="13">
        <v>3.68</v>
      </c>
      <c r="AA13" s="13">
        <v>0.18</v>
      </c>
      <c r="AB13" s="13">
        <v>0.15</v>
      </c>
      <c r="AC13" s="13">
        <v>0.54</v>
      </c>
      <c r="AD13" s="13">
        <v>0.21</v>
      </c>
      <c r="AE13" s="13">
        <v>0.09</v>
      </c>
      <c r="AF13" s="13">
        <v>44.06</v>
      </c>
      <c r="AG13" s="13">
        <v>2.5099999999999998</v>
      </c>
      <c r="AH13" s="13">
        <v>20.329999999999998</v>
      </c>
      <c r="AJ13" s="13">
        <v>0.13</v>
      </c>
      <c r="AK13" s="13">
        <v>7.31</v>
      </c>
      <c r="AL13" s="13">
        <v>27.87</v>
      </c>
      <c r="AM13" s="13">
        <v>7.0000000000000007E-2</v>
      </c>
      <c r="AN13" s="13">
        <v>17.010000000000002</v>
      </c>
      <c r="AO13" s="13">
        <v>3.86</v>
      </c>
      <c r="AP13" s="13">
        <v>1.52</v>
      </c>
      <c r="AQ13" s="13">
        <v>0.14000000000000001</v>
      </c>
      <c r="AR13" s="13">
        <v>3.03</v>
      </c>
      <c r="AS13" s="13">
        <v>1.05</v>
      </c>
      <c r="AT13" s="7">
        <v>0</v>
      </c>
      <c r="AU13" s="13">
        <v>3.39</v>
      </c>
      <c r="AV13" s="13">
        <v>0.06</v>
      </c>
      <c r="AW13" s="13">
        <v>7.0000000000000007E-2</v>
      </c>
      <c r="AX13" s="13">
        <v>0.01</v>
      </c>
      <c r="AY13" s="13">
        <v>1.39</v>
      </c>
      <c r="AZ13" s="13">
        <v>0.02</v>
      </c>
      <c r="BA13" s="7">
        <v>0</v>
      </c>
      <c r="BB13" s="13">
        <v>0.02</v>
      </c>
      <c r="BC13" s="13">
        <v>2.04</v>
      </c>
      <c r="BD13" s="13">
        <v>2.61</v>
      </c>
      <c r="BE13" s="13">
        <v>1.48</v>
      </c>
      <c r="BF13" s="13">
        <v>3.86</v>
      </c>
      <c r="BG13" s="13">
        <v>0.25</v>
      </c>
      <c r="BH13" s="13">
        <v>0.23</v>
      </c>
      <c r="BI13" s="13">
        <v>4.1500000000000004</v>
      </c>
      <c r="BJ13" s="13">
        <v>0.24</v>
      </c>
      <c r="BK13" s="13">
        <v>0.03</v>
      </c>
      <c r="BL13" s="13">
        <v>4.7300000000000004</v>
      </c>
      <c r="BM13" s="13">
        <v>14.42</v>
      </c>
      <c r="BN13" s="13">
        <v>0.38</v>
      </c>
      <c r="BO13" s="13">
        <v>1.22</v>
      </c>
      <c r="BP13" s="13">
        <v>1.0900000000000001</v>
      </c>
      <c r="BQ13" s="13">
        <v>5.34</v>
      </c>
      <c r="BR13" s="13">
        <v>0.48</v>
      </c>
      <c r="BS13" s="13">
        <v>1.19</v>
      </c>
      <c r="BT13" s="13">
        <v>0.1</v>
      </c>
      <c r="BU13" s="13">
        <v>1.3</v>
      </c>
      <c r="BV13" s="13">
        <v>0.01</v>
      </c>
      <c r="BW13" s="7">
        <v>0</v>
      </c>
      <c r="BX13" s="13">
        <v>257.27999999999997</v>
      </c>
      <c r="BY13" s="7">
        <v>0</v>
      </c>
      <c r="BZ13" s="13">
        <v>257.27999999999997</v>
      </c>
      <c r="CA13" s="7">
        <v>0</v>
      </c>
      <c r="CB13" s="13">
        <v>34.56</v>
      </c>
      <c r="CC13" s="13">
        <v>34.340000000000003</v>
      </c>
      <c r="CD13" s="7">
        <v>0</v>
      </c>
      <c r="CE13" s="7" t="s">
        <v>104</v>
      </c>
      <c r="CF13" s="7">
        <v>0</v>
      </c>
      <c r="CG13" s="7" t="s">
        <v>104</v>
      </c>
      <c r="CH13" s="7">
        <v>0</v>
      </c>
      <c r="CI13" s="13">
        <v>0.22</v>
      </c>
      <c r="CJ13" s="7" t="s">
        <v>104</v>
      </c>
      <c r="CK13" s="7" t="s">
        <v>104</v>
      </c>
      <c r="CL13" s="13">
        <v>1367.5</v>
      </c>
      <c r="CM13" s="13">
        <v>291.83999999999997</v>
      </c>
    </row>
    <row r="14" spans="1:91" x14ac:dyDescent="0.35">
      <c r="A14" s="5" t="s">
        <v>27</v>
      </c>
      <c r="B14" s="12">
        <v>4672.9799999999996</v>
      </c>
      <c r="C14" s="12">
        <v>15.56</v>
      </c>
      <c r="D14" s="12">
        <v>0.68</v>
      </c>
      <c r="E14" s="12">
        <v>72.02</v>
      </c>
      <c r="F14" s="12">
        <v>1.02</v>
      </c>
      <c r="G14" s="12">
        <v>3235.86</v>
      </c>
      <c r="H14" s="12">
        <v>1.64</v>
      </c>
      <c r="I14" s="12">
        <v>0.36</v>
      </c>
      <c r="J14" s="12">
        <v>0.44</v>
      </c>
      <c r="K14" s="12">
        <v>0.01</v>
      </c>
      <c r="L14" s="12">
        <v>0.16</v>
      </c>
      <c r="M14" s="12">
        <v>55.59</v>
      </c>
      <c r="N14" s="43">
        <v>0</v>
      </c>
      <c r="O14" s="43">
        <v>0</v>
      </c>
      <c r="P14" s="43">
        <v>0</v>
      </c>
      <c r="Q14" s="43">
        <v>0</v>
      </c>
      <c r="R14" s="43">
        <v>0</v>
      </c>
      <c r="S14" s="43">
        <v>0</v>
      </c>
      <c r="T14" s="43">
        <v>0</v>
      </c>
      <c r="U14" s="43">
        <v>0</v>
      </c>
      <c r="V14" s="12">
        <v>44.3</v>
      </c>
      <c r="W14" s="12">
        <v>0.25</v>
      </c>
      <c r="X14" s="12">
        <v>0.1</v>
      </c>
      <c r="Y14" s="12">
        <v>0.28999999999999998</v>
      </c>
      <c r="Z14" s="12">
        <v>0.19</v>
      </c>
      <c r="AA14" s="12">
        <v>0.53</v>
      </c>
      <c r="AB14" s="12">
        <v>0.27</v>
      </c>
      <c r="AC14" s="12">
        <v>0.31</v>
      </c>
      <c r="AD14" s="12">
        <v>0.39</v>
      </c>
      <c r="AE14" s="12">
        <v>0.01</v>
      </c>
      <c r="AF14" s="12">
        <v>1.2</v>
      </c>
      <c r="AG14" s="12">
        <v>0.71</v>
      </c>
      <c r="AH14" s="13">
        <v>10.37</v>
      </c>
      <c r="AJ14" s="12">
        <v>0.08</v>
      </c>
      <c r="AK14" s="12">
        <v>1.37</v>
      </c>
      <c r="AL14" s="12">
        <v>14.33</v>
      </c>
      <c r="AM14" s="12">
        <v>0.54</v>
      </c>
      <c r="AN14" s="12">
        <v>94.91</v>
      </c>
      <c r="AO14" s="12">
        <v>30.84</v>
      </c>
      <c r="AP14" s="12">
        <v>7.2</v>
      </c>
      <c r="AQ14" s="12">
        <v>2.33</v>
      </c>
      <c r="AR14" s="12">
        <v>0.1</v>
      </c>
      <c r="AS14" s="12">
        <v>6.54</v>
      </c>
      <c r="AT14" s="12">
        <v>0.21</v>
      </c>
      <c r="AU14" s="12">
        <v>853.2</v>
      </c>
      <c r="AV14" s="12">
        <v>0.5</v>
      </c>
      <c r="AW14" s="12">
        <v>0.53</v>
      </c>
      <c r="AX14" s="12">
        <v>0.95</v>
      </c>
      <c r="AY14" s="12">
        <v>8.43</v>
      </c>
      <c r="AZ14" s="12">
        <v>0.72</v>
      </c>
      <c r="BA14" s="12">
        <v>0.59</v>
      </c>
      <c r="BB14" s="12">
        <v>0.32</v>
      </c>
      <c r="BC14" s="12">
        <v>13.22</v>
      </c>
      <c r="BD14" s="12">
        <v>20.38</v>
      </c>
      <c r="BE14" s="12">
        <v>3.71</v>
      </c>
      <c r="BF14" s="12">
        <v>12.84</v>
      </c>
      <c r="BG14" s="12">
        <v>1.99</v>
      </c>
      <c r="BH14" s="12">
        <v>2.36</v>
      </c>
      <c r="BI14" s="12">
        <v>32.479999999999997</v>
      </c>
      <c r="BJ14" s="12">
        <v>1.44</v>
      </c>
      <c r="BK14" s="12">
        <v>0.5</v>
      </c>
      <c r="BL14" s="12">
        <v>15.75</v>
      </c>
      <c r="BM14" s="12">
        <v>4.8600000000000003</v>
      </c>
      <c r="BN14" s="12">
        <v>6.62</v>
      </c>
      <c r="BO14" s="12">
        <v>25.63</v>
      </c>
      <c r="BP14" s="12">
        <v>31.97</v>
      </c>
      <c r="BQ14" s="12">
        <v>13.79</v>
      </c>
      <c r="BR14" s="12">
        <v>12.63</v>
      </c>
      <c r="BS14" s="12">
        <v>5.58</v>
      </c>
      <c r="BT14" s="12">
        <v>0.18</v>
      </c>
      <c r="BU14" s="12">
        <v>1.07</v>
      </c>
      <c r="BV14" s="12">
        <v>7.0000000000000007E-2</v>
      </c>
      <c r="BW14" s="6">
        <v>0</v>
      </c>
      <c r="BX14" s="12">
        <v>2819.14</v>
      </c>
      <c r="BY14" s="6">
        <v>0</v>
      </c>
      <c r="BZ14" s="12">
        <v>2819.14</v>
      </c>
      <c r="CA14" s="6">
        <v>0</v>
      </c>
      <c r="CB14" s="12">
        <v>-94.48</v>
      </c>
      <c r="CC14" s="12">
        <v>-102.7</v>
      </c>
      <c r="CD14" s="6">
        <v>0</v>
      </c>
      <c r="CE14" s="6" t="s">
        <v>104</v>
      </c>
      <c r="CF14" s="6">
        <v>0</v>
      </c>
      <c r="CG14" s="6" t="s">
        <v>104</v>
      </c>
      <c r="CH14" s="6">
        <v>0</v>
      </c>
      <c r="CI14" s="12">
        <v>8.2200000000000006</v>
      </c>
      <c r="CJ14" s="6" t="s">
        <v>104</v>
      </c>
      <c r="CK14" s="6" t="s">
        <v>104</v>
      </c>
      <c r="CL14" s="12">
        <v>7397.64</v>
      </c>
      <c r="CM14" s="12">
        <v>2724.66</v>
      </c>
    </row>
    <row r="15" spans="1:91" x14ac:dyDescent="0.35">
      <c r="A15" s="5" t="s">
        <v>28</v>
      </c>
      <c r="B15" s="13">
        <v>419718.97</v>
      </c>
      <c r="C15" s="13">
        <v>1170.02</v>
      </c>
      <c r="D15" s="13">
        <v>11.38</v>
      </c>
      <c r="E15" s="13">
        <v>7.97</v>
      </c>
      <c r="F15" s="13">
        <v>1879.13</v>
      </c>
      <c r="G15" s="13">
        <v>2466.29</v>
      </c>
      <c r="H15" s="13">
        <v>376.76</v>
      </c>
      <c r="I15" s="13">
        <v>61.18</v>
      </c>
      <c r="J15" s="13">
        <v>1514.33</v>
      </c>
      <c r="K15" s="13">
        <v>79.540000000000006</v>
      </c>
      <c r="L15" s="13">
        <v>244051.82</v>
      </c>
      <c r="M15" s="12">
        <v>23220.21</v>
      </c>
      <c r="N15" s="43">
        <v>0</v>
      </c>
      <c r="O15" s="43">
        <v>0</v>
      </c>
      <c r="P15" s="43">
        <v>0</v>
      </c>
      <c r="Q15" s="43">
        <v>0</v>
      </c>
      <c r="R15" s="43">
        <v>0</v>
      </c>
      <c r="S15" s="43">
        <v>0</v>
      </c>
      <c r="T15" s="43">
        <v>0</v>
      </c>
      <c r="U15" s="43">
        <v>0</v>
      </c>
      <c r="V15" s="13">
        <v>399.42</v>
      </c>
      <c r="W15" s="13">
        <v>630.48</v>
      </c>
      <c r="X15" s="13">
        <v>5260.42</v>
      </c>
      <c r="Y15" s="13">
        <v>32850.67</v>
      </c>
      <c r="Z15" s="13">
        <v>1734.41</v>
      </c>
      <c r="AA15" s="13">
        <v>110.66</v>
      </c>
      <c r="AB15" s="13">
        <v>448.48</v>
      </c>
      <c r="AC15" s="13">
        <v>971.21</v>
      </c>
      <c r="AD15" s="13">
        <v>399.43</v>
      </c>
      <c r="AE15" s="13">
        <v>220.02</v>
      </c>
      <c r="AF15" s="13">
        <v>507.03</v>
      </c>
      <c r="AG15" s="13">
        <v>578.66</v>
      </c>
      <c r="AH15" s="13">
        <v>72495.429999999993</v>
      </c>
      <c r="AJ15" s="13">
        <v>324.60000000000002</v>
      </c>
      <c r="AK15" s="13">
        <v>598.58000000000004</v>
      </c>
      <c r="AL15" s="13">
        <v>5477.06</v>
      </c>
      <c r="AM15" s="13">
        <v>70.14</v>
      </c>
      <c r="AN15" s="13">
        <v>8049.84</v>
      </c>
      <c r="AO15" s="13">
        <v>1028.46</v>
      </c>
      <c r="AP15" s="13">
        <v>1959.78</v>
      </c>
      <c r="AQ15" s="13">
        <v>44.83</v>
      </c>
      <c r="AR15" s="13">
        <v>17.8</v>
      </c>
      <c r="AS15" s="13">
        <v>527.15</v>
      </c>
      <c r="AT15" s="13">
        <v>117.52</v>
      </c>
      <c r="AU15" s="13">
        <v>747.48</v>
      </c>
      <c r="AV15" s="13">
        <v>13.7</v>
      </c>
      <c r="AW15" s="13">
        <v>10.42</v>
      </c>
      <c r="AX15" s="13">
        <v>80.88</v>
      </c>
      <c r="AY15" s="13">
        <v>606.71</v>
      </c>
      <c r="AZ15" s="13">
        <v>21.46</v>
      </c>
      <c r="BA15" s="13">
        <v>7.9</v>
      </c>
      <c r="BB15" s="13">
        <v>31.08</v>
      </c>
      <c r="BC15" s="13">
        <v>787.03</v>
      </c>
      <c r="BD15" s="13">
        <v>2694.76</v>
      </c>
      <c r="BE15" s="13">
        <v>855.73</v>
      </c>
      <c r="BF15" s="13">
        <v>762.64</v>
      </c>
      <c r="BG15" s="13">
        <v>67.180000000000007</v>
      </c>
      <c r="BH15" s="13">
        <v>129.1</v>
      </c>
      <c r="BI15" s="13">
        <v>597.77</v>
      </c>
      <c r="BJ15" s="13">
        <v>163.44999999999999</v>
      </c>
      <c r="BK15" s="13">
        <v>3.1</v>
      </c>
      <c r="BL15" s="13">
        <v>728.62</v>
      </c>
      <c r="BM15" s="13">
        <v>582.52</v>
      </c>
      <c r="BN15" s="13">
        <v>178.95</v>
      </c>
      <c r="BO15" s="13">
        <v>465.95</v>
      </c>
      <c r="BP15" s="13">
        <v>241.92</v>
      </c>
      <c r="BQ15" s="13">
        <v>43.12</v>
      </c>
      <c r="BR15" s="13">
        <v>82.26</v>
      </c>
      <c r="BS15" s="13">
        <v>66.489999999999995</v>
      </c>
      <c r="BT15" s="13">
        <v>8.27</v>
      </c>
      <c r="BU15" s="13">
        <v>78.58</v>
      </c>
      <c r="BV15" s="13">
        <v>1.22</v>
      </c>
      <c r="BW15" s="7">
        <v>0</v>
      </c>
      <c r="BX15" s="13">
        <v>20275.72</v>
      </c>
      <c r="BY15" s="13">
        <v>121.55</v>
      </c>
      <c r="BZ15" s="13">
        <v>20154.18</v>
      </c>
      <c r="CA15" s="7">
        <v>0</v>
      </c>
      <c r="CB15" s="13">
        <v>4958.07</v>
      </c>
      <c r="CC15" s="13">
        <v>4633.1099999999997</v>
      </c>
      <c r="CD15" s="7">
        <v>0</v>
      </c>
      <c r="CE15" s="7" t="s">
        <v>104</v>
      </c>
      <c r="CF15" s="7">
        <v>0</v>
      </c>
      <c r="CG15" s="7" t="s">
        <v>104</v>
      </c>
      <c r="CH15" s="7">
        <v>0</v>
      </c>
      <c r="CI15" s="13">
        <v>324.95999999999998</v>
      </c>
      <c r="CJ15" s="7" t="s">
        <v>104</v>
      </c>
      <c r="CK15" s="7" t="s">
        <v>104</v>
      </c>
      <c r="CL15" s="13">
        <v>444952.76</v>
      </c>
      <c r="CM15" s="13">
        <v>25233.79</v>
      </c>
    </row>
    <row r="16" spans="1:91" x14ac:dyDescent="0.35">
      <c r="A16" s="5" t="s">
        <v>29</v>
      </c>
      <c r="B16" s="12">
        <v>33329.67</v>
      </c>
      <c r="C16" s="12">
        <v>1583.59</v>
      </c>
      <c r="D16" s="12">
        <v>17.2</v>
      </c>
      <c r="E16" s="12">
        <v>48.54</v>
      </c>
      <c r="F16" s="12">
        <v>9.93</v>
      </c>
      <c r="G16" s="12">
        <v>19484.98</v>
      </c>
      <c r="H16" s="12">
        <v>218.33</v>
      </c>
      <c r="I16" s="12">
        <v>4.8099999999999996</v>
      </c>
      <c r="J16" s="12">
        <v>57.45</v>
      </c>
      <c r="K16" s="12">
        <v>2.0499999999999998</v>
      </c>
      <c r="L16" s="12">
        <v>114.1</v>
      </c>
      <c r="M16" s="58">
        <v>-1077.3599193333732</v>
      </c>
      <c r="N16" s="44">
        <v>1087.2770372694915</v>
      </c>
      <c r="O16" s="44">
        <v>1209.7228820638818</v>
      </c>
      <c r="P16" s="45">
        <v>0</v>
      </c>
      <c r="Q16" s="45">
        <v>0</v>
      </c>
      <c r="R16" s="45">
        <v>0</v>
      </c>
      <c r="S16" s="45">
        <v>0</v>
      </c>
      <c r="T16" s="45">
        <v>0</v>
      </c>
      <c r="U16" s="45">
        <v>0</v>
      </c>
      <c r="V16" s="12">
        <v>348.8</v>
      </c>
      <c r="W16" s="12">
        <v>41.43</v>
      </c>
      <c r="X16" s="12">
        <v>13.22</v>
      </c>
      <c r="Y16" s="12">
        <v>15.9</v>
      </c>
      <c r="Z16" s="12">
        <v>12.83</v>
      </c>
      <c r="AA16" s="12">
        <v>20.67</v>
      </c>
      <c r="AB16" s="12">
        <v>8.58</v>
      </c>
      <c r="AC16" s="12">
        <v>22.92</v>
      </c>
      <c r="AD16" s="12">
        <v>10.59</v>
      </c>
      <c r="AE16" s="12">
        <v>3.45</v>
      </c>
      <c r="AF16" s="12">
        <v>73.430000000000007</v>
      </c>
      <c r="AG16" s="12">
        <v>20.7</v>
      </c>
      <c r="AH16" s="13">
        <v>123.73</v>
      </c>
      <c r="AJ16" s="12">
        <v>1.66</v>
      </c>
      <c r="AK16" s="12">
        <v>55.48</v>
      </c>
      <c r="AL16" s="12">
        <v>74.790000000000006</v>
      </c>
      <c r="AM16" s="12">
        <v>13.23</v>
      </c>
      <c r="AN16" s="12">
        <v>900.11</v>
      </c>
      <c r="AO16" s="12">
        <v>455.76</v>
      </c>
      <c r="AP16" s="12">
        <v>60.04</v>
      </c>
      <c r="AQ16" s="12">
        <v>56.81</v>
      </c>
      <c r="AR16" s="12">
        <v>27.86</v>
      </c>
      <c r="AS16" s="12">
        <v>36.090000000000003</v>
      </c>
      <c r="AT16" s="12">
        <v>9.0500000000000007</v>
      </c>
      <c r="AU16" s="12">
        <v>5374.56</v>
      </c>
      <c r="AV16" s="12">
        <v>23.85</v>
      </c>
      <c r="AW16" s="12">
        <v>20.23</v>
      </c>
      <c r="AX16" s="12">
        <v>21.53</v>
      </c>
      <c r="AY16" s="12">
        <v>90.98</v>
      </c>
      <c r="AZ16" s="12">
        <v>6.45</v>
      </c>
      <c r="BA16" s="12">
        <v>4.53</v>
      </c>
      <c r="BB16" s="12">
        <v>5.83</v>
      </c>
      <c r="BC16" s="12">
        <v>97.49</v>
      </c>
      <c r="BD16" s="12">
        <v>122.17</v>
      </c>
      <c r="BE16" s="12">
        <v>36.409999999999997</v>
      </c>
      <c r="BF16" s="12">
        <v>144.30000000000001</v>
      </c>
      <c r="BG16" s="12">
        <v>23.23</v>
      </c>
      <c r="BH16" s="12">
        <v>48.53</v>
      </c>
      <c r="BI16" s="12">
        <v>123.78</v>
      </c>
      <c r="BJ16" s="12">
        <v>14.54</v>
      </c>
      <c r="BK16" s="12">
        <v>16.93</v>
      </c>
      <c r="BL16" s="12">
        <v>211.37</v>
      </c>
      <c r="BM16" s="12">
        <v>228.23</v>
      </c>
      <c r="BN16" s="12">
        <v>228.36</v>
      </c>
      <c r="BO16" s="12">
        <v>651.30999999999995</v>
      </c>
      <c r="BP16" s="12">
        <v>426.72</v>
      </c>
      <c r="BQ16" s="12">
        <v>46.16</v>
      </c>
      <c r="BR16" s="12">
        <v>119.03</v>
      </c>
      <c r="BS16" s="12">
        <v>43.61</v>
      </c>
      <c r="BT16" s="12">
        <v>3.41</v>
      </c>
      <c r="BU16" s="12">
        <v>27.66</v>
      </c>
      <c r="BV16" s="12">
        <v>0.73</v>
      </c>
      <c r="BW16" s="6">
        <v>0</v>
      </c>
      <c r="BX16" s="12">
        <v>48645.45</v>
      </c>
      <c r="BY16" s="12">
        <v>47.97</v>
      </c>
      <c r="BZ16" s="12">
        <v>48523.24</v>
      </c>
      <c r="CA16" s="12">
        <v>74.239999999999995</v>
      </c>
      <c r="CB16" s="12">
        <v>1942.86</v>
      </c>
      <c r="CC16" s="12">
        <v>1942.86</v>
      </c>
      <c r="CD16" s="6">
        <v>0</v>
      </c>
      <c r="CE16" s="6" t="s">
        <v>104</v>
      </c>
      <c r="CF16" s="6">
        <v>0</v>
      </c>
      <c r="CG16" s="6" t="s">
        <v>104</v>
      </c>
      <c r="CH16" s="6">
        <v>0</v>
      </c>
      <c r="CI16" s="6">
        <v>0</v>
      </c>
      <c r="CJ16" s="6" t="s">
        <v>104</v>
      </c>
      <c r="CK16" s="6" t="s">
        <v>104</v>
      </c>
      <c r="CL16" s="12">
        <v>83917.98</v>
      </c>
      <c r="CM16" s="12">
        <v>50588.31</v>
      </c>
    </row>
    <row r="17" spans="1:91" x14ac:dyDescent="0.35">
      <c r="A17" s="5" t="s">
        <v>30</v>
      </c>
      <c r="B17" s="13">
        <v>33921.31</v>
      </c>
      <c r="C17" s="13">
        <v>171.27</v>
      </c>
      <c r="D17" s="13">
        <v>21.64</v>
      </c>
      <c r="E17" s="13">
        <v>18.54</v>
      </c>
      <c r="F17" s="13">
        <v>29.18</v>
      </c>
      <c r="G17" s="13">
        <v>417.97</v>
      </c>
      <c r="H17" s="13">
        <v>12927.21</v>
      </c>
      <c r="I17" s="13">
        <v>92.47</v>
      </c>
      <c r="J17" s="13">
        <v>577.33000000000004</v>
      </c>
      <c r="K17" s="13">
        <v>225.77</v>
      </c>
      <c r="L17" s="13">
        <v>63.38</v>
      </c>
      <c r="M17" s="12">
        <v>465.06</v>
      </c>
      <c r="N17" s="43">
        <v>0</v>
      </c>
      <c r="O17" s="43">
        <v>0</v>
      </c>
      <c r="P17" s="43">
        <v>0</v>
      </c>
      <c r="Q17" s="43">
        <v>0</v>
      </c>
      <c r="R17" s="43">
        <v>0</v>
      </c>
      <c r="S17" s="43">
        <v>0</v>
      </c>
      <c r="T17" s="43">
        <v>0</v>
      </c>
      <c r="U17" s="43">
        <v>0</v>
      </c>
      <c r="V17" s="7">
        <v>177</v>
      </c>
      <c r="W17" s="13">
        <v>1303.22</v>
      </c>
      <c r="X17" s="13">
        <v>222.02</v>
      </c>
      <c r="Y17" s="13">
        <v>131.35</v>
      </c>
      <c r="Z17" s="13">
        <v>394.5</v>
      </c>
      <c r="AA17" s="13">
        <v>133.53</v>
      </c>
      <c r="AB17" s="13">
        <v>191.16</v>
      </c>
      <c r="AC17" s="13">
        <v>386.25</v>
      </c>
      <c r="AD17" s="13">
        <v>1868.57</v>
      </c>
      <c r="AE17" s="13">
        <v>271.36</v>
      </c>
      <c r="AF17" s="13">
        <v>1728.12</v>
      </c>
      <c r="AG17" s="13">
        <v>243.2</v>
      </c>
      <c r="AH17" s="13">
        <v>209.43</v>
      </c>
      <c r="AJ17" s="13">
        <v>12.63</v>
      </c>
      <c r="AK17" s="13">
        <v>168.51</v>
      </c>
      <c r="AL17" s="13">
        <v>1055.29</v>
      </c>
      <c r="AM17" s="13">
        <v>251.16</v>
      </c>
      <c r="AN17" s="13">
        <v>1552.76</v>
      </c>
      <c r="AO17" s="13">
        <v>942.05</v>
      </c>
      <c r="AP17" s="13">
        <v>240.55</v>
      </c>
      <c r="AQ17" s="13">
        <v>69.92</v>
      </c>
      <c r="AR17" s="13">
        <v>31.97</v>
      </c>
      <c r="AS17" s="13">
        <v>210.69</v>
      </c>
      <c r="AT17" s="13">
        <v>74.010000000000005</v>
      </c>
      <c r="AU17" s="13">
        <v>635.32000000000005</v>
      </c>
      <c r="AV17" s="13">
        <v>36.39</v>
      </c>
      <c r="AW17" s="13">
        <v>293.86</v>
      </c>
      <c r="AX17" s="13">
        <v>121.56</v>
      </c>
      <c r="AY17" s="13">
        <v>190.81</v>
      </c>
      <c r="AZ17" s="13">
        <v>35.96</v>
      </c>
      <c r="BA17" s="13">
        <v>18.510000000000002</v>
      </c>
      <c r="BB17" s="13">
        <v>24.51</v>
      </c>
      <c r="BC17" s="13">
        <v>194.03</v>
      </c>
      <c r="BD17" s="13">
        <v>302.37</v>
      </c>
      <c r="BE17" s="13">
        <v>136.72</v>
      </c>
      <c r="BF17" s="13">
        <v>301.70999999999998</v>
      </c>
      <c r="BG17" s="7">
        <v>47</v>
      </c>
      <c r="BH17" s="13">
        <v>176.54</v>
      </c>
      <c r="BI17" s="13">
        <v>230.41</v>
      </c>
      <c r="BJ17" s="13">
        <v>82.65</v>
      </c>
      <c r="BK17" s="13">
        <v>36.799999999999997</v>
      </c>
      <c r="BL17" s="13">
        <v>463.04</v>
      </c>
      <c r="BM17" s="13">
        <v>600.52</v>
      </c>
      <c r="BN17" s="13">
        <v>272.97000000000003</v>
      </c>
      <c r="BO17" s="13">
        <v>1586.86</v>
      </c>
      <c r="BP17" s="13">
        <v>516.30999999999995</v>
      </c>
      <c r="BQ17" s="13">
        <v>250.39</v>
      </c>
      <c r="BR17" s="13">
        <v>172.26</v>
      </c>
      <c r="BS17" s="13">
        <v>71.540000000000006</v>
      </c>
      <c r="BT17" s="13">
        <v>88.02</v>
      </c>
      <c r="BU17" s="13">
        <v>153.06</v>
      </c>
      <c r="BV17" s="13">
        <v>2.13</v>
      </c>
      <c r="BW17" s="7">
        <v>0</v>
      </c>
      <c r="BX17" s="13">
        <v>79746.720000000001</v>
      </c>
      <c r="BY17" s="13">
        <v>116.42</v>
      </c>
      <c r="BZ17" s="13">
        <v>79533.45</v>
      </c>
      <c r="CA17" s="13">
        <v>96.85</v>
      </c>
      <c r="CB17" s="13">
        <v>14648.18</v>
      </c>
      <c r="CC17" s="13">
        <v>14021.59</v>
      </c>
      <c r="CD17" s="7">
        <v>0</v>
      </c>
      <c r="CE17" s="7" t="s">
        <v>104</v>
      </c>
      <c r="CF17" s="7">
        <v>0</v>
      </c>
      <c r="CG17" s="7" t="s">
        <v>104</v>
      </c>
      <c r="CH17" s="7">
        <v>0</v>
      </c>
      <c r="CI17" s="13">
        <v>626.59</v>
      </c>
      <c r="CJ17" s="7" t="s">
        <v>104</v>
      </c>
      <c r="CK17" s="7" t="s">
        <v>104</v>
      </c>
      <c r="CL17" s="13">
        <v>128316.21</v>
      </c>
      <c r="CM17" s="13">
        <v>94394.89</v>
      </c>
    </row>
    <row r="18" spans="1:91" x14ac:dyDescent="0.35">
      <c r="A18" s="5" t="s">
        <v>31</v>
      </c>
      <c r="B18" s="12">
        <v>14405.27</v>
      </c>
      <c r="C18" s="12">
        <v>188.52</v>
      </c>
      <c r="D18" s="12">
        <v>27.84</v>
      </c>
      <c r="E18" s="12">
        <v>5.25</v>
      </c>
      <c r="F18" s="12">
        <v>19.079999999999998</v>
      </c>
      <c r="G18" s="12">
        <v>474.96</v>
      </c>
      <c r="H18" s="12">
        <v>38.33</v>
      </c>
      <c r="I18" s="12">
        <v>3464.21</v>
      </c>
      <c r="J18" s="12">
        <v>283.83999999999997</v>
      </c>
      <c r="K18" s="12">
        <v>15.12</v>
      </c>
      <c r="L18" s="12">
        <v>10.4</v>
      </c>
      <c r="M18" s="12">
        <v>120.35</v>
      </c>
      <c r="N18" s="43">
        <v>0</v>
      </c>
      <c r="O18" s="43">
        <v>0</v>
      </c>
      <c r="P18" s="43">
        <v>0</v>
      </c>
      <c r="Q18" s="43">
        <v>0</v>
      </c>
      <c r="R18" s="43">
        <v>0</v>
      </c>
      <c r="S18" s="43">
        <v>0</v>
      </c>
      <c r="T18" s="43">
        <v>0</v>
      </c>
      <c r="U18" s="43">
        <v>0</v>
      </c>
      <c r="V18" s="12">
        <v>34.47</v>
      </c>
      <c r="W18" s="12">
        <v>155.88999999999999</v>
      </c>
      <c r="X18" s="12">
        <v>145.62</v>
      </c>
      <c r="Y18" s="12">
        <v>101.9</v>
      </c>
      <c r="Z18" s="12">
        <v>267.75</v>
      </c>
      <c r="AA18" s="12">
        <v>38.71</v>
      </c>
      <c r="AB18" s="12">
        <v>75.5</v>
      </c>
      <c r="AC18" s="12">
        <v>120.1</v>
      </c>
      <c r="AD18" s="12">
        <v>173.25</v>
      </c>
      <c r="AE18" s="12">
        <v>105.55</v>
      </c>
      <c r="AF18" s="12">
        <v>1927.91</v>
      </c>
      <c r="AG18" s="12">
        <v>166.53</v>
      </c>
      <c r="AH18" s="13">
        <v>295.52999999999997</v>
      </c>
      <c r="AJ18" s="12">
        <v>2.46</v>
      </c>
      <c r="AK18" s="12">
        <v>53.73</v>
      </c>
      <c r="AL18" s="12">
        <v>4408.17</v>
      </c>
      <c r="AM18" s="12">
        <v>29.22</v>
      </c>
      <c r="AN18" s="12">
        <v>332.16</v>
      </c>
      <c r="AO18" s="12">
        <v>126.2</v>
      </c>
      <c r="AP18" s="12">
        <v>69.77</v>
      </c>
      <c r="AQ18" s="12">
        <v>3.69</v>
      </c>
      <c r="AR18" s="12">
        <v>2.5099999999999998</v>
      </c>
      <c r="AS18" s="12">
        <v>65.260000000000005</v>
      </c>
      <c r="AT18" s="12">
        <v>3.37</v>
      </c>
      <c r="AU18" s="12">
        <v>102.12</v>
      </c>
      <c r="AV18" s="12">
        <v>10.97</v>
      </c>
      <c r="AW18" s="12">
        <v>56.25</v>
      </c>
      <c r="AX18" s="12">
        <v>21.13</v>
      </c>
      <c r="AY18" s="12">
        <v>47.96</v>
      </c>
      <c r="AZ18" s="12">
        <v>2.36</v>
      </c>
      <c r="BA18" s="12">
        <v>1.52</v>
      </c>
      <c r="BB18" s="12">
        <v>3.32</v>
      </c>
      <c r="BC18" s="12">
        <v>166.33</v>
      </c>
      <c r="BD18" s="12">
        <v>44.36</v>
      </c>
      <c r="BE18" s="12">
        <v>45.35</v>
      </c>
      <c r="BF18" s="12">
        <v>53.78</v>
      </c>
      <c r="BG18" s="12">
        <v>17.97</v>
      </c>
      <c r="BH18" s="12">
        <v>23.31</v>
      </c>
      <c r="BI18" s="12">
        <v>66.73</v>
      </c>
      <c r="BJ18" s="12">
        <v>4.9000000000000004</v>
      </c>
      <c r="BK18" s="12">
        <v>1.46</v>
      </c>
      <c r="BL18" s="12">
        <v>181.35</v>
      </c>
      <c r="BM18" s="12">
        <v>27.64</v>
      </c>
      <c r="BN18" s="12">
        <v>33.74</v>
      </c>
      <c r="BO18" s="12">
        <v>13.81</v>
      </c>
      <c r="BP18" s="12">
        <v>16.79</v>
      </c>
      <c r="BQ18" s="12">
        <v>28.91</v>
      </c>
      <c r="BR18" s="12">
        <v>14.49</v>
      </c>
      <c r="BS18" s="12">
        <v>11.2</v>
      </c>
      <c r="BT18" s="12">
        <v>10.61</v>
      </c>
      <c r="BU18" s="12">
        <v>43.35</v>
      </c>
      <c r="BV18" s="12">
        <v>0.44</v>
      </c>
      <c r="BW18" s="6">
        <v>0</v>
      </c>
      <c r="BX18" s="12">
        <v>1812.18</v>
      </c>
      <c r="BY18" s="6">
        <v>0</v>
      </c>
      <c r="BZ18" s="12">
        <v>1812.18</v>
      </c>
      <c r="CA18" s="6">
        <v>0</v>
      </c>
      <c r="CB18" s="12">
        <v>735.8</v>
      </c>
      <c r="CC18" s="12">
        <v>244.76</v>
      </c>
      <c r="CD18" s="6">
        <v>0</v>
      </c>
      <c r="CE18" s="6" t="s">
        <v>104</v>
      </c>
      <c r="CF18" s="6">
        <v>0</v>
      </c>
      <c r="CG18" s="6" t="s">
        <v>104</v>
      </c>
      <c r="CH18" s="6">
        <v>0</v>
      </c>
      <c r="CI18" s="12">
        <v>491.03</v>
      </c>
      <c r="CJ18" s="6" t="s">
        <v>104</v>
      </c>
      <c r="CK18" s="6" t="s">
        <v>104</v>
      </c>
      <c r="CL18" s="12">
        <v>16953.240000000002</v>
      </c>
      <c r="CM18" s="12">
        <v>2547.9699999999998</v>
      </c>
    </row>
    <row r="19" spans="1:91" x14ac:dyDescent="0.35">
      <c r="A19" s="5" t="s">
        <v>32</v>
      </c>
      <c r="B19" s="13">
        <v>14416.64</v>
      </c>
      <c r="C19" s="13">
        <v>43.52</v>
      </c>
      <c r="D19" s="13">
        <v>28.92</v>
      </c>
      <c r="E19" s="13">
        <v>1.19</v>
      </c>
      <c r="F19" s="13">
        <v>9.25</v>
      </c>
      <c r="G19" s="13">
        <v>1375.77</v>
      </c>
      <c r="H19" s="13">
        <v>81.16</v>
      </c>
      <c r="I19" s="13">
        <v>163.41999999999999</v>
      </c>
      <c r="J19" s="13">
        <v>5736.06</v>
      </c>
      <c r="K19" s="13">
        <v>846.76</v>
      </c>
      <c r="L19" s="13">
        <v>20.61</v>
      </c>
      <c r="M19" s="12">
        <v>401.99</v>
      </c>
      <c r="N19" s="43">
        <v>0</v>
      </c>
      <c r="O19" s="43">
        <v>0</v>
      </c>
      <c r="P19" s="43">
        <v>0</v>
      </c>
      <c r="Q19" s="43">
        <v>0</v>
      </c>
      <c r="R19" s="43">
        <v>0</v>
      </c>
      <c r="S19" s="43">
        <v>0</v>
      </c>
      <c r="T19" s="43">
        <v>0</v>
      </c>
      <c r="U19" s="43">
        <v>0</v>
      </c>
      <c r="V19" s="13">
        <v>265.41000000000003</v>
      </c>
      <c r="W19" s="13">
        <v>353.84</v>
      </c>
      <c r="X19" s="13">
        <v>105.92</v>
      </c>
      <c r="Y19" s="13">
        <v>44.82</v>
      </c>
      <c r="Z19" s="13">
        <v>95.07</v>
      </c>
      <c r="AA19" s="13">
        <v>72.45</v>
      </c>
      <c r="AB19" s="13">
        <v>94.62</v>
      </c>
      <c r="AC19" s="13">
        <v>82.68</v>
      </c>
      <c r="AD19" s="13">
        <v>91.18</v>
      </c>
      <c r="AE19" s="13">
        <v>12.72</v>
      </c>
      <c r="AF19" s="13">
        <v>248.84</v>
      </c>
      <c r="AG19" s="13">
        <v>38.5</v>
      </c>
      <c r="AH19" s="13">
        <v>133.34</v>
      </c>
      <c r="AJ19" s="13">
        <v>4.18</v>
      </c>
      <c r="AK19" s="13">
        <v>92.23</v>
      </c>
      <c r="AL19" s="13">
        <v>212.17</v>
      </c>
      <c r="AM19" s="13">
        <v>39.25</v>
      </c>
      <c r="AN19" s="13">
        <v>558.22</v>
      </c>
      <c r="AO19" s="13">
        <v>252.33</v>
      </c>
      <c r="AP19" s="13">
        <v>57.63</v>
      </c>
      <c r="AQ19" s="13">
        <v>4.62</v>
      </c>
      <c r="AR19" s="13">
        <v>7.24</v>
      </c>
      <c r="AS19" s="13">
        <v>51.35</v>
      </c>
      <c r="AT19" s="13">
        <v>11.99</v>
      </c>
      <c r="AU19" s="13">
        <v>146.35</v>
      </c>
      <c r="AV19" s="13">
        <v>473.77</v>
      </c>
      <c r="AW19" s="13">
        <v>49.6</v>
      </c>
      <c r="AX19" s="13">
        <v>18.72</v>
      </c>
      <c r="AY19" s="13">
        <v>388.15</v>
      </c>
      <c r="AZ19" s="13">
        <v>57.28</v>
      </c>
      <c r="BA19" s="13">
        <v>37.17</v>
      </c>
      <c r="BB19" s="13">
        <v>50.77</v>
      </c>
      <c r="BC19" s="13">
        <v>86.05</v>
      </c>
      <c r="BD19" s="13">
        <v>221.56</v>
      </c>
      <c r="BE19" s="13">
        <v>70.489999999999995</v>
      </c>
      <c r="BF19" s="13">
        <v>96.88</v>
      </c>
      <c r="BG19" s="13">
        <v>82.29</v>
      </c>
      <c r="BH19" s="13">
        <v>59.47</v>
      </c>
      <c r="BI19" s="13">
        <v>91.21</v>
      </c>
      <c r="BJ19" s="13">
        <v>15.69</v>
      </c>
      <c r="BK19" s="13">
        <v>17.38</v>
      </c>
      <c r="BL19" s="13">
        <v>175.09</v>
      </c>
      <c r="BM19" s="13">
        <v>140.18</v>
      </c>
      <c r="BN19" s="13">
        <v>70.98</v>
      </c>
      <c r="BO19" s="13">
        <v>237.43</v>
      </c>
      <c r="BP19" s="13">
        <v>85.02</v>
      </c>
      <c r="BQ19" s="13">
        <v>25.07</v>
      </c>
      <c r="BR19" s="13">
        <v>18.579999999999998</v>
      </c>
      <c r="BS19" s="13">
        <v>22.89</v>
      </c>
      <c r="BT19" s="13">
        <v>3.42</v>
      </c>
      <c r="BU19" s="13">
        <v>35.36</v>
      </c>
      <c r="BV19" s="13">
        <v>0.55000000000000004</v>
      </c>
      <c r="BW19" s="7">
        <v>0</v>
      </c>
      <c r="BX19" s="13">
        <v>2813.46</v>
      </c>
      <c r="BY19" s="13">
        <v>29.06</v>
      </c>
      <c r="BZ19" s="13">
        <v>2784.39</v>
      </c>
      <c r="CA19" s="7">
        <v>0</v>
      </c>
      <c r="CB19" s="13">
        <v>15.4</v>
      </c>
      <c r="CC19" s="13">
        <v>15.33</v>
      </c>
      <c r="CD19" s="7">
        <v>0</v>
      </c>
      <c r="CE19" s="7" t="s">
        <v>104</v>
      </c>
      <c r="CF19" s="7">
        <v>0</v>
      </c>
      <c r="CG19" s="6" t="s">
        <v>104</v>
      </c>
      <c r="CH19" s="7">
        <v>0</v>
      </c>
      <c r="CI19" s="13">
        <v>7.0000000000000007E-2</v>
      </c>
      <c r="CJ19" s="7" t="s">
        <v>104</v>
      </c>
      <c r="CK19" s="7" t="s">
        <v>104</v>
      </c>
      <c r="CL19" s="13">
        <v>17245.5</v>
      </c>
      <c r="CM19" s="13">
        <v>2828.86</v>
      </c>
    </row>
    <row r="20" spans="1:91" x14ac:dyDescent="0.35">
      <c r="A20" s="5" t="s">
        <v>33</v>
      </c>
      <c r="B20" s="12">
        <v>5949.24</v>
      </c>
      <c r="C20" s="12">
        <v>8.73</v>
      </c>
      <c r="D20" s="12">
        <v>1.07</v>
      </c>
      <c r="E20" s="12">
        <v>0.95</v>
      </c>
      <c r="F20" s="12">
        <v>1.39</v>
      </c>
      <c r="G20" s="12">
        <v>78.39</v>
      </c>
      <c r="H20" s="12">
        <v>27.64</v>
      </c>
      <c r="I20" s="12">
        <v>7.01</v>
      </c>
      <c r="J20" s="12">
        <v>406.31</v>
      </c>
      <c r="K20" s="12">
        <v>505.38</v>
      </c>
      <c r="L20" s="12">
        <v>3.62</v>
      </c>
      <c r="M20" s="12">
        <v>138.07</v>
      </c>
      <c r="N20" s="43">
        <v>0</v>
      </c>
      <c r="O20" s="43">
        <v>0</v>
      </c>
      <c r="P20" s="43">
        <v>0</v>
      </c>
      <c r="Q20" s="43">
        <v>0</v>
      </c>
      <c r="R20" s="43">
        <v>0</v>
      </c>
      <c r="S20" s="43">
        <v>0</v>
      </c>
      <c r="T20" s="43">
        <v>0</v>
      </c>
      <c r="U20" s="43">
        <v>0</v>
      </c>
      <c r="V20" s="12">
        <v>54.68</v>
      </c>
      <c r="W20" s="12">
        <v>231.1</v>
      </c>
      <c r="X20" s="12">
        <v>12.32</v>
      </c>
      <c r="Y20" s="12">
        <v>32.28</v>
      </c>
      <c r="Z20" s="12">
        <v>73.39</v>
      </c>
      <c r="AA20" s="12">
        <v>40.19</v>
      </c>
      <c r="AB20" s="12">
        <v>19.8</v>
      </c>
      <c r="AC20" s="12">
        <v>136.19999999999999</v>
      </c>
      <c r="AD20" s="12">
        <v>53.6</v>
      </c>
      <c r="AE20" s="12">
        <v>7.59</v>
      </c>
      <c r="AF20" s="12">
        <v>30.55</v>
      </c>
      <c r="AG20" s="12">
        <v>30.18</v>
      </c>
      <c r="AH20" s="13">
        <v>36.659999999999997</v>
      </c>
      <c r="AJ20" s="12">
        <v>4.5</v>
      </c>
      <c r="AK20" s="12">
        <v>23.01</v>
      </c>
      <c r="AL20" s="12">
        <v>72.27</v>
      </c>
      <c r="AM20" s="12">
        <v>52.28</v>
      </c>
      <c r="AN20" s="12">
        <v>395.67</v>
      </c>
      <c r="AO20" s="12">
        <v>238.71</v>
      </c>
      <c r="AP20" s="12">
        <v>134.97999999999999</v>
      </c>
      <c r="AQ20" s="12">
        <v>1.1599999999999999</v>
      </c>
      <c r="AR20" s="12">
        <v>5.79</v>
      </c>
      <c r="AS20" s="12">
        <v>29.48</v>
      </c>
      <c r="AT20" s="12">
        <v>78.69</v>
      </c>
      <c r="AU20" s="12">
        <v>54.17</v>
      </c>
      <c r="AV20" s="12">
        <v>464.03</v>
      </c>
      <c r="AW20" s="12">
        <v>126.88</v>
      </c>
      <c r="AX20" s="12">
        <v>55.66</v>
      </c>
      <c r="AY20" s="12">
        <v>323.02999999999997</v>
      </c>
      <c r="AZ20" s="12">
        <v>125.34</v>
      </c>
      <c r="BA20" s="12">
        <v>92.36</v>
      </c>
      <c r="BB20" s="12">
        <v>117.79</v>
      </c>
      <c r="BC20" s="12">
        <v>46.33</v>
      </c>
      <c r="BD20" s="12">
        <v>330.09</v>
      </c>
      <c r="BE20" s="12">
        <v>61.14</v>
      </c>
      <c r="BF20" s="12">
        <v>80.44</v>
      </c>
      <c r="BG20" s="12">
        <v>226.86</v>
      </c>
      <c r="BH20" s="12">
        <v>63.51</v>
      </c>
      <c r="BI20" s="12">
        <v>58.71</v>
      </c>
      <c r="BJ20" s="12">
        <v>22.39</v>
      </c>
      <c r="BK20" s="12">
        <v>20.92</v>
      </c>
      <c r="BL20" s="12">
        <v>144.22999999999999</v>
      </c>
      <c r="BM20" s="12">
        <v>232.97</v>
      </c>
      <c r="BN20" s="12">
        <v>116.97</v>
      </c>
      <c r="BO20" s="12">
        <v>44.51</v>
      </c>
      <c r="BP20" s="12">
        <v>34.82</v>
      </c>
      <c r="BQ20" s="12">
        <v>42.41</v>
      </c>
      <c r="BR20" s="12">
        <v>38.76</v>
      </c>
      <c r="BS20" s="12">
        <v>41.06</v>
      </c>
      <c r="BT20" s="12">
        <v>3.15</v>
      </c>
      <c r="BU20" s="12">
        <v>6.24</v>
      </c>
      <c r="BV20" s="12">
        <v>0.88</v>
      </c>
      <c r="BW20" s="6">
        <v>0</v>
      </c>
      <c r="BX20" s="12">
        <v>157.06</v>
      </c>
      <c r="BY20" s="12">
        <v>1.49</v>
      </c>
      <c r="BZ20" s="12">
        <v>155.57</v>
      </c>
      <c r="CA20" s="6">
        <v>0</v>
      </c>
      <c r="CB20" s="12">
        <v>-904.67</v>
      </c>
      <c r="CC20" s="12">
        <v>-933.11</v>
      </c>
      <c r="CD20" s="6">
        <v>0</v>
      </c>
      <c r="CE20" s="6" t="s">
        <v>104</v>
      </c>
      <c r="CF20" s="6">
        <v>0</v>
      </c>
      <c r="CG20" s="6" t="s">
        <v>104</v>
      </c>
      <c r="CH20" s="6">
        <v>0</v>
      </c>
      <c r="CI20" s="12">
        <v>28.44</v>
      </c>
      <c r="CJ20" s="6" t="s">
        <v>104</v>
      </c>
      <c r="CK20" s="6" t="s">
        <v>104</v>
      </c>
      <c r="CL20" s="12">
        <v>5201.63</v>
      </c>
      <c r="CM20" s="12">
        <v>-747.61</v>
      </c>
    </row>
    <row r="21" spans="1:91" x14ac:dyDescent="0.35">
      <c r="A21" s="5" t="s">
        <v>34</v>
      </c>
      <c r="B21" s="13">
        <v>43753.11</v>
      </c>
      <c r="C21" s="13">
        <v>1209.23</v>
      </c>
      <c r="D21" s="13">
        <v>76.95</v>
      </c>
      <c r="E21" s="13">
        <v>43.12</v>
      </c>
      <c r="F21" s="13">
        <v>140.99</v>
      </c>
      <c r="G21" s="7">
        <v>539</v>
      </c>
      <c r="H21" s="13">
        <v>47.74</v>
      </c>
      <c r="I21" s="13">
        <v>61.87</v>
      </c>
      <c r="J21" s="13">
        <v>61.16</v>
      </c>
      <c r="K21" s="13">
        <v>7.33</v>
      </c>
      <c r="L21" s="13">
        <v>5972.58</v>
      </c>
      <c r="M21" s="12">
        <v>5857.18</v>
      </c>
      <c r="N21" s="43">
        <v>0</v>
      </c>
      <c r="O21" s="43">
        <v>0</v>
      </c>
      <c r="P21" s="43">
        <v>0</v>
      </c>
      <c r="Q21" s="43">
        <v>0</v>
      </c>
      <c r="R21" s="43">
        <v>0</v>
      </c>
      <c r="S21" s="43">
        <v>0</v>
      </c>
      <c r="T21" s="43">
        <v>0</v>
      </c>
      <c r="U21" s="43">
        <v>0</v>
      </c>
      <c r="V21" s="13">
        <v>146.28</v>
      </c>
      <c r="W21" s="13">
        <v>138.83000000000001</v>
      </c>
      <c r="X21" s="13">
        <v>674.32</v>
      </c>
      <c r="Y21" s="13">
        <v>922.86</v>
      </c>
      <c r="Z21" s="13">
        <v>247.51</v>
      </c>
      <c r="AA21" s="13">
        <v>23.27</v>
      </c>
      <c r="AB21" s="13">
        <v>142.38999999999999</v>
      </c>
      <c r="AC21" s="13">
        <v>200.11</v>
      </c>
      <c r="AD21" s="13">
        <v>125.22</v>
      </c>
      <c r="AE21" s="13">
        <v>44.19</v>
      </c>
      <c r="AF21" s="13">
        <v>136.84</v>
      </c>
      <c r="AG21" s="13">
        <v>169.2</v>
      </c>
      <c r="AH21" s="13">
        <v>1602.06</v>
      </c>
      <c r="AJ21" s="13">
        <v>33.950000000000003</v>
      </c>
      <c r="AK21" s="13">
        <v>353.86</v>
      </c>
      <c r="AL21" s="13">
        <v>1986.74</v>
      </c>
      <c r="AM21" s="13">
        <v>243.38</v>
      </c>
      <c r="AN21" s="13">
        <v>1108.8699999999999</v>
      </c>
      <c r="AO21" s="13">
        <v>414.64</v>
      </c>
      <c r="AP21" s="15">
        <v>4938.03</v>
      </c>
      <c r="AQ21" s="15">
        <v>7080.8</v>
      </c>
      <c r="AR21" s="15">
        <v>4451.22</v>
      </c>
      <c r="AS21" s="13">
        <v>1029.97</v>
      </c>
      <c r="AT21" s="13">
        <v>109.72</v>
      </c>
      <c r="AU21" s="13">
        <v>251.63</v>
      </c>
      <c r="AV21" s="13">
        <v>16.93</v>
      </c>
      <c r="AW21" s="13">
        <v>50.84</v>
      </c>
      <c r="AX21" s="13">
        <v>51.25</v>
      </c>
      <c r="AY21" s="13">
        <v>138.71</v>
      </c>
      <c r="AZ21" s="13">
        <v>27.8</v>
      </c>
      <c r="BA21" s="13">
        <v>52.18</v>
      </c>
      <c r="BB21" s="13">
        <v>24.44</v>
      </c>
      <c r="BC21" s="13">
        <v>135.72</v>
      </c>
      <c r="BD21" s="13">
        <v>231.24</v>
      </c>
      <c r="BE21" s="13">
        <v>145.93</v>
      </c>
      <c r="BF21" s="13">
        <v>152.91999999999999</v>
      </c>
      <c r="BG21" s="13">
        <v>37.299999999999997</v>
      </c>
      <c r="BH21" s="13">
        <v>62.47</v>
      </c>
      <c r="BI21" s="13">
        <v>626.26</v>
      </c>
      <c r="BJ21" s="13">
        <v>28.52</v>
      </c>
      <c r="BK21" s="13">
        <v>32.28</v>
      </c>
      <c r="BL21" s="13">
        <v>335.45</v>
      </c>
      <c r="BM21" s="13">
        <v>450.35</v>
      </c>
      <c r="BN21" s="13">
        <v>111.85</v>
      </c>
      <c r="BO21" s="13">
        <v>174.79</v>
      </c>
      <c r="BP21" s="13">
        <v>86.87</v>
      </c>
      <c r="BQ21" s="13">
        <v>41.15</v>
      </c>
      <c r="BR21" s="13">
        <v>49.43</v>
      </c>
      <c r="BS21" s="13">
        <v>38.54</v>
      </c>
      <c r="BT21" s="13">
        <v>9.7899999999999991</v>
      </c>
      <c r="BU21" s="13">
        <v>45.86</v>
      </c>
      <c r="BV21" s="13">
        <v>1.22</v>
      </c>
      <c r="BW21" s="7">
        <v>0</v>
      </c>
      <c r="BX21" s="13">
        <v>14816.47</v>
      </c>
      <c r="BY21" s="13">
        <v>176.39</v>
      </c>
      <c r="BZ21" s="13">
        <v>14640.08</v>
      </c>
      <c r="CA21" s="7">
        <v>0</v>
      </c>
      <c r="CB21" s="13">
        <v>-269.94</v>
      </c>
      <c r="CC21" s="13">
        <v>-269.94</v>
      </c>
      <c r="CD21" s="7">
        <v>0</v>
      </c>
      <c r="CE21" s="7" t="s">
        <v>104</v>
      </c>
      <c r="CF21" s="7">
        <v>0</v>
      </c>
      <c r="CG21" s="6" t="s">
        <v>104</v>
      </c>
      <c r="CH21" s="7">
        <v>0</v>
      </c>
      <c r="CI21" s="7">
        <v>0</v>
      </c>
      <c r="CJ21" s="7" t="s">
        <v>104</v>
      </c>
      <c r="CK21" s="7" t="s">
        <v>104</v>
      </c>
      <c r="CL21" s="13">
        <v>58299.63</v>
      </c>
      <c r="CM21" s="13">
        <v>14546.53</v>
      </c>
    </row>
    <row r="22" spans="1:91" x14ac:dyDescent="0.35">
      <c r="A22" s="52" t="s">
        <v>138</v>
      </c>
      <c r="B22" s="48">
        <v>110583.02</v>
      </c>
      <c r="C22" s="48">
        <v>4093.86</v>
      </c>
      <c r="D22" s="48">
        <v>80</v>
      </c>
      <c r="E22" s="48">
        <v>39.67</v>
      </c>
      <c r="F22" s="48">
        <v>300.14</v>
      </c>
      <c r="G22" s="48">
        <v>3433.42</v>
      </c>
      <c r="H22" s="48">
        <v>1758.98</v>
      </c>
      <c r="I22" s="48">
        <v>704.5</v>
      </c>
      <c r="J22" s="48">
        <v>1842.68</v>
      </c>
      <c r="K22" s="48">
        <v>363.06</v>
      </c>
      <c r="L22" s="48">
        <v>3540.72</v>
      </c>
      <c r="M22" s="48">
        <v>35103.89</v>
      </c>
      <c r="N22" s="48">
        <v>0</v>
      </c>
      <c r="O22" s="48">
        <v>0</v>
      </c>
      <c r="P22" s="48">
        <v>0</v>
      </c>
      <c r="Q22" s="48">
        <v>0</v>
      </c>
      <c r="R22" s="48">
        <v>0</v>
      </c>
      <c r="S22" s="48">
        <v>0</v>
      </c>
      <c r="T22" s="48">
        <v>0</v>
      </c>
      <c r="U22" s="48">
        <v>0</v>
      </c>
      <c r="V22" s="48">
        <v>7938.31</v>
      </c>
      <c r="W22" s="48">
        <v>13143.58</v>
      </c>
      <c r="X22" s="48">
        <v>1531.27</v>
      </c>
      <c r="Y22" s="48">
        <v>1570.64</v>
      </c>
      <c r="Z22" s="48">
        <v>2013.07</v>
      </c>
      <c r="AA22" s="48">
        <v>1148.08</v>
      </c>
      <c r="AB22" s="48">
        <v>1971.16</v>
      </c>
      <c r="AC22" s="48">
        <v>1201.94</v>
      </c>
      <c r="AD22" s="48">
        <v>1937.14</v>
      </c>
      <c r="AE22" s="48">
        <v>555.98</v>
      </c>
      <c r="AF22" s="48">
        <v>1307.3900000000001</v>
      </c>
      <c r="AG22" s="48">
        <v>620.49</v>
      </c>
      <c r="AH22" s="48">
        <v>2037.53</v>
      </c>
      <c r="AI22" s="48">
        <v>0</v>
      </c>
      <c r="AJ22" s="48">
        <v>55.77</v>
      </c>
      <c r="AK22" s="48">
        <v>387.46</v>
      </c>
      <c r="AL22" s="48">
        <v>3983.64</v>
      </c>
      <c r="AM22" s="48">
        <v>466</v>
      </c>
      <c r="AN22" s="48">
        <v>3607.54</v>
      </c>
      <c r="AO22" s="48">
        <v>764.92</v>
      </c>
      <c r="AP22" s="49">
        <v>443.64</v>
      </c>
      <c r="AQ22" s="48">
        <v>18.91</v>
      </c>
      <c r="AR22" s="48">
        <v>62.08</v>
      </c>
      <c r="AS22" s="48">
        <v>245.85</v>
      </c>
      <c r="AT22" s="48">
        <v>9.35</v>
      </c>
      <c r="AU22" s="48">
        <v>526.47</v>
      </c>
      <c r="AV22" s="48">
        <v>1024.8599999999999</v>
      </c>
      <c r="AW22" s="48">
        <v>76.38</v>
      </c>
      <c r="AX22" s="48">
        <v>28.54</v>
      </c>
      <c r="AY22" s="48">
        <v>728.52</v>
      </c>
      <c r="AZ22" s="48">
        <v>14.75</v>
      </c>
      <c r="BA22" s="48">
        <v>7.88</v>
      </c>
      <c r="BB22" s="48">
        <v>14.66</v>
      </c>
      <c r="BC22" s="48">
        <v>847.82</v>
      </c>
      <c r="BD22" s="48">
        <v>408.88</v>
      </c>
      <c r="BE22" s="48">
        <v>427.6</v>
      </c>
      <c r="BF22" s="48">
        <v>1584.91</v>
      </c>
      <c r="BG22" s="48">
        <v>64.14</v>
      </c>
      <c r="BH22" s="48">
        <v>242.27</v>
      </c>
      <c r="BI22" s="48">
        <v>701.43</v>
      </c>
      <c r="BJ22" s="48">
        <v>53.99</v>
      </c>
      <c r="BK22" s="48">
        <v>15.52</v>
      </c>
      <c r="BL22" s="48">
        <v>1069.0999999999999</v>
      </c>
      <c r="BM22" s="48">
        <v>262.37</v>
      </c>
      <c r="BN22" s="48">
        <v>173.71</v>
      </c>
      <c r="BO22" s="48">
        <v>2979.42</v>
      </c>
      <c r="BP22" s="48">
        <v>267.63</v>
      </c>
      <c r="BQ22" s="48">
        <v>88.65</v>
      </c>
      <c r="BR22" s="48">
        <v>57.14</v>
      </c>
      <c r="BS22" s="48">
        <v>70.09</v>
      </c>
      <c r="BT22" s="48">
        <v>16.260000000000002</v>
      </c>
      <c r="BU22" s="48">
        <v>546.75</v>
      </c>
      <c r="BV22" s="48">
        <v>0.67</v>
      </c>
      <c r="BW22" s="48">
        <v>0</v>
      </c>
      <c r="BX22" s="53">
        <v>6703.043236999999</v>
      </c>
      <c r="BY22" s="48">
        <v>20.98</v>
      </c>
      <c r="BZ22" s="48">
        <v>10398</v>
      </c>
      <c r="CA22" s="48">
        <v>7.0000000000000007E-2</v>
      </c>
      <c r="CB22" s="48">
        <v>2222.71</v>
      </c>
      <c r="CC22" s="48">
        <v>2212.08</v>
      </c>
      <c r="CD22" s="48">
        <v>0</v>
      </c>
      <c r="CE22" s="7" t="s">
        <v>104</v>
      </c>
      <c r="CF22" s="48">
        <v>0</v>
      </c>
      <c r="CG22" s="6" t="s">
        <v>104</v>
      </c>
      <c r="CH22" s="48">
        <v>0</v>
      </c>
      <c r="CI22" s="48">
        <v>10.63</v>
      </c>
      <c r="CJ22" s="7" t="s">
        <v>104</v>
      </c>
      <c r="CK22" s="7" t="s">
        <v>104</v>
      </c>
      <c r="CL22" s="48">
        <v>123224.78</v>
      </c>
      <c r="CM22" s="48">
        <v>12641.76</v>
      </c>
    </row>
    <row r="23" spans="1:91" x14ac:dyDescent="0.35">
      <c r="A23" s="52" t="s">
        <v>137</v>
      </c>
      <c r="B23" s="48">
        <v>110583.02</v>
      </c>
      <c r="C23" s="48">
        <v>4093.86</v>
      </c>
      <c r="D23" s="50">
        <v>80</v>
      </c>
      <c r="E23" s="48">
        <v>39.67</v>
      </c>
      <c r="F23" s="48">
        <v>300.14</v>
      </c>
      <c r="G23" s="48">
        <v>3433.42</v>
      </c>
      <c r="H23" s="48">
        <v>1758.98</v>
      </c>
      <c r="I23" s="48">
        <v>704.5</v>
      </c>
      <c r="J23" s="48">
        <v>1842.68</v>
      </c>
      <c r="K23" s="48">
        <v>363.06</v>
      </c>
      <c r="L23" s="48">
        <v>3540.72</v>
      </c>
      <c r="M23" s="48">
        <v>35103.89</v>
      </c>
      <c r="N23" s="51">
        <v>0</v>
      </c>
      <c r="O23" s="51">
        <v>0</v>
      </c>
      <c r="P23" s="51">
        <v>0</v>
      </c>
      <c r="Q23" s="51">
        <v>0</v>
      </c>
      <c r="R23" s="51">
        <v>0</v>
      </c>
      <c r="S23" s="51">
        <v>0</v>
      </c>
      <c r="T23" s="51">
        <v>0</v>
      </c>
      <c r="U23" s="51">
        <v>0</v>
      </c>
      <c r="V23" s="48">
        <v>7938.31</v>
      </c>
      <c r="W23" s="48">
        <v>13143.58</v>
      </c>
      <c r="X23" s="48">
        <v>1531.27</v>
      </c>
      <c r="Y23" s="48">
        <v>1570.64</v>
      </c>
      <c r="Z23" s="48">
        <v>2013.07</v>
      </c>
      <c r="AA23" s="48">
        <v>1148.08</v>
      </c>
      <c r="AB23" s="48">
        <v>1971.16</v>
      </c>
      <c r="AC23" s="48">
        <v>1201.94</v>
      </c>
      <c r="AD23" s="48">
        <v>1937.14</v>
      </c>
      <c r="AE23" s="48">
        <v>555.98</v>
      </c>
      <c r="AF23" s="48">
        <v>1307.3900000000001</v>
      </c>
      <c r="AG23" s="48">
        <v>620.49</v>
      </c>
      <c r="AH23" s="48">
        <v>2037.53</v>
      </c>
      <c r="AI23" s="52"/>
      <c r="AJ23" s="48">
        <v>55.77</v>
      </c>
      <c r="AK23" s="48">
        <v>387.46</v>
      </c>
      <c r="AL23" s="48">
        <v>3983.64</v>
      </c>
      <c r="AM23" s="50">
        <v>466</v>
      </c>
      <c r="AN23" s="48">
        <v>3607.54</v>
      </c>
      <c r="AO23" s="48">
        <v>764.92</v>
      </c>
      <c r="AP23" s="48">
        <v>443.64</v>
      </c>
      <c r="AQ23" s="48">
        <v>18.91</v>
      </c>
      <c r="AR23" s="48">
        <v>62.08</v>
      </c>
      <c r="AS23" s="48">
        <v>245.85</v>
      </c>
      <c r="AT23" s="48">
        <v>9.35</v>
      </c>
      <c r="AU23" s="48">
        <v>526.47</v>
      </c>
      <c r="AV23" s="48">
        <v>1024.8599999999999</v>
      </c>
      <c r="AW23" s="48">
        <v>76.38</v>
      </c>
      <c r="AX23" s="48">
        <v>28.54</v>
      </c>
      <c r="AY23" s="48">
        <v>728.52</v>
      </c>
      <c r="AZ23" s="48">
        <v>14.75</v>
      </c>
      <c r="BA23" s="48">
        <v>7.88</v>
      </c>
      <c r="BB23" s="48">
        <v>14.66</v>
      </c>
      <c r="BC23" s="48">
        <v>847.82</v>
      </c>
      <c r="BD23" s="48">
        <v>408.88</v>
      </c>
      <c r="BE23" s="48">
        <v>427.6</v>
      </c>
      <c r="BF23" s="48">
        <v>1584.91</v>
      </c>
      <c r="BG23" s="48">
        <v>64.14</v>
      </c>
      <c r="BH23" s="48">
        <v>242.27</v>
      </c>
      <c r="BI23" s="48">
        <v>701.43</v>
      </c>
      <c r="BJ23" s="48">
        <v>53.99</v>
      </c>
      <c r="BK23" s="48">
        <v>15.52</v>
      </c>
      <c r="BL23" s="48">
        <v>1069.0999999999999</v>
      </c>
      <c r="BM23" s="48">
        <v>262.37</v>
      </c>
      <c r="BN23" s="48">
        <v>173.71</v>
      </c>
      <c r="BO23" s="48">
        <v>2979.42</v>
      </c>
      <c r="BP23" s="48">
        <v>267.63</v>
      </c>
      <c r="BQ23" s="48">
        <v>88.65</v>
      </c>
      <c r="BR23" s="48">
        <v>57.14</v>
      </c>
      <c r="BS23" s="48">
        <v>70.09</v>
      </c>
      <c r="BT23" s="48">
        <v>16.260000000000002</v>
      </c>
      <c r="BU23" s="48">
        <v>546.75</v>
      </c>
      <c r="BV23" s="48">
        <v>0.67</v>
      </c>
      <c r="BW23" s="50">
        <v>0</v>
      </c>
      <c r="BX23" s="48">
        <v>10419.049999999999</v>
      </c>
      <c r="BY23" s="48">
        <v>20.98</v>
      </c>
      <c r="BZ23" s="50">
        <v>10398</v>
      </c>
      <c r="CA23" s="48">
        <v>7.0000000000000007E-2</v>
      </c>
      <c r="CB23" s="48">
        <v>2222.71</v>
      </c>
      <c r="CC23" s="48">
        <v>2212.08</v>
      </c>
      <c r="CD23" s="50">
        <v>0</v>
      </c>
      <c r="CE23" s="7" t="s">
        <v>104</v>
      </c>
      <c r="CF23" s="50">
        <v>0</v>
      </c>
      <c r="CG23" s="6" t="s">
        <v>104</v>
      </c>
      <c r="CH23" s="50">
        <v>0</v>
      </c>
      <c r="CI23" s="48">
        <v>10.63</v>
      </c>
      <c r="CJ23" s="50" t="s">
        <v>104</v>
      </c>
      <c r="CK23" s="50" t="s">
        <v>104</v>
      </c>
      <c r="CL23" s="48">
        <v>123224.78</v>
      </c>
      <c r="CM23" s="48">
        <v>12641.76</v>
      </c>
    </row>
    <row r="24" spans="1:91" x14ac:dyDescent="0.35">
      <c r="A24" s="16" t="s">
        <v>125</v>
      </c>
      <c r="B24" s="16"/>
      <c r="C24" s="43">
        <v>0</v>
      </c>
      <c r="D24" s="43">
        <v>0</v>
      </c>
      <c r="E24" s="43">
        <v>0</v>
      </c>
      <c r="F24" s="43">
        <v>0</v>
      </c>
      <c r="G24" s="43">
        <v>0</v>
      </c>
      <c r="H24" s="43">
        <v>0</v>
      </c>
      <c r="I24" s="43">
        <v>0</v>
      </c>
      <c r="J24" s="43">
        <v>0</v>
      </c>
      <c r="K24" s="43">
        <v>0</v>
      </c>
      <c r="L24" s="43">
        <v>0</v>
      </c>
      <c r="M24" s="12">
        <v>0</v>
      </c>
      <c r="N24" s="46">
        <v>0</v>
      </c>
      <c r="O24" s="46">
        <v>0</v>
      </c>
      <c r="P24" s="46">
        <v>0</v>
      </c>
      <c r="Q24" s="46">
        <v>0</v>
      </c>
      <c r="R24" s="46">
        <v>0</v>
      </c>
      <c r="S24" s="46">
        <v>0</v>
      </c>
      <c r="T24" s="46">
        <v>0</v>
      </c>
      <c r="U24" s="46">
        <v>0</v>
      </c>
      <c r="V24" s="46">
        <v>0</v>
      </c>
      <c r="W24" s="46">
        <v>0</v>
      </c>
      <c r="X24" s="46">
        <v>0</v>
      </c>
      <c r="Y24" s="46">
        <v>0</v>
      </c>
      <c r="Z24" s="46">
        <v>0</v>
      </c>
      <c r="AA24" s="46">
        <v>0</v>
      </c>
      <c r="AB24" s="46">
        <v>0</v>
      </c>
      <c r="AC24" s="46">
        <v>0</v>
      </c>
      <c r="AD24" s="46">
        <v>0</v>
      </c>
      <c r="AE24" s="46">
        <v>0</v>
      </c>
      <c r="AF24" s="46">
        <v>0</v>
      </c>
      <c r="AG24" s="46">
        <v>0</v>
      </c>
      <c r="AH24" s="46">
        <v>0</v>
      </c>
      <c r="AI24" s="46">
        <v>0</v>
      </c>
      <c r="AJ24" s="46">
        <v>0</v>
      </c>
      <c r="AK24" s="46">
        <v>0</v>
      </c>
      <c r="AL24" s="46">
        <v>0</v>
      </c>
      <c r="AM24" s="46">
        <v>0</v>
      </c>
      <c r="AN24" s="46">
        <v>0</v>
      </c>
      <c r="AO24" s="46">
        <v>0</v>
      </c>
      <c r="AP24" s="46">
        <v>0</v>
      </c>
      <c r="AQ24" s="46">
        <v>0</v>
      </c>
      <c r="AR24" s="46">
        <v>0</v>
      </c>
      <c r="AS24" s="46">
        <v>0</v>
      </c>
      <c r="AT24" s="46">
        <v>0</v>
      </c>
      <c r="AU24" s="46">
        <v>0</v>
      </c>
      <c r="AV24" s="46">
        <v>0</v>
      </c>
      <c r="AW24" s="46">
        <v>0</v>
      </c>
      <c r="AX24" s="46">
        <v>0</v>
      </c>
      <c r="AY24" s="46">
        <v>0</v>
      </c>
      <c r="AZ24" s="46">
        <v>0</v>
      </c>
      <c r="BA24" s="46">
        <v>0</v>
      </c>
      <c r="BB24" s="46">
        <v>0</v>
      </c>
      <c r="BC24" s="46">
        <v>0</v>
      </c>
      <c r="BD24" s="46">
        <v>0</v>
      </c>
      <c r="BE24" s="46">
        <v>0</v>
      </c>
      <c r="BF24" s="46">
        <v>0</v>
      </c>
      <c r="BG24" s="46">
        <v>0</v>
      </c>
      <c r="BH24" s="46">
        <v>0</v>
      </c>
      <c r="BI24" s="46">
        <v>0</v>
      </c>
      <c r="BJ24" s="46">
        <v>0</v>
      </c>
      <c r="BK24" s="46">
        <v>0</v>
      </c>
      <c r="BL24" s="46">
        <v>0</v>
      </c>
      <c r="BM24" s="46">
        <v>0</v>
      </c>
      <c r="BN24" s="46">
        <v>0</v>
      </c>
      <c r="BO24" s="46">
        <v>0</v>
      </c>
      <c r="BP24" s="46">
        <v>0</v>
      </c>
      <c r="BQ24" s="46">
        <v>0</v>
      </c>
      <c r="BR24" s="46">
        <v>0</v>
      </c>
      <c r="BS24" s="46">
        <v>0</v>
      </c>
      <c r="BT24" s="46">
        <v>0</v>
      </c>
      <c r="BU24" s="46">
        <v>0</v>
      </c>
      <c r="BV24" s="46">
        <v>0</v>
      </c>
      <c r="BW24" s="46">
        <v>0</v>
      </c>
      <c r="BX24" s="54">
        <v>2892.0746871000001</v>
      </c>
      <c r="BY24" s="43">
        <v>0</v>
      </c>
      <c r="BZ24" s="43">
        <v>0</v>
      </c>
      <c r="CA24" s="43">
        <v>0</v>
      </c>
      <c r="CB24" s="43">
        <v>0</v>
      </c>
      <c r="CC24" s="43">
        <v>0</v>
      </c>
      <c r="CD24" s="43">
        <v>0</v>
      </c>
      <c r="CE24" s="7" t="s">
        <v>104</v>
      </c>
      <c r="CF24" s="43">
        <v>0</v>
      </c>
      <c r="CG24" s="6" t="s">
        <v>104</v>
      </c>
      <c r="CH24" s="43">
        <v>0</v>
      </c>
      <c r="CI24" s="43">
        <v>0</v>
      </c>
      <c r="CJ24" s="43">
        <v>0</v>
      </c>
      <c r="CK24" s="43">
        <v>0</v>
      </c>
      <c r="CL24" s="43">
        <v>0</v>
      </c>
      <c r="CM24" s="43">
        <v>0</v>
      </c>
    </row>
    <row r="25" spans="1:91" x14ac:dyDescent="0.35">
      <c r="A25" s="16" t="s">
        <v>126</v>
      </c>
      <c r="B25" s="16"/>
      <c r="C25" s="43">
        <v>0</v>
      </c>
      <c r="D25" s="43">
        <v>0</v>
      </c>
      <c r="E25" s="43">
        <v>0</v>
      </c>
      <c r="F25" s="43">
        <v>0</v>
      </c>
      <c r="G25" s="43">
        <v>0</v>
      </c>
      <c r="H25" s="43">
        <v>0</v>
      </c>
      <c r="I25" s="43">
        <v>0</v>
      </c>
      <c r="J25" s="43">
        <v>0</v>
      </c>
      <c r="K25" s="43">
        <v>0</v>
      </c>
      <c r="L25" s="43">
        <v>0</v>
      </c>
      <c r="M25" s="12">
        <v>0</v>
      </c>
      <c r="N25" s="46">
        <v>0</v>
      </c>
      <c r="O25" s="46">
        <v>0</v>
      </c>
      <c r="P25" s="46">
        <v>0</v>
      </c>
      <c r="Q25" s="46">
        <v>0</v>
      </c>
      <c r="R25" s="46">
        <v>0</v>
      </c>
      <c r="S25" s="46">
        <v>0</v>
      </c>
      <c r="T25" s="46">
        <v>0</v>
      </c>
      <c r="U25" s="46">
        <v>0</v>
      </c>
      <c r="V25" s="46">
        <v>0</v>
      </c>
      <c r="W25" s="46">
        <v>0</v>
      </c>
      <c r="X25" s="46">
        <v>0</v>
      </c>
      <c r="Y25" s="46">
        <v>0</v>
      </c>
      <c r="Z25" s="46">
        <v>0</v>
      </c>
      <c r="AA25" s="46">
        <v>0</v>
      </c>
      <c r="AB25" s="46">
        <v>0</v>
      </c>
      <c r="AC25" s="46">
        <v>0</v>
      </c>
      <c r="AD25" s="46">
        <v>0</v>
      </c>
      <c r="AE25" s="46">
        <v>0</v>
      </c>
      <c r="AF25" s="46">
        <v>0</v>
      </c>
      <c r="AG25" s="46">
        <v>0</v>
      </c>
      <c r="AH25" s="46">
        <v>0</v>
      </c>
      <c r="AI25" s="46">
        <v>0</v>
      </c>
      <c r="AJ25" s="46">
        <v>0</v>
      </c>
      <c r="AK25" s="46">
        <v>0</v>
      </c>
      <c r="AL25" s="46">
        <v>0</v>
      </c>
      <c r="AM25" s="46">
        <v>0</v>
      </c>
      <c r="AN25" s="46">
        <v>0</v>
      </c>
      <c r="AO25" s="46">
        <v>0</v>
      </c>
      <c r="AP25" s="46">
        <v>0</v>
      </c>
      <c r="AQ25" s="46">
        <v>0</v>
      </c>
      <c r="AR25" s="46">
        <v>0</v>
      </c>
      <c r="AS25" s="46">
        <v>0</v>
      </c>
      <c r="AT25" s="46">
        <v>0</v>
      </c>
      <c r="AU25" s="46">
        <v>0</v>
      </c>
      <c r="AV25" s="46">
        <v>0</v>
      </c>
      <c r="AW25" s="46">
        <v>0</v>
      </c>
      <c r="AX25" s="46">
        <v>0</v>
      </c>
      <c r="AY25" s="46">
        <v>0</v>
      </c>
      <c r="AZ25" s="46">
        <v>0</v>
      </c>
      <c r="BA25" s="46">
        <v>0</v>
      </c>
      <c r="BB25" s="46">
        <v>0</v>
      </c>
      <c r="BC25" s="46">
        <v>0</v>
      </c>
      <c r="BD25" s="46">
        <v>0</v>
      </c>
      <c r="BE25" s="46">
        <v>0</v>
      </c>
      <c r="BF25" s="46">
        <v>0</v>
      </c>
      <c r="BG25" s="46">
        <v>0</v>
      </c>
      <c r="BH25" s="46">
        <v>0</v>
      </c>
      <c r="BI25" s="46">
        <v>0</v>
      </c>
      <c r="BJ25" s="46">
        <v>0</v>
      </c>
      <c r="BK25" s="46">
        <v>0</v>
      </c>
      <c r="BL25" s="46">
        <v>0</v>
      </c>
      <c r="BM25" s="46">
        <v>0</v>
      </c>
      <c r="BN25" s="46">
        <v>0</v>
      </c>
      <c r="BO25" s="46">
        <v>0</v>
      </c>
      <c r="BP25" s="46">
        <v>0</v>
      </c>
      <c r="BQ25" s="46">
        <v>0</v>
      </c>
      <c r="BR25" s="46">
        <v>0</v>
      </c>
      <c r="BS25" s="46">
        <v>0</v>
      </c>
      <c r="BT25" s="46">
        <v>0</v>
      </c>
      <c r="BU25" s="46">
        <v>0</v>
      </c>
      <c r="BV25" s="46">
        <v>0</v>
      </c>
      <c r="BW25" s="46">
        <v>0</v>
      </c>
      <c r="BX25" s="54">
        <v>321.34163190000004</v>
      </c>
      <c r="BY25" s="43">
        <v>0</v>
      </c>
      <c r="BZ25" s="43">
        <v>0</v>
      </c>
      <c r="CA25" s="43">
        <v>0</v>
      </c>
      <c r="CB25" s="43">
        <v>0</v>
      </c>
      <c r="CC25" s="43">
        <v>0</v>
      </c>
      <c r="CD25" s="43">
        <v>0</v>
      </c>
      <c r="CE25" s="7" t="s">
        <v>104</v>
      </c>
      <c r="CF25" s="43">
        <v>0</v>
      </c>
      <c r="CG25" s="6" t="s">
        <v>104</v>
      </c>
      <c r="CH25" s="43">
        <v>0</v>
      </c>
      <c r="CI25" s="43">
        <v>0</v>
      </c>
      <c r="CJ25" s="43">
        <v>0</v>
      </c>
      <c r="CK25" s="43">
        <v>0</v>
      </c>
      <c r="CL25" s="43">
        <v>0</v>
      </c>
      <c r="CM25" s="43">
        <v>0</v>
      </c>
    </row>
    <row r="26" spans="1:91" x14ac:dyDescent="0.35">
      <c r="A26" s="17" t="s">
        <v>127</v>
      </c>
      <c r="B26" s="17"/>
      <c r="C26" s="43">
        <v>0</v>
      </c>
      <c r="D26" s="43">
        <v>0</v>
      </c>
      <c r="E26" s="43">
        <v>0</v>
      </c>
      <c r="F26" s="43">
        <v>0</v>
      </c>
      <c r="G26" s="43">
        <v>0</v>
      </c>
      <c r="H26" s="43">
        <v>0</v>
      </c>
      <c r="I26" s="43">
        <v>0</v>
      </c>
      <c r="J26" s="43">
        <v>0</v>
      </c>
      <c r="K26" s="43">
        <v>0</v>
      </c>
      <c r="L26" s="43">
        <v>0</v>
      </c>
      <c r="M26" s="12">
        <v>0</v>
      </c>
      <c r="N26" s="46">
        <v>0</v>
      </c>
      <c r="O26" s="46">
        <v>0</v>
      </c>
      <c r="P26" s="46">
        <v>0</v>
      </c>
      <c r="Q26" s="46">
        <v>0</v>
      </c>
      <c r="R26" s="46">
        <v>0</v>
      </c>
      <c r="S26" s="46">
        <v>0</v>
      </c>
      <c r="T26" s="46">
        <v>0</v>
      </c>
      <c r="U26" s="46">
        <v>0</v>
      </c>
      <c r="V26" s="46">
        <v>0</v>
      </c>
      <c r="W26" s="46">
        <v>0</v>
      </c>
      <c r="X26" s="46">
        <v>0</v>
      </c>
      <c r="Y26" s="46">
        <v>0</v>
      </c>
      <c r="Z26" s="46">
        <v>0</v>
      </c>
      <c r="AA26" s="46">
        <v>0</v>
      </c>
      <c r="AB26" s="46">
        <v>0</v>
      </c>
      <c r="AC26" s="46">
        <v>0</v>
      </c>
      <c r="AD26" s="46">
        <v>0</v>
      </c>
      <c r="AE26" s="46">
        <v>0</v>
      </c>
      <c r="AF26" s="46">
        <v>0</v>
      </c>
      <c r="AG26" s="46">
        <v>0</v>
      </c>
      <c r="AH26" s="46">
        <v>0</v>
      </c>
      <c r="AI26" s="46">
        <v>0</v>
      </c>
      <c r="AJ26" s="46">
        <v>0</v>
      </c>
      <c r="AK26" s="46">
        <v>0</v>
      </c>
      <c r="AL26" s="46">
        <v>0</v>
      </c>
      <c r="AM26" s="46">
        <v>0</v>
      </c>
      <c r="AN26" s="46">
        <v>0</v>
      </c>
      <c r="AO26" s="46">
        <v>0</v>
      </c>
      <c r="AP26" s="46">
        <v>0</v>
      </c>
      <c r="AQ26" s="46">
        <v>0</v>
      </c>
      <c r="AR26" s="46">
        <v>0</v>
      </c>
      <c r="AS26" s="46">
        <v>0</v>
      </c>
      <c r="AT26" s="46">
        <v>0</v>
      </c>
      <c r="AU26" s="46">
        <v>0</v>
      </c>
      <c r="AV26" s="46">
        <v>0</v>
      </c>
      <c r="AW26" s="46">
        <v>0</v>
      </c>
      <c r="AX26" s="46">
        <v>0</v>
      </c>
      <c r="AY26" s="46">
        <v>0</v>
      </c>
      <c r="AZ26" s="46">
        <v>0</v>
      </c>
      <c r="BA26" s="46">
        <v>0</v>
      </c>
      <c r="BB26" s="46">
        <v>0</v>
      </c>
      <c r="BC26" s="46">
        <v>0</v>
      </c>
      <c r="BD26" s="46">
        <v>0</v>
      </c>
      <c r="BE26" s="46">
        <v>0</v>
      </c>
      <c r="BF26" s="46">
        <v>0</v>
      </c>
      <c r="BG26" s="46">
        <v>0</v>
      </c>
      <c r="BH26" s="46">
        <v>0</v>
      </c>
      <c r="BI26" s="46">
        <v>0</v>
      </c>
      <c r="BJ26" s="46">
        <v>0</v>
      </c>
      <c r="BK26" s="46">
        <v>0</v>
      </c>
      <c r="BL26" s="46">
        <v>0</v>
      </c>
      <c r="BM26" s="46">
        <v>0</v>
      </c>
      <c r="BN26" s="46">
        <v>0</v>
      </c>
      <c r="BO26" s="46">
        <v>0</v>
      </c>
      <c r="BP26" s="46">
        <v>0</v>
      </c>
      <c r="BQ26" s="46">
        <v>0</v>
      </c>
      <c r="BR26" s="46">
        <v>0</v>
      </c>
      <c r="BS26" s="46">
        <v>0</v>
      </c>
      <c r="BT26" s="46">
        <v>0</v>
      </c>
      <c r="BU26" s="46">
        <v>0</v>
      </c>
      <c r="BV26" s="46">
        <v>0</v>
      </c>
      <c r="BW26" s="46">
        <v>0</v>
      </c>
      <c r="BX26" s="54">
        <v>452.3313996</v>
      </c>
      <c r="BY26" s="43">
        <v>0</v>
      </c>
      <c r="BZ26" s="43">
        <v>0</v>
      </c>
      <c r="CA26" s="43">
        <v>0</v>
      </c>
      <c r="CB26" s="43">
        <v>0</v>
      </c>
      <c r="CC26" s="43">
        <v>0</v>
      </c>
      <c r="CD26" s="43">
        <v>0</v>
      </c>
      <c r="CE26" s="7" t="s">
        <v>104</v>
      </c>
      <c r="CF26" s="43">
        <v>0</v>
      </c>
      <c r="CG26" s="6" t="s">
        <v>104</v>
      </c>
      <c r="CH26" s="43">
        <v>0</v>
      </c>
      <c r="CI26" s="43">
        <v>0</v>
      </c>
      <c r="CJ26" s="43">
        <v>0</v>
      </c>
      <c r="CK26" s="43">
        <v>0</v>
      </c>
      <c r="CL26" s="43">
        <v>0</v>
      </c>
      <c r="CM26" s="43">
        <v>0</v>
      </c>
    </row>
    <row r="27" spans="1:91" x14ac:dyDescent="0.35">
      <c r="A27" s="17" t="s">
        <v>128</v>
      </c>
      <c r="B27" s="17"/>
      <c r="C27" s="43">
        <v>0</v>
      </c>
      <c r="D27" s="43">
        <v>0</v>
      </c>
      <c r="E27" s="43">
        <v>0</v>
      </c>
      <c r="F27" s="43">
        <v>0</v>
      </c>
      <c r="G27" s="43">
        <v>0</v>
      </c>
      <c r="H27" s="43">
        <v>0</v>
      </c>
      <c r="I27" s="43">
        <v>0</v>
      </c>
      <c r="J27" s="43">
        <v>0</v>
      </c>
      <c r="K27" s="43">
        <v>0</v>
      </c>
      <c r="L27" s="43">
        <v>0</v>
      </c>
      <c r="M27" s="12">
        <v>0</v>
      </c>
      <c r="N27" s="46">
        <v>0</v>
      </c>
      <c r="O27" s="46">
        <v>0</v>
      </c>
      <c r="P27" s="46">
        <v>0</v>
      </c>
      <c r="Q27" s="46">
        <v>0</v>
      </c>
      <c r="R27" s="46">
        <v>0</v>
      </c>
      <c r="S27" s="46">
        <v>0</v>
      </c>
      <c r="T27" s="46">
        <v>0</v>
      </c>
      <c r="U27" s="46">
        <v>0</v>
      </c>
      <c r="V27" s="46">
        <v>0</v>
      </c>
      <c r="W27" s="46">
        <v>0</v>
      </c>
      <c r="X27" s="46">
        <v>0</v>
      </c>
      <c r="Y27" s="46">
        <v>0</v>
      </c>
      <c r="Z27" s="46">
        <v>0</v>
      </c>
      <c r="AA27" s="46">
        <v>0</v>
      </c>
      <c r="AB27" s="46">
        <v>0</v>
      </c>
      <c r="AC27" s="46">
        <v>0</v>
      </c>
      <c r="AD27" s="46">
        <v>0</v>
      </c>
      <c r="AE27" s="46">
        <v>0</v>
      </c>
      <c r="AF27" s="46">
        <v>0</v>
      </c>
      <c r="AG27" s="46">
        <v>0</v>
      </c>
      <c r="AH27" s="46">
        <v>0</v>
      </c>
      <c r="AI27" s="46">
        <v>0</v>
      </c>
      <c r="AJ27" s="46">
        <v>0</v>
      </c>
      <c r="AK27" s="46">
        <v>0</v>
      </c>
      <c r="AL27" s="46">
        <v>0</v>
      </c>
      <c r="AM27" s="46">
        <v>0</v>
      </c>
      <c r="AN27" s="46">
        <v>0</v>
      </c>
      <c r="AO27" s="46">
        <v>0</v>
      </c>
      <c r="AP27" s="46">
        <v>0</v>
      </c>
      <c r="AQ27" s="46">
        <v>0</v>
      </c>
      <c r="AR27" s="46">
        <v>0</v>
      </c>
      <c r="AS27" s="46">
        <v>0</v>
      </c>
      <c r="AT27" s="46">
        <v>0</v>
      </c>
      <c r="AU27" s="46">
        <v>0</v>
      </c>
      <c r="AV27" s="46">
        <v>0</v>
      </c>
      <c r="AW27" s="46">
        <v>0</v>
      </c>
      <c r="AX27" s="46">
        <v>0</v>
      </c>
      <c r="AY27" s="46">
        <v>0</v>
      </c>
      <c r="AZ27" s="46">
        <v>0</v>
      </c>
      <c r="BA27" s="46">
        <v>0</v>
      </c>
      <c r="BB27" s="46">
        <v>0</v>
      </c>
      <c r="BC27" s="46">
        <v>0</v>
      </c>
      <c r="BD27" s="46">
        <v>0</v>
      </c>
      <c r="BE27" s="46">
        <v>0</v>
      </c>
      <c r="BF27" s="46">
        <v>0</v>
      </c>
      <c r="BG27" s="46">
        <v>0</v>
      </c>
      <c r="BH27" s="46">
        <v>0</v>
      </c>
      <c r="BI27" s="46">
        <v>0</v>
      </c>
      <c r="BJ27" s="46">
        <v>0</v>
      </c>
      <c r="BK27" s="46">
        <v>0</v>
      </c>
      <c r="BL27" s="46">
        <v>0</v>
      </c>
      <c r="BM27" s="46">
        <v>0</v>
      </c>
      <c r="BN27" s="46">
        <v>0</v>
      </c>
      <c r="BO27" s="46">
        <v>0</v>
      </c>
      <c r="BP27" s="46">
        <v>0</v>
      </c>
      <c r="BQ27" s="46">
        <v>0</v>
      </c>
      <c r="BR27" s="46">
        <v>0</v>
      </c>
      <c r="BS27" s="46">
        <v>0</v>
      </c>
      <c r="BT27" s="46">
        <v>0</v>
      </c>
      <c r="BU27" s="46">
        <v>0</v>
      </c>
      <c r="BV27" s="46">
        <v>0</v>
      </c>
      <c r="BW27" s="46">
        <v>0</v>
      </c>
      <c r="BX27" s="54">
        <v>50.259044400000001</v>
      </c>
      <c r="BY27" s="43">
        <v>0</v>
      </c>
      <c r="BZ27" s="43">
        <v>0</v>
      </c>
      <c r="CA27" s="43">
        <v>0</v>
      </c>
      <c r="CB27" s="43">
        <v>0</v>
      </c>
      <c r="CC27" s="43">
        <v>0</v>
      </c>
      <c r="CD27" s="43">
        <v>0</v>
      </c>
      <c r="CE27" s="7" t="s">
        <v>104</v>
      </c>
      <c r="CF27" s="43">
        <v>0</v>
      </c>
      <c r="CG27" s="6" t="s">
        <v>104</v>
      </c>
      <c r="CH27" s="43">
        <v>0</v>
      </c>
      <c r="CI27" s="43">
        <v>0</v>
      </c>
      <c r="CJ27" s="43">
        <v>0</v>
      </c>
      <c r="CK27" s="43">
        <v>0</v>
      </c>
      <c r="CL27" s="43">
        <v>0</v>
      </c>
      <c r="CM27" s="43">
        <v>0</v>
      </c>
    </row>
    <row r="28" spans="1:91" x14ac:dyDescent="0.35">
      <c r="A28" s="18" t="s">
        <v>129</v>
      </c>
      <c r="B28" s="18"/>
      <c r="C28" s="43">
        <v>0</v>
      </c>
      <c r="D28" s="43">
        <v>0</v>
      </c>
      <c r="E28" s="43">
        <v>0</v>
      </c>
      <c r="F28" s="43">
        <v>0</v>
      </c>
      <c r="G28" s="43">
        <v>0</v>
      </c>
      <c r="H28" s="43">
        <v>0</v>
      </c>
      <c r="I28" s="43">
        <v>0</v>
      </c>
      <c r="J28" s="43">
        <v>0</v>
      </c>
      <c r="K28" s="43">
        <v>0</v>
      </c>
      <c r="L28" s="43">
        <v>0</v>
      </c>
      <c r="M28" s="12">
        <v>0</v>
      </c>
      <c r="N28" s="46">
        <v>0</v>
      </c>
      <c r="O28" s="46">
        <v>0</v>
      </c>
      <c r="P28" s="46">
        <v>0</v>
      </c>
      <c r="Q28" s="46">
        <v>0</v>
      </c>
      <c r="R28" s="46">
        <v>0</v>
      </c>
      <c r="S28" s="46">
        <v>0</v>
      </c>
      <c r="T28" s="46">
        <v>0</v>
      </c>
      <c r="U28" s="46">
        <v>0</v>
      </c>
      <c r="V28" s="46">
        <v>0</v>
      </c>
      <c r="W28" s="46">
        <v>0</v>
      </c>
      <c r="X28" s="46">
        <v>0</v>
      </c>
      <c r="Y28" s="46">
        <v>0</v>
      </c>
      <c r="Z28" s="46">
        <v>0</v>
      </c>
      <c r="AA28" s="46">
        <v>0</v>
      </c>
      <c r="AB28" s="46">
        <v>0</v>
      </c>
      <c r="AC28" s="46">
        <v>0</v>
      </c>
      <c r="AD28" s="46">
        <v>0</v>
      </c>
      <c r="AE28" s="46">
        <v>0</v>
      </c>
      <c r="AF28" s="46">
        <v>0</v>
      </c>
      <c r="AG28" s="46">
        <v>0</v>
      </c>
      <c r="AH28" s="46">
        <v>0</v>
      </c>
      <c r="AI28" s="46">
        <v>0</v>
      </c>
      <c r="AJ28" s="46">
        <v>0</v>
      </c>
      <c r="AK28" s="46">
        <v>0</v>
      </c>
      <c r="AL28" s="46">
        <v>0</v>
      </c>
      <c r="AM28" s="46">
        <v>0</v>
      </c>
      <c r="AN28" s="46">
        <v>0</v>
      </c>
      <c r="AO28" s="46">
        <v>0</v>
      </c>
      <c r="AP28" s="46">
        <v>0</v>
      </c>
      <c r="AQ28" s="46">
        <v>0</v>
      </c>
      <c r="AR28" s="46">
        <v>0</v>
      </c>
      <c r="AS28" s="46">
        <v>0</v>
      </c>
      <c r="AT28" s="46">
        <v>0</v>
      </c>
      <c r="AU28" s="46">
        <v>0</v>
      </c>
      <c r="AV28" s="46">
        <v>0</v>
      </c>
      <c r="AW28" s="46">
        <v>0</v>
      </c>
      <c r="AX28" s="46">
        <v>0</v>
      </c>
      <c r="AY28" s="46">
        <v>0</v>
      </c>
      <c r="AZ28" s="46">
        <v>0</v>
      </c>
      <c r="BA28" s="46">
        <v>0</v>
      </c>
      <c r="BB28" s="46">
        <v>0</v>
      </c>
      <c r="BC28" s="46">
        <v>0</v>
      </c>
      <c r="BD28" s="46">
        <v>0</v>
      </c>
      <c r="BE28" s="46">
        <v>0</v>
      </c>
      <c r="BF28" s="46">
        <v>0</v>
      </c>
      <c r="BG28" s="46">
        <v>0</v>
      </c>
      <c r="BH28" s="46">
        <v>0</v>
      </c>
      <c r="BI28" s="46">
        <v>0</v>
      </c>
      <c r="BJ28" s="46">
        <v>0</v>
      </c>
      <c r="BK28" s="46">
        <v>0</v>
      </c>
      <c r="BL28" s="46">
        <v>0</v>
      </c>
      <c r="BM28" s="46">
        <v>0</v>
      </c>
      <c r="BN28" s="46">
        <v>0</v>
      </c>
      <c r="BO28" s="46">
        <v>0</v>
      </c>
      <c r="BP28" s="46">
        <v>0</v>
      </c>
      <c r="BQ28" s="46">
        <v>0</v>
      </c>
      <c r="BR28" s="46">
        <v>0</v>
      </c>
      <c r="BS28" s="46">
        <v>0</v>
      </c>
      <c r="BT28" s="46">
        <v>0</v>
      </c>
      <c r="BU28" s="46">
        <v>0</v>
      </c>
      <c r="BV28" s="46">
        <v>0</v>
      </c>
      <c r="BW28" s="46">
        <v>0</v>
      </c>
      <c r="BX28" s="55">
        <v>0</v>
      </c>
      <c r="BY28" s="43">
        <v>0</v>
      </c>
      <c r="BZ28" s="43">
        <v>0</v>
      </c>
      <c r="CA28" s="43">
        <v>0</v>
      </c>
      <c r="CB28" s="43">
        <v>0</v>
      </c>
      <c r="CC28" s="43">
        <v>0</v>
      </c>
      <c r="CD28" s="43">
        <v>0</v>
      </c>
      <c r="CE28" s="7" t="s">
        <v>104</v>
      </c>
      <c r="CF28" s="43">
        <v>0</v>
      </c>
      <c r="CG28" s="6" t="s">
        <v>104</v>
      </c>
      <c r="CH28" s="43">
        <v>0</v>
      </c>
      <c r="CI28" s="43">
        <v>0</v>
      </c>
      <c r="CJ28" s="43">
        <v>0</v>
      </c>
      <c r="CK28" s="43">
        <v>0</v>
      </c>
      <c r="CL28" s="43">
        <v>0</v>
      </c>
      <c r="CM28" s="43">
        <v>0</v>
      </c>
    </row>
    <row r="29" spans="1:91" x14ac:dyDescent="0.35">
      <c r="A29" s="18" t="s">
        <v>130</v>
      </c>
      <c r="B29" s="18"/>
      <c r="C29" s="43">
        <v>0</v>
      </c>
      <c r="D29" s="43">
        <v>0</v>
      </c>
      <c r="E29" s="43">
        <v>0</v>
      </c>
      <c r="F29" s="43">
        <v>0</v>
      </c>
      <c r="G29" s="43">
        <v>0</v>
      </c>
      <c r="H29" s="43">
        <v>0</v>
      </c>
      <c r="I29" s="43">
        <v>0</v>
      </c>
      <c r="J29" s="43">
        <v>0</v>
      </c>
      <c r="K29" s="43">
        <v>0</v>
      </c>
      <c r="L29" s="43">
        <v>0</v>
      </c>
      <c r="M29" s="12">
        <v>0</v>
      </c>
      <c r="N29" s="46">
        <v>0</v>
      </c>
      <c r="O29" s="46">
        <v>0</v>
      </c>
      <c r="P29" s="46">
        <v>0</v>
      </c>
      <c r="Q29" s="46">
        <v>0</v>
      </c>
      <c r="R29" s="46">
        <v>0</v>
      </c>
      <c r="S29" s="46">
        <v>0</v>
      </c>
      <c r="T29" s="46">
        <v>0</v>
      </c>
      <c r="U29" s="46">
        <v>0</v>
      </c>
      <c r="V29" s="46">
        <v>0</v>
      </c>
      <c r="W29" s="46">
        <v>0</v>
      </c>
      <c r="X29" s="46">
        <v>0</v>
      </c>
      <c r="Y29" s="46">
        <v>0</v>
      </c>
      <c r="Z29" s="46">
        <v>0</v>
      </c>
      <c r="AA29" s="46">
        <v>0</v>
      </c>
      <c r="AB29" s="46">
        <v>0</v>
      </c>
      <c r="AC29" s="46">
        <v>0</v>
      </c>
      <c r="AD29" s="46">
        <v>0</v>
      </c>
      <c r="AE29" s="46">
        <v>0</v>
      </c>
      <c r="AF29" s="46">
        <v>0</v>
      </c>
      <c r="AG29" s="46">
        <v>0</v>
      </c>
      <c r="AH29" s="46">
        <v>0</v>
      </c>
      <c r="AI29" s="46">
        <v>0</v>
      </c>
      <c r="AJ29" s="46">
        <v>0</v>
      </c>
      <c r="AK29" s="46">
        <v>0</v>
      </c>
      <c r="AL29" s="46">
        <v>0</v>
      </c>
      <c r="AM29" s="46">
        <v>0</v>
      </c>
      <c r="AN29" s="46">
        <v>0</v>
      </c>
      <c r="AO29" s="46">
        <v>0</v>
      </c>
      <c r="AP29" s="46">
        <v>0</v>
      </c>
      <c r="AQ29" s="46">
        <v>0</v>
      </c>
      <c r="AR29" s="46">
        <v>0</v>
      </c>
      <c r="AS29" s="46">
        <v>0</v>
      </c>
      <c r="AT29" s="46">
        <v>0</v>
      </c>
      <c r="AU29" s="46">
        <v>0</v>
      </c>
      <c r="AV29" s="46">
        <v>0</v>
      </c>
      <c r="AW29" s="46">
        <v>0</v>
      </c>
      <c r="AX29" s="46">
        <v>0</v>
      </c>
      <c r="AY29" s="46">
        <v>0</v>
      </c>
      <c r="AZ29" s="46">
        <v>0</v>
      </c>
      <c r="BA29" s="46">
        <v>0</v>
      </c>
      <c r="BB29" s="46">
        <v>0</v>
      </c>
      <c r="BC29" s="46">
        <v>0</v>
      </c>
      <c r="BD29" s="46">
        <v>0</v>
      </c>
      <c r="BE29" s="46">
        <v>0</v>
      </c>
      <c r="BF29" s="46">
        <v>0</v>
      </c>
      <c r="BG29" s="46">
        <v>0</v>
      </c>
      <c r="BH29" s="46">
        <v>0</v>
      </c>
      <c r="BI29" s="46">
        <v>0</v>
      </c>
      <c r="BJ29" s="46">
        <v>0</v>
      </c>
      <c r="BK29" s="46">
        <v>0</v>
      </c>
      <c r="BL29" s="46">
        <v>0</v>
      </c>
      <c r="BM29" s="46">
        <v>0</v>
      </c>
      <c r="BN29" s="46">
        <v>0</v>
      </c>
      <c r="BO29" s="46">
        <v>0</v>
      </c>
      <c r="BP29" s="46">
        <v>0</v>
      </c>
      <c r="BQ29" s="46">
        <v>0</v>
      </c>
      <c r="BR29" s="46">
        <v>0</v>
      </c>
      <c r="BS29" s="46">
        <v>0</v>
      </c>
      <c r="BT29" s="46">
        <v>0</v>
      </c>
      <c r="BU29" s="46">
        <v>0</v>
      </c>
      <c r="BV29" s="46">
        <v>0</v>
      </c>
      <c r="BW29" s="46">
        <v>0</v>
      </c>
      <c r="BX29" s="55">
        <v>0</v>
      </c>
      <c r="BY29" s="43">
        <v>0</v>
      </c>
      <c r="BZ29" s="43">
        <v>0</v>
      </c>
      <c r="CA29" s="43">
        <v>0</v>
      </c>
      <c r="CB29" s="43">
        <v>0</v>
      </c>
      <c r="CC29" s="43">
        <v>0</v>
      </c>
      <c r="CD29" s="43">
        <v>0</v>
      </c>
      <c r="CE29" s="7" t="s">
        <v>104</v>
      </c>
      <c r="CF29" s="43">
        <v>0</v>
      </c>
      <c r="CG29" s="6" t="s">
        <v>104</v>
      </c>
      <c r="CH29" s="43">
        <v>0</v>
      </c>
      <c r="CI29" s="43">
        <v>0</v>
      </c>
      <c r="CJ29" s="43">
        <v>0</v>
      </c>
      <c r="CK29" s="43">
        <v>0</v>
      </c>
      <c r="CL29" s="43">
        <v>0</v>
      </c>
      <c r="CM29" s="43">
        <v>0</v>
      </c>
    </row>
    <row r="30" spans="1:91" x14ac:dyDescent="0.35">
      <c r="A30" s="19" t="s">
        <v>132</v>
      </c>
      <c r="B30" s="19"/>
      <c r="C30" s="43">
        <v>0</v>
      </c>
      <c r="D30" s="43">
        <v>0</v>
      </c>
      <c r="E30" s="43">
        <v>0</v>
      </c>
      <c r="F30" s="43">
        <v>0</v>
      </c>
      <c r="G30" s="43">
        <v>0</v>
      </c>
      <c r="H30" s="43">
        <v>0</v>
      </c>
      <c r="I30" s="43">
        <v>0</v>
      </c>
      <c r="J30" s="43">
        <v>0</v>
      </c>
      <c r="K30" s="43">
        <v>0</v>
      </c>
      <c r="L30" s="43">
        <v>0</v>
      </c>
      <c r="M30" s="12">
        <v>0</v>
      </c>
      <c r="N30" s="46">
        <v>0</v>
      </c>
      <c r="O30" s="46">
        <v>0</v>
      </c>
      <c r="P30" s="46">
        <v>0</v>
      </c>
      <c r="Q30" s="46">
        <v>0</v>
      </c>
      <c r="R30" s="46">
        <v>0</v>
      </c>
      <c r="S30" s="46">
        <v>0</v>
      </c>
      <c r="T30" s="46">
        <v>0</v>
      </c>
      <c r="U30" s="46">
        <v>0</v>
      </c>
      <c r="V30" s="46">
        <v>0</v>
      </c>
      <c r="W30" s="46">
        <v>0</v>
      </c>
      <c r="X30" s="46">
        <v>0</v>
      </c>
      <c r="Y30" s="46">
        <v>0</v>
      </c>
      <c r="Z30" s="46">
        <v>0</v>
      </c>
      <c r="AA30" s="46">
        <v>0</v>
      </c>
      <c r="AB30" s="46">
        <v>0</v>
      </c>
      <c r="AC30" s="46">
        <v>0</v>
      </c>
      <c r="AD30" s="46">
        <v>0</v>
      </c>
      <c r="AE30" s="46">
        <v>0</v>
      </c>
      <c r="AF30" s="46">
        <v>0</v>
      </c>
      <c r="AG30" s="46">
        <v>0</v>
      </c>
      <c r="AH30" s="46">
        <v>0</v>
      </c>
      <c r="AI30" s="46">
        <v>0</v>
      </c>
      <c r="AJ30" s="46">
        <v>0</v>
      </c>
      <c r="AK30" s="46">
        <v>0</v>
      </c>
      <c r="AL30" s="46">
        <v>0</v>
      </c>
      <c r="AM30" s="46">
        <v>0</v>
      </c>
      <c r="AN30" s="46">
        <v>0</v>
      </c>
      <c r="AO30" s="46">
        <v>0</v>
      </c>
      <c r="AP30" s="46">
        <v>0</v>
      </c>
      <c r="AQ30" s="46">
        <v>0</v>
      </c>
      <c r="AR30" s="46">
        <v>0</v>
      </c>
      <c r="AS30" s="46">
        <v>0</v>
      </c>
      <c r="AT30" s="46">
        <v>0</v>
      </c>
      <c r="AU30" s="46">
        <v>0</v>
      </c>
      <c r="AV30" s="46">
        <v>0</v>
      </c>
      <c r="AW30" s="46">
        <v>0</v>
      </c>
      <c r="AX30" s="46">
        <v>0</v>
      </c>
      <c r="AY30" s="46">
        <v>0</v>
      </c>
      <c r="AZ30" s="46">
        <v>0</v>
      </c>
      <c r="BA30" s="46">
        <v>0</v>
      </c>
      <c r="BB30" s="46">
        <v>0</v>
      </c>
      <c r="BC30" s="46">
        <v>0</v>
      </c>
      <c r="BD30" s="46">
        <v>0</v>
      </c>
      <c r="BE30" s="46">
        <v>0</v>
      </c>
      <c r="BF30" s="46">
        <v>0</v>
      </c>
      <c r="BG30" s="46">
        <v>0</v>
      </c>
      <c r="BH30" s="46">
        <v>0</v>
      </c>
      <c r="BI30" s="46">
        <v>0</v>
      </c>
      <c r="BJ30" s="46">
        <v>0</v>
      </c>
      <c r="BK30" s="46">
        <v>0</v>
      </c>
      <c r="BL30" s="46">
        <v>0</v>
      </c>
      <c r="BM30" s="46">
        <v>0</v>
      </c>
      <c r="BN30" s="46">
        <v>0</v>
      </c>
      <c r="BO30" s="46">
        <v>0</v>
      </c>
      <c r="BP30" s="46">
        <v>0</v>
      </c>
      <c r="BQ30" s="46">
        <v>0</v>
      </c>
      <c r="BR30" s="46">
        <v>0</v>
      </c>
      <c r="BS30" s="46">
        <v>0</v>
      </c>
      <c r="BT30" s="46">
        <v>0</v>
      </c>
      <c r="BU30" s="46">
        <v>0</v>
      </c>
      <c r="BV30" s="46">
        <v>0</v>
      </c>
      <c r="BW30" s="46">
        <v>0</v>
      </c>
      <c r="BX30" s="56">
        <v>0</v>
      </c>
      <c r="BY30" s="43">
        <v>0</v>
      </c>
      <c r="BZ30" s="43">
        <v>0</v>
      </c>
      <c r="CA30" s="43">
        <v>0</v>
      </c>
      <c r="CB30" s="43">
        <v>0</v>
      </c>
      <c r="CC30" s="43">
        <v>0</v>
      </c>
      <c r="CD30" s="43">
        <v>0</v>
      </c>
      <c r="CE30" s="7" t="s">
        <v>104</v>
      </c>
      <c r="CF30" s="43">
        <v>0</v>
      </c>
      <c r="CG30" s="6" t="s">
        <v>104</v>
      </c>
      <c r="CH30" s="43">
        <v>0</v>
      </c>
      <c r="CI30" s="43">
        <v>0</v>
      </c>
      <c r="CJ30" s="43">
        <v>0</v>
      </c>
      <c r="CK30" s="43">
        <v>0</v>
      </c>
      <c r="CL30" s="43">
        <v>0</v>
      </c>
      <c r="CM30" s="43">
        <v>0</v>
      </c>
    </row>
    <row r="31" spans="1:91" x14ac:dyDescent="0.35">
      <c r="A31" s="20" t="s">
        <v>133</v>
      </c>
      <c r="B31" s="20"/>
      <c r="C31" s="43">
        <v>0</v>
      </c>
      <c r="D31" s="43">
        <v>0</v>
      </c>
      <c r="E31" s="43">
        <v>0</v>
      </c>
      <c r="F31" s="43">
        <v>0</v>
      </c>
      <c r="G31" s="43">
        <v>0</v>
      </c>
      <c r="H31" s="43">
        <v>0</v>
      </c>
      <c r="I31" s="43">
        <v>0</v>
      </c>
      <c r="J31" s="43">
        <v>0</v>
      </c>
      <c r="K31" s="43">
        <v>0</v>
      </c>
      <c r="L31" s="43">
        <v>0</v>
      </c>
      <c r="M31" s="12">
        <v>0</v>
      </c>
      <c r="N31" s="46">
        <v>0</v>
      </c>
      <c r="O31" s="46">
        <v>0</v>
      </c>
      <c r="P31" s="46">
        <v>0</v>
      </c>
      <c r="Q31" s="46">
        <v>0</v>
      </c>
      <c r="R31" s="46">
        <v>0</v>
      </c>
      <c r="S31" s="46">
        <v>0</v>
      </c>
      <c r="T31" s="46">
        <v>0</v>
      </c>
      <c r="U31" s="46">
        <v>0</v>
      </c>
      <c r="V31" s="46">
        <v>0</v>
      </c>
      <c r="W31" s="46">
        <v>0</v>
      </c>
      <c r="X31" s="46">
        <v>0</v>
      </c>
      <c r="Y31" s="46">
        <v>0</v>
      </c>
      <c r="Z31" s="46">
        <v>0</v>
      </c>
      <c r="AA31" s="46">
        <v>0</v>
      </c>
      <c r="AB31" s="46">
        <v>0</v>
      </c>
      <c r="AC31" s="46">
        <v>0</v>
      </c>
      <c r="AD31" s="46">
        <v>0</v>
      </c>
      <c r="AE31" s="46">
        <v>0</v>
      </c>
      <c r="AF31" s="46">
        <v>0</v>
      </c>
      <c r="AG31" s="46">
        <v>0</v>
      </c>
      <c r="AH31" s="46">
        <v>0</v>
      </c>
      <c r="AI31" s="46">
        <v>0</v>
      </c>
      <c r="AJ31" s="46">
        <v>0</v>
      </c>
      <c r="AK31" s="46">
        <v>0</v>
      </c>
      <c r="AL31" s="46">
        <v>0</v>
      </c>
      <c r="AM31" s="46">
        <v>0</v>
      </c>
      <c r="AN31" s="46">
        <v>0</v>
      </c>
      <c r="AO31" s="46">
        <v>0</v>
      </c>
      <c r="AP31" s="46">
        <v>0</v>
      </c>
      <c r="AQ31" s="46">
        <v>0</v>
      </c>
      <c r="AR31" s="46">
        <v>0</v>
      </c>
      <c r="AS31" s="46">
        <v>0</v>
      </c>
      <c r="AT31" s="46">
        <v>0</v>
      </c>
      <c r="AU31" s="46">
        <v>0</v>
      </c>
      <c r="AV31" s="46">
        <v>0</v>
      </c>
      <c r="AW31" s="46">
        <v>0</v>
      </c>
      <c r="AX31" s="46">
        <v>0</v>
      </c>
      <c r="AY31" s="46">
        <v>0</v>
      </c>
      <c r="AZ31" s="46">
        <v>0</v>
      </c>
      <c r="BA31" s="46">
        <v>0</v>
      </c>
      <c r="BB31" s="46">
        <v>0</v>
      </c>
      <c r="BC31" s="46">
        <v>0</v>
      </c>
      <c r="BD31" s="46">
        <v>0</v>
      </c>
      <c r="BE31" s="46">
        <v>0</v>
      </c>
      <c r="BF31" s="46">
        <v>0</v>
      </c>
      <c r="BG31" s="46">
        <v>0</v>
      </c>
      <c r="BH31" s="46">
        <v>0</v>
      </c>
      <c r="BI31" s="46">
        <v>0</v>
      </c>
      <c r="BJ31" s="46">
        <v>0</v>
      </c>
      <c r="BK31" s="46">
        <v>0</v>
      </c>
      <c r="BL31" s="46">
        <v>0</v>
      </c>
      <c r="BM31" s="46">
        <v>0</v>
      </c>
      <c r="BN31" s="46">
        <v>0</v>
      </c>
      <c r="BO31" s="46">
        <v>0</v>
      </c>
      <c r="BP31" s="46">
        <v>0</v>
      </c>
      <c r="BQ31" s="46">
        <v>0</v>
      </c>
      <c r="BR31" s="46">
        <v>0</v>
      </c>
      <c r="BS31" s="46">
        <v>0</v>
      </c>
      <c r="BT31" s="46">
        <v>0</v>
      </c>
      <c r="BU31" s="46">
        <v>0</v>
      </c>
      <c r="BV31" s="46">
        <v>0</v>
      </c>
      <c r="BW31" s="46">
        <v>0</v>
      </c>
      <c r="BX31" s="57">
        <v>0</v>
      </c>
      <c r="BY31" s="43">
        <v>0</v>
      </c>
      <c r="BZ31" s="43">
        <v>0</v>
      </c>
      <c r="CA31" s="43">
        <v>0</v>
      </c>
      <c r="CB31" s="43">
        <v>0</v>
      </c>
      <c r="CC31" s="43">
        <v>0</v>
      </c>
      <c r="CD31" s="43">
        <v>0</v>
      </c>
      <c r="CE31" s="7" t="s">
        <v>104</v>
      </c>
      <c r="CF31" s="43">
        <v>0</v>
      </c>
      <c r="CG31" s="6" t="s">
        <v>104</v>
      </c>
      <c r="CH31" s="43">
        <v>0</v>
      </c>
      <c r="CI31" s="43">
        <v>0</v>
      </c>
      <c r="CJ31" s="43">
        <v>0</v>
      </c>
      <c r="CK31" s="43">
        <v>0</v>
      </c>
      <c r="CL31" s="43">
        <v>0</v>
      </c>
      <c r="CM31" s="43">
        <v>0</v>
      </c>
    </row>
    <row r="32" spans="1:91" x14ac:dyDescent="0.35">
      <c r="A32" s="5" t="s">
        <v>35</v>
      </c>
      <c r="B32" s="13">
        <v>43131.8</v>
      </c>
      <c r="C32" s="13">
        <v>393.35</v>
      </c>
      <c r="D32" s="13">
        <v>2.36</v>
      </c>
      <c r="E32" s="13">
        <v>7.08</v>
      </c>
      <c r="F32" s="13">
        <v>3.42</v>
      </c>
      <c r="G32" s="13">
        <v>997.21</v>
      </c>
      <c r="H32" s="13">
        <v>7.42</v>
      </c>
      <c r="I32" s="13">
        <v>7.91</v>
      </c>
      <c r="J32" s="13">
        <v>12.74</v>
      </c>
      <c r="K32" s="13">
        <v>0.53</v>
      </c>
      <c r="L32" s="13">
        <v>28.6</v>
      </c>
      <c r="M32" s="12">
        <v>1866.05</v>
      </c>
      <c r="N32" s="46">
        <v>0</v>
      </c>
      <c r="O32" s="46">
        <v>0</v>
      </c>
      <c r="P32" s="46">
        <v>0</v>
      </c>
      <c r="Q32" s="46">
        <v>0</v>
      </c>
      <c r="R32" s="46">
        <v>0</v>
      </c>
      <c r="S32" s="46">
        <v>0</v>
      </c>
      <c r="T32" s="46">
        <v>0</v>
      </c>
      <c r="U32" s="46">
        <v>0</v>
      </c>
      <c r="V32" s="13">
        <v>13976.51</v>
      </c>
      <c r="W32" s="13">
        <v>82.95</v>
      </c>
      <c r="X32" s="13">
        <v>27.18</v>
      </c>
      <c r="Y32" s="13">
        <v>10.82</v>
      </c>
      <c r="Z32" s="13">
        <v>8.0299999999999994</v>
      </c>
      <c r="AA32" s="13">
        <v>18.29</v>
      </c>
      <c r="AB32" s="13">
        <v>12.98</v>
      </c>
      <c r="AC32" s="13">
        <v>12.7</v>
      </c>
      <c r="AD32" s="13">
        <v>9.64</v>
      </c>
      <c r="AE32" s="13">
        <v>4.1399999999999997</v>
      </c>
      <c r="AF32" s="13">
        <v>138.80000000000001</v>
      </c>
      <c r="AG32" s="13">
        <v>33.44</v>
      </c>
      <c r="AH32" s="13">
        <v>13.69</v>
      </c>
      <c r="AJ32" s="13">
        <v>1.1399999999999999</v>
      </c>
      <c r="AK32" s="13">
        <v>19.97</v>
      </c>
      <c r="AL32" s="13">
        <v>52.8</v>
      </c>
      <c r="AM32" s="13">
        <v>5.4</v>
      </c>
      <c r="AN32" s="13">
        <v>2936.51</v>
      </c>
      <c r="AO32" s="13">
        <v>477.43</v>
      </c>
      <c r="AP32" s="13">
        <v>33.979999999999997</v>
      </c>
      <c r="AQ32" s="13">
        <v>0.74</v>
      </c>
      <c r="AR32" s="13">
        <v>0.7</v>
      </c>
      <c r="AS32" s="13">
        <v>49.76</v>
      </c>
      <c r="AT32" s="13">
        <v>4.21</v>
      </c>
      <c r="AU32" s="13">
        <v>63.86</v>
      </c>
      <c r="AV32" s="13">
        <v>5.18</v>
      </c>
      <c r="AW32" s="13">
        <v>1.77</v>
      </c>
      <c r="AX32" s="13">
        <v>10.66</v>
      </c>
      <c r="AY32" s="13">
        <v>149.30000000000001</v>
      </c>
      <c r="AZ32" s="13">
        <v>3.73</v>
      </c>
      <c r="BA32" s="13">
        <v>1.99</v>
      </c>
      <c r="BB32" s="13">
        <v>1.72</v>
      </c>
      <c r="BC32" s="13">
        <v>226.99</v>
      </c>
      <c r="BD32" s="13">
        <v>283.45999999999998</v>
      </c>
      <c r="BE32" s="13">
        <v>118.25</v>
      </c>
      <c r="BF32" s="13">
        <v>1482.52</v>
      </c>
      <c r="BG32" s="13">
        <v>39.799999999999997</v>
      </c>
      <c r="BH32" s="13">
        <v>448.39</v>
      </c>
      <c r="BI32" s="13">
        <v>525.19000000000005</v>
      </c>
      <c r="BJ32" s="13">
        <v>31.62</v>
      </c>
      <c r="BK32" s="13">
        <v>2.94</v>
      </c>
      <c r="BL32" s="13">
        <v>273.07</v>
      </c>
      <c r="BM32" s="13">
        <v>740.38</v>
      </c>
      <c r="BN32" s="13">
        <v>207.4</v>
      </c>
      <c r="BO32" s="13">
        <v>15762.81</v>
      </c>
      <c r="BP32" s="13">
        <v>1402.53</v>
      </c>
      <c r="BQ32" s="13">
        <v>17.149999999999999</v>
      </c>
      <c r="BR32" s="13">
        <v>22.24</v>
      </c>
      <c r="BS32" s="13">
        <v>12.37</v>
      </c>
      <c r="BT32" s="13">
        <v>2.6</v>
      </c>
      <c r="BU32" s="13">
        <v>32.39</v>
      </c>
      <c r="BV32" s="13">
        <v>3.03</v>
      </c>
      <c r="BW32" s="7">
        <v>0</v>
      </c>
      <c r="BX32" s="13">
        <v>40837.75</v>
      </c>
      <c r="BY32" s="13">
        <v>23722.95</v>
      </c>
      <c r="BZ32" s="13">
        <v>17096.349999999999</v>
      </c>
      <c r="CA32" s="13">
        <v>18.45</v>
      </c>
      <c r="CB32" s="13">
        <v>4671.3599999999997</v>
      </c>
      <c r="CC32" s="13">
        <v>4671.3599999999997</v>
      </c>
      <c r="CD32" s="7">
        <v>0</v>
      </c>
      <c r="CE32" s="7" t="s">
        <v>104</v>
      </c>
      <c r="CF32" s="7">
        <v>0</v>
      </c>
      <c r="CG32" s="6" t="s">
        <v>104</v>
      </c>
      <c r="CH32" s="7">
        <v>0</v>
      </c>
      <c r="CI32" s="7">
        <v>0</v>
      </c>
      <c r="CJ32" s="7" t="s">
        <v>104</v>
      </c>
      <c r="CK32" s="7" t="s">
        <v>104</v>
      </c>
      <c r="CL32" s="13">
        <v>88640.91</v>
      </c>
      <c r="CM32" s="13">
        <v>45509.11</v>
      </c>
    </row>
    <row r="33" spans="1:91" x14ac:dyDescent="0.35">
      <c r="A33" s="5" t="s">
        <v>36</v>
      </c>
      <c r="B33" s="12">
        <v>41045.14</v>
      </c>
      <c r="C33" s="12">
        <v>321.70999999999998</v>
      </c>
      <c r="D33" s="12">
        <v>11.84</v>
      </c>
      <c r="E33" s="12">
        <v>8.41</v>
      </c>
      <c r="F33" s="12">
        <v>59.57</v>
      </c>
      <c r="G33" s="12">
        <v>3426.25</v>
      </c>
      <c r="H33" s="12">
        <v>330.62</v>
      </c>
      <c r="I33" s="12">
        <v>205.15</v>
      </c>
      <c r="J33" s="12">
        <v>588.15</v>
      </c>
      <c r="K33" s="12">
        <v>112.31</v>
      </c>
      <c r="L33" s="12">
        <v>280.33999999999997</v>
      </c>
      <c r="M33" s="12">
        <v>1717.87</v>
      </c>
      <c r="N33" s="46">
        <v>0</v>
      </c>
      <c r="O33" s="46">
        <v>0</v>
      </c>
      <c r="P33" s="46">
        <v>0</v>
      </c>
      <c r="Q33" s="46">
        <v>0</v>
      </c>
      <c r="R33" s="46">
        <v>0</v>
      </c>
      <c r="S33" s="46">
        <v>0</v>
      </c>
      <c r="T33" s="46">
        <v>0</v>
      </c>
      <c r="U33" s="46">
        <v>0</v>
      </c>
      <c r="V33" s="12">
        <v>1444.98</v>
      </c>
      <c r="W33" s="12">
        <v>6241.55</v>
      </c>
      <c r="X33" s="12">
        <v>465.27</v>
      </c>
      <c r="Y33" s="12">
        <v>371.02</v>
      </c>
      <c r="Z33" s="12">
        <v>965.39</v>
      </c>
      <c r="AA33" s="12">
        <v>559.36</v>
      </c>
      <c r="AB33" s="12">
        <v>1152.48</v>
      </c>
      <c r="AC33" s="12">
        <v>1319.93</v>
      </c>
      <c r="AD33" s="12">
        <v>3846.39</v>
      </c>
      <c r="AE33" s="12">
        <v>382.72</v>
      </c>
      <c r="AF33" s="12">
        <v>997.69</v>
      </c>
      <c r="AG33" s="12">
        <v>480.35</v>
      </c>
      <c r="AH33" s="13">
        <v>181.48</v>
      </c>
      <c r="AJ33" s="12">
        <v>16.559999999999999</v>
      </c>
      <c r="AK33" s="12">
        <v>234.18</v>
      </c>
      <c r="AL33" s="12">
        <v>6900.06</v>
      </c>
      <c r="AM33" s="12">
        <v>908.76</v>
      </c>
      <c r="AN33" s="12">
        <v>1478.21</v>
      </c>
      <c r="AO33" s="12">
        <v>697.28</v>
      </c>
      <c r="AP33" s="12">
        <v>904.72</v>
      </c>
      <c r="AQ33" s="12">
        <v>18.72</v>
      </c>
      <c r="AR33" s="12">
        <v>27.38</v>
      </c>
      <c r="AS33" s="12">
        <v>248.64</v>
      </c>
      <c r="AT33" s="12">
        <v>31.93</v>
      </c>
      <c r="AU33" s="12">
        <v>153.08000000000001</v>
      </c>
      <c r="AV33" s="12">
        <v>48.92</v>
      </c>
      <c r="AW33" s="12">
        <v>29.04</v>
      </c>
      <c r="AX33" s="12">
        <v>160.6</v>
      </c>
      <c r="AY33" s="12">
        <v>235.02</v>
      </c>
      <c r="AZ33" s="12">
        <v>32.99</v>
      </c>
      <c r="BA33" s="12">
        <v>31.4</v>
      </c>
      <c r="BB33" s="12">
        <v>23.8</v>
      </c>
      <c r="BC33" s="12">
        <v>396.4</v>
      </c>
      <c r="BD33" s="12">
        <v>181.57</v>
      </c>
      <c r="BE33" s="12">
        <v>224.14</v>
      </c>
      <c r="BF33" s="12">
        <v>437.94</v>
      </c>
      <c r="BG33" s="12">
        <v>66.14</v>
      </c>
      <c r="BH33" s="12">
        <v>101.27</v>
      </c>
      <c r="BI33" s="12">
        <v>291.97000000000003</v>
      </c>
      <c r="BJ33" s="12">
        <v>18.39</v>
      </c>
      <c r="BK33" s="12">
        <v>8.33</v>
      </c>
      <c r="BL33" s="12">
        <v>459.81</v>
      </c>
      <c r="BM33" s="12">
        <v>183.07</v>
      </c>
      <c r="BN33" s="12">
        <v>64.290000000000006</v>
      </c>
      <c r="BO33" s="12">
        <v>680.59</v>
      </c>
      <c r="BP33" s="12">
        <v>125.75</v>
      </c>
      <c r="BQ33" s="12">
        <v>39.700000000000003</v>
      </c>
      <c r="BR33" s="12">
        <v>24.66</v>
      </c>
      <c r="BS33" s="12">
        <v>16.829999999999998</v>
      </c>
      <c r="BT33" s="12">
        <v>24.09</v>
      </c>
      <c r="BU33" s="12">
        <v>46.87</v>
      </c>
      <c r="BV33" s="12">
        <v>1.25</v>
      </c>
      <c r="BW33" s="6">
        <v>0</v>
      </c>
      <c r="BX33" s="12">
        <v>6631.83</v>
      </c>
      <c r="BY33" s="12">
        <v>14.89</v>
      </c>
      <c r="BZ33" s="12">
        <v>6616.94</v>
      </c>
      <c r="CA33" s="6">
        <v>0</v>
      </c>
      <c r="CB33" s="12">
        <v>369.73</v>
      </c>
      <c r="CC33" s="12">
        <v>-29.93</v>
      </c>
      <c r="CD33" s="6">
        <v>0</v>
      </c>
      <c r="CE33" s="7" t="s">
        <v>104</v>
      </c>
      <c r="CF33" s="6">
        <v>0</v>
      </c>
      <c r="CG33" s="6" t="s">
        <v>104</v>
      </c>
      <c r="CH33" s="6">
        <v>0</v>
      </c>
      <c r="CI33" s="12">
        <v>399.66</v>
      </c>
      <c r="CJ33" s="6" t="s">
        <v>104</v>
      </c>
      <c r="CK33" s="6" t="s">
        <v>104</v>
      </c>
      <c r="CL33" s="12">
        <v>48046.7</v>
      </c>
      <c r="CM33" s="12">
        <v>7001.56</v>
      </c>
    </row>
    <row r="34" spans="1:91" x14ac:dyDescent="0.35">
      <c r="A34" s="5" t="s">
        <v>37</v>
      </c>
      <c r="B34" s="13">
        <v>24465.56</v>
      </c>
      <c r="C34" s="13">
        <v>151.62</v>
      </c>
      <c r="D34" s="13">
        <v>4.66</v>
      </c>
      <c r="E34" s="13">
        <v>4.2</v>
      </c>
      <c r="F34" s="13">
        <v>107.77</v>
      </c>
      <c r="G34" s="13">
        <v>1286.3399999999999</v>
      </c>
      <c r="H34" s="7">
        <v>106</v>
      </c>
      <c r="I34" s="13">
        <v>203.8</v>
      </c>
      <c r="J34" s="13">
        <v>24.08</v>
      </c>
      <c r="K34" s="13">
        <v>4.91</v>
      </c>
      <c r="L34" s="13">
        <v>55.35</v>
      </c>
      <c r="M34" s="12">
        <v>817.41</v>
      </c>
      <c r="N34" s="46">
        <v>0</v>
      </c>
      <c r="O34" s="46">
        <v>0</v>
      </c>
      <c r="P34" s="46">
        <v>0</v>
      </c>
      <c r="Q34" s="46">
        <v>0</v>
      </c>
      <c r="R34" s="46">
        <v>0</v>
      </c>
      <c r="S34" s="46">
        <v>0</v>
      </c>
      <c r="T34" s="46">
        <v>0</v>
      </c>
      <c r="U34" s="46">
        <v>0</v>
      </c>
      <c r="V34" s="13">
        <v>270.69</v>
      </c>
      <c r="W34" s="13">
        <v>491.56</v>
      </c>
      <c r="X34" s="13">
        <v>3324.77</v>
      </c>
      <c r="Y34" s="13">
        <v>582.72</v>
      </c>
      <c r="Z34" s="13">
        <v>604.30999999999995</v>
      </c>
      <c r="AA34" s="13">
        <v>261.42</v>
      </c>
      <c r="AB34" s="7">
        <v>625</v>
      </c>
      <c r="AC34" s="13">
        <v>504.25</v>
      </c>
      <c r="AD34" s="13">
        <v>1376.21</v>
      </c>
      <c r="AE34" s="13">
        <v>265.31</v>
      </c>
      <c r="AF34" s="13">
        <v>389.5</v>
      </c>
      <c r="AG34" s="13">
        <v>291.04000000000002</v>
      </c>
      <c r="AH34" s="13">
        <v>115.36</v>
      </c>
      <c r="AJ34" s="13">
        <v>11.35</v>
      </c>
      <c r="AK34" s="13">
        <v>114.17</v>
      </c>
      <c r="AL34" s="13">
        <v>9745.6</v>
      </c>
      <c r="AM34" s="13">
        <v>262.7</v>
      </c>
      <c r="AN34" s="13">
        <v>354.32</v>
      </c>
      <c r="AO34" s="13">
        <v>124.46</v>
      </c>
      <c r="AP34" s="13">
        <v>83.81</v>
      </c>
      <c r="AQ34" s="13">
        <v>2.64</v>
      </c>
      <c r="AR34" s="13">
        <v>8.92</v>
      </c>
      <c r="AS34" s="13">
        <v>60.13</v>
      </c>
      <c r="AT34" s="13">
        <v>0.91</v>
      </c>
      <c r="AU34" s="13">
        <v>269.92</v>
      </c>
      <c r="AV34" s="13">
        <v>2.19</v>
      </c>
      <c r="AW34" s="13">
        <v>1.45</v>
      </c>
      <c r="AX34" s="13">
        <v>17.86</v>
      </c>
      <c r="AY34" s="13">
        <v>51.68</v>
      </c>
      <c r="AZ34" s="13">
        <v>5.57</v>
      </c>
      <c r="BA34" s="13">
        <v>0.73</v>
      </c>
      <c r="BB34" s="13">
        <v>2.82</v>
      </c>
      <c r="BC34" s="13">
        <v>331.69</v>
      </c>
      <c r="BD34" s="13">
        <v>61.56</v>
      </c>
      <c r="BE34" s="13">
        <v>89.57</v>
      </c>
      <c r="BF34" s="13">
        <v>246.07</v>
      </c>
      <c r="BG34" s="13">
        <v>9.17</v>
      </c>
      <c r="BH34" s="13">
        <v>32.409999999999997</v>
      </c>
      <c r="BI34" s="13">
        <v>132.74</v>
      </c>
      <c r="BJ34" s="13">
        <v>8.89</v>
      </c>
      <c r="BK34" s="13">
        <v>1.79</v>
      </c>
      <c r="BL34" s="13">
        <v>167.16</v>
      </c>
      <c r="BM34" s="13">
        <v>37.82</v>
      </c>
      <c r="BN34" s="13">
        <v>42.7</v>
      </c>
      <c r="BO34" s="13">
        <v>177.56</v>
      </c>
      <c r="BP34" s="13">
        <v>19.97</v>
      </c>
      <c r="BQ34" s="13">
        <v>23.3</v>
      </c>
      <c r="BR34" s="13">
        <v>8.19</v>
      </c>
      <c r="BS34" s="13">
        <v>12.37</v>
      </c>
      <c r="BT34" s="13">
        <v>9.08</v>
      </c>
      <c r="BU34" s="13">
        <v>63.58</v>
      </c>
      <c r="BV34" s="13">
        <v>0.44</v>
      </c>
      <c r="BW34" s="7">
        <v>0</v>
      </c>
      <c r="BX34" s="13">
        <v>2911.72</v>
      </c>
      <c r="BY34" s="7">
        <v>0</v>
      </c>
      <c r="BZ34" s="13">
        <v>2911.72</v>
      </c>
      <c r="CA34" s="7">
        <v>0</v>
      </c>
      <c r="CB34" s="13">
        <v>-64.790000000000006</v>
      </c>
      <c r="CC34" s="7">
        <v>-452</v>
      </c>
      <c r="CD34" s="7">
        <v>0</v>
      </c>
      <c r="CE34" s="7" t="s">
        <v>104</v>
      </c>
      <c r="CF34" s="7">
        <v>0</v>
      </c>
      <c r="CG34" s="6" t="s">
        <v>104</v>
      </c>
      <c r="CH34" s="7">
        <v>0</v>
      </c>
      <c r="CI34" s="13">
        <v>387.21</v>
      </c>
      <c r="CJ34" s="7" t="s">
        <v>104</v>
      </c>
      <c r="CK34" s="7" t="s">
        <v>104</v>
      </c>
      <c r="CL34" s="13">
        <v>27312.49</v>
      </c>
      <c r="CM34" s="13">
        <v>2846.93</v>
      </c>
    </row>
    <row r="35" spans="1:91" x14ac:dyDescent="0.35">
      <c r="A35" s="5" t="s">
        <v>38</v>
      </c>
      <c r="B35" s="12">
        <v>66656.55</v>
      </c>
      <c r="C35" s="12">
        <v>24.58</v>
      </c>
      <c r="D35" s="12">
        <v>2.81</v>
      </c>
      <c r="E35" s="12">
        <v>0.42</v>
      </c>
      <c r="F35" s="12">
        <v>73.650000000000006</v>
      </c>
      <c r="G35" s="12">
        <v>408.44</v>
      </c>
      <c r="H35" s="12">
        <v>61.01</v>
      </c>
      <c r="I35" s="12">
        <v>110.2</v>
      </c>
      <c r="J35" s="12">
        <v>90.28</v>
      </c>
      <c r="K35" s="12">
        <v>19.149999999999999</v>
      </c>
      <c r="L35" s="12">
        <v>190.42</v>
      </c>
      <c r="M35" s="12">
        <v>1373.24</v>
      </c>
      <c r="N35" s="46">
        <v>0</v>
      </c>
      <c r="O35" s="46">
        <v>0</v>
      </c>
      <c r="P35" s="46">
        <v>0</v>
      </c>
      <c r="Q35" s="46">
        <v>0</v>
      </c>
      <c r="R35" s="46">
        <v>0</v>
      </c>
      <c r="S35" s="46">
        <v>0</v>
      </c>
      <c r="T35" s="46">
        <v>0</v>
      </c>
      <c r="U35" s="46">
        <v>0</v>
      </c>
      <c r="V35" s="12">
        <v>189.08</v>
      </c>
      <c r="W35" s="12">
        <v>781.98</v>
      </c>
      <c r="X35" s="12">
        <v>443.81</v>
      </c>
      <c r="Y35" s="12">
        <v>25375.06</v>
      </c>
      <c r="Z35" s="12">
        <v>11590.93</v>
      </c>
      <c r="AA35" s="12">
        <v>706.69</v>
      </c>
      <c r="AB35" s="12">
        <v>3822.13</v>
      </c>
      <c r="AC35" s="12">
        <v>5195.87</v>
      </c>
      <c r="AD35" s="12">
        <v>3548.25</v>
      </c>
      <c r="AE35" s="12">
        <v>743.68</v>
      </c>
      <c r="AF35" s="12">
        <v>1633.85</v>
      </c>
      <c r="AG35" s="12">
        <v>1283.5999999999999</v>
      </c>
      <c r="AH35" s="13">
        <v>243.3</v>
      </c>
      <c r="AJ35" s="12">
        <v>23.54</v>
      </c>
      <c r="AK35" s="12">
        <v>939.75</v>
      </c>
      <c r="AL35" s="12">
        <v>4026.21</v>
      </c>
      <c r="AM35" s="12">
        <v>173.75</v>
      </c>
      <c r="AN35" s="12">
        <v>938.92</v>
      </c>
      <c r="AO35" s="12">
        <v>149.16999999999999</v>
      </c>
      <c r="AP35" s="12">
        <v>170.55</v>
      </c>
      <c r="AQ35" s="12">
        <v>3.5</v>
      </c>
      <c r="AR35" s="12">
        <v>1.84</v>
      </c>
      <c r="AS35" s="12">
        <v>101.24</v>
      </c>
      <c r="AT35" s="12">
        <v>1.29</v>
      </c>
      <c r="AU35" s="12">
        <v>24.81</v>
      </c>
      <c r="AV35" s="12">
        <v>8.25</v>
      </c>
      <c r="AW35" s="12">
        <v>4.4800000000000004</v>
      </c>
      <c r="AX35" s="12">
        <v>47.79</v>
      </c>
      <c r="AY35" s="12">
        <v>131.13</v>
      </c>
      <c r="AZ35" s="12">
        <v>3.23</v>
      </c>
      <c r="BA35" s="12">
        <v>1.1399999999999999</v>
      </c>
      <c r="BB35" s="12">
        <v>3.31</v>
      </c>
      <c r="BC35" s="12">
        <v>203.68</v>
      </c>
      <c r="BD35" s="12">
        <v>118.98</v>
      </c>
      <c r="BE35" s="12">
        <v>519.04999999999995</v>
      </c>
      <c r="BF35" s="12">
        <v>563.04</v>
      </c>
      <c r="BG35" s="12">
        <v>26.6</v>
      </c>
      <c r="BH35" s="12">
        <v>43.37</v>
      </c>
      <c r="BI35" s="12">
        <v>236.97</v>
      </c>
      <c r="BJ35" s="12">
        <v>13.15</v>
      </c>
      <c r="BK35" s="12">
        <v>0.65</v>
      </c>
      <c r="BL35" s="12">
        <v>163.99</v>
      </c>
      <c r="BM35" s="12">
        <v>31.79</v>
      </c>
      <c r="BN35" s="12">
        <v>12.97</v>
      </c>
      <c r="BO35" s="12">
        <v>3.06</v>
      </c>
      <c r="BP35" s="6">
        <v>1</v>
      </c>
      <c r="BQ35" s="12">
        <v>9.93</v>
      </c>
      <c r="BR35" s="12">
        <v>2.62</v>
      </c>
      <c r="BS35" s="12">
        <v>2.27</v>
      </c>
      <c r="BT35" s="12">
        <v>28.71</v>
      </c>
      <c r="BU35" s="12">
        <v>8.02</v>
      </c>
      <c r="BV35" s="12">
        <v>0.36</v>
      </c>
      <c r="BW35" s="6">
        <v>0</v>
      </c>
      <c r="BX35" s="12">
        <v>45.48</v>
      </c>
      <c r="BY35" s="6">
        <v>0</v>
      </c>
      <c r="BZ35" s="12">
        <v>45.48</v>
      </c>
      <c r="CA35" s="6">
        <v>0</v>
      </c>
      <c r="CB35" s="12">
        <v>-1307.26</v>
      </c>
      <c r="CC35" s="12">
        <v>-1534.74</v>
      </c>
      <c r="CD35" s="6">
        <v>0</v>
      </c>
      <c r="CE35" s="7" t="s">
        <v>104</v>
      </c>
      <c r="CF35" s="6">
        <v>0</v>
      </c>
      <c r="CG35" s="6" t="s">
        <v>104</v>
      </c>
      <c r="CH35" s="6">
        <v>0</v>
      </c>
      <c r="CI35" s="12">
        <v>227.48</v>
      </c>
      <c r="CJ35" s="6" t="s">
        <v>104</v>
      </c>
      <c r="CK35" s="6" t="s">
        <v>104</v>
      </c>
      <c r="CL35" s="12">
        <v>65394.77</v>
      </c>
      <c r="CM35" s="12">
        <v>-1261.78</v>
      </c>
    </row>
    <row r="36" spans="1:91" x14ac:dyDescent="0.35">
      <c r="A36" s="5" t="s">
        <v>39</v>
      </c>
      <c r="B36" s="13">
        <v>44118.75</v>
      </c>
      <c r="C36" s="13">
        <v>424.19</v>
      </c>
      <c r="D36" s="13">
        <v>22.08</v>
      </c>
      <c r="E36" s="13">
        <v>7.8</v>
      </c>
      <c r="F36" s="13">
        <v>112.53</v>
      </c>
      <c r="G36" s="13">
        <v>1630.46</v>
      </c>
      <c r="H36" s="13">
        <v>256.12</v>
      </c>
      <c r="I36" s="13">
        <v>368.44</v>
      </c>
      <c r="J36" s="13">
        <v>133.94</v>
      </c>
      <c r="K36" s="13">
        <v>23.87</v>
      </c>
      <c r="L36" s="13">
        <v>182.1</v>
      </c>
      <c r="M36" s="12">
        <v>662.82</v>
      </c>
      <c r="N36" s="46">
        <v>0</v>
      </c>
      <c r="O36" s="46">
        <v>0</v>
      </c>
      <c r="P36" s="46">
        <v>0</v>
      </c>
      <c r="Q36" s="46">
        <v>0</v>
      </c>
      <c r="R36" s="46">
        <v>0</v>
      </c>
      <c r="S36" s="46">
        <v>0</v>
      </c>
      <c r="T36" s="46">
        <v>0</v>
      </c>
      <c r="U36" s="46">
        <v>0</v>
      </c>
      <c r="V36" s="13">
        <v>275.33</v>
      </c>
      <c r="W36" s="13">
        <v>1115.29</v>
      </c>
      <c r="X36" s="13">
        <v>366.77</v>
      </c>
      <c r="Y36" s="13">
        <v>1333.02</v>
      </c>
      <c r="Z36" s="13">
        <v>7133.02</v>
      </c>
      <c r="AA36" s="13">
        <v>639.6</v>
      </c>
      <c r="AB36" s="13">
        <v>1696.05</v>
      </c>
      <c r="AC36" s="13">
        <v>3727.46</v>
      </c>
      <c r="AD36" s="13">
        <v>4377.18</v>
      </c>
      <c r="AE36" s="13">
        <v>1135.32</v>
      </c>
      <c r="AF36" s="13">
        <v>1146.78</v>
      </c>
      <c r="AG36" s="13">
        <v>1497.7</v>
      </c>
      <c r="AH36" s="13">
        <v>341.89</v>
      </c>
      <c r="AJ36" s="13">
        <v>24.57</v>
      </c>
      <c r="AK36" s="13">
        <v>271.72000000000003</v>
      </c>
      <c r="AL36" s="13">
        <v>9290.51</v>
      </c>
      <c r="AM36" s="13">
        <v>493.81</v>
      </c>
      <c r="AN36" s="13">
        <v>971.66</v>
      </c>
      <c r="AO36" s="13">
        <v>265.97000000000003</v>
      </c>
      <c r="AP36" s="13">
        <v>259.60000000000002</v>
      </c>
      <c r="AQ36" s="13">
        <v>23.13</v>
      </c>
      <c r="AR36" s="13">
        <v>8.8000000000000007</v>
      </c>
      <c r="AS36" s="7">
        <v>248</v>
      </c>
      <c r="AT36" s="13">
        <v>16.38</v>
      </c>
      <c r="AU36" s="13">
        <v>267.24</v>
      </c>
      <c r="AV36" s="13">
        <v>13.28</v>
      </c>
      <c r="AW36" s="13">
        <v>13.07</v>
      </c>
      <c r="AX36" s="13">
        <v>71.59</v>
      </c>
      <c r="AY36" s="13">
        <v>145.44</v>
      </c>
      <c r="AZ36" s="13">
        <v>24.74</v>
      </c>
      <c r="BA36" s="13">
        <v>8.44</v>
      </c>
      <c r="BB36" s="13">
        <v>10.99</v>
      </c>
      <c r="BC36" s="13">
        <v>295.38</v>
      </c>
      <c r="BD36" s="13">
        <v>138.07</v>
      </c>
      <c r="BE36" s="13">
        <v>593.59</v>
      </c>
      <c r="BF36" s="13">
        <v>434.85</v>
      </c>
      <c r="BG36" s="13">
        <v>67.95</v>
      </c>
      <c r="BH36" s="13">
        <v>57.37</v>
      </c>
      <c r="BI36" s="13">
        <v>280.61</v>
      </c>
      <c r="BJ36" s="13">
        <v>17.59</v>
      </c>
      <c r="BK36" s="13">
        <v>8.27</v>
      </c>
      <c r="BL36" s="13">
        <v>315.43</v>
      </c>
      <c r="BM36" s="13">
        <v>533.47</v>
      </c>
      <c r="BN36" s="13">
        <v>58.89</v>
      </c>
      <c r="BO36" s="13">
        <v>91.92</v>
      </c>
      <c r="BP36" s="13">
        <v>38.68</v>
      </c>
      <c r="BQ36" s="13">
        <v>29.09</v>
      </c>
      <c r="BR36" s="13">
        <v>26.25</v>
      </c>
      <c r="BS36" s="13">
        <v>13.31</v>
      </c>
      <c r="BT36" s="13">
        <v>39.5</v>
      </c>
      <c r="BU36" s="13">
        <v>39.04</v>
      </c>
      <c r="BV36" s="13">
        <v>0.84</v>
      </c>
      <c r="BW36" s="7">
        <v>0</v>
      </c>
      <c r="BX36" s="13">
        <v>4101.45</v>
      </c>
      <c r="BY36" s="13">
        <v>41.63</v>
      </c>
      <c r="BZ36" s="13">
        <v>4054.21</v>
      </c>
      <c r="CA36" s="13">
        <v>5.61</v>
      </c>
      <c r="CB36" s="13">
        <v>7606.32</v>
      </c>
      <c r="CC36" s="13">
        <v>602.44000000000005</v>
      </c>
      <c r="CD36" s="7">
        <v>0</v>
      </c>
      <c r="CE36" s="7" t="s">
        <v>104</v>
      </c>
      <c r="CF36" s="7">
        <v>0</v>
      </c>
      <c r="CG36" s="6" t="s">
        <v>104</v>
      </c>
      <c r="CH36" s="7">
        <v>0</v>
      </c>
      <c r="CI36" s="13">
        <v>7003.89</v>
      </c>
      <c r="CJ36" s="7" t="s">
        <v>104</v>
      </c>
      <c r="CK36" s="7" t="s">
        <v>104</v>
      </c>
      <c r="CL36" s="13">
        <v>55826.52</v>
      </c>
      <c r="CM36" s="13">
        <v>11707.77</v>
      </c>
    </row>
    <row r="37" spans="1:91" x14ac:dyDescent="0.35">
      <c r="A37" s="5" t="s">
        <v>40</v>
      </c>
      <c r="B37" s="12">
        <v>72150.94</v>
      </c>
      <c r="C37" s="12">
        <v>33.36</v>
      </c>
      <c r="D37" s="12">
        <v>7.92</v>
      </c>
      <c r="E37" s="12">
        <v>2.78</v>
      </c>
      <c r="F37" s="12">
        <v>35.17</v>
      </c>
      <c r="G37" s="12">
        <v>160.63</v>
      </c>
      <c r="H37" s="12">
        <v>25.81</v>
      </c>
      <c r="I37" s="12">
        <v>21.03</v>
      </c>
      <c r="J37" s="12">
        <v>33.82</v>
      </c>
      <c r="K37" s="12">
        <v>88.56</v>
      </c>
      <c r="L37" s="12">
        <v>91.63</v>
      </c>
      <c r="M37" s="12">
        <v>260.45</v>
      </c>
      <c r="N37" s="46">
        <v>0</v>
      </c>
      <c r="O37" s="46">
        <v>0</v>
      </c>
      <c r="P37" s="46">
        <v>0</v>
      </c>
      <c r="Q37" s="46">
        <v>0</v>
      </c>
      <c r="R37" s="46">
        <v>0</v>
      </c>
      <c r="S37" s="46">
        <v>0</v>
      </c>
      <c r="T37" s="46">
        <v>0</v>
      </c>
      <c r="U37" s="46">
        <v>0</v>
      </c>
      <c r="V37" s="12">
        <v>258.33</v>
      </c>
      <c r="W37" s="12">
        <v>264.08999999999997</v>
      </c>
      <c r="X37" s="12">
        <v>181.19</v>
      </c>
      <c r="Y37" s="12">
        <v>192.75</v>
      </c>
      <c r="Z37" s="12">
        <v>917.1</v>
      </c>
      <c r="AA37" s="12">
        <v>21881.18</v>
      </c>
      <c r="AB37" s="12">
        <v>6402.16</v>
      </c>
      <c r="AC37" s="12">
        <v>3747.23</v>
      </c>
      <c r="AD37" s="12">
        <v>3714.56</v>
      </c>
      <c r="AE37" s="12">
        <v>1814.38</v>
      </c>
      <c r="AF37" s="12">
        <v>832.89</v>
      </c>
      <c r="AG37" s="12">
        <v>2454.96</v>
      </c>
      <c r="AH37" s="13">
        <v>565.41999999999996</v>
      </c>
      <c r="AJ37" s="12">
        <v>55.45</v>
      </c>
      <c r="AK37" s="12">
        <v>139.33000000000001</v>
      </c>
      <c r="AL37" s="12">
        <v>2632.17</v>
      </c>
      <c r="AM37" s="12">
        <v>325.98</v>
      </c>
      <c r="AN37" s="12">
        <v>2401.85</v>
      </c>
      <c r="AO37" s="12">
        <v>589.86</v>
      </c>
      <c r="AP37" s="6">
        <v>225</v>
      </c>
      <c r="AQ37" s="12">
        <v>26.77</v>
      </c>
      <c r="AR37" s="12">
        <v>45.54</v>
      </c>
      <c r="AS37" s="12">
        <v>281.54000000000002</v>
      </c>
      <c r="AT37" s="12">
        <v>107.33</v>
      </c>
      <c r="AU37" s="12">
        <v>232.19</v>
      </c>
      <c r="AV37" s="12">
        <v>732.73</v>
      </c>
      <c r="AW37" s="12">
        <v>428.54</v>
      </c>
      <c r="AX37" s="12">
        <v>2816.78</v>
      </c>
      <c r="AY37" s="12">
        <v>5654.68</v>
      </c>
      <c r="AZ37" s="12">
        <v>155.65</v>
      </c>
      <c r="BA37" s="12">
        <v>115.15</v>
      </c>
      <c r="BB37" s="12">
        <v>127.27</v>
      </c>
      <c r="BC37" s="12">
        <v>271.24</v>
      </c>
      <c r="BD37" s="12">
        <v>605.33000000000004</v>
      </c>
      <c r="BE37" s="12">
        <v>1226.1199999999999</v>
      </c>
      <c r="BF37" s="12">
        <v>1926.33</v>
      </c>
      <c r="BG37" s="12">
        <v>367.66</v>
      </c>
      <c r="BH37" s="12">
        <v>265.95999999999998</v>
      </c>
      <c r="BI37" s="12">
        <v>911.95</v>
      </c>
      <c r="BJ37" s="12">
        <v>97.09</v>
      </c>
      <c r="BK37" s="12">
        <v>33.799999999999997</v>
      </c>
      <c r="BL37" s="12">
        <v>1006.62</v>
      </c>
      <c r="BM37" s="12">
        <v>1098.3</v>
      </c>
      <c r="BN37" s="12">
        <v>421.94</v>
      </c>
      <c r="BO37" s="12">
        <v>1298.7</v>
      </c>
      <c r="BP37" s="12">
        <v>287.92</v>
      </c>
      <c r="BQ37" s="12">
        <v>447.05</v>
      </c>
      <c r="BR37" s="12">
        <v>152.96</v>
      </c>
      <c r="BS37" s="12">
        <v>119.86</v>
      </c>
      <c r="BT37" s="12">
        <v>472.85</v>
      </c>
      <c r="BU37" s="12">
        <v>57.3</v>
      </c>
      <c r="BV37" s="12">
        <v>0.8</v>
      </c>
      <c r="BW37" s="6">
        <v>0</v>
      </c>
      <c r="BX37" s="12">
        <v>33632.449999999997</v>
      </c>
      <c r="BY37" s="12">
        <v>497.07</v>
      </c>
      <c r="BZ37" s="12">
        <v>33131.32</v>
      </c>
      <c r="CA37" s="12">
        <v>4.05</v>
      </c>
      <c r="CB37" s="12">
        <v>63796.07</v>
      </c>
      <c r="CC37" s="12">
        <v>17824.849999999999</v>
      </c>
      <c r="CD37" s="6">
        <v>0</v>
      </c>
      <c r="CE37" s="7" t="s">
        <v>104</v>
      </c>
      <c r="CF37" s="6">
        <v>0</v>
      </c>
      <c r="CG37" s="6" t="s">
        <v>104</v>
      </c>
      <c r="CH37" s="6">
        <v>0</v>
      </c>
      <c r="CI37" s="12">
        <v>45971.22</v>
      </c>
      <c r="CJ37" s="6" t="s">
        <v>104</v>
      </c>
      <c r="CK37" s="6" t="s">
        <v>104</v>
      </c>
      <c r="CL37" s="12">
        <v>169579.45</v>
      </c>
      <c r="CM37" s="12">
        <v>97428.51</v>
      </c>
    </row>
    <row r="38" spans="1:91" x14ac:dyDescent="0.35">
      <c r="A38" s="5" t="s">
        <v>41</v>
      </c>
      <c r="B38" s="13">
        <v>69489.69</v>
      </c>
      <c r="C38" s="13">
        <v>117.93</v>
      </c>
      <c r="D38" s="13">
        <v>9.33</v>
      </c>
      <c r="E38" s="13">
        <v>2.27</v>
      </c>
      <c r="F38" s="13">
        <v>57.99</v>
      </c>
      <c r="G38" s="13">
        <v>599.21</v>
      </c>
      <c r="H38" s="13">
        <v>48.44</v>
      </c>
      <c r="I38" s="13">
        <v>73.09</v>
      </c>
      <c r="J38" s="13">
        <v>107.74</v>
      </c>
      <c r="K38" s="13">
        <v>26.45</v>
      </c>
      <c r="L38" s="13">
        <v>134.49</v>
      </c>
      <c r="M38" s="12">
        <v>320.41000000000003</v>
      </c>
      <c r="N38" s="46">
        <v>0</v>
      </c>
      <c r="O38" s="46">
        <v>0</v>
      </c>
      <c r="P38" s="46">
        <v>0</v>
      </c>
      <c r="Q38" s="46">
        <v>0</v>
      </c>
      <c r="R38" s="46">
        <v>0</v>
      </c>
      <c r="S38" s="46">
        <v>0</v>
      </c>
      <c r="T38" s="46">
        <v>0</v>
      </c>
      <c r="U38" s="46">
        <v>0</v>
      </c>
      <c r="V38" s="13">
        <v>224.17</v>
      </c>
      <c r="W38" s="13">
        <v>546.30999999999995</v>
      </c>
      <c r="X38" s="13">
        <v>204.41</v>
      </c>
      <c r="Y38" s="13">
        <v>822.78</v>
      </c>
      <c r="Z38" s="13">
        <v>1629.72</v>
      </c>
      <c r="AA38" s="13">
        <v>3455.73</v>
      </c>
      <c r="AB38" s="13">
        <v>15433.13</v>
      </c>
      <c r="AC38" s="13">
        <v>5864.46</v>
      </c>
      <c r="AD38" s="13">
        <v>8075.83</v>
      </c>
      <c r="AE38" s="13">
        <v>1707.57</v>
      </c>
      <c r="AF38" s="13">
        <v>642.55999999999995</v>
      </c>
      <c r="AG38" s="13">
        <v>2616.42</v>
      </c>
      <c r="AH38" s="13">
        <v>2123.0700000000002</v>
      </c>
      <c r="AJ38" s="13">
        <v>81.599999999999994</v>
      </c>
      <c r="AK38" s="13">
        <v>302.70999999999998</v>
      </c>
      <c r="AL38" s="13">
        <v>12955.07</v>
      </c>
      <c r="AM38" s="13">
        <v>652.92999999999995</v>
      </c>
      <c r="AN38" s="13">
        <v>1751.79</v>
      </c>
      <c r="AO38" s="13">
        <v>504.76</v>
      </c>
      <c r="AP38" s="13">
        <v>429.64</v>
      </c>
      <c r="AQ38" s="13">
        <v>23.72</v>
      </c>
      <c r="AR38" s="13">
        <v>34.79</v>
      </c>
      <c r="AS38" s="13">
        <v>325.52</v>
      </c>
      <c r="AT38" s="13">
        <v>50.53</v>
      </c>
      <c r="AU38" s="13">
        <v>433.24</v>
      </c>
      <c r="AV38" s="13">
        <v>47.35</v>
      </c>
      <c r="AW38" s="13">
        <v>91.87</v>
      </c>
      <c r="AX38" s="13">
        <v>761.44</v>
      </c>
      <c r="AY38" s="13">
        <v>824.53</v>
      </c>
      <c r="AZ38" s="13">
        <v>12.16</v>
      </c>
      <c r="BA38" s="13">
        <v>11.99</v>
      </c>
      <c r="BB38" s="13">
        <v>19.579999999999998</v>
      </c>
      <c r="BC38" s="13">
        <v>667.03</v>
      </c>
      <c r="BD38" s="13">
        <v>407.76</v>
      </c>
      <c r="BE38" s="13">
        <v>635.58000000000004</v>
      </c>
      <c r="BF38" s="13">
        <v>1077.93</v>
      </c>
      <c r="BG38" s="13">
        <v>56.48</v>
      </c>
      <c r="BH38" s="13">
        <v>161.74</v>
      </c>
      <c r="BI38" s="13">
        <v>606.94000000000005</v>
      </c>
      <c r="BJ38" s="13">
        <v>28.65</v>
      </c>
      <c r="BK38" s="13">
        <v>10.37</v>
      </c>
      <c r="BL38" s="13">
        <v>437.04</v>
      </c>
      <c r="BM38" s="13">
        <v>289.73</v>
      </c>
      <c r="BN38" s="13">
        <v>114.32</v>
      </c>
      <c r="BO38" s="13">
        <v>187.28</v>
      </c>
      <c r="BP38" s="13">
        <v>74.849999999999994</v>
      </c>
      <c r="BQ38" s="13">
        <v>99.52</v>
      </c>
      <c r="BR38" s="13">
        <v>61.24</v>
      </c>
      <c r="BS38" s="13">
        <v>17.66</v>
      </c>
      <c r="BT38" s="13">
        <v>185.93</v>
      </c>
      <c r="BU38" s="13">
        <v>210.15</v>
      </c>
      <c r="BV38" s="13">
        <v>0.8</v>
      </c>
      <c r="BW38" s="7">
        <v>0</v>
      </c>
      <c r="BX38" s="13">
        <v>18155.43</v>
      </c>
      <c r="BY38" s="13">
        <v>15.29</v>
      </c>
      <c r="BZ38" s="13">
        <v>18138.830000000002</v>
      </c>
      <c r="CA38" s="13">
        <v>1.31</v>
      </c>
      <c r="CB38" s="13">
        <v>18664.669999999998</v>
      </c>
      <c r="CC38" s="13">
        <v>3780.33</v>
      </c>
      <c r="CD38" s="7">
        <v>0</v>
      </c>
      <c r="CE38" s="7" t="s">
        <v>104</v>
      </c>
      <c r="CF38" s="7">
        <v>0</v>
      </c>
      <c r="CG38" s="6" t="s">
        <v>104</v>
      </c>
      <c r="CH38" s="7">
        <v>0</v>
      </c>
      <c r="CI38" s="13">
        <v>14884.33</v>
      </c>
      <c r="CJ38" s="7" t="s">
        <v>104</v>
      </c>
      <c r="CK38" s="7" t="s">
        <v>104</v>
      </c>
      <c r="CL38" s="13">
        <v>106309.78</v>
      </c>
      <c r="CM38" s="13">
        <v>36820.089999999997</v>
      </c>
    </row>
    <row r="39" spans="1:91" x14ac:dyDescent="0.35">
      <c r="A39" s="5" t="s">
        <v>42</v>
      </c>
      <c r="B39" s="12">
        <v>56311.89</v>
      </c>
      <c r="C39" s="12">
        <v>586.1</v>
      </c>
      <c r="D39" s="12">
        <v>47.1</v>
      </c>
      <c r="E39" s="12">
        <v>13.79</v>
      </c>
      <c r="F39" s="12">
        <v>194.08</v>
      </c>
      <c r="G39" s="12">
        <v>778.75</v>
      </c>
      <c r="H39" s="12">
        <v>133.56</v>
      </c>
      <c r="I39" s="12">
        <v>123.17</v>
      </c>
      <c r="J39" s="12">
        <v>279.23</v>
      </c>
      <c r="K39" s="12">
        <v>78.98</v>
      </c>
      <c r="L39" s="12">
        <v>328.47</v>
      </c>
      <c r="M39" s="12">
        <v>443.57</v>
      </c>
      <c r="N39" s="46">
        <v>0</v>
      </c>
      <c r="O39" s="46">
        <v>0</v>
      </c>
      <c r="P39" s="46">
        <v>0</v>
      </c>
      <c r="Q39" s="46">
        <v>0</v>
      </c>
      <c r="R39" s="46">
        <v>0</v>
      </c>
      <c r="S39" s="46">
        <v>0</v>
      </c>
      <c r="T39" s="46">
        <v>0</v>
      </c>
      <c r="U39" s="46">
        <v>0</v>
      </c>
      <c r="V39" s="12">
        <v>239.5</v>
      </c>
      <c r="W39" s="12">
        <v>811.75</v>
      </c>
      <c r="X39" s="12">
        <v>352.64</v>
      </c>
      <c r="Y39" s="12">
        <v>1041.54</v>
      </c>
      <c r="Z39" s="12">
        <v>2221.4499999999998</v>
      </c>
      <c r="AA39" s="12">
        <v>1193.06</v>
      </c>
      <c r="AB39" s="12">
        <v>1840.3</v>
      </c>
      <c r="AC39" s="12">
        <v>16979.91</v>
      </c>
      <c r="AD39" s="12">
        <v>7412.53</v>
      </c>
      <c r="AE39" s="12">
        <v>2035.67</v>
      </c>
      <c r="AF39" s="12">
        <v>325.52999999999997</v>
      </c>
      <c r="AG39" s="12">
        <v>3689.43</v>
      </c>
      <c r="AH39" s="13">
        <v>741.71</v>
      </c>
      <c r="AJ39" s="12">
        <v>84.75</v>
      </c>
      <c r="AK39" s="12">
        <v>519.19000000000005</v>
      </c>
      <c r="AL39" s="12">
        <v>4977.1400000000003</v>
      </c>
      <c r="AM39" s="12">
        <v>877.72</v>
      </c>
      <c r="AN39" s="12">
        <v>1281.29</v>
      </c>
      <c r="AO39" s="12">
        <v>353.1</v>
      </c>
      <c r="AP39" s="12">
        <v>295.51</v>
      </c>
      <c r="AQ39" s="12">
        <v>67.55</v>
      </c>
      <c r="AR39" s="12">
        <v>44.3</v>
      </c>
      <c r="AS39" s="12">
        <v>669.52</v>
      </c>
      <c r="AT39" s="12">
        <v>23.19</v>
      </c>
      <c r="AU39" s="12">
        <v>169.71</v>
      </c>
      <c r="AV39" s="12">
        <v>29.58</v>
      </c>
      <c r="AW39" s="12">
        <v>31.83</v>
      </c>
      <c r="AX39" s="12">
        <v>175.9</v>
      </c>
      <c r="AY39" s="12">
        <v>326.77</v>
      </c>
      <c r="AZ39" s="12">
        <v>35.229999999999997</v>
      </c>
      <c r="BA39" s="12">
        <v>23.05</v>
      </c>
      <c r="BB39" s="12">
        <v>17.62</v>
      </c>
      <c r="BC39" s="12">
        <v>241.87</v>
      </c>
      <c r="BD39" s="12">
        <v>322.52</v>
      </c>
      <c r="BE39" s="12">
        <v>565.08000000000004</v>
      </c>
      <c r="BF39" s="12">
        <v>1083.5999999999999</v>
      </c>
      <c r="BG39" s="12">
        <v>41.45</v>
      </c>
      <c r="BH39" s="12">
        <v>118.63</v>
      </c>
      <c r="BI39" s="12">
        <v>814.53</v>
      </c>
      <c r="BJ39" s="12">
        <v>35.29</v>
      </c>
      <c r="BK39" s="12">
        <v>19.079999999999998</v>
      </c>
      <c r="BL39" s="12">
        <v>485.44</v>
      </c>
      <c r="BM39" s="12">
        <v>154.32</v>
      </c>
      <c r="BN39" s="12">
        <v>57.86</v>
      </c>
      <c r="BO39" s="12">
        <v>143.02000000000001</v>
      </c>
      <c r="BP39" s="12">
        <v>72.91</v>
      </c>
      <c r="BQ39" s="12">
        <v>82.98</v>
      </c>
      <c r="BR39" s="6">
        <v>41</v>
      </c>
      <c r="BS39" s="12">
        <v>49.52</v>
      </c>
      <c r="BT39" s="12">
        <v>49.52</v>
      </c>
      <c r="BU39" s="12">
        <v>37.74</v>
      </c>
      <c r="BV39" s="12">
        <v>0.78</v>
      </c>
      <c r="BW39" s="6">
        <v>0</v>
      </c>
      <c r="BX39" s="12">
        <v>1971.62</v>
      </c>
      <c r="BY39" s="12">
        <v>58.09</v>
      </c>
      <c r="BZ39" s="12">
        <v>1913.01</v>
      </c>
      <c r="CA39" s="12">
        <v>0.53</v>
      </c>
      <c r="CB39" s="12">
        <v>50342.6</v>
      </c>
      <c r="CC39" s="12">
        <v>2149.4899999999998</v>
      </c>
      <c r="CD39" s="6">
        <v>0</v>
      </c>
      <c r="CE39" s="7" t="s">
        <v>104</v>
      </c>
      <c r="CF39" s="6">
        <v>0</v>
      </c>
      <c r="CG39" s="6" t="s">
        <v>104</v>
      </c>
      <c r="CH39" s="6">
        <v>0</v>
      </c>
      <c r="CI39" s="12">
        <v>48193.11</v>
      </c>
      <c r="CJ39" s="6" t="s">
        <v>104</v>
      </c>
      <c r="CK39" s="6" t="s">
        <v>104</v>
      </c>
      <c r="CL39" s="12">
        <v>108626.12</v>
      </c>
      <c r="CM39" s="12">
        <v>52314.22</v>
      </c>
    </row>
    <row r="40" spans="1:91" x14ac:dyDescent="0.35">
      <c r="A40" s="5" t="s">
        <v>43</v>
      </c>
      <c r="B40" s="13">
        <v>45848.67</v>
      </c>
      <c r="C40" s="13">
        <v>94.99</v>
      </c>
      <c r="D40" s="13">
        <v>11.47</v>
      </c>
      <c r="E40" s="13">
        <v>2.14</v>
      </c>
      <c r="F40" s="13">
        <v>12.56</v>
      </c>
      <c r="G40" s="13">
        <v>54.47</v>
      </c>
      <c r="H40" s="13">
        <v>30.81</v>
      </c>
      <c r="I40" s="13">
        <v>19.010000000000002</v>
      </c>
      <c r="J40" s="13">
        <v>6.57</v>
      </c>
      <c r="K40" s="13">
        <v>1.29</v>
      </c>
      <c r="L40" s="13">
        <v>17.93</v>
      </c>
      <c r="M40" s="12">
        <v>196.53</v>
      </c>
      <c r="N40" s="46">
        <v>0</v>
      </c>
      <c r="O40" s="46">
        <v>0</v>
      </c>
      <c r="P40" s="46">
        <v>0</v>
      </c>
      <c r="Q40" s="46">
        <v>0</v>
      </c>
      <c r="R40" s="46">
        <v>0</v>
      </c>
      <c r="S40" s="46">
        <v>0</v>
      </c>
      <c r="T40" s="46">
        <v>0</v>
      </c>
      <c r="U40" s="46">
        <v>0</v>
      </c>
      <c r="V40" s="13">
        <v>6.17</v>
      </c>
      <c r="W40" s="13">
        <v>294.37</v>
      </c>
      <c r="X40" s="13">
        <v>173.13</v>
      </c>
      <c r="Y40" s="13">
        <v>81.94</v>
      </c>
      <c r="Z40" s="13">
        <v>467.52</v>
      </c>
      <c r="AA40" s="13">
        <v>260.83999999999997</v>
      </c>
      <c r="AB40" s="13">
        <v>698.42</v>
      </c>
      <c r="AC40" s="13">
        <v>1685.12</v>
      </c>
      <c r="AD40" s="13">
        <v>31330.1</v>
      </c>
      <c r="AE40" s="13">
        <v>327.08</v>
      </c>
      <c r="AF40" s="13">
        <v>103.35</v>
      </c>
      <c r="AG40" s="13">
        <v>571.5</v>
      </c>
      <c r="AH40" s="13">
        <v>58.79</v>
      </c>
      <c r="AJ40" s="13">
        <v>5.64</v>
      </c>
      <c r="AK40" s="13">
        <v>76.36</v>
      </c>
      <c r="AL40" s="13">
        <v>216.01</v>
      </c>
      <c r="AM40" s="13">
        <v>3976.71</v>
      </c>
      <c r="AN40" s="13">
        <v>579.41</v>
      </c>
      <c r="AO40" s="13">
        <v>111.8</v>
      </c>
      <c r="AP40" s="13">
        <v>1275.32</v>
      </c>
      <c r="AQ40" s="13">
        <v>11.18</v>
      </c>
      <c r="AR40" s="13">
        <v>48.98</v>
      </c>
      <c r="AS40" s="13">
        <v>247.03</v>
      </c>
      <c r="AT40" s="13">
        <v>17.059999999999999</v>
      </c>
      <c r="AU40" s="13">
        <v>40.409999999999997</v>
      </c>
      <c r="AV40" s="13">
        <v>4.28</v>
      </c>
      <c r="AW40" s="13">
        <v>6.87</v>
      </c>
      <c r="AX40" s="13">
        <v>16.78</v>
      </c>
      <c r="AY40" s="13">
        <v>152.06</v>
      </c>
      <c r="AZ40" s="13">
        <v>19.75</v>
      </c>
      <c r="BA40" s="13">
        <v>9.4600000000000009</v>
      </c>
      <c r="BB40" s="13">
        <v>23.67</v>
      </c>
      <c r="BC40" s="13">
        <v>120.1</v>
      </c>
      <c r="BD40" s="13">
        <v>191.47</v>
      </c>
      <c r="BE40" s="13">
        <v>84.24</v>
      </c>
      <c r="BF40" s="13">
        <v>1079.1600000000001</v>
      </c>
      <c r="BG40" s="13">
        <v>25.49</v>
      </c>
      <c r="BH40" s="13">
        <v>93.1</v>
      </c>
      <c r="BI40" s="13">
        <v>387.2</v>
      </c>
      <c r="BJ40" s="13">
        <v>25.98</v>
      </c>
      <c r="BK40" s="13">
        <v>9.17</v>
      </c>
      <c r="BL40" s="13">
        <v>273.77999999999997</v>
      </c>
      <c r="BM40" s="13">
        <v>76.83</v>
      </c>
      <c r="BN40" s="13">
        <v>37.68</v>
      </c>
      <c r="BO40" s="13">
        <v>28.55</v>
      </c>
      <c r="BP40" s="13">
        <v>15.73</v>
      </c>
      <c r="BQ40" s="13">
        <v>8.84</v>
      </c>
      <c r="BR40" s="13">
        <v>18.03</v>
      </c>
      <c r="BS40" s="13">
        <v>19.399999999999999</v>
      </c>
      <c r="BT40" s="13">
        <v>3.62</v>
      </c>
      <c r="BU40" s="13">
        <v>5.28</v>
      </c>
      <c r="BV40" s="13">
        <v>0.18</v>
      </c>
      <c r="BW40" s="7">
        <v>0</v>
      </c>
      <c r="BX40" s="13">
        <v>34581.24</v>
      </c>
      <c r="BY40" s="13">
        <v>9.4600000000000009</v>
      </c>
      <c r="BZ40" s="13">
        <v>34570.879999999997</v>
      </c>
      <c r="CA40" s="13">
        <v>0.9</v>
      </c>
      <c r="CB40" s="13">
        <v>31679.11</v>
      </c>
      <c r="CC40" s="13">
        <v>-903.95</v>
      </c>
      <c r="CD40" s="7">
        <v>0</v>
      </c>
      <c r="CE40" s="7" t="s">
        <v>104</v>
      </c>
      <c r="CF40" s="7">
        <v>0</v>
      </c>
      <c r="CG40" s="6" t="s">
        <v>104</v>
      </c>
      <c r="CH40" s="7">
        <v>0</v>
      </c>
      <c r="CI40" s="13">
        <v>32583.06</v>
      </c>
      <c r="CJ40" s="7" t="s">
        <v>104</v>
      </c>
      <c r="CK40" s="7" t="s">
        <v>104</v>
      </c>
      <c r="CL40" s="13">
        <v>112109.02</v>
      </c>
      <c r="CM40" s="13">
        <v>66260.350000000006</v>
      </c>
    </row>
    <row r="41" spans="1:91" x14ac:dyDescent="0.35">
      <c r="A41" s="5" t="s">
        <v>44</v>
      </c>
      <c r="B41" s="12">
        <v>35470.49</v>
      </c>
      <c r="C41" s="12">
        <v>25.13</v>
      </c>
      <c r="D41" s="12">
        <v>14.81</v>
      </c>
      <c r="E41" s="12">
        <v>1.25</v>
      </c>
      <c r="F41" s="12">
        <v>24.2</v>
      </c>
      <c r="G41" s="12">
        <v>16.62</v>
      </c>
      <c r="H41" s="12">
        <v>11.53</v>
      </c>
      <c r="I41" s="12">
        <v>9.17</v>
      </c>
      <c r="J41" s="12">
        <v>2.0299999999999998</v>
      </c>
      <c r="K41" s="12">
        <v>0.69</v>
      </c>
      <c r="L41" s="12">
        <v>4.1399999999999997</v>
      </c>
      <c r="M41" s="12">
        <v>7.25</v>
      </c>
      <c r="N41" s="46">
        <v>0</v>
      </c>
      <c r="O41" s="46">
        <v>0</v>
      </c>
      <c r="P41" s="46">
        <v>0</v>
      </c>
      <c r="Q41" s="46">
        <v>0</v>
      </c>
      <c r="R41" s="46">
        <v>0</v>
      </c>
      <c r="S41" s="46">
        <v>0</v>
      </c>
      <c r="T41" s="46">
        <v>0</v>
      </c>
      <c r="U41" s="46">
        <v>0</v>
      </c>
      <c r="V41" s="12">
        <v>2.2799999999999998</v>
      </c>
      <c r="W41" s="12">
        <v>81.44</v>
      </c>
      <c r="X41" s="12">
        <v>7.61</v>
      </c>
      <c r="Y41" s="12">
        <v>35.28</v>
      </c>
      <c r="Z41" s="12">
        <v>233.84</v>
      </c>
      <c r="AA41" s="12">
        <v>162.19</v>
      </c>
      <c r="AB41" s="12">
        <v>140.25</v>
      </c>
      <c r="AC41" s="12">
        <v>195.69</v>
      </c>
      <c r="AD41" s="12">
        <v>406.48</v>
      </c>
      <c r="AE41" s="12">
        <v>24097.62</v>
      </c>
      <c r="AF41" s="12">
        <v>135.30000000000001</v>
      </c>
      <c r="AG41" s="12">
        <v>2475.63</v>
      </c>
      <c r="AH41" s="13">
        <v>32.979999999999997</v>
      </c>
      <c r="AJ41" s="12">
        <v>5.66</v>
      </c>
      <c r="AK41" s="12">
        <v>52.77</v>
      </c>
      <c r="AL41" s="12">
        <v>190.25</v>
      </c>
      <c r="AM41" s="12">
        <v>253.77</v>
      </c>
      <c r="AN41" s="12">
        <v>168.05</v>
      </c>
      <c r="AO41" s="12">
        <v>89.57</v>
      </c>
      <c r="AP41" s="12">
        <v>1260.55</v>
      </c>
      <c r="AQ41" s="12">
        <v>106.59</v>
      </c>
      <c r="AR41" s="12">
        <v>1898.03</v>
      </c>
      <c r="AS41" s="12">
        <v>399.64</v>
      </c>
      <c r="AT41" s="12">
        <v>5.79</v>
      </c>
      <c r="AU41" s="12">
        <v>34.76</v>
      </c>
      <c r="AV41" s="12">
        <v>9.44</v>
      </c>
      <c r="AW41" s="12">
        <v>0.47</v>
      </c>
      <c r="AX41" s="12">
        <v>4.09</v>
      </c>
      <c r="AY41" s="12">
        <v>84.66</v>
      </c>
      <c r="AZ41" s="12">
        <v>5.65</v>
      </c>
      <c r="BA41" s="12">
        <v>1.01</v>
      </c>
      <c r="BB41" s="12">
        <v>3.39</v>
      </c>
      <c r="BC41" s="12">
        <v>75.540000000000006</v>
      </c>
      <c r="BD41" s="12">
        <v>34.21</v>
      </c>
      <c r="BE41" s="12">
        <v>83.09</v>
      </c>
      <c r="BF41" s="12">
        <v>359.62</v>
      </c>
      <c r="BG41" s="12">
        <v>4.9000000000000004</v>
      </c>
      <c r="BH41" s="12">
        <v>77.569999999999993</v>
      </c>
      <c r="BI41" s="12">
        <v>466.77</v>
      </c>
      <c r="BJ41" s="12">
        <v>6.81</v>
      </c>
      <c r="BK41" s="12">
        <v>6.96</v>
      </c>
      <c r="BL41" s="12">
        <v>88.78</v>
      </c>
      <c r="BM41" s="12">
        <v>1430.39</v>
      </c>
      <c r="BN41" s="12">
        <v>10.93</v>
      </c>
      <c r="BO41" s="12">
        <v>65.86</v>
      </c>
      <c r="BP41" s="12">
        <v>3.91</v>
      </c>
      <c r="BQ41" s="12">
        <v>8.01</v>
      </c>
      <c r="BR41" s="12">
        <v>13.72</v>
      </c>
      <c r="BS41" s="12">
        <v>8.4700000000000006</v>
      </c>
      <c r="BT41" s="12">
        <v>7.96</v>
      </c>
      <c r="BU41" s="12">
        <v>19.32</v>
      </c>
      <c r="BV41" s="12">
        <v>0.11</v>
      </c>
      <c r="BW41" s="6">
        <v>0</v>
      </c>
      <c r="BX41" s="12">
        <v>11806.51</v>
      </c>
      <c r="BY41" s="12">
        <v>197.04</v>
      </c>
      <c r="BZ41" s="12">
        <v>11605.08</v>
      </c>
      <c r="CA41" s="12">
        <v>4.4000000000000004</v>
      </c>
      <c r="CB41" s="12">
        <v>26970.46</v>
      </c>
      <c r="CC41" s="12">
        <v>-12687.14</v>
      </c>
      <c r="CD41" s="6">
        <v>0</v>
      </c>
      <c r="CE41" s="7" t="s">
        <v>104</v>
      </c>
      <c r="CF41" s="6">
        <v>0</v>
      </c>
      <c r="CG41" s="6" t="s">
        <v>104</v>
      </c>
      <c r="CH41" s="6">
        <v>0</v>
      </c>
      <c r="CI41" s="12">
        <v>39657.599999999999</v>
      </c>
      <c r="CJ41" s="6" t="s">
        <v>104</v>
      </c>
      <c r="CK41" s="6" t="s">
        <v>104</v>
      </c>
      <c r="CL41" s="12">
        <v>74247.45</v>
      </c>
      <c r="CM41" s="12">
        <v>38776.97</v>
      </c>
    </row>
    <row r="42" spans="1:91" x14ac:dyDescent="0.35">
      <c r="A42" s="5" t="s">
        <v>45</v>
      </c>
      <c r="B42" s="13">
        <v>19933.439999999999</v>
      </c>
      <c r="C42" s="13">
        <v>27.67</v>
      </c>
      <c r="D42" s="13">
        <v>2.5</v>
      </c>
      <c r="E42" s="13">
        <v>3.12</v>
      </c>
      <c r="F42" s="13">
        <v>11.45</v>
      </c>
      <c r="G42" s="13">
        <v>312.93</v>
      </c>
      <c r="H42" s="13">
        <v>159.44999999999999</v>
      </c>
      <c r="I42" s="13">
        <v>113.03</v>
      </c>
      <c r="J42" s="13">
        <v>48.19</v>
      </c>
      <c r="K42" s="13">
        <v>19.45</v>
      </c>
      <c r="L42" s="13">
        <v>13.31</v>
      </c>
      <c r="M42" s="12">
        <v>320.85000000000002</v>
      </c>
      <c r="N42" s="46">
        <v>0</v>
      </c>
      <c r="O42" s="46">
        <v>0</v>
      </c>
      <c r="P42" s="46">
        <v>0</v>
      </c>
      <c r="Q42" s="46">
        <v>0</v>
      </c>
      <c r="R42" s="46">
        <v>0</v>
      </c>
      <c r="S42" s="46">
        <v>0</v>
      </c>
      <c r="T42" s="46">
        <v>0</v>
      </c>
      <c r="U42" s="46">
        <v>0</v>
      </c>
      <c r="V42" s="13">
        <v>504.11</v>
      </c>
      <c r="W42" s="13">
        <v>126.43</v>
      </c>
      <c r="X42" s="13">
        <v>72.48</v>
      </c>
      <c r="Y42" s="13">
        <v>97.66</v>
      </c>
      <c r="Z42" s="13">
        <v>146.63999999999999</v>
      </c>
      <c r="AA42" s="13">
        <v>372.82</v>
      </c>
      <c r="AB42" s="13">
        <v>152.19999999999999</v>
      </c>
      <c r="AC42" s="13">
        <v>210.26</v>
      </c>
      <c r="AD42" s="13">
        <v>447.26</v>
      </c>
      <c r="AE42" s="13">
        <v>93.23</v>
      </c>
      <c r="AF42" s="13">
        <v>2630.77</v>
      </c>
      <c r="AG42" s="13">
        <v>283.01</v>
      </c>
      <c r="AH42" s="13">
        <v>116.56</v>
      </c>
      <c r="AJ42" s="13">
        <v>6.99</v>
      </c>
      <c r="AK42" s="13">
        <v>59.89</v>
      </c>
      <c r="AL42" s="13">
        <v>932.42</v>
      </c>
      <c r="AM42" s="13">
        <v>66.709999999999994</v>
      </c>
      <c r="AN42" s="13">
        <v>399.97</v>
      </c>
      <c r="AO42" s="13">
        <v>408.99</v>
      </c>
      <c r="AP42" s="13">
        <v>99.05</v>
      </c>
      <c r="AQ42" s="13">
        <v>22.2</v>
      </c>
      <c r="AR42" s="13">
        <v>9.57</v>
      </c>
      <c r="AS42" s="13">
        <v>58.97</v>
      </c>
      <c r="AT42" s="13">
        <v>6.14</v>
      </c>
      <c r="AU42" s="13">
        <v>359.29</v>
      </c>
      <c r="AV42" s="13">
        <v>42.71</v>
      </c>
      <c r="AW42" s="13">
        <v>180.36</v>
      </c>
      <c r="AX42" s="7">
        <v>91</v>
      </c>
      <c r="AY42" s="13">
        <v>219.99</v>
      </c>
      <c r="AZ42" s="13">
        <v>38.619999999999997</v>
      </c>
      <c r="BA42" s="13">
        <v>12.67</v>
      </c>
      <c r="BB42" s="13">
        <v>22.16</v>
      </c>
      <c r="BC42" s="13">
        <v>166.24</v>
      </c>
      <c r="BD42" s="13">
        <v>143.91</v>
      </c>
      <c r="BE42" s="13">
        <v>91.01</v>
      </c>
      <c r="BF42" s="13">
        <v>272.93</v>
      </c>
      <c r="BG42" s="13">
        <v>78.66</v>
      </c>
      <c r="BH42" s="13">
        <v>98.02</v>
      </c>
      <c r="BI42" s="13">
        <v>178.54</v>
      </c>
      <c r="BJ42" s="13">
        <v>38.630000000000003</v>
      </c>
      <c r="BK42" s="13">
        <v>6.87</v>
      </c>
      <c r="BL42" s="13">
        <v>216.88</v>
      </c>
      <c r="BM42" s="13">
        <v>248.01</v>
      </c>
      <c r="BN42" s="13">
        <v>231.52</v>
      </c>
      <c r="BO42" s="13">
        <v>7647.1</v>
      </c>
      <c r="BP42" s="13">
        <v>576.27</v>
      </c>
      <c r="BQ42" s="13">
        <v>219.06</v>
      </c>
      <c r="BR42" s="13">
        <v>269.95999999999998</v>
      </c>
      <c r="BS42" s="13">
        <v>57.24</v>
      </c>
      <c r="BT42" s="13">
        <v>17.16</v>
      </c>
      <c r="BU42" s="7">
        <v>51</v>
      </c>
      <c r="BV42" s="13">
        <v>1.4</v>
      </c>
      <c r="BW42" s="7">
        <v>0</v>
      </c>
      <c r="BX42" s="13">
        <v>31313.8</v>
      </c>
      <c r="BY42" s="13">
        <v>2896.97</v>
      </c>
      <c r="BZ42" s="13">
        <v>28404.38</v>
      </c>
      <c r="CA42" s="13">
        <v>12.44</v>
      </c>
      <c r="CB42" s="13">
        <v>15156.4</v>
      </c>
      <c r="CC42" s="13">
        <v>4429.12</v>
      </c>
      <c r="CD42" s="7">
        <v>0</v>
      </c>
      <c r="CE42" s="7" t="s">
        <v>104</v>
      </c>
      <c r="CF42" s="7">
        <v>0</v>
      </c>
      <c r="CG42" s="6" t="s">
        <v>104</v>
      </c>
      <c r="CH42" s="7">
        <v>0</v>
      </c>
      <c r="CI42" s="13">
        <v>10727.29</v>
      </c>
      <c r="CJ42" s="7" t="s">
        <v>104</v>
      </c>
      <c r="CK42" s="7" t="s">
        <v>104</v>
      </c>
      <c r="CL42" s="13">
        <v>66403.64</v>
      </c>
      <c r="CM42" s="13">
        <v>46470.2</v>
      </c>
    </row>
    <row r="43" spans="1:91" x14ac:dyDescent="0.35">
      <c r="A43" s="5" t="s">
        <v>46</v>
      </c>
      <c r="B43" s="12">
        <v>16160.5</v>
      </c>
      <c r="C43" s="12">
        <v>520.78</v>
      </c>
      <c r="D43" s="12">
        <v>7.84</v>
      </c>
      <c r="E43" s="12">
        <v>14.86</v>
      </c>
      <c r="F43" s="12">
        <v>169.51</v>
      </c>
      <c r="G43" s="12">
        <v>548.15</v>
      </c>
      <c r="H43" s="12">
        <v>55.8</v>
      </c>
      <c r="I43" s="12">
        <v>57.08</v>
      </c>
      <c r="J43" s="12">
        <v>121.7</v>
      </c>
      <c r="K43" s="12">
        <v>11.35</v>
      </c>
      <c r="L43" s="12">
        <v>140.86000000000001</v>
      </c>
      <c r="M43" s="12">
        <v>310.32</v>
      </c>
      <c r="N43" s="46">
        <v>0</v>
      </c>
      <c r="O43" s="46">
        <v>0</v>
      </c>
      <c r="P43" s="46">
        <v>0</v>
      </c>
      <c r="Q43" s="46">
        <v>0</v>
      </c>
      <c r="R43" s="46">
        <v>0</v>
      </c>
      <c r="S43" s="46">
        <v>0</v>
      </c>
      <c r="T43" s="46">
        <v>0</v>
      </c>
      <c r="U43" s="46">
        <v>0</v>
      </c>
      <c r="V43" s="12">
        <v>146.59</v>
      </c>
      <c r="W43" s="12">
        <v>121.61</v>
      </c>
      <c r="X43" s="12">
        <v>173.19</v>
      </c>
      <c r="Y43" s="12">
        <v>286.62</v>
      </c>
      <c r="Z43" s="12">
        <v>290.37</v>
      </c>
      <c r="AA43" s="12">
        <v>122.3</v>
      </c>
      <c r="AB43" s="12">
        <v>223.1</v>
      </c>
      <c r="AC43" s="12">
        <v>370.43</v>
      </c>
      <c r="AD43" s="12">
        <v>151.53</v>
      </c>
      <c r="AE43" s="12">
        <v>248.65</v>
      </c>
      <c r="AF43" s="12">
        <v>174.84</v>
      </c>
      <c r="AG43" s="12">
        <v>686.53</v>
      </c>
      <c r="AH43" s="13">
        <v>939.03</v>
      </c>
      <c r="AJ43" s="12">
        <v>25.46</v>
      </c>
      <c r="AK43" s="12">
        <v>145.87</v>
      </c>
      <c r="AL43" s="12">
        <v>672.98</v>
      </c>
      <c r="AM43" s="12">
        <v>55.74</v>
      </c>
      <c r="AN43" s="12">
        <v>390.36</v>
      </c>
      <c r="AO43" s="12">
        <v>193.52</v>
      </c>
      <c r="AP43" s="12">
        <v>605.34</v>
      </c>
      <c r="AQ43" s="12">
        <v>2340.63</v>
      </c>
      <c r="AR43" s="12">
        <v>2686.27</v>
      </c>
      <c r="AS43" s="12">
        <v>308.33</v>
      </c>
      <c r="AT43" s="12">
        <v>20.13</v>
      </c>
      <c r="AU43" s="12">
        <v>187.09</v>
      </c>
      <c r="AV43" s="12">
        <v>22.37</v>
      </c>
      <c r="AW43" s="12">
        <v>7.71</v>
      </c>
      <c r="AX43" s="12">
        <v>179.34</v>
      </c>
      <c r="AY43" s="12">
        <v>371.78</v>
      </c>
      <c r="AZ43" s="12">
        <v>9.67</v>
      </c>
      <c r="BA43" s="12">
        <v>2.37</v>
      </c>
      <c r="BB43" s="12">
        <v>16.47</v>
      </c>
      <c r="BC43" s="12">
        <v>76.569999999999993</v>
      </c>
      <c r="BD43" s="12">
        <v>126.58</v>
      </c>
      <c r="BE43" s="12">
        <v>75.03</v>
      </c>
      <c r="BF43" s="12">
        <v>102.9</v>
      </c>
      <c r="BG43" s="12">
        <v>12.43</v>
      </c>
      <c r="BH43" s="12">
        <v>31.47</v>
      </c>
      <c r="BI43" s="12">
        <v>339.66</v>
      </c>
      <c r="BJ43" s="12">
        <v>52.54</v>
      </c>
      <c r="BK43" s="12">
        <v>7.79</v>
      </c>
      <c r="BL43" s="12">
        <v>91.18</v>
      </c>
      <c r="BM43" s="12">
        <v>662.18</v>
      </c>
      <c r="BN43" s="12">
        <v>27.37</v>
      </c>
      <c r="BO43" s="12">
        <v>187.11</v>
      </c>
      <c r="BP43" s="12">
        <v>87.62</v>
      </c>
      <c r="BQ43" s="12">
        <v>47.74</v>
      </c>
      <c r="BR43" s="12">
        <v>34.42</v>
      </c>
      <c r="BS43" s="12">
        <v>8.09</v>
      </c>
      <c r="BT43" s="12">
        <v>5.82</v>
      </c>
      <c r="BU43" s="12">
        <v>45.32</v>
      </c>
      <c r="BV43" s="12">
        <v>4.21</v>
      </c>
      <c r="BW43" s="6">
        <v>0</v>
      </c>
      <c r="BX43" s="12">
        <v>98.91</v>
      </c>
      <c r="BY43" s="12">
        <v>5.05</v>
      </c>
      <c r="BZ43" s="12">
        <v>93.86</v>
      </c>
      <c r="CA43" s="6">
        <v>0</v>
      </c>
      <c r="CB43" s="12">
        <v>2553.89</v>
      </c>
      <c r="CC43" s="12">
        <v>455.91</v>
      </c>
      <c r="CD43" s="6">
        <v>0</v>
      </c>
      <c r="CE43" s="7" t="s">
        <v>104</v>
      </c>
      <c r="CF43" s="6">
        <v>0</v>
      </c>
      <c r="CG43" s="6" t="s">
        <v>104</v>
      </c>
      <c r="CH43" s="6">
        <v>0</v>
      </c>
      <c r="CI43" s="12">
        <v>2097.98</v>
      </c>
      <c r="CJ43" s="7" t="s">
        <v>104</v>
      </c>
      <c r="CK43" s="7" t="s">
        <v>104</v>
      </c>
      <c r="CL43" s="12">
        <v>18813.3</v>
      </c>
      <c r="CM43" s="12">
        <v>2652.8</v>
      </c>
    </row>
    <row r="44" spans="1:91" x14ac:dyDescent="0.35">
      <c r="A44" s="33" t="s">
        <v>139</v>
      </c>
      <c r="B44" s="34"/>
      <c r="C44" s="34">
        <v>61.09</v>
      </c>
      <c r="D44" s="34">
        <v>2.4700000000000002</v>
      </c>
      <c r="E44" s="34">
        <v>0.75</v>
      </c>
      <c r="F44" s="34">
        <v>27.71</v>
      </c>
      <c r="G44" s="34">
        <v>180.7</v>
      </c>
      <c r="H44" s="34">
        <v>28.35</v>
      </c>
      <c r="I44" s="34">
        <v>18.260000000000002</v>
      </c>
      <c r="J44" s="34">
        <v>38.229999999999997</v>
      </c>
      <c r="K44" s="34">
        <v>5.16</v>
      </c>
      <c r="L44" s="34">
        <v>55.91</v>
      </c>
      <c r="M44" s="34">
        <v>127.78</v>
      </c>
      <c r="N44" s="36">
        <v>0</v>
      </c>
      <c r="O44" s="36">
        <v>0</v>
      </c>
      <c r="P44" s="36">
        <v>0</v>
      </c>
      <c r="Q44" s="36">
        <v>0</v>
      </c>
      <c r="R44" s="36">
        <v>0</v>
      </c>
      <c r="S44" s="36">
        <v>0</v>
      </c>
      <c r="T44" s="36">
        <v>0</v>
      </c>
      <c r="U44" s="36">
        <v>0</v>
      </c>
      <c r="V44" s="34">
        <v>23.56</v>
      </c>
      <c r="W44" s="34">
        <v>61.99</v>
      </c>
      <c r="X44" s="34">
        <v>60.27</v>
      </c>
      <c r="Y44" s="34">
        <v>178.51</v>
      </c>
      <c r="Z44" s="34">
        <v>79.34</v>
      </c>
      <c r="AA44" s="34">
        <v>20.43</v>
      </c>
      <c r="AB44" s="34">
        <v>45.64</v>
      </c>
      <c r="AC44" s="34">
        <v>44.4</v>
      </c>
      <c r="AD44" s="34">
        <v>54.66</v>
      </c>
      <c r="AE44" s="34">
        <v>8.4600000000000009</v>
      </c>
      <c r="AF44" s="34">
        <v>24.9</v>
      </c>
      <c r="AG44" s="34">
        <v>11.59</v>
      </c>
      <c r="AH44" s="34">
        <v>1393.32</v>
      </c>
      <c r="AI44" s="34">
        <v>0</v>
      </c>
      <c r="AJ44" s="34">
        <v>29.52</v>
      </c>
      <c r="AK44" s="34">
        <v>47.63</v>
      </c>
      <c r="AL44" s="34">
        <v>118.55</v>
      </c>
      <c r="AM44" s="34">
        <v>20.95</v>
      </c>
      <c r="AN44" s="34">
        <v>88.15</v>
      </c>
      <c r="AO44" s="34">
        <v>110.17</v>
      </c>
      <c r="AP44" s="34">
        <v>79.77</v>
      </c>
      <c r="AQ44" s="34">
        <v>2.4300000000000002</v>
      </c>
      <c r="AR44" s="34">
        <v>6.13</v>
      </c>
      <c r="AS44" s="34">
        <v>33.6</v>
      </c>
      <c r="AT44" s="34">
        <v>4.12</v>
      </c>
      <c r="AU44" s="34">
        <v>100.04</v>
      </c>
      <c r="AV44" s="34">
        <v>5.65</v>
      </c>
      <c r="AW44" s="34">
        <v>5.27</v>
      </c>
      <c r="AX44" s="34">
        <v>27.44</v>
      </c>
      <c r="AY44" s="34">
        <v>51.03</v>
      </c>
      <c r="AZ44" s="34">
        <v>9.41</v>
      </c>
      <c r="BA44" s="34">
        <v>3.59</v>
      </c>
      <c r="BB44" s="34">
        <v>4.8099999999999996</v>
      </c>
      <c r="BC44" s="34">
        <v>65.11</v>
      </c>
      <c r="BD44" s="34">
        <v>38.07</v>
      </c>
      <c r="BE44" s="34">
        <v>19.16</v>
      </c>
      <c r="BF44" s="34">
        <v>26.49</v>
      </c>
      <c r="BG44" s="34">
        <v>6.59</v>
      </c>
      <c r="BH44" s="34">
        <v>11.02</v>
      </c>
      <c r="BI44" s="34">
        <v>17.97</v>
      </c>
      <c r="BJ44" s="34">
        <v>3.8</v>
      </c>
      <c r="BK44" s="34">
        <v>2.16</v>
      </c>
      <c r="BL44" s="34">
        <v>24.89</v>
      </c>
      <c r="BM44" s="34">
        <v>49.77</v>
      </c>
      <c r="BN44" s="34">
        <v>30.29</v>
      </c>
      <c r="BO44" s="34">
        <v>57.82</v>
      </c>
      <c r="BP44" s="34">
        <v>22.77</v>
      </c>
      <c r="BQ44" s="34">
        <v>8.85</v>
      </c>
      <c r="BR44" s="34">
        <v>16.72</v>
      </c>
      <c r="BS44" s="34">
        <v>5.73</v>
      </c>
      <c r="BT44" s="34">
        <v>1.57</v>
      </c>
      <c r="BU44" s="34">
        <v>17.38</v>
      </c>
      <c r="BV44" s="34">
        <v>0.09</v>
      </c>
      <c r="BW44" s="34">
        <v>0</v>
      </c>
      <c r="BX44" s="34">
        <v>1097.93</v>
      </c>
      <c r="BY44" s="34">
        <v>16.260000000000002</v>
      </c>
      <c r="BZ44" s="34">
        <v>1081.67</v>
      </c>
      <c r="CA44" s="34">
        <v>0</v>
      </c>
      <c r="CB44" s="34">
        <v>42.23</v>
      </c>
      <c r="CC44" s="34">
        <v>39.56</v>
      </c>
      <c r="CD44" s="34">
        <v>0</v>
      </c>
      <c r="CE44" s="7" t="s">
        <v>104</v>
      </c>
      <c r="CF44" s="34">
        <v>0</v>
      </c>
      <c r="CG44" s="6" t="s">
        <v>104</v>
      </c>
      <c r="CH44" s="34">
        <v>0</v>
      </c>
      <c r="CI44" s="34">
        <v>2.66</v>
      </c>
      <c r="CJ44" s="7" t="s">
        <v>104</v>
      </c>
      <c r="CK44" s="7" t="s">
        <v>104</v>
      </c>
      <c r="CL44" s="34">
        <v>4868.1000000000004</v>
      </c>
      <c r="CM44" s="34">
        <v>1140.1500000000001</v>
      </c>
    </row>
    <row r="45" spans="1:91" x14ac:dyDescent="0.35">
      <c r="A45" s="33" t="s">
        <v>136</v>
      </c>
      <c r="B45" s="34">
        <v>3727.95</v>
      </c>
      <c r="C45" s="34">
        <v>61.09</v>
      </c>
      <c r="D45" s="34">
        <v>2.4700000000000002</v>
      </c>
      <c r="E45" s="34">
        <v>0.75</v>
      </c>
      <c r="F45" s="34">
        <v>27.71</v>
      </c>
      <c r="G45" s="34">
        <v>180.7</v>
      </c>
      <c r="H45" s="34">
        <v>28.35</v>
      </c>
      <c r="I45" s="34">
        <v>18.260000000000002</v>
      </c>
      <c r="J45" s="34">
        <v>38.229999999999997</v>
      </c>
      <c r="K45" s="34">
        <v>5.16</v>
      </c>
      <c r="L45" s="34">
        <v>55.91</v>
      </c>
      <c r="M45" s="34">
        <v>127.78</v>
      </c>
      <c r="N45" s="47">
        <v>0</v>
      </c>
      <c r="O45" s="47">
        <v>0</v>
      </c>
      <c r="P45" s="47">
        <v>0</v>
      </c>
      <c r="Q45" s="47">
        <v>0</v>
      </c>
      <c r="R45" s="47">
        <v>0</v>
      </c>
      <c r="S45" s="47">
        <v>0</v>
      </c>
      <c r="T45" s="47">
        <v>0</v>
      </c>
      <c r="U45" s="47">
        <v>0</v>
      </c>
      <c r="V45" s="34">
        <v>23.56</v>
      </c>
      <c r="W45" s="34">
        <v>61.99</v>
      </c>
      <c r="X45" s="34">
        <v>60.27</v>
      </c>
      <c r="Y45" s="34">
        <v>178.51</v>
      </c>
      <c r="Z45" s="34">
        <v>79.34</v>
      </c>
      <c r="AA45" s="34">
        <v>20.43</v>
      </c>
      <c r="AB45" s="34">
        <v>45.64</v>
      </c>
      <c r="AC45" s="34">
        <v>44.4</v>
      </c>
      <c r="AD45" s="34">
        <v>54.66</v>
      </c>
      <c r="AE45" s="34">
        <v>8.4600000000000009</v>
      </c>
      <c r="AF45" s="34">
        <v>24.9</v>
      </c>
      <c r="AG45" s="34">
        <v>11.59</v>
      </c>
      <c r="AH45" s="34">
        <v>1393.32</v>
      </c>
      <c r="AI45" s="33"/>
      <c r="AJ45" s="34">
        <v>29.52</v>
      </c>
      <c r="AK45" s="34">
        <v>47.63</v>
      </c>
      <c r="AL45" s="34">
        <v>118.55</v>
      </c>
      <c r="AM45" s="34">
        <v>20.95</v>
      </c>
      <c r="AN45" s="34">
        <v>88.15</v>
      </c>
      <c r="AO45" s="34">
        <v>110.17</v>
      </c>
      <c r="AP45" s="34">
        <v>79.77</v>
      </c>
      <c r="AQ45" s="34">
        <v>2.4300000000000002</v>
      </c>
      <c r="AR45" s="34">
        <v>6.13</v>
      </c>
      <c r="AS45" s="34">
        <v>33.6</v>
      </c>
      <c r="AT45" s="34">
        <v>4.12</v>
      </c>
      <c r="AU45" s="34">
        <v>100.04</v>
      </c>
      <c r="AV45" s="34">
        <v>5.65</v>
      </c>
      <c r="AW45" s="34">
        <v>5.27</v>
      </c>
      <c r="AX45" s="34">
        <v>27.44</v>
      </c>
      <c r="AY45" s="34">
        <v>51.03</v>
      </c>
      <c r="AZ45" s="34">
        <v>9.41</v>
      </c>
      <c r="BA45" s="34">
        <v>3.59</v>
      </c>
      <c r="BB45" s="34">
        <v>4.8099999999999996</v>
      </c>
      <c r="BC45" s="34">
        <v>65.11</v>
      </c>
      <c r="BD45" s="34">
        <v>38.07</v>
      </c>
      <c r="BE45" s="34">
        <v>19.16</v>
      </c>
      <c r="BF45" s="34">
        <v>26.49</v>
      </c>
      <c r="BG45" s="34">
        <v>6.59</v>
      </c>
      <c r="BH45" s="34">
        <v>11.02</v>
      </c>
      <c r="BI45" s="34">
        <v>17.97</v>
      </c>
      <c r="BJ45" s="34">
        <v>3.8</v>
      </c>
      <c r="BK45" s="34">
        <v>2.16</v>
      </c>
      <c r="BL45" s="34">
        <v>24.89</v>
      </c>
      <c r="BM45" s="34">
        <v>49.77</v>
      </c>
      <c r="BN45" s="34">
        <v>30.29</v>
      </c>
      <c r="BO45" s="34">
        <v>57.82</v>
      </c>
      <c r="BP45" s="34">
        <v>22.77</v>
      </c>
      <c r="BQ45" s="34">
        <v>8.85</v>
      </c>
      <c r="BR45" s="34">
        <v>16.72</v>
      </c>
      <c r="BS45" s="34">
        <v>5.73</v>
      </c>
      <c r="BT45" s="34">
        <v>1.57</v>
      </c>
      <c r="BU45" s="34">
        <v>17.38</v>
      </c>
      <c r="BV45" s="34">
        <v>0.09</v>
      </c>
      <c r="BW45" s="35">
        <v>0</v>
      </c>
      <c r="BX45" s="34">
        <v>1097.93</v>
      </c>
      <c r="BY45" s="34">
        <v>16.260000000000002</v>
      </c>
      <c r="BZ45" s="34">
        <v>1081.67</v>
      </c>
      <c r="CA45" s="35">
        <v>0</v>
      </c>
      <c r="CB45" s="34">
        <v>42.23</v>
      </c>
      <c r="CC45" s="34">
        <v>39.56</v>
      </c>
      <c r="CD45" s="35">
        <v>0</v>
      </c>
      <c r="CE45" s="7" t="s">
        <v>104</v>
      </c>
      <c r="CF45" s="35">
        <v>0</v>
      </c>
      <c r="CG45" s="6" t="s">
        <v>104</v>
      </c>
      <c r="CH45" s="35">
        <v>0</v>
      </c>
      <c r="CI45" s="34">
        <v>2.66</v>
      </c>
      <c r="CJ45" s="35" t="s">
        <v>104</v>
      </c>
      <c r="CK45" s="35" t="s">
        <v>104</v>
      </c>
      <c r="CL45" s="34">
        <v>4868.1000000000004</v>
      </c>
      <c r="CM45" s="34">
        <v>1140.1500000000001</v>
      </c>
    </row>
    <row r="46" spans="1:91" x14ac:dyDescent="0.35">
      <c r="A46" s="21" t="s">
        <v>134</v>
      </c>
      <c r="B46" s="21"/>
      <c r="C46" s="21"/>
      <c r="D46" s="21"/>
      <c r="E46" s="21"/>
      <c r="F46" s="21"/>
      <c r="G46" s="21"/>
      <c r="H46" s="21"/>
      <c r="I46" s="21"/>
      <c r="J46" s="21"/>
      <c r="K46" s="21"/>
      <c r="L46" s="21"/>
      <c r="M46" s="12">
        <v>0</v>
      </c>
      <c r="N46" s="43">
        <v>0</v>
      </c>
      <c r="O46" s="43">
        <v>0</v>
      </c>
      <c r="P46" s="43">
        <v>0</v>
      </c>
      <c r="Q46" s="43">
        <v>0</v>
      </c>
      <c r="R46" s="43">
        <v>0</v>
      </c>
      <c r="S46" s="43">
        <v>0</v>
      </c>
      <c r="T46" s="43">
        <v>0</v>
      </c>
      <c r="U46" s="43">
        <v>0</v>
      </c>
      <c r="V46" s="21"/>
      <c r="W46" s="21"/>
      <c r="X46" s="21"/>
      <c r="Y46" s="21"/>
      <c r="Z46" s="21"/>
      <c r="AA46" s="21"/>
      <c r="AB46" s="21"/>
      <c r="AC46" s="21"/>
      <c r="AD46" s="21"/>
      <c r="AE46" s="21"/>
      <c r="AF46" s="21"/>
      <c r="AG46" s="21"/>
      <c r="AH46" s="13">
        <v>0</v>
      </c>
      <c r="AI46" s="21"/>
      <c r="AJ46" s="21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21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21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21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21"/>
      <c r="CC46" s="21"/>
      <c r="CD46" s="21"/>
      <c r="CE46" s="7" t="s">
        <v>104</v>
      </c>
      <c r="CF46" s="21"/>
      <c r="CG46" s="6" t="s">
        <v>104</v>
      </c>
      <c r="CH46" s="21"/>
      <c r="CI46" s="21"/>
      <c r="CJ46" s="21"/>
      <c r="CK46" s="21"/>
      <c r="CL46" s="21"/>
      <c r="CM46" s="21"/>
    </row>
    <row r="47" spans="1:91" x14ac:dyDescent="0.35">
      <c r="A47" s="5" t="s">
        <v>47</v>
      </c>
      <c r="B47" s="12">
        <v>252.06</v>
      </c>
      <c r="C47" s="12">
        <v>9.81</v>
      </c>
      <c r="D47" s="12">
        <v>1.32</v>
      </c>
      <c r="E47" s="12">
        <v>1.33</v>
      </c>
      <c r="F47" s="12">
        <v>2.1800000000000002</v>
      </c>
      <c r="G47" s="12">
        <v>5.51</v>
      </c>
      <c r="H47" s="12">
        <v>2.5</v>
      </c>
      <c r="I47" s="12">
        <v>2.87</v>
      </c>
      <c r="J47" s="12">
        <v>2.84</v>
      </c>
      <c r="K47" s="12">
        <v>1.99</v>
      </c>
      <c r="L47" s="12">
        <v>3.78</v>
      </c>
      <c r="M47" s="12">
        <v>12.94</v>
      </c>
      <c r="N47" s="43">
        <v>0</v>
      </c>
      <c r="O47" s="43">
        <v>0</v>
      </c>
      <c r="P47" s="43">
        <v>0</v>
      </c>
      <c r="Q47" s="43">
        <v>0</v>
      </c>
      <c r="R47" s="43">
        <v>0</v>
      </c>
      <c r="S47" s="43">
        <v>0</v>
      </c>
      <c r="T47" s="43">
        <v>0</v>
      </c>
      <c r="U47" s="43">
        <v>0</v>
      </c>
      <c r="V47" s="12">
        <v>8.07</v>
      </c>
      <c r="W47" s="12">
        <v>4.0199999999999996</v>
      </c>
      <c r="X47" s="12">
        <v>3.36</v>
      </c>
      <c r="Y47" s="12">
        <v>4.4000000000000004</v>
      </c>
      <c r="Z47" s="12">
        <v>4.2300000000000004</v>
      </c>
      <c r="AA47" s="12">
        <v>4.3099999999999996</v>
      </c>
      <c r="AB47" s="12">
        <v>3.87</v>
      </c>
      <c r="AC47" s="12">
        <v>3.66</v>
      </c>
      <c r="AD47" s="12">
        <v>2.64</v>
      </c>
      <c r="AE47" s="12">
        <v>2.57</v>
      </c>
      <c r="AF47" s="12">
        <v>3.44</v>
      </c>
      <c r="AG47" s="12">
        <v>3.4</v>
      </c>
      <c r="AH47" s="13">
        <v>4.93</v>
      </c>
      <c r="AJ47" s="12">
        <v>3.96</v>
      </c>
      <c r="AK47" s="12">
        <v>5.34</v>
      </c>
      <c r="AL47" s="12">
        <v>4.3</v>
      </c>
      <c r="AM47" s="12">
        <v>3.42</v>
      </c>
      <c r="AN47" s="12">
        <v>5.72</v>
      </c>
      <c r="AO47" s="12">
        <v>3.52</v>
      </c>
      <c r="AP47" s="12">
        <v>3.62</v>
      </c>
      <c r="AQ47" s="12">
        <v>4.2</v>
      </c>
      <c r="AR47" s="12">
        <v>4.16</v>
      </c>
      <c r="AS47" s="12">
        <v>5.32</v>
      </c>
      <c r="AT47" s="12">
        <v>2.25</v>
      </c>
      <c r="AU47" s="12">
        <v>5.18</v>
      </c>
      <c r="AV47" s="12">
        <v>2.46</v>
      </c>
      <c r="AW47" s="12">
        <v>1.99</v>
      </c>
      <c r="AX47" s="12">
        <v>3.89</v>
      </c>
      <c r="AY47" s="12">
        <v>5.24</v>
      </c>
      <c r="AZ47" s="12">
        <v>1.7</v>
      </c>
      <c r="BA47" s="12">
        <v>4.08</v>
      </c>
      <c r="BB47" s="12">
        <v>3.9</v>
      </c>
      <c r="BC47" s="12">
        <v>4.57</v>
      </c>
      <c r="BD47" s="12">
        <v>4.05</v>
      </c>
      <c r="BE47" s="12">
        <v>3.72</v>
      </c>
      <c r="BF47" s="12">
        <v>4.88</v>
      </c>
      <c r="BG47" s="12">
        <v>2.4</v>
      </c>
      <c r="BH47" s="12">
        <v>2.98</v>
      </c>
      <c r="BI47" s="12">
        <v>3.53</v>
      </c>
      <c r="BJ47" s="12">
        <v>2.84</v>
      </c>
      <c r="BK47" s="12">
        <v>2.79</v>
      </c>
      <c r="BL47" s="12">
        <v>3.88</v>
      </c>
      <c r="BM47" s="12">
        <v>10.45</v>
      </c>
      <c r="BN47" s="12">
        <v>3.49</v>
      </c>
      <c r="BO47" s="12">
        <v>10.96</v>
      </c>
      <c r="BP47" s="12">
        <v>5.14</v>
      </c>
      <c r="BQ47" s="12">
        <v>2.64</v>
      </c>
      <c r="BR47" s="12">
        <v>2.56</v>
      </c>
      <c r="BS47" s="12">
        <v>2.14</v>
      </c>
      <c r="BT47" s="12">
        <v>1.24</v>
      </c>
      <c r="BU47" s="12">
        <v>3.55</v>
      </c>
      <c r="BV47" s="12">
        <v>0.03</v>
      </c>
      <c r="BW47" s="6">
        <v>0</v>
      </c>
      <c r="BX47" s="12">
        <v>30.59</v>
      </c>
      <c r="BY47" s="12">
        <v>6.01</v>
      </c>
      <c r="BZ47" s="12">
        <v>22.77</v>
      </c>
      <c r="CA47" s="12">
        <v>1.81</v>
      </c>
      <c r="CB47" s="12">
        <v>-9.48</v>
      </c>
      <c r="CC47" s="12">
        <v>-15.74</v>
      </c>
      <c r="CD47" s="6">
        <v>0</v>
      </c>
      <c r="CE47" s="7" t="s">
        <v>104</v>
      </c>
      <c r="CF47" s="6">
        <v>0</v>
      </c>
      <c r="CG47" s="6" t="s">
        <v>104</v>
      </c>
      <c r="CH47" s="6">
        <v>0</v>
      </c>
      <c r="CI47" s="12">
        <v>6.26</v>
      </c>
      <c r="CJ47" s="6" t="s">
        <v>104</v>
      </c>
      <c r="CK47" s="6" t="s">
        <v>104</v>
      </c>
      <c r="CL47" s="12">
        <v>273.17</v>
      </c>
      <c r="CM47" s="12">
        <v>21.11</v>
      </c>
    </row>
    <row r="48" spans="1:91" x14ac:dyDescent="0.35">
      <c r="A48" s="5" t="s">
        <v>48</v>
      </c>
      <c r="B48" s="13">
        <v>4527.6000000000004</v>
      </c>
      <c r="C48" s="13">
        <v>4.66</v>
      </c>
      <c r="D48" s="13">
        <v>1.06</v>
      </c>
      <c r="E48" s="13">
        <v>0.61</v>
      </c>
      <c r="F48" s="13">
        <v>11.61</v>
      </c>
      <c r="G48" s="13">
        <v>38.700000000000003</v>
      </c>
      <c r="H48" s="13">
        <v>10.89</v>
      </c>
      <c r="I48" s="13">
        <v>7.26</v>
      </c>
      <c r="J48" s="13">
        <v>97.27</v>
      </c>
      <c r="K48" s="13">
        <v>2.66</v>
      </c>
      <c r="L48" s="13">
        <v>22.95</v>
      </c>
      <c r="M48" s="12">
        <v>75.87</v>
      </c>
      <c r="N48" s="43">
        <v>0</v>
      </c>
      <c r="O48" s="43">
        <v>0</v>
      </c>
      <c r="P48" s="43">
        <v>0</v>
      </c>
      <c r="Q48" s="43">
        <v>0</v>
      </c>
      <c r="R48" s="43">
        <v>0</v>
      </c>
      <c r="S48" s="43">
        <v>0</v>
      </c>
      <c r="T48" s="43">
        <v>0</v>
      </c>
      <c r="U48" s="43">
        <v>0</v>
      </c>
      <c r="V48" s="13">
        <v>24.52</v>
      </c>
      <c r="W48" s="13">
        <v>234.5</v>
      </c>
      <c r="X48" s="13">
        <v>30.08</v>
      </c>
      <c r="Y48" s="13">
        <v>1311.54</v>
      </c>
      <c r="Z48" s="13">
        <v>368.6</v>
      </c>
      <c r="AA48" s="13">
        <v>5.29</v>
      </c>
      <c r="AB48" s="13">
        <v>111.41</v>
      </c>
      <c r="AC48" s="13">
        <v>28.62</v>
      </c>
      <c r="AD48" s="13">
        <v>16.21</v>
      </c>
      <c r="AE48" s="13">
        <v>4.5199999999999996</v>
      </c>
      <c r="AF48" s="13">
        <v>15.21</v>
      </c>
      <c r="AG48" s="13">
        <v>21.03</v>
      </c>
      <c r="AH48" s="13">
        <v>135.16</v>
      </c>
      <c r="AJ48" s="13">
        <v>24.96</v>
      </c>
      <c r="AK48" s="13">
        <v>1280.21</v>
      </c>
      <c r="AL48" s="13">
        <v>97.09</v>
      </c>
      <c r="AM48" s="13">
        <v>7.47</v>
      </c>
      <c r="AN48" s="13">
        <v>89.33</v>
      </c>
      <c r="AO48" s="13">
        <v>41.09</v>
      </c>
      <c r="AP48" s="13">
        <v>12.33</v>
      </c>
      <c r="AQ48" s="13">
        <v>1.46</v>
      </c>
      <c r="AR48" s="13">
        <v>7.52</v>
      </c>
      <c r="AS48" s="13">
        <v>9.69</v>
      </c>
      <c r="AT48" s="13">
        <v>1.04</v>
      </c>
      <c r="AU48" s="13">
        <v>22.28</v>
      </c>
      <c r="AV48" s="13">
        <v>2.5299999999999998</v>
      </c>
      <c r="AW48" s="13">
        <v>3.22</v>
      </c>
      <c r="AX48" s="13">
        <v>10.02</v>
      </c>
      <c r="AY48" s="13">
        <v>25.44</v>
      </c>
      <c r="AZ48" s="13">
        <v>1.18</v>
      </c>
      <c r="BA48" s="13">
        <v>0.72</v>
      </c>
      <c r="BB48" s="13">
        <v>2.16</v>
      </c>
      <c r="BC48" s="13">
        <v>37.119999999999997</v>
      </c>
      <c r="BD48" s="13">
        <v>25.26</v>
      </c>
      <c r="BE48" s="13">
        <v>27.95</v>
      </c>
      <c r="BF48" s="13">
        <v>22.58</v>
      </c>
      <c r="BG48" s="13">
        <v>5.4</v>
      </c>
      <c r="BH48" s="13">
        <v>8.52</v>
      </c>
      <c r="BI48" s="13">
        <v>13.64</v>
      </c>
      <c r="BJ48" s="13">
        <v>1.76</v>
      </c>
      <c r="BK48" s="13">
        <v>1.51</v>
      </c>
      <c r="BL48" s="13">
        <v>42.73</v>
      </c>
      <c r="BM48" s="13">
        <v>27.69</v>
      </c>
      <c r="BN48" s="13">
        <v>4.0599999999999996</v>
      </c>
      <c r="BO48" s="13">
        <v>40.28</v>
      </c>
      <c r="BP48" s="13">
        <v>19.28</v>
      </c>
      <c r="BQ48" s="13">
        <v>9.0500000000000007</v>
      </c>
      <c r="BR48" s="13">
        <v>8.2799999999999994</v>
      </c>
      <c r="BS48" s="13">
        <v>6.63</v>
      </c>
      <c r="BT48" s="13">
        <v>0.67</v>
      </c>
      <c r="BU48" s="13">
        <v>5.21</v>
      </c>
      <c r="BV48" s="13">
        <v>0.04</v>
      </c>
      <c r="BW48" s="7">
        <v>0</v>
      </c>
      <c r="BX48" s="13">
        <v>224.77</v>
      </c>
      <c r="BY48" s="13">
        <v>20.010000000000002</v>
      </c>
      <c r="BZ48" s="13">
        <v>204.76</v>
      </c>
      <c r="CA48" s="7">
        <v>0</v>
      </c>
      <c r="CB48" s="13">
        <v>-38.119999999999997</v>
      </c>
      <c r="CC48" s="13">
        <v>-38.119999999999997</v>
      </c>
      <c r="CD48" s="7">
        <v>0</v>
      </c>
      <c r="CE48" s="7" t="s">
        <v>104</v>
      </c>
      <c r="CF48" s="7">
        <v>0</v>
      </c>
      <c r="CG48" s="6" t="s">
        <v>104</v>
      </c>
      <c r="CH48" s="7">
        <v>0</v>
      </c>
      <c r="CI48" s="7">
        <v>0</v>
      </c>
      <c r="CJ48" s="7" t="s">
        <v>104</v>
      </c>
      <c r="CK48" s="7" t="s">
        <v>104</v>
      </c>
      <c r="CL48" s="13">
        <v>4714.25</v>
      </c>
      <c r="CM48" s="13">
        <v>186.65</v>
      </c>
    </row>
    <row r="49" spans="1:91" x14ac:dyDescent="0.35">
      <c r="A49" s="5" t="s">
        <v>49</v>
      </c>
      <c r="B49" s="12">
        <v>1494.53</v>
      </c>
      <c r="C49" s="12">
        <v>10.97</v>
      </c>
      <c r="D49" s="12">
        <v>2.54</v>
      </c>
      <c r="E49" s="12">
        <v>0.7</v>
      </c>
      <c r="F49" s="12">
        <v>3.5</v>
      </c>
      <c r="G49" s="12">
        <v>22.13</v>
      </c>
      <c r="H49" s="12">
        <v>2.36</v>
      </c>
      <c r="I49" s="12">
        <v>3.2</v>
      </c>
      <c r="J49" s="12">
        <v>3.68</v>
      </c>
      <c r="K49" s="12">
        <v>1.54</v>
      </c>
      <c r="L49" s="12">
        <v>4.9800000000000004</v>
      </c>
      <c r="M49" s="12">
        <v>13.47</v>
      </c>
      <c r="N49" s="43">
        <v>0</v>
      </c>
      <c r="O49" s="43">
        <v>0</v>
      </c>
      <c r="P49" s="43">
        <v>0</v>
      </c>
      <c r="Q49" s="43">
        <v>0</v>
      </c>
      <c r="R49" s="43">
        <v>0</v>
      </c>
      <c r="S49" s="43">
        <v>0</v>
      </c>
      <c r="T49" s="43">
        <v>0</v>
      </c>
      <c r="U49" s="43">
        <v>0</v>
      </c>
      <c r="V49" s="12">
        <v>31.38</v>
      </c>
      <c r="W49" s="12">
        <v>5.19</v>
      </c>
      <c r="X49" s="12">
        <v>5.85</v>
      </c>
      <c r="Y49" s="12">
        <v>23.63</v>
      </c>
      <c r="Z49" s="12">
        <v>27.78</v>
      </c>
      <c r="AA49" s="12">
        <v>12.18</v>
      </c>
      <c r="AB49" s="12">
        <v>5.66</v>
      </c>
      <c r="AC49" s="12">
        <v>25.79</v>
      </c>
      <c r="AD49" s="12">
        <v>5.33</v>
      </c>
      <c r="AE49" s="12">
        <v>2.67</v>
      </c>
      <c r="AF49" s="12">
        <v>4.7699999999999996</v>
      </c>
      <c r="AG49" s="12">
        <v>43.04</v>
      </c>
      <c r="AH49" s="13">
        <v>47.76</v>
      </c>
      <c r="AJ49" s="12">
        <v>3.48</v>
      </c>
      <c r="AK49" s="12">
        <v>20.309999999999999</v>
      </c>
      <c r="AL49" s="12">
        <v>771.53</v>
      </c>
      <c r="AM49" s="12">
        <v>4.83</v>
      </c>
      <c r="AN49" s="12">
        <v>16.649999999999999</v>
      </c>
      <c r="AO49" s="12">
        <v>10.25</v>
      </c>
      <c r="AP49" s="12">
        <v>15.28</v>
      </c>
      <c r="AQ49" s="12">
        <v>2.97</v>
      </c>
      <c r="AR49" s="12">
        <v>3.93</v>
      </c>
      <c r="AS49" s="12">
        <v>28.86</v>
      </c>
      <c r="AT49" s="12">
        <v>2.06</v>
      </c>
      <c r="AU49" s="12">
        <v>12.04</v>
      </c>
      <c r="AV49" s="12">
        <v>1.72</v>
      </c>
      <c r="AW49" s="12">
        <v>3.2</v>
      </c>
      <c r="AX49" s="12">
        <v>5.95</v>
      </c>
      <c r="AY49" s="12">
        <v>7.48</v>
      </c>
      <c r="AZ49" s="12">
        <v>3.34</v>
      </c>
      <c r="BA49" s="12">
        <v>4.63</v>
      </c>
      <c r="BB49" s="12">
        <v>2.65</v>
      </c>
      <c r="BC49" s="12">
        <v>67.489999999999995</v>
      </c>
      <c r="BD49" s="12">
        <v>10.97</v>
      </c>
      <c r="BE49" s="12">
        <v>29.26</v>
      </c>
      <c r="BF49" s="12">
        <v>13.85</v>
      </c>
      <c r="BG49" s="12">
        <v>3.37</v>
      </c>
      <c r="BH49" s="12">
        <v>2.75</v>
      </c>
      <c r="BI49" s="12">
        <v>7.99</v>
      </c>
      <c r="BJ49" s="12">
        <v>3.24</v>
      </c>
      <c r="BK49" s="12">
        <v>2.41</v>
      </c>
      <c r="BL49" s="12">
        <v>10.77</v>
      </c>
      <c r="BM49" s="12">
        <v>65.87</v>
      </c>
      <c r="BN49" s="12">
        <v>10.26</v>
      </c>
      <c r="BO49" s="12">
        <v>11.84</v>
      </c>
      <c r="BP49" s="12">
        <v>7.36</v>
      </c>
      <c r="BQ49" s="12">
        <v>4.82</v>
      </c>
      <c r="BR49" s="12">
        <v>4.3899999999999997</v>
      </c>
      <c r="BS49" s="12">
        <v>2.95</v>
      </c>
      <c r="BT49" s="12">
        <v>1.06</v>
      </c>
      <c r="BU49" s="12">
        <v>2.46</v>
      </c>
      <c r="BV49" s="12">
        <v>0.16</v>
      </c>
      <c r="BW49" s="6">
        <v>0</v>
      </c>
      <c r="BX49" s="12">
        <v>46.44</v>
      </c>
      <c r="BY49" s="12">
        <v>4.26</v>
      </c>
      <c r="BZ49" s="12">
        <v>42.18</v>
      </c>
      <c r="CA49" s="6">
        <v>0</v>
      </c>
      <c r="CB49" s="12">
        <v>1385.54</v>
      </c>
      <c r="CC49" s="12">
        <v>-84.93</v>
      </c>
      <c r="CD49" s="6">
        <v>0</v>
      </c>
      <c r="CE49" s="7" t="s">
        <v>104</v>
      </c>
      <c r="CF49" s="6">
        <v>0</v>
      </c>
      <c r="CG49" s="6" t="s">
        <v>104</v>
      </c>
      <c r="CH49" s="6">
        <v>0</v>
      </c>
      <c r="CI49" s="12">
        <v>1470.47</v>
      </c>
      <c r="CJ49" s="6" t="s">
        <v>104</v>
      </c>
      <c r="CK49" s="6" t="s">
        <v>104</v>
      </c>
      <c r="CL49" s="12">
        <v>2926.51</v>
      </c>
      <c r="CM49" s="12">
        <v>1431.97</v>
      </c>
    </row>
    <row r="50" spans="1:91" x14ac:dyDescent="0.35">
      <c r="A50" s="5" t="s">
        <v>50</v>
      </c>
      <c r="B50" s="13">
        <v>10872.61</v>
      </c>
      <c r="C50" s="13">
        <v>206.77</v>
      </c>
      <c r="D50" s="13">
        <v>38.36</v>
      </c>
      <c r="E50" s="13">
        <v>41.3</v>
      </c>
      <c r="F50" s="13">
        <v>81.27</v>
      </c>
      <c r="G50" s="13">
        <v>200.07</v>
      </c>
      <c r="H50" s="13">
        <v>92.87</v>
      </c>
      <c r="I50" s="13">
        <v>108.84</v>
      </c>
      <c r="J50" s="13">
        <v>106.78</v>
      </c>
      <c r="K50" s="13">
        <v>59.19</v>
      </c>
      <c r="L50" s="13">
        <v>125.37</v>
      </c>
      <c r="M50" s="12">
        <v>170.77</v>
      </c>
      <c r="N50" s="43">
        <v>0</v>
      </c>
      <c r="O50" s="43">
        <v>0</v>
      </c>
      <c r="P50" s="43">
        <v>0</v>
      </c>
      <c r="Q50" s="43">
        <v>0</v>
      </c>
      <c r="R50" s="43">
        <v>0</v>
      </c>
      <c r="S50" s="43">
        <v>0</v>
      </c>
      <c r="T50" s="43">
        <v>0</v>
      </c>
      <c r="U50" s="43">
        <v>0</v>
      </c>
      <c r="V50" s="13">
        <v>243.07</v>
      </c>
      <c r="W50" s="13">
        <v>151.22999999999999</v>
      </c>
      <c r="X50" s="13">
        <v>140.91999999999999</v>
      </c>
      <c r="Y50" s="13">
        <v>161.72999999999999</v>
      </c>
      <c r="Z50" s="13">
        <v>185.81</v>
      </c>
      <c r="AA50" s="13">
        <v>149.97999999999999</v>
      </c>
      <c r="AB50" s="13">
        <v>140.82</v>
      </c>
      <c r="AC50" s="13">
        <v>184.4</v>
      </c>
      <c r="AD50" s="13">
        <v>442.26</v>
      </c>
      <c r="AE50" s="13">
        <v>111.06</v>
      </c>
      <c r="AF50" s="13">
        <v>130.08000000000001</v>
      </c>
      <c r="AG50" s="13">
        <v>145.87</v>
      </c>
      <c r="AH50" s="13">
        <v>129.75</v>
      </c>
      <c r="AJ50" s="13">
        <v>75.53</v>
      </c>
      <c r="AK50" s="13">
        <v>196.47</v>
      </c>
      <c r="AL50" s="13">
        <v>417.72</v>
      </c>
      <c r="AM50" s="13">
        <v>757.34</v>
      </c>
      <c r="AN50" s="13">
        <v>306.77</v>
      </c>
      <c r="AO50" s="13">
        <v>231.56</v>
      </c>
      <c r="AP50" s="13">
        <v>690.4</v>
      </c>
      <c r="AQ50" s="13">
        <v>98.35</v>
      </c>
      <c r="AR50" s="13">
        <v>205.45</v>
      </c>
      <c r="AS50" s="13">
        <v>478.03</v>
      </c>
      <c r="AT50" s="13">
        <v>324.89999999999998</v>
      </c>
      <c r="AU50" s="13">
        <v>133.13999999999999</v>
      </c>
      <c r="AV50" s="13">
        <v>100.49</v>
      </c>
      <c r="AW50" s="13">
        <v>66.91</v>
      </c>
      <c r="AX50" s="13">
        <v>173.37</v>
      </c>
      <c r="AY50" s="13">
        <v>241.6</v>
      </c>
      <c r="AZ50" s="13">
        <v>68.13</v>
      </c>
      <c r="BA50" s="13">
        <v>118.27</v>
      </c>
      <c r="BB50" s="13">
        <v>124.58</v>
      </c>
      <c r="BC50" s="13">
        <v>105.02</v>
      </c>
      <c r="BD50" s="13">
        <v>191.32</v>
      </c>
      <c r="BE50" s="13">
        <v>127.12</v>
      </c>
      <c r="BF50" s="13">
        <v>154.63</v>
      </c>
      <c r="BG50" s="13">
        <v>94.26</v>
      </c>
      <c r="BH50" s="13">
        <v>104.21</v>
      </c>
      <c r="BI50" s="13">
        <v>381.33</v>
      </c>
      <c r="BJ50" s="13">
        <v>105.58</v>
      </c>
      <c r="BK50" s="13">
        <v>116.3</v>
      </c>
      <c r="BL50" s="13">
        <v>165.46</v>
      </c>
      <c r="BM50" s="13">
        <v>186.87</v>
      </c>
      <c r="BN50" s="13">
        <v>97.79</v>
      </c>
      <c r="BO50" s="13">
        <v>198.42</v>
      </c>
      <c r="BP50" s="13">
        <v>122.44</v>
      </c>
      <c r="BQ50" s="13">
        <v>75.17</v>
      </c>
      <c r="BR50" s="13">
        <v>69.8</v>
      </c>
      <c r="BS50" s="13">
        <v>66.010000000000005</v>
      </c>
      <c r="BT50" s="7">
        <v>49</v>
      </c>
      <c r="BU50" s="13">
        <v>103.9</v>
      </c>
      <c r="BV50" s="13">
        <v>0.41</v>
      </c>
      <c r="BW50" s="7">
        <v>0</v>
      </c>
      <c r="BX50" s="13">
        <v>2689.45</v>
      </c>
      <c r="BY50" s="13">
        <v>189.45</v>
      </c>
      <c r="BZ50" s="13">
        <v>2449.5500000000002</v>
      </c>
      <c r="CA50" s="13">
        <v>50.45</v>
      </c>
      <c r="CB50" s="13">
        <v>444.73</v>
      </c>
      <c r="CC50" s="13">
        <v>177.08</v>
      </c>
      <c r="CD50" s="7">
        <v>0</v>
      </c>
      <c r="CE50" s="7" t="s">
        <v>104</v>
      </c>
      <c r="CF50" s="7">
        <v>0</v>
      </c>
      <c r="CG50" s="6" t="s">
        <v>104</v>
      </c>
      <c r="CH50" s="7">
        <v>0</v>
      </c>
      <c r="CI50" s="13">
        <v>267.64999999999998</v>
      </c>
      <c r="CJ50" s="7" t="s">
        <v>104</v>
      </c>
      <c r="CK50" s="7" t="s">
        <v>104</v>
      </c>
      <c r="CL50" s="13">
        <v>14006.79</v>
      </c>
      <c r="CM50" s="13">
        <v>3134.17</v>
      </c>
    </row>
    <row r="51" spans="1:91" x14ac:dyDescent="0.35">
      <c r="A51" s="5" t="s">
        <v>51</v>
      </c>
      <c r="B51" s="12">
        <v>297916.03000000003</v>
      </c>
      <c r="C51" s="12">
        <v>3632.54</v>
      </c>
      <c r="D51" s="12">
        <v>216.09</v>
      </c>
      <c r="E51" s="12">
        <v>149.09</v>
      </c>
      <c r="F51" s="12">
        <v>357.85</v>
      </c>
      <c r="G51" s="12">
        <v>24115.84</v>
      </c>
      <c r="H51" s="12">
        <v>4270.74</v>
      </c>
      <c r="I51" s="12">
        <v>1931.76</v>
      </c>
      <c r="J51" s="12">
        <v>2253.7600000000002</v>
      </c>
      <c r="K51" s="12">
        <v>318.85000000000002</v>
      </c>
      <c r="L51" s="12">
        <v>3026.23</v>
      </c>
      <c r="M51" s="12">
        <v>9635.5400000000009</v>
      </c>
      <c r="N51" s="43">
        <v>0</v>
      </c>
      <c r="O51" s="43">
        <v>0</v>
      </c>
      <c r="P51" s="43">
        <v>0</v>
      </c>
      <c r="Q51" s="43">
        <v>0</v>
      </c>
      <c r="R51" s="43">
        <v>0</v>
      </c>
      <c r="S51" s="43">
        <v>0</v>
      </c>
      <c r="T51" s="43">
        <v>0</v>
      </c>
      <c r="U51" s="43">
        <v>0</v>
      </c>
      <c r="V51" s="12">
        <v>9711.16</v>
      </c>
      <c r="W51" s="12">
        <v>4711.45</v>
      </c>
      <c r="X51" s="12">
        <v>2562.9299999999998</v>
      </c>
      <c r="Y51" s="12">
        <v>3736.58</v>
      </c>
      <c r="Z51" s="12">
        <v>5370.24</v>
      </c>
      <c r="AA51" s="12">
        <v>12022.17</v>
      </c>
      <c r="AB51" s="6">
        <v>4833</v>
      </c>
      <c r="AC51" s="12">
        <v>8691.4</v>
      </c>
      <c r="AD51" s="12">
        <v>9458.56</v>
      </c>
      <c r="AE51" s="12">
        <v>2098.23</v>
      </c>
      <c r="AF51" s="12">
        <v>6033.72</v>
      </c>
      <c r="AG51" s="12">
        <v>3454.78</v>
      </c>
      <c r="AH51" s="13">
        <v>5115.09</v>
      </c>
      <c r="AJ51" s="12">
        <v>208.16</v>
      </c>
      <c r="AK51" s="12">
        <v>2212.73</v>
      </c>
      <c r="AL51" s="12">
        <v>10858.03</v>
      </c>
      <c r="AM51" s="12">
        <v>2449.8000000000002</v>
      </c>
      <c r="AN51" s="12">
        <v>43064.21</v>
      </c>
      <c r="AO51" s="12">
        <v>10858.01</v>
      </c>
      <c r="AP51" s="12">
        <v>2149.27</v>
      </c>
      <c r="AQ51" s="12">
        <v>1512.85</v>
      </c>
      <c r="AR51" s="12">
        <v>2494.62</v>
      </c>
      <c r="AS51" s="12">
        <v>3121.07</v>
      </c>
      <c r="AT51" s="12">
        <v>266.07</v>
      </c>
      <c r="AU51" s="12">
        <v>4719.6899999999996</v>
      </c>
      <c r="AV51" s="12">
        <v>13070.72</v>
      </c>
      <c r="AW51" s="12">
        <v>847.73</v>
      </c>
      <c r="AX51" s="12">
        <v>1752.86</v>
      </c>
      <c r="AY51" s="12">
        <v>40719.160000000003</v>
      </c>
      <c r="AZ51" s="12">
        <v>288.26</v>
      </c>
      <c r="BA51" s="12">
        <v>163.09</v>
      </c>
      <c r="BB51" s="12">
        <v>1229.57</v>
      </c>
      <c r="BC51" s="12">
        <v>1544.26</v>
      </c>
      <c r="BD51" s="12">
        <v>4589.51</v>
      </c>
      <c r="BE51" s="12">
        <v>1386.49</v>
      </c>
      <c r="BF51" s="12">
        <v>3469.64</v>
      </c>
      <c r="BG51" s="12">
        <v>1387.02</v>
      </c>
      <c r="BH51" s="12">
        <v>821.15</v>
      </c>
      <c r="BI51" s="12">
        <v>3610.05</v>
      </c>
      <c r="BJ51" s="12">
        <v>311.05</v>
      </c>
      <c r="BK51" s="12">
        <v>803.37</v>
      </c>
      <c r="BL51" s="12">
        <v>2437.34</v>
      </c>
      <c r="BM51" s="12">
        <v>874.87</v>
      </c>
      <c r="BN51" s="12">
        <v>692.3</v>
      </c>
      <c r="BO51" s="12">
        <v>3337.11</v>
      </c>
      <c r="BP51" s="12">
        <v>692.69</v>
      </c>
      <c r="BQ51" s="6">
        <v>720</v>
      </c>
      <c r="BR51" s="12">
        <v>560.20000000000005</v>
      </c>
      <c r="BS51" s="12">
        <v>278.83</v>
      </c>
      <c r="BT51" s="12">
        <v>368.68</v>
      </c>
      <c r="BU51" s="12">
        <v>337.98</v>
      </c>
      <c r="BV51" s="6">
        <v>0</v>
      </c>
      <c r="BW51" s="6">
        <v>0</v>
      </c>
      <c r="BX51" s="12">
        <v>6028.16</v>
      </c>
      <c r="BY51" s="12">
        <v>1303.23</v>
      </c>
      <c r="BZ51" s="12">
        <v>4637.47</v>
      </c>
      <c r="CA51" s="12">
        <v>87.47</v>
      </c>
      <c r="CB51" s="12">
        <v>9620.2900000000009</v>
      </c>
      <c r="CC51" s="12">
        <v>2981.51</v>
      </c>
      <c r="CD51" s="6">
        <v>0</v>
      </c>
      <c r="CE51" s="7" t="s">
        <v>104</v>
      </c>
      <c r="CF51" s="6">
        <v>0</v>
      </c>
      <c r="CG51" s="6" t="s">
        <v>104</v>
      </c>
      <c r="CH51" s="6">
        <v>0</v>
      </c>
      <c r="CI51" s="12">
        <v>6638.78</v>
      </c>
      <c r="CJ51" s="6" t="s">
        <v>104</v>
      </c>
      <c r="CK51" s="6" t="s">
        <v>104</v>
      </c>
      <c r="CL51" s="12">
        <v>313564.48</v>
      </c>
      <c r="CM51" s="12">
        <v>15648.45</v>
      </c>
    </row>
    <row r="52" spans="1:91" x14ac:dyDescent="0.35">
      <c r="A52" s="5" t="s">
        <v>52</v>
      </c>
      <c r="B52" s="13">
        <v>67154.179999999993</v>
      </c>
      <c r="C52" s="13">
        <v>1120.53</v>
      </c>
      <c r="D52" s="7">
        <v>423</v>
      </c>
      <c r="E52" s="13">
        <v>426.3</v>
      </c>
      <c r="F52" s="13">
        <v>777.99</v>
      </c>
      <c r="G52" s="13">
        <v>1445.12</v>
      </c>
      <c r="H52" s="13">
        <v>944.92</v>
      </c>
      <c r="I52" s="13">
        <v>886.31</v>
      </c>
      <c r="J52" s="13">
        <v>1142.58</v>
      </c>
      <c r="K52" s="13">
        <v>696.26</v>
      </c>
      <c r="L52" s="13">
        <v>1296.03</v>
      </c>
      <c r="M52" s="12">
        <v>1442.05</v>
      </c>
      <c r="N52" s="43">
        <v>0</v>
      </c>
      <c r="O52" s="43">
        <v>0</v>
      </c>
      <c r="P52" s="43">
        <v>0</v>
      </c>
      <c r="Q52" s="43">
        <v>0</v>
      </c>
      <c r="R52" s="43">
        <v>0</v>
      </c>
      <c r="S52" s="43">
        <v>0</v>
      </c>
      <c r="T52" s="43">
        <v>0</v>
      </c>
      <c r="U52" s="43">
        <v>0</v>
      </c>
      <c r="V52" s="13">
        <v>1039.04</v>
      </c>
      <c r="W52" s="13">
        <v>1302.5</v>
      </c>
      <c r="X52" s="13">
        <v>1044.47</v>
      </c>
      <c r="Y52" s="13">
        <v>1450.91</v>
      </c>
      <c r="Z52" s="13">
        <v>1364.21</v>
      </c>
      <c r="AA52" s="13">
        <v>1015.16</v>
      </c>
      <c r="AB52" s="13">
        <v>1081.95</v>
      </c>
      <c r="AC52" s="13">
        <v>1153.6500000000001</v>
      </c>
      <c r="AD52" s="13">
        <v>1155.69</v>
      </c>
      <c r="AE52" s="13">
        <v>984.41</v>
      </c>
      <c r="AF52" s="13">
        <v>1016.85</v>
      </c>
      <c r="AG52" s="13">
        <v>1267.5</v>
      </c>
      <c r="AH52" s="13">
        <v>1270.44</v>
      </c>
      <c r="AJ52" s="13">
        <v>451.8</v>
      </c>
      <c r="AK52" s="13">
        <v>1324.8</v>
      </c>
      <c r="AL52" s="13">
        <v>1440.56</v>
      </c>
      <c r="AM52" s="13">
        <v>1019.45</v>
      </c>
      <c r="AN52" s="13">
        <v>1179.42</v>
      </c>
      <c r="AO52" s="13">
        <v>2119.73</v>
      </c>
      <c r="AP52" s="13">
        <v>1384.81</v>
      </c>
      <c r="AQ52" s="13">
        <v>1344.2</v>
      </c>
      <c r="AR52" s="13">
        <v>1124.47</v>
      </c>
      <c r="AS52" s="13">
        <v>1224.3599999999999</v>
      </c>
      <c r="AT52" s="13">
        <v>821.8</v>
      </c>
      <c r="AU52" s="13">
        <v>1266.04</v>
      </c>
      <c r="AV52" s="13">
        <v>1004.89</v>
      </c>
      <c r="AW52" s="13">
        <v>1071.96</v>
      </c>
      <c r="AX52" s="13">
        <v>1115.08</v>
      </c>
      <c r="AY52" s="13">
        <v>1261.95</v>
      </c>
      <c r="AZ52" s="13">
        <v>640.99</v>
      </c>
      <c r="BA52" s="13">
        <v>969.32</v>
      </c>
      <c r="BB52" s="13">
        <v>1052.3399999999999</v>
      </c>
      <c r="BC52" s="13">
        <v>1034.68</v>
      </c>
      <c r="BD52" s="13">
        <v>1160.8399999999999</v>
      </c>
      <c r="BE52" s="13">
        <v>1088.31</v>
      </c>
      <c r="BF52" s="13">
        <v>1296.68</v>
      </c>
      <c r="BG52" s="13">
        <v>1071.3699999999999</v>
      </c>
      <c r="BH52" s="13">
        <v>868.4</v>
      </c>
      <c r="BI52" s="13">
        <v>1753.85</v>
      </c>
      <c r="BJ52" s="13">
        <v>752.29</v>
      </c>
      <c r="BK52" s="13">
        <v>1149.8699999999999</v>
      </c>
      <c r="BL52" s="13">
        <v>1092.44</v>
      </c>
      <c r="BM52" s="13">
        <v>959.36</v>
      </c>
      <c r="BN52" s="13">
        <v>1035.1600000000001</v>
      </c>
      <c r="BO52" s="13">
        <v>1329.22</v>
      </c>
      <c r="BP52" s="13">
        <v>1000.98</v>
      </c>
      <c r="BQ52" s="13">
        <v>947.57</v>
      </c>
      <c r="BR52" s="13">
        <v>795.66</v>
      </c>
      <c r="BS52" s="13">
        <v>741.11</v>
      </c>
      <c r="BT52" s="13">
        <v>608.91999999999996</v>
      </c>
      <c r="BU52" s="13">
        <v>896.16</v>
      </c>
      <c r="BV52" s="13">
        <v>5.47</v>
      </c>
      <c r="BW52" s="7">
        <v>0</v>
      </c>
      <c r="BX52" s="13">
        <v>9469.18</v>
      </c>
      <c r="BY52" s="13">
        <v>1420.75</v>
      </c>
      <c r="BZ52" s="13">
        <v>7986.35</v>
      </c>
      <c r="CA52" s="13">
        <v>62.08</v>
      </c>
      <c r="CB52" s="13">
        <v>4460.67</v>
      </c>
      <c r="CC52" s="13">
        <v>3103.36</v>
      </c>
      <c r="CD52" s="7">
        <v>0</v>
      </c>
      <c r="CE52" s="7" t="s">
        <v>104</v>
      </c>
      <c r="CF52" s="7">
        <v>0</v>
      </c>
      <c r="CG52" s="6" t="s">
        <v>104</v>
      </c>
      <c r="CH52" s="7">
        <v>0</v>
      </c>
      <c r="CI52" s="13">
        <v>1357.31</v>
      </c>
      <c r="CJ52" s="7" t="s">
        <v>104</v>
      </c>
      <c r="CK52" s="7" t="s">
        <v>104</v>
      </c>
      <c r="CL52" s="13">
        <v>81084.039999999994</v>
      </c>
      <c r="CM52" s="13">
        <v>13929.85</v>
      </c>
    </row>
    <row r="53" spans="1:91" x14ac:dyDescent="0.35">
      <c r="A53" s="5" t="s">
        <v>53</v>
      </c>
      <c r="B53" s="12">
        <v>76679.98</v>
      </c>
      <c r="C53" s="12">
        <v>630.29999999999995</v>
      </c>
      <c r="D53" s="12">
        <v>42.58</v>
      </c>
      <c r="E53" s="12">
        <v>14.71</v>
      </c>
      <c r="F53" s="12">
        <v>238.94</v>
      </c>
      <c r="G53" s="12">
        <v>5003.5200000000004</v>
      </c>
      <c r="H53" s="12">
        <v>1026.3900000000001</v>
      </c>
      <c r="I53" s="12">
        <v>521.91</v>
      </c>
      <c r="J53" s="12">
        <v>1042.3599999999999</v>
      </c>
      <c r="K53" s="12">
        <v>120.82</v>
      </c>
      <c r="L53" s="12">
        <v>12015.05</v>
      </c>
      <c r="M53" s="12">
        <v>4172.18</v>
      </c>
      <c r="N53" s="43">
        <v>0</v>
      </c>
      <c r="O53" s="43">
        <v>0</v>
      </c>
      <c r="P53" s="43">
        <v>0</v>
      </c>
      <c r="Q53" s="43">
        <v>0</v>
      </c>
      <c r="R53" s="43">
        <v>0</v>
      </c>
      <c r="S53" s="43">
        <v>0</v>
      </c>
      <c r="T53" s="43">
        <v>0</v>
      </c>
      <c r="U53" s="43">
        <v>0</v>
      </c>
      <c r="V53" s="12">
        <v>775.96</v>
      </c>
      <c r="W53" s="12">
        <v>1944.6</v>
      </c>
      <c r="X53" s="12">
        <v>1243.8900000000001</v>
      </c>
      <c r="Y53" s="12">
        <v>4629.54</v>
      </c>
      <c r="Z53" s="12">
        <v>1738.55</v>
      </c>
      <c r="AA53" s="12">
        <v>1173.17</v>
      </c>
      <c r="AB53" s="12">
        <v>1660.5</v>
      </c>
      <c r="AC53" s="12">
        <v>1898.3</v>
      </c>
      <c r="AD53" s="12">
        <v>3846.56</v>
      </c>
      <c r="AE53" s="12">
        <v>815.69</v>
      </c>
      <c r="AF53" s="12">
        <v>1006.95</v>
      </c>
      <c r="AG53" s="12">
        <v>720.95</v>
      </c>
      <c r="AH53" s="13">
        <v>4226.1899999999996</v>
      </c>
      <c r="AJ53" s="12">
        <v>50.25</v>
      </c>
      <c r="AK53" s="12">
        <v>456.12</v>
      </c>
      <c r="AL53" s="12">
        <v>4042.55</v>
      </c>
      <c r="AM53" s="12">
        <v>722.87</v>
      </c>
      <c r="AN53" s="12">
        <v>3885.34</v>
      </c>
      <c r="AO53" s="12">
        <v>1189.1199999999999</v>
      </c>
      <c r="AP53" s="12">
        <v>4264.5600000000004</v>
      </c>
      <c r="AQ53" s="12">
        <v>148.91</v>
      </c>
      <c r="AR53" s="12">
        <v>171.31</v>
      </c>
      <c r="AS53" s="12">
        <v>3588.91</v>
      </c>
      <c r="AT53" s="12">
        <v>137.03</v>
      </c>
      <c r="AU53" s="12">
        <v>493.55</v>
      </c>
      <c r="AV53" s="12">
        <v>497.02</v>
      </c>
      <c r="AW53" s="12">
        <v>187.02</v>
      </c>
      <c r="AX53" s="12">
        <v>213.81</v>
      </c>
      <c r="AY53" s="12">
        <v>596.88</v>
      </c>
      <c r="AZ53" s="12">
        <v>56.85</v>
      </c>
      <c r="BA53" s="12">
        <v>23.66</v>
      </c>
      <c r="BB53" s="12">
        <v>41.68</v>
      </c>
      <c r="BC53" s="12">
        <v>349.99</v>
      </c>
      <c r="BD53" s="12">
        <v>400.99</v>
      </c>
      <c r="BE53" s="12">
        <v>361.68</v>
      </c>
      <c r="BF53" s="12">
        <v>674.4</v>
      </c>
      <c r="BG53" s="12">
        <v>187.51</v>
      </c>
      <c r="BH53" s="12">
        <v>127.7</v>
      </c>
      <c r="BI53" s="12">
        <v>394.45</v>
      </c>
      <c r="BJ53" s="12">
        <v>54.66</v>
      </c>
      <c r="BK53" s="12">
        <v>115.15</v>
      </c>
      <c r="BL53" s="12">
        <v>350.11</v>
      </c>
      <c r="BM53" s="12">
        <v>617.20000000000005</v>
      </c>
      <c r="BN53" s="12">
        <v>219.78</v>
      </c>
      <c r="BO53" s="12">
        <v>1010.45</v>
      </c>
      <c r="BP53" s="12">
        <v>151.69</v>
      </c>
      <c r="BQ53" s="12">
        <v>75.430000000000007</v>
      </c>
      <c r="BR53" s="12">
        <v>77.27</v>
      </c>
      <c r="BS53" s="12">
        <v>109.71</v>
      </c>
      <c r="BT53" s="12">
        <v>48.63</v>
      </c>
      <c r="BU53" s="12">
        <v>73.84</v>
      </c>
      <c r="BV53" s="12">
        <v>2.2799999999999998</v>
      </c>
      <c r="BW53" s="6">
        <v>0</v>
      </c>
      <c r="BX53" s="12">
        <v>8052.43</v>
      </c>
      <c r="BY53" s="12">
        <v>1846.76</v>
      </c>
      <c r="BZ53" s="12">
        <v>6180.24</v>
      </c>
      <c r="CA53" s="12">
        <v>25.43</v>
      </c>
      <c r="CB53" s="12">
        <v>7413.92</v>
      </c>
      <c r="CC53" s="12">
        <v>199.91</v>
      </c>
      <c r="CD53" s="6">
        <v>0</v>
      </c>
      <c r="CE53" s="7" t="s">
        <v>104</v>
      </c>
      <c r="CF53" s="6">
        <v>0</v>
      </c>
      <c r="CG53" s="6" t="s">
        <v>104</v>
      </c>
      <c r="CH53" s="6">
        <v>0</v>
      </c>
      <c r="CI53" s="12">
        <v>7214.01</v>
      </c>
      <c r="CJ53" s="6" t="s">
        <v>104</v>
      </c>
      <c r="CK53" s="6" t="s">
        <v>104</v>
      </c>
      <c r="CL53" s="12">
        <v>92146.33</v>
      </c>
      <c r="CM53" s="12">
        <v>15466.35</v>
      </c>
    </row>
    <row r="54" spans="1:91" x14ac:dyDescent="0.35">
      <c r="A54" s="5" t="s">
        <v>54</v>
      </c>
      <c r="B54" s="13">
        <v>23749.03</v>
      </c>
      <c r="C54" s="13">
        <v>44.06</v>
      </c>
      <c r="D54" s="13">
        <v>26.77</v>
      </c>
      <c r="E54" s="13">
        <v>13.86</v>
      </c>
      <c r="F54" s="13">
        <v>56.65</v>
      </c>
      <c r="G54" s="13">
        <v>731.48</v>
      </c>
      <c r="H54" s="13">
        <v>84.78</v>
      </c>
      <c r="I54" s="13">
        <v>72.599999999999994</v>
      </c>
      <c r="J54" s="13">
        <v>115.97</v>
      </c>
      <c r="K54" s="13">
        <v>13.65</v>
      </c>
      <c r="L54" s="13">
        <v>3453.28</v>
      </c>
      <c r="M54" s="12">
        <v>825.9</v>
      </c>
      <c r="N54" s="43">
        <v>0</v>
      </c>
      <c r="O54" s="43">
        <v>0</v>
      </c>
      <c r="P54" s="43">
        <v>0</v>
      </c>
      <c r="Q54" s="43">
        <v>0</v>
      </c>
      <c r="R54" s="43">
        <v>0</v>
      </c>
      <c r="S54" s="43">
        <v>0</v>
      </c>
      <c r="T54" s="43">
        <v>0</v>
      </c>
      <c r="U54" s="43">
        <v>0</v>
      </c>
      <c r="V54" s="13">
        <v>258.19</v>
      </c>
      <c r="W54" s="13">
        <v>140.41</v>
      </c>
      <c r="X54" s="13">
        <v>185.37</v>
      </c>
      <c r="Y54" s="13">
        <v>672.1</v>
      </c>
      <c r="Z54" s="13">
        <v>208.82</v>
      </c>
      <c r="AA54" s="13">
        <v>327.48</v>
      </c>
      <c r="AB54" s="13">
        <v>247.66</v>
      </c>
      <c r="AC54" s="13">
        <v>295.55</v>
      </c>
      <c r="AD54" s="13">
        <v>374.44</v>
      </c>
      <c r="AE54" s="13">
        <v>139.32</v>
      </c>
      <c r="AF54" s="13">
        <v>92.24</v>
      </c>
      <c r="AG54" s="13">
        <v>124.84</v>
      </c>
      <c r="AH54" s="13">
        <v>502.44</v>
      </c>
      <c r="AJ54" s="13">
        <v>5.0199999999999996</v>
      </c>
      <c r="AK54" s="13">
        <v>93.56</v>
      </c>
      <c r="AL54" s="13">
        <v>360.12</v>
      </c>
      <c r="AM54" s="13">
        <v>95.28</v>
      </c>
      <c r="AN54" s="13">
        <v>822.21</v>
      </c>
      <c r="AO54" s="13">
        <v>96.18</v>
      </c>
      <c r="AP54" s="13">
        <v>633.16</v>
      </c>
      <c r="AQ54" s="13">
        <v>9885.9</v>
      </c>
      <c r="AR54" s="13">
        <v>72.52</v>
      </c>
      <c r="AS54" s="13">
        <v>1351.42</v>
      </c>
      <c r="AT54" s="13">
        <v>22.66</v>
      </c>
      <c r="AU54" s="13">
        <v>79.849999999999994</v>
      </c>
      <c r="AV54" s="13">
        <v>130.38999999999999</v>
      </c>
      <c r="AW54" s="13">
        <v>20.18</v>
      </c>
      <c r="AX54" s="13">
        <v>37.83</v>
      </c>
      <c r="AY54" s="13">
        <v>110.98</v>
      </c>
      <c r="AZ54" s="13">
        <v>4.83</v>
      </c>
      <c r="BA54" s="13">
        <v>7.59</v>
      </c>
      <c r="BB54" s="13">
        <v>10.79</v>
      </c>
      <c r="BC54" s="13">
        <v>42.68</v>
      </c>
      <c r="BD54" s="13">
        <v>97.14</v>
      </c>
      <c r="BE54" s="13">
        <v>32.99</v>
      </c>
      <c r="BF54" s="13">
        <v>75.290000000000006</v>
      </c>
      <c r="BG54" s="13">
        <v>16.45</v>
      </c>
      <c r="BH54" s="13">
        <v>25.44</v>
      </c>
      <c r="BI54" s="13">
        <v>102.03</v>
      </c>
      <c r="BJ54" s="13">
        <v>12.38</v>
      </c>
      <c r="BK54" s="13">
        <v>112.55</v>
      </c>
      <c r="BL54" s="13">
        <v>83.63</v>
      </c>
      <c r="BM54" s="13">
        <v>92.18</v>
      </c>
      <c r="BN54" s="13">
        <v>29.44</v>
      </c>
      <c r="BO54" s="13">
        <v>110.99</v>
      </c>
      <c r="BP54" s="13">
        <v>27.33</v>
      </c>
      <c r="BQ54" s="13">
        <v>12.16</v>
      </c>
      <c r="BR54" s="13">
        <v>9.36</v>
      </c>
      <c r="BS54" s="13">
        <v>5.67</v>
      </c>
      <c r="BT54" s="13">
        <v>5.68</v>
      </c>
      <c r="BU54" s="13">
        <v>6.18</v>
      </c>
      <c r="BV54" s="13">
        <v>1.1299999999999999</v>
      </c>
      <c r="BW54" s="7">
        <v>0</v>
      </c>
      <c r="BX54" s="13">
        <v>3866.57</v>
      </c>
      <c r="BY54" s="13">
        <v>48.91</v>
      </c>
      <c r="BZ54" s="13">
        <v>3817.52</v>
      </c>
      <c r="CA54" s="13">
        <v>0.13</v>
      </c>
      <c r="CB54" s="13">
        <v>1770.34</v>
      </c>
      <c r="CC54" s="13">
        <v>769.28</v>
      </c>
      <c r="CD54" s="7">
        <v>0</v>
      </c>
      <c r="CE54" s="7" t="s">
        <v>104</v>
      </c>
      <c r="CF54" s="7">
        <v>0</v>
      </c>
      <c r="CG54" s="6" t="s">
        <v>104</v>
      </c>
      <c r="CH54" s="7">
        <v>0</v>
      </c>
      <c r="CI54" s="13">
        <v>1001.06</v>
      </c>
      <c r="CJ54" s="7" t="s">
        <v>104</v>
      </c>
      <c r="CK54" s="7" t="s">
        <v>104</v>
      </c>
      <c r="CL54" s="13">
        <v>29385.94</v>
      </c>
      <c r="CM54" s="13">
        <v>5636.91</v>
      </c>
    </row>
    <row r="55" spans="1:91" x14ac:dyDescent="0.35">
      <c r="A55" s="5" t="s">
        <v>55</v>
      </c>
      <c r="B55" s="12">
        <v>6631.62</v>
      </c>
      <c r="C55" s="12">
        <v>27.83</v>
      </c>
      <c r="D55" s="12">
        <v>2.33</v>
      </c>
      <c r="E55" s="12">
        <v>1.32</v>
      </c>
      <c r="F55" s="12">
        <v>5.77</v>
      </c>
      <c r="G55" s="12">
        <v>136.16</v>
      </c>
      <c r="H55" s="12">
        <v>36.36</v>
      </c>
      <c r="I55" s="12">
        <v>7.18</v>
      </c>
      <c r="J55" s="12">
        <v>15.39</v>
      </c>
      <c r="K55" s="12">
        <v>8.23</v>
      </c>
      <c r="L55" s="12">
        <v>348.04</v>
      </c>
      <c r="M55" s="12">
        <v>140.6</v>
      </c>
      <c r="N55" s="43">
        <v>0</v>
      </c>
      <c r="O55" s="43">
        <v>0</v>
      </c>
      <c r="P55" s="43">
        <v>0</v>
      </c>
      <c r="Q55" s="43">
        <v>0</v>
      </c>
      <c r="R55" s="43">
        <v>0</v>
      </c>
      <c r="S55" s="43">
        <v>0</v>
      </c>
      <c r="T55" s="43">
        <v>0</v>
      </c>
      <c r="U55" s="43">
        <v>0</v>
      </c>
      <c r="V55" s="12">
        <v>72.52</v>
      </c>
      <c r="W55" s="12">
        <v>53.93</v>
      </c>
      <c r="X55" s="12">
        <v>31.07</v>
      </c>
      <c r="Y55" s="12">
        <v>81.150000000000006</v>
      </c>
      <c r="Z55" s="12">
        <v>101.3</v>
      </c>
      <c r="AA55" s="12">
        <v>151.22999999999999</v>
      </c>
      <c r="AB55" s="12">
        <v>156.41999999999999</v>
      </c>
      <c r="AC55" s="12">
        <v>208.14</v>
      </c>
      <c r="AD55" s="12">
        <v>167.77</v>
      </c>
      <c r="AE55" s="12">
        <v>192.62</v>
      </c>
      <c r="AF55" s="12">
        <v>44.05</v>
      </c>
      <c r="AG55" s="12">
        <v>85.38</v>
      </c>
      <c r="AH55" s="13">
        <v>285.3</v>
      </c>
      <c r="AJ55" s="12">
        <v>2.27</v>
      </c>
      <c r="AK55" s="12">
        <v>21.95</v>
      </c>
      <c r="AL55" s="12">
        <v>145.66</v>
      </c>
      <c r="AM55" s="12">
        <v>31.7</v>
      </c>
      <c r="AN55" s="12">
        <v>140.34</v>
      </c>
      <c r="AO55" s="12">
        <v>64.62</v>
      </c>
      <c r="AP55" s="12">
        <v>47.24</v>
      </c>
      <c r="AQ55" s="12">
        <v>51.67</v>
      </c>
      <c r="AR55" s="12">
        <v>973.42</v>
      </c>
      <c r="AS55" s="12">
        <v>205.23</v>
      </c>
      <c r="AT55" s="12">
        <v>102.03</v>
      </c>
      <c r="AU55" s="12">
        <v>58.56</v>
      </c>
      <c r="AV55" s="12">
        <v>29.55</v>
      </c>
      <c r="AW55" s="12">
        <v>60.08</v>
      </c>
      <c r="AX55" s="12">
        <v>38.19</v>
      </c>
      <c r="AY55" s="12">
        <v>128.13999999999999</v>
      </c>
      <c r="AZ55" s="12">
        <v>50.79</v>
      </c>
      <c r="BA55" s="12">
        <v>28.18</v>
      </c>
      <c r="BB55" s="12">
        <v>72.61</v>
      </c>
      <c r="BC55" s="12">
        <v>27.97</v>
      </c>
      <c r="BD55" s="12">
        <v>135.82</v>
      </c>
      <c r="BE55" s="12">
        <v>65.73</v>
      </c>
      <c r="BF55" s="12">
        <v>91.75</v>
      </c>
      <c r="BG55" s="12">
        <v>40.51</v>
      </c>
      <c r="BH55" s="12">
        <v>25.99</v>
      </c>
      <c r="BI55" s="12">
        <v>68.099999999999994</v>
      </c>
      <c r="BJ55" s="12">
        <v>12.6</v>
      </c>
      <c r="BK55" s="12">
        <v>992.02</v>
      </c>
      <c r="BL55" s="12">
        <v>68.53</v>
      </c>
      <c r="BM55" s="12">
        <v>168.04</v>
      </c>
      <c r="BN55" s="12">
        <v>36.81</v>
      </c>
      <c r="BO55" s="12">
        <v>114.38</v>
      </c>
      <c r="BP55" s="12">
        <v>37.99</v>
      </c>
      <c r="BQ55" s="12">
        <v>44.79</v>
      </c>
      <c r="BR55" s="12">
        <v>18.55</v>
      </c>
      <c r="BS55" s="12">
        <v>46.74</v>
      </c>
      <c r="BT55" s="12">
        <v>4.1399999999999997</v>
      </c>
      <c r="BU55" s="12">
        <v>17.8</v>
      </c>
      <c r="BV55" s="12">
        <v>1.0900000000000001</v>
      </c>
      <c r="BW55" s="6">
        <v>0</v>
      </c>
      <c r="BX55" s="12">
        <v>6347.3</v>
      </c>
      <c r="BY55" s="12">
        <v>44.62</v>
      </c>
      <c r="BZ55" s="12">
        <v>6302.58</v>
      </c>
      <c r="CA55" s="12">
        <v>0.11</v>
      </c>
      <c r="CB55" s="12">
        <v>557.46</v>
      </c>
      <c r="CC55" s="12">
        <v>-196.23</v>
      </c>
      <c r="CD55" s="6">
        <v>0</v>
      </c>
      <c r="CE55" s="7" t="s">
        <v>104</v>
      </c>
      <c r="CF55" s="6">
        <v>0</v>
      </c>
      <c r="CG55" s="6" t="s">
        <v>104</v>
      </c>
      <c r="CH55" s="6">
        <v>0</v>
      </c>
      <c r="CI55" s="12">
        <v>753.68</v>
      </c>
      <c r="CJ55" s="6" t="s">
        <v>104</v>
      </c>
      <c r="CK55" s="6" t="s">
        <v>104</v>
      </c>
      <c r="CL55" s="12">
        <v>13536.39</v>
      </c>
      <c r="CM55" s="12">
        <v>6904.76</v>
      </c>
    </row>
    <row r="56" spans="1:91" x14ac:dyDescent="0.35">
      <c r="A56" s="5" t="s">
        <v>56</v>
      </c>
      <c r="B56" s="13">
        <v>31653.97</v>
      </c>
      <c r="C56" s="13">
        <v>39.49</v>
      </c>
      <c r="D56" s="13">
        <v>5.9</v>
      </c>
      <c r="E56" s="13">
        <v>9.6300000000000008</v>
      </c>
      <c r="F56" s="13">
        <v>33.67</v>
      </c>
      <c r="G56" s="13">
        <v>423.54</v>
      </c>
      <c r="H56" s="13">
        <v>60.02</v>
      </c>
      <c r="I56" s="13">
        <v>49.24</v>
      </c>
      <c r="J56" s="13">
        <v>76.63</v>
      </c>
      <c r="K56" s="13">
        <v>10.44</v>
      </c>
      <c r="L56" s="13">
        <v>185.53</v>
      </c>
      <c r="M56" s="12">
        <v>246.12</v>
      </c>
      <c r="N56" s="43">
        <v>0</v>
      </c>
      <c r="O56" s="43">
        <v>0</v>
      </c>
      <c r="P56" s="43">
        <v>0</v>
      </c>
      <c r="Q56" s="43">
        <v>0</v>
      </c>
      <c r="R56" s="43">
        <v>0</v>
      </c>
      <c r="S56" s="43">
        <v>0</v>
      </c>
      <c r="T56" s="43">
        <v>0</v>
      </c>
      <c r="U56" s="43">
        <v>0</v>
      </c>
      <c r="V56" s="13">
        <v>99.92</v>
      </c>
      <c r="W56" s="13">
        <v>77.81</v>
      </c>
      <c r="X56" s="13">
        <v>98.68</v>
      </c>
      <c r="Y56" s="13">
        <v>150.71</v>
      </c>
      <c r="Z56" s="13">
        <v>110.74</v>
      </c>
      <c r="AA56" s="13">
        <v>50.78</v>
      </c>
      <c r="AB56" s="13">
        <v>53.04</v>
      </c>
      <c r="AC56" s="13">
        <v>114.79</v>
      </c>
      <c r="AD56" s="13">
        <v>162.01</v>
      </c>
      <c r="AE56" s="13">
        <v>59.91</v>
      </c>
      <c r="AF56" s="13">
        <v>41.71</v>
      </c>
      <c r="AG56" s="13">
        <v>72.930000000000007</v>
      </c>
      <c r="AH56" s="13">
        <v>144.38</v>
      </c>
      <c r="AJ56" s="13">
        <v>4.2699999999999996</v>
      </c>
      <c r="AK56" s="13">
        <v>63.84</v>
      </c>
      <c r="AL56" s="13">
        <v>381.07</v>
      </c>
      <c r="AM56" s="13">
        <v>193.86</v>
      </c>
      <c r="AN56" s="13">
        <v>2121.94</v>
      </c>
      <c r="AO56" s="13">
        <v>532.82000000000005</v>
      </c>
      <c r="AP56" s="13">
        <v>1954.03</v>
      </c>
      <c r="AQ56" s="13">
        <v>13762.63</v>
      </c>
      <c r="AR56" s="13">
        <v>2035.95</v>
      </c>
      <c r="AS56" s="13">
        <v>6444.37</v>
      </c>
      <c r="AT56" s="13">
        <v>295.26</v>
      </c>
      <c r="AU56" s="13">
        <v>60.27</v>
      </c>
      <c r="AV56" s="13">
        <v>47.62</v>
      </c>
      <c r="AW56" s="13">
        <v>9.2100000000000009</v>
      </c>
      <c r="AX56" s="13">
        <v>145.30000000000001</v>
      </c>
      <c r="AY56" s="13">
        <v>207.4</v>
      </c>
      <c r="AZ56" s="13">
        <v>9.1300000000000008</v>
      </c>
      <c r="BA56" s="13">
        <v>9.2200000000000006</v>
      </c>
      <c r="BB56" s="13">
        <v>12.1</v>
      </c>
      <c r="BC56" s="13">
        <v>132.66999999999999</v>
      </c>
      <c r="BD56" s="13">
        <v>128.1</v>
      </c>
      <c r="BE56" s="13">
        <v>40.6</v>
      </c>
      <c r="BF56" s="13">
        <v>52.73</v>
      </c>
      <c r="BG56" s="13">
        <v>30.34</v>
      </c>
      <c r="BH56" s="13">
        <v>24.35</v>
      </c>
      <c r="BI56" s="13">
        <v>180.68</v>
      </c>
      <c r="BJ56" s="13">
        <v>17.190000000000001</v>
      </c>
      <c r="BK56" s="13">
        <v>50.6</v>
      </c>
      <c r="BL56" s="13">
        <v>84.94</v>
      </c>
      <c r="BM56" s="13">
        <v>129.19</v>
      </c>
      <c r="BN56" s="13">
        <v>12.79</v>
      </c>
      <c r="BO56" s="13">
        <v>32.590000000000003</v>
      </c>
      <c r="BP56" s="13">
        <v>6.76</v>
      </c>
      <c r="BQ56" s="13">
        <v>13.72</v>
      </c>
      <c r="BR56" s="13">
        <v>11.16</v>
      </c>
      <c r="BS56" s="13">
        <v>3.79</v>
      </c>
      <c r="BT56" s="13">
        <v>15.28</v>
      </c>
      <c r="BU56" s="13">
        <v>15.45</v>
      </c>
      <c r="BV56" s="13">
        <v>3.14</v>
      </c>
      <c r="BW56" s="7">
        <v>0</v>
      </c>
      <c r="BX56" s="13">
        <v>340.73</v>
      </c>
      <c r="BY56" s="13">
        <v>6.99</v>
      </c>
      <c r="BZ56" s="13">
        <v>333.64</v>
      </c>
      <c r="CA56" s="13">
        <v>0.09</v>
      </c>
      <c r="CB56" s="13">
        <v>45.7</v>
      </c>
      <c r="CC56" s="13">
        <v>3.85</v>
      </c>
      <c r="CD56" s="7">
        <v>0</v>
      </c>
      <c r="CE56" s="7" t="s">
        <v>104</v>
      </c>
      <c r="CF56" s="7">
        <v>0</v>
      </c>
      <c r="CG56" s="6" t="s">
        <v>104</v>
      </c>
      <c r="CH56" s="7">
        <v>0</v>
      </c>
      <c r="CI56" s="13">
        <v>41.85</v>
      </c>
      <c r="CJ56" s="7" t="s">
        <v>104</v>
      </c>
      <c r="CK56" s="7" t="s">
        <v>104</v>
      </c>
      <c r="CL56" s="13">
        <v>32040.39</v>
      </c>
      <c r="CM56" s="13">
        <v>386.43</v>
      </c>
    </row>
    <row r="57" spans="1:91" x14ac:dyDescent="0.35">
      <c r="A57" s="5" t="s">
        <v>57</v>
      </c>
      <c r="B57" s="12">
        <v>16158.62</v>
      </c>
      <c r="C57" s="12">
        <v>38.340000000000003</v>
      </c>
      <c r="D57" s="12">
        <v>4.5199999999999996</v>
      </c>
      <c r="E57" s="12">
        <v>0.77</v>
      </c>
      <c r="F57" s="12">
        <v>12.24</v>
      </c>
      <c r="G57" s="12">
        <v>241.82</v>
      </c>
      <c r="H57" s="12">
        <v>70.64</v>
      </c>
      <c r="I57" s="12">
        <v>14.69</v>
      </c>
      <c r="J57" s="12">
        <v>27.03</v>
      </c>
      <c r="K57" s="12">
        <v>24.8</v>
      </c>
      <c r="L57" s="12">
        <v>58.53</v>
      </c>
      <c r="M57" s="12">
        <v>289.43</v>
      </c>
      <c r="N57" s="43">
        <v>0</v>
      </c>
      <c r="O57" s="43">
        <v>0</v>
      </c>
      <c r="P57" s="43">
        <v>0</v>
      </c>
      <c r="Q57" s="43">
        <v>0</v>
      </c>
      <c r="R57" s="43">
        <v>0</v>
      </c>
      <c r="S57" s="43">
        <v>0</v>
      </c>
      <c r="T57" s="43">
        <v>0</v>
      </c>
      <c r="U57" s="43">
        <v>0</v>
      </c>
      <c r="V57" s="12">
        <v>192.75</v>
      </c>
      <c r="W57" s="12">
        <v>69.02</v>
      </c>
      <c r="X57" s="12">
        <v>35.4</v>
      </c>
      <c r="Y57" s="12">
        <v>39.99</v>
      </c>
      <c r="Z57" s="12">
        <v>108.49</v>
      </c>
      <c r="AA57" s="12">
        <v>145.52000000000001</v>
      </c>
      <c r="AB57" s="12">
        <v>158.53</v>
      </c>
      <c r="AC57" s="12">
        <v>221.97</v>
      </c>
      <c r="AD57" s="12">
        <v>153.21</v>
      </c>
      <c r="AE57" s="12">
        <v>21.78</v>
      </c>
      <c r="AF57" s="12">
        <v>121.81</v>
      </c>
      <c r="AG57" s="12">
        <v>64.87</v>
      </c>
      <c r="AH57" s="13">
        <v>208.61</v>
      </c>
      <c r="AJ57" s="12">
        <v>22.61</v>
      </c>
      <c r="AK57" s="12">
        <v>116.87</v>
      </c>
      <c r="AL57" s="12">
        <v>180.07</v>
      </c>
      <c r="AM57" s="12">
        <v>171.21</v>
      </c>
      <c r="AN57" s="12">
        <v>1030.0999999999999</v>
      </c>
      <c r="AO57" s="12">
        <v>993.64</v>
      </c>
      <c r="AP57" s="12">
        <v>370.65</v>
      </c>
      <c r="AQ57" s="12">
        <v>191.34</v>
      </c>
      <c r="AR57" s="12">
        <v>110.92</v>
      </c>
      <c r="AS57" s="12">
        <v>429.75</v>
      </c>
      <c r="AT57" s="12">
        <v>2000.1</v>
      </c>
      <c r="AU57" s="12">
        <v>368.49</v>
      </c>
      <c r="AV57" s="12">
        <v>223.17</v>
      </c>
      <c r="AW57" s="12">
        <v>88.97</v>
      </c>
      <c r="AX57" s="12">
        <v>492.99</v>
      </c>
      <c r="AY57" s="12">
        <v>833.93</v>
      </c>
      <c r="AZ57" s="12">
        <v>378.69</v>
      </c>
      <c r="BA57" s="12">
        <v>164.94</v>
      </c>
      <c r="BB57" s="12">
        <v>317.8</v>
      </c>
      <c r="BC57" s="12">
        <v>177.8</v>
      </c>
      <c r="BD57" s="12">
        <v>2025.6</v>
      </c>
      <c r="BE57" s="12">
        <v>106.54</v>
      </c>
      <c r="BF57" s="12">
        <v>232.72</v>
      </c>
      <c r="BG57" s="12">
        <v>133.18</v>
      </c>
      <c r="BH57" s="12">
        <v>85.86</v>
      </c>
      <c r="BI57" s="12">
        <v>334.56</v>
      </c>
      <c r="BJ57" s="12">
        <v>234.61</v>
      </c>
      <c r="BK57" s="12">
        <v>43.25</v>
      </c>
      <c r="BL57" s="12">
        <v>303.33</v>
      </c>
      <c r="BM57" s="12">
        <v>833.56</v>
      </c>
      <c r="BN57" s="12">
        <v>132.54</v>
      </c>
      <c r="BO57" s="12">
        <v>208.66</v>
      </c>
      <c r="BP57" s="12">
        <v>185.89</v>
      </c>
      <c r="BQ57" s="12">
        <v>97.21</v>
      </c>
      <c r="BR57" s="12">
        <v>52.2</v>
      </c>
      <c r="BS57" s="12">
        <v>78.16</v>
      </c>
      <c r="BT57" s="12">
        <v>11.61</v>
      </c>
      <c r="BU57" s="12">
        <v>63.58</v>
      </c>
      <c r="BV57" s="12">
        <v>6.79</v>
      </c>
      <c r="BW57" s="6">
        <v>0</v>
      </c>
      <c r="BX57" s="12">
        <v>1421.19</v>
      </c>
      <c r="BY57" s="12">
        <v>3.72</v>
      </c>
      <c r="BZ57" s="12">
        <v>1417.47</v>
      </c>
      <c r="CA57" s="6">
        <v>0</v>
      </c>
      <c r="CB57" s="12">
        <v>0.05</v>
      </c>
      <c r="CC57" s="12">
        <v>0.05</v>
      </c>
      <c r="CD57" s="6">
        <v>0</v>
      </c>
      <c r="CE57" s="7" t="s">
        <v>104</v>
      </c>
      <c r="CF57" s="6">
        <v>0</v>
      </c>
      <c r="CG57" s="6" t="s">
        <v>104</v>
      </c>
      <c r="CH57" s="6">
        <v>0</v>
      </c>
      <c r="CI57" s="6">
        <v>0</v>
      </c>
      <c r="CJ57" s="6" t="s">
        <v>104</v>
      </c>
      <c r="CK57" s="6" t="s">
        <v>104</v>
      </c>
      <c r="CL57" s="12">
        <v>17579.86</v>
      </c>
      <c r="CM57" s="12">
        <v>1421.24</v>
      </c>
    </row>
    <row r="58" spans="1:91" x14ac:dyDescent="0.35">
      <c r="A58" s="5" t="s">
        <v>58</v>
      </c>
      <c r="B58" s="13">
        <v>2472.56</v>
      </c>
      <c r="C58" s="13">
        <v>12.41</v>
      </c>
      <c r="D58" s="13">
        <v>3.01</v>
      </c>
      <c r="E58" s="13">
        <v>6.45</v>
      </c>
      <c r="F58" s="13">
        <v>8.0500000000000007</v>
      </c>
      <c r="G58" s="13">
        <v>39.28</v>
      </c>
      <c r="H58" s="13">
        <v>17.93</v>
      </c>
      <c r="I58" s="13">
        <v>9.9700000000000006</v>
      </c>
      <c r="J58" s="13">
        <v>12.43</v>
      </c>
      <c r="K58" s="13">
        <v>8.5</v>
      </c>
      <c r="L58" s="13">
        <v>13.05</v>
      </c>
      <c r="M58" s="12">
        <v>32.57</v>
      </c>
      <c r="N58" s="43">
        <v>0</v>
      </c>
      <c r="O58" s="43">
        <v>0</v>
      </c>
      <c r="P58" s="43">
        <v>0</v>
      </c>
      <c r="Q58" s="43">
        <v>0</v>
      </c>
      <c r="R58" s="43">
        <v>0</v>
      </c>
      <c r="S58" s="43">
        <v>0</v>
      </c>
      <c r="T58" s="43">
        <v>0</v>
      </c>
      <c r="U58" s="43">
        <v>0</v>
      </c>
      <c r="V58" s="13">
        <v>19.22</v>
      </c>
      <c r="W58" s="13">
        <v>25.72</v>
      </c>
      <c r="X58" s="13">
        <v>17.809999999999999</v>
      </c>
      <c r="Y58" s="13">
        <v>24.61</v>
      </c>
      <c r="Z58" s="13">
        <v>34.880000000000003</v>
      </c>
      <c r="AA58" s="13">
        <v>30.18</v>
      </c>
      <c r="AB58" s="13">
        <v>27.51</v>
      </c>
      <c r="AC58" s="13">
        <v>53.23</v>
      </c>
      <c r="AD58" s="13">
        <v>40.86</v>
      </c>
      <c r="AE58" s="13">
        <v>21.18</v>
      </c>
      <c r="AF58" s="13">
        <v>20.7</v>
      </c>
      <c r="AG58" s="13">
        <v>26.35</v>
      </c>
      <c r="AH58" s="13">
        <v>30.54</v>
      </c>
      <c r="AJ58" s="13">
        <v>5.8</v>
      </c>
      <c r="AK58" s="13">
        <v>18.61</v>
      </c>
      <c r="AL58" s="13">
        <v>83.97</v>
      </c>
      <c r="AM58" s="13">
        <v>22.13</v>
      </c>
      <c r="AN58" s="13">
        <v>50.8</v>
      </c>
      <c r="AO58" s="13">
        <v>35.83</v>
      </c>
      <c r="AP58" s="13">
        <v>81.150000000000006</v>
      </c>
      <c r="AQ58" s="13">
        <v>19.64</v>
      </c>
      <c r="AR58" s="13">
        <v>33.159999999999997</v>
      </c>
      <c r="AS58" s="13">
        <v>62.67</v>
      </c>
      <c r="AT58" s="13">
        <v>8.48</v>
      </c>
      <c r="AU58" s="13">
        <v>45.14</v>
      </c>
      <c r="AV58" s="13">
        <v>14.09</v>
      </c>
      <c r="AW58" s="13">
        <v>21.84</v>
      </c>
      <c r="AX58" s="13">
        <v>38.78</v>
      </c>
      <c r="AY58" s="13">
        <v>51.47</v>
      </c>
      <c r="AZ58" s="13">
        <v>16.02</v>
      </c>
      <c r="BA58" s="13">
        <v>19.61</v>
      </c>
      <c r="BB58" s="13">
        <v>32.28</v>
      </c>
      <c r="BC58" s="7">
        <v>20</v>
      </c>
      <c r="BD58" s="13">
        <v>58.34</v>
      </c>
      <c r="BE58" s="13">
        <v>24.73</v>
      </c>
      <c r="BF58" s="13">
        <v>27.13</v>
      </c>
      <c r="BG58" s="13">
        <v>18.989999999999998</v>
      </c>
      <c r="BH58" s="13">
        <v>17.54</v>
      </c>
      <c r="BI58" s="13">
        <v>27.3</v>
      </c>
      <c r="BJ58" s="13">
        <v>18.3</v>
      </c>
      <c r="BK58" s="13">
        <v>773.85</v>
      </c>
      <c r="BL58" s="13">
        <v>35.49</v>
      </c>
      <c r="BM58" s="13">
        <v>39.729999999999997</v>
      </c>
      <c r="BN58" s="13">
        <v>44.32</v>
      </c>
      <c r="BO58" s="13">
        <v>47.81</v>
      </c>
      <c r="BP58" s="13">
        <v>35.54</v>
      </c>
      <c r="BQ58" s="13">
        <v>21.86</v>
      </c>
      <c r="BR58" s="13">
        <v>14.85</v>
      </c>
      <c r="BS58" s="13">
        <v>20.079999999999998</v>
      </c>
      <c r="BT58" s="13">
        <v>9.7200000000000006</v>
      </c>
      <c r="BU58" s="13">
        <v>18.98</v>
      </c>
      <c r="BV58" s="13">
        <v>0.11</v>
      </c>
      <c r="BW58" s="7">
        <v>0</v>
      </c>
      <c r="BX58" s="13">
        <v>611.37</v>
      </c>
      <c r="BY58" s="13">
        <v>19.68</v>
      </c>
      <c r="BZ58" s="13">
        <v>591.69000000000005</v>
      </c>
      <c r="CA58" s="7">
        <v>0</v>
      </c>
      <c r="CB58" s="13">
        <v>210.35</v>
      </c>
      <c r="CC58" s="13">
        <v>195.82</v>
      </c>
      <c r="CD58" s="7">
        <v>0</v>
      </c>
      <c r="CE58" s="7" t="s">
        <v>104</v>
      </c>
      <c r="CF58" s="7">
        <v>0</v>
      </c>
      <c r="CG58" s="6" t="s">
        <v>104</v>
      </c>
      <c r="CH58" s="7">
        <v>0</v>
      </c>
      <c r="CI58" s="13">
        <v>14.52</v>
      </c>
      <c r="CJ58" s="7" t="s">
        <v>104</v>
      </c>
      <c r="CK58" s="7" t="s">
        <v>104</v>
      </c>
      <c r="CL58" s="13">
        <v>3294.27</v>
      </c>
      <c r="CM58" s="13">
        <v>821.71</v>
      </c>
    </row>
    <row r="59" spans="1:91" x14ac:dyDescent="0.35">
      <c r="A59" s="5" t="s">
        <v>59</v>
      </c>
      <c r="B59" s="12">
        <v>26204.61</v>
      </c>
      <c r="C59" s="12">
        <v>28.32</v>
      </c>
      <c r="D59" s="12">
        <v>3.04</v>
      </c>
      <c r="E59" s="12">
        <v>0.31</v>
      </c>
      <c r="F59" s="12">
        <v>22.74</v>
      </c>
      <c r="G59" s="12">
        <v>496.77</v>
      </c>
      <c r="H59" s="12">
        <v>40.94</v>
      </c>
      <c r="I59" s="12">
        <v>20.5</v>
      </c>
      <c r="J59" s="12">
        <v>129.15</v>
      </c>
      <c r="K59" s="12">
        <v>137.30000000000001</v>
      </c>
      <c r="L59" s="12">
        <v>97.4</v>
      </c>
      <c r="M59" s="12">
        <v>419.44</v>
      </c>
      <c r="N59" s="43">
        <v>0</v>
      </c>
      <c r="O59" s="43">
        <v>0</v>
      </c>
      <c r="P59" s="43">
        <v>0</v>
      </c>
      <c r="Q59" s="43">
        <v>0</v>
      </c>
      <c r="R59" s="43">
        <v>0</v>
      </c>
      <c r="S59" s="43">
        <v>0</v>
      </c>
      <c r="T59" s="43">
        <v>0</v>
      </c>
      <c r="U59" s="43">
        <v>0</v>
      </c>
      <c r="V59" s="12">
        <v>1314.83</v>
      </c>
      <c r="W59" s="12">
        <v>102.53</v>
      </c>
      <c r="X59" s="12">
        <v>52.61</v>
      </c>
      <c r="Y59" s="12">
        <v>70.150000000000006</v>
      </c>
      <c r="Z59" s="12">
        <v>178.52</v>
      </c>
      <c r="AA59" s="12">
        <v>784.98</v>
      </c>
      <c r="AB59" s="12">
        <v>87.83</v>
      </c>
      <c r="AC59" s="12">
        <v>185.69</v>
      </c>
      <c r="AD59" s="12">
        <v>137.71</v>
      </c>
      <c r="AE59" s="12">
        <v>44.81</v>
      </c>
      <c r="AF59" s="12">
        <v>173.99</v>
      </c>
      <c r="AG59" s="12">
        <v>69.37</v>
      </c>
      <c r="AH59" s="13">
        <v>482.19</v>
      </c>
      <c r="AJ59" s="12">
        <v>28.77</v>
      </c>
      <c r="AK59" s="12">
        <v>168.19</v>
      </c>
      <c r="AL59" s="12">
        <v>220.42</v>
      </c>
      <c r="AM59" s="12">
        <v>112.64</v>
      </c>
      <c r="AN59" s="12">
        <v>885.4</v>
      </c>
      <c r="AO59" s="12">
        <v>377.54</v>
      </c>
      <c r="AP59" s="12">
        <v>126.63</v>
      </c>
      <c r="AQ59" s="12">
        <v>32.840000000000003</v>
      </c>
      <c r="AR59" s="12">
        <v>170.46</v>
      </c>
      <c r="AS59" s="12">
        <v>142.09</v>
      </c>
      <c r="AT59" s="12">
        <v>44.69</v>
      </c>
      <c r="AU59" s="12">
        <v>163.94</v>
      </c>
      <c r="AV59" s="12">
        <v>6841.12</v>
      </c>
      <c r="AW59" s="12">
        <v>154.19999999999999</v>
      </c>
      <c r="AX59" s="12">
        <v>202.19</v>
      </c>
      <c r="AY59" s="12">
        <v>3352.63</v>
      </c>
      <c r="AZ59" s="12">
        <v>514.72</v>
      </c>
      <c r="BA59" s="12">
        <v>186.49</v>
      </c>
      <c r="BB59" s="12">
        <v>418.98</v>
      </c>
      <c r="BC59" s="6">
        <v>103</v>
      </c>
      <c r="BD59" s="12">
        <v>1019.74</v>
      </c>
      <c r="BE59" s="12">
        <v>248.75</v>
      </c>
      <c r="BF59" s="12">
        <v>375.21</v>
      </c>
      <c r="BG59" s="12">
        <v>465.39</v>
      </c>
      <c r="BH59" s="12">
        <v>227.25</v>
      </c>
      <c r="BI59" s="12">
        <v>330.57</v>
      </c>
      <c r="BJ59" s="12">
        <v>78.84</v>
      </c>
      <c r="BK59" s="12">
        <v>171.6</v>
      </c>
      <c r="BL59" s="12">
        <v>351.99</v>
      </c>
      <c r="BM59" s="12">
        <v>718.29</v>
      </c>
      <c r="BN59" s="12">
        <v>1140.25</v>
      </c>
      <c r="BO59" s="12">
        <v>471.67</v>
      </c>
      <c r="BP59" s="12">
        <v>307.63</v>
      </c>
      <c r="BQ59" s="12">
        <v>533.5</v>
      </c>
      <c r="BR59" s="12">
        <v>100.23</v>
      </c>
      <c r="BS59" s="12">
        <v>276.99</v>
      </c>
      <c r="BT59" s="12">
        <v>8.25</v>
      </c>
      <c r="BU59" s="12">
        <v>49.76</v>
      </c>
      <c r="BV59" s="12">
        <v>0.71</v>
      </c>
      <c r="BW59" s="6">
        <v>0</v>
      </c>
      <c r="BX59" s="12">
        <v>9105.0499999999993</v>
      </c>
      <c r="BY59" s="12">
        <v>12.38</v>
      </c>
      <c r="BZ59" s="12">
        <v>9092.66</v>
      </c>
      <c r="CA59" s="12">
        <v>0.01</v>
      </c>
      <c r="CB59" s="12">
        <v>3637.75</v>
      </c>
      <c r="CC59" s="12">
        <v>-278.23</v>
      </c>
      <c r="CD59" s="6">
        <v>0</v>
      </c>
      <c r="CE59" s="7" t="s">
        <v>104</v>
      </c>
      <c r="CF59" s="6">
        <v>0</v>
      </c>
      <c r="CG59" s="6" t="s">
        <v>104</v>
      </c>
      <c r="CH59" s="6">
        <v>0</v>
      </c>
      <c r="CI59" s="12">
        <v>3915.98</v>
      </c>
      <c r="CJ59" s="6" t="s">
        <v>104</v>
      </c>
      <c r="CK59" s="6" t="s">
        <v>104</v>
      </c>
      <c r="CL59" s="12">
        <v>38947.4</v>
      </c>
      <c r="CM59" s="12">
        <v>12742.79</v>
      </c>
    </row>
    <row r="60" spans="1:91" x14ac:dyDescent="0.35">
      <c r="A60" s="5" t="s">
        <v>60</v>
      </c>
      <c r="B60" s="13">
        <v>17830.810000000001</v>
      </c>
      <c r="C60" s="13">
        <v>64.540000000000006</v>
      </c>
      <c r="D60" s="13">
        <v>0.28000000000000003</v>
      </c>
      <c r="E60" s="13">
        <v>0.79</v>
      </c>
      <c r="F60" s="13">
        <v>1.18</v>
      </c>
      <c r="G60" s="13">
        <v>94.44</v>
      </c>
      <c r="H60" s="13">
        <v>6.08</v>
      </c>
      <c r="I60" s="13">
        <v>7.76</v>
      </c>
      <c r="J60" s="13">
        <v>5.0599999999999996</v>
      </c>
      <c r="K60" s="13">
        <v>15.84</v>
      </c>
      <c r="L60" s="13">
        <v>4.01</v>
      </c>
      <c r="M60" s="12">
        <v>94.49</v>
      </c>
      <c r="N60" s="43">
        <v>0</v>
      </c>
      <c r="O60" s="43">
        <v>0</v>
      </c>
      <c r="P60" s="43">
        <v>0</v>
      </c>
      <c r="Q60" s="43">
        <v>0</v>
      </c>
      <c r="R60" s="43">
        <v>0</v>
      </c>
      <c r="S60" s="43">
        <v>0</v>
      </c>
      <c r="T60" s="43">
        <v>0</v>
      </c>
      <c r="U60" s="43">
        <v>0</v>
      </c>
      <c r="V60" s="13">
        <v>407.84</v>
      </c>
      <c r="W60" s="13">
        <v>9.4600000000000009</v>
      </c>
      <c r="X60" s="13">
        <v>4.9800000000000004</v>
      </c>
      <c r="Y60" s="13">
        <v>4.1900000000000004</v>
      </c>
      <c r="Z60" s="13">
        <v>10.130000000000001</v>
      </c>
      <c r="AA60" s="13">
        <v>74.09</v>
      </c>
      <c r="AB60" s="13">
        <v>10.69</v>
      </c>
      <c r="AC60" s="13">
        <v>10.28</v>
      </c>
      <c r="AD60" s="13">
        <v>21.85</v>
      </c>
      <c r="AE60" s="13">
        <v>6.31</v>
      </c>
      <c r="AF60" s="13">
        <v>110.98</v>
      </c>
      <c r="AG60" s="13">
        <v>12.8</v>
      </c>
      <c r="AH60" s="13">
        <v>27.96</v>
      </c>
      <c r="AJ60" s="13">
        <v>47.96</v>
      </c>
      <c r="AK60" s="13">
        <v>95.23</v>
      </c>
      <c r="AL60" s="13">
        <v>48.85</v>
      </c>
      <c r="AM60" s="13">
        <v>91.05</v>
      </c>
      <c r="AN60" s="13">
        <v>362.99</v>
      </c>
      <c r="AO60" s="13">
        <v>296.16000000000003</v>
      </c>
      <c r="AP60" s="13">
        <v>14.4</v>
      </c>
      <c r="AQ60" s="13">
        <v>9.6999999999999993</v>
      </c>
      <c r="AR60" s="13">
        <v>9.7799999999999994</v>
      </c>
      <c r="AS60" s="13">
        <v>31.94</v>
      </c>
      <c r="AT60" s="13">
        <v>3.18</v>
      </c>
      <c r="AU60" s="13">
        <v>208.95</v>
      </c>
      <c r="AV60" s="13">
        <v>325.20999999999998</v>
      </c>
      <c r="AW60" s="13">
        <v>4369.8599999999997</v>
      </c>
      <c r="AX60" s="13">
        <v>770.52</v>
      </c>
      <c r="AY60" s="13">
        <v>3139.25</v>
      </c>
      <c r="AZ60" s="13">
        <v>21.53</v>
      </c>
      <c r="BA60" s="13">
        <v>43.31</v>
      </c>
      <c r="BB60" s="13">
        <v>29.39</v>
      </c>
      <c r="BC60" s="13">
        <v>49.84</v>
      </c>
      <c r="BD60" s="13">
        <v>507.64</v>
      </c>
      <c r="BE60" s="13">
        <v>115.92</v>
      </c>
      <c r="BF60" s="13">
        <v>120.18</v>
      </c>
      <c r="BG60" s="13">
        <v>1773.1</v>
      </c>
      <c r="BH60" s="13">
        <v>59.78</v>
      </c>
      <c r="BI60" s="13">
        <v>1343.3</v>
      </c>
      <c r="BJ60" s="13">
        <v>21.02</v>
      </c>
      <c r="BK60" s="13">
        <v>12.12</v>
      </c>
      <c r="BL60" s="13">
        <v>178.08</v>
      </c>
      <c r="BM60" s="13">
        <v>1411.06</v>
      </c>
      <c r="BN60" s="13">
        <v>59.84</v>
      </c>
      <c r="BO60" s="13">
        <v>55.97</v>
      </c>
      <c r="BP60" s="13">
        <v>203.91</v>
      </c>
      <c r="BQ60" s="13">
        <v>383.79</v>
      </c>
      <c r="BR60" s="13">
        <v>153.72</v>
      </c>
      <c r="BS60" s="13">
        <v>414.48</v>
      </c>
      <c r="BT60" s="13">
        <v>8.02</v>
      </c>
      <c r="BU60" s="13">
        <v>33.229999999999997</v>
      </c>
      <c r="BV60" s="13">
        <v>0.56999999999999995</v>
      </c>
      <c r="BW60" s="7">
        <v>0</v>
      </c>
      <c r="BX60" s="13">
        <v>6616.99</v>
      </c>
      <c r="BY60" s="13">
        <v>42.87</v>
      </c>
      <c r="BZ60" s="13">
        <v>6573.57</v>
      </c>
      <c r="CA60" s="13">
        <v>0.55000000000000004</v>
      </c>
      <c r="CB60" s="13">
        <v>580.46</v>
      </c>
      <c r="CC60" s="13">
        <v>69.489999999999995</v>
      </c>
      <c r="CD60" s="7">
        <v>0</v>
      </c>
      <c r="CE60" s="7" t="s">
        <v>104</v>
      </c>
      <c r="CF60" s="7">
        <v>0</v>
      </c>
      <c r="CG60" s="6" t="s">
        <v>104</v>
      </c>
      <c r="CH60" s="7">
        <v>0</v>
      </c>
      <c r="CI60" s="13">
        <v>510.97</v>
      </c>
      <c r="CJ60" s="7" t="s">
        <v>104</v>
      </c>
      <c r="CK60" s="7" t="s">
        <v>104</v>
      </c>
      <c r="CL60" s="13">
        <v>25028.25</v>
      </c>
      <c r="CM60" s="13">
        <v>7197.44</v>
      </c>
    </row>
    <row r="61" spans="1:91" x14ac:dyDescent="0.35">
      <c r="A61" s="5" t="s">
        <v>61</v>
      </c>
      <c r="B61" s="12">
        <v>9345.6</v>
      </c>
      <c r="C61" s="12">
        <v>26.85</v>
      </c>
      <c r="D61" s="12">
        <v>2.5</v>
      </c>
      <c r="E61" s="12">
        <v>0.65</v>
      </c>
      <c r="F61" s="12">
        <v>7.33</v>
      </c>
      <c r="G61" s="12">
        <v>79.83</v>
      </c>
      <c r="H61" s="12">
        <v>8.6999999999999993</v>
      </c>
      <c r="I61" s="12">
        <v>6.6</v>
      </c>
      <c r="J61" s="12">
        <v>14.88</v>
      </c>
      <c r="K61" s="12">
        <v>4.88</v>
      </c>
      <c r="L61" s="12">
        <v>17.18</v>
      </c>
      <c r="M61" s="12">
        <v>49.07</v>
      </c>
      <c r="N61" s="43">
        <v>0</v>
      </c>
      <c r="O61" s="43">
        <v>0</v>
      </c>
      <c r="P61" s="43">
        <v>0</v>
      </c>
      <c r="Q61" s="43">
        <v>0</v>
      </c>
      <c r="R61" s="43">
        <v>0</v>
      </c>
      <c r="S61" s="43">
        <v>0</v>
      </c>
      <c r="T61" s="43">
        <v>0</v>
      </c>
      <c r="U61" s="43">
        <v>0</v>
      </c>
      <c r="V61" s="12">
        <v>36.25</v>
      </c>
      <c r="W61" s="12">
        <v>23.9</v>
      </c>
      <c r="X61" s="12">
        <v>16.47</v>
      </c>
      <c r="Y61" s="12">
        <v>21.56</v>
      </c>
      <c r="Z61" s="12">
        <v>46.2</v>
      </c>
      <c r="AA61" s="12">
        <v>62.52</v>
      </c>
      <c r="AB61" s="12">
        <v>29.1</v>
      </c>
      <c r="AC61" s="12">
        <v>61.02</v>
      </c>
      <c r="AD61" s="12">
        <v>51.94</v>
      </c>
      <c r="AE61" s="12">
        <v>15.59</v>
      </c>
      <c r="AF61" s="12">
        <v>22.5</v>
      </c>
      <c r="AG61" s="12">
        <v>35.47</v>
      </c>
      <c r="AH61" s="13">
        <v>73.84</v>
      </c>
      <c r="AJ61" s="12">
        <v>5.53</v>
      </c>
      <c r="AK61" s="12">
        <v>33.83</v>
      </c>
      <c r="AL61" s="12">
        <v>191.09</v>
      </c>
      <c r="AM61" s="12">
        <v>59.63</v>
      </c>
      <c r="AN61" s="12">
        <v>283.19</v>
      </c>
      <c r="AO61" s="12">
        <v>238.83</v>
      </c>
      <c r="AP61" s="12">
        <v>85.91</v>
      </c>
      <c r="AQ61" s="12">
        <v>26.88</v>
      </c>
      <c r="AR61" s="12">
        <v>31.04</v>
      </c>
      <c r="AS61" s="12">
        <v>81.2</v>
      </c>
      <c r="AT61" s="12">
        <v>137.91</v>
      </c>
      <c r="AU61" s="12">
        <v>141.84</v>
      </c>
      <c r="AV61" s="12">
        <v>207.04</v>
      </c>
      <c r="AW61" s="12">
        <v>86.04</v>
      </c>
      <c r="AX61" s="12">
        <v>3471.97</v>
      </c>
      <c r="AY61" s="12">
        <v>631.01</v>
      </c>
      <c r="AZ61" s="12">
        <v>169.53</v>
      </c>
      <c r="BA61" s="12">
        <v>105.26</v>
      </c>
      <c r="BB61" s="12">
        <v>273.85000000000002</v>
      </c>
      <c r="BC61" s="12">
        <v>107.69</v>
      </c>
      <c r="BD61" s="12">
        <v>600.69000000000005</v>
      </c>
      <c r="BE61" s="12">
        <v>88.04</v>
      </c>
      <c r="BF61" s="12">
        <v>105.34</v>
      </c>
      <c r="BG61" s="12">
        <v>102.87</v>
      </c>
      <c r="BH61" s="12">
        <v>58.81</v>
      </c>
      <c r="BI61" s="12">
        <v>144.69999999999999</v>
      </c>
      <c r="BJ61" s="12">
        <v>95.05</v>
      </c>
      <c r="BK61" s="6">
        <v>132</v>
      </c>
      <c r="BL61" s="12">
        <v>141.26</v>
      </c>
      <c r="BM61" s="12">
        <v>279.99</v>
      </c>
      <c r="BN61" s="12">
        <v>73.5</v>
      </c>
      <c r="BO61" s="12">
        <v>137.63999999999999</v>
      </c>
      <c r="BP61" s="12">
        <v>73.36</v>
      </c>
      <c r="BQ61" s="12">
        <v>119.41</v>
      </c>
      <c r="BR61" s="12">
        <v>32.39</v>
      </c>
      <c r="BS61" s="12">
        <v>30.61</v>
      </c>
      <c r="BT61" s="12">
        <v>8.43</v>
      </c>
      <c r="BU61" s="12">
        <v>36.479999999999997</v>
      </c>
      <c r="BV61" s="12">
        <v>0.94</v>
      </c>
      <c r="BW61" s="6">
        <v>0</v>
      </c>
      <c r="BX61" s="12">
        <v>5972.48</v>
      </c>
      <c r="BY61" s="12">
        <v>7.53</v>
      </c>
      <c r="BZ61" s="12">
        <v>5964.47</v>
      </c>
      <c r="CA61" s="12">
        <v>0.48</v>
      </c>
      <c r="CB61" s="12">
        <v>0.43</v>
      </c>
      <c r="CC61" s="12">
        <v>0.43</v>
      </c>
      <c r="CD61" s="6">
        <v>0</v>
      </c>
      <c r="CE61" s="7" t="s">
        <v>104</v>
      </c>
      <c r="CF61" s="6">
        <v>0</v>
      </c>
      <c r="CG61" s="6" t="s">
        <v>104</v>
      </c>
      <c r="CH61" s="6">
        <v>0</v>
      </c>
      <c r="CI61" s="6">
        <v>0</v>
      </c>
      <c r="CJ61" s="6" t="s">
        <v>104</v>
      </c>
      <c r="CK61" s="6" t="s">
        <v>104</v>
      </c>
      <c r="CL61" s="12">
        <v>15318.5</v>
      </c>
      <c r="CM61" s="12">
        <v>5972.91</v>
      </c>
    </row>
    <row r="62" spans="1:91" x14ac:dyDescent="0.35">
      <c r="A62" s="5" t="s">
        <v>62</v>
      </c>
      <c r="B62" s="13">
        <v>48206.76</v>
      </c>
      <c r="C62" s="13">
        <v>17.920000000000002</v>
      </c>
      <c r="D62" s="13">
        <v>8.5299999999999994</v>
      </c>
      <c r="E62" s="13">
        <v>1.59</v>
      </c>
      <c r="F62" s="13">
        <v>33.86</v>
      </c>
      <c r="G62" s="13">
        <v>362.08</v>
      </c>
      <c r="H62" s="13">
        <v>122.13</v>
      </c>
      <c r="I62" s="13">
        <v>33.979999999999997</v>
      </c>
      <c r="J62" s="13">
        <v>126.14</v>
      </c>
      <c r="K62" s="13">
        <v>46.52</v>
      </c>
      <c r="L62" s="7">
        <v>144</v>
      </c>
      <c r="M62" s="12">
        <v>532.17999999999995</v>
      </c>
      <c r="N62" s="43">
        <v>0</v>
      </c>
      <c r="O62" s="43">
        <v>0</v>
      </c>
      <c r="P62" s="43">
        <v>0</v>
      </c>
      <c r="Q62" s="43">
        <v>0</v>
      </c>
      <c r="R62" s="43">
        <v>0</v>
      </c>
      <c r="S62" s="43">
        <v>0</v>
      </c>
      <c r="T62" s="43">
        <v>0</v>
      </c>
      <c r="U62" s="43">
        <v>0</v>
      </c>
      <c r="V62" s="13">
        <v>301.45999999999998</v>
      </c>
      <c r="W62" s="13">
        <v>142.66</v>
      </c>
      <c r="X62" s="13">
        <v>90.68</v>
      </c>
      <c r="Y62" s="13">
        <v>232.15</v>
      </c>
      <c r="Z62" s="13">
        <v>332.05</v>
      </c>
      <c r="AA62" s="13">
        <v>309.01</v>
      </c>
      <c r="AB62" s="13">
        <v>272.32</v>
      </c>
      <c r="AC62" s="13">
        <v>393.79</v>
      </c>
      <c r="AD62" s="13">
        <v>504.36</v>
      </c>
      <c r="AE62" s="13">
        <v>203.33</v>
      </c>
      <c r="AF62" s="13">
        <v>101.02</v>
      </c>
      <c r="AG62" s="13">
        <v>185.5</v>
      </c>
      <c r="AH62" s="13">
        <v>574.51</v>
      </c>
      <c r="AJ62" s="13">
        <v>24.62</v>
      </c>
      <c r="AK62" s="13">
        <v>340.38</v>
      </c>
      <c r="AL62" s="13">
        <v>607.49</v>
      </c>
      <c r="AM62" s="13">
        <v>278.49</v>
      </c>
      <c r="AN62" s="13">
        <v>1535.19</v>
      </c>
      <c r="AO62" s="13">
        <v>805.37</v>
      </c>
      <c r="AP62" s="13">
        <v>435.51</v>
      </c>
      <c r="AQ62" s="13">
        <v>312.83</v>
      </c>
      <c r="AR62" s="13">
        <v>228.84</v>
      </c>
      <c r="AS62" s="13">
        <v>524.01</v>
      </c>
      <c r="AT62" s="13">
        <v>377.07</v>
      </c>
      <c r="AU62" s="13">
        <v>254.24</v>
      </c>
      <c r="AV62" s="13">
        <v>1481.7</v>
      </c>
      <c r="AW62" s="13">
        <v>287.12</v>
      </c>
      <c r="AX62" s="13">
        <v>933.84</v>
      </c>
      <c r="AY62" s="13">
        <v>19365.46</v>
      </c>
      <c r="AZ62" s="13">
        <v>1077.9000000000001</v>
      </c>
      <c r="BA62" s="13">
        <v>507.86</v>
      </c>
      <c r="BB62" s="13">
        <v>947.09</v>
      </c>
      <c r="BC62" s="13">
        <v>343.79</v>
      </c>
      <c r="BD62" s="13">
        <v>3591.73</v>
      </c>
      <c r="BE62" s="13">
        <v>557.83000000000004</v>
      </c>
      <c r="BF62" s="13">
        <v>844.74</v>
      </c>
      <c r="BG62" s="13">
        <v>666.73</v>
      </c>
      <c r="BH62" s="13">
        <v>346.25</v>
      </c>
      <c r="BI62" s="13">
        <v>1086.96</v>
      </c>
      <c r="BJ62" s="13">
        <v>296.69</v>
      </c>
      <c r="BK62" s="7">
        <v>175</v>
      </c>
      <c r="BL62" s="13">
        <v>833.59</v>
      </c>
      <c r="BM62" s="13">
        <v>994.93</v>
      </c>
      <c r="BN62" s="13">
        <v>505.42</v>
      </c>
      <c r="BO62" s="13">
        <v>751.45</v>
      </c>
      <c r="BP62" s="13">
        <v>383.9</v>
      </c>
      <c r="BQ62" s="13">
        <v>1096.8900000000001</v>
      </c>
      <c r="BR62" s="13">
        <v>67.400000000000006</v>
      </c>
      <c r="BS62" s="13">
        <v>90.45</v>
      </c>
      <c r="BT62" s="13">
        <v>91.36</v>
      </c>
      <c r="BU62" s="13">
        <v>76.28</v>
      </c>
      <c r="BV62" s="13">
        <v>8.6300000000000008</v>
      </c>
      <c r="BW62" s="7">
        <v>0</v>
      </c>
      <c r="BX62" s="13">
        <v>644.34</v>
      </c>
      <c r="BY62" s="13">
        <v>22.63</v>
      </c>
      <c r="BZ62" s="13">
        <v>621.71</v>
      </c>
      <c r="CA62" s="13">
        <v>0.01</v>
      </c>
      <c r="CB62" s="13">
        <v>17077.45</v>
      </c>
      <c r="CC62" s="13">
        <v>18.63</v>
      </c>
      <c r="CD62" s="7">
        <v>0</v>
      </c>
      <c r="CE62" s="7" t="s">
        <v>104</v>
      </c>
      <c r="CF62" s="7">
        <v>0</v>
      </c>
      <c r="CG62" s="6" t="s">
        <v>104</v>
      </c>
      <c r="CH62" s="7">
        <v>0</v>
      </c>
      <c r="CI62" s="13">
        <v>17058.82</v>
      </c>
      <c r="CJ62" s="7" t="s">
        <v>104</v>
      </c>
      <c r="CK62" s="7" t="s">
        <v>104</v>
      </c>
      <c r="CL62" s="13">
        <v>65928.539999999994</v>
      </c>
      <c r="CM62" s="13">
        <v>17721.79</v>
      </c>
    </row>
    <row r="63" spans="1:91" x14ac:dyDescent="0.35">
      <c r="A63" s="5" t="s">
        <v>63</v>
      </c>
      <c r="B63" s="12">
        <v>159349.18</v>
      </c>
      <c r="C63" s="12">
        <v>1496.41</v>
      </c>
      <c r="D63" s="12">
        <v>96.64</v>
      </c>
      <c r="E63" s="12">
        <v>38.31</v>
      </c>
      <c r="F63" s="12">
        <v>202.32</v>
      </c>
      <c r="G63" s="12">
        <v>3093.52</v>
      </c>
      <c r="H63" s="12">
        <v>609.37</v>
      </c>
      <c r="I63" s="12">
        <v>215.71</v>
      </c>
      <c r="J63" s="12">
        <v>350.02</v>
      </c>
      <c r="K63" s="12">
        <v>119.15</v>
      </c>
      <c r="L63" s="12">
        <v>1041.8900000000001</v>
      </c>
      <c r="M63" s="12">
        <v>1732.59</v>
      </c>
      <c r="N63" s="43">
        <v>0</v>
      </c>
      <c r="O63" s="43">
        <v>0</v>
      </c>
      <c r="P63" s="43">
        <v>0</v>
      </c>
      <c r="Q63" s="43">
        <v>0</v>
      </c>
      <c r="R63" s="43">
        <v>0</v>
      </c>
      <c r="S63" s="43">
        <v>0</v>
      </c>
      <c r="T63" s="43">
        <v>0</v>
      </c>
      <c r="U63" s="43">
        <v>0</v>
      </c>
      <c r="V63" s="12">
        <v>1047.58</v>
      </c>
      <c r="W63" s="12">
        <v>1086.1099999999999</v>
      </c>
      <c r="X63" s="12">
        <v>513.98</v>
      </c>
      <c r="Y63" s="12">
        <v>1339.9</v>
      </c>
      <c r="Z63" s="12">
        <v>1263.3599999999999</v>
      </c>
      <c r="AA63" s="6">
        <v>754</v>
      </c>
      <c r="AB63" s="12">
        <v>576.64</v>
      </c>
      <c r="AC63" s="12">
        <v>1597.72</v>
      </c>
      <c r="AD63" s="12">
        <v>1796.17</v>
      </c>
      <c r="AE63" s="12">
        <v>275.99</v>
      </c>
      <c r="AF63" s="12">
        <v>463.55</v>
      </c>
      <c r="AG63" s="12">
        <v>548.61</v>
      </c>
      <c r="AH63" s="13">
        <v>2564.9699999999998</v>
      </c>
      <c r="AJ63" s="12">
        <v>122.57</v>
      </c>
      <c r="AK63" s="12">
        <v>636.96</v>
      </c>
      <c r="AL63" s="12">
        <v>7919.45</v>
      </c>
      <c r="AM63" s="12">
        <v>1509.58</v>
      </c>
      <c r="AN63" s="12">
        <v>10345.34</v>
      </c>
      <c r="AO63" s="12">
        <v>3860.43</v>
      </c>
      <c r="AP63" s="12">
        <v>1663.75</v>
      </c>
      <c r="AQ63" s="12">
        <v>4605.91</v>
      </c>
      <c r="AR63" s="12">
        <v>1719.57</v>
      </c>
      <c r="AS63" s="12">
        <v>2268.13</v>
      </c>
      <c r="AT63" s="12">
        <v>378.67</v>
      </c>
      <c r="AU63" s="12">
        <v>2529.6</v>
      </c>
      <c r="AV63" s="6">
        <v>736</v>
      </c>
      <c r="AW63" s="12">
        <v>411.84</v>
      </c>
      <c r="AX63" s="12">
        <v>1014.49</v>
      </c>
      <c r="AY63" s="12">
        <v>7782.3</v>
      </c>
      <c r="AZ63" s="12">
        <v>38537.46</v>
      </c>
      <c r="BA63" s="12">
        <v>12208.79</v>
      </c>
      <c r="BB63" s="12">
        <v>7041.32</v>
      </c>
      <c r="BC63" s="12">
        <v>5474.22</v>
      </c>
      <c r="BD63" s="12">
        <v>5966.83</v>
      </c>
      <c r="BE63" s="12">
        <v>1047.54</v>
      </c>
      <c r="BF63" s="12">
        <v>979.91</v>
      </c>
      <c r="BG63" s="12">
        <v>736.91</v>
      </c>
      <c r="BH63" s="12">
        <v>876.52</v>
      </c>
      <c r="BI63" s="12">
        <v>3420.61</v>
      </c>
      <c r="BJ63" s="12">
        <v>539.83000000000004</v>
      </c>
      <c r="BK63" s="12">
        <v>436.55</v>
      </c>
      <c r="BL63" s="12">
        <v>1511.74</v>
      </c>
      <c r="BM63" s="12">
        <v>4438.91</v>
      </c>
      <c r="BN63" s="12">
        <v>597.30999999999995</v>
      </c>
      <c r="BO63" s="12">
        <v>2341.35</v>
      </c>
      <c r="BP63" s="12">
        <v>1113.5899999999999</v>
      </c>
      <c r="BQ63" s="12">
        <v>432.87</v>
      </c>
      <c r="BR63" s="12">
        <v>238.19</v>
      </c>
      <c r="BS63" s="12">
        <v>519.61</v>
      </c>
      <c r="BT63" s="12">
        <v>74.59</v>
      </c>
      <c r="BU63" s="12">
        <v>483.47</v>
      </c>
      <c r="BV63" s="12">
        <v>2.02</v>
      </c>
      <c r="BW63" s="6">
        <v>0</v>
      </c>
      <c r="BX63" s="12">
        <v>37103.279999999999</v>
      </c>
      <c r="BY63" s="12">
        <v>682.42</v>
      </c>
      <c r="BZ63" s="12">
        <v>36420.86</v>
      </c>
      <c r="CA63" s="12">
        <v>0.01</v>
      </c>
      <c r="CB63" s="12">
        <v>16.95</v>
      </c>
      <c r="CC63" s="12">
        <v>0.05</v>
      </c>
      <c r="CD63" s="6">
        <v>0</v>
      </c>
      <c r="CE63" s="7" t="s">
        <v>104</v>
      </c>
      <c r="CF63" s="6">
        <v>0</v>
      </c>
      <c r="CG63" s="6" t="s">
        <v>104</v>
      </c>
      <c r="CH63" s="6">
        <v>0</v>
      </c>
      <c r="CI63" s="12">
        <v>16.91</v>
      </c>
      <c r="CJ63" s="6" t="s">
        <v>104</v>
      </c>
      <c r="CK63" s="6" t="s">
        <v>104</v>
      </c>
      <c r="CL63" s="12">
        <v>196469.42</v>
      </c>
      <c r="CM63" s="12">
        <v>37120.239999999998</v>
      </c>
    </row>
    <row r="64" spans="1:91" x14ac:dyDescent="0.35">
      <c r="A64" s="5" t="s">
        <v>64</v>
      </c>
      <c r="B64" s="13">
        <v>14385.08</v>
      </c>
      <c r="C64" s="13">
        <v>319.95</v>
      </c>
      <c r="D64" s="13">
        <v>3.54</v>
      </c>
      <c r="E64" s="13">
        <v>3.93</v>
      </c>
      <c r="F64" s="13">
        <v>25.54</v>
      </c>
      <c r="G64" s="13">
        <v>243.12</v>
      </c>
      <c r="H64" s="13">
        <v>56.23</v>
      </c>
      <c r="I64" s="13">
        <v>19.52</v>
      </c>
      <c r="J64" s="13">
        <v>61.36</v>
      </c>
      <c r="K64" s="13">
        <v>30.9</v>
      </c>
      <c r="L64" s="13">
        <v>498.72</v>
      </c>
      <c r="M64" s="12">
        <v>400.7</v>
      </c>
      <c r="N64" s="43">
        <v>0</v>
      </c>
      <c r="O64" s="43">
        <v>0</v>
      </c>
      <c r="P64" s="43">
        <v>0</v>
      </c>
      <c r="Q64" s="43">
        <v>0</v>
      </c>
      <c r="R64" s="43">
        <v>0</v>
      </c>
      <c r="S64" s="43">
        <v>0</v>
      </c>
      <c r="T64" s="43">
        <v>0</v>
      </c>
      <c r="U64" s="43">
        <v>0</v>
      </c>
      <c r="V64" s="13">
        <v>225.91</v>
      </c>
      <c r="W64" s="13">
        <v>96.76</v>
      </c>
      <c r="X64" s="13">
        <v>51.73</v>
      </c>
      <c r="Y64" s="13">
        <v>152.47</v>
      </c>
      <c r="Z64" s="13">
        <v>165.34</v>
      </c>
      <c r="AA64" s="13">
        <v>85.78</v>
      </c>
      <c r="AB64" s="13">
        <v>95.15</v>
      </c>
      <c r="AC64" s="13">
        <v>207.19</v>
      </c>
      <c r="AD64" s="13">
        <v>138.44</v>
      </c>
      <c r="AE64" s="13">
        <v>210.58</v>
      </c>
      <c r="AF64" s="13">
        <v>90.42</v>
      </c>
      <c r="AG64" s="13">
        <v>113.41</v>
      </c>
      <c r="AH64" s="13">
        <v>729.48</v>
      </c>
      <c r="AJ64" s="13">
        <v>15.32</v>
      </c>
      <c r="AK64" s="13">
        <v>102.1</v>
      </c>
      <c r="AL64" s="13">
        <v>636.83000000000004</v>
      </c>
      <c r="AM64" s="13">
        <v>108.97</v>
      </c>
      <c r="AN64" s="13">
        <v>321.29000000000002</v>
      </c>
      <c r="AO64" s="13">
        <v>187.3</v>
      </c>
      <c r="AP64" s="13">
        <v>282.58</v>
      </c>
      <c r="AQ64" s="13">
        <v>143.46</v>
      </c>
      <c r="AR64" s="13">
        <v>72.069999999999993</v>
      </c>
      <c r="AS64" s="13">
        <v>114.81</v>
      </c>
      <c r="AT64" s="7">
        <v>20</v>
      </c>
      <c r="AU64" s="13">
        <v>213.17</v>
      </c>
      <c r="AV64" s="13">
        <v>63.43</v>
      </c>
      <c r="AW64" s="13">
        <v>45.93</v>
      </c>
      <c r="AX64" s="13">
        <v>113.09</v>
      </c>
      <c r="AY64" s="13">
        <v>316.73</v>
      </c>
      <c r="AZ64" s="13">
        <v>69.47</v>
      </c>
      <c r="BA64" s="13">
        <v>5201.8100000000004</v>
      </c>
      <c r="BB64" s="13">
        <v>135.19999999999999</v>
      </c>
      <c r="BC64" s="13">
        <v>299.10000000000002</v>
      </c>
      <c r="BD64" s="13">
        <v>376.43</v>
      </c>
      <c r="BE64" s="13">
        <v>86.56</v>
      </c>
      <c r="BF64" s="13">
        <v>95.48</v>
      </c>
      <c r="BG64" s="13">
        <v>29.91</v>
      </c>
      <c r="BH64" s="13">
        <v>35.82</v>
      </c>
      <c r="BI64" s="13">
        <v>279.75</v>
      </c>
      <c r="BJ64" s="13">
        <v>19.329999999999998</v>
      </c>
      <c r="BK64" s="13">
        <v>10.69</v>
      </c>
      <c r="BL64" s="13">
        <v>141.47</v>
      </c>
      <c r="BM64" s="13">
        <v>209.21</v>
      </c>
      <c r="BN64" s="13">
        <v>92.04</v>
      </c>
      <c r="BO64" s="13">
        <v>327.45999999999998</v>
      </c>
      <c r="BP64" s="13">
        <v>73.760000000000005</v>
      </c>
      <c r="BQ64" s="13">
        <v>41.98</v>
      </c>
      <c r="BR64" s="13">
        <v>22.54</v>
      </c>
      <c r="BS64" s="13">
        <v>21.63</v>
      </c>
      <c r="BT64" s="13">
        <v>11.78</v>
      </c>
      <c r="BU64" s="13">
        <v>20.23</v>
      </c>
      <c r="BV64" s="13">
        <v>0.19</v>
      </c>
      <c r="BW64" s="7">
        <v>0</v>
      </c>
      <c r="BX64" s="13">
        <v>5527.33</v>
      </c>
      <c r="BY64" s="13">
        <v>367.59</v>
      </c>
      <c r="BZ64" s="13">
        <v>5159.63</v>
      </c>
      <c r="CA64" s="13">
        <v>0.11</v>
      </c>
      <c r="CB64" s="13">
        <v>750.9</v>
      </c>
      <c r="CC64" s="13">
        <v>-96.01</v>
      </c>
      <c r="CD64" s="7">
        <v>0</v>
      </c>
      <c r="CE64" s="7" t="s">
        <v>104</v>
      </c>
      <c r="CF64" s="7">
        <v>0</v>
      </c>
      <c r="CG64" s="6" t="s">
        <v>104</v>
      </c>
      <c r="CH64" s="7">
        <v>0</v>
      </c>
      <c r="CI64" s="13">
        <v>846.9</v>
      </c>
      <c r="CJ64" s="7" t="s">
        <v>104</v>
      </c>
      <c r="CK64" s="7" t="s">
        <v>104</v>
      </c>
      <c r="CL64" s="13">
        <v>20663.310000000001</v>
      </c>
      <c r="CM64" s="13">
        <v>6278.22</v>
      </c>
    </row>
    <row r="65" spans="1:91" x14ac:dyDescent="0.35">
      <c r="A65" s="5" t="s">
        <v>65</v>
      </c>
      <c r="B65" s="12">
        <v>16279.57</v>
      </c>
      <c r="C65" s="12">
        <v>18.53</v>
      </c>
      <c r="D65" s="12">
        <v>4.91</v>
      </c>
      <c r="E65" s="12">
        <v>1.56</v>
      </c>
      <c r="F65" s="12">
        <v>6.17</v>
      </c>
      <c r="G65" s="12">
        <v>71.27</v>
      </c>
      <c r="H65" s="12">
        <v>24.73</v>
      </c>
      <c r="I65" s="6">
        <v>19</v>
      </c>
      <c r="J65" s="12">
        <v>26.88</v>
      </c>
      <c r="K65" s="12">
        <v>6.13</v>
      </c>
      <c r="L65" s="12">
        <v>22.19</v>
      </c>
      <c r="M65" s="12">
        <v>53.64</v>
      </c>
      <c r="N65" s="43">
        <v>0</v>
      </c>
      <c r="O65" s="43">
        <v>0</v>
      </c>
      <c r="P65" s="43">
        <v>0</v>
      </c>
      <c r="Q65" s="43">
        <v>0</v>
      </c>
      <c r="R65" s="43">
        <v>0</v>
      </c>
      <c r="S65" s="43">
        <v>0</v>
      </c>
      <c r="T65" s="43">
        <v>0</v>
      </c>
      <c r="U65" s="43">
        <v>0</v>
      </c>
      <c r="V65" s="12">
        <v>51.58</v>
      </c>
      <c r="W65" s="12">
        <v>13.02</v>
      </c>
      <c r="X65" s="12">
        <v>34.020000000000003</v>
      </c>
      <c r="Y65" s="12">
        <v>17.04</v>
      </c>
      <c r="Z65" s="12">
        <v>44.49</v>
      </c>
      <c r="AA65" s="12">
        <v>23.81</v>
      </c>
      <c r="AB65" s="12">
        <v>21.85</v>
      </c>
      <c r="AC65" s="12">
        <v>123.61</v>
      </c>
      <c r="AD65" s="12">
        <v>77.3</v>
      </c>
      <c r="AE65" s="12">
        <v>94.99</v>
      </c>
      <c r="AF65" s="12">
        <v>36.380000000000003</v>
      </c>
      <c r="AG65" s="12">
        <v>34.85</v>
      </c>
      <c r="AH65" s="13">
        <v>51.78</v>
      </c>
      <c r="AJ65" s="12">
        <v>4.24</v>
      </c>
      <c r="AK65" s="12">
        <v>13.36</v>
      </c>
      <c r="AL65" s="12">
        <v>154.02000000000001</v>
      </c>
      <c r="AM65" s="12">
        <v>25.85</v>
      </c>
      <c r="AN65" s="12">
        <v>160.13999999999999</v>
      </c>
      <c r="AO65" s="12">
        <v>69.33</v>
      </c>
      <c r="AP65" s="12">
        <v>103.32</v>
      </c>
      <c r="AQ65" s="12">
        <v>52.73</v>
      </c>
      <c r="AR65" s="12">
        <v>58.79</v>
      </c>
      <c r="AS65" s="12">
        <v>38.409999999999997</v>
      </c>
      <c r="AT65" s="12">
        <v>8.41</v>
      </c>
      <c r="AU65" s="12">
        <v>45.29</v>
      </c>
      <c r="AV65" s="12">
        <v>20.100000000000001</v>
      </c>
      <c r="AW65" s="12">
        <v>8.31</v>
      </c>
      <c r="AX65" s="12">
        <v>106.46</v>
      </c>
      <c r="AY65" s="12">
        <v>192.8</v>
      </c>
      <c r="AZ65" s="12">
        <v>2361.2800000000002</v>
      </c>
      <c r="BA65" s="12">
        <v>4807.18</v>
      </c>
      <c r="BB65" s="12">
        <v>6281.62</v>
      </c>
      <c r="BC65" s="12">
        <v>146.5</v>
      </c>
      <c r="BD65" s="12">
        <v>206.46</v>
      </c>
      <c r="BE65" s="12">
        <v>53.36</v>
      </c>
      <c r="BF65" s="12">
        <v>59.44</v>
      </c>
      <c r="BG65" s="12">
        <v>12.53</v>
      </c>
      <c r="BH65" s="12">
        <v>48.81</v>
      </c>
      <c r="BI65" s="12">
        <v>149.04</v>
      </c>
      <c r="BJ65" s="12">
        <v>12.29</v>
      </c>
      <c r="BK65" s="12">
        <v>9.69</v>
      </c>
      <c r="BL65" s="12">
        <v>70.44</v>
      </c>
      <c r="BM65" s="12">
        <v>22.22</v>
      </c>
      <c r="BN65" s="12">
        <v>14.22</v>
      </c>
      <c r="BO65" s="12">
        <v>14.56</v>
      </c>
      <c r="BP65" s="12">
        <v>12.45</v>
      </c>
      <c r="BQ65" s="12">
        <v>8.9</v>
      </c>
      <c r="BR65" s="12">
        <v>14.13</v>
      </c>
      <c r="BS65" s="12">
        <v>14.29</v>
      </c>
      <c r="BT65" s="12">
        <v>8.7200000000000006</v>
      </c>
      <c r="BU65" s="12">
        <v>9.99</v>
      </c>
      <c r="BV65" s="12">
        <v>0.2</v>
      </c>
      <c r="BW65" s="6">
        <v>0</v>
      </c>
      <c r="BX65" s="12">
        <v>845.75</v>
      </c>
      <c r="BY65" s="12">
        <v>5.9</v>
      </c>
      <c r="BZ65" s="12">
        <v>839.67</v>
      </c>
      <c r="CA65" s="12">
        <v>0.18</v>
      </c>
      <c r="CB65" s="12">
        <v>9.5299999999999994</v>
      </c>
      <c r="CC65" s="12">
        <v>3.85</v>
      </c>
      <c r="CD65" s="6">
        <v>0</v>
      </c>
      <c r="CE65" s="7" t="s">
        <v>104</v>
      </c>
      <c r="CF65" s="6">
        <v>0</v>
      </c>
      <c r="CG65" s="6" t="s">
        <v>104</v>
      </c>
      <c r="CH65" s="6">
        <v>0</v>
      </c>
      <c r="CI65" s="12">
        <v>5.68</v>
      </c>
      <c r="CJ65" s="6" t="s">
        <v>104</v>
      </c>
      <c r="CK65" s="6" t="s">
        <v>104</v>
      </c>
      <c r="CL65" s="12">
        <v>17134.849999999999</v>
      </c>
      <c r="CM65" s="12">
        <v>855.28</v>
      </c>
    </row>
    <row r="66" spans="1:91" x14ac:dyDescent="0.35">
      <c r="A66" s="5" t="s">
        <v>66</v>
      </c>
      <c r="B66" s="13">
        <v>5198.8999999999996</v>
      </c>
      <c r="C66" s="13">
        <v>48.18</v>
      </c>
      <c r="D66" s="13">
        <v>13.73</v>
      </c>
      <c r="E66" s="13">
        <v>15.88</v>
      </c>
      <c r="F66" s="13">
        <v>25.28</v>
      </c>
      <c r="G66" s="13">
        <v>117.54</v>
      </c>
      <c r="H66" s="13">
        <v>32.43</v>
      </c>
      <c r="I66" s="13">
        <v>35.770000000000003</v>
      </c>
      <c r="J66" s="13">
        <v>36.159999999999997</v>
      </c>
      <c r="K66" s="13">
        <v>24.95</v>
      </c>
      <c r="L66" s="13">
        <v>42.95</v>
      </c>
      <c r="M66" s="12">
        <v>67.55</v>
      </c>
      <c r="N66" s="43">
        <v>0</v>
      </c>
      <c r="O66" s="43">
        <v>0</v>
      </c>
      <c r="P66" s="43">
        <v>0</v>
      </c>
      <c r="Q66" s="43">
        <v>0</v>
      </c>
      <c r="R66" s="43">
        <v>0</v>
      </c>
      <c r="S66" s="43">
        <v>0</v>
      </c>
      <c r="T66" s="43">
        <v>0</v>
      </c>
      <c r="U66" s="43">
        <v>0</v>
      </c>
      <c r="V66" s="13">
        <v>94.15</v>
      </c>
      <c r="W66" s="13">
        <v>62.95</v>
      </c>
      <c r="X66" s="13">
        <v>42.29</v>
      </c>
      <c r="Y66" s="13">
        <v>58.19</v>
      </c>
      <c r="Z66" s="13">
        <v>71.22</v>
      </c>
      <c r="AA66" s="13">
        <v>61.27</v>
      </c>
      <c r="AB66" s="13">
        <v>57.77</v>
      </c>
      <c r="AC66" s="13">
        <v>64.680000000000007</v>
      </c>
      <c r="AD66" s="13">
        <v>67.47</v>
      </c>
      <c r="AE66" s="13">
        <v>36.43</v>
      </c>
      <c r="AF66" s="13">
        <v>46.66</v>
      </c>
      <c r="AG66" s="13">
        <v>44.57</v>
      </c>
      <c r="AH66" s="13">
        <v>106.57</v>
      </c>
      <c r="AJ66" s="13">
        <v>27.1</v>
      </c>
      <c r="AK66" s="13">
        <v>49.48</v>
      </c>
      <c r="AL66" s="13">
        <v>200.75</v>
      </c>
      <c r="AM66" s="13">
        <v>95.79</v>
      </c>
      <c r="AN66" s="13">
        <v>144.63</v>
      </c>
      <c r="AO66" s="13">
        <v>161.25</v>
      </c>
      <c r="AP66" s="13">
        <v>67.39</v>
      </c>
      <c r="AQ66" s="13">
        <v>33.08</v>
      </c>
      <c r="AR66" s="13">
        <v>43.65</v>
      </c>
      <c r="AS66" s="13">
        <v>94.12</v>
      </c>
      <c r="AT66" s="13">
        <v>101.32</v>
      </c>
      <c r="AU66" s="13">
        <v>161.55000000000001</v>
      </c>
      <c r="AV66" s="13">
        <v>28.99</v>
      </c>
      <c r="AW66" s="13">
        <v>29.34</v>
      </c>
      <c r="AX66" s="13">
        <v>95.79</v>
      </c>
      <c r="AY66" s="13">
        <v>137.99</v>
      </c>
      <c r="AZ66" s="13">
        <v>45.46</v>
      </c>
      <c r="BA66" s="13">
        <v>65.02</v>
      </c>
      <c r="BB66" s="13">
        <v>96.78</v>
      </c>
      <c r="BC66" s="13">
        <v>159.59</v>
      </c>
      <c r="BD66" s="7">
        <v>910</v>
      </c>
      <c r="BE66" s="13">
        <v>85.13</v>
      </c>
      <c r="BF66" s="13">
        <v>86.05</v>
      </c>
      <c r="BG66" s="13">
        <v>62.19</v>
      </c>
      <c r="BH66" s="13">
        <v>43.15</v>
      </c>
      <c r="BI66" s="13">
        <v>142.32</v>
      </c>
      <c r="BJ66" s="13">
        <v>121.08</v>
      </c>
      <c r="BK66" s="13">
        <v>28.93</v>
      </c>
      <c r="BL66" s="13">
        <v>101.47</v>
      </c>
      <c r="BM66" s="13">
        <v>149.93</v>
      </c>
      <c r="BN66" s="13">
        <v>38.33</v>
      </c>
      <c r="BO66" s="13">
        <v>100.48</v>
      </c>
      <c r="BP66" s="7">
        <v>64</v>
      </c>
      <c r="BQ66" s="13">
        <v>28.15</v>
      </c>
      <c r="BR66" s="13">
        <v>32.44</v>
      </c>
      <c r="BS66" s="13">
        <v>24.16</v>
      </c>
      <c r="BT66" s="13">
        <v>19.12</v>
      </c>
      <c r="BU66" s="13">
        <v>48.27</v>
      </c>
      <c r="BV66" s="7">
        <v>0</v>
      </c>
      <c r="BW66" s="7">
        <v>0</v>
      </c>
      <c r="BX66" s="13">
        <v>469.6</v>
      </c>
      <c r="BY66" s="13">
        <v>85.65</v>
      </c>
      <c r="BZ66" s="13">
        <v>365.62</v>
      </c>
      <c r="CA66" s="13">
        <v>18.329999999999998</v>
      </c>
      <c r="CB66" s="13">
        <v>156.88999999999999</v>
      </c>
      <c r="CC66" s="13">
        <v>90.19</v>
      </c>
      <c r="CD66" s="7">
        <v>0</v>
      </c>
      <c r="CE66" s="7" t="s">
        <v>104</v>
      </c>
      <c r="CF66" s="7">
        <v>0</v>
      </c>
      <c r="CG66" s="6" t="s">
        <v>104</v>
      </c>
      <c r="CH66" s="7" t="s">
        <v>104</v>
      </c>
      <c r="CI66" s="13">
        <v>66.69</v>
      </c>
      <c r="CJ66" s="7" t="s">
        <v>104</v>
      </c>
      <c r="CK66" s="7" t="s">
        <v>104</v>
      </c>
      <c r="CL66" s="13">
        <v>5825.39</v>
      </c>
      <c r="CM66" s="13">
        <v>626.49</v>
      </c>
    </row>
    <row r="67" spans="1:91" x14ac:dyDescent="0.35">
      <c r="A67" s="5" t="s">
        <v>67</v>
      </c>
      <c r="B67" s="12">
        <v>69102.52</v>
      </c>
      <c r="C67" s="12">
        <v>110.46</v>
      </c>
      <c r="D67" s="12">
        <v>15.03</v>
      </c>
      <c r="E67" s="12">
        <v>4.2300000000000004</v>
      </c>
      <c r="F67" s="12">
        <v>93.71</v>
      </c>
      <c r="G67" s="12">
        <v>1597.31</v>
      </c>
      <c r="H67" s="12">
        <v>159.52000000000001</v>
      </c>
      <c r="I67" s="12">
        <v>89.54</v>
      </c>
      <c r="J67" s="12">
        <v>190.4</v>
      </c>
      <c r="K67" s="12">
        <v>47.26</v>
      </c>
      <c r="L67" s="6">
        <v>431</v>
      </c>
      <c r="M67" s="12">
        <v>1565.23</v>
      </c>
      <c r="N67" s="43">
        <v>0</v>
      </c>
      <c r="O67" s="43">
        <v>0</v>
      </c>
      <c r="P67" s="43">
        <v>0</v>
      </c>
      <c r="Q67" s="43">
        <v>0</v>
      </c>
      <c r="R67" s="43">
        <v>0</v>
      </c>
      <c r="S67" s="43">
        <v>0</v>
      </c>
      <c r="T67" s="43">
        <v>0</v>
      </c>
      <c r="U67" s="43">
        <v>0</v>
      </c>
      <c r="V67" s="12">
        <v>3496.58</v>
      </c>
      <c r="W67" s="12">
        <v>326.10000000000002</v>
      </c>
      <c r="X67" s="12">
        <v>283.17</v>
      </c>
      <c r="Y67" s="12">
        <v>468.47</v>
      </c>
      <c r="Z67" s="12">
        <v>464.09</v>
      </c>
      <c r="AA67" s="12">
        <v>4033.97</v>
      </c>
      <c r="AB67" s="12">
        <v>482.74</v>
      </c>
      <c r="AC67" s="12">
        <v>879.75</v>
      </c>
      <c r="AD67" s="12">
        <v>1088.29</v>
      </c>
      <c r="AE67" s="12">
        <v>255.93</v>
      </c>
      <c r="AF67" s="12">
        <v>368.08</v>
      </c>
      <c r="AG67" s="12">
        <v>327.38</v>
      </c>
      <c r="AH67" s="13">
        <v>663.58</v>
      </c>
      <c r="AJ67" s="12">
        <v>32.22</v>
      </c>
      <c r="AK67" s="12">
        <v>283.83</v>
      </c>
      <c r="AL67" s="12">
        <v>1444.74</v>
      </c>
      <c r="AM67" s="12">
        <v>520.16999999999996</v>
      </c>
      <c r="AN67" s="12">
        <v>4014.4</v>
      </c>
      <c r="AO67" s="12">
        <v>1190.33</v>
      </c>
      <c r="AP67" s="12">
        <v>511.99</v>
      </c>
      <c r="AQ67" s="12">
        <v>358.06</v>
      </c>
      <c r="AR67" s="12">
        <v>194.2</v>
      </c>
      <c r="AS67" s="6">
        <v>710</v>
      </c>
      <c r="AT67" s="12">
        <v>377.28</v>
      </c>
      <c r="AU67" s="12">
        <v>682.22</v>
      </c>
      <c r="AV67" s="12">
        <v>2856.46</v>
      </c>
      <c r="AW67" s="12">
        <v>268.98</v>
      </c>
      <c r="AX67" s="12">
        <v>712.85</v>
      </c>
      <c r="AY67" s="12">
        <v>8911.2000000000007</v>
      </c>
      <c r="AZ67" s="12">
        <v>1567.76</v>
      </c>
      <c r="BA67" s="12">
        <v>1623.5</v>
      </c>
      <c r="BB67" s="12">
        <v>1387.22</v>
      </c>
      <c r="BC67" s="12">
        <v>1351.13</v>
      </c>
      <c r="BD67" s="12">
        <v>10713.88</v>
      </c>
      <c r="BE67" s="12">
        <v>1660.99</v>
      </c>
      <c r="BF67" s="12">
        <v>1070.32</v>
      </c>
      <c r="BG67" s="12">
        <v>443.92</v>
      </c>
      <c r="BH67" s="12">
        <v>477.29</v>
      </c>
      <c r="BI67" s="12">
        <v>1399.47</v>
      </c>
      <c r="BJ67" s="12">
        <v>720.05</v>
      </c>
      <c r="BK67" s="12">
        <v>1303.51</v>
      </c>
      <c r="BL67" s="12">
        <v>1942.33</v>
      </c>
      <c r="BM67" s="12">
        <v>527.25</v>
      </c>
      <c r="BN67" s="12">
        <v>284.85000000000002</v>
      </c>
      <c r="BO67" s="12">
        <v>688.2</v>
      </c>
      <c r="BP67" s="12">
        <v>256.99</v>
      </c>
      <c r="BQ67" s="12">
        <v>691.8</v>
      </c>
      <c r="BR67" s="12">
        <v>132.88</v>
      </c>
      <c r="BS67" s="12">
        <v>181.64</v>
      </c>
      <c r="BT67" s="12">
        <v>39.04</v>
      </c>
      <c r="BU67" s="12">
        <v>123.18</v>
      </c>
      <c r="BV67" s="12">
        <v>4.5999999999999996</v>
      </c>
      <c r="BW67" s="6">
        <v>0</v>
      </c>
      <c r="BX67" s="12">
        <v>765.54</v>
      </c>
      <c r="BY67" s="12">
        <v>0.01</v>
      </c>
      <c r="BZ67" s="12">
        <v>765.39</v>
      </c>
      <c r="CA67" s="12">
        <v>0.14000000000000001</v>
      </c>
      <c r="CB67" s="12">
        <v>1608.05</v>
      </c>
      <c r="CC67" s="12">
        <v>21.67</v>
      </c>
      <c r="CD67" s="6">
        <v>0</v>
      </c>
      <c r="CE67" s="7" t="s">
        <v>104</v>
      </c>
      <c r="CF67" s="6">
        <v>0</v>
      </c>
      <c r="CG67" s="6" t="s">
        <v>104</v>
      </c>
      <c r="CH67" s="6">
        <v>0</v>
      </c>
      <c r="CI67" s="12">
        <v>1586.38</v>
      </c>
      <c r="CJ67" s="6" t="s">
        <v>104</v>
      </c>
      <c r="CK67" s="6" t="s">
        <v>104</v>
      </c>
      <c r="CL67" s="12">
        <v>71476.11</v>
      </c>
      <c r="CM67" s="12">
        <v>2373.59</v>
      </c>
    </row>
    <row r="68" spans="1:91" x14ac:dyDescent="0.35">
      <c r="A68" s="5" t="s">
        <v>68</v>
      </c>
      <c r="B68" s="13">
        <v>5559.38</v>
      </c>
      <c r="C68" s="13">
        <v>13.69</v>
      </c>
      <c r="D68" s="13">
        <v>0.98</v>
      </c>
      <c r="E68" s="13">
        <v>0.26</v>
      </c>
      <c r="F68" s="13">
        <v>22.86</v>
      </c>
      <c r="G68" s="13">
        <v>87.34</v>
      </c>
      <c r="H68" s="13">
        <v>5.58</v>
      </c>
      <c r="I68" s="13">
        <v>9.18</v>
      </c>
      <c r="J68" s="13">
        <v>13.12</v>
      </c>
      <c r="K68" s="13">
        <v>2.2400000000000002</v>
      </c>
      <c r="L68" s="13">
        <v>52.47</v>
      </c>
      <c r="M68" s="12">
        <v>120.66</v>
      </c>
      <c r="N68" s="43">
        <v>0</v>
      </c>
      <c r="O68" s="43">
        <v>0</v>
      </c>
      <c r="P68" s="43">
        <v>0</v>
      </c>
      <c r="Q68" s="43">
        <v>0</v>
      </c>
      <c r="R68" s="43">
        <v>0</v>
      </c>
      <c r="S68" s="43">
        <v>0</v>
      </c>
      <c r="T68" s="43">
        <v>0</v>
      </c>
      <c r="U68" s="43">
        <v>0</v>
      </c>
      <c r="V68" s="13">
        <v>120.77</v>
      </c>
      <c r="W68" s="13">
        <v>46.65</v>
      </c>
      <c r="X68" s="13">
        <v>38.89</v>
      </c>
      <c r="Y68" s="13">
        <v>45.18</v>
      </c>
      <c r="Z68" s="13">
        <v>122.08</v>
      </c>
      <c r="AA68" s="13">
        <v>93.43</v>
      </c>
      <c r="AB68" s="13">
        <v>75.94</v>
      </c>
      <c r="AC68" s="13">
        <v>134.43</v>
      </c>
      <c r="AD68" s="13">
        <v>126.13</v>
      </c>
      <c r="AE68" s="13">
        <v>79.28</v>
      </c>
      <c r="AF68" s="13">
        <v>21.99</v>
      </c>
      <c r="AG68" s="13">
        <v>122.1</v>
      </c>
      <c r="AH68" s="13">
        <v>140.21</v>
      </c>
      <c r="AJ68" s="13">
        <v>13.38</v>
      </c>
      <c r="AK68" s="13">
        <v>104.52</v>
      </c>
      <c r="AL68" s="13">
        <v>1421.63</v>
      </c>
      <c r="AM68" s="13">
        <v>22.12</v>
      </c>
      <c r="AN68" s="13">
        <v>112.23</v>
      </c>
      <c r="AO68" s="13">
        <v>32.479999999999997</v>
      </c>
      <c r="AP68" s="13">
        <v>66.650000000000006</v>
      </c>
      <c r="AQ68" s="13">
        <v>39.840000000000003</v>
      </c>
      <c r="AR68" s="13">
        <v>15.13</v>
      </c>
      <c r="AS68" s="13">
        <v>70.8</v>
      </c>
      <c r="AT68" s="13">
        <v>8.3699999999999992</v>
      </c>
      <c r="AU68" s="13">
        <v>38.9</v>
      </c>
      <c r="AV68" s="13">
        <v>17.399999999999999</v>
      </c>
      <c r="AW68" s="13">
        <v>7.29</v>
      </c>
      <c r="AX68" s="13">
        <v>44.54</v>
      </c>
      <c r="AY68" s="13">
        <v>333.92</v>
      </c>
      <c r="AZ68" s="13">
        <v>20.04</v>
      </c>
      <c r="BA68" s="13">
        <v>14.49</v>
      </c>
      <c r="BB68" s="13">
        <v>28.81</v>
      </c>
      <c r="BC68" s="13">
        <v>98.72</v>
      </c>
      <c r="BD68" s="13">
        <v>150.84</v>
      </c>
      <c r="BE68" s="13">
        <v>727.34</v>
      </c>
      <c r="BF68" s="13">
        <v>96.41</v>
      </c>
      <c r="BG68" s="13">
        <v>29.01</v>
      </c>
      <c r="BH68" s="13">
        <v>58.87</v>
      </c>
      <c r="BI68" s="13">
        <v>102.9</v>
      </c>
      <c r="BJ68" s="13">
        <v>33.369999999999997</v>
      </c>
      <c r="BK68" s="13">
        <v>2.58</v>
      </c>
      <c r="BL68" s="13">
        <v>94.93</v>
      </c>
      <c r="BM68" s="13">
        <v>153.58000000000001</v>
      </c>
      <c r="BN68" s="13">
        <v>25.2</v>
      </c>
      <c r="BO68" s="13">
        <v>33.28</v>
      </c>
      <c r="BP68" s="13">
        <v>5.63</v>
      </c>
      <c r="BQ68" s="13">
        <v>11.54</v>
      </c>
      <c r="BR68" s="13">
        <v>6.89</v>
      </c>
      <c r="BS68" s="13">
        <v>9.4600000000000009</v>
      </c>
      <c r="BT68" s="13">
        <v>2.0299999999999998</v>
      </c>
      <c r="BU68" s="13">
        <v>8.07</v>
      </c>
      <c r="BV68" s="13">
        <v>0.75</v>
      </c>
      <c r="BW68" s="7">
        <v>0</v>
      </c>
      <c r="BX68" s="13">
        <v>75.42</v>
      </c>
      <c r="BY68" s="13">
        <v>7.94</v>
      </c>
      <c r="BZ68" s="13">
        <v>67.459999999999994</v>
      </c>
      <c r="CA68" s="13">
        <v>0.02</v>
      </c>
      <c r="CB68" s="13">
        <v>1246.07</v>
      </c>
      <c r="CC68" s="13">
        <v>7.75</v>
      </c>
      <c r="CD68" s="7">
        <v>0</v>
      </c>
      <c r="CE68" s="7" t="s">
        <v>104</v>
      </c>
      <c r="CF68" s="7">
        <v>0</v>
      </c>
      <c r="CG68" s="6" t="s">
        <v>104</v>
      </c>
      <c r="CH68" s="7">
        <v>0</v>
      </c>
      <c r="CI68" s="13">
        <v>1238.31</v>
      </c>
      <c r="CJ68" s="7" t="s">
        <v>104</v>
      </c>
      <c r="CK68" s="7" t="s">
        <v>104</v>
      </c>
      <c r="CL68" s="13">
        <v>6880.86</v>
      </c>
      <c r="CM68" s="13">
        <v>1321.49</v>
      </c>
    </row>
    <row r="69" spans="1:91" x14ac:dyDescent="0.35">
      <c r="A69" s="5" t="s">
        <v>69</v>
      </c>
      <c r="B69" s="12">
        <v>3705.02</v>
      </c>
      <c r="C69" s="12">
        <v>2.02</v>
      </c>
      <c r="D69" s="12">
        <v>0.09</v>
      </c>
      <c r="E69" s="12">
        <v>0.41</v>
      </c>
      <c r="F69" s="12">
        <v>0.91</v>
      </c>
      <c r="G69" s="12">
        <v>52.04</v>
      </c>
      <c r="H69" s="12">
        <v>2.4300000000000002</v>
      </c>
      <c r="I69" s="12">
        <v>0.25</v>
      </c>
      <c r="J69" s="12">
        <v>2.4900000000000002</v>
      </c>
      <c r="K69" s="12">
        <v>0.47</v>
      </c>
      <c r="L69" s="12">
        <v>11.37</v>
      </c>
      <c r="M69" s="12">
        <v>65.260000000000005</v>
      </c>
      <c r="N69" s="43">
        <v>0</v>
      </c>
      <c r="O69" s="43">
        <v>0</v>
      </c>
      <c r="P69" s="43">
        <v>0</v>
      </c>
      <c r="Q69" s="43">
        <v>0</v>
      </c>
      <c r="R69" s="43">
        <v>0</v>
      </c>
      <c r="S69" s="43">
        <v>0</v>
      </c>
      <c r="T69" s="43">
        <v>0</v>
      </c>
      <c r="U69" s="43">
        <v>0</v>
      </c>
      <c r="V69" s="12">
        <v>484.74</v>
      </c>
      <c r="W69" s="12">
        <v>16.8</v>
      </c>
      <c r="X69" s="12">
        <v>7.69</v>
      </c>
      <c r="Y69" s="6">
        <v>2</v>
      </c>
      <c r="Z69" s="12">
        <v>9.27</v>
      </c>
      <c r="AA69" s="12">
        <v>120.86</v>
      </c>
      <c r="AB69" s="12">
        <v>30.41</v>
      </c>
      <c r="AC69" s="12">
        <v>38.130000000000003</v>
      </c>
      <c r="AD69" s="12">
        <v>253.98</v>
      </c>
      <c r="AE69" s="12">
        <v>5.97</v>
      </c>
      <c r="AF69" s="12">
        <v>10.25</v>
      </c>
      <c r="AG69" s="12">
        <v>6.5</v>
      </c>
      <c r="AH69" s="13">
        <v>11.56</v>
      </c>
      <c r="AJ69" s="12">
        <v>1.62</v>
      </c>
      <c r="AK69" s="12">
        <v>1.48</v>
      </c>
      <c r="AL69" s="12">
        <v>6.84</v>
      </c>
      <c r="AM69" s="12">
        <v>13.01</v>
      </c>
      <c r="AN69" s="12">
        <v>70.62</v>
      </c>
      <c r="AO69" s="12">
        <v>4.95</v>
      </c>
      <c r="AP69" s="12">
        <v>2.63</v>
      </c>
      <c r="AQ69" s="12">
        <v>0.63</v>
      </c>
      <c r="AR69" s="12">
        <v>1.25</v>
      </c>
      <c r="AS69" s="12">
        <v>1.03</v>
      </c>
      <c r="AT69" s="12">
        <v>23.4</v>
      </c>
      <c r="AU69" s="12">
        <v>1.03</v>
      </c>
      <c r="AV69" s="12">
        <v>61.48</v>
      </c>
      <c r="AW69" s="12">
        <v>0.3</v>
      </c>
      <c r="AX69" s="12">
        <v>2.09</v>
      </c>
      <c r="AY69" s="12">
        <v>209.97</v>
      </c>
      <c r="AZ69" s="12">
        <v>21.52</v>
      </c>
      <c r="BA69" s="12">
        <v>0.13</v>
      </c>
      <c r="BB69" s="12">
        <v>1.76</v>
      </c>
      <c r="BC69" s="12">
        <v>12.2</v>
      </c>
      <c r="BD69" s="12">
        <v>318.04000000000002</v>
      </c>
      <c r="BE69" s="12">
        <v>38.729999999999997</v>
      </c>
      <c r="BF69" s="12">
        <v>1333.54</v>
      </c>
      <c r="BG69" s="12">
        <v>15.46</v>
      </c>
      <c r="BH69" s="12">
        <v>19.09</v>
      </c>
      <c r="BI69" s="12">
        <v>157.85</v>
      </c>
      <c r="BJ69" s="12">
        <v>24.8</v>
      </c>
      <c r="BK69" s="12">
        <v>0.14000000000000001</v>
      </c>
      <c r="BL69" s="12">
        <v>58.89</v>
      </c>
      <c r="BM69" s="12">
        <v>40.79</v>
      </c>
      <c r="BN69" s="12">
        <v>57.44</v>
      </c>
      <c r="BO69" s="12">
        <v>52.26</v>
      </c>
      <c r="BP69" s="12">
        <v>1.24</v>
      </c>
      <c r="BQ69" s="12">
        <v>6.69</v>
      </c>
      <c r="BR69" s="12">
        <v>0.27</v>
      </c>
      <c r="BS69" s="12">
        <v>3.74</v>
      </c>
      <c r="BT69" s="12">
        <v>0.28999999999999998</v>
      </c>
      <c r="BU69" s="12">
        <v>7.0000000000000007E-2</v>
      </c>
      <c r="BV69" s="12">
        <v>1.86</v>
      </c>
      <c r="BW69" s="6">
        <v>0</v>
      </c>
      <c r="BX69" s="12">
        <v>41.12</v>
      </c>
      <c r="BY69" s="12">
        <v>40.590000000000003</v>
      </c>
      <c r="BZ69" s="6">
        <v>0</v>
      </c>
      <c r="CA69" s="12">
        <v>0.53</v>
      </c>
      <c r="CB69" s="12">
        <v>19097.12</v>
      </c>
      <c r="CC69" s="12">
        <v>153.80000000000001</v>
      </c>
      <c r="CD69" s="6">
        <v>0</v>
      </c>
      <c r="CE69" s="7" t="s">
        <v>104</v>
      </c>
      <c r="CF69" s="6">
        <v>0</v>
      </c>
      <c r="CG69" s="6" t="s">
        <v>104</v>
      </c>
      <c r="CH69" s="6">
        <v>0</v>
      </c>
      <c r="CI69" s="12">
        <v>18943.32</v>
      </c>
      <c r="CJ69" s="6" t="s">
        <v>104</v>
      </c>
      <c r="CK69" s="6" t="s">
        <v>104</v>
      </c>
      <c r="CL69" s="12">
        <v>22843.25</v>
      </c>
      <c r="CM69" s="12">
        <v>19138.240000000002</v>
      </c>
    </row>
    <row r="70" spans="1:91" x14ac:dyDescent="0.35">
      <c r="A70" s="5" t="s">
        <v>70</v>
      </c>
      <c r="B70" s="13">
        <v>8201.25</v>
      </c>
      <c r="C70" s="13">
        <v>7.1</v>
      </c>
      <c r="D70" s="13">
        <v>0.9</v>
      </c>
      <c r="E70" s="13">
        <v>0.32</v>
      </c>
      <c r="F70" s="13">
        <v>6.07</v>
      </c>
      <c r="G70" s="13">
        <v>800.93</v>
      </c>
      <c r="H70" s="13">
        <v>28.76</v>
      </c>
      <c r="I70" s="13">
        <v>7.12</v>
      </c>
      <c r="J70" s="13">
        <v>22.81</v>
      </c>
      <c r="K70" s="13">
        <v>5.49</v>
      </c>
      <c r="L70" s="13">
        <v>64.58</v>
      </c>
      <c r="M70" s="12">
        <v>257.64999999999998</v>
      </c>
      <c r="N70" s="43">
        <v>0</v>
      </c>
      <c r="O70" s="43">
        <v>0</v>
      </c>
      <c r="P70" s="43">
        <v>0</v>
      </c>
      <c r="Q70" s="43">
        <v>0</v>
      </c>
      <c r="R70" s="43">
        <v>0</v>
      </c>
      <c r="S70" s="43">
        <v>0</v>
      </c>
      <c r="T70" s="43">
        <v>0</v>
      </c>
      <c r="U70" s="43">
        <v>0</v>
      </c>
      <c r="V70" s="13">
        <v>884.8</v>
      </c>
      <c r="W70" s="13">
        <v>41.45</v>
      </c>
      <c r="X70" s="13">
        <v>38.200000000000003</v>
      </c>
      <c r="Y70" s="13">
        <v>18.079999999999998</v>
      </c>
      <c r="Z70" s="13">
        <v>41.09</v>
      </c>
      <c r="AA70" s="13">
        <v>129.61000000000001</v>
      </c>
      <c r="AB70" s="13">
        <v>37.14</v>
      </c>
      <c r="AC70" s="13">
        <v>45.16</v>
      </c>
      <c r="AD70" s="13">
        <v>127.95</v>
      </c>
      <c r="AE70" s="13">
        <v>10.46</v>
      </c>
      <c r="AF70" s="13">
        <v>108.79</v>
      </c>
      <c r="AG70" s="13">
        <v>19.149999999999999</v>
      </c>
      <c r="AH70" s="13">
        <v>47.41</v>
      </c>
      <c r="AJ70" s="13">
        <v>3.45</v>
      </c>
      <c r="AK70" s="13">
        <v>15.46</v>
      </c>
      <c r="AL70" s="13">
        <v>97.87</v>
      </c>
      <c r="AM70" s="13">
        <v>150.19</v>
      </c>
      <c r="AN70" s="13">
        <v>550.39</v>
      </c>
      <c r="AO70" s="13">
        <v>468.96</v>
      </c>
      <c r="AP70" s="13">
        <v>31.43</v>
      </c>
      <c r="AQ70" s="13">
        <v>7.44</v>
      </c>
      <c r="AR70" s="13">
        <v>25.51</v>
      </c>
      <c r="AS70" s="13">
        <v>31.92</v>
      </c>
      <c r="AT70" s="13">
        <v>29.67</v>
      </c>
      <c r="AU70" s="13">
        <v>82.82</v>
      </c>
      <c r="AV70" s="13">
        <v>119.68</v>
      </c>
      <c r="AW70" s="13">
        <v>56.38</v>
      </c>
      <c r="AX70" s="13">
        <v>78.98</v>
      </c>
      <c r="AY70" s="13">
        <v>1156.03</v>
      </c>
      <c r="AZ70" s="13">
        <v>89.25</v>
      </c>
      <c r="BA70" s="13">
        <v>117.12</v>
      </c>
      <c r="BB70" s="13">
        <v>75.92</v>
      </c>
      <c r="BC70" s="13">
        <v>51.46</v>
      </c>
      <c r="BD70" s="13">
        <v>366.07</v>
      </c>
      <c r="BE70" s="13">
        <v>26.05</v>
      </c>
      <c r="BF70" s="13">
        <v>129.47999999999999</v>
      </c>
      <c r="BG70" s="13">
        <v>562.36</v>
      </c>
      <c r="BH70" s="13">
        <v>36.799999999999997</v>
      </c>
      <c r="BI70" s="13">
        <v>133.62</v>
      </c>
      <c r="BJ70" s="13">
        <v>49.35</v>
      </c>
      <c r="BK70" s="13">
        <v>522.94000000000005</v>
      </c>
      <c r="BL70" s="13">
        <v>84.65</v>
      </c>
      <c r="BM70" s="13">
        <v>57.96</v>
      </c>
      <c r="BN70" s="13">
        <v>17.420000000000002</v>
      </c>
      <c r="BO70" s="13">
        <v>65.02</v>
      </c>
      <c r="BP70" s="13">
        <v>16.149999999999999</v>
      </c>
      <c r="BQ70" s="13">
        <v>78.87</v>
      </c>
      <c r="BR70" s="13">
        <v>28.37</v>
      </c>
      <c r="BS70" s="13">
        <v>20.13</v>
      </c>
      <c r="BT70" s="13">
        <v>5.57</v>
      </c>
      <c r="BU70" s="13">
        <v>9.4499999999999993</v>
      </c>
      <c r="BV70" s="13">
        <v>0.06</v>
      </c>
      <c r="BW70" s="7">
        <v>0</v>
      </c>
      <c r="BX70" s="13">
        <v>3.75</v>
      </c>
      <c r="BY70" s="13">
        <v>0.77</v>
      </c>
      <c r="BZ70" s="13">
        <v>2.98</v>
      </c>
      <c r="CA70" s="13">
        <v>0.01</v>
      </c>
      <c r="CB70" s="13">
        <v>1.25</v>
      </c>
      <c r="CC70" s="13">
        <v>0.62</v>
      </c>
      <c r="CD70" s="7">
        <v>0</v>
      </c>
      <c r="CE70" s="7" t="s">
        <v>104</v>
      </c>
      <c r="CF70" s="7">
        <v>0</v>
      </c>
      <c r="CG70" s="6" t="s">
        <v>104</v>
      </c>
      <c r="CH70" s="7">
        <v>0</v>
      </c>
      <c r="CI70" s="13">
        <v>0.63</v>
      </c>
      <c r="CJ70" s="7" t="s">
        <v>104</v>
      </c>
      <c r="CK70" s="7" t="s">
        <v>104</v>
      </c>
      <c r="CL70" s="13">
        <v>8206.25</v>
      </c>
      <c r="CM70" s="7">
        <v>5</v>
      </c>
    </row>
    <row r="71" spans="1:91" x14ac:dyDescent="0.35">
      <c r="A71" s="5" t="s">
        <v>71</v>
      </c>
      <c r="B71" s="12">
        <v>17683.669999999998</v>
      </c>
      <c r="C71" s="12">
        <v>135.12</v>
      </c>
      <c r="D71" s="12">
        <v>3.07</v>
      </c>
      <c r="E71" s="12">
        <v>0.79</v>
      </c>
      <c r="F71" s="12">
        <v>20.49</v>
      </c>
      <c r="G71" s="12">
        <v>395.65</v>
      </c>
      <c r="H71" s="12">
        <v>63.03</v>
      </c>
      <c r="I71" s="12">
        <v>17.059999999999999</v>
      </c>
      <c r="J71" s="12">
        <v>57.84</v>
      </c>
      <c r="K71" s="12">
        <v>29.24</v>
      </c>
      <c r="L71" s="12">
        <v>93.75</v>
      </c>
      <c r="M71" s="12">
        <v>331.81</v>
      </c>
      <c r="N71" s="43">
        <v>0</v>
      </c>
      <c r="O71" s="43">
        <v>0</v>
      </c>
      <c r="P71" s="43">
        <v>0</v>
      </c>
      <c r="Q71" s="43">
        <v>0</v>
      </c>
      <c r="R71" s="43">
        <v>0</v>
      </c>
      <c r="S71" s="43">
        <v>0</v>
      </c>
      <c r="T71" s="43">
        <v>0</v>
      </c>
      <c r="U71" s="43">
        <v>0</v>
      </c>
      <c r="V71" s="12">
        <v>412.82</v>
      </c>
      <c r="W71" s="12">
        <v>93.25</v>
      </c>
      <c r="X71" s="12">
        <v>54.29</v>
      </c>
      <c r="Y71" s="12">
        <v>104.3</v>
      </c>
      <c r="Z71" s="12">
        <v>130.03</v>
      </c>
      <c r="AA71" s="12">
        <v>153.63999999999999</v>
      </c>
      <c r="AB71" s="12">
        <v>186.57</v>
      </c>
      <c r="AC71" s="12">
        <v>236.43</v>
      </c>
      <c r="AD71" s="12">
        <v>377.04</v>
      </c>
      <c r="AE71" s="12">
        <v>46.67</v>
      </c>
      <c r="AF71" s="12">
        <v>81.09</v>
      </c>
      <c r="AG71" s="12">
        <v>114.16</v>
      </c>
      <c r="AH71" s="13">
        <v>215.29</v>
      </c>
      <c r="AJ71" s="12">
        <v>18.43</v>
      </c>
      <c r="AK71" s="12">
        <v>162.07</v>
      </c>
      <c r="AL71" s="12">
        <v>516.14</v>
      </c>
      <c r="AM71" s="12">
        <v>185.29</v>
      </c>
      <c r="AN71" s="12">
        <v>1130.1099999999999</v>
      </c>
      <c r="AO71" s="12">
        <v>401.21</v>
      </c>
      <c r="AP71" s="12">
        <v>209.47</v>
      </c>
      <c r="AQ71" s="12">
        <v>46.07</v>
      </c>
      <c r="AR71" s="12">
        <v>690.54</v>
      </c>
      <c r="AS71" s="12">
        <v>152.09</v>
      </c>
      <c r="AT71" s="12">
        <v>85.19</v>
      </c>
      <c r="AU71" s="12">
        <v>273.62</v>
      </c>
      <c r="AV71" s="12">
        <v>400.3</v>
      </c>
      <c r="AW71" s="12">
        <v>127.63</v>
      </c>
      <c r="AX71" s="12">
        <v>365.3</v>
      </c>
      <c r="AY71" s="12">
        <v>1441.74</v>
      </c>
      <c r="AZ71" s="12">
        <v>343.54</v>
      </c>
      <c r="BA71" s="12">
        <v>423.66</v>
      </c>
      <c r="BB71" s="12">
        <v>425.5</v>
      </c>
      <c r="BC71" s="12">
        <v>311.82</v>
      </c>
      <c r="BD71" s="12">
        <v>1423.88</v>
      </c>
      <c r="BE71" s="12">
        <v>346.36</v>
      </c>
      <c r="BF71" s="12">
        <v>324.45999999999998</v>
      </c>
      <c r="BG71" s="12">
        <v>564.08000000000004</v>
      </c>
      <c r="BH71" s="12">
        <v>744.65</v>
      </c>
      <c r="BI71" s="12">
        <v>476.33</v>
      </c>
      <c r="BJ71" s="12">
        <v>161.47999999999999</v>
      </c>
      <c r="BK71" s="12">
        <v>94.94</v>
      </c>
      <c r="BL71" s="12">
        <v>812.28</v>
      </c>
      <c r="BM71" s="12">
        <v>536.17999999999995</v>
      </c>
      <c r="BN71" s="12">
        <v>194.26</v>
      </c>
      <c r="BO71" s="12">
        <v>319.17</v>
      </c>
      <c r="BP71" s="12">
        <v>142.59</v>
      </c>
      <c r="BQ71" s="12">
        <v>118.05</v>
      </c>
      <c r="BR71" s="12">
        <v>83.72</v>
      </c>
      <c r="BS71" s="12">
        <v>165.26</v>
      </c>
      <c r="BT71" s="12">
        <v>17.61</v>
      </c>
      <c r="BU71" s="12">
        <v>93.3</v>
      </c>
      <c r="BV71" s="12">
        <v>1.95</v>
      </c>
      <c r="BW71" s="6">
        <v>0</v>
      </c>
      <c r="BX71" s="12">
        <v>4113.96</v>
      </c>
      <c r="BY71" s="12">
        <v>15.29</v>
      </c>
      <c r="BZ71" s="12">
        <v>4098.63</v>
      </c>
      <c r="CA71" s="12">
        <v>0.04</v>
      </c>
      <c r="CB71" s="12">
        <v>38.17</v>
      </c>
      <c r="CC71" s="12">
        <v>38.159999999999997</v>
      </c>
      <c r="CD71" s="6">
        <v>0</v>
      </c>
      <c r="CE71" s="7" t="s">
        <v>104</v>
      </c>
      <c r="CF71" s="6">
        <v>0</v>
      </c>
      <c r="CG71" s="6" t="s">
        <v>104</v>
      </c>
      <c r="CH71" s="6">
        <v>0</v>
      </c>
      <c r="CI71" s="12">
        <v>0.01</v>
      </c>
      <c r="CJ71" s="6" t="s">
        <v>104</v>
      </c>
      <c r="CK71" s="6" t="s">
        <v>104</v>
      </c>
      <c r="CL71" s="12">
        <v>21835.8</v>
      </c>
      <c r="CM71" s="12">
        <v>4152.13</v>
      </c>
    </row>
    <row r="72" spans="1:91" x14ac:dyDescent="0.35">
      <c r="A72" s="5" t="s">
        <v>72</v>
      </c>
      <c r="B72" s="13">
        <v>11127.63</v>
      </c>
      <c r="C72" s="13">
        <v>44.23</v>
      </c>
      <c r="D72" s="13">
        <v>1.74</v>
      </c>
      <c r="E72" s="13">
        <v>1.68</v>
      </c>
      <c r="F72" s="13">
        <v>12.26</v>
      </c>
      <c r="G72" s="13">
        <v>216.3</v>
      </c>
      <c r="H72" s="13">
        <v>63.08</v>
      </c>
      <c r="I72" s="13">
        <v>10.85</v>
      </c>
      <c r="J72" s="13">
        <v>18.739999999999998</v>
      </c>
      <c r="K72" s="13">
        <v>10.78</v>
      </c>
      <c r="L72" s="13">
        <v>41.09</v>
      </c>
      <c r="M72" s="12">
        <v>372.74</v>
      </c>
      <c r="N72" s="43">
        <v>0</v>
      </c>
      <c r="O72" s="43">
        <v>0</v>
      </c>
      <c r="P72" s="43">
        <v>0</v>
      </c>
      <c r="Q72" s="43">
        <v>0</v>
      </c>
      <c r="R72" s="43">
        <v>0</v>
      </c>
      <c r="S72" s="43">
        <v>0</v>
      </c>
      <c r="T72" s="43">
        <v>0</v>
      </c>
      <c r="U72" s="43">
        <v>0</v>
      </c>
      <c r="V72" s="13">
        <v>675.08</v>
      </c>
      <c r="W72" s="13">
        <v>67.05</v>
      </c>
      <c r="X72" s="13">
        <v>51.31</v>
      </c>
      <c r="Y72" s="13">
        <v>52.35</v>
      </c>
      <c r="Z72" s="13">
        <v>80.69</v>
      </c>
      <c r="AA72" s="13">
        <v>217.84</v>
      </c>
      <c r="AB72" s="13">
        <v>109.78</v>
      </c>
      <c r="AC72" s="13">
        <v>182.93</v>
      </c>
      <c r="AD72" s="13">
        <v>228.52</v>
      </c>
      <c r="AE72" s="13">
        <v>60.65</v>
      </c>
      <c r="AF72" s="13">
        <v>75.819999999999993</v>
      </c>
      <c r="AG72" s="13">
        <v>77.55</v>
      </c>
      <c r="AH72" s="13">
        <v>100.36</v>
      </c>
      <c r="AJ72" s="13">
        <v>14.47</v>
      </c>
      <c r="AK72" s="13">
        <v>93.05</v>
      </c>
      <c r="AL72" s="13">
        <v>428.15</v>
      </c>
      <c r="AM72" s="13">
        <v>88.81</v>
      </c>
      <c r="AN72" s="13">
        <v>518.44000000000005</v>
      </c>
      <c r="AO72" s="13">
        <v>236.34</v>
      </c>
      <c r="AP72" s="13">
        <v>238.36</v>
      </c>
      <c r="AQ72" s="13">
        <v>137.55000000000001</v>
      </c>
      <c r="AR72" s="13">
        <v>207.69</v>
      </c>
      <c r="AS72" s="13">
        <v>226.58</v>
      </c>
      <c r="AT72" s="13">
        <v>17.66</v>
      </c>
      <c r="AU72" s="13">
        <v>164.89</v>
      </c>
      <c r="AV72" s="13">
        <v>83.07</v>
      </c>
      <c r="AW72" s="13">
        <v>258.54000000000002</v>
      </c>
      <c r="AX72" s="13">
        <v>131.31</v>
      </c>
      <c r="AY72" s="13">
        <v>2728.05</v>
      </c>
      <c r="AZ72" s="13">
        <v>68.63</v>
      </c>
      <c r="BA72" s="13">
        <v>42.1</v>
      </c>
      <c r="BB72" s="13">
        <v>49.14</v>
      </c>
      <c r="BC72" s="13">
        <v>56.44</v>
      </c>
      <c r="BD72" s="13">
        <v>365.6</v>
      </c>
      <c r="BE72" s="13">
        <v>109.04</v>
      </c>
      <c r="BF72" s="13">
        <v>186.3</v>
      </c>
      <c r="BG72" s="13">
        <v>104.68</v>
      </c>
      <c r="BH72" s="7">
        <v>58</v>
      </c>
      <c r="BI72" s="13">
        <v>993.68</v>
      </c>
      <c r="BJ72" s="13">
        <v>18.78</v>
      </c>
      <c r="BK72" s="13">
        <v>21.73</v>
      </c>
      <c r="BL72" s="13">
        <v>244.98</v>
      </c>
      <c r="BM72" s="13">
        <v>102.23</v>
      </c>
      <c r="BN72" s="13">
        <v>64.790000000000006</v>
      </c>
      <c r="BO72" s="13">
        <v>95.56</v>
      </c>
      <c r="BP72" s="13">
        <v>40.090000000000003</v>
      </c>
      <c r="BQ72" s="13">
        <v>59.16</v>
      </c>
      <c r="BR72" s="13">
        <v>34.03</v>
      </c>
      <c r="BS72" s="13">
        <v>11.81</v>
      </c>
      <c r="BT72" s="13">
        <v>8.6300000000000008</v>
      </c>
      <c r="BU72" s="13">
        <v>45.08</v>
      </c>
      <c r="BV72" s="13">
        <v>0.77</v>
      </c>
      <c r="BW72" s="7">
        <v>0</v>
      </c>
      <c r="BX72" s="13">
        <v>212.72</v>
      </c>
      <c r="BY72" s="13">
        <v>0.01</v>
      </c>
      <c r="BZ72" s="13">
        <v>212.72</v>
      </c>
      <c r="CA72" s="7">
        <v>0</v>
      </c>
      <c r="CB72" s="13">
        <v>64.13</v>
      </c>
      <c r="CC72" s="13">
        <v>0.05</v>
      </c>
      <c r="CD72" s="7">
        <v>0</v>
      </c>
      <c r="CE72" s="7" t="s">
        <v>104</v>
      </c>
      <c r="CF72" s="7">
        <v>0</v>
      </c>
      <c r="CG72" s="6" t="s">
        <v>104</v>
      </c>
      <c r="CH72" s="7">
        <v>0</v>
      </c>
      <c r="CI72" s="13">
        <v>64.08</v>
      </c>
      <c r="CJ72" s="7" t="s">
        <v>104</v>
      </c>
      <c r="CK72" s="7" t="s">
        <v>104</v>
      </c>
      <c r="CL72" s="13">
        <v>11404.48</v>
      </c>
      <c r="CM72" s="13">
        <v>276.85000000000002</v>
      </c>
    </row>
    <row r="73" spans="1:91" x14ac:dyDescent="0.35">
      <c r="A73" s="5" t="s">
        <v>73</v>
      </c>
      <c r="B73" s="12">
        <v>12055.22</v>
      </c>
      <c r="C73" s="12">
        <v>454.38</v>
      </c>
      <c r="D73" s="12">
        <v>33.24</v>
      </c>
      <c r="E73" s="12">
        <v>34.340000000000003</v>
      </c>
      <c r="F73" s="12">
        <v>59.87</v>
      </c>
      <c r="G73" s="12">
        <v>637.61</v>
      </c>
      <c r="H73" s="12">
        <v>150.69</v>
      </c>
      <c r="I73" s="12">
        <v>98.55</v>
      </c>
      <c r="J73" s="12">
        <v>139.33000000000001</v>
      </c>
      <c r="K73" s="12">
        <v>76.430000000000007</v>
      </c>
      <c r="L73" s="12">
        <v>116.37</v>
      </c>
      <c r="M73" s="12">
        <v>263.26</v>
      </c>
      <c r="N73" s="43">
        <v>0</v>
      </c>
      <c r="O73" s="43">
        <v>0</v>
      </c>
      <c r="P73" s="43">
        <v>0</v>
      </c>
      <c r="Q73" s="43">
        <v>0</v>
      </c>
      <c r="R73" s="43">
        <v>0</v>
      </c>
      <c r="S73" s="43">
        <v>0</v>
      </c>
      <c r="T73" s="43">
        <v>0</v>
      </c>
      <c r="U73" s="43">
        <v>0</v>
      </c>
      <c r="V73" s="12">
        <v>190.16</v>
      </c>
      <c r="W73" s="12">
        <v>243.35</v>
      </c>
      <c r="X73" s="6">
        <v>149</v>
      </c>
      <c r="Y73" s="12">
        <v>213.42</v>
      </c>
      <c r="Z73" s="12">
        <v>396.4</v>
      </c>
      <c r="AA73" s="12">
        <v>184.52</v>
      </c>
      <c r="AB73" s="12">
        <v>217.58</v>
      </c>
      <c r="AC73" s="12">
        <v>395.54</v>
      </c>
      <c r="AD73" s="12">
        <v>344.71</v>
      </c>
      <c r="AE73" s="12">
        <v>175.23</v>
      </c>
      <c r="AF73" s="12">
        <v>170.89</v>
      </c>
      <c r="AG73" s="12">
        <v>210.17</v>
      </c>
      <c r="AH73" s="13">
        <v>171.45</v>
      </c>
      <c r="AJ73" s="12">
        <v>42.31</v>
      </c>
      <c r="AK73" s="12">
        <v>158.84</v>
      </c>
      <c r="AL73" s="12">
        <v>426.07</v>
      </c>
      <c r="AM73" s="12">
        <v>137.33000000000001</v>
      </c>
      <c r="AN73" s="12">
        <v>459.98</v>
      </c>
      <c r="AO73" s="12">
        <v>224.61</v>
      </c>
      <c r="AP73" s="12">
        <v>216.84</v>
      </c>
      <c r="AQ73" s="12">
        <v>100.19</v>
      </c>
      <c r="AR73" s="12">
        <v>128.51</v>
      </c>
      <c r="AS73" s="12">
        <v>518.96</v>
      </c>
      <c r="AT73" s="12">
        <v>146.88999999999999</v>
      </c>
      <c r="AU73" s="12">
        <v>263.36</v>
      </c>
      <c r="AV73" s="12">
        <v>79.81</v>
      </c>
      <c r="AW73" s="12">
        <v>70.55</v>
      </c>
      <c r="AX73" s="12">
        <v>109.67</v>
      </c>
      <c r="AY73" s="12">
        <v>340.92</v>
      </c>
      <c r="AZ73" s="12">
        <v>132.37</v>
      </c>
      <c r="BA73" s="12">
        <v>73.540000000000006</v>
      </c>
      <c r="BB73" s="12">
        <v>116.46</v>
      </c>
      <c r="BC73" s="12">
        <v>146.99</v>
      </c>
      <c r="BD73" s="12">
        <v>290.08999999999997</v>
      </c>
      <c r="BE73" s="12">
        <v>279.94</v>
      </c>
      <c r="BF73" s="12">
        <v>173.64</v>
      </c>
      <c r="BG73" s="12">
        <v>123.72</v>
      </c>
      <c r="BH73" s="12">
        <v>99.37</v>
      </c>
      <c r="BI73" s="12">
        <v>158.26</v>
      </c>
      <c r="BJ73" s="12">
        <v>335.16</v>
      </c>
      <c r="BK73" s="12">
        <v>50.52</v>
      </c>
      <c r="BL73" s="12">
        <v>381.73</v>
      </c>
      <c r="BM73" s="12">
        <v>108.77</v>
      </c>
      <c r="BN73" s="12">
        <v>102.16</v>
      </c>
      <c r="BO73" s="12">
        <v>419.16</v>
      </c>
      <c r="BP73" s="12">
        <v>181.47</v>
      </c>
      <c r="BQ73" s="12">
        <v>63.13</v>
      </c>
      <c r="BR73" s="12">
        <v>70.59</v>
      </c>
      <c r="BS73" s="12">
        <v>54.33</v>
      </c>
      <c r="BT73" s="12">
        <v>55.72</v>
      </c>
      <c r="BU73" s="12">
        <v>85.68</v>
      </c>
      <c r="BV73" s="12">
        <v>1.1399999999999999</v>
      </c>
      <c r="BW73" s="6">
        <v>0</v>
      </c>
      <c r="BX73" s="12">
        <v>247.29</v>
      </c>
      <c r="BY73" s="12">
        <v>122.32</v>
      </c>
      <c r="BZ73" s="12">
        <v>106.29</v>
      </c>
      <c r="CA73" s="12">
        <v>18.670000000000002</v>
      </c>
      <c r="CB73" s="12">
        <v>200.15</v>
      </c>
      <c r="CC73" s="12">
        <v>100.95</v>
      </c>
      <c r="CD73" s="6">
        <v>0</v>
      </c>
      <c r="CE73" s="7" t="s">
        <v>104</v>
      </c>
      <c r="CF73" s="6">
        <v>0</v>
      </c>
      <c r="CG73" s="6" t="s">
        <v>104</v>
      </c>
      <c r="CH73" s="6">
        <v>0</v>
      </c>
      <c r="CI73" s="12">
        <v>99.2</v>
      </c>
      <c r="CJ73" s="6" t="s">
        <v>104</v>
      </c>
      <c r="CK73" s="6" t="s">
        <v>104</v>
      </c>
      <c r="CL73" s="12">
        <v>12502.66</v>
      </c>
      <c r="CM73" s="12">
        <v>447.43</v>
      </c>
    </row>
    <row r="74" spans="1:91" x14ac:dyDescent="0.35">
      <c r="A74" s="5" t="s">
        <v>74</v>
      </c>
      <c r="B74" s="13">
        <v>13596.74</v>
      </c>
      <c r="C74" s="13">
        <v>133.55000000000001</v>
      </c>
      <c r="D74" s="13">
        <v>39.6</v>
      </c>
      <c r="E74" s="13">
        <v>59.99</v>
      </c>
      <c r="F74" s="13">
        <v>80.88</v>
      </c>
      <c r="G74" s="13">
        <v>251.6</v>
      </c>
      <c r="H74" s="13">
        <v>132.58000000000001</v>
      </c>
      <c r="I74" s="13">
        <v>95.35</v>
      </c>
      <c r="J74" s="13">
        <v>133.44</v>
      </c>
      <c r="K74" s="13">
        <v>83.42</v>
      </c>
      <c r="L74" s="13">
        <v>158.21</v>
      </c>
      <c r="M74" s="12">
        <v>212.23</v>
      </c>
      <c r="N74" s="43">
        <v>0</v>
      </c>
      <c r="O74" s="43">
        <v>0</v>
      </c>
      <c r="P74" s="43">
        <v>0</v>
      </c>
      <c r="Q74" s="43">
        <v>0</v>
      </c>
      <c r="R74" s="43">
        <v>0</v>
      </c>
      <c r="S74" s="43">
        <v>0</v>
      </c>
      <c r="T74" s="43">
        <v>0</v>
      </c>
      <c r="U74" s="43">
        <v>0</v>
      </c>
      <c r="V74" s="13">
        <v>170.43</v>
      </c>
      <c r="W74" s="13">
        <v>185.95</v>
      </c>
      <c r="X74" s="13">
        <v>154.77000000000001</v>
      </c>
      <c r="Y74" s="13">
        <v>201.54</v>
      </c>
      <c r="Z74" s="13">
        <v>202.74</v>
      </c>
      <c r="AA74" s="13">
        <v>148.61000000000001</v>
      </c>
      <c r="AB74" s="13">
        <v>176.82</v>
      </c>
      <c r="AC74" s="13">
        <v>191.97</v>
      </c>
      <c r="AD74" s="13">
        <v>214.63</v>
      </c>
      <c r="AE74" s="13">
        <v>166.58</v>
      </c>
      <c r="AF74" s="13">
        <v>132.47</v>
      </c>
      <c r="AG74" s="13">
        <v>156.26</v>
      </c>
      <c r="AH74" s="13">
        <v>168.95</v>
      </c>
      <c r="AJ74" s="13">
        <v>62.25</v>
      </c>
      <c r="AK74" s="13">
        <v>220.09</v>
      </c>
      <c r="AL74" s="13">
        <v>466.23</v>
      </c>
      <c r="AM74" s="13">
        <v>186.48</v>
      </c>
      <c r="AN74" s="13">
        <v>349.39</v>
      </c>
      <c r="AO74" s="13">
        <v>250.2</v>
      </c>
      <c r="AP74" s="13">
        <v>456.05</v>
      </c>
      <c r="AQ74" s="13">
        <v>239.06</v>
      </c>
      <c r="AR74" s="13">
        <v>1070.71</v>
      </c>
      <c r="AS74" s="13">
        <v>757.87</v>
      </c>
      <c r="AT74" s="13">
        <v>61.22</v>
      </c>
      <c r="AU74" s="13">
        <v>443.1</v>
      </c>
      <c r="AV74" s="13">
        <v>100.51</v>
      </c>
      <c r="AW74" s="13">
        <v>129.22</v>
      </c>
      <c r="AX74" s="13">
        <v>162.83000000000001</v>
      </c>
      <c r="AY74" s="13">
        <v>244.66</v>
      </c>
      <c r="AZ74" s="13">
        <v>91.62</v>
      </c>
      <c r="BA74" s="13">
        <v>101.49</v>
      </c>
      <c r="BB74" s="13">
        <v>86.4</v>
      </c>
      <c r="BC74" s="13">
        <v>132.31</v>
      </c>
      <c r="BD74" s="13">
        <v>365.08</v>
      </c>
      <c r="BE74" s="13">
        <v>157.1</v>
      </c>
      <c r="BF74" s="13">
        <v>164.61</v>
      </c>
      <c r="BG74" s="13">
        <v>127.44</v>
      </c>
      <c r="BH74" s="13">
        <v>107.97</v>
      </c>
      <c r="BI74" s="13">
        <v>354.91</v>
      </c>
      <c r="BJ74" s="13">
        <v>76.84</v>
      </c>
      <c r="BK74" s="13">
        <v>1585.93</v>
      </c>
      <c r="BL74" s="13">
        <v>157.61000000000001</v>
      </c>
      <c r="BM74" s="13">
        <v>213.42</v>
      </c>
      <c r="BN74" s="13">
        <v>146.9</v>
      </c>
      <c r="BO74" s="13">
        <v>218.98</v>
      </c>
      <c r="BP74" s="13">
        <v>112.02</v>
      </c>
      <c r="BQ74" s="13">
        <v>128.22</v>
      </c>
      <c r="BR74" s="13">
        <v>136.62</v>
      </c>
      <c r="BS74" s="13">
        <v>86.75</v>
      </c>
      <c r="BT74" s="13">
        <v>85.38</v>
      </c>
      <c r="BU74" s="13">
        <v>104.79</v>
      </c>
      <c r="BV74" s="13">
        <v>1.93</v>
      </c>
      <c r="BW74" s="7">
        <v>0</v>
      </c>
      <c r="BX74" s="13">
        <v>11196.53</v>
      </c>
      <c r="BY74" s="13">
        <v>205.24</v>
      </c>
      <c r="BZ74" s="13">
        <v>10982.45</v>
      </c>
      <c r="CA74" s="13">
        <v>8.84</v>
      </c>
      <c r="CB74" s="13">
        <v>345.35</v>
      </c>
      <c r="CC74" s="13">
        <v>182.32</v>
      </c>
      <c r="CD74" s="7">
        <v>0</v>
      </c>
      <c r="CE74" s="7" t="s">
        <v>104</v>
      </c>
      <c r="CF74" s="7">
        <v>0</v>
      </c>
      <c r="CG74" s="6" t="s">
        <v>104</v>
      </c>
      <c r="CH74" s="7">
        <v>0</v>
      </c>
      <c r="CI74" s="13">
        <v>163.03</v>
      </c>
      <c r="CJ74" s="7" t="s">
        <v>104</v>
      </c>
      <c r="CK74" s="7" t="s">
        <v>104</v>
      </c>
      <c r="CL74" s="13">
        <v>25138.62</v>
      </c>
      <c r="CM74" s="13">
        <v>11541.88</v>
      </c>
    </row>
    <row r="75" spans="1:91" x14ac:dyDescent="0.35">
      <c r="A75" s="5" t="s">
        <v>75</v>
      </c>
      <c r="B75" s="12">
        <v>76458.3</v>
      </c>
      <c r="C75" s="12">
        <v>435.47</v>
      </c>
      <c r="D75" s="12">
        <v>67.13</v>
      </c>
      <c r="E75" s="12">
        <v>15.66</v>
      </c>
      <c r="F75" s="12">
        <v>159.16999999999999</v>
      </c>
      <c r="G75" s="12">
        <v>2248.11</v>
      </c>
      <c r="H75" s="12">
        <v>420.58</v>
      </c>
      <c r="I75" s="12">
        <v>248.16</v>
      </c>
      <c r="J75" s="12">
        <v>398.49</v>
      </c>
      <c r="K75" s="12">
        <v>140.93</v>
      </c>
      <c r="L75" s="12">
        <v>495.55</v>
      </c>
      <c r="M75" s="12">
        <v>1722.86</v>
      </c>
      <c r="N75" s="43">
        <v>0</v>
      </c>
      <c r="O75" s="43">
        <v>0</v>
      </c>
      <c r="P75" s="43">
        <v>0</v>
      </c>
      <c r="Q75" s="43">
        <v>0</v>
      </c>
      <c r="R75" s="43">
        <v>0</v>
      </c>
      <c r="S75" s="43">
        <v>0</v>
      </c>
      <c r="T75" s="43">
        <v>0</v>
      </c>
      <c r="U75" s="43">
        <v>0</v>
      </c>
      <c r="V75" s="12">
        <v>1472.11</v>
      </c>
      <c r="W75" s="12">
        <v>642.66</v>
      </c>
      <c r="X75" s="12">
        <v>471.42</v>
      </c>
      <c r="Y75" s="12">
        <v>866.43</v>
      </c>
      <c r="Z75" s="12">
        <v>1021.13</v>
      </c>
      <c r="AA75" s="12">
        <v>534.78</v>
      </c>
      <c r="AB75" s="12">
        <v>745.96</v>
      </c>
      <c r="AC75" s="12">
        <v>1384.22</v>
      </c>
      <c r="AD75" s="12">
        <v>1564.78</v>
      </c>
      <c r="AE75" s="12">
        <v>494.92</v>
      </c>
      <c r="AF75" s="12">
        <v>720.27</v>
      </c>
      <c r="AG75" s="12">
        <v>630.72</v>
      </c>
      <c r="AH75" s="13">
        <v>2012.66</v>
      </c>
      <c r="AJ75" s="12">
        <v>124.24</v>
      </c>
      <c r="AK75" s="12">
        <v>841.33</v>
      </c>
      <c r="AL75" s="12">
        <v>2537.84</v>
      </c>
      <c r="AM75" s="12">
        <v>943.56</v>
      </c>
      <c r="AN75" s="12">
        <v>3783.21</v>
      </c>
      <c r="AO75" s="12">
        <v>1890.62</v>
      </c>
      <c r="AP75" s="12">
        <v>1272.3699999999999</v>
      </c>
      <c r="AQ75" s="12">
        <v>816.49</v>
      </c>
      <c r="AR75" s="12">
        <v>699.19</v>
      </c>
      <c r="AS75" s="12">
        <v>1678.33</v>
      </c>
      <c r="AT75" s="12">
        <v>446.91</v>
      </c>
      <c r="AU75" s="12">
        <v>1851.72</v>
      </c>
      <c r="AV75" s="12">
        <v>944.22</v>
      </c>
      <c r="AW75" s="12">
        <v>826.33</v>
      </c>
      <c r="AX75" s="12">
        <v>1176.6300000000001</v>
      </c>
      <c r="AY75" s="12">
        <v>5423.96</v>
      </c>
      <c r="AZ75" s="12">
        <v>1606.14</v>
      </c>
      <c r="BA75" s="12">
        <v>1054.55</v>
      </c>
      <c r="BB75" s="12">
        <v>1107.0999999999999</v>
      </c>
      <c r="BC75" s="12">
        <v>1144.24</v>
      </c>
      <c r="BD75" s="12">
        <v>5184.82</v>
      </c>
      <c r="BE75" s="12">
        <v>1241.51</v>
      </c>
      <c r="BF75" s="12">
        <v>1363.72</v>
      </c>
      <c r="BG75" s="12">
        <v>1080.6600000000001</v>
      </c>
      <c r="BH75" s="12">
        <v>758.45</v>
      </c>
      <c r="BI75" s="12">
        <v>3216.8</v>
      </c>
      <c r="BJ75" s="12">
        <v>593.6</v>
      </c>
      <c r="BK75" s="12">
        <v>707.65</v>
      </c>
      <c r="BL75" s="12">
        <v>5261.53</v>
      </c>
      <c r="BM75" s="12">
        <v>2477.2800000000002</v>
      </c>
      <c r="BN75" s="12">
        <v>1131.32</v>
      </c>
      <c r="BO75" s="12">
        <v>1729.49</v>
      </c>
      <c r="BP75" s="12">
        <v>847.69</v>
      </c>
      <c r="BQ75" s="12">
        <v>608.91999999999996</v>
      </c>
      <c r="BR75" s="12">
        <v>348.39</v>
      </c>
      <c r="BS75" s="12">
        <v>331.37</v>
      </c>
      <c r="BT75" s="12">
        <v>145.25</v>
      </c>
      <c r="BU75" s="12">
        <v>344.31</v>
      </c>
      <c r="BV75" s="12">
        <v>2.4</v>
      </c>
      <c r="BW75" s="6">
        <v>0</v>
      </c>
      <c r="BX75" s="12">
        <v>4169.87</v>
      </c>
      <c r="BY75" s="12">
        <v>101.39</v>
      </c>
      <c r="BZ75" s="12">
        <v>4066.25</v>
      </c>
      <c r="CA75" s="12">
        <v>2.23</v>
      </c>
      <c r="CB75" s="12">
        <v>155.44999999999999</v>
      </c>
      <c r="CC75" s="12">
        <v>66.81</v>
      </c>
      <c r="CD75" s="6">
        <v>0</v>
      </c>
      <c r="CE75" s="6" t="s">
        <v>104</v>
      </c>
      <c r="CF75" s="6">
        <v>0</v>
      </c>
      <c r="CG75" s="6" t="s">
        <v>104</v>
      </c>
      <c r="CH75" s="6">
        <v>0</v>
      </c>
      <c r="CI75" s="12">
        <v>88.64</v>
      </c>
      <c r="CJ75" s="6" t="s">
        <v>104</v>
      </c>
      <c r="CK75" s="6" t="s">
        <v>104</v>
      </c>
      <c r="CL75" s="12">
        <v>80783.62</v>
      </c>
      <c r="CM75" s="12">
        <v>4325.32</v>
      </c>
    </row>
    <row r="76" spans="1:91" x14ac:dyDescent="0.35">
      <c r="A76" s="5" t="s">
        <v>76</v>
      </c>
      <c r="B76" s="13">
        <v>700.63</v>
      </c>
      <c r="C76" s="13">
        <v>9.85</v>
      </c>
      <c r="D76" s="13">
        <v>2.0499999999999998</v>
      </c>
      <c r="E76" s="13">
        <v>2.64</v>
      </c>
      <c r="F76" s="13">
        <v>3.95</v>
      </c>
      <c r="G76" s="13">
        <v>18.64</v>
      </c>
      <c r="H76" s="13">
        <v>5.61</v>
      </c>
      <c r="I76" s="13">
        <v>4.8499999999999996</v>
      </c>
      <c r="J76" s="13">
        <v>6.96</v>
      </c>
      <c r="K76" s="13">
        <v>4.03</v>
      </c>
      <c r="L76" s="13">
        <v>12.31</v>
      </c>
      <c r="M76" s="12">
        <v>14.15</v>
      </c>
      <c r="N76" s="43">
        <v>0</v>
      </c>
      <c r="O76" s="43">
        <v>0</v>
      </c>
      <c r="P76" s="43">
        <v>0</v>
      </c>
      <c r="Q76" s="43">
        <v>0</v>
      </c>
      <c r="R76" s="43">
        <v>0</v>
      </c>
      <c r="S76" s="43">
        <v>0</v>
      </c>
      <c r="T76" s="43">
        <v>0</v>
      </c>
      <c r="U76" s="43">
        <v>0</v>
      </c>
      <c r="V76" s="13">
        <v>6.39</v>
      </c>
      <c r="W76" s="13">
        <v>9.9</v>
      </c>
      <c r="X76" s="13">
        <v>7.42</v>
      </c>
      <c r="Y76" s="13">
        <v>10.27</v>
      </c>
      <c r="Z76" s="13">
        <v>10.45</v>
      </c>
      <c r="AA76" s="13">
        <v>7.26</v>
      </c>
      <c r="AB76" s="13">
        <v>8.99</v>
      </c>
      <c r="AC76" s="13">
        <v>9.18</v>
      </c>
      <c r="AD76" s="13">
        <v>9.68</v>
      </c>
      <c r="AE76" s="13">
        <v>5.56</v>
      </c>
      <c r="AF76" s="13">
        <v>6.44</v>
      </c>
      <c r="AG76" s="13">
        <v>6.91</v>
      </c>
      <c r="AH76" s="13">
        <v>43.77</v>
      </c>
      <c r="AJ76" s="13">
        <v>3.68</v>
      </c>
      <c r="AK76" s="13">
        <v>11.7</v>
      </c>
      <c r="AL76" s="13">
        <v>61.67</v>
      </c>
      <c r="AM76" s="13">
        <v>5.73</v>
      </c>
      <c r="AN76" s="13">
        <v>12.29</v>
      </c>
      <c r="AO76" s="13">
        <v>8.7899999999999991</v>
      </c>
      <c r="AP76" s="13">
        <v>10.48</v>
      </c>
      <c r="AQ76" s="13">
        <v>7.32</v>
      </c>
      <c r="AR76" s="13">
        <v>7.14</v>
      </c>
      <c r="AS76" s="13">
        <v>11.02</v>
      </c>
      <c r="AT76" s="13">
        <v>3.09</v>
      </c>
      <c r="AU76" s="13">
        <v>12.63</v>
      </c>
      <c r="AV76" s="13">
        <v>4.03</v>
      </c>
      <c r="AW76" s="13">
        <v>4.47</v>
      </c>
      <c r="AX76" s="13">
        <v>19.64</v>
      </c>
      <c r="AY76" s="13">
        <v>11.21</v>
      </c>
      <c r="AZ76" s="13">
        <v>6.26</v>
      </c>
      <c r="BA76" s="13">
        <v>6.98</v>
      </c>
      <c r="BB76" s="13">
        <v>6.57</v>
      </c>
      <c r="BC76" s="13">
        <v>11.33</v>
      </c>
      <c r="BD76" s="13">
        <v>21.64</v>
      </c>
      <c r="BE76" s="13">
        <v>14.28</v>
      </c>
      <c r="BF76" s="13">
        <v>8.41</v>
      </c>
      <c r="BG76" s="13">
        <v>6.58</v>
      </c>
      <c r="BH76" s="13">
        <v>6.34</v>
      </c>
      <c r="BI76" s="13">
        <v>9.6999999999999993</v>
      </c>
      <c r="BJ76" s="13">
        <v>3.35</v>
      </c>
      <c r="BK76" s="13">
        <v>3.08</v>
      </c>
      <c r="BL76" s="13">
        <v>12.45</v>
      </c>
      <c r="BM76" s="13">
        <v>111.4</v>
      </c>
      <c r="BN76" s="13">
        <v>6.43</v>
      </c>
      <c r="BO76" s="13">
        <v>13.83</v>
      </c>
      <c r="BP76" s="13">
        <v>6.98</v>
      </c>
      <c r="BQ76" s="13">
        <v>4.33</v>
      </c>
      <c r="BR76" s="13">
        <v>4.2699999999999996</v>
      </c>
      <c r="BS76" s="13">
        <v>4.53</v>
      </c>
      <c r="BT76" s="13">
        <v>3.43</v>
      </c>
      <c r="BU76" s="13">
        <v>4.05</v>
      </c>
      <c r="BV76" s="13">
        <v>2.31</v>
      </c>
      <c r="BW76" s="7">
        <v>0</v>
      </c>
      <c r="BX76" s="13">
        <v>536.08000000000004</v>
      </c>
      <c r="BY76" s="13">
        <v>337.07</v>
      </c>
      <c r="BZ76" s="13">
        <v>198.01</v>
      </c>
      <c r="CA76" s="13">
        <v>1.01</v>
      </c>
      <c r="CB76" s="13">
        <v>32.44</v>
      </c>
      <c r="CC76" s="13">
        <v>7.1</v>
      </c>
      <c r="CD76" s="7">
        <v>0</v>
      </c>
      <c r="CE76" s="7" t="s">
        <v>104</v>
      </c>
      <c r="CF76" s="7">
        <v>0</v>
      </c>
      <c r="CG76" s="6" t="s">
        <v>104</v>
      </c>
      <c r="CH76" s="7">
        <v>0</v>
      </c>
      <c r="CI76" s="13">
        <v>25.34</v>
      </c>
      <c r="CJ76" s="7" t="s">
        <v>104</v>
      </c>
      <c r="CK76" s="7" t="s">
        <v>104</v>
      </c>
      <c r="CL76" s="13">
        <v>1269.1500000000001</v>
      </c>
      <c r="CM76" s="13">
        <v>568.53</v>
      </c>
    </row>
    <row r="77" spans="1:91" x14ac:dyDescent="0.35">
      <c r="A77" s="5" t="s">
        <v>77</v>
      </c>
      <c r="B77" s="12">
        <v>1851.44</v>
      </c>
      <c r="C77" s="12">
        <v>15.18</v>
      </c>
      <c r="D77" s="12">
        <v>3.49</v>
      </c>
      <c r="E77" s="12">
        <v>6.28</v>
      </c>
      <c r="F77" s="12">
        <v>8.0399999999999991</v>
      </c>
      <c r="G77" s="12">
        <v>37.200000000000003</v>
      </c>
      <c r="H77" s="12">
        <v>11.58</v>
      </c>
      <c r="I77" s="12">
        <v>10.6</v>
      </c>
      <c r="J77" s="12">
        <v>14.26</v>
      </c>
      <c r="K77" s="12">
        <v>8.5</v>
      </c>
      <c r="L77" s="12">
        <v>12.97</v>
      </c>
      <c r="M77" s="12">
        <v>32.07</v>
      </c>
      <c r="N77" s="43">
        <v>0</v>
      </c>
      <c r="O77" s="43">
        <v>0</v>
      </c>
      <c r="P77" s="43">
        <v>0</v>
      </c>
      <c r="Q77" s="43">
        <v>0</v>
      </c>
      <c r="R77" s="43">
        <v>0</v>
      </c>
      <c r="S77" s="43">
        <v>0</v>
      </c>
      <c r="T77" s="43">
        <v>0</v>
      </c>
      <c r="U77" s="43">
        <v>0</v>
      </c>
      <c r="V77" s="12">
        <v>46.43</v>
      </c>
      <c r="W77" s="12">
        <v>41.04</v>
      </c>
      <c r="X77" s="12">
        <v>18.25</v>
      </c>
      <c r="Y77" s="12">
        <v>17.62</v>
      </c>
      <c r="Z77" s="12">
        <v>29.93</v>
      </c>
      <c r="AA77" s="12">
        <v>24.66</v>
      </c>
      <c r="AB77" s="12">
        <v>25.67</v>
      </c>
      <c r="AC77" s="12">
        <v>36.03</v>
      </c>
      <c r="AD77" s="12">
        <v>26.84</v>
      </c>
      <c r="AE77" s="12">
        <v>18.78</v>
      </c>
      <c r="AF77" s="12">
        <v>15.73</v>
      </c>
      <c r="AG77" s="12">
        <v>21.38</v>
      </c>
      <c r="AH77" s="13">
        <v>23.73</v>
      </c>
      <c r="AJ77" s="12">
        <v>8.1300000000000008</v>
      </c>
      <c r="AK77" s="12">
        <v>23.73</v>
      </c>
      <c r="AL77" s="12">
        <v>45.73</v>
      </c>
      <c r="AM77" s="12">
        <v>21.88</v>
      </c>
      <c r="AN77" s="12">
        <v>64.849999999999994</v>
      </c>
      <c r="AO77" s="12">
        <v>27.64</v>
      </c>
      <c r="AP77" s="12">
        <v>23.49</v>
      </c>
      <c r="AQ77" s="12">
        <v>15.58</v>
      </c>
      <c r="AR77" s="12">
        <v>21.31</v>
      </c>
      <c r="AS77" s="12">
        <v>34.93</v>
      </c>
      <c r="AT77" s="12">
        <v>9.17</v>
      </c>
      <c r="AU77" s="12">
        <v>28.03</v>
      </c>
      <c r="AV77" s="12">
        <v>15.99</v>
      </c>
      <c r="AW77" s="12">
        <v>11.07</v>
      </c>
      <c r="AX77" s="12">
        <v>25.85</v>
      </c>
      <c r="AY77" s="12">
        <v>57.38</v>
      </c>
      <c r="AZ77" s="12">
        <v>21.34</v>
      </c>
      <c r="BA77" s="12">
        <v>22.94</v>
      </c>
      <c r="BB77" s="12">
        <v>24.64</v>
      </c>
      <c r="BC77" s="12">
        <v>16.829999999999998</v>
      </c>
      <c r="BD77" s="12">
        <v>51.04</v>
      </c>
      <c r="BE77" s="12">
        <v>31.15</v>
      </c>
      <c r="BF77" s="12">
        <v>55.58</v>
      </c>
      <c r="BG77" s="12">
        <v>11.95</v>
      </c>
      <c r="BH77" s="12">
        <v>19.66</v>
      </c>
      <c r="BI77" s="12">
        <v>20.07</v>
      </c>
      <c r="BJ77" s="12">
        <v>13.65</v>
      </c>
      <c r="BK77" s="12">
        <v>7.5</v>
      </c>
      <c r="BL77" s="12">
        <v>24.84</v>
      </c>
      <c r="BM77" s="12">
        <v>121.58</v>
      </c>
      <c r="BN77" s="12">
        <v>252.08</v>
      </c>
      <c r="BO77" s="12">
        <v>77.17</v>
      </c>
      <c r="BP77" s="12">
        <v>53.05</v>
      </c>
      <c r="BQ77" s="12">
        <v>14.93</v>
      </c>
      <c r="BR77" s="12">
        <v>11.72</v>
      </c>
      <c r="BS77" s="12">
        <v>34.69</v>
      </c>
      <c r="BT77" s="12">
        <v>8.34</v>
      </c>
      <c r="BU77" s="12">
        <v>15.25</v>
      </c>
      <c r="BV77" s="12">
        <v>0.49</v>
      </c>
      <c r="BW77" s="6">
        <v>0</v>
      </c>
      <c r="BX77" s="12">
        <v>1295.03</v>
      </c>
      <c r="BY77" s="12">
        <v>484.23</v>
      </c>
      <c r="BZ77" s="12">
        <v>806.42</v>
      </c>
      <c r="CA77" s="12">
        <v>4.38</v>
      </c>
      <c r="CB77" s="12">
        <v>36.96</v>
      </c>
      <c r="CC77" s="12">
        <v>17.34</v>
      </c>
      <c r="CD77" s="6">
        <v>0</v>
      </c>
      <c r="CE77" s="6" t="s">
        <v>104</v>
      </c>
      <c r="CF77" s="6">
        <v>0</v>
      </c>
      <c r="CG77" s="6" t="s">
        <v>104</v>
      </c>
      <c r="CH77" s="6">
        <v>0</v>
      </c>
      <c r="CI77" s="12">
        <v>19.62</v>
      </c>
      <c r="CJ77" s="6" t="s">
        <v>104</v>
      </c>
      <c r="CK77" s="6" t="s">
        <v>104</v>
      </c>
      <c r="CL77" s="12">
        <v>3183.43</v>
      </c>
      <c r="CM77" s="12">
        <v>1331.99</v>
      </c>
    </row>
    <row r="78" spans="1:91" x14ac:dyDescent="0.35">
      <c r="A78" s="5" t="s">
        <v>78</v>
      </c>
      <c r="B78" s="13">
        <v>828.2</v>
      </c>
      <c r="C78" s="13">
        <v>2.76</v>
      </c>
      <c r="D78" s="13">
        <v>0.63</v>
      </c>
      <c r="E78" s="13">
        <v>0.48</v>
      </c>
      <c r="F78" s="13">
        <v>9.58</v>
      </c>
      <c r="G78" s="13">
        <v>9.18</v>
      </c>
      <c r="H78" s="13">
        <v>2.56</v>
      </c>
      <c r="I78" s="13">
        <v>2.91</v>
      </c>
      <c r="J78" s="13">
        <v>3.56</v>
      </c>
      <c r="K78" s="13">
        <v>0.78</v>
      </c>
      <c r="L78" s="13">
        <v>17.46</v>
      </c>
      <c r="M78" s="12">
        <v>7.47</v>
      </c>
      <c r="N78" s="43">
        <v>0</v>
      </c>
      <c r="O78" s="43">
        <v>0</v>
      </c>
      <c r="P78" s="43">
        <v>0</v>
      </c>
      <c r="Q78" s="43">
        <v>0</v>
      </c>
      <c r="R78" s="43">
        <v>0</v>
      </c>
      <c r="S78" s="43">
        <v>0</v>
      </c>
      <c r="T78" s="43">
        <v>0</v>
      </c>
      <c r="U78" s="43">
        <v>0</v>
      </c>
      <c r="V78" s="13">
        <v>19.89</v>
      </c>
      <c r="W78" s="13">
        <v>4.3499999999999996</v>
      </c>
      <c r="X78" s="13">
        <v>5.45</v>
      </c>
      <c r="Y78" s="13">
        <v>3.26</v>
      </c>
      <c r="Z78" s="13">
        <v>3.95</v>
      </c>
      <c r="AA78" s="13">
        <v>3.24</v>
      </c>
      <c r="AB78" s="13">
        <v>2.98</v>
      </c>
      <c r="AC78" s="13">
        <v>3.83</v>
      </c>
      <c r="AD78" s="13">
        <v>4.91</v>
      </c>
      <c r="AE78" s="13">
        <v>2.7</v>
      </c>
      <c r="AF78" s="13">
        <v>4.09</v>
      </c>
      <c r="AG78" s="13">
        <v>3.68</v>
      </c>
      <c r="AH78" s="13">
        <v>3.67</v>
      </c>
      <c r="AJ78" s="13">
        <v>0.97</v>
      </c>
      <c r="AK78" s="13">
        <v>7.66</v>
      </c>
      <c r="AL78" s="13">
        <v>16.98</v>
      </c>
      <c r="AM78" s="13">
        <v>2.6</v>
      </c>
      <c r="AN78" s="13">
        <v>7.5</v>
      </c>
      <c r="AO78" s="13">
        <v>4.9800000000000004</v>
      </c>
      <c r="AP78" s="13">
        <v>10.3</v>
      </c>
      <c r="AQ78" s="13">
        <v>2.82</v>
      </c>
      <c r="AR78" s="13">
        <v>2.64</v>
      </c>
      <c r="AS78" s="13">
        <v>4.91</v>
      </c>
      <c r="AT78" s="13">
        <v>4.0999999999999996</v>
      </c>
      <c r="AU78" s="13">
        <v>7.16</v>
      </c>
      <c r="AV78" s="13">
        <v>4.55</v>
      </c>
      <c r="AW78" s="13">
        <v>2.46</v>
      </c>
      <c r="AX78" s="13">
        <v>4.4000000000000004</v>
      </c>
      <c r="AY78" s="13">
        <v>10.59</v>
      </c>
      <c r="AZ78" s="13">
        <v>2.91</v>
      </c>
      <c r="BA78" s="13">
        <v>2.85</v>
      </c>
      <c r="BB78" s="13">
        <v>3.6</v>
      </c>
      <c r="BC78" s="13">
        <v>4.7699999999999996</v>
      </c>
      <c r="BD78" s="13">
        <v>10.49</v>
      </c>
      <c r="BE78" s="13">
        <v>4.3899999999999997</v>
      </c>
      <c r="BF78" s="13">
        <v>11.13</v>
      </c>
      <c r="BG78" s="13">
        <v>3.04</v>
      </c>
      <c r="BH78" s="13">
        <v>2.93</v>
      </c>
      <c r="BI78" s="13">
        <v>14.73</v>
      </c>
      <c r="BJ78" s="13">
        <v>4.5599999999999996</v>
      </c>
      <c r="BK78" s="13">
        <v>5.74</v>
      </c>
      <c r="BL78" s="13">
        <v>5.58</v>
      </c>
      <c r="BM78" s="13">
        <v>15.36</v>
      </c>
      <c r="BN78" s="13">
        <v>7.35</v>
      </c>
      <c r="BO78" s="13">
        <v>459.6</v>
      </c>
      <c r="BP78" s="13">
        <v>30.73</v>
      </c>
      <c r="BQ78" s="13">
        <v>2.54</v>
      </c>
      <c r="BR78" s="13">
        <v>9.5500000000000007</v>
      </c>
      <c r="BS78" s="13">
        <v>2.77</v>
      </c>
      <c r="BT78" s="13">
        <v>1.19</v>
      </c>
      <c r="BU78" s="13">
        <v>3.95</v>
      </c>
      <c r="BV78" s="13">
        <v>0.52</v>
      </c>
      <c r="BW78" s="7">
        <v>0</v>
      </c>
      <c r="BX78" s="13">
        <v>1908.75</v>
      </c>
      <c r="BY78" s="13">
        <v>1343.07</v>
      </c>
      <c r="BZ78" s="13">
        <v>563.30999999999995</v>
      </c>
      <c r="CA78" s="13">
        <v>2.37</v>
      </c>
      <c r="CB78" s="13">
        <v>8.33</v>
      </c>
      <c r="CC78" s="13">
        <v>5.77</v>
      </c>
      <c r="CD78" s="7">
        <v>0</v>
      </c>
      <c r="CE78" s="7" t="s">
        <v>104</v>
      </c>
      <c r="CF78" s="7">
        <v>0</v>
      </c>
      <c r="CG78" s="6" t="s">
        <v>104</v>
      </c>
      <c r="CH78" s="7">
        <v>0</v>
      </c>
      <c r="CI78" s="13">
        <v>2.56</v>
      </c>
      <c r="CJ78" s="7" t="s">
        <v>104</v>
      </c>
      <c r="CK78" s="7" t="s">
        <v>104</v>
      </c>
      <c r="CL78" s="13">
        <v>2745.27</v>
      </c>
      <c r="CM78" s="13">
        <v>1917.07</v>
      </c>
    </row>
    <row r="79" spans="1:91" x14ac:dyDescent="0.35">
      <c r="A79" s="5" t="s">
        <v>79</v>
      </c>
      <c r="B79" s="12">
        <v>133.29</v>
      </c>
      <c r="C79" s="12">
        <v>2.14</v>
      </c>
      <c r="D79" s="12">
        <v>0.91</v>
      </c>
      <c r="E79" s="12">
        <v>0.72</v>
      </c>
      <c r="F79" s="12">
        <v>1.48</v>
      </c>
      <c r="G79" s="12">
        <v>2.7</v>
      </c>
      <c r="H79" s="12">
        <v>1.87</v>
      </c>
      <c r="I79" s="12">
        <v>1.73</v>
      </c>
      <c r="J79" s="12">
        <v>2.0699999999999998</v>
      </c>
      <c r="K79" s="12">
        <v>1.23</v>
      </c>
      <c r="L79" s="12">
        <v>2.16</v>
      </c>
      <c r="M79" s="12">
        <v>3.14</v>
      </c>
      <c r="N79" s="43">
        <v>0</v>
      </c>
      <c r="O79" s="43">
        <v>0</v>
      </c>
      <c r="P79" s="43">
        <v>0</v>
      </c>
      <c r="Q79" s="43">
        <v>0</v>
      </c>
      <c r="R79" s="43">
        <v>0</v>
      </c>
      <c r="S79" s="43">
        <v>0</v>
      </c>
      <c r="T79" s="43">
        <v>0</v>
      </c>
      <c r="U79" s="43">
        <v>0</v>
      </c>
      <c r="V79" s="12">
        <v>2.54</v>
      </c>
      <c r="W79" s="12">
        <v>2.41</v>
      </c>
      <c r="X79" s="12">
        <v>1.97</v>
      </c>
      <c r="Y79" s="12">
        <v>2.62</v>
      </c>
      <c r="Z79" s="12">
        <v>2.62</v>
      </c>
      <c r="AA79" s="12">
        <v>2.0299999999999998</v>
      </c>
      <c r="AB79" s="12">
        <v>2.11</v>
      </c>
      <c r="AC79" s="12">
        <v>2.1800000000000002</v>
      </c>
      <c r="AD79" s="12">
        <v>2.0699999999999998</v>
      </c>
      <c r="AE79" s="12">
        <v>1.97</v>
      </c>
      <c r="AF79" s="12">
        <v>1.97</v>
      </c>
      <c r="AG79" s="12">
        <v>2.38</v>
      </c>
      <c r="AH79" s="13">
        <v>2.25</v>
      </c>
      <c r="AJ79" s="12">
        <v>0.9</v>
      </c>
      <c r="AK79" s="12">
        <v>2.4300000000000002</v>
      </c>
      <c r="AL79" s="12">
        <v>2.74</v>
      </c>
      <c r="AM79" s="12">
        <v>1.98</v>
      </c>
      <c r="AN79" s="12">
        <v>2.4</v>
      </c>
      <c r="AO79" s="12">
        <v>1.86</v>
      </c>
      <c r="AP79" s="12">
        <v>2.64</v>
      </c>
      <c r="AQ79" s="12">
        <v>3.27</v>
      </c>
      <c r="AR79" s="12">
        <v>2.34</v>
      </c>
      <c r="AS79" s="12">
        <v>2.42</v>
      </c>
      <c r="AT79" s="12">
        <v>1.54</v>
      </c>
      <c r="AU79" s="12">
        <v>2.2999999999999998</v>
      </c>
      <c r="AV79" s="12">
        <v>1.9</v>
      </c>
      <c r="AW79" s="12">
        <v>1.85</v>
      </c>
      <c r="AX79" s="12">
        <v>2.2200000000000002</v>
      </c>
      <c r="AY79" s="12">
        <v>3.23</v>
      </c>
      <c r="AZ79" s="12">
        <v>1.1399999999999999</v>
      </c>
      <c r="BA79" s="12">
        <v>1.8</v>
      </c>
      <c r="BB79" s="12">
        <v>1.64</v>
      </c>
      <c r="BC79" s="12">
        <v>1.89</v>
      </c>
      <c r="BD79" s="12">
        <v>2.39</v>
      </c>
      <c r="BE79" s="12">
        <v>2.06</v>
      </c>
      <c r="BF79" s="12">
        <v>5.0999999999999996</v>
      </c>
      <c r="BG79" s="12">
        <v>1.96</v>
      </c>
      <c r="BH79" s="12">
        <v>1.65</v>
      </c>
      <c r="BI79" s="12">
        <v>3.14</v>
      </c>
      <c r="BJ79" s="12">
        <v>1.56</v>
      </c>
      <c r="BK79" s="12">
        <v>2.35</v>
      </c>
      <c r="BL79" s="12">
        <v>2.06</v>
      </c>
      <c r="BM79" s="12">
        <v>1.9</v>
      </c>
      <c r="BN79" s="12">
        <v>1.87</v>
      </c>
      <c r="BO79" s="12">
        <v>4.7</v>
      </c>
      <c r="BP79" s="12">
        <v>3.42</v>
      </c>
      <c r="BQ79" s="12">
        <v>1.74</v>
      </c>
      <c r="BR79" s="12">
        <v>1.49</v>
      </c>
      <c r="BS79" s="12">
        <v>1.44</v>
      </c>
      <c r="BT79" s="6">
        <v>1</v>
      </c>
      <c r="BU79" s="12">
        <v>1.71</v>
      </c>
      <c r="BV79" s="12">
        <v>0.03</v>
      </c>
      <c r="BW79" s="6">
        <v>0</v>
      </c>
      <c r="BX79" s="12">
        <v>30.4</v>
      </c>
      <c r="BY79" s="12">
        <v>20.47</v>
      </c>
      <c r="BZ79" s="12">
        <v>9.31</v>
      </c>
      <c r="CA79" s="12">
        <v>0.62</v>
      </c>
      <c r="CB79" s="12">
        <v>6.18</v>
      </c>
      <c r="CC79" s="12">
        <v>3.39</v>
      </c>
      <c r="CD79" s="6">
        <v>0</v>
      </c>
      <c r="CE79" s="6" t="s">
        <v>104</v>
      </c>
      <c r="CF79" s="6">
        <v>0</v>
      </c>
      <c r="CG79" s="6" t="s">
        <v>104</v>
      </c>
      <c r="CH79" s="6">
        <v>0</v>
      </c>
      <c r="CI79" s="12">
        <v>2.79</v>
      </c>
      <c r="CJ79" s="6" t="s">
        <v>104</v>
      </c>
      <c r="CK79" s="6" t="s">
        <v>104</v>
      </c>
      <c r="CL79" s="12">
        <v>169.87</v>
      </c>
      <c r="CM79" s="12">
        <v>36.58</v>
      </c>
    </row>
    <row r="80" spans="1:91" x14ac:dyDescent="0.35">
      <c r="A80" s="5" t="s">
        <v>80</v>
      </c>
      <c r="B80" s="13">
        <v>1102.8699999999999</v>
      </c>
      <c r="C80" s="13">
        <v>0.2</v>
      </c>
      <c r="D80" s="13">
        <v>0.05</v>
      </c>
      <c r="E80" s="7">
        <v>0</v>
      </c>
      <c r="F80" s="13">
        <v>0.03</v>
      </c>
      <c r="G80" s="13">
        <v>3.28</v>
      </c>
      <c r="H80" s="13">
        <v>0.44</v>
      </c>
      <c r="I80" s="13">
        <v>0.23</v>
      </c>
      <c r="J80" s="13">
        <v>0.25</v>
      </c>
      <c r="K80" s="13">
        <v>0.54</v>
      </c>
      <c r="L80" s="13">
        <v>1.41</v>
      </c>
      <c r="M80" s="12">
        <v>1.08</v>
      </c>
      <c r="N80" s="43">
        <v>0</v>
      </c>
      <c r="O80" s="43">
        <v>0</v>
      </c>
      <c r="P80" s="43">
        <v>0</v>
      </c>
      <c r="Q80" s="43">
        <v>0</v>
      </c>
      <c r="R80" s="43">
        <v>0</v>
      </c>
      <c r="S80" s="43">
        <v>0</v>
      </c>
      <c r="T80" s="43">
        <v>0</v>
      </c>
      <c r="U80" s="43">
        <v>0</v>
      </c>
      <c r="V80" s="13">
        <v>5.03</v>
      </c>
      <c r="W80" s="13">
        <v>0.48</v>
      </c>
      <c r="X80" s="13">
        <v>0.63</v>
      </c>
      <c r="Y80" s="13">
        <v>0.43</v>
      </c>
      <c r="Z80" s="13">
        <v>1.35</v>
      </c>
      <c r="AA80" s="13">
        <v>4.8099999999999996</v>
      </c>
      <c r="AB80" s="13">
        <v>0.39</v>
      </c>
      <c r="AC80" s="13">
        <v>0.37</v>
      </c>
      <c r="AD80" s="13">
        <v>0.16</v>
      </c>
      <c r="AE80" s="13">
        <v>3.22</v>
      </c>
      <c r="AF80" s="13">
        <v>0.17</v>
      </c>
      <c r="AG80" s="13">
        <v>1.19</v>
      </c>
      <c r="AH80" s="13">
        <v>2.89</v>
      </c>
      <c r="AJ80" s="13">
        <v>0.19</v>
      </c>
      <c r="AK80" s="13">
        <v>2.59</v>
      </c>
      <c r="AL80" s="13">
        <v>4.1900000000000004</v>
      </c>
      <c r="AM80" s="13">
        <v>2.2799999999999998</v>
      </c>
      <c r="AN80" s="13">
        <v>21.48</v>
      </c>
      <c r="AO80" s="13">
        <v>6.25</v>
      </c>
      <c r="AP80" s="13">
        <v>0.78</v>
      </c>
      <c r="AQ80" s="13">
        <v>0.12</v>
      </c>
      <c r="AR80" s="13">
        <v>2.16</v>
      </c>
      <c r="AS80" s="13">
        <v>0.68</v>
      </c>
      <c r="AT80" s="13">
        <v>0.22</v>
      </c>
      <c r="AU80" s="13">
        <v>125.2</v>
      </c>
      <c r="AV80" s="13">
        <v>39.630000000000003</v>
      </c>
      <c r="AW80" s="13">
        <v>210.79</v>
      </c>
      <c r="AX80" s="13">
        <v>7.2</v>
      </c>
      <c r="AY80" s="13">
        <v>42.21</v>
      </c>
      <c r="AZ80" s="13">
        <v>8.1</v>
      </c>
      <c r="BA80" s="13">
        <v>0.6</v>
      </c>
      <c r="BB80" s="13">
        <v>0.51</v>
      </c>
      <c r="BC80" s="13">
        <v>8.31</v>
      </c>
      <c r="BD80" s="13">
        <v>12.79</v>
      </c>
      <c r="BE80" s="13">
        <v>3.73</v>
      </c>
      <c r="BF80" s="13">
        <v>7.81</v>
      </c>
      <c r="BG80" s="13">
        <v>8.89</v>
      </c>
      <c r="BH80" s="13">
        <v>16.32</v>
      </c>
      <c r="BI80" s="13">
        <v>19.34</v>
      </c>
      <c r="BJ80" s="13">
        <v>4.4000000000000004</v>
      </c>
      <c r="BK80" s="13">
        <v>60.31</v>
      </c>
      <c r="BL80" s="13">
        <v>13.33</v>
      </c>
      <c r="BM80" s="13">
        <v>23.65</v>
      </c>
      <c r="BN80" s="13">
        <v>13.02</v>
      </c>
      <c r="BO80" s="13">
        <v>0.98</v>
      </c>
      <c r="BP80" s="13">
        <v>6.21</v>
      </c>
      <c r="BQ80" s="13">
        <v>350.83</v>
      </c>
      <c r="BR80" s="13">
        <v>27.5</v>
      </c>
      <c r="BS80" s="13">
        <v>18.32</v>
      </c>
      <c r="BT80" s="13">
        <v>0.38</v>
      </c>
      <c r="BU80" s="13">
        <v>2.96</v>
      </c>
      <c r="BV80" s="13">
        <v>0.01</v>
      </c>
      <c r="BW80" s="7">
        <v>0</v>
      </c>
      <c r="BX80" s="13">
        <v>1593.72</v>
      </c>
      <c r="BY80" s="13">
        <v>161.19999999999999</v>
      </c>
      <c r="BZ80" s="13">
        <v>1430.12</v>
      </c>
      <c r="CA80" s="13">
        <v>2.4</v>
      </c>
      <c r="CB80" s="13">
        <v>765.48</v>
      </c>
      <c r="CC80" s="13">
        <v>629.73</v>
      </c>
      <c r="CD80" s="7">
        <v>0</v>
      </c>
      <c r="CE80" s="7" t="s">
        <v>104</v>
      </c>
      <c r="CF80" s="7">
        <v>0</v>
      </c>
      <c r="CG80" s="6" t="s">
        <v>104</v>
      </c>
      <c r="CH80" s="7">
        <v>0</v>
      </c>
      <c r="CI80" s="13">
        <v>135.75</v>
      </c>
      <c r="CJ80" s="7" t="s">
        <v>104</v>
      </c>
      <c r="CK80" s="7" t="s">
        <v>104</v>
      </c>
      <c r="CL80" s="13">
        <v>3462.07</v>
      </c>
      <c r="CM80" s="13">
        <v>2359.21</v>
      </c>
    </row>
    <row r="81" spans="1:91" x14ac:dyDescent="0.35">
      <c r="A81" s="5" t="s">
        <v>81</v>
      </c>
      <c r="B81" s="12">
        <v>599.6</v>
      </c>
      <c r="C81" s="12">
        <v>3.81</v>
      </c>
      <c r="D81" s="12">
        <v>1.26</v>
      </c>
      <c r="E81" s="12">
        <v>1.99</v>
      </c>
      <c r="F81" s="12">
        <v>2.4500000000000002</v>
      </c>
      <c r="G81" s="12">
        <v>10.09</v>
      </c>
      <c r="H81" s="12">
        <v>4.62</v>
      </c>
      <c r="I81" s="12">
        <v>2.73</v>
      </c>
      <c r="J81" s="12">
        <v>3.65</v>
      </c>
      <c r="K81" s="12">
        <v>3.34</v>
      </c>
      <c r="L81" s="12">
        <v>4.53</v>
      </c>
      <c r="M81" s="12">
        <v>5.0199999999999996</v>
      </c>
      <c r="N81" s="43">
        <v>0</v>
      </c>
      <c r="O81" s="43">
        <v>0</v>
      </c>
      <c r="P81" s="43">
        <v>0</v>
      </c>
      <c r="Q81" s="43">
        <v>0</v>
      </c>
      <c r="R81" s="43">
        <v>0</v>
      </c>
      <c r="S81" s="43">
        <v>0</v>
      </c>
      <c r="T81" s="43">
        <v>0</v>
      </c>
      <c r="U81" s="43">
        <v>0</v>
      </c>
      <c r="V81" s="12">
        <v>5.21</v>
      </c>
      <c r="W81" s="12">
        <v>5.58</v>
      </c>
      <c r="X81" s="12">
        <v>4.0999999999999996</v>
      </c>
      <c r="Y81" s="12">
        <v>4.55</v>
      </c>
      <c r="Z81" s="12">
        <v>5.23</v>
      </c>
      <c r="AA81" s="12">
        <v>4.41</v>
      </c>
      <c r="AB81" s="12">
        <v>4.79</v>
      </c>
      <c r="AC81" s="12">
        <v>4.29</v>
      </c>
      <c r="AD81" s="12">
        <v>3.95</v>
      </c>
      <c r="AE81" s="12">
        <v>4.57</v>
      </c>
      <c r="AF81" s="12">
        <v>4.7699999999999996</v>
      </c>
      <c r="AG81" s="12">
        <v>4.18</v>
      </c>
      <c r="AH81" s="13">
        <v>5.22</v>
      </c>
      <c r="AJ81" s="12">
        <v>1.81</v>
      </c>
      <c r="AK81" s="12">
        <v>4.3</v>
      </c>
      <c r="AL81" s="12">
        <v>8.1999999999999993</v>
      </c>
      <c r="AM81" s="12">
        <v>4.0599999999999996</v>
      </c>
      <c r="AN81" s="12">
        <v>5.1100000000000003</v>
      </c>
      <c r="AO81" s="12">
        <v>7.83</v>
      </c>
      <c r="AP81" s="12">
        <v>5.6</v>
      </c>
      <c r="AQ81" s="12">
        <v>4.62</v>
      </c>
      <c r="AR81" s="12">
        <v>3.79</v>
      </c>
      <c r="AS81" s="12">
        <v>5.29</v>
      </c>
      <c r="AT81" s="12">
        <v>1.92</v>
      </c>
      <c r="AU81" s="12">
        <v>14.23</v>
      </c>
      <c r="AV81" s="12">
        <v>4.57</v>
      </c>
      <c r="AW81" s="12">
        <v>10.52</v>
      </c>
      <c r="AX81" s="12">
        <v>5.58</v>
      </c>
      <c r="AY81" s="12">
        <v>9.0299999999999994</v>
      </c>
      <c r="AZ81" s="12">
        <v>2.4300000000000002</v>
      </c>
      <c r="BA81" s="12">
        <v>3.2</v>
      </c>
      <c r="BB81" s="12">
        <v>3.05</v>
      </c>
      <c r="BC81" s="12">
        <v>3.95</v>
      </c>
      <c r="BD81" s="12">
        <v>13.04</v>
      </c>
      <c r="BE81" s="12">
        <v>5.25</v>
      </c>
      <c r="BF81" s="12">
        <v>5.69</v>
      </c>
      <c r="BG81" s="12">
        <v>7.74</v>
      </c>
      <c r="BH81" s="12">
        <v>3.87</v>
      </c>
      <c r="BI81" s="12">
        <v>6.44</v>
      </c>
      <c r="BJ81" s="12">
        <v>2.56</v>
      </c>
      <c r="BK81" s="12">
        <v>133.71</v>
      </c>
      <c r="BL81" s="12">
        <v>5.67</v>
      </c>
      <c r="BM81" s="12">
        <v>88.72</v>
      </c>
      <c r="BN81" s="12">
        <v>4.1500000000000004</v>
      </c>
      <c r="BO81" s="12">
        <v>4.97</v>
      </c>
      <c r="BP81" s="12">
        <v>4.97</v>
      </c>
      <c r="BQ81" s="12">
        <v>10.47</v>
      </c>
      <c r="BR81" s="12">
        <v>75.94</v>
      </c>
      <c r="BS81" s="12">
        <v>5.47</v>
      </c>
      <c r="BT81" s="12">
        <v>2.87</v>
      </c>
      <c r="BU81" s="12">
        <v>4.62</v>
      </c>
      <c r="BV81" s="12">
        <v>0.02</v>
      </c>
      <c r="BW81" s="6">
        <v>0</v>
      </c>
      <c r="BX81" s="12">
        <v>219.84</v>
      </c>
      <c r="BY81" s="12">
        <v>22.65</v>
      </c>
      <c r="BZ81" s="12">
        <v>192.63</v>
      </c>
      <c r="CA81" s="12">
        <v>4.5599999999999996</v>
      </c>
      <c r="CB81" s="12">
        <v>10.130000000000001</v>
      </c>
      <c r="CC81" s="12">
        <v>5.53</v>
      </c>
      <c r="CD81" s="6">
        <v>0</v>
      </c>
      <c r="CE81" s="6" t="s">
        <v>104</v>
      </c>
      <c r="CF81" s="6">
        <v>0</v>
      </c>
      <c r="CG81" s="6" t="s">
        <v>104</v>
      </c>
      <c r="CH81" s="6">
        <v>0</v>
      </c>
      <c r="CI81" s="12">
        <v>4.5999999999999996</v>
      </c>
      <c r="CJ81" s="6" t="s">
        <v>104</v>
      </c>
      <c r="CK81" s="6" t="s">
        <v>104</v>
      </c>
      <c r="CL81" s="12">
        <v>829.56</v>
      </c>
      <c r="CM81" s="12">
        <v>229.97</v>
      </c>
    </row>
    <row r="82" spans="1:91" x14ac:dyDescent="0.35">
      <c r="A82" s="5" t="s">
        <v>82</v>
      </c>
      <c r="B82" s="13">
        <v>23.43</v>
      </c>
      <c r="C82" s="13">
        <v>0.45</v>
      </c>
      <c r="D82" s="13">
        <v>0.09</v>
      </c>
      <c r="E82" s="13">
        <v>0.09</v>
      </c>
      <c r="F82" s="13">
        <v>0.17</v>
      </c>
      <c r="G82" s="13">
        <v>0.6</v>
      </c>
      <c r="H82" s="13">
        <v>0.24</v>
      </c>
      <c r="I82" s="13">
        <v>0.21</v>
      </c>
      <c r="J82" s="13">
        <v>0.26</v>
      </c>
      <c r="K82" s="13">
        <v>0.16</v>
      </c>
      <c r="L82" s="13">
        <v>0.46</v>
      </c>
      <c r="M82" s="12">
        <v>0.53</v>
      </c>
      <c r="N82" s="43">
        <v>0</v>
      </c>
      <c r="O82" s="43">
        <v>0</v>
      </c>
      <c r="P82" s="43">
        <v>0</v>
      </c>
      <c r="Q82" s="43">
        <v>0</v>
      </c>
      <c r="R82" s="43">
        <v>0</v>
      </c>
      <c r="S82" s="43">
        <v>0</v>
      </c>
      <c r="T82" s="43">
        <v>0</v>
      </c>
      <c r="U82" s="43">
        <v>0</v>
      </c>
      <c r="V82" s="13">
        <v>0.35</v>
      </c>
      <c r="W82" s="13">
        <v>0.38</v>
      </c>
      <c r="X82" s="13">
        <v>0.31</v>
      </c>
      <c r="Y82" s="13">
        <v>0.5</v>
      </c>
      <c r="Z82" s="13">
        <v>0.49</v>
      </c>
      <c r="AA82" s="13">
        <v>0.32</v>
      </c>
      <c r="AB82" s="13">
        <v>0.35</v>
      </c>
      <c r="AC82" s="13">
        <v>0.39</v>
      </c>
      <c r="AD82" s="13">
        <v>0.47</v>
      </c>
      <c r="AE82" s="13">
        <v>0.28999999999999998</v>
      </c>
      <c r="AF82" s="13">
        <v>0.3</v>
      </c>
      <c r="AG82" s="13">
        <v>0.31</v>
      </c>
      <c r="AH82" s="13">
        <v>0.78</v>
      </c>
      <c r="AJ82" s="13">
        <v>0.12</v>
      </c>
      <c r="AK82" s="13">
        <v>0.37</v>
      </c>
      <c r="AL82" s="13">
        <v>1.1399999999999999</v>
      </c>
      <c r="AM82" s="13">
        <v>0.43</v>
      </c>
      <c r="AN82" s="13">
        <v>0.51</v>
      </c>
      <c r="AO82" s="13">
        <v>0.79</v>
      </c>
      <c r="AP82" s="13">
        <v>0.55000000000000004</v>
      </c>
      <c r="AQ82" s="13">
        <v>0.4</v>
      </c>
      <c r="AR82" s="13">
        <v>0.22</v>
      </c>
      <c r="AS82" s="13">
        <v>0.63</v>
      </c>
      <c r="AT82" s="13">
        <v>0.17</v>
      </c>
      <c r="AU82" s="13">
        <v>0.49</v>
      </c>
      <c r="AV82" s="13">
        <v>0.28000000000000003</v>
      </c>
      <c r="AW82" s="13">
        <v>0.21</v>
      </c>
      <c r="AX82" s="13">
        <v>0.34</v>
      </c>
      <c r="AY82" s="13">
        <v>0.57999999999999996</v>
      </c>
      <c r="AZ82" s="13">
        <v>0.24</v>
      </c>
      <c r="BA82" s="13">
        <v>0.3</v>
      </c>
      <c r="BB82" s="13">
        <v>0.44</v>
      </c>
      <c r="BC82" s="13">
        <v>0.26</v>
      </c>
      <c r="BD82" s="13">
        <v>1.01</v>
      </c>
      <c r="BE82" s="13">
        <v>0.49</v>
      </c>
      <c r="BF82" s="13">
        <v>0.48</v>
      </c>
      <c r="BG82" s="13">
        <v>0.27</v>
      </c>
      <c r="BH82" s="13">
        <v>0.23</v>
      </c>
      <c r="BI82" s="13">
        <v>0.55000000000000004</v>
      </c>
      <c r="BJ82" s="13">
        <v>0.23</v>
      </c>
      <c r="BK82" s="13">
        <v>0.25</v>
      </c>
      <c r="BL82" s="13">
        <v>0.5</v>
      </c>
      <c r="BM82" s="13">
        <v>0.31</v>
      </c>
      <c r="BN82" s="13">
        <v>0.2</v>
      </c>
      <c r="BO82" s="13">
        <v>0.35</v>
      </c>
      <c r="BP82" s="13">
        <v>0.24</v>
      </c>
      <c r="BQ82" s="13">
        <v>0.18</v>
      </c>
      <c r="BR82" s="13">
        <v>0.21</v>
      </c>
      <c r="BS82" s="13">
        <v>0.55000000000000004</v>
      </c>
      <c r="BT82" s="13">
        <v>0.14000000000000001</v>
      </c>
      <c r="BU82" s="13">
        <v>0.3</v>
      </c>
      <c r="BV82" s="7">
        <v>0</v>
      </c>
      <c r="BW82" s="7">
        <v>0</v>
      </c>
      <c r="BX82" s="13">
        <v>2.98</v>
      </c>
      <c r="BY82" s="13">
        <v>0.35</v>
      </c>
      <c r="BZ82" s="13">
        <v>1.69</v>
      </c>
      <c r="CA82" s="13">
        <v>0.95</v>
      </c>
      <c r="CB82" s="13">
        <v>0.67</v>
      </c>
      <c r="CC82" s="13">
        <v>0.37</v>
      </c>
      <c r="CD82" s="7">
        <v>0</v>
      </c>
      <c r="CE82" s="7" t="s">
        <v>104</v>
      </c>
      <c r="CF82" s="7">
        <v>0</v>
      </c>
      <c r="CG82" s="6" t="s">
        <v>104</v>
      </c>
      <c r="CH82" s="7">
        <v>0</v>
      </c>
      <c r="CI82" s="13">
        <v>0.3</v>
      </c>
      <c r="CJ82" s="7" t="s">
        <v>104</v>
      </c>
      <c r="CK82" s="7" t="s">
        <v>104</v>
      </c>
      <c r="CL82" s="13">
        <v>27.07</v>
      </c>
      <c r="CM82" s="13">
        <v>3.65</v>
      </c>
    </row>
    <row r="83" spans="1:91" x14ac:dyDescent="0.35">
      <c r="A83" s="5" t="s">
        <v>83</v>
      </c>
      <c r="B83" s="12">
        <v>61.77</v>
      </c>
      <c r="C83" s="12">
        <v>0.49</v>
      </c>
      <c r="D83" s="12">
        <v>0.18</v>
      </c>
      <c r="E83" s="12">
        <v>0.21</v>
      </c>
      <c r="F83" s="12">
        <v>0.33</v>
      </c>
      <c r="G83" s="12">
        <v>1.1499999999999999</v>
      </c>
      <c r="H83" s="12">
        <v>0.59</v>
      </c>
      <c r="I83" s="12">
        <v>0.44</v>
      </c>
      <c r="J83" s="12">
        <v>0.57999999999999996</v>
      </c>
      <c r="K83" s="12">
        <v>0.34</v>
      </c>
      <c r="L83" s="12">
        <v>0.94</v>
      </c>
      <c r="M83" s="12">
        <v>1.0900000000000001</v>
      </c>
      <c r="N83" s="43">
        <v>0</v>
      </c>
      <c r="O83" s="43">
        <v>0</v>
      </c>
      <c r="P83" s="43">
        <v>0</v>
      </c>
      <c r="Q83" s="43">
        <v>0</v>
      </c>
      <c r="R83" s="43">
        <v>0</v>
      </c>
      <c r="S83" s="43">
        <v>0</v>
      </c>
      <c r="T83" s="43">
        <v>0</v>
      </c>
      <c r="U83" s="43">
        <v>0</v>
      </c>
      <c r="V83" s="12">
        <v>0.85</v>
      </c>
      <c r="W83" s="12">
        <v>0.82</v>
      </c>
      <c r="X83" s="12">
        <v>0.78</v>
      </c>
      <c r="Y83" s="12">
        <v>1.1100000000000001</v>
      </c>
      <c r="Z83" s="12">
        <v>0.99</v>
      </c>
      <c r="AA83" s="12">
        <v>0.99</v>
      </c>
      <c r="AB83" s="12">
        <v>1.1100000000000001</v>
      </c>
      <c r="AC83" s="12">
        <v>1.23</v>
      </c>
      <c r="AD83" s="12">
        <v>1.69</v>
      </c>
      <c r="AE83" s="12">
        <v>0.66</v>
      </c>
      <c r="AF83" s="12">
        <v>0.78</v>
      </c>
      <c r="AG83" s="12">
        <v>0.69</v>
      </c>
      <c r="AH83" s="13">
        <v>1.1599999999999999</v>
      </c>
      <c r="AJ83" s="12">
        <v>0.27</v>
      </c>
      <c r="AK83" s="12">
        <v>0.69</v>
      </c>
      <c r="AL83" s="12">
        <v>1.62</v>
      </c>
      <c r="AM83" s="12">
        <v>0.69</v>
      </c>
      <c r="AN83" s="12">
        <v>2.06</v>
      </c>
      <c r="AO83" s="12">
        <v>2.06</v>
      </c>
      <c r="AP83" s="12">
        <v>0.94</v>
      </c>
      <c r="AQ83" s="12">
        <v>0.8</v>
      </c>
      <c r="AR83" s="12">
        <v>0.86</v>
      </c>
      <c r="AS83" s="12">
        <v>1.02</v>
      </c>
      <c r="AT83" s="12">
        <v>0.34</v>
      </c>
      <c r="AU83" s="12">
        <v>2.21</v>
      </c>
      <c r="AV83" s="12">
        <v>0.8</v>
      </c>
      <c r="AW83" s="12">
        <v>0.5</v>
      </c>
      <c r="AX83" s="12">
        <v>1.48</v>
      </c>
      <c r="AY83" s="12">
        <v>6.84</v>
      </c>
      <c r="AZ83" s="12">
        <v>0.7</v>
      </c>
      <c r="BA83" s="12">
        <v>0.68</v>
      </c>
      <c r="BB83" s="12">
        <v>0.91</v>
      </c>
      <c r="BC83" s="12">
        <v>0.79</v>
      </c>
      <c r="BD83" s="12">
        <v>2.2999999999999998</v>
      </c>
      <c r="BE83" s="12">
        <v>0.85</v>
      </c>
      <c r="BF83" s="12">
        <v>1.05</v>
      </c>
      <c r="BG83" s="12">
        <v>0.79</v>
      </c>
      <c r="BH83" s="12">
        <v>0.53</v>
      </c>
      <c r="BI83" s="12">
        <v>1.58</v>
      </c>
      <c r="BJ83" s="12">
        <v>0.36</v>
      </c>
      <c r="BK83" s="12">
        <v>0.56000000000000005</v>
      </c>
      <c r="BL83" s="6">
        <v>1</v>
      </c>
      <c r="BM83" s="12">
        <v>1.01</v>
      </c>
      <c r="BN83" s="12">
        <v>1.1100000000000001</v>
      </c>
      <c r="BO83" s="12">
        <v>2.5299999999999998</v>
      </c>
      <c r="BP83" s="12">
        <v>0.52</v>
      </c>
      <c r="BQ83" s="12">
        <v>0.39</v>
      </c>
      <c r="BR83" s="12">
        <v>0.39</v>
      </c>
      <c r="BS83" s="12">
        <v>0.28999999999999998</v>
      </c>
      <c r="BT83" s="12">
        <v>0.67</v>
      </c>
      <c r="BU83" s="12">
        <v>0.39</v>
      </c>
      <c r="BV83" s="6">
        <v>0</v>
      </c>
      <c r="BW83" s="6">
        <v>0</v>
      </c>
      <c r="BX83" s="6">
        <v>28</v>
      </c>
      <c r="BY83" s="12">
        <v>0.74</v>
      </c>
      <c r="BZ83" s="12">
        <v>27.16</v>
      </c>
      <c r="CA83" s="12">
        <v>0.1</v>
      </c>
      <c r="CB83" s="12">
        <v>-532.57000000000005</v>
      </c>
      <c r="CC83" s="12">
        <v>-533.20000000000005</v>
      </c>
      <c r="CD83" s="6">
        <v>0</v>
      </c>
      <c r="CE83" s="6" t="s">
        <v>104</v>
      </c>
      <c r="CF83" s="6">
        <v>0</v>
      </c>
      <c r="CG83" s="6" t="s">
        <v>104</v>
      </c>
      <c r="CH83" s="6">
        <v>0</v>
      </c>
      <c r="CI83" s="12">
        <v>0.63</v>
      </c>
      <c r="CJ83" s="6" t="s">
        <v>104</v>
      </c>
      <c r="CK83" s="6" t="s">
        <v>104</v>
      </c>
      <c r="CL83" s="12">
        <v>-442.81</v>
      </c>
      <c r="CM83" s="12">
        <v>-504.57</v>
      </c>
    </row>
    <row r="84" spans="1:91" x14ac:dyDescent="0.35">
      <c r="A84" s="5" t="s">
        <v>84</v>
      </c>
      <c r="B84" s="13">
        <v>563.91</v>
      </c>
      <c r="C84" s="13">
        <v>3.28</v>
      </c>
      <c r="D84" s="13">
        <v>1.91</v>
      </c>
      <c r="E84" s="13">
        <v>1.0900000000000001</v>
      </c>
      <c r="F84" s="13">
        <v>2.4500000000000002</v>
      </c>
      <c r="G84" s="13">
        <v>5.92</v>
      </c>
      <c r="H84" s="13">
        <v>3.12</v>
      </c>
      <c r="I84" s="13">
        <v>5.1100000000000003</v>
      </c>
      <c r="J84" s="13">
        <v>3.49</v>
      </c>
      <c r="K84" s="13">
        <v>2.87</v>
      </c>
      <c r="L84" s="13">
        <v>5.57</v>
      </c>
      <c r="M84" s="12">
        <v>5.33</v>
      </c>
      <c r="N84" s="43">
        <v>0</v>
      </c>
      <c r="O84" s="43">
        <v>0</v>
      </c>
      <c r="P84" s="43">
        <v>0</v>
      </c>
      <c r="Q84" s="43">
        <v>0</v>
      </c>
      <c r="R84" s="43">
        <v>0</v>
      </c>
      <c r="S84" s="43">
        <v>0</v>
      </c>
      <c r="T84" s="43">
        <v>0</v>
      </c>
      <c r="U84" s="43">
        <v>0</v>
      </c>
      <c r="V84" s="13">
        <v>3.02</v>
      </c>
      <c r="W84" s="13">
        <v>6.56</v>
      </c>
      <c r="X84" s="13">
        <v>4.07</v>
      </c>
      <c r="Y84" s="13">
        <v>5.8</v>
      </c>
      <c r="Z84" s="13">
        <v>7.44</v>
      </c>
      <c r="AA84" s="13">
        <v>4.49</v>
      </c>
      <c r="AB84" s="13">
        <v>3.47</v>
      </c>
      <c r="AC84" s="13">
        <v>4.4800000000000004</v>
      </c>
      <c r="AD84" s="13">
        <v>4.3499999999999996</v>
      </c>
      <c r="AE84" s="13">
        <v>3.17</v>
      </c>
      <c r="AF84" s="13">
        <v>87.41</v>
      </c>
      <c r="AG84" s="13">
        <v>3.93</v>
      </c>
      <c r="AH84" s="13">
        <v>5.7</v>
      </c>
      <c r="AJ84" s="13">
        <v>1.42</v>
      </c>
      <c r="AK84" s="13">
        <v>7.21</v>
      </c>
      <c r="AL84" s="13">
        <v>5.56</v>
      </c>
      <c r="AM84" s="13">
        <v>4.59</v>
      </c>
      <c r="AN84" s="13">
        <v>6.94</v>
      </c>
      <c r="AO84" s="13">
        <v>7.55</v>
      </c>
      <c r="AP84" s="13">
        <v>6.07</v>
      </c>
      <c r="AQ84" s="13">
        <v>4.7300000000000004</v>
      </c>
      <c r="AR84" s="13">
        <v>7.39</v>
      </c>
      <c r="AS84" s="13">
        <v>5.27</v>
      </c>
      <c r="AT84" s="13">
        <v>4.2699999999999996</v>
      </c>
      <c r="AU84" s="13">
        <v>27.46</v>
      </c>
      <c r="AV84" s="13">
        <v>4.08</v>
      </c>
      <c r="AW84" s="7">
        <v>4</v>
      </c>
      <c r="AX84" s="13">
        <v>3.79</v>
      </c>
      <c r="AY84" s="13">
        <v>7.38</v>
      </c>
      <c r="AZ84" s="13">
        <v>2.2400000000000002</v>
      </c>
      <c r="BA84" s="13">
        <v>5.04</v>
      </c>
      <c r="BB84" s="13">
        <v>3.54</v>
      </c>
      <c r="BC84" s="13">
        <v>5.13</v>
      </c>
      <c r="BD84" s="13">
        <v>7.84</v>
      </c>
      <c r="BE84" s="13">
        <v>4.32</v>
      </c>
      <c r="BF84" s="13">
        <v>6.16</v>
      </c>
      <c r="BG84" s="13">
        <v>4.41</v>
      </c>
      <c r="BH84" s="13">
        <v>3.24</v>
      </c>
      <c r="BI84" s="13">
        <v>10.07</v>
      </c>
      <c r="BJ84" s="13">
        <v>3.8</v>
      </c>
      <c r="BK84" s="13">
        <v>80.430000000000007</v>
      </c>
      <c r="BL84" s="13">
        <v>5.34</v>
      </c>
      <c r="BM84" s="13">
        <v>8.14</v>
      </c>
      <c r="BN84" s="13">
        <v>6.5</v>
      </c>
      <c r="BO84" s="13">
        <v>41.39</v>
      </c>
      <c r="BP84" s="13">
        <v>7.23</v>
      </c>
      <c r="BQ84" s="13">
        <v>6.28</v>
      </c>
      <c r="BR84" s="13">
        <v>4.54</v>
      </c>
      <c r="BS84" s="13">
        <v>6.5</v>
      </c>
      <c r="BT84" s="13">
        <v>1.77</v>
      </c>
      <c r="BU84" s="13">
        <v>48.27</v>
      </c>
      <c r="BV84" s="7">
        <v>0</v>
      </c>
      <c r="BW84" s="7">
        <v>0</v>
      </c>
      <c r="BX84" s="13">
        <v>980.25</v>
      </c>
      <c r="BY84" s="13">
        <v>12.83</v>
      </c>
      <c r="BZ84" s="13">
        <v>965.36</v>
      </c>
      <c r="CA84" s="13">
        <v>2.06</v>
      </c>
      <c r="CB84" s="13">
        <v>14.71</v>
      </c>
      <c r="CC84" s="13">
        <v>10.38</v>
      </c>
      <c r="CD84" s="7">
        <v>0</v>
      </c>
      <c r="CE84" s="7" t="s">
        <v>104</v>
      </c>
      <c r="CF84" s="7">
        <v>0</v>
      </c>
      <c r="CG84" s="6" t="s">
        <v>104</v>
      </c>
      <c r="CH84" s="7">
        <v>0</v>
      </c>
      <c r="CI84" s="13">
        <v>4.32</v>
      </c>
      <c r="CJ84" s="7" t="s">
        <v>104</v>
      </c>
      <c r="CK84" s="7" t="s">
        <v>104</v>
      </c>
      <c r="CL84" s="13">
        <v>1558.87</v>
      </c>
      <c r="CM84" s="13">
        <v>994.96</v>
      </c>
    </row>
    <row r="85" spans="1:91" x14ac:dyDescent="0.35">
      <c r="A85" s="5" t="s">
        <v>85</v>
      </c>
      <c r="B85" s="12">
        <v>3.1</v>
      </c>
      <c r="C85" s="12">
        <v>0.06</v>
      </c>
      <c r="D85" s="12">
        <v>0.02</v>
      </c>
      <c r="E85" s="12">
        <v>0.02</v>
      </c>
      <c r="F85" s="12">
        <v>0.04</v>
      </c>
      <c r="G85" s="12">
        <v>7.0000000000000007E-2</v>
      </c>
      <c r="H85" s="12">
        <v>0.05</v>
      </c>
      <c r="I85" s="12">
        <v>0.04</v>
      </c>
      <c r="J85" s="12">
        <v>0.06</v>
      </c>
      <c r="K85" s="12">
        <v>0.04</v>
      </c>
      <c r="L85" s="12">
        <v>0.06</v>
      </c>
      <c r="M85" s="12">
        <v>7.0000000000000007E-2</v>
      </c>
      <c r="N85" s="43">
        <v>0</v>
      </c>
      <c r="O85" s="43">
        <v>0</v>
      </c>
      <c r="P85" s="43">
        <v>0</v>
      </c>
      <c r="Q85" s="43">
        <v>0</v>
      </c>
      <c r="R85" s="43">
        <v>0</v>
      </c>
      <c r="S85" s="43">
        <v>0</v>
      </c>
      <c r="T85" s="43">
        <v>0</v>
      </c>
      <c r="U85" s="43">
        <v>0</v>
      </c>
      <c r="V85" s="12">
        <v>0.06</v>
      </c>
      <c r="W85" s="12">
        <v>0.06</v>
      </c>
      <c r="X85" s="12">
        <v>0.05</v>
      </c>
      <c r="Y85" s="12">
        <v>7.0000000000000007E-2</v>
      </c>
      <c r="Z85" s="12">
        <v>7.0000000000000007E-2</v>
      </c>
      <c r="AA85" s="12">
        <v>0.05</v>
      </c>
      <c r="AB85" s="12">
        <v>0.05</v>
      </c>
      <c r="AC85" s="12">
        <v>0.06</v>
      </c>
      <c r="AD85" s="12">
        <v>0.06</v>
      </c>
      <c r="AE85" s="12">
        <v>0.05</v>
      </c>
      <c r="AF85" s="12">
        <v>0.06</v>
      </c>
      <c r="AG85" s="12">
        <v>0.06</v>
      </c>
      <c r="AH85" s="13">
        <v>0.06</v>
      </c>
      <c r="AJ85" s="12">
        <v>0.02</v>
      </c>
      <c r="AK85" s="12">
        <v>7.0000000000000007E-2</v>
      </c>
      <c r="AL85" s="12">
        <v>7.0000000000000007E-2</v>
      </c>
      <c r="AM85" s="12">
        <v>0.05</v>
      </c>
      <c r="AN85" s="12">
        <v>0.05</v>
      </c>
      <c r="AO85" s="12">
        <v>0.04</v>
      </c>
      <c r="AP85" s="12">
        <v>0.06</v>
      </c>
      <c r="AQ85" s="12">
        <v>0.05</v>
      </c>
      <c r="AR85" s="12">
        <v>0.05</v>
      </c>
      <c r="AS85" s="12">
        <v>0.06</v>
      </c>
      <c r="AT85" s="12">
        <v>0.04</v>
      </c>
      <c r="AU85" s="12">
        <v>0.06</v>
      </c>
      <c r="AV85" s="12">
        <v>0.04</v>
      </c>
      <c r="AW85" s="12">
        <v>0.05</v>
      </c>
      <c r="AX85" s="12">
        <v>0.06</v>
      </c>
      <c r="AY85" s="12">
        <v>0.06</v>
      </c>
      <c r="AZ85" s="12">
        <v>0.03</v>
      </c>
      <c r="BA85" s="12">
        <v>0.05</v>
      </c>
      <c r="BB85" s="12">
        <v>0.04</v>
      </c>
      <c r="BC85" s="12">
        <v>0.05</v>
      </c>
      <c r="BD85" s="12">
        <v>0.05</v>
      </c>
      <c r="BE85" s="12">
        <v>0.05</v>
      </c>
      <c r="BF85" s="12">
        <v>0.06</v>
      </c>
      <c r="BG85" s="12">
        <v>0.04</v>
      </c>
      <c r="BH85" s="12">
        <v>0.04</v>
      </c>
      <c r="BI85" s="12">
        <v>0.08</v>
      </c>
      <c r="BJ85" s="12">
        <v>0.03</v>
      </c>
      <c r="BK85" s="12">
        <v>0.05</v>
      </c>
      <c r="BL85" s="12">
        <v>0.05</v>
      </c>
      <c r="BM85" s="12">
        <v>0.05</v>
      </c>
      <c r="BN85" s="12">
        <v>0.05</v>
      </c>
      <c r="BO85" s="12">
        <v>7.0000000000000007E-2</v>
      </c>
      <c r="BP85" s="12">
        <v>0.04</v>
      </c>
      <c r="BQ85" s="12">
        <v>0.04</v>
      </c>
      <c r="BR85" s="12">
        <v>0.03</v>
      </c>
      <c r="BS85" s="12">
        <v>0.03</v>
      </c>
      <c r="BT85" s="12">
        <v>0.03</v>
      </c>
      <c r="BU85" s="12">
        <v>0.04</v>
      </c>
      <c r="BV85" s="6">
        <v>0</v>
      </c>
      <c r="BW85" s="6">
        <v>0</v>
      </c>
      <c r="BX85" s="12">
        <v>0.4</v>
      </c>
      <c r="BY85" s="12">
        <v>7.0000000000000007E-2</v>
      </c>
      <c r="BZ85" s="12">
        <v>0.33</v>
      </c>
      <c r="CA85" s="12">
        <v>0.01</v>
      </c>
      <c r="CB85" s="12">
        <v>0.15</v>
      </c>
      <c r="CC85" s="12">
        <v>0.08</v>
      </c>
      <c r="CD85" s="6">
        <v>0</v>
      </c>
      <c r="CE85" s="6" t="s">
        <v>104</v>
      </c>
      <c r="CF85" s="6">
        <v>0</v>
      </c>
      <c r="CG85" s="6" t="s">
        <v>104</v>
      </c>
      <c r="CH85" s="6">
        <v>0</v>
      </c>
      <c r="CI85" s="12">
        <v>7.0000000000000007E-2</v>
      </c>
      <c r="CJ85" s="6" t="s">
        <v>104</v>
      </c>
      <c r="CK85" s="6" t="s">
        <v>104</v>
      </c>
      <c r="CL85" s="12">
        <v>3.65</v>
      </c>
      <c r="CM85" s="12">
        <v>0.55000000000000004</v>
      </c>
    </row>
    <row r="86" spans="1:91" x14ac:dyDescent="0.35">
      <c r="A86" s="5" t="s">
        <v>86</v>
      </c>
      <c r="B86" s="7">
        <v>0</v>
      </c>
      <c r="C86" s="7">
        <v>0</v>
      </c>
      <c r="D86" s="7">
        <v>0</v>
      </c>
      <c r="E86" s="7">
        <v>0</v>
      </c>
      <c r="F86" s="7">
        <v>0</v>
      </c>
      <c r="G86" s="7">
        <v>0</v>
      </c>
      <c r="H86" s="7">
        <v>0</v>
      </c>
      <c r="I86" s="7">
        <v>0</v>
      </c>
      <c r="J86" s="7">
        <v>0</v>
      </c>
      <c r="K86" s="7">
        <v>0</v>
      </c>
      <c r="L86" s="7">
        <v>0</v>
      </c>
      <c r="M86" s="12">
        <v>0</v>
      </c>
      <c r="N86" s="12">
        <v>0</v>
      </c>
      <c r="O86" s="12">
        <v>0</v>
      </c>
      <c r="P86" s="12">
        <v>0</v>
      </c>
      <c r="Q86" s="12">
        <v>0</v>
      </c>
      <c r="R86" s="12">
        <v>0</v>
      </c>
      <c r="S86" s="12">
        <v>0</v>
      </c>
      <c r="T86" s="12">
        <v>0</v>
      </c>
      <c r="U86" s="12">
        <v>0</v>
      </c>
      <c r="V86" s="7">
        <v>0</v>
      </c>
      <c r="W86" s="7">
        <v>0</v>
      </c>
      <c r="X86" s="7">
        <v>0</v>
      </c>
      <c r="Y86" s="7">
        <v>0</v>
      </c>
      <c r="Z86" s="7">
        <v>0</v>
      </c>
      <c r="AA86" s="7">
        <v>0</v>
      </c>
      <c r="AB86" s="7">
        <v>0</v>
      </c>
      <c r="AC86" s="7">
        <v>0</v>
      </c>
      <c r="AD86" s="7">
        <v>0</v>
      </c>
      <c r="AE86" s="7">
        <v>0</v>
      </c>
      <c r="AF86" s="7">
        <v>0</v>
      </c>
      <c r="AG86" s="7">
        <v>0</v>
      </c>
      <c r="AH86" s="13">
        <v>0</v>
      </c>
      <c r="AJ86" s="7">
        <v>0</v>
      </c>
      <c r="AK86" s="7">
        <v>0</v>
      </c>
      <c r="AL86" s="7">
        <v>0</v>
      </c>
      <c r="AM86" s="7">
        <v>0</v>
      </c>
      <c r="AN86" s="7">
        <v>0</v>
      </c>
      <c r="AO86" s="7">
        <v>0</v>
      </c>
      <c r="AP86" s="7">
        <v>0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  <c r="AY86" s="7">
        <v>0</v>
      </c>
      <c r="AZ86" s="7">
        <v>0</v>
      </c>
      <c r="BA86" s="7">
        <v>0</v>
      </c>
      <c r="BB86" s="7">
        <v>0</v>
      </c>
      <c r="BC86" s="7">
        <v>0</v>
      </c>
      <c r="BD86" s="7">
        <v>0</v>
      </c>
      <c r="BE86" s="7">
        <v>0</v>
      </c>
      <c r="BF86" s="7">
        <v>0</v>
      </c>
      <c r="BG86" s="7">
        <v>0</v>
      </c>
      <c r="BH86" s="7">
        <v>0</v>
      </c>
      <c r="BI86" s="7">
        <v>0</v>
      </c>
      <c r="BJ86" s="7">
        <v>0</v>
      </c>
      <c r="BK86" s="7">
        <v>0</v>
      </c>
      <c r="BL86" s="7">
        <v>0</v>
      </c>
      <c r="BM86" s="7">
        <v>0</v>
      </c>
      <c r="BN86" s="7">
        <v>0</v>
      </c>
      <c r="BO86" s="7">
        <v>0</v>
      </c>
      <c r="BP86" s="7">
        <v>0</v>
      </c>
      <c r="BQ86" s="7">
        <v>0</v>
      </c>
      <c r="BR86" s="7">
        <v>0</v>
      </c>
      <c r="BS86" s="7">
        <v>0</v>
      </c>
      <c r="BT86" s="7">
        <v>0</v>
      </c>
      <c r="BU86" s="7">
        <v>0</v>
      </c>
      <c r="BV86" s="7">
        <v>0</v>
      </c>
      <c r="BW86" s="7">
        <v>0</v>
      </c>
      <c r="BX86" s="7">
        <v>0</v>
      </c>
      <c r="BY86" s="7">
        <v>0</v>
      </c>
      <c r="BZ86" s="7">
        <v>0</v>
      </c>
      <c r="CA86" s="7">
        <v>0</v>
      </c>
      <c r="CB86" s="7">
        <v>0</v>
      </c>
      <c r="CC86" s="7">
        <v>0</v>
      </c>
      <c r="CD86" s="7">
        <v>0</v>
      </c>
      <c r="CE86" s="7" t="s">
        <v>104</v>
      </c>
      <c r="CF86" s="7">
        <v>0</v>
      </c>
      <c r="CG86" s="6" t="s">
        <v>104</v>
      </c>
      <c r="CH86" s="7">
        <v>0</v>
      </c>
      <c r="CI86" s="7">
        <v>0</v>
      </c>
      <c r="CJ86" s="7" t="s">
        <v>104</v>
      </c>
      <c r="CK86" s="7" t="s">
        <v>104</v>
      </c>
      <c r="CL86" s="7">
        <v>0</v>
      </c>
      <c r="CM86" s="7">
        <v>0</v>
      </c>
    </row>
    <row r="87" spans="1:91" x14ac:dyDescent="0.35">
      <c r="A87" s="5" t="s">
        <v>105</v>
      </c>
      <c r="B87" s="6" t="s">
        <v>104</v>
      </c>
      <c r="C87" s="6" t="s">
        <v>104</v>
      </c>
      <c r="D87" s="6" t="s">
        <v>104</v>
      </c>
      <c r="E87" s="6" t="s">
        <v>104</v>
      </c>
      <c r="F87" s="6" t="s">
        <v>104</v>
      </c>
      <c r="G87" s="6" t="s">
        <v>104</v>
      </c>
      <c r="H87" s="6" t="s">
        <v>104</v>
      </c>
      <c r="I87" s="6" t="s">
        <v>104</v>
      </c>
      <c r="J87" s="6" t="s">
        <v>104</v>
      </c>
      <c r="K87" s="6" t="s">
        <v>104</v>
      </c>
      <c r="L87" s="6" t="s">
        <v>104</v>
      </c>
      <c r="M87" s="6" t="s">
        <v>104</v>
      </c>
      <c r="N87" s="6" t="s">
        <v>104</v>
      </c>
      <c r="O87" s="6" t="s">
        <v>104</v>
      </c>
      <c r="P87" s="6" t="s">
        <v>104</v>
      </c>
      <c r="Q87" s="6" t="s">
        <v>104</v>
      </c>
      <c r="R87" s="6" t="s">
        <v>104</v>
      </c>
      <c r="S87" s="6" t="s">
        <v>104</v>
      </c>
      <c r="T87" s="6" t="s">
        <v>104</v>
      </c>
      <c r="U87" s="6" t="s">
        <v>104</v>
      </c>
      <c r="V87" s="6" t="s">
        <v>104</v>
      </c>
      <c r="W87" s="6" t="s">
        <v>104</v>
      </c>
      <c r="X87" s="6" t="s">
        <v>104</v>
      </c>
      <c r="Y87" s="6" t="s">
        <v>104</v>
      </c>
      <c r="Z87" s="6" t="s">
        <v>104</v>
      </c>
      <c r="AA87" s="6" t="s">
        <v>104</v>
      </c>
      <c r="AB87" s="6" t="s">
        <v>104</v>
      </c>
      <c r="AC87" s="6" t="s">
        <v>104</v>
      </c>
      <c r="AD87" s="6" t="s">
        <v>104</v>
      </c>
      <c r="AE87" s="6" t="s">
        <v>104</v>
      </c>
      <c r="AF87" s="6" t="s">
        <v>104</v>
      </c>
      <c r="AG87" s="6" t="s">
        <v>104</v>
      </c>
      <c r="AH87" s="6" t="s">
        <v>104</v>
      </c>
      <c r="AI87" s="6" t="s">
        <v>104</v>
      </c>
      <c r="AJ87" s="6" t="s">
        <v>104</v>
      </c>
      <c r="AK87" s="6" t="s">
        <v>104</v>
      </c>
      <c r="AL87" s="6" t="s">
        <v>104</v>
      </c>
      <c r="AM87" s="6" t="s">
        <v>104</v>
      </c>
      <c r="AN87" s="6" t="s">
        <v>104</v>
      </c>
      <c r="AO87" s="6" t="s">
        <v>104</v>
      </c>
      <c r="AP87" s="6" t="s">
        <v>104</v>
      </c>
      <c r="AQ87" s="6" t="s">
        <v>104</v>
      </c>
      <c r="AR87" s="6" t="s">
        <v>104</v>
      </c>
      <c r="AS87" s="6" t="s">
        <v>104</v>
      </c>
      <c r="AT87" s="6" t="s">
        <v>104</v>
      </c>
      <c r="AU87" s="6" t="s">
        <v>104</v>
      </c>
      <c r="AV87" s="6" t="s">
        <v>104</v>
      </c>
      <c r="AW87" s="6" t="s">
        <v>104</v>
      </c>
      <c r="AX87" s="6" t="s">
        <v>104</v>
      </c>
      <c r="AY87" s="6" t="s">
        <v>104</v>
      </c>
      <c r="AZ87" s="6" t="s">
        <v>104</v>
      </c>
      <c r="BA87" s="6" t="s">
        <v>104</v>
      </c>
      <c r="BB87" s="6" t="s">
        <v>104</v>
      </c>
      <c r="BC87" s="6" t="s">
        <v>104</v>
      </c>
      <c r="BD87" s="6" t="s">
        <v>104</v>
      </c>
      <c r="BE87" s="6" t="s">
        <v>104</v>
      </c>
      <c r="BF87" s="6" t="s">
        <v>104</v>
      </c>
      <c r="BG87" s="6" t="s">
        <v>104</v>
      </c>
      <c r="BH87" s="6" t="s">
        <v>104</v>
      </c>
      <c r="BI87" s="6" t="s">
        <v>104</v>
      </c>
      <c r="BJ87" s="6" t="s">
        <v>104</v>
      </c>
      <c r="BK87" s="6" t="s">
        <v>104</v>
      </c>
      <c r="BL87" s="6" t="s">
        <v>104</v>
      </c>
      <c r="BM87" s="6" t="s">
        <v>104</v>
      </c>
      <c r="BN87" s="6" t="s">
        <v>104</v>
      </c>
      <c r="BO87" s="6" t="s">
        <v>104</v>
      </c>
      <c r="BP87" s="6" t="s">
        <v>104</v>
      </c>
      <c r="BQ87" s="6" t="s">
        <v>104</v>
      </c>
      <c r="BR87" s="6" t="s">
        <v>104</v>
      </c>
      <c r="BS87" s="6" t="s">
        <v>104</v>
      </c>
      <c r="BT87" s="6" t="s">
        <v>104</v>
      </c>
      <c r="BU87" s="6" t="s">
        <v>104</v>
      </c>
      <c r="BV87" s="6" t="s">
        <v>104</v>
      </c>
      <c r="BW87" s="6" t="s">
        <v>104</v>
      </c>
      <c r="BX87" s="6" t="s">
        <v>104</v>
      </c>
      <c r="BY87" s="6" t="s">
        <v>104</v>
      </c>
      <c r="BZ87" s="6" t="s">
        <v>104</v>
      </c>
      <c r="CA87" s="6" t="s">
        <v>104</v>
      </c>
      <c r="CB87" s="6" t="s">
        <v>104</v>
      </c>
      <c r="CC87" s="6" t="s">
        <v>104</v>
      </c>
      <c r="CD87" s="6" t="s">
        <v>104</v>
      </c>
      <c r="CE87" s="6" t="s">
        <v>104</v>
      </c>
      <c r="CF87" s="6" t="s">
        <v>104</v>
      </c>
      <c r="CG87" s="6" t="s">
        <v>104</v>
      </c>
      <c r="CH87" s="6" t="s">
        <v>104</v>
      </c>
      <c r="CI87" s="6" t="s">
        <v>104</v>
      </c>
      <c r="CJ87" s="6" t="s">
        <v>104</v>
      </c>
      <c r="CK87" s="6" t="s">
        <v>104</v>
      </c>
      <c r="CL87" s="6" t="s">
        <v>104</v>
      </c>
      <c r="CM87" s="6" t="s">
        <v>104</v>
      </c>
    </row>
    <row r="88" spans="1:91" x14ac:dyDescent="0.35">
      <c r="A88" s="5" t="s">
        <v>106</v>
      </c>
      <c r="B88" s="7" t="s">
        <v>104</v>
      </c>
      <c r="C88" s="7" t="s">
        <v>104</v>
      </c>
      <c r="D88" s="7" t="s">
        <v>104</v>
      </c>
      <c r="E88" s="7" t="s">
        <v>104</v>
      </c>
      <c r="F88" s="7" t="s">
        <v>104</v>
      </c>
      <c r="G88" s="7" t="s">
        <v>104</v>
      </c>
      <c r="H88" s="7" t="s">
        <v>104</v>
      </c>
      <c r="I88" s="7" t="s">
        <v>104</v>
      </c>
      <c r="J88" s="7" t="s">
        <v>104</v>
      </c>
      <c r="K88" s="7" t="s">
        <v>104</v>
      </c>
      <c r="L88" s="6" t="s">
        <v>104</v>
      </c>
      <c r="M88" s="6" t="s">
        <v>104</v>
      </c>
      <c r="N88" s="6" t="s">
        <v>104</v>
      </c>
      <c r="O88" s="6" t="s">
        <v>104</v>
      </c>
      <c r="P88" s="6" t="s">
        <v>104</v>
      </c>
      <c r="Q88" s="6" t="s">
        <v>104</v>
      </c>
      <c r="R88" s="6" t="s">
        <v>104</v>
      </c>
      <c r="S88" s="6" t="s">
        <v>104</v>
      </c>
      <c r="T88" s="6" t="s">
        <v>104</v>
      </c>
      <c r="U88" s="6" t="s">
        <v>104</v>
      </c>
      <c r="V88" s="7" t="s">
        <v>104</v>
      </c>
      <c r="W88" s="7" t="s">
        <v>104</v>
      </c>
      <c r="X88" s="7" t="s">
        <v>104</v>
      </c>
      <c r="Y88" s="7" t="s">
        <v>104</v>
      </c>
      <c r="Z88" s="7" t="s">
        <v>104</v>
      </c>
      <c r="AA88" s="7" t="s">
        <v>104</v>
      </c>
      <c r="AB88" s="7" t="s">
        <v>104</v>
      </c>
      <c r="AC88" s="7" t="s">
        <v>104</v>
      </c>
      <c r="AD88" s="7" t="s">
        <v>104</v>
      </c>
      <c r="AE88" s="7" t="s">
        <v>104</v>
      </c>
      <c r="AF88" s="7" t="s">
        <v>104</v>
      </c>
      <c r="AG88" s="6" t="s">
        <v>104</v>
      </c>
      <c r="AH88" s="6" t="s">
        <v>104</v>
      </c>
      <c r="AI88" s="6" t="s">
        <v>104</v>
      </c>
      <c r="AJ88" s="7" t="s">
        <v>104</v>
      </c>
      <c r="AK88" s="7" t="s">
        <v>104</v>
      </c>
      <c r="AL88" s="7" t="s">
        <v>104</v>
      </c>
      <c r="AM88" s="7" t="s">
        <v>104</v>
      </c>
      <c r="AN88" s="7" t="s">
        <v>104</v>
      </c>
      <c r="AO88" s="7" t="s">
        <v>104</v>
      </c>
      <c r="AP88" s="7" t="s">
        <v>104</v>
      </c>
      <c r="AQ88" s="7" t="s">
        <v>104</v>
      </c>
      <c r="AR88" s="7" t="s">
        <v>104</v>
      </c>
      <c r="AS88" s="7" t="s">
        <v>104</v>
      </c>
      <c r="AT88" s="7" t="s">
        <v>104</v>
      </c>
      <c r="AU88" s="7" t="s">
        <v>104</v>
      </c>
      <c r="AV88" s="7" t="s">
        <v>104</v>
      </c>
      <c r="AW88" s="7" t="s">
        <v>104</v>
      </c>
      <c r="AX88" s="7" t="s">
        <v>104</v>
      </c>
      <c r="AY88" s="7" t="s">
        <v>104</v>
      </c>
      <c r="AZ88" s="7" t="s">
        <v>104</v>
      </c>
      <c r="BA88" s="7" t="s">
        <v>104</v>
      </c>
      <c r="BB88" s="7" t="s">
        <v>104</v>
      </c>
      <c r="BC88" s="7" t="s">
        <v>104</v>
      </c>
      <c r="BD88" s="7" t="s">
        <v>104</v>
      </c>
      <c r="BE88" s="7" t="s">
        <v>104</v>
      </c>
      <c r="BF88" s="7" t="s">
        <v>104</v>
      </c>
      <c r="BG88" s="7" t="s">
        <v>104</v>
      </c>
      <c r="BH88" s="7" t="s">
        <v>104</v>
      </c>
      <c r="BI88" s="7" t="s">
        <v>104</v>
      </c>
      <c r="BJ88" s="7" t="s">
        <v>104</v>
      </c>
      <c r="BK88" s="7" t="s">
        <v>104</v>
      </c>
      <c r="BL88" s="7" t="s">
        <v>104</v>
      </c>
      <c r="BM88" s="7" t="s">
        <v>104</v>
      </c>
      <c r="BN88" s="7" t="s">
        <v>104</v>
      </c>
      <c r="BO88" s="7" t="s">
        <v>104</v>
      </c>
      <c r="BP88" s="7" t="s">
        <v>104</v>
      </c>
      <c r="BQ88" s="7" t="s">
        <v>104</v>
      </c>
      <c r="BR88" s="7" t="s">
        <v>104</v>
      </c>
      <c r="BS88" s="7" t="s">
        <v>104</v>
      </c>
      <c r="BT88" s="7" t="s">
        <v>104</v>
      </c>
      <c r="BU88" s="7" t="s">
        <v>104</v>
      </c>
      <c r="BV88" s="7" t="s">
        <v>104</v>
      </c>
      <c r="BW88" s="7" t="s">
        <v>104</v>
      </c>
      <c r="BX88" s="7" t="s">
        <v>104</v>
      </c>
      <c r="BY88" s="7" t="s">
        <v>104</v>
      </c>
      <c r="BZ88" s="7" t="s">
        <v>104</v>
      </c>
      <c r="CA88" s="7" t="s">
        <v>104</v>
      </c>
      <c r="CB88" s="7" t="s">
        <v>104</v>
      </c>
      <c r="CC88" s="7" t="s">
        <v>104</v>
      </c>
      <c r="CD88" s="7" t="s">
        <v>104</v>
      </c>
      <c r="CE88" s="7" t="s">
        <v>104</v>
      </c>
      <c r="CF88" s="7" t="s">
        <v>104</v>
      </c>
      <c r="CG88" s="6" t="s">
        <v>104</v>
      </c>
      <c r="CH88" s="7" t="s">
        <v>104</v>
      </c>
      <c r="CI88" s="7" t="s">
        <v>104</v>
      </c>
      <c r="CJ88" s="7" t="s">
        <v>104</v>
      </c>
      <c r="CK88" s="7" t="s">
        <v>104</v>
      </c>
      <c r="CL88" s="7" t="s">
        <v>104</v>
      </c>
      <c r="CM88" s="7" t="s">
        <v>104</v>
      </c>
    </row>
    <row r="89" spans="1:91" x14ac:dyDescent="0.35">
      <c r="A89" s="5" t="s">
        <v>107</v>
      </c>
      <c r="B89" s="6" t="s">
        <v>104</v>
      </c>
      <c r="C89" s="6" t="s">
        <v>104</v>
      </c>
      <c r="D89" s="6" t="s">
        <v>104</v>
      </c>
      <c r="E89" s="6" t="s">
        <v>104</v>
      </c>
      <c r="F89" s="6" t="s">
        <v>104</v>
      </c>
      <c r="G89" s="6" t="s">
        <v>104</v>
      </c>
      <c r="H89" s="6" t="s">
        <v>104</v>
      </c>
      <c r="I89" s="6" t="s">
        <v>104</v>
      </c>
      <c r="J89" s="6" t="s">
        <v>104</v>
      </c>
      <c r="K89" s="6" t="s">
        <v>104</v>
      </c>
      <c r="L89" s="6" t="s">
        <v>104</v>
      </c>
      <c r="M89" s="6" t="s">
        <v>104</v>
      </c>
      <c r="N89" s="6" t="s">
        <v>104</v>
      </c>
      <c r="O89" s="6" t="s">
        <v>104</v>
      </c>
      <c r="P89" s="6" t="s">
        <v>104</v>
      </c>
      <c r="Q89" s="6" t="s">
        <v>104</v>
      </c>
      <c r="R89" s="6" t="s">
        <v>104</v>
      </c>
      <c r="S89" s="6" t="s">
        <v>104</v>
      </c>
      <c r="T89" s="6" t="s">
        <v>104</v>
      </c>
      <c r="U89" s="6" t="s">
        <v>104</v>
      </c>
      <c r="V89" s="6" t="s">
        <v>104</v>
      </c>
      <c r="W89" s="6" t="s">
        <v>104</v>
      </c>
      <c r="X89" s="6" t="s">
        <v>104</v>
      </c>
      <c r="Y89" s="6" t="s">
        <v>104</v>
      </c>
      <c r="Z89" s="6" t="s">
        <v>104</v>
      </c>
      <c r="AA89" s="6" t="s">
        <v>104</v>
      </c>
      <c r="AB89" s="6" t="s">
        <v>104</v>
      </c>
      <c r="AC89" s="6" t="s">
        <v>104</v>
      </c>
      <c r="AD89" s="6" t="s">
        <v>104</v>
      </c>
      <c r="AE89" s="6" t="s">
        <v>104</v>
      </c>
      <c r="AF89" s="6" t="s">
        <v>104</v>
      </c>
      <c r="AG89" s="6" t="s">
        <v>104</v>
      </c>
      <c r="AH89" s="6" t="s">
        <v>104</v>
      </c>
      <c r="AI89" s="6" t="s">
        <v>104</v>
      </c>
      <c r="AJ89" s="6" t="s">
        <v>104</v>
      </c>
      <c r="AK89" s="6" t="s">
        <v>104</v>
      </c>
      <c r="AL89" s="6" t="s">
        <v>104</v>
      </c>
      <c r="AM89" s="6" t="s">
        <v>104</v>
      </c>
      <c r="AN89" s="6" t="s">
        <v>104</v>
      </c>
      <c r="AO89" s="6" t="s">
        <v>104</v>
      </c>
      <c r="AP89" s="6" t="s">
        <v>104</v>
      </c>
      <c r="AQ89" s="6" t="s">
        <v>104</v>
      </c>
      <c r="AR89" s="6" t="s">
        <v>104</v>
      </c>
      <c r="AS89" s="6" t="s">
        <v>104</v>
      </c>
      <c r="AT89" s="6" t="s">
        <v>104</v>
      </c>
      <c r="AU89" s="6" t="s">
        <v>104</v>
      </c>
      <c r="AV89" s="6" t="s">
        <v>104</v>
      </c>
      <c r="AW89" s="6" t="s">
        <v>104</v>
      </c>
      <c r="AX89" s="6" t="s">
        <v>104</v>
      </c>
      <c r="AY89" s="6" t="s">
        <v>104</v>
      </c>
      <c r="AZ89" s="6" t="s">
        <v>104</v>
      </c>
      <c r="BA89" s="6" t="s">
        <v>104</v>
      </c>
      <c r="BB89" s="6" t="s">
        <v>104</v>
      </c>
      <c r="BC89" s="6" t="s">
        <v>104</v>
      </c>
      <c r="BD89" s="6" t="s">
        <v>104</v>
      </c>
      <c r="BE89" s="6" t="s">
        <v>104</v>
      </c>
      <c r="BF89" s="6" t="s">
        <v>104</v>
      </c>
      <c r="BG89" s="6" t="s">
        <v>104</v>
      </c>
      <c r="BH89" s="6" t="s">
        <v>104</v>
      </c>
      <c r="BI89" s="6" t="s">
        <v>104</v>
      </c>
      <c r="BJ89" s="6" t="s">
        <v>104</v>
      </c>
      <c r="BK89" s="6" t="s">
        <v>104</v>
      </c>
      <c r="BL89" s="6" t="s">
        <v>104</v>
      </c>
      <c r="BM89" s="6" t="s">
        <v>104</v>
      </c>
      <c r="BN89" s="6" t="s">
        <v>104</v>
      </c>
      <c r="BO89" s="6" t="s">
        <v>104</v>
      </c>
      <c r="BP89" s="6" t="s">
        <v>104</v>
      </c>
      <c r="BQ89" s="6" t="s">
        <v>104</v>
      </c>
      <c r="BR89" s="6" t="s">
        <v>104</v>
      </c>
      <c r="BS89" s="6" t="s">
        <v>104</v>
      </c>
      <c r="BT89" s="6" t="s">
        <v>104</v>
      </c>
      <c r="BU89" s="6" t="s">
        <v>104</v>
      </c>
      <c r="BV89" s="6" t="s">
        <v>104</v>
      </c>
      <c r="BW89" s="6" t="s">
        <v>104</v>
      </c>
      <c r="BX89" s="6" t="s">
        <v>104</v>
      </c>
      <c r="BY89" s="6" t="s">
        <v>104</v>
      </c>
      <c r="BZ89" s="6" t="s">
        <v>104</v>
      </c>
      <c r="CA89" s="6" t="s">
        <v>104</v>
      </c>
      <c r="CB89" s="6" t="s">
        <v>104</v>
      </c>
      <c r="CC89" s="6" t="s">
        <v>104</v>
      </c>
      <c r="CD89" s="6" t="s">
        <v>104</v>
      </c>
      <c r="CE89" s="6" t="s">
        <v>104</v>
      </c>
      <c r="CF89" s="6" t="s">
        <v>104</v>
      </c>
      <c r="CG89" s="6" t="s">
        <v>104</v>
      </c>
      <c r="CH89" s="6" t="s">
        <v>104</v>
      </c>
      <c r="CI89" s="6" t="s">
        <v>104</v>
      </c>
      <c r="CJ89" s="6" t="s">
        <v>104</v>
      </c>
      <c r="CK89" s="6" t="s">
        <v>104</v>
      </c>
      <c r="CL89" s="6" t="s">
        <v>104</v>
      </c>
      <c r="CM89" s="6" t="s">
        <v>104</v>
      </c>
    </row>
    <row r="90" spans="1:91" x14ac:dyDescent="0.35">
      <c r="A90" s="5" t="s">
        <v>108</v>
      </c>
      <c r="B90" s="7" t="s">
        <v>104</v>
      </c>
      <c r="C90" s="7" t="s">
        <v>104</v>
      </c>
      <c r="D90" s="7" t="s">
        <v>104</v>
      </c>
      <c r="E90" s="7" t="s">
        <v>104</v>
      </c>
      <c r="F90" s="7" t="s">
        <v>104</v>
      </c>
      <c r="G90" s="7" t="s">
        <v>104</v>
      </c>
      <c r="H90" s="7" t="s">
        <v>104</v>
      </c>
      <c r="I90" s="7" t="s">
        <v>104</v>
      </c>
      <c r="J90" s="7" t="s">
        <v>104</v>
      </c>
      <c r="K90" s="7" t="s">
        <v>104</v>
      </c>
      <c r="L90" s="6" t="s">
        <v>104</v>
      </c>
      <c r="M90" s="6" t="s">
        <v>104</v>
      </c>
      <c r="N90" s="6" t="s">
        <v>104</v>
      </c>
      <c r="O90" s="6" t="s">
        <v>104</v>
      </c>
      <c r="P90" s="6" t="s">
        <v>104</v>
      </c>
      <c r="Q90" s="6" t="s">
        <v>104</v>
      </c>
      <c r="R90" s="6" t="s">
        <v>104</v>
      </c>
      <c r="S90" s="6" t="s">
        <v>104</v>
      </c>
      <c r="T90" s="6" t="s">
        <v>104</v>
      </c>
      <c r="U90" s="6" t="s">
        <v>104</v>
      </c>
      <c r="V90" s="7" t="s">
        <v>104</v>
      </c>
      <c r="W90" s="7" t="s">
        <v>104</v>
      </c>
      <c r="X90" s="7" t="s">
        <v>104</v>
      </c>
      <c r="Y90" s="7" t="s">
        <v>104</v>
      </c>
      <c r="Z90" s="7" t="s">
        <v>104</v>
      </c>
      <c r="AA90" s="7" t="s">
        <v>104</v>
      </c>
      <c r="AB90" s="7" t="s">
        <v>104</v>
      </c>
      <c r="AC90" s="7" t="s">
        <v>104</v>
      </c>
      <c r="AD90" s="7" t="s">
        <v>104</v>
      </c>
      <c r="AE90" s="7" t="s">
        <v>104</v>
      </c>
      <c r="AF90" s="7" t="s">
        <v>104</v>
      </c>
      <c r="AG90" s="6" t="s">
        <v>104</v>
      </c>
      <c r="AH90" s="6" t="s">
        <v>104</v>
      </c>
      <c r="AI90" s="6" t="s">
        <v>104</v>
      </c>
      <c r="AJ90" s="7" t="s">
        <v>104</v>
      </c>
      <c r="AK90" s="7" t="s">
        <v>104</v>
      </c>
      <c r="AL90" s="7" t="s">
        <v>104</v>
      </c>
      <c r="AM90" s="7" t="s">
        <v>104</v>
      </c>
      <c r="AN90" s="7" t="s">
        <v>104</v>
      </c>
      <c r="AO90" s="7" t="s">
        <v>104</v>
      </c>
      <c r="AP90" s="7" t="s">
        <v>104</v>
      </c>
      <c r="AQ90" s="7" t="s">
        <v>104</v>
      </c>
      <c r="AR90" s="7" t="s">
        <v>104</v>
      </c>
      <c r="AS90" s="7" t="s">
        <v>104</v>
      </c>
      <c r="AT90" s="7" t="s">
        <v>104</v>
      </c>
      <c r="AU90" s="7" t="s">
        <v>104</v>
      </c>
      <c r="AV90" s="7" t="s">
        <v>104</v>
      </c>
      <c r="AW90" s="7" t="s">
        <v>104</v>
      </c>
      <c r="AX90" s="7" t="s">
        <v>104</v>
      </c>
      <c r="AY90" s="7" t="s">
        <v>104</v>
      </c>
      <c r="AZ90" s="7" t="s">
        <v>104</v>
      </c>
      <c r="BA90" s="7" t="s">
        <v>104</v>
      </c>
      <c r="BB90" s="7" t="s">
        <v>104</v>
      </c>
      <c r="BC90" s="7" t="s">
        <v>104</v>
      </c>
      <c r="BD90" s="7" t="s">
        <v>104</v>
      </c>
      <c r="BE90" s="7" t="s">
        <v>104</v>
      </c>
      <c r="BF90" s="7" t="s">
        <v>104</v>
      </c>
      <c r="BG90" s="7" t="s">
        <v>104</v>
      </c>
      <c r="BH90" s="7" t="s">
        <v>104</v>
      </c>
      <c r="BI90" s="7" t="s">
        <v>104</v>
      </c>
      <c r="BJ90" s="7" t="s">
        <v>104</v>
      </c>
      <c r="BK90" s="7" t="s">
        <v>104</v>
      </c>
      <c r="BL90" s="7" t="s">
        <v>104</v>
      </c>
      <c r="BM90" s="7" t="s">
        <v>104</v>
      </c>
      <c r="BN90" s="7" t="s">
        <v>104</v>
      </c>
      <c r="BO90" s="7" t="s">
        <v>104</v>
      </c>
      <c r="BP90" s="7" t="s">
        <v>104</v>
      </c>
      <c r="BQ90" s="7" t="s">
        <v>104</v>
      </c>
      <c r="BR90" s="7" t="s">
        <v>104</v>
      </c>
      <c r="BS90" s="7" t="s">
        <v>104</v>
      </c>
      <c r="BT90" s="7" t="s">
        <v>104</v>
      </c>
      <c r="BU90" s="7" t="s">
        <v>104</v>
      </c>
      <c r="BV90" s="7" t="s">
        <v>104</v>
      </c>
      <c r="BW90" s="7" t="s">
        <v>104</v>
      </c>
      <c r="BX90" s="7" t="s">
        <v>104</v>
      </c>
      <c r="BY90" s="7" t="s">
        <v>104</v>
      </c>
      <c r="BZ90" s="7" t="s">
        <v>104</v>
      </c>
      <c r="CA90" s="7" t="s">
        <v>104</v>
      </c>
      <c r="CB90" s="7" t="s">
        <v>104</v>
      </c>
      <c r="CC90" s="7" t="s">
        <v>104</v>
      </c>
      <c r="CD90" s="7" t="s">
        <v>104</v>
      </c>
      <c r="CE90" s="7" t="s">
        <v>104</v>
      </c>
      <c r="CF90" s="7" t="s">
        <v>104</v>
      </c>
      <c r="CG90" s="7" t="s">
        <v>104</v>
      </c>
      <c r="CH90" s="7" t="s">
        <v>104</v>
      </c>
      <c r="CI90" s="7" t="s">
        <v>104</v>
      </c>
      <c r="CJ90" s="7" t="s">
        <v>104</v>
      </c>
      <c r="CK90" s="7" t="s">
        <v>104</v>
      </c>
      <c r="CL90" s="7" t="s">
        <v>104</v>
      </c>
      <c r="CM90" s="7" t="s">
        <v>104</v>
      </c>
    </row>
    <row r="91" spans="1:91" x14ac:dyDescent="0.35">
      <c r="A91" s="5" t="s">
        <v>109</v>
      </c>
      <c r="B91" s="6" t="s">
        <v>104</v>
      </c>
      <c r="C91" s="6" t="s">
        <v>104</v>
      </c>
      <c r="D91" s="6" t="s">
        <v>104</v>
      </c>
      <c r="E91" s="6" t="s">
        <v>104</v>
      </c>
      <c r="F91" s="6" t="s">
        <v>104</v>
      </c>
      <c r="G91" s="6" t="s">
        <v>104</v>
      </c>
      <c r="H91" s="6" t="s">
        <v>104</v>
      </c>
      <c r="I91" s="6" t="s">
        <v>104</v>
      </c>
      <c r="J91" s="6" t="s">
        <v>104</v>
      </c>
      <c r="K91" s="6" t="s">
        <v>104</v>
      </c>
      <c r="L91" s="6" t="s">
        <v>104</v>
      </c>
      <c r="M91" s="6" t="s">
        <v>104</v>
      </c>
      <c r="N91" s="6" t="s">
        <v>104</v>
      </c>
      <c r="O91" s="6" t="s">
        <v>104</v>
      </c>
      <c r="P91" s="6" t="s">
        <v>104</v>
      </c>
      <c r="Q91" s="6" t="s">
        <v>104</v>
      </c>
      <c r="R91" s="6" t="s">
        <v>104</v>
      </c>
      <c r="S91" s="6" t="s">
        <v>104</v>
      </c>
      <c r="T91" s="6" t="s">
        <v>104</v>
      </c>
      <c r="U91" s="6" t="s">
        <v>104</v>
      </c>
      <c r="V91" s="6" t="s">
        <v>104</v>
      </c>
      <c r="W91" s="6" t="s">
        <v>104</v>
      </c>
      <c r="X91" s="6" t="s">
        <v>104</v>
      </c>
      <c r="Y91" s="6" t="s">
        <v>104</v>
      </c>
      <c r="Z91" s="6" t="s">
        <v>104</v>
      </c>
      <c r="AA91" s="6" t="s">
        <v>104</v>
      </c>
      <c r="AB91" s="6" t="s">
        <v>104</v>
      </c>
      <c r="AC91" s="6" t="s">
        <v>104</v>
      </c>
      <c r="AD91" s="6" t="s">
        <v>104</v>
      </c>
      <c r="AE91" s="6" t="s">
        <v>104</v>
      </c>
      <c r="AF91" s="6" t="s">
        <v>104</v>
      </c>
      <c r="AG91" s="6" t="s">
        <v>104</v>
      </c>
      <c r="AH91" s="6" t="s">
        <v>104</v>
      </c>
      <c r="AI91" s="6" t="s">
        <v>104</v>
      </c>
      <c r="AJ91" s="6" t="s">
        <v>104</v>
      </c>
      <c r="AK91" s="6" t="s">
        <v>104</v>
      </c>
      <c r="AL91" s="6" t="s">
        <v>104</v>
      </c>
      <c r="AM91" s="6" t="s">
        <v>104</v>
      </c>
      <c r="AN91" s="6" t="s">
        <v>104</v>
      </c>
      <c r="AO91" s="6" t="s">
        <v>104</v>
      </c>
      <c r="AP91" s="6" t="s">
        <v>104</v>
      </c>
      <c r="AQ91" s="6" t="s">
        <v>104</v>
      </c>
      <c r="AR91" s="6" t="s">
        <v>104</v>
      </c>
      <c r="AS91" s="6" t="s">
        <v>104</v>
      </c>
      <c r="AT91" s="6" t="s">
        <v>104</v>
      </c>
      <c r="AU91" s="6" t="s">
        <v>104</v>
      </c>
      <c r="AV91" s="6" t="s">
        <v>104</v>
      </c>
      <c r="AW91" s="6" t="s">
        <v>104</v>
      </c>
      <c r="AX91" s="6" t="s">
        <v>104</v>
      </c>
      <c r="AY91" s="6" t="s">
        <v>104</v>
      </c>
      <c r="AZ91" s="6" t="s">
        <v>104</v>
      </c>
      <c r="BA91" s="6" t="s">
        <v>104</v>
      </c>
      <c r="BB91" s="6" t="s">
        <v>104</v>
      </c>
      <c r="BC91" s="6" t="s">
        <v>104</v>
      </c>
      <c r="BD91" s="6" t="s">
        <v>104</v>
      </c>
      <c r="BE91" s="6" t="s">
        <v>104</v>
      </c>
      <c r="BF91" s="6" t="s">
        <v>104</v>
      </c>
      <c r="BG91" s="6" t="s">
        <v>104</v>
      </c>
      <c r="BH91" s="6" t="s">
        <v>104</v>
      </c>
      <c r="BI91" s="6" t="s">
        <v>104</v>
      </c>
      <c r="BJ91" s="6" t="s">
        <v>104</v>
      </c>
      <c r="BK91" s="6" t="s">
        <v>104</v>
      </c>
      <c r="BL91" s="6" t="s">
        <v>104</v>
      </c>
      <c r="BM91" s="6" t="s">
        <v>104</v>
      </c>
      <c r="BN91" s="6" t="s">
        <v>104</v>
      </c>
      <c r="BO91" s="6" t="s">
        <v>104</v>
      </c>
      <c r="BP91" s="6" t="s">
        <v>104</v>
      </c>
      <c r="BQ91" s="6" t="s">
        <v>104</v>
      </c>
      <c r="BR91" s="6" t="s">
        <v>104</v>
      </c>
      <c r="BS91" s="6" t="s">
        <v>104</v>
      </c>
      <c r="BT91" s="6" t="s">
        <v>104</v>
      </c>
      <c r="BU91" s="6" t="s">
        <v>104</v>
      </c>
      <c r="BV91" s="6" t="s">
        <v>104</v>
      </c>
      <c r="BW91" s="6" t="s">
        <v>104</v>
      </c>
      <c r="BX91" s="6" t="s">
        <v>104</v>
      </c>
      <c r="BY91" s="6" t="s">
        <v>104</v>
      </c>
      <c r="BZ91" s="6" t="s">
        <v>104</v>
      </c>
      <c r="CA91" s="6" t="s">
        <v>104</v>
      </c>
      <c r="CB91" s="6" t="s">
        <v>104</v>
      </c>
      <c r="CC91" s="6" t="s">
        <v>104</v>
      </c>
      <c r="CD91" s="6" t="s">
        <v>104</v>
      </c>
      <c r="CE91" s="6" t="s">
        <v>104</v>
      </c>
      <c r="CF91" s="6" t="s">
        <v>104</v>
      </c>
      <c r="CG91" s="6" t="s">
        <v>104</v>
      </c>
      <c r="CH91" s="6" t="s">
        <v>104</v>
      </c>
      <c r="CI91" s="6" t="s">
        <v>104</v>
      </c>
      <c r="CJ91" s="6" t="s">
        <v>104</v>
      </c>
      <c r="CK91" s="6" t="s">
        <v>104</v>
      </c>
      <c r="CL91" s="6" t="s">
        <v>104</v>
      </c>
      <c r="CM91" s="6" t="s">
        <v>104</v>
      </c>
    </row>
    <row r="92" spans="1:91" x14ac:dyDescent="0.35">
      <c r="A92" s="5" t="s">
        <v>110</v>
      </c>
      <c r="B92" s="7" t="s">
        <v>104</v>
      </c>
      <c r="C92" s="7" t="s">
        <v>104</v>
      </c>
      <c r="D92" s="7" t="s">
        <v>104</v>
      </c>
      <c r="E92" s="7" t="s">
        <v>104</v>
      </c>
      <c r="F92" s="7" t="s">
        <v>104</v>
      </c>
      <c r="G92" s="7" t="s">
        <v>104</v>
      </c>
      <c r="H92" s="7" t="s">
        <v>104</v>
      </c>
      <c r="I92" s="7" t="s">
        <v>104</v>
      </c>
      <c r="J92" s="7" t="s">
        <v>104</v>
      </c>
      <c r="K92" s="7" t="s">
        <v>104</v>
      </c>
      <c r="L92" s="6" t="s">
        <v>104</v>
      </c>
      <c r="M92" s="6" t="s">
        <v>104</v>
      </c>
      <c r="N92" s="6" t="s">
        <v>104</v>
      </c>
      <c r="O92" s="6" t="s">
        <v>104</v>
      </c>
      <c r="P92" s="6" t="s">
        <v>104</v>
      </c>
      <c r="Q92" s="6" t="s">
        <v>104</v>
      </c>
      <c r="R92" s="6" t="s">
        <v>104</v>
      </c>
      <c r="S92" s="6" t="s">
        <v>104</v>
      </c>
      <c r="T92" s="6" t="s">
        <v>104</v>
      </c>
      <c r="U92" s="6" t="s">
        <v>104</v>
      </c>
      <c r="V92" s="7" t="s">
        <v>104</v>
      </c>
      <c r="W92" s="7" t="s">
        <v>104</v>
      </c>
      <c r="X92" s="7" t="s">
        <v>104</v>
      </c>
      <c r="Y92" s="7" t="s">
        <v>104</v>
      </c>
      <c r="Z92" s="7" t="s">
        <v>104</v>
      </c>
      <c r="AA92" s="7" t="s">
        <v>104</v>
      </c>
      <c r="AB92" s="7" t="s">
        <v>104</v>
      </c>
      <c r="AC92" s="7" t="s">
        <v>104</v>
      </c>
      <c r="AD92" s="7" t="s">
        <v>104</v>
      </c>
      <c r="AE92" s="7" t="s">
        <v>104</v>
      </c>
      <c r="AF92" s="7" t="s">
        <v>104</v>
      </c>
      <c r="AG92" s="6" t="s">
        <v>104</v>
      </c>
      <c r="AH92" s="6" t="s">
        <v>104</v>
      </c>
      <c r="AI92" s="6" t="s">
        <v>104</v>
      </c>
      <c r="AJ92" s="7" t="s">
        <v>104</v>
      </c>
      <c r="AK92" s="7" t="s">
        <v>104</v>
      </c>
      <c r="AL92" s="7" t="s">
        <v>104</v>
      </c>
      <c r="AM92" s="7" t="s">
        <v>104</v>
      </c>
      <c r="AN92" s="7" t="s">
        <v>104</v>
      </c>
      <c r="AO92" s="7" t="s">
        <v>104</v>
      </c>
      <c r="AP92" s="7" t="s">
        <v>104</v>
      </c>
      <c r="AQ92" s="7" t="s">
        <v>104</v>
      </c>
      <c r="AR92" s="7" t="s">
        <v>104</v>
      </c>
      <c r="AS92" s="7" t="s">
        <v>104</v>
      </c>
      <c r="AT92" s="7" t="s">
        <v>104</v>
      </c>
      <c r="AU92" s="7" t="s">
        <v>104</v>
      </c>
      <c r="AV92" s="7" t="s">
        <v>104</v>
      </c>
      <c r="AW92" s="7" t="s">
        <v>104</v>
      </c>
      <c r="AX92" s="7" t="s">
        <v>104</v>
      </c>
      <c r="AY92" s="7" t="s">
        <v>104</v>
      </c>
      <c r="AZ92" s="7" t="s">
        <v>104</v>
      </c>
      <c r="BA92" s="7" t="s">
        <v>104</v>
      </c>
      <c r="BB92" s="7" t="s">
        <v>104</v>
      </c>
      <c r="BC92" s="7" t="s">
        <v>104</v>
      </c>
      <c r="BD92" s="7" t="s">
        <v>104</v>
      </c>
      <c r="BE92" s="7" t="s">
        <v>104</v>
      </c>
      <c r="BF92" s="7" t="s">
        <v>104</v>
      </c>
      <c r="BG92" s="7" t="s">
        <v>104</v>
      </c>
      <c r="BH92" s="7" t="s">
        <v>104</v>
      </c>
      <c r="BI92" s="7" t="s">
        <v>104</v>
      </c>
      <c r="BJ92" s="7" t="s">
        <v>104</v>
      </c>
      <c r="BK92" s="7" t="s">
        <v>104</v>
      </c>
      <c r="BL92" s="7" t="s">
        <v>104</v>
      </c>
      <c r="BM92" s="7" t="s">
        <v>104</v>
      </c>
      <c r="BN92" s="7" t="s">
        <v>104</v>
      </c>
      <c r="BO92" s="7" t="s">
        <v>104</v>
      </c>
      <c r="BP92" s="7" t="s">
        <v>104</v>
      </c>
      <c r="BQ92" s="7" t="s">
        <v>104</v>
      </c>
      <c r="BR92" s="7" t="s">
        <v>104</v>
      </c>
      <c r="BS92" s="7" t="s">
        <v>104</v>
      </c>
      <c r="BT92" s="7" t="s">
        <v>104</v>
      </c>
      <c r="BU92" s="7" t="s">
        <v>104</v>
      </c>
      <c r="BV92" s="7" t="s">
        <v>104</v>
      </c>
      <c r="BW92" s="7" t="s">
        <v>104</v>
      </c>
      <c r="BX92" s="7" t="s">
        <v>104</v>
      </c>
      <c r="BY92" s="7" t="s">
        <v>104</v>
      </c>
      <c r="BZ92" s="7" t="s">
        <v>104</v>
      </c>
      <c r="CA92" s="7" t="s">
        <v>104</v>
      </c>
      <c r="CB92" s="7" t="s">
        <v>104</v>
      </c>
      <c r="CC92" s="7" t="s">
        <v>104</v>
      </c>
      <c r="CD92" s="7" t="s">
        <v>104</v>
      </c>
      <c r="CE92" s="7" t="s">
        <v>104</v>
      </c>
      <c r="CF92" s="7" t="s">
        <v>104</v>
      </c>
      <c r="CG92" s="7" t="s">
        <v>104</v>
      </c>
      <c r="CH92" s="7" t="s">
        <v>104</v>
      </c>
      <c r="CI92" s="7" t="s">
        <v>104</v>
      </c>
      <c r="CJ92" s="7" t="s">
        <v>104</v>
      </c>
      <c r="CK92" s="7" t="s">
        <v>104</v>
      </c>
      <c r="CL92" s="7" t="s">
        <v>104</v>
      </c>
      <c r="CM92" s="7" t="s">
        <v>104</v>
      </c>
    </row>
    <row r="93" spans="1:91" x14ac:dyDescent="0.35">
      <c r="A93" s="5" t="s">
        <v>111</v>
      </c>
      <c r="B93" s="6" t="s">
        <v>104</v>
      </c>
      <c r="C93" s="6" t="s">
        <v>104</v>
      </c>
      <c r="D93" s="6" t="s">
        <v>104</v>
      </c>
      <c r="E93" s="6" t="s">
        <v>104</v>
      </c>
      <c r="F93" s="6" t="s">
        <v>104</v>
      </c>
      <c r="G93" s="6" t="s">
        <v>104</v>
      </c>
      <c r="H93" s="6" t="s">
        <v>104</v>
      </c>
      <c r="I93" s="6" t="s">
        <v>104</v>
      </c>
      <c r="J93" s="6" t="s">
        <v>104</v>
      </c>
      <c r="K93" s="6" t="s">
        <v>104</v>
      </c>
      <c r="L93" s="6" t="s">
        <v>104</v>
      </c>
      <c r="M93" s="6" t="s">
        <v>104</v>
      </c>
      <c r="N93" s="6" t="s">
        <v>104</v>
      </c>
      <c r="O93" s="6" t="s">
        <v>104</v>
      </c>
      <c r="P93" s="6" t="s">
        <v>104</v>
      </c>
      <c r="Q93" s="6" t="s">
        <v>104</v>
      </c>
      <c r="R93" s="6" t="s">
        <v>104</v>
      </c>
      <c r="S93" s="6" t="s">
        <v>104</v>
      </c>
      <c r="T93" s="6" t="s">
        <v>104</v>
      </c>
      <c r="U93" s="6" t="s">
        <v>104</v>
      </c>
      <c r="V93" s="6" t="s">
        <v>104</v>
      </c>
      <c r="W93" s="6" t="s">
        <v>104</v>
      </c>
      <c r="X93" s="6" t="s">
        <v>104</v>
      </c>
      <c r="Y93" s="6" t="s">
        <v>104</v>
      </c>
      <c r="Z93" s="6" t="s">
        <v>104</v>
      </c>
      <c r="AA93" s="6" t="s">
        <v>104</v>
      </c>
      <c r="AB93" s="6" t="s">
        <v>104</v>
      </c>
      <c r="AC93" s="6" t="s">
        <v>104</v>
      </c>
      <c r="AD93" s="6" t="s">
        <v>104</v>
      </c>
      <c r="AE93" s="6" t="s">
        <v>104</v>
      </c>
      <c r="AF93" s="6" t="s">
        <v>104</v>
      </c>
      <c r="AG93" s="6" t="s">
        <v>104</v>
      </c>
      <c r="AH93" s="6" t="s">
        <v>104</v>
      </c>
      <c r="AI93" s="6" t="s">
        <v>104</v>
      </c>
      <c r="AJ93" s="6" t="s">
        <v>104</v>
      </c>
      <c r="AK93" s="6" t="s">
        <v>104</v>
      </c>
      <c r="AL93" s="6" t="s">
        <v>104</v>
      </c>
      <c r="AM93" s="6" t="s">
        <v>104</v>
      </c>
      <c r="AN93" s="6" t="s">
        <v>104</v>
      </c>
      <c r="AO93" s="6" t="s">
        <v>104</v>
      </c>
      <c r="AP93" s="6" t="s">
        <v>104</v>
      </c>
      <c r="AQ93" s="6" t="s">
        <v>104</v>
      </c>
      <c r="AR93" s="6" t="s">
        <v>104</v>
      </c>
      <c r="AS93" s="6" t="s">
        <v>104</v>
      </c>
      <c r="AT93" s="6" t="s">
        <v>104</v>
      </c>
      <c r="AU93" s="6" t="s">
        <v>104</v>
      </c>
      <c r="AV93" s="6" t="s">
        <v>104</v>
      </c>
      <c r="AW93" s="6" t="s">
        <v>104</v>
      </c>
      <c r="AX93" s="6" t="s">
        <v>104</v>
      </c>
      <c r="AY93" s="6" t="s">
        <v>104</v>
      </c>
      <c r="AZ93" s="6" t="s">
        <v>104</v>
      </c>
      <c r="BA93" s="6" t="s">
        <v>104</v>
      </c>
      <c r="BB93" s="6" t="s">
        <v>104</v>
      </c>
      <c r="BC93" s="6" t="s">
        <v>104</v>
      </c>
      <c r="BD93" s="6" t="s">
        <v>104</v>
      </c>
      <c r="BE93" s="6" t="s">
        <v>104</v>
      </c>
      <c r="BF93" s="6" t="s">
        <v>104</v>
      </c>
      <c r="BG93" s="6" t="s">
        <v>104</v>
      </c>
      <c r="BH93" s="6" t="s">
        <v>104</v>
      </c>
      <c r="BI93" s="6" t="s">
        <v>104</v>
      </c>
      <c r="BJ93" s="6" t="s">
        <v>104</v>
      </c>
      <c r="BK93" s="6" t="s">
        <v>104</v>
      </c>
      <c r="BL93" s="6" t="s">
        <v>104</v>
      </c>
      <c r="BM93" s="6" t="s">
        <v>104</v>
      </c>
      <c r="BN93" s="6" t="s">
        <v>104</v>
      </c>
      <c r="BO93" s="6" t="s">
        <v>104</v>
      </c>
      <c r="BP93" s="6" t="s">
        <v>104</v>
      </c>
      <c r="BQ93" s="6" t="s">
        <v>104</v>
      </c>
      <c r="BR93" s="6" t="s">
        <v>104</v>
      </c>
      <c r="BS93" s="6" t="s">
        <v>104</v>
      </c>
      <c r="BT93" s="6" t="s">
        <v>104</v>
      </c>
      <c r="BU93" s="6" t="s">
        <v>104</v>
      </c>
      <c r="BV93" s="6" t="s">
        <v>104</v>
      </c>
      <c r="BW93" s="6" t="s">
        <v>104</v>
      </c>
      <c r="BX93" s="6" t="s">
        <v>104</v>
      </c>
      <c r="BY93" s="6" t="s">
        <v>104</v>
      </c>
      <c r="BZ93" s="6" t="s">
        <v>104</v>
      </c>
      <c r="CA93" s="6" t="s">
        <v>104</v>
      </c>
      <c r="CB93" s="6" t="s">
        <v>104</v>
      </c>
      <c r="CC93" s="6" t="s">
        <v>104</v>
      </c>
      <c r="CD93" s="6" t="s">
        <v>104</v>
      </c>
      <c r="CE93" s="6" t="s">
        <v>104</v>
      </c>
      <c r="CF93" s="6" t="s">
        <v>104</v>
      </c>
      <c r="CG93" s="6" t="s">
        <v>104</v>
      </c>
      <c r="CH93" s="6" t="s">
        <v>104</v>
      </c>
      <c r="CI93" s="6" t="s">
        <v>104</v>
      </c>
      <c r="CJ93" s="6" t="s">
        <v>104</v>
      </c>
      <c r="CK93" s="6" t="s">
        <v>104</v>
      </c>
      <c r="CL93" s="6" t="s">
        <v>104</v>
      </c>
      <c r="CM93" s="6" t="s">
        <v>104</v>
      </c>
    </row>
    <row r="94" spans="1:91" x14ac:dyDescent="0.35">
      <c r="A94" s="5" t="s">
        <v>112</v>
      </c>
      <c r="B94" s="7" t="s">
        <v>104</v>
      </c>
      <c r="C94" s="7" t="s">
        <v>104</v>
      </c>
      <c r="D94" s="7" t="s">
        <v>104</v>
      </c>
      <c r="E94" s="7" t="s">
        <v>104</v>
      </c>
      <c r="F94" s="7" t="s">
        <v>104</v>
      </c>
      <c r="G94" s="7" t="s">
        <v>104</v>
      </c>
      <c r="H94" s="7" t="s">
        <v>104</v>
      </c>
      <c r="I94" s="7" t="s">
        <v>104</v>
      </c>
      <c r="J94" s="7" t="s">
        <v>104</v>
      </c>
      <c r="K94" s="7" t="s">
        <v>104</v>
      </c>
      <c r="L94" s="6" t="s">
        <v>104</v>
      </c>
      <c r="M94" s="6" t="s">
        <v>104</v>
      </c>
      <c r="N94" s="6" t="s">
        <v>104</v>
      </c>
      <c r="O94" s="6" t="s">
        <v>104</v>
      </c>
      <c r="P94" s="6" t="s">
        <v>104</v>
      </c>
      <c r="Q94" s="6" t="s">
        <v>104</v>
      </c>
      <c r="R94" s="6" t="s">
        <v>104</v>
      </c>
      <c r="S94" s="6" t="s">
        <v>104</v>
      </c>
      <c r="T94" s="6" t="s">
        <v>104</v>
      </c>
      <c r="U94" s="6" t="s">
        <v>104</v>
      </c>
      <c r="V94" s="7" t="s">
        <v>104</v>
      </c>
      <c r="W94" s="7" t="s">
        <v>104</v>
      </c>
      <c r="X94" s="7" t="s">
        <v>104</v>
      </c>
      <c r="Y94" s="7" t="s">
        <v>104</v>
      </c>
      <c r="Z94" s="7" t="s">
        <v>104</v>
      </c>
      <c r="AA94" s="7" t="s">
        <v>104</v>
      </c>
      <c r="AB94" s="7" t="s">
        <v>104</v>
      </c>
      <c r="AC94" s="7" t="s">
        <v>104</v>
      </c>
      <c r="AD94" s="7" t="s">
        <v>104</v>
      </c>
      <c r="AE94" s="7" t="s">
        <v>104</v>
      </c>
      <c r="AF94" s="7" t="s">
        <v>104</v>
      </c>
      <c r="AG94" s="6" t="s">
        <v>104</v>
      </c>
      <c r="AH94" s="6" t="s">
        <v>104</v>
      </c>
      <c r="AI94" s="6" t="s">
        <v>104</v>
      </c>
      <c r="AJ94" s="7" t="s">
        <v>104</v>
      </c>
      <c r="AK94" s="7" t="s">
        <v>104</v>
      </c>
      <c r="AL94" s="7" t="s">
        <v>104</v>
      </c>
      <c r="AM94" s="7" t="s">
        <v>104</v>
      </c>
      <c r="AN94" s="7" t="s">
        <v>104</v>
      </c>
      <c r="AO94" s="7" t="s">
        <v>104</v>
      </c>
      <c r="AP94" s="7" t="s">
        <v>104</v>
      </c>
      <c r="AQ94" s="7" t="s">
        <v>104</v>
      </c>
      <c r="AR94" s="7" t="s">
        <v>104</v>
      </c>
      <c r="AS94" s="7" t="s">
        <v>104</v>
      </c>
      <c r="AT94" s="7" t="s">
        <v>104</v>
      </c>
      <c r="AU94" s="7" t="s">
        <v>104</v>
      </c>
      <c r="AV94" s="7" t="s">
        <v>104</v>
      </c>
      <c r="AW94" s="7" t="s">
        <v>104</v>
      </c>
      <c r="AX94" s="7" t="s">
        <v>104</v>
      </c>
      <c r="AY94" s="7" t="s">
        <v>104</v>
      </c>
      <c r="AZ94" s="7" t="s">
        <v>104</v>
      </c>
      <c r="BA94" s="7" t="s">
        <v>104</v>
      </c>
      <c r="BB94" s="7" t="s">
        <v>104</v>
      </c>
      <c r="BC94" s="7" t="s">
        <v>104</v>
      </c>
      <c r="BD94" s="7" t="s">
        <v>104</v>
      </c>
      <c r="BE94" s="7" t="s">
        <v>104</v>
      </c>
      <c r="BF94" s="7" t="s">
        <v>104</v>
      </c>
      <c r="BG94" s="7" t="s">
        <v>104</v>
      </c>
      <c r="BH94" s="7" t="s">
        <v>104</v>
      </c>
      <c r="BI94" s="7" t="s">
        <v>104</v>
      </c>
      <c r="BJ94" s="7" t="s">
        <v>104</v>
      </c>
      <c r="BK94" s="7" t="s">
        <v>104</v>
      </c>
      <c r="BL94" s="7" t="s">
        <v>104</v>
      </c>
      <c r="BM94" s="7" t="s">
        <v>104</v>
      </c>
      <c r="BN94" s="7" t="s">
        <v>104</v>
      </c>
      <c r="BO94" s="7" t="s">
        <v>104</v>
      </c>
      <c r="BP94" s="7" t="s">
        <v>104</v>
      </c>
      <c r="BQ94" s="7" t="s">
        <v>104</v>
      </c>
      <c r="BR94" s="7" t="s">
        <v>104</v>
      </c>
      <c r="BS94" s="7" t="s">
        <v>104</v>
      </c>
      <c r="BT94" s="7" t="s">
        <v>104</v>
      </c>
      <c r="BU94" s="7" t="s">
        <v>104</v>
      </c>
      <c r="BV94" s="7" t="s">
        <v>104</v>
      </c>
      <c r="BW94" s="7" t="s">
        <v>104</v>
      </c>
      <c r="BX94" s="7" t="s">
        <v>104</v>
      </c>
      <c r="BY94" s="7" t="s">
        <v>104</v>
      </c>
      <c r="BZ94" s="7" t="s">
        <v>104</v>
      </c>
      <c r="CA94" s="7" t="s">
        <v>104</v>
      </c>
      <c r="CB94" s="7" t="s">
        <v>104</v>
      </c>
      <c r="CC94" s="7" t="s">
        <v>104</v>
      </c>
      <c r="CD94" s="7" t="s">
        <v>104</v>
      </c>
      <c r="CE94" s="7" t="s">
        <v>104</v>
      </c>
      <c r="CF94" s="7" t="s">
        <v>104</v>
      </c>
      <c r="CG94" s="7" t="s">
        <v>104</v>
      </c>
      <c r="CH94" s="7" t="s">
        <v>104</v>
      </c>
      <c r="CI94" s="7" t="s">
        <v>104</v>
      </c>
      <c r="CJ94" s="7" t="s">
        <v>104</v>
      </c>
      <c r="CK94" s="7" t="s">
        <v>104</v>
      </c>
      <c r="CL94" s="7" t="s">
        <v>104</v>
      </c>
      <c r="CM94" s="7" t="s">
        <v>104</v>
      </c>
    </row>
    <row r="95" spans="1:91" x14ac:dyDescent="0.35">
      <c r="A95" s="5" t="s">
        <v>113</v>
      </c>
      <c r="B95" s="6" t="s">
        <v>104</v>
      </c>
      <c r="C95" s="6" t="s">
        <v>104</v>
      </c>
      <c r="D95" s="6" t="s">
        <v>104</v>
      </c>
      <c r="E95" s="6" t="s">
        <v>104</v>
      </c>
      <c r="F95" s="6" t="s">
        <v>104</v>
      </c>
      <c r="G95" s="6" t="s">
        <v>104</v>
      </c>
      <c r="H95" s="6" t="s">
        <v>104</v>
      </c>
      <c r="I95" s="6" t="s">
        <v>104</v>
      </c>
      <c r="J95" s="6" t="s">
        <v>104</v>
      </c>
      <c r="K95" s="6" t="s">
        <v>104</v>
      </c>
      <c r="L95" s="6" t="s">
        <v>104</v>
      </c>
      <c r="M95" s="6" t="s">
        <v>104</v>
      </c>
      <c r="N95" s="6" t="s">
        <v>104</v>
      </c>
      <c r="O95" s="6" t="s">
        <v>104</v>
      </c>
      <c r="P95" s="6" t="s">
        <v>104</v>
      </c>
      <c r="Q95" s="6" t="s">
        <v>104</v>
      </c>
      <c r="R95" s="6" t="s">
        <v>104</v>
      </c>
      <c r="S95" s="6" t="s">
        <v>104</v>
      </c>
      <c r="T95" s="6" t="s">
        <v>104</v>
      </c>
      <c r="U95" s="6" t="s">
        <v>104</v>
      </c>
      <c r="V95" s="6" t="s">
        <v>104</v>
      </c>
      <c r="W95" s="6" t="s">
        <v>104</v>
      </c>
      <c r="X95" s="6" t="s">
        <v>104</v>
      </c>
      <c r="Y95" s="6" t="s">
        <v>104</v>
      </c>
      <c r="Z95" s="6" t="s">
        <v>104</v>
      </c>
      <c r="AA95" s="6" t="s">
        <v>104</v>
      </c>
      <c r="AB95" s="6" t="s">
        <v>104</v>
      </c>
      <c r="AC95" s="6" t="s">
        <v>104</v>
      </c>
      <c r="AD95" s="6" t="s">
        <v>104</v>
      </c>
      <c r="AE95" s="6" t="s">
        <v>104</v>
      </c>
      <c r="AF95" s="6" t="s">
        <v>104</v>
      </c>
      <c r="AG95" s="6" t="s">
        <v>104</v>
      </c>
      <c r="AH95" s="6" t="s">
        <v>104</v>
      </c>
      <c r="AI95" s="6" t="s">
        <v>104</v>
      </c>
      <c r="AJ95" s="6" t="s">
        <v>104</v>
      </c>
      <c r="AK95" s="6" t="s">
        <v>104</v>
      </c>
      <c r="AL95" s="6" t="s">
        <v>104</v>
      </c>
      <c r="AM95" s="6" t="s">
        <v>104</v>
      </c>
      <c r="AN95" s="6" t="s">
        <v>104</v>
      </c>
      <c r="AO95" s="6" t="s">
        <v>104</v>
      </c>
      <c r="AP95" s="6" t="s">
        <v>104</v>
      </c>
      <c r="AQ95" s="6" t="s">
        <v>104</v>
      </c>
      <c r="AR95" s="6" t="s">
        <v>104</v>
      </c>
      <c r="AS95" s="6" t="s">
        <v>104</v>
      </c>
      <c r="AT95" s="6" t="s">
        <v>104</v>
      </c>
      <c r="AU95" s="6" t="s">
        <v>104</v>
      </c>
      <c r="AV95" s="6" t="s">
        <v>104</v>
      </c>
      <c r="AW95" s="6" t="s">
        <v>104</v>
      </c>
      <c r="AX95" s="6" t="s">
        <v>104</v>
      </c>
      <c r="AY95" s="6" t="s">
        <v>104</v>
      </c>
      <c r="AZ95" s="6" t="s">
        <v>104</v>
      </c>
      <c r="BA95" s="6" t="s">
        <v>104</v>
      </c>
      <c r="BB95" s="6" t="s">
        <v>104</v>
      </c>
      <c r="BC95" s="6" t="s">
        <v>104</v>
      </c>
      <c r="BD95" s="6" t="s">
        <v>104</v>
      </c>
      <c r="BE95" s="6" t="s">
        <v>104</v>
      </c>
      <c r="BF95" s="6" t="s">
        <v>104</v>
      </c>
      <c r="BG95" s="6" t="s">
        <v>104</v>
      </c>
      <c r="BH95" s="6" t="s">
        <v>104</v>
      </c>
      <c r="BI95" s="6" t="s">
        <v>104</v>
      </c>
      <c r="BJ95" s="6" t="s">
        <v>104</v>
      </c>
      <c r="BK95" s="6" t="s">
        <v>104</v>
      </c>
      <c r="BL95" s="6" t="s">
        <v>104</v>
      </c>
      <c r="BM95" s="6" t="s">
        <v>104</v>
      </c>
      <c r="BN95" s="6" t="s">
        <v>104</v>
      </c>
      <c r="BO95" s="6" t="s">
        <v>104</v>
      </c>
      <c r="BP95" s="6" t="s">
        <v>104</v>
      </c>
      <c r="BQ95" s="6" t="s">
        <v>104</v>
      </c>
      <c r="BR95" s="6" t="s">
        <v>104</v>
      </c>
      <c r="BS95" s="6" t="s">
        <v>104</v>
      </c>
      <c r="BT95" s="6" t="s">
        <v>104</v>
      </c>
      <c r="BU95" s="6" t="s">
        <v>104</v>
      </c>
      <c r="BV95" s="6" t="s">
        <v>104</v>
      </c>
      <c r="BW95" s="6" t="s">
        <v>104</v>
      </c>
      <c r="BX95" s="6" t="s">
        <v>104</v>
      </c>
      <c r="BY95" s="6" t="s">
        <v>104</v>
      </c>
      <c r="BZ95" s="6" t="s">
        <v>104</v>
      </c>
      <c r="CA95" s="6" t="s">
        <v>104</v>
      </c>
      <c r="CB95" s="6" t="s">
        <v>104</v>
      </c>
      <c r="CC95" s="6" t="s">
        <v>104</v>
      </c>
      <c r="CD95" s="6" t="s">
        <v>104</v>
      </c>
      <c r="CE95" s="6" t="s">
        <v>104</v>
      </c>
      <c r="CF95" s="6" t="s">
        <v>104</v>
      </c>
      <c r="CG95" s="6" t="s">
        <v>104</v>
      </c>
      <c r="CH95" s="6" t="s">
        <v>104</v>
      </c>
      <c r="CI95" s="6" t="s">
        <v>104</v>
      </c>
      <c r="CJ95" s="6" t="s">
        <v>104</v>
      </c>
      <c r="CK95" s="6" t="s">
        <v>104</v>
      </c>
      <c r="CL95" s="6" t="s">
        <v>104</v>
      </c>
      <c r="CM95" s="6" t="s">
        <v>104</v>
      </c>
    </row>
    <row r="96" spans="1:91" x14ac:dyDescent="0.35">
      <c r="A96" s="5" t="s">
        <v>114</v>
      </c>
      <c r="B96" s="7" t="s">
        <v>104</v>
      </c>
      <c r="C96" s="7" t="s">
        <v>104</v>
      </c>
      <c r="D96" s="7" t="s">
        <v>104</v>
      </c>
      <c r="E96" s="7" t="s">
        <v>104</v>
      </c>
      <c r="F96" s="7" t="s">
        <v>104</v>
      </c>
      <c r="G96" s="7" t="s">
        <v>104</v>
      </c>
      <c r="H96" s="7" t="s">
        <v>104</v>
      </c>
      <c r="I96" s="7" t="s">
        <v>104</v>
      </c>
      <c r="J96" s="7" t="s">
        <v>104</v>
      </c>
      <c r="K96" s="7" t="s">
        <v>104</v>
      </c>
      <c r="L96" s="6" t="s">
        <v>104</v>
      </c>
      <c r="M96" s="6" t="s">
        <v>104</v>
      </c>
      <c r="N96" s="6" t="s">
        <v>104</v>
      </c>
      <c r="O96" s="6" t="s">
        <v>104</v>
      </c>
      <c r="P96" s="6" t="s">
        <v>104</v>
      </c>
      <c r="Q96" s="6" t="s">
        <v>104</v>
      </c>
      <c r="R96" s="6" t="s">
        <v>104</v>
      </c>
      <c r="S96" s="6" t="s">
        <v>104</v>
      </c>
      <c r="T96" s="6" t="s">
        <v>104</v>
      </c>
      <c r="U96" s="6" t="s">
        <v>104</v>
      </c>
      <c r="V96" s="7" t="s">
        <v>104</v>
      </c>
      <c r="W96" s="7" t="s">
        <v>104</v>
      </c>
      <c r="X96" s="7" t="s">
        <v>104</v>
      </c>
      <c r="Y96" s="7" t="s">
        <v>104</v>
      </c>
      <c r="Z96" s="7" t="s">
        <v>104</v>
      </c>
      <c r="AA96" s="7" t="s">
        <v>104</v>
      </c>
      <c r="AB96" s="7" t="s">
        <v>104</v>
      </c>
      <c r="AC96" s="7" t="s">
        <v>104</v>
      </c>
      <c r="AD96" s="7" t="s">
        <v>104</v>
      </c>
      <c r="AE96" s="7" t="s">
        <v>104</v>
      </c>
      <c r="AF96" s="7" t="s">
        <v>104</v>
      </c>
      <c r="AG96" s="6" t="s">
        <v>104</v>
      </c>
      <c r="AH96" s="6" t="s">
        <v>104</v>
      </c>
      <c r="AI96" s="6" t="s">
        <v>104</v>
      </c>
      <c r="AJ96" s="7" t="s">
        <v>104</v>
      </c>
      <c r="AK96" s="7" t="s">
        <v>104</v>
      </c>
      <c r="AL96" s="7" t="s">
        <v>104</v>
      </c>
      <c r="AM96" s="7" t="s">
        <v>104</v>
      </c>
      <c r="AN96" s="7" t="s">
        <v>104</v>
      </c>
      <c r="AO96" s="7" t="s">
        <v>104</v>
      </c>
      <c r="AP96" s="7" t="s">
        <v>104</v>
      </c>
      <c r="AQ96" s="7" t="s">
        <v>104</v>
      </c>
      <c r="AR96" s="7" t="s">
        <v>104</v>
      </c>
      <c r="AS96" s="7" t="s">
        <v>104</v>
      </c>
      <c r="AT96" s="7" t="s">
        <v>104</v>
      </c>
      <c r="AU96" s="7" t="s">
        <v>104</v>
      </c>
      <c r="AV96" s="7" t="s">
        <v>104</v>
      </c>
      <c r="AW96" s="7" t="s">
        <v>104</v>
      </c>
      <c r="AX96" s="7" t="s">
        <v>104</v>
      </c>
      <c r="AY96" s="7" t="s">
        <v>104</v>
      </c>
      <c r="AZ96" s="7" t="s">
        <v>104</v>
      </c>
      <c r="BA96" s="7" t="s">
        <v>104</v>
      </c>
      <c r="BB96" s="7" t="s">
        <v>104</v>
      </c>
      <c r="BC96" s="7" t="s">
        <v>104</v>
      </c>
      <c r="BD96" s="7" t="s">
        <v>104</v>
      </c>
      <c r="BE96" s="7" t="s">
        <v>104</v>
      </c>
      <c r="BF96" s="7" t="s">
        <v>104</v>
      </c>
      <c r="BG96" s="7" t="s">
        <v>104</v>
      </c>
      <c r="BH96" s="7" t="s">
        <v>104</v>
      </c>
      <c r="BI96" s="7" t="s">
        <v>104</v>
      </c>
      <c r="BJ96" s="7" t="s">
        <v>104</v>
      </c>
      <c r="BK96" s="7" t="s">
        <v>104</v>
      </c>
      <c r="BL96" s="7" t="s">
        <v>104</v>
      </c>
      <c r="BM96" s="7" t="s">
        <v>104</v>
      </c>
      <c r="BN96" s="7" t="s">
        <v>104</v>
      </c>
      <c r="BO96" s="7" t="s">
        <v>104</v>
      </c>
      <c r="BP96" s="7" t="s">
        <v>104</v>
      </c>
      <c r="BQ96" s="7" t="s">
        <v>104</v>
      </c>
      <c r="BR96" s="7" t="s">
        <v>104</v>
      </c>
      <c r="BS96" s="7" t="s">
        <v>104</v>
      </c>
      <c r="BT96" s="7" t="s">
        <v>104</v>
      </c>
      <c r="BU96" s="7" t="s">
        <v>104</v>
      </c>
      <c r="BV96" s="7" t="s">
        <v>104</v>
      </c>
      <c r="BW96" s="7" t="s">
        <v>104</v>
      </c>
      <c r="BX96" s="7" t="s">
        <v>104</v>
      </c>
      <c r="BY96" s="7" t="s">
        <v>104</v>
      </c>
      <c r="BZ96" s="7" t="s">
        <v>104</v>
      </c>
      <c r="CA96" s="7" t="s">
        <v>104</v>
      </c>
      <c r="CB96" s="7" t="s">
        <v>104</v>
      </c>
      <c r="CC96" s="7" t="s">
        <v>104</v>
      </c>
      <c r="CD96" s="7" t="s">
        <v>104</v>
      </c>
      <c r="CE96" s="7" t="s">
        <v>104</v>
      </c>
      <c r="CF96" s="7" t="s">
        <v>104</v>
      </c>
      <c r="CG96" s="7" t="s">
        <v>104</v>
      </c>
      <c r="CH96" s="7" t="s">
        <v>104</v>
      </c>
      <c r="CI96" s="7" t="s">
        <v>104</v>
      </c>
      <c r="CJ96" s="7" t="s">
        <v>104</v>
      </c>
      <c r="CK96" s="7" t="s">
        <v>104</v>
      </c>
      <c r="CL96" s="7" t="s">
        <v>104</v>
      </c>
      <c r="CM96" s="7" t="s">
        <v>104</v>
      </c>
    </row>
    <row r="97" spans="1:91" x14ac:dyDescent="0.35">
      <c r="A97" s="5" t="s">
        <v>115</v>
      </c>
      <c r="B97" s="6" t="s">
        <v>104</v>
      </c>
      <c r="C97" s="6" t="s">
        <v>104</v>
      </c>
      <c r="D97" s="6" t="s">
        <v>104</v>
      </c>
      <c r="E97" s="6" t="s">
        <v>104</v>
      </c>
      <c r="F97" s="6" t="s">
        <v>104</v>
      </c>
      <c r="G97" s="6" t="s">
        <v>104</v>
      </c>
      <c r="H97" s="6" t="s">
        <v>104</v>
      </c>
      <c r="I97" s="6" t="s">
        <v>104</v>
      </c>
      <c r="J97" s="6" t="s">
        <v>104</v>
      </c>
      <c r="K97" s="6" t="s">
        <v>104</v>
      </c>
      <c r="L97" s="6" t="s">
        <v>104</v>
      </c>
      <c r="M97" s="6" t="s">
        <v>104</v>
      </c>
      <c r="N97" s="6" t="s">
        <v>104</v>
      </c>
      <c r="O97" s="6" t="s">
        <v>104</v>
      </c>
      <c r="P97" s="6" t="s">
        <v>104</v>
      </c>
      <c r="Q97" s="6" t="s">
        <v>104</v>
      </c>
      <c r="R97" s="6" t="s">
        <v>104</v>
      </c>
      <c r="S97" s="6" t="s">
        <v>104</v>
      </c>
      <c r="T97" s="6" t="s">
        <v>104</v>
      </c>
      <c r="U97" s="6" t="s">
        <v>104</v>
      </c>
      <c r="V97" s="6" t="s">
        <v>104</v>
      </c>
      <c r="W97" s="6" t="s">
        <v>104</v>
      </c>
      <c r="X97" s="6" t="s">
        <v>104</v>
      </c>
      <c r="Y97" s="6" t="s">
        <v>104</v>
      </c>
      <c r="Z97" s="6" t="s">
        <v>104</v>
      </c>
      <c r="AA97" s="6" t="s">
        <v>104</v>
      </c>
      <c r="AB97" s="6" t="s">
        <v>104</v>
      </c>
      <c r="AC97" s="6" t="s">
        <v>104</v>
      </c>
      <c r="AD97" s="6" t="s">
        <v>104</v>
      </c>
      <c r="AE97" s="6" t="s">
        <v>104</v>
      </c>
      <c r="AF97" s="6" t="s">
        <v>104</v>
      </c>
      <c r="AG97" s="6" t="s">
        <v>104</v>
      </c>
      <c r="AH97" s="6" t="s">
        <v>104</v>
      </c>
      <c r="AI97" s="6" t="s">
        <v>104</v>
      </c>
      <c r="AJ97" s="6" t="s">
        <v>104</v>
      </c>
      <c r="AK97" s="6" t="s">
        <v>104</v>
      </c>
      <c r="AL97" s="6" t="s">
        <v>104</v>
      </c>
      <c r="AM97" s="6" t="s">
        <v>104</v>
      </c>
      <c r="AN97" s="6" t="s">
        <v>104</v>
      </c>
      <c r="AO97" s="6" t="s">
        <v>104</v>
      </c>
      <c r="AP97" s="6" t="s">
        <v>104</v>
      </c>
      <c r="AQ97" s="6" t="s">
        <v>104</v>
      </c>
      <c r="AR97" s="6" t="s">
        <v>104</v>
      </c>
      <c r="AS97" s="6" t="s">
        <v>104</v>
      </c>
      <c r="AT97" s="6" t="s">
        <v>104</v>
      </c>
      <c r="AU97" s="6" t="s">
        <v>104</v>
      </c>
      <c r="AV97" s="6" t="s">
        <v>104</v>
      </c>
      <c r="AW97" s="6" t="s">
        <v>104</v>
      </c>
      <c r="AX97" s="6" t="s">
        <v>104</v>
      </c>
      <c r="AY97" s="6" t="s">
        <v>104</v>
      </c>
      <c r="AZ97" s="6" t="s">
        <v>104</v>
      </c>
      <c r="BA97" s="6" t="s">
        <v>104</v>
      </c>
      <c r="BB97" s="6" t="s">
        <v>104</v>
      </c>
      <c r="BC97" s="6" t="s">
        <v>104</v>
      </c>
      <c r="BD97" s="6" t="s">
        <v>104</v>
      </c>
      <c r="BE97" s="6" t="s">
        <v>104</v>
      </c>
      <c r="BF97" s="6" t="s">
        <v>104</v>
      </c>
      <c r="BG97" s="6" t="s">
        <v>104</v>
      </c>
      <c r="BH97" s="6" t="s">
        <v>104</v>
      </c>
      <c r="BI97" s="6" t="s">
        <v>104</v>
      </c>
      <c r="BJ97" s="6" t="s">
        <v>104</v>
      </c>
      <c r="BK97" s="6" t="s">
        <v>104</v>
      </c>
      <c r="BL97" s="6" t="s">
        <v>104</v>
      </c>
      <c r="BM97" s="6" t="s">
        <v>104</v>
      </c>
      <c r="BN97" s="6" t="s">
        <v>104</v>
      </c>
      <c r="BO97" s="6" t="s">
        <v>104</v>
      </c>
      <c r="BP97" s="6" t="s">
        <v>104</v>
      </c>
      <c r="BQ97" s="6" t="s">
        <v>104</v>
      </c>
      <c r="BR97" s="6" t="s">
        <v>104</v>
      </c>
      <c r="BS97" s="6" t="s">
        <v>104</v>
      </c>
      <c r="BT97" s="6" t="s">
        <v>104</v>
      </c>
      <c r="BU97" s="6" t="s">
        <v>104</v>
      </c>
      <c r="BV97" s="6" t="s">
        <v>104</v>
      </c>
      <c r="BW97" s="6" t="s">
        <v>104</v>
      </c>
      <c r="BX97" s="6" t="s">
        <v>104</v>
      </c>
      <c r="BY97" s="6" t="s">
        <v>104</v>
      </c>
      <c r="BZ97" s="6" t="s">
        <v>104</v>
      </c>
      <c r="CA97" s="6" t="s">
        <v>104</v>
      </c>
      <c r="CB97" s="6" t="s">
        <v>104</v>
      </c>
      <c r="CC97" s="6" t="s">
        <v>104</v>
      </c>
      <c r="CD97" s="6" t="s">
        <v>104</v>
      </c>
      <c r="CE97" s="6" t="s">
        <v>104</v>
      </c>
      <c r="CF97" s="6" t="s">
        <v>104</v>
      </c>
      <c r="CG97" s="6" t="s">
        <v>104</v>
      </c>
      <c r="CH97" s="6" t="s">
        <v>104</v>
      </c>
      <c r="CI97" s="6" t="s">
        <v>104</v>
      </c>
      <c r="CJ97" s="6" t="s">
        <v>104</v>
      </c>
      <c r="CK97" s="6" t="s">
        <v>104</v>
      </c>
      <c r="CL97" s="6" t="s">
        <v>104</v>
      </c>
      <c r="CM97" s="6" t="s">
        <v>104</v>
      </c>
    </row>
    <row r="98" spans="1:91" x14ac:dyDescent="0.35">
      <c r="A98" s="5" t="s">
        <v>116</v>
      </c>
      <c r="B98" s="7" t="s">
        <v>104</v>
      </c>
      <c r="C98" s="7" t="s">
        <v>104</v>
      </c>
      <c r="D98" s="7" t="s">
        <v>104</v>
      </c>
      <c r="E98" s="7" t="s">
        <v>104</v>
      </c>
      <c r="F98" s="7" t="s">
        <v>104</v>
      </c>
      <c r="G98" s="7" t="s">
        <v>104</v>
      </c>
      <c r="H98" s="7" t="s">
        <v>104</v>
      </c>
      <c r="I98" s="7" t="s">
        <v>104</v>
      </c>
      <c r="J98" s="7" t="s">
        <v>104</v>
      </c>
      <c r="K98" s="7" t="s">
        <v>104</v>
      </c>
      <c r="L98" s="6" t="s">
        <v>104</v>
      </c>
      <c r="M98" s="6" t="s">
        <v>104</v>
      </c>
      <c r="N98" s="6" t="s">
        <v>104</v>
      </c>
      <c r="O98" s="6" t="s">
        <v>104</v>
      </c>
      <c r="P98" s="6" t="s">
        <v>104</v>
      </c>
      <c r="Q98" s="6" t="s">
        <v>104</v>
      </c>
      <c r="R98" s="6" t="s">
        <v>104</v>
      </c>
      <c r="S98" s="6" t="s">
        <v>104</v>
      </c>
      <c r="T98" s="6" t="s">
        <v>104</v>
      </c>
      <c r="U98" s="6" t="s">
        <v>104</v>
      </c>
      <c r="V98" s="7" t="s">
        <v>104</v>
      </c>
      <c r="W98" s="7" t="s">
        <v>104</v>
      </c>
      <c r="X98" s="7" t="s">
        <v>104</v>
      </c>
      <c r="Y98" s="7" t="s">
        <v>104</v>
      </c>
      <c r="Z98" s="7" t="s">
        <v>104</v>
      </c>
      <c r="AA98" s="7" t="s">
        <v>104</v>
      </c>
      <c r="AB98" s="7" t="s">
        <v>104</v>
      </c>
      <c r="AC98" s="7" t="s">
        <v>104</v>
      </c>
      <c r="AD98" s="7" t="s">
        <v>104</v>
      </c>
      <c r="AE98" s="7" t="s">
        <v>104</v>
      </c>
      <c r="AF98" s="7" t="s">
        <v>104</v>
      </c>
      <c r="AG98" s="6" t="s">
        <v>104</v>
      </c>
      <c r="AH98" s="6" t="s">
        <v>104</v>
      </c>
      <c r="AI98" s="6" t="s">
        <v>104</v>
      </c>
      <c r="AJ98" s="7" t="s">
        <v>104</v>
      </c>
      <c r="AK98" s="7" t="s">
        <v>104</v>
      </c>
      <c r="AL98" s="7" t="s">
        <v>104</v>
      </c>
      <c r="AM98" s="7" t="s">
        <v>104</v>
      </c>
      <c r="AN98" s="7" t="s">
        <v>104</v>
      </c>
      <c r="AO98" s="7" t="s">
        <v>104</v>
      </c>
      <c r="AP98" s="7" t="s">
        <v>104</v>
      </c>
      <c r="AQ98" s="7" t="s">
        <v>104</v>
      </c>
      <c r="AR98" s="7" t="s">
        <v>104</v>
      </c>
      <c r="AS98" s="7" t="s">
        <v>104</v>
      </c>
      <c r="AT98" s="7" t="s">
        <v>104</v>
      </c>
      <c r="AU98" s="7" t="s">
        <v>104</v>
      </c>
      <c r="AV98" s="7" t="s">
        <v>104</v>
      </c>
      <c r="AW98" s="7" t="s">
        <v>104</v>
      </c>
      <c r="AX98" s="7" t="s">
        <v>104</v>
      </c>
      <c r="AY98" s="7" t="s">
        <v>104</v>
      </c>
      <c r="AZ98" s="7" t="s">
        <v>104</v>
      </c>
      <c r="BA98" s="7" t="s">
        <v>104</v>
      </c>
      <c r="BB98" s="7" t="s">
        <v>104</v>
      </c>
      <c r="BC98" s="7" t="s">
        <v>104</v>
      </c>
      <c r="BD98" s="7" t="s">
        <v>104</v>
      </c>
      <c r="BE98" s="7" t="s">
        <v>104</v>
      </c>
      <c r="BF98" s="7" t="s">
        <v>104</v>
      </c>
      <c r="BG98" s="7" t="s">
        <v>104</v>
      </c>
      <c r="BH98" s="7" t="s">
        <v>104</v>
      </c>
      <c r="BI98" s="7" t="s">
        <v>104</v>
      </c>
      <c r="BJ98" s="7" t="s">
        <v>104</v>
      </c>
      <c r="BK98" s="7" t="s">
        <v>104</v>
      </c>
      <c r="BL98" s="7" t="s">
        <v>104</v>
      </c>
      <c r="BM98" s="7" t="s">
        <v>104</v>
      </c>
      <c r="BN98" s="7" t="s">
        <v>104</v>
      </c>
      <c r="BO98" s="7" t="s">
        <v>104</v>
      </c>
      <c r="BP98" s="7" t="s">
        <v>104</v>
      </c>
      <c r="BQ98" s="7" t="s">
        <v>104</v>
      </c>
      <c r="BR98" s="7" t="s">
        <v>104</v>
      </c>
      <c r="BS98" s="7" t="s">
        <v>104</v>
      </c>
      <c r="BT98" s="7" t="s">
        <v>104</v>
      </c>
      <c r="BU98" s="7" t="s">
        <v>104</v>
      </c>
      <c r="BV98" s="7" t="s">
        <v>104</v>
      </c>
      <c r="BW98" s="7" t="s">
        <v>104</v>
      </c>
      <c r="BX98" s="7" t="s">
        <v>104</v>
      </c>
      <c r="BY98" s="7" t="s">
        <v>104</v>
      </c>
      <c r="BZ98" s="7" t="s">
        <v>104</v>
      </c>
      <c r="CA98" s="7" t="s">
        <v>104</v>
      </c>
      <c r="CB98" s="7" t="s">
        <v>104</v>
      </c>
      <c r="CC98" s="7" t="s">
        <v>104</v>
      </c>
      <c r="CD98" s="7" t="s">
        <v>104</v>
      </c>
      <c r="CE98" s="7" t="s">
        <v>104</v>
      </c>
      <c r="CF98" s="7" t="s">
        <v>104</v>
      </c>
      <c r="CG98" s="7" t="s">
        <v>104</v>
      </c>
      <c r="CH98" s="7" t="s">
        <v>104</v>
      </c>
      <c r="CI98" s="7" t="s">
        <v>104</v>
      </c>
      <c r="CJ98" s="7" t="s">
        <v>104</v>
      </c>
      <c r="CK98" s="7" t="s">
        <v>104</v>
      </c>
      <c r="CL98" s="7" t="s">
        <v>104</v>
      </c>
      <c r="CM98" s="7" t="s">
        <v>104</v>
      </c>
    </row>
    <row r="99" spans="1:91" x14ac:dyDescent="0.35">
      <c r="A99" s="5" t="s">
        <v>117</v>
      </c>
      <c r="B99" s="6" t="s">
        <v>104</v>
      </c>
      <c r="C99" s="6" t="s">
        <v>104</v>
      </c>
      <c r="D99" s="6" t="s">
        <v>104</v>
      </c>
      <c r="E99" s="6" t="s">
        <v>104</v>
      </c>
      <c r="F99" s="6" t="s">
        <v>104</v>
      </c>
      <c r="G99" s="6" t="s">
        <v>104</v>
      </c>
      <c r="H99" s="6" t="s">
        <v>104</v>
      </c>
      <c r="I99" s="6" t="s">
        <v>104</v>
      </c>
      <c r="J99" s="6" t="s">
        <v>104</v>
      </c>
      <c r="K99" s="6" t="s">
        <v>104</v>
      </c>
      <c r="L99" s="6" t="s">
        <v>104</v>
      </c>
      <c r="M99" s="6" t="s">
        <v>104</v>
      </c>
      <c r="N99" s="6" t="s">
        <v>104</v>
      </c>
      <c r="O99" s="6" t="s">
        <v>104</v>
      </c>
      <c r="P99" s="6" t="s">
        <v>104</v>
      </c>
      <c r="Q99" s="6" t="s">
        <v>104</v>
      </c>
      <c r="R99" s="6" t="s">
        <v>104</v>
      </c>
      <c r="S99" s="6" t="s">
        <v>104</v>
      </c>
      <c r="T99" s="6" t="s">
        <v>104</v>
      </c>
      <c r="U99" s="6" t="s">
        <v>104</v>
      </c>
      <c r="V99" s="6" t="s">
        <v>104</v>
      </c>
      <c r="W99" s="6" t="s">
        <v>104</v>
      </c>
      <c r="X99" s="6" t="s">
        <v>104</v>
      </c>
      <c r="Y99" s="6" t="s">
        <v>104</v>
      </c>
      <c r="Z99" s="6" t="s">
        <v>104</v>
      </c>
      <c r="AA99" s="6" t="s">
        <v>104</v>
      </c>
      <c r="AB99" s="6" t="s">
        <v>104</v>
      </c>
      <c r="AC99" s="6" t="s">
        <v>104</v>
      </c>
      <c r="AD99" s="6" t="s">
        <v>104</v>
      </c>
      <c r="AE99" s="6" t="s">
        <v>104</v>
      </c>
      <c r="AF99" s="6" t="s">
        <v>104</v>
      </c>
      <c r="AG99" s="6" t="s">
        <v>104</v>
      </c>
      <c r="AH99" s="6" t="s">
        <v>104</v>
      </c>
      <c r="AI99" s="6" t="s">
        <v>104</v>
      </c>
      <c r="AJ99" s="6" t="s">
        <v>104</v>
      </c>
      <c r="AK99" s="6" t="s">
        <v>104</v>
      </c>
      <c r="AL99" s="6" t="s">
        <v>104</v>
      </c>
      <c r="AM99" s="6" t="s">
        <v>104</v>
      </c>
      <c r="AN99" s="6" t="s">
        <v>104</v>
      </c>
      <c r="AO99" s="6" t="s">
        <v>104</v>
      </c>
      <c r="AP99" s="6" t="s">
        <v>104</v>
      </c>
      <c r="AQ99" s="6" t="s">
        <v>104</v>
      </c>
      <c r="AR99" s="6" t="s">
        <v>104</v>
      </c>
      <c r="AS99" s="6" t="s">
        <v>104</v>
      </c>
      <c r="AT99" s="6" t="s">
        <v>104</v>
      </c>
      <c r="AU99" s="6" t="s">
        <v>104</v>
      </c>
      <c r="AV99" s="6" t="s">
        <v>104</v>
      </c>
      <c r="AW99" s="6" t="s">
        <v>104</v>
      </c>
      <c r="AX99" s="6" t="s">
        <v>104</v>
      </c>
      <c r="AY99" s="6" t="s">
        <v>104</v>
      </c>
      <c r="AZ99" s="6" t="s">
        <v>104</v>
      </c>
      <c r="BA99" s="6" t="s">
        <v>104</v>
      </c>
      <c r="BB99" s="6" t="s">
        <v>104</v>
      </c>
      <c r="BC99" s="6" t="s">
        <v>104</v>
      </c>
      <c r="BD99" s="6" t="s">
        <v>104</v>
      </c>
      <c r="BE99" s="6" t="s">
        <v>104</v>
      </c>
      <c r="BF99" s="6" t="s">
        <v>104</v>
      </c>
      <c r="BG99" s="6" t="s">
        <v>104</v>
      </c>
      <c r="BH99" s="6" t="s">
        <v>104</v>
      </c>
      <c r="BI99" s="6" t="s">
        <v>104</v>
      </c>
      <c r="BJ99" s="6" t="s">
        <v>104</v>
      </c>
      <c r="BK99" s="6" t="s">
        <v>104</v>
      </c>
      <c r="BL99" s="6" t="s">
        <v>104</v>
      </c>
      <c r="BM99" s="6" t="s">
        <v>104</v>
      </c>
      <c r="BN99" s="6" t="s">
        <v>104</v>
      </c>
      <c r="BO99" s="6" t="s">
        <v>104</v>
      </c>
      <c r="BP99" s="6" t="s">
        <v>104</v>
      </c>
      <c r="BQ99" s="6" t="s">
        <v>104</v>
      </c>
      <c r="BR99" s="6" t="s">
        <v>104</v>
      </c>
      <c r="BS99" s="6" t="s">
        <v>104</v>
      </c>
      <c r="BT99" s="6" t="s">
        <v>104</v>
      </c>
      <c r="BU99" s="6" t="s">
        <v>104</v>
      </c>
      <c r="BV99" s="6" t="s">
        <v>104</v>
      </c>
      <c r="BW99" s="6" t="s">
        <v>104</v>
      </c>
      <c r="BX99" s="6" t="s">
        <v>104</v>
      </c>
      <c r="BY99" s="6" t="s">
        <v>104</v>
      </c>
      <c r="BZ99" s="6" t="s">
        <v>104</v>
      </c>
      <c r="CA99" s="6" t="s">
        <v>104</v>
      </c>
      <c r="CB99" s="6" t="s">
        <v>104</v>
      </c>
      <c r="CC99" s="6" t="s">
        <v>104</v>
      </c>
      <c r="CD99" s="6" t="s">
        <v>104</v>
      </c>
      <c r="CE99" s="6" t="s">
        <v>104</v>
      </c>
      <c r="CF99" s="6" t="s">
        <v>104</v>
      </c>
      <c r="CG99" s="6" t="s">
        <v>104</v>
      </c>
      <c r="CH99" s="6" t="s">
        <v>104</v>
      </c>
      <c r="CI99" s="6" t="s">
        <v>104</v>
      </c>
      <c r="CJ99" s="6" t="s">
        <v>104</v>
      </c>
      <c r="CK99" s="6" t="s">
        <v>104</v>
      </c>
      <c r="CL99" s="6" t="s">
        <v>104</v>
      </c>
      <c r="CM99" s="6" t="s">
        <v>104</v>
      </c>
    </row>
    <row r="100" spans="1:91" x14ac:dyDescent="0.35">
      <c r="A100" s="5" t="s">
        <v>118</v>
      </c>
      <c r="B100" s="7" t="s">
        <v>104</v>
      </c>
      <c r="C100" s="7" t="s">
        <v>104</v>
      </c>
      <c r="D100" s="7" t="s">
        <v>104</v>
      </c>
      <c r="E100" s="7" t="s">
        <v>104</v>
      </c>
      <c r="F100" s="7" t="s">
        <v>104</v>
      </c>
      <c r="G100" s="7" t="s">
        <v>104</v>
      </c>
      <c r="H100" s="7" t="s">
        <v>104</v>
      </c>
      <c r="I100" s="7" t="s">
        <v>104</v>
      </c>
      <c r="J100" s="7" t="s">
        <v>104</v>
      </c>
      <c r="K100" s="7" t="s">
        <v>104</v>
      </c>
      <c r="L100" s="6" t="s">
        <v>104</v>
      </c>
      <c r="M100" s="6" t="s">
        <v>104</v>
      </c>
      <c r="N100" s="6" t="s">
        <v>104</v>
      </c>
      <c r="O100" s="6" t="s">
        <v>104</v>
      </c>
      <c r="P100" s="6" t="s">
        <v>104</v>
      </c>
      <c r="Q100" s="6" t="s">
        <v>104</v>
      </c>
      <c r="R100" s="6" t="s">
        <v>104</v>
      </c>
      <c r="S100" s="6" t="s">
        <v>104</v>
      </c>
      <c r="T100" s="6" t="s">
        <v>104</v>
      </c>
      <c r="U100" s="6" t="s">
        <v>104</v>
      </c>
      <c r="V100" s="7" t="s">
        <v>104</v>
      </c>
      <c r="W100" s="7" t="s">
        <v>104</v>
      </c>
      <c r="X100" s="7" t="s">
        <v>104</v>
      </c>
      <c r="Y100" s="7" t="s">
        <v>104</v>
      </c>
      <c r="Z100" s="7" t="s">
        <v>104</v>
      </c>
      <c r="AA100" s="7" t="s">
        <v>104</v>
      </c>
      <c r="AB100" s="7" t="s">
        <v>104</v>
      </c>
      <c r="AC100" s="7" t="s">
        <v>104</v>
      </c>
      <c r="AD100" s="7" t="s">
        <v>104</v>
      </c>
      <c r="AE100" s="7" t="s">
        <v>104</v>
      </c>
      <c r="AF100" s="7" t="s">
        <v>104</v>
      </c>
      <c r="AG100" s="6" t="s">
        <v>104</v>
      </c>
      <c r="AH100" s="6" t="s">
        <v>104</v>
      </c>
      <c r="AI100" s="6" t="s">
        <v>104</v>
      </c>
      <c r="AJ100" s="7" t="s">
        <v>104</v>
      </c>
      <c r="AK100" s="7" t="s">
        <v>104</v>
      </c>
      <c r="AL100" s="7" t="s">
        <v>104</v>
      </c>
      <c r="AM100" s="7" t="s">
        <v>104</v>
      </c>
      <c r="AN100" s="7" t="s">
        <v>104</v>
      </c>
      <c r="AO100" s="7" t="s">
        <v>104</v>
      </c>
      <c r="AP100" s="7" t="s">
        <v>104</v>
      </c>
      <c r="AQ100" s="7" t="s">
        <v>104</v>
      </c>
      <c r="AR100" s="7" t="s">
        <v>104</v>
      </c>
      <c r="AS100" s="7" t="s">
        <v>104</v>
      </c>
      <c r="AT100" s="7" t="s">
        <v>104</v>
      </c>
      <c r="AU100" s="7" t="s">
        <v>104</v>
      </c>
      <c r="AV100" s="7" t="s">
        <v>104</v>
      </c>
      <c r="AW100" s="7" t="s">
        <v>104</v>
      </c>
      <c r="AX100" s="7" t="s">
        <v>104</v>
      </c>
      <c r="AY100" s="7" t="s">
        <v>104</v>
      </c>
      <c r="AZ100" s="7" t="s">
        <v>104</v>
      </c>
      <c r="BA100" s="7" t="s">
        <v>104</v>
      </c>
      <c r="BB100" s="7" t="s">
        <v>104</v>
      </c>
      <c r="BC100" s="7" t="s">
        <v>104</v>
      </c>
      <c r="BD100" s="7" t="s">
        <v>104</v>
      </c>
      <c r="BE100" s="7" t="s">
        <v>104</v>
      </c>
      <c r="BF100" s="7" t="s">
        <v>104</v>
      </c>
      <c r="BG100" s="7" t="s">
        <v>104</v>
      </c>
      <c r="BH100" s="7" t="s">
        <v>104</v>
      </c>
      <c r="BI100" s="7" t="s">
        <v>104</v>
      </c>
      <c r="BJ100" s="7" t="s">
        <v>104</v>
      </c>
      <c r="BK100" s="7" t="s">
        <v>104</v>
      </c>
      <c r="BL100" s="7" t="s">
        <v>104</v>
      </c>
      <c r="BM100" s="7" t="s">
        <v>104</v>
      </c>
      <c r="BN100" s="7" t="s">
        <v>104</v>
      </c>
      <c r="BO100" s="7" t="s">
        <v>104</v>
      </c>
      <c r="BP100" s="7" t="s">
        <v>104</v>
      </c>
      <c r="BQ100" s="7" t="s">
        <v>104</v>
      </c>
      <c r="BR100" s="7" t="s">
        <v>104</v>
      </c>
      <c r="BS100" s="7" t="s">
        <v>104</v>
      </c>
      <c r="BT100" s="7" t="s">
        <v>104</v>
      </c>
      <c r="BU100" s="7" t="s">
        <v>104</v>
      </c>
      <c r="BV100" s="7" t="s">
        <v>104</v>
      </c>
      <c r="BW100" s="7" t="s">
        <v>104</v>
      </c>
      <c r="BX100" s="7" t="s">
        <v>104</v>
      </c>
      <c r="BY100" s="7" t="s">
        <v>104</v>
      </c>
      <c r="BZ100" s="7" t="s">
        <v>104</v>
      </c>
      <c r="CA100" s="7" t="s">
        <v>104</v>
      </c>
      <c r="CB100" s="7" t="s">
        <v>104</v>
      </c>
      <c r="CC100" s="7" t="s">
        <v>104</v>
      </c>
      <c r="CD100" s="7" t="s">
        <v>104</v>
      </c>
      <c r="CE100" s="7" t="s">
        <v>104</v>
      </c>
      <c r="CF100" s="7" t="s">
        <v>104</v>
      </c>
      <c r="CG100" s="7" t="s">
        <v>104</v>
      </c>
      <c r="CH100" s="7" t="s">
        <v>104</v>
      </c>
      <c r="CI100" s="7" t="s">
        <v>104</v>
      </c>
      <c r="CJ100" s="7" t="s">
        <v>104</v>
      </c>
      <c r="CK100" s="7" t="s">
        <v>104</v>
      </c>
      <c r="CL100" s="7" t="s">
        <v>104</v>
      </c>
      <c r="CM100" s="7" t="s">
        <v>104</v>
      </c>
    </row>
    <row r="101" spans="1:91" x14ac:dyDescent="0.35">
      <c r="A101" s="5" t="s">
        <v>119</v>
      </c>
      <c r="B101" s="6" t="s">
        <v>104</v>
      </c>
      <c r="C101" s="6" t="s">
        <v>104</v>
      </c>
      <c r="D101" s="6" t="s">
        <v>104</v>
      </c>
      <c r="E101" s="6" t="s">
        <v>104</v>
      </c>
      <c r="F101" s="6" t="s">
        <v>104</v>
      </c>
      <c r="G101" s="6" t="s">
        <v>104</v>
      </c>
      <c r="H101" s="6" t="s">
        <v>104</v>
      </c>
      <c r="I101" s="6" t="s">
        <v>104</v>
      </c>
      <c r="J101" s="6" t="s">
        <v>104</v>
      </c>
      <c r="K101" s="6" t="s">
        <v>104</v>
      </c>
      <c r="L101" s="6" t="s">
        <v>104</v>
      </c>
      <c r="M101" s="6" t="s">
        <v>104</v>
      </c>
      <c r="N101" s="6" t="s">
        <v>104</v>
      </c>
      <c r="O101" s="6" t="s">
        <v>104</v>
      </c>
      <c r="P101" s="6" t="s">
        <v>104</v>
      </c>
      <c r="Q101" s="6" t="s">
        <v>104</v>
      </c>
      <c r="R101" s="6" t="s">
        <v>104</v>
      </c>
      <c r="S101" s="6" t="s">
        <v>104</v>
      </c>
      <c r="T101" s="6" t="s">
        <v>104</v>
      </c>
      <c r="U101" s="6" t="s">
        <v>104</v>
      </c>
      <c r="V101" s="6" t="s">
        <v>104</v>
      </c>
      <c r="W101" s="6" t="s">
        <v>104</v>
      </c>
      <c r="X101" s="6" t="s">
        <v>104</v>
      </c>
      <c r="Y101" s="6" t="s">
        <v>104</v>
      </c>
      <c r="Z101" s="6" t="s">
        <v>104</v>
      </c>
      <c r="AA101" s="6" t="s">
        <v>104</v>
      </c>
      <c r="AB101" s="6" t="s">
        <v>104</v>
      </c>
      <c r="AC101" s="6" t="s">
        <v>104</v>
      </c>
      <c r="AD101" s="6" t="s">
        <v>104</v>
      </c>
      <c r="AE101" s="6" t="s">
        <v>104</v>
      </c>
      <c r="AF101" s="6" t="s">
        <v>104</v>
      </c>
      <c r="AG101" s="6" t="s">
        <v>104</v>
      </c>
      <c r="AH101" s="6" t="s">
        <v>104</v>
      </c>
      <c r="AI101" s="6" t="s">
        <v>104</v>
      </c>
      <c r="AJ101" s="6" t="s">
        <v>104</v>
      </c>
      <c r="AK101" s="6" t="s">
        <v>104</v>
      </c>
      <c r="AL101" s="6" t="s">
        <v>104</v>
      </c>
      <c r="AM101" s="6" t="s">
        <v>104</v>
      </c>
      <c r="AN101" s="6" t="s">
        <v>104</v>
      </c>
      <c r="AO101" s="6" t="s">
        <v>104</v>
      </c>
      <c r="AP101" s="6" t="s">
        <v>104</v>
      </c>
      <c r="AQ101" s="6" t="s">
        <v>104</v>
      </c>
      <c r="AR101" s="6" t="s">
        <v>104</v>
      </c>
      <c r="AS101" s="6" t="s">
        <v>104</v>
      </c>
      <c r="AT101" s="6" t="s">
        <v>104</v>
      </c>
      <c r="AU101" s="6" t="s">
        <v>104</v>
      </c>
      <c r="AV101" s="6" t="s">
        <v>104</v>
      </c>
      <c r="AW101" s="6" t="s">
        <v>104</v>
      </c>
      <c r="AX101" s="6" t="s">
        <v>104</v>
      </c>
      <c r="AY101" s="6" t="s">
        <v>104</v>
      </c>
      <c r="AZ101" s="6" t="s">
        <v>104</v>
      </c>
      <c r="BA101" s="6" t="s">
        <v>104</v>
      </c>
      <c r="BB101" s="6" t="s">
        <v>104</v>
      </c>
      <c r="BC101" s="6" t="s">
        <v>104</v>
      </c>
      <c r="BD101" s="6" t="s">
        <v>104</v>
      </c>
      <c r="BE101" s="6" t="s">
        <v>104</v>
      </c>
      <c r="BF101" s="6" t="s">
        <v>104</v>
      </c>
      <c r="BG101" s="6" t="s">
        <v>104</v>
      </c>
      <c r="BH101" s="6" t="s">
        <v>104</v>
      </c>
      <c r="BI101" s="6" t="s">
        <v>104</v>
      </c>
      <c r="BJ101" s="6" t="s">
        <v>104</v>
      </c>
      <c r="BK101" s="6" t="s">
        <v>104</v>
      </c>
      <c r="BL101" s="6" t="s">
        <v>104</v>
      </c>
      <c r="BM101" s="6" t="s">
        <v>104</v>
      </c>
      <c r="BN101" s="6" t="s">
        <v>104</v>
      </c>
      <c r="BO101" s="6" t="s">
        <v>104</v>
      </c>
      <c r="BP101" s="6" t="s">
        <v>104</v>
      </c>
      <c r="BQ101" s="6" t="s">
        <v>104</v>
      </c>
      <c r="BR101" s="6" t="s">
        <v>104</v>
      </c>
      <c r="BS101" s="6" t="s">
        <v>104</v>
      </c>
      <c r="BT101" s="6" t="s">
        <v>104</v>
      </c>
      <c r="BU101" s="6" t="s">
        <v>104</v>
      </c>
      <c r="BV101" s="6" t="s">
        <v>104</v>
      </c>
      <c r="BW101" s="6" t="s">
        <v>104</v>
      </c>
      <c r="BX101" s="6" t="s">
        <v>104</v>
      </c>
      <c r="BY101" s="6" t="s">
        <v>104</v>
      </c>
      <c r="BZ101" s="6" t="s">
        <v>104</v>
      </c>
      <c r="CA101" s="6" t="s">
        <v>104</v>
      </c>
      <c r="CB101" s="6" t="s">
        <v>104</v>
      </c>
      <c r="CC101" s="6" t="s">
        <v>104</v>
      </c>
      <c r="CD101" s="6" t="s">
        <v>104</v>
      </c>
      <c r="CE101" s="6" t="s">
        <v>104</v>
      </c>
      <c r="CF101" s="6" t="s">
        <v>104</v>
      </c>
      <c r="CG101" s="6" t="s">
        <v>104</v>
      </c>
      <c r="CH101" s="6" t="s">
        <v>104</v>
      </c>
      <c r="CI101" s="6" t="s">
        <v>104</v>
      </c>
      <c r="CJ101" s="6" t="s">
        <v>104</v>
      </c>
      <c r="CK101" s="6" t="s">
        <v>104</v>
      </c>
      <c r="CL101" s="6" t="s">
        <v>104</v>
      </c>
      <c r="CM101" s="6" t="s">
        <v>104</v>
      </c>
    </row>
    <row r="102" spans="1:91" x14ac:dyDescent="0.35">
      <c r="A102" s="5" t="s">
        <v>120</v>
      </c>
      <c r="B102" s="7" t="s">
        <v>104</v>
      </c>
      <c r="C102" s="7" t="s">
        <v>104</v>
      </c>
      <c r="D102" s="7" t="s">
        <v>104</v>
      </c>
      <c r="E102" s="7" t="s">
        <v>104</v>
      </c>
      <c r="F102" s="7" t="s">
        <v>104</v>
      </c>
      <c r="G102" s="7" t="s">
        <v>104</v>
      </c>
      <c r="H102" s="7" t="s">
        <v>104</v>
      </c>
      <c r="I102" s="7" t="s">
        <v>104</v>
      </c>
      <c r="J102" s="7" t="s">
        <v>104</v>
      </c>
      <c r="K102" s="7" t="s">
        <v>104</v>
      </c>
      <c r="L102" s="6" t="s">
        <v>104</v>
      </c>
      <c r="M102" s="6" t="s">
        <v>104</v>
      </c>
      <c r="N102" s="6" t="s">
        <v>104</v>
      </c>
      <c r="O102" s="6" t="s">
        <v>104</v>
      </c>
      <c r="P102" s="6" t="s">
        <v>104</v>
      </c>
      <c r="Q102" s="6" t="s">
        <v>104</v>
      </c>
      <c r="R102" s="6" t="s">
        <v>104</v>
      </c>
      <c r="S102" s="6" t="s">
        <v>104</v>
      </c>
      <c r="T102" s="6" t="s">
        <v>104</v>
      </c>
      <c r="U102" s="6" t="s">
        <v>104</v>
      </c>
      <c r="V102" s="7" t="s">
        <v>104</v>
      </c>
      <c r="W102" s="7" t="s">
        <v>104</v>
      </c>
      <c r="X102" s="7" t="s">
        <v>104</v>
      </c>
      <c r="Y102" s="7" t="s">
        <v>104</v>
      </c>
      <c r="Z102" s="7" t="s">
        <v>104</v>
      </c>
      <c r="AA102" s="7" t="s">
        <v>104</v>
      </c>
      <c r="AB102" s="7" t="s">
        <v>104</v>
      </c>
      <c r="AC102" s="7" t="s">
        <v>104</v>
      </c>
      <c r="AD102" s="7" t="s">
        <v>104</v>
      </c>
      <c r="AE102" s="7" t="s">
        <v>104</v>
      </c>
      <c r="AF102" s="7" t="s">
        <v>104</v>
      </c>
      <c r="AG102" s="6" t="s">
        <v>104</v>
      </c>
      <c r="AH102" s="6" t="s">
        <v>104</v>
      </c>
      <c r="AI102" s="6" t="s">
        <v>104</v>
      </c>
      <c r="AJ102" s="7" t="s">
        <v>104</v>
      </c>
      <c r="AK102" s="7" t="s">
        <v>104</v>
      </c>
      <c r="AL102" s="7" t="s">
        <v>104</v>
      </c>
      <c r="AM102" s="7" t="s">
        <v>104</v>
      </c>
      <c r="AN102" s="7" t="s">
        <v>104</v>
      </c>
      <c r="AO102" s="7" t="s">
        <v>104</v>
      </c>
      <c r="AP102" s="7" t="s">
        <v>104</v>
      </c>
      <c r="AQ102" s="7" t="s">
        <v>104</v>
      </c>
      <c r="AR102" s="7" t="s">
        <v>104</v>
      </c>
      <c r="AS102" s="7" t="s">
        <v>104</v>
      </c>
      <c r="AT102" s="7" t="s">
        <v>104</v>
      </c>
      <c r="AU102" s="7" t="s">
        <v>104</v>
      </c>
      <c r="AV102" s="7" t="s">
        <v>104</v>
      </c>
      <c r="AW102" s="7" t="s">
        <v>104</v>
      </c>
      <c r="AX102" s="7" t="s">
        <v>104</v>
      </c>
      <c r="AY102" s="7" t="s">
        <v>104</v>
      </c>
      <c r="AZ102" s="7" t="s">
        <v>104</v>
      </c>
      <c r="BA102" s="7" t="s">
        <v>104</v>
      </c>
      <c r="BB102" s="7" t="s">
        <v>104</v>
      </c>
      <c r="BC102" s="7" t="s">
        <v>104</v>
      </c>
      <c r="BD102" s="7" t="s">
        <v>104</v>
      </c>
      <c r="BE102" s="7" t="s">
        <v>104</v>
      </c>
      <c r="BF102" s="7" t="s">
        <v>104</v>
      </c>
      <c r="BG102" s="7" t="s">
        <v>104</v>
      </c>
      <c r="BH102" s="7" t="s">
        <v>104</v>
      </c>
      <c r="BI102" s="7" t="s">
        <v>104</v>
      </c>
      <c r="BJ102" s="7" t="s">
        <v>104</v>
      </c>
      <c r="BK102" s="7" t="s">
        <v>104</v>
      </c>
      <c r="BL102" s="7" t="s">
        <v>104</v>
      </c>
      <c r="BM102" s="7" t="s">
        <v>104</v>
      </c>
      <c r="BN102" s="7" t="s">
        <v>104</v>
      </c>
      <c r="BO102" s="7" t="s">
        <v>104</v>
      </c>
      <c r="BP102" s="7" t="s">
        <v>104</v>
      </c>
      <c r="BQ102" s="7" t="s">
        <v>104</v>
      </c>
      <c r="BR102" s="7" t="s">
        <v>104</v>
      </c>
      <c r="BS102" s="7" t="s">
        <v>104</v>
      </c>
      <c r="BT102" s="7" t="s">
        <v>104</v>
      </c>
      <c r="BU102" s="7" t="s">
        <v>104</v>
      </c>
      <c r="BV102" s="7" t="s">
        <v>104</v>
      </c>
      <c r="BW102" s="7" t="s">
        <v>104</v>
      </c>
      <c r="BX102" s="7" t="s">
        <v>104</v>
      </c>
      <c r="BY102" s="7" t="s">
        <v>104</v>
      </c>
      <c r="BZ102" s="7" t="s">
        <v>104</v>
      </c>
      <c r="CA102" s="7" t="s">
        <v>104</v>
      </c>
      <c r="CB102" s="7" t="s">
        <v>104</v>
      </c>
      <c r="CC102" s="7" t="s">
        <v>104</v>
      </c>
      <c r="CD102" s="7" t="s">
        <v>104</v>
      </c>
      <c r="CE102" s="7" t="s">
        <v>104</v>
      </c>
      <c r="CF102" s="7" t="s">
        <v>104</v>
      </c>
      <c r="CG102" s="7" t="s">
        <v>104</v>
      </c>
      <c r="CH102" s="7" t="s">
        <v>104</v>
      </c>
      <c r="CI102" s="7" t="s">
        <v>104</v>
      </c>
      <c r="CJ102" s="7" t="s">
        <v>104</v>
      </c>
      <c r="CK102" s="7" t="s">
        <v>104</v>
      </c>
      <c r="CL102" s="7" t="s">
        <v>104</v>
      </c>
      <c r="CM102" s="7" t="s">
        <v>104</v>
      </c>
    </row>
    <row r="103" spans="1:91" x14ac:dyDescent="0.35">
      <c r="A103" s="5" t="s">
        <v>121</v>
      </c>
      <c r="B103" s="6" t="s">
        <v>104</v>
      </c>
      <c r="C103" s="6" t="s">
        <v>104</v>
      </c>
      <c r="D103" s="6" t="s">
        <v>104</v>
      </c>
      <c r="E103" s="6" t="s">
        <v>104</v>
      </c>
      <c r="F103" s="6" t="s">
        <v>104</v>
      </c>
      <c r="G103" s="6" t="s">
        <v>104</v>
      </c>
      <c r="H103" s="6" t="s">
        <v>104</v>
      </c>
      <c r="I103" s="6" t="s">
        <v>104</v>
      </c>
      <c r="J103" s="6" t="s">
        <v>104</v>
      </c>
      <c r="K103" s="6" t="s">
        <v>104</v>
      </c>
      <c r="L103" s="6" t="s">
        <v>104</v>
      </c>
      <c r="M103" s="6" t="s">
        <v>104</v>
      </c>
      <c r="N103" s="6" t="s">
        <v>104</v>
      </c>
      <c r="O103" s="6" t="s">
        <v>104</v>
      </c>
      <c r="P103" s="6" t="s">
        <v>104</v>
      </c>
      <c r="Q103" s="6" t="s">
        <v>104</v>
      </c>
      <c r="R103" s="6" t="s">
        <v>104</v>
      </c>
      <c r="S103" s="6" t="s">
        <v>104</v>
      </c>
      <c r="T103" s="6" t="s">
        <v>104</v>
      </c>
      <c r="U103" s="6" t="s">
        <v>104</v>
      </c>
      <c r="V103" s="6" t="s">
        <v>104</v>
      </c>
      <c r="W103" s="6" t="s">
        <v>104</v>
      </c>
      <c r="X103" s="6" t="s">
        <v>104</v>
      </c>
      <c r="Y103" s="6" t="s">
        <v>104</v>
      </c>
      <c r="Z103" s="6" t="s">
        <v>104</v>
      </c>
      <c r="AA103" s="6" t="s">
        <v>104</v>
      </c>
      <c r="AB103" s="6" t="s">
        <v>104</v>
      </c>
      <c r="AC103" s="6" t="s">
        <v>104</v>
      </c>
      <c r="AD103" s="6" t="s">
        <v>104</v>
      </c>
      <c r="AE103" s="6" t="s">
        <v>104</v>
      </c>
      <c r="AF103" s="6" t="s">
        <v>104</v>
      </c>
      <c r="AG103" s="6" t="s">
        <v>104</v>
      </c>
      <c r="AH103" s="6" t="s">
        <v>104</v>
      </c>
      <c r="AI103" s="6" t="s">
        <v>104</v>
      </c>
      <c r="AJ103" s="6" t="s">
        <v>104</v>
      </c>
      <c r="AK103" s="6" t="s">
        <v>104</v>
      </c>
      <c r="AL103" s="6" t="s">
        <v>104</v>
      </c>
      <c r="AM103" s="6" t="s">
        <v>104</v>
      </c>
      <c r="AN103" s="6" t="s">
        <v>104</v>
      </c>
      <c r="AO103" s="6" t="s">
        <v>104</v>
      </c>
      <c r="AP103" s="6" t="s">
        <v>104</v>
      </c>
      <c r="AQ103" s="6" t="s">
        <v>104</v>
      </c>
      <c r="AR103" s="6" t="s">
        <v>104</v>
      </c>
      <c r="AS103" s="6" t="s">
        <v>104</v>
      </c>
      <c r="AT103" s="6" t="s">
        <v>104</v>
      </c>
      <c r="AU103" s="6" t="s">
        <v>104</v>
      </c>
      <c r="AV103" s="6" t="s">
        <v>104</v>
      </c>
      <c r="AW103" s="6" t="s">
        <v>104</v>
      </c>
      <c r="AX103" s="6" t="s">
        <v>104</v>
      </c>
      <c r="AY103" s="6" t="s">
        <v>104</v>
      </c>
      <c r="AZ103" s="6" t="s">
        <v>104</v>
      </c>
      <c r="BA103" s="6" t="s">
        <v>104</v>
      </c>
      <c r="BB103" s="6" t="s">
        <v>104</v>
      </c>
      <c r="BC103" s="6" t="s">
        <v>104</v>
      </c>
      <c r="BD103" s="6" t="s">
        <v>104</v>
      </c>
      <c r="BE103" s="6" t="s">
        <v>104</v>
      </c>
      <c r="BF103" s="6" t="s">
        <v>104</v>
      </c>
      <c r="BG103" s="6" t="s">
        <v>104</v>
      </c>
      <c r="BH103" s="6" t="s">
        <v>104</v>
      </c>
      <c r="BI103" s="6" t="s">
        <v>104</v>
      </c>
      <c r="BJ103" s="6" t="s">
        <v>104</v>
      </c>
      <c r="BK103" s="6" t="s">
        <v>104</v>
      </c>
      <c r="BL103" s="6" t="s">
        <v>104</v>
      </c>
      <c r="BM103" s="6" t="s">
        <v>104</v>
      </c>
      <c r="BN103" s="6" t="s">
        <v>104</v>
      </c>
      <c r="BO103" s="6" t="s">
        <v>104</v>
      </c>
      <c r="BP103" s="6" t="s">
        <v>104</v>
      </c>
      <c r="BQ103" s="6" t="s">
        <v>104</v>
      </c>
      <c r="BR103" s="6" t="s">
        <v>104</v>
      </c>
      <c r="BS103" s="6" t="s">
        <v>104</v>
      </c>
      <c r="BT103" s="6" t="s">
        <v>104</v>
      </c>
      <c r="BU103" s="6" t="s">
        <v>104</v>
      </c>
      <c r="BV103" s="6" t="s">
        <v>104</v>
      </c>
      <c r="BW103" s="6" t="s">
        <v>104</v>
      </c>
      <c r="BX103" s="6" t="s">
        <v>104</v>
      </c>
      <c r="BY103" s="6" t="s">
        <v>104</v>
      </c>
      <c r="BZ103" s="6" t="s">
        <v>104</v>
      </c>
      <c r="CA103" s="6" t="s">
        <v>104</v>
      </c>
      <c r="CB103" s="6" t="s">
        <v>104</v>
      </c>
      <c r="CC103" s="6" t="s">
        <v>104</v>
      </c>
      <c r="CD103" s="6" t="s">
        <v>104</v>
      </c>
      <c r="CE103" s="6" t="s">
        <v>104</v>
      </c>
      <c r="CF103" s="6" t="s">
        <v>104</v>
      </c>
      <c r="CG103" s="6" t="s">
        <v>104</v>
      </c>
      <c r="CH103" s="6" t="s">
        <v>104</v>
      </c>
      <c r="CI103" s="6" t="s">
        <v>104</v>
      </c>
      <c r="CJ103" s="6" t="s">
        <v>104</v>
      </c>
      <c r="CK103" s="6" t="s">
        <v>104</v>
      </c>
      <c r="CL103" s="6" t="s">
        <v>104</v>
      </c>
      <c r="CM103" s="6" t="s">
        <v>104</v>
      </c>
    </row>
    <row r="104" spans="1:91" x14ac:dyDescent="0.35">
      <c r="A104" s="5" t="s">
        <v>122</v>
      </c>
      <c r="B104" s="7" t="s">
        <v>104</v>
      </c>
      <c r="C104" s="7" t="s">
        <v>104</v>
      </c>
      <c r="D104" s="7" t="s">
        <v>104</v>
      </c>
      <c r="E104" s="7" t="s">
        <v>104</v>
      </c>
      <c r="F104" s="7" t="s">
        <v>104</v>
      </c>
      <c r="G104" s="7" t="s">
        <v>104</v>
      </c>
      <c r="H104" s="7" t="s">
        <v>104</v>
      </c>
      <c r="I104" s="7" t="s">
        <v>104</v>
      </c>
      <c r="J104" s="7" t="s">
        <v>104</v>
      </c>
      <c r="K104" s="7" t="s">
        <v>104</v>
      </c>
      <c r="L104" s="6" t="s">
        <v>104</v>
      </c>
      <c r="M104" s="6" t="s">
        <v>104</v>
      </c>
      <c r="N104" s="6" t="s">
        <v>104</v>
      </c>
      <c r="O104" s="6" t="s">
        <v>104</v>
      </c>
      <c r="P104" s="6" t="s">
        <v>104</v>
      </c>
      <c r="Q104" s="6" t="s">
        <v>104</v>
      </c>
      <c r="R104" s="6" t="s">
        <v>104</v>
      </c>
      <c r="S104" s="6" t="s">
        <v>104</v>
      </c>
      <c r="T104" s="6" t="s">
        <v>104</v>
      </c>
      <c r="U104" s="6" t="s">
        <v>104</v>
      </c>
      <c r="V104" s="7" t="s">
        <v>104</v>
      </c>
      <c r="W104" s="7" t="s">
        <v>104</v>
      </c>
      <c r="X104" s="7" t="s">
        <v>104</v>
      </c>
      <c r="Y104" s="7" t="s">
        <v>104</v>
      </c>
      <c r="Z104" s="7" t="s">
        <v>104</v>
      </c>
      <c r="AA104" s="7" t="s">
        <v>104</v>
      </c>
      <c r="AB104" s="7" t="s">
        <v>104</v>
      </c>
      <c r="AC104" s="7" t="s">
        <v>104</v>
      </c>
      <c r="AD104" s="7" t="s">
        <v>104</v>
      </c>
      <c r="AE104" s="7" t="s">
        <v>104</v>
      </c>
      <c r="AF104" s="7" t="s">
        <v>104</v>
      </c>
      <c r="AG104" s="6" t="s">
        <v>104</v>
      </c>
      <c r="AH104" s="6" t="s">
        <v>104</v>
      </c>
      <c r="AI104" s="6" t="s">
        <v>104</v>
      </c>
      <c r="AJ104" s="7" t="s">
        <v>104</v>
      </c>
      <c r="AK104" s="7" t="s">
        <v>104</v>
      </c>
      <c r="AL104" s="7" t="s">
        <v>104</v>
      </c>
      <c r="AM104" s="7" t="s">
        <v>104</v>
      </c>
      <c r="AN104" s="7" t="s">
        <v>104</v>
      </c>
      <c r="AO104" s="7" t="s">
        <v>104</v>
      </c>
      <c r="AP104" s="7" t="s">
        <v>104</v>
      </c>
      <c r="AQ104" s="7" t="s">
        <v>104</v>
      </c>
      <c r="AR104" s="7" t="s">
        <v>104</v>
      </c>
      <c r="AS104" s="7" t="s">
        <v>104</v>
      </c>
      <c r="AT104" s="7" t="s">
        <v>104</v>
      </c>
      <c r="AU104" s="7" t="s">
        <v>104</v>
      </c>
      <c r="AV104" s="7" t="s">
        <v>104</v>
      </c>
      <c r="AW104" s="7" t="s">
        <v>104</v>
      </c>
      <c r="AX104" s="7" t="s">
        <v>104</v>
      </c>
      <c r="AY104" s="7" t="s">
        <v>104</v>
      </c>
      <c r="AZ104" s="7" t="s">
        <v>104</v>
      </c>
      <c r="BA104" s="7" t="s">
        <v>104</v>
      </c>
      <c r="BB104" s="7" t="s">
        <v>104</v>
      </c>
      <c r="BC104" s="7" t="s">
        <v>104</v>
      </c>
      <c r="BD104" s="7" t="s">
        <v>104</v>
      </c>
      <c r="BE104" s="7" t="s">
        <v>104</v>
      </c>
      <c r="BF104" s="7" t="s">
        <v>104</v>
      </c>
      <c r="BG104" s="7" t="s">
        <v>104</v>
      </c>
      <c r="BH104" s="7" t="s">
        <v>104</v>
      </c>
      <c r="BI104" s="7" t="s">
        <v>104</v>
      </c>
      <c r="BJ104" s="7" t="s">
        <v>104</v>
      </c>
      <c r="BK104" s="7" t="s">
        <v>104</v>
      </c>
      <c r="BL104" s="7" t="s">
        <v>104</v>
      </c>
      <c r="BM104" s="7" t="s">
        <v>104</v>
      </c>
      <c r="BN104" s="7" t="s">
        <v>104</v>
      </c>
      <c r="BO104" s="7" t="s">
        <v>104</v>
      </c>
      <c r="BP104" s="7" t="s">
        <v>104</v>
      </c>
      <c r="BQ104" s="7" t="s">
        <v>104</v>
      </c>
      <c r="BR104" s="7" t="s">
        <v>104</v>
      </c>
      <c r="BS104" s="7" t="s">
        <v>104</v>
      </c>
      <c r="BT104" s="7" t="s">
        <v>104</v>
      </c>
      <c r="BU104" s="7" t="s">
        <v>104</v>
      </c>
      <c r="BV104" s="7" t="s">
        <v>104</v>
      </c>
      <c r="BW104" s="7" t="s">
        <v>104</v>
      </c>
      <c r="BX104" s="7" t="s">
        <v>104</v>
      </c>
      <c r="BY104" s="7" t="s">
        <v>104</v>
      </c>
      <c r="BZ104" s="7" t="s">
        <v>104</v>
      </c>
      <c r="CA104" s="7" t="s">
        <v>104</v>
      </c>
      <c r="CB104" s="7" t="s">
        <v>104</v>
      </c>
      <c r="CC104" s="7" t="s">
        <v>104</v>
      </c>
      <c r="CD104" s="7" t="s">
        <v>104</v>
      </c>
      <c r="CE104" s="7" t="s">
        <v>104</v>
      </c>
      <c r="CF104" s="7" t="s">
        <v>104</v>
      </c>
      <c r="CG104" s="7" t="s">
        <v>104</v>
      </c>
      <c r="CH104" s="7" t="s">
        <v>104</v>
      </c>
      <c r="CI104" s="7" t="s">
        <v>104</v>
      </c>
      <c r="CJ104" s="7" t="s">
        <v>104</v>
      </c>
      <c r="CK104" s="7" t="s">
        <v>104</v>
      </c>
      <c r="CL104" s="7" t="s">
        <v>104</v>
      </c>
      <c r="CM104" s="7" t="s">
        <v>104</v>
      </c>
    </row>
    <row r="105" spans="1:91" x14ac:dyDescent="0.35">
      <c r="M105" s="12">
        <v>0</v>
      </c>
      <c r="AG105" s="6" t="s">
        <v>104</v>
      </c>
      <c r="AH105" s="6" t="s">
        <v>104</v>
      </c>
      <c r="AI105" s="6" t="s">
        <v>104</v>
      </c>
    </row>
    <row r="107" spans="1:91" x14ac:dyDescent="0.35">
      <c r="A107" s="2" t="s">
        <v>123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P108"/>
  <sheetViews>
    <sheetView zoomScaleNormal="100" workbookViewId="0">
      <pane xSplit="1" ySplit="10" topLeftCell="B11" activePane="bottomRight" state="frozen"/>
      <selection pane="topRight"/>
      <selection pane="bottomLeft"/>
      <selection pane="bottomRight" activeCell="L11" sqref="L11"/>
    </sheetView>
  </sheetViews>
  <sheetFormatPr baseColWidth="10" defaultColWidth="8.7265625" defaultRowHeight="11.4" customHeight="1" x14ac:dyDescent="0.35"/>
  <cols>
    <col min="1" max="1" width="29.90625" customWidth="1"/>
    <col min="2" max="2" width="10" customWidth="1"/>
    <col min="3" max="12" width="19.90625" customWidth="1"/>
    <col min="13" max="13" width="13.6328125" customWidth="1"/>
    <col min="14" max="14" width="11.7265625" customWidth="1"/>
    <col min="15" max="15" width="15.26953125" style="16" customWidth="1"/>
    <col min="16" max="16" width="9.6328125" style="16" customWidth="1"/>
    <col min="17" max="17" width="10.08984375" style="17" customWidth="1"/>
    <col min="18" max="18" width="9.26953125" style="17" customWidth="1"/>
    <col min="19" max="19" width="9.26953125" style="18" customWidth="1"/>
    <col min="20" max="20" width="9.54296875" style="18" customWidth="1"/>
    <col min="21" max="21" width="12.08984375" style="19" customWidth="1"/>
    <col min="22" max="22" width="9.81640625" style="19" customWidth="1"/>
    <col min="23" max="23" width="10.08984375" style="20" customWidth="1"/>
    <col min="24" max="26" width="19.90625" customWidth="1"/>
    <col min="27" max="27" width="11.90625" customWidth="1"/>
    <col min="28" max="37" width="19.90625" customWidth="1"/>
    <col min="38" max="38" width="19.90625" style="21" customWidth="1"/>
    <col min="39" max="50" width="19.90625" customWidth="1"/>
    <col min="51" max="51" width="18.90625" customWidth="1"/>
    <col min="52" max="64" width="19.90625" customWidth="1"/>
    <col min="65" max="65" width="18.90625" customWidth="1"/>
    <col min="66" max="68" width="19.90625" customWidth="1"/>
    <col min="69" max="69" width="17.90625" customWidth="1"/>
    <col min="70" max="92" width="19.90625" customWidth="1"/>
    <col min="93" max="93" width="10" customWidth="1"/>
    <col min="94" max="94" width="14.90625" customWidth="1"/>
  </cols>
  <sheetData>
    <row r="1" spans="1:94" ht="14.5" x14ac:dyDescent="0.35">
      <c r="A1" s="2" t="s">
        <v>19</v>
      </c>
    </row>
    <row r="2" spans="1:94" ht="14.5" x14ac:dyDescent="0.35">
      <c r="A2" s="2" t="s">
        <v>20</v>
      </c>
      <c r="B2" s="1" t="s">
        <v>0</v>
      </c>
    </row>
    <row r="3" spans="1:94" ht="14.5" x14ac:dyDescent="0.35">
      <c r="A3" s="2" t="s">
        <v>21</v>
      </c>
      <c r="B3" s="2" t="s">
        <v>6</v>
      </c>
    </row>
    <row r="4" spans="1:94" ht="14.5" x14ac:dyDescent="0.35"/>
    <row r="5" spans="1:94" ht="14.5" x14ac:dyDescent="0.35">
      <c r="A5" s="1" t="s">
        <v>12</v>
      </c>
      <c r="B5" s="2" t="s">
        <v>16</v>
      </c>
    </row>
    <row r="6" spans="1:94" ht="14.5" x14ac:dyDescent="0.35">
      <c r="A6" s="1" t="s">
        <v>13</v>
      </c>
      <c r="B6" s="2" t="s">
        <v>17</v>
      </c>
    </row>
    <row r="7" spans="1:94" ht="14.5" x14ac:dyDescent="0.35">
      <c r="A7" s="1" t="s">
        <v>14</v>
      </c>
      <c r="B7" s="2" t="s">
        <v>18</v>
      </c>
    </row>
    <row r="8" spans="1:94" ht="14.5" x14ac:dyDescent="0.35"/>
    <row r="9" spans="1:94" ht="14.5" x14ac:dyDescent="0.35">
      <c r="A9" s="3" t="s">
        <v>23</v>
      </c>
      <c r="B9" s="28" t="s">
        <v>24</v>
      </c>
      <c r="C9" s="14" t="s">
        <v>25</v>
      </c>
      <c r="D9" s="14" t="s">
        <v>26</v>
      </c>
      <c r="E9" s="14" t="s">
        <v>27</v>
      </c>
      <c r="F9" s="14" t="s">
        <v>28</v>
      </c>
      <c r="G9" s="14" t="s">
        <v>29</v>
      </c>
      <c r="H9" s="14" t="s">
        <v>30</v>
      </c>
      <c r="I9" s="14" t="s">
        <v>31</v>
      </c>
      <c r="J9" s="14" t="s">
        <v>32</v>
      </c>
      <c r="K9" s="14" t="s">
        <v>33</v>
      </c>
      <c r="L9" s="14" t="s">
        <v>34</v>
      </c>
      <c r="M9" s="32" t="s">
        <v>141</v>
      </c>
      <c r="N9" s="32" t="s">
        <v>140</v>
      </c>
      <c r="O9" s="16" t="s">
        <v>125</v>
      </c>
      <c r="P9" s="16" t="s">
        <v>126</v>
      </c>
      <c r="Q9" s="17" t="s">
        <v>127</v>
      </c>
      <c r="R9" s="17" t="s">
        <v>128</v>
      </c>
      <c r="S9" s="18" t="s">
        <v>129</v>
      </c>
      <c r="T9" s="18" t="s">
        <v>130</v>
      </c>
      <c r="U9" s="19" t="s">
        <v>131</v>
      </c>
      <c r="V9" s="19" t="s">
        <v>132</v>
      </c>
      <c r="W9" s="20" t="s">
        <v>133</v>
      </c>
      <c r="X9" s="14" t="s">
        <v>35</v>
      </c>
      <c r="Y9" s="14" t="s">
        <v>36</v>
      </c>
      <c r="Z9" s="14" t="s">
        <v>37</v>
      </c>
      <c r="AA9" s="14" t="s">
        <v>38</v>
      </c>
      <c r="AB9" s="14" t="s">
        <v>39</v>
      </c>
      <c r="AC9" s="14" t="s">
        <v>40</v>
      </c>
      <c r="AD9" s="14" t="s">
        <v>41</v>
      </c>
      <c r="AE9" s="14" t="s">
        <v>42</v>
      </c>
      <c r="AF9" s="14" t="s">
        <v>43</v>
      </c>
      <c r="AG9" s="14" t="s">
        <v>44</v>
      </c>
      <c r="AH9" s="14" t="s">
        <v>45</v>
      </c>
      <c r="AI9" s="14" t="s">
        <v>46</v>
      </c>
      <c r="AJ9" s="22" t="s">
        <v>139</v>
      </c>
      <c r="AK9" s="22" t="s">
        <v>136</v>
      </c>
      <c r="AL9" s="21" t="s">
        <v>135</v>
      </c>
      <c r="AM9" s="14" t="s">
        <v>47</v>
      </c>
      <c r="AN9" s="14" t="s">
        <v>48</v>
      </c>
      <c r="AO9" s="14" t="s">
        <v>49</v>
      </c>
      <c r="AP9" s="14" t="s">
        <v>50</v>
      </c>
      <c r="AQ9" s="14" t="s">
        <v>51</v>
      </c>
      <c r="AR9" s="14" t="s">
        <v>52</v>
      </c>
      <c r="AS9" s="14" t="s">
        <v>53</v>
      </c>
      <c r="AT9" s="14" t="s">
        <v>54</v>
      </c>
      <c r="AU9" s="14" t="s">
        <v>55</v>
      </c>
      <c r="AV9" s="14" t="s">
        <v>56</v>
      </c>
      <c r="AW9" s="14" t="s">
        <v>57</v>
      </c>
      <c r="AX9" s="14" t="s">
        <v>58</v>
      </c>
      <c r="AY9" s="14" t="s">
        <v>59</v>
      </c>
      <c r="AZ9" s="14" t="s">
        <v>60</v>
      </c>
      <c r="BA9" s="14" t="s">
        <v>61</v>
      </c>
      <c r="BB9" s="14" t="s">
        <v>62</v>
      </c>
      <c r="BC9" s="14" t="s">
        <v>63</v>
      </c>
      <c r="BD9" s="14" t="s">
        <v>64</v>
      </c>
      <c r="BE9" s="14" t="s">
        <v>65</v>
      </c>
      <c r="BF9" s="14" t="s">
        <v>66</v>
      </c>
      <c r="BG9" s="14" t="s">
        <v>67</v>
      </c>
      <c r="BH9" s="14" t="s">
        <v>68</v>
      </c>
      <c r="BI9" s="14" t="s">
        <v>69</v>
      </c>
      <c r="BJ9" s="14" t="s">
        <v>70</v>
      </c>
      <c r="BK9" s="14" t="s">
        <v>71</v>
      </c>
      <c r="BL9" s="14" t="s">
        <v>72</v>
      </c>
      <c r="BM9" s="14" t="s">
        <v>73</v>
      </c>
      <c r="BN9" s="14" t="s">
        <v>74</v>
      </c>
      <c r="BO9" s="14" t="s">
        <v>75</v>
      </c>
      <c r="BP9" s="14" t="s">
        <v>76</v>
      </c>
      <c r="BQ9" s="14" t="s">
        <v>77</v>
      </c>
      <c r="BR9" s="14" t="s">
        <v>78</v>
      </c>
      <c r="BS9" s="14" t="s">
        <v>79</v>
      </c>
      <c r="BT9" s="14" t="s">
        <v>80</v>
      </c>
      <c r="BU9" s="14" t="s">
        <v>81</v>
      </c>
      <c r="BV9" s="14" t="s">
        <v>82</v>
      </c>
      <c r="BW9" s="14" t="s">
        <v>83</v>
      </c>
      <c r="BX9" s="14" t="s">
        <v>84</v>
      </c>
      <c r="BY9" s="14" t="s">
        <v>85</v>
      </c>
      <c r="BZ9" s="14" t="s">
        <v>86</v>
      </c>
      <c r="CA9" s="14" t="s">
        <v>87</v>
      </c>
      <c r="CB9" s="14" t="s">
        <v>88</v>
      </c>
      <c r="CC9" s="14" t="s">
        <v>89</v>
      </c>
      <c r="CD9" s="14" t="s">
        <v>90</v>
      </c>
      <c r="CE9" s="14" t="s">
        <v>91</v>
      </c>
      <c r="CF9" s="14" t="s">
        <v>92</v>
      </c>
      <c r="CG9" s="14" t="s">
        <v>93</v>
      </c>
      <c r="CH9" s="14" t="s">
        <v>94</v>
      </c>
      <c r="CI9" s="14" t="s">
        <v>95</v>
      </c>
      <c r="CJ9" s="14" t="s">
        <v>96</v>
      </c>
      <c r="CK9" s="14" t="s">
        <v>97</v>
      </c>
      <c r="CL9" s="14" t="s">
        <v>98</v>
      </c>
      <c r="CM9" s="14" t="s">
        <v>99</v>
      </c>
      <c r="CN9" s="14" t="s">
        <v>100</v>
      </c>
      <c r="CO9" s="14" t="s">
        <v>101</v>
      </c>
      <c r="CP9" s="14" t="s">
        <v>102</v>
      </c>
    </row>
    <row r="10" spans="1:94" s="4" customFormat="1" ht="11.5" x14ac:dyDescent="0.35">
      <c r="A10" s="4" t="s">
        <v>103</v>
      </c>
      <c r="B10" s="4" t="s">
        <v>22</v>
      </c>
      <c r="C10" s="4" t="s">
        <v>22</v>
      </c>
      <c r="D10" s="4" t="s">
        <v>22</v>
      </c>
      <c r="E10" s="4" t="s">
        <v>22</v>
      </c>
      <c r="F10" s="4" t="s">
        <v>22</v>
      </c>
      <c r="G10" s="4" t="s">
        <v>22</v>
      </c>
      <c r="H10" s="4" t="s">
        <v>22</v>
      </c>
      <c r="I10" s="4" t="s">
        <v>22</v>
      </c>
      <c r="J10" s="4" t="s">
        <v>22</v>
      </c>
      <c r="K10" s="4" t="s">
        <v>22</v>
      </c>
      <c r="L10" s="4" t="s">
        <v>22</v>
      </c>
      <c r="M10" s="32"/>
      <c r="N10" s="32" t="s">
        <v>22</v>
      </c>
      <c r="X10" s="4" t="s">
        <v>22</v>
      </c>
      <c r="Y10" s="4" t="s">
        <v>22</v>
      </c>
      <c r="Z10" s="4" t="s">
        <v>22</v>
      </c>
      <c r="AA10" s="4" t="s">
        <v>22</v>
      </c>
      <c r="AB10" s="4" t="s">
        <v>22</v>
      </c>
      <c r="AC10" s="4" t="s">
        <v>22</v>
      </c>
      <c r="AD10" s="4" t="s">
        <v>22</v>
      </c>
      <c r="AE10" s="4" t="s">
        <v>22</v>
      </c>
      <c r="AF10" s="4" t="s">
        <v>22</v>
      </c>
      <c r="AG10" s="4" t="s">
        <v>22</v>
      </c>
      <c r="AH10" s="4" t="s">
        <v>22</v>
      </c>
      <c r="AI10" s="4" t="s">
        <v>22</v>
      </c>
      <c r="AK10" s="4" t="s">
        <v>22</v>
      </c>
      <c r="AM10" s="4" t="s">
        <v>22</v>
      </c>
      <c r="AN10" s="4" t="s">
        <v>22</v>
      </c>
      <c r="AO10" s="4" t="s">
        <v>22</v>
      </c>
      <c r="AP10" s="4" t="s">
        <v>22</v>
      </c>
      <c r="AQ10" s="4" t="s">
        <v>22</v>
      </c>
      <c r="AR10" s="4" t="s">
        <v>22</v>
      </c>
      <c r="AS10" s="4" t="s">
        <v>22</v>
      </c>
      <c r="AT10" s="4" t="s">
        <v>22</v>
      </c>
      <c r="AU10" s="4" t="s">
        <v>22</v>
      </c>
      <c r="AV10" s="4" t="s">
        <v>22</v>
      </c>
      <c r="AW10" s="4" t="s">
        <v>22</v>
      </c>
      <c r="AX10" s="4" t="s">
        <v>22</v>
      </c>
      <c r="AY10" s="4" t="s">
        <v>22</v>
      </c>
      <c r="AZ10" s="4" t="s">
        <v>22</v>
      </c>
      <c r="BA10" s="4" t="s">
        <v>22</v>
      </c>
      <c r="BB10" s="4" t="s">
        <v>22</v>
      </c>
      <c r="BC10" s="4" t="s">
        <v>22</v>
      </c>
      <c r="BD10" s="4" t="s">
        <v>22</v>
      </c>
      <c r="BE10" s="4" t="s">
        <v>22</v>
      </c>
      <c r="BF10" s="4" t="s">
        <v>22</v>
      </c>
      <c r="BG10" s="4" t="s">
        <v>22</v>
      </c>
      <c r="BH10" s="4" t="s">
        <v>22</v>
      </c>
      <c r="BI10" s="4" t="s">
        <v>22</v>
      </c>
      <c r="BJ10" s="4" t="s">
        <v>22</v>
      </c>
      <c r="BK10" s="4" t="s">
        <v>22</v>
      </c>
      <c r="BL10" s="4" t="s">
        <v>22</v>
      </c>
      <c r="BM10" s="4" t="s">
        <v>22</v>
      </c>
      <c r="BN10" s="4" t="s">
        <v>22</v>
      </c>
      <c r="BO10" s="4" t="s">
        <v>22</v>
      </c>
      <c r="BP10" s="4" t="s">
        <v>22</v>
      </c>
      <c r="BQ10" s="4" t="s">
        <v>22</v>
      </c>
      <c r="BR10" s="4" t="s">
        <v>22</v>
      </c>
      <c r="BS10" s="4" t="s">
        <v>22</v>
      </c>
      <c r="BT10" s="4" t="s">
        <v>22</v>
      </c>
      <c r="BU10" s="4" t="s">
        <v>22</v>
      </c>
      <c r="BV10" s="4" t="s">
        <v>22</v>
      </c>
      <c r="BW10" s="4" t="s">
        <v>22</v>
      </c>
      <c r="BX10" s="4" t="s">
        <v>22</v>
      </c>
      <c r="BY10" s="4" t="s">
        <v>22</v>
      </c>
      <c r="BZ10" s="4" t="s">
        <v>22</v>
      </c>
      <c r="CA10" s="4" t="s">
        <v>22</v>
      </c>
      <c r="CB10" s="4" t="s">
        <v>22</v>
      </c>
      <c r="CC10" s="4" t="s">
        <v>22</v>
      </c>
      <c r="CD10" s="4" t="s">
        <v>22</v>
      </c>
      <c r="CE10" s="4" t="s">
        <v>22</v>
      </c>
      <c r="CF10" s="4" t="s">
        <v>22</v>
      </c>
      <c r="CG10" s="4" t="s">
        <v>22</v>
      </c>
      <c r="CH10" s="4" t="s">
        <v>22</v>
      </c>
      <c r="CI10" s="4" t="s">
        <v>22</v>
      </c>
      <c r="CJ10" s="4" t="s">
        <v>22</v>
      </c>
      <c r="CK10" s="4" t="s">
        <v>22</v>
      </c>
      <c r="CL10" s="4" t="s">
        <v>22</v>
      </c>
      <c r="CM10" s="4" t="s">
        <v>22</v>
      </c>
      <c r="CN10" s="4" t="s">
        <v>22</v>
      </c>
      <c r="CO10" s="4" t="s">
        <v>22</v>
      </c>
      <c r="CP10" s="4" t="s">
        <v>22</v>
      </c>
    </row>
    <row r="11" spans="1:94" ht="14.5" x14ac:dyDescent="0.35">
      <c r="A11" s="5" t="s">
        <v>24</v>
      </c>
      <c r="B11" s="13">
        <v>2309989.5099999998</v>
      </c>
      <c r="C11" s="13">
        <v>23574.55</v>
      </c>
      <c r="D11" s="13">
        <v>1610.41</v>
      </c>
      <c r="E11" s="13">
        <v>1167.95</v>
      </c>
      <c r="F11" s="13">
        <v>5682.15</v>
      </c>
      <c r="G11" s="13">
        <v>108017.92</v>
      </c>
      <c r="H11" s="13">
        <v>25604.18</v>
      </c>
      <c r="I11" s="13">
        <v>10973.38</v>
      </c>
      <c r="J11" s="13">
        <v>18860.28</v>
      </c>
      <c r="K11" s="13">
        <v>4511.5200000000004</v>
      </c>
      <c r="L11" s="13">
        <v>279251.15999999997</v>
      </c>
      <c r="M11" s="12">
        <f>N11-SUM(O11:W11)</f>
        <v>100917.81</v>
      </c>
      <c r="N11" s="12">
        <v>100917.81</v>
      </c>
      <c r="X11" s="13">
        <v>51003.06</v>
      </c>
      <c r="Y11" s="13">
        <v>39303.17</v>
      </c>
      <c r="Z11" s="13">
        <v>21323.24</v>
      </c>
      <c r="AA11" s="13">
        <v>82285.850000000006</v>
      </c>
      <c r="AB11" s="13">
        <v>45403.5</v>
      </c>
      <c r="AC11" s="13">
        <v>54156.53</v>
      </c>
      <c r="AD11" s="13">
        <v>46944.27</v>
      </c>
      <c r="AE11" s="13">
        <v>62064.2</v>
      </c>
      <c r="AF11" s="13">
        <v>92421.33</v>
      </c>
      <c r="AG11" s="13">
        <v>40764.1</v>
      </c>
      <c r="AH11" s="13">
        <v>26601.05</v>
      </c>
      <c r="AI11" s="13">
        <v>27047.85</v>
      </c>
      <c r="AJ11" s="13">
        <f>AK11-AL11</f>
        <v>104284.04</v>
      </c>
      <c r="AK11" s="13">
        <v>104284.04</v>
      </c>
      <c r="AM11" s="13">
        <v>2277.29</v>
      </c>
      <c r="AN11" s="13">
        <v>13866.6</v>
      </c>
      <c r="AO11" s="13">
        <v>106317.12</v>
      </c>
      <c r="AP11" s="13">
        <v>19294.740000000002</v>
      </c>
      <c r="AQ11" s="13">
        <v>108816.82</v>
      </c>
      <c r="AR11" s="13">
        <v>35387.230000000003</v>
      </c>
      <c r="AS11" s="13">
        <v>31108.97</v>
      </c>
      <c r="AT11" s="13">
        <v>43969.75</v>
      </c>
      <c r="AU11" s="13">
        <v>22083.74</v>
      </c>
      <c r="AV11" s="13">
        <v>29703.24</v>
      </c>
      <c r="AW11" s="13">
        <v>6980.07</v>
      </c>
      <c r="AX11" s="13">
        <v>26729.83</v>
      </c>
      <c r="AY11" s="13">
        <v>32604.37</v>
      </c>
      <c r="AZ11" s="13">
        <v>11255.04</v>
      </c>
      <c r="BA11" s="13">
        <v>18373.599999999999</v>
      </c>
      <c r="BB11" s="13">
        <v>110991.78</v>
      </c>
      <c r="BC11" s="13">
        <v>48952.42</v>
      </c>
      <c r="BD11" s="13">
        <v>28579.65</v>
      </c>
      <c r="BE11" s="13">
        <v>22000.59</v>
      </c>
      <c r="BF11" s="13">
        <v>19198.82</v>
      </c>
      <c r="BG11" s="13">
        <v>48393.95</v>
      </c>
      <c r="BH11" s="13">
        <v>16355.74</v>
      </c>
      <c r="BI11" s="13">
        <v>26081.71</v>
      </c>
      <c r="BJ11" s="13">
        <v>11318.65</v>
      </c>
      <c r="BK11" s="13">
        <v>8630.74</v>
      </c>
      <c r="BL11" s="13">
        <v>28651.27</v>
      </c>
      <c r="BM11" s="13">
        <v>5527.09</v>
      </c>
      <c r="BN11" s="13">
        <v>9990.73</v>
      </c>
      <c r="BO11" s="13">
        <v>24845.4</v>
      </c>
      <c r="BP11" s="13">
        <v>24995.95</v>
      </c>
      <c r="BQ11" s="13">
        <v>9701.32</v>
      </c>
      <c r="BR11" s="13">
        <v>47483.33</v>
      </c>
      <c r="BS11" s="13">
        <v>10754.93</v>
      </c>
      <c r="BT11" s="13">
        <v>8468.56</v>
      </c>
      <c r="BU11" s="13">
        <v>4527.24</v>
      </c>
      <c r="BV11" s="13">
        <v>4413.0600000000004</v>
      </c>
      <c r="BW11" s="13">
        <v>2726.67</v>
      </c>
      <c r="BX11" s="13">
        <v>4783.03</v>
      </c>
      <c r="BY11" s="13">
        <v>75.010000000000005</v>
      </c>
      <c r="BZ11" s="7">
        <v>0</v>
      </c>
      <c r="CA11" s="13">
        <v>520129.82</v>
      </c>
      <c r="CB11" s="13">
        <v>37113.949999999997</v>
      </c>
      <c r="CC11" s="13">
        <v>482500.83</v>
      </c>
      <c r="CD11" s="13">
        <v>515.04999999999995</v>
      </c>
      <c r="CE11" s="13">
        <v>316500.83</v>
      </c>
      <c r="CF11" s="13">
        <v>48710.29</v>
      </c>
      <c r="CG11" s="7">
        <v>0</v>
      </c>
      <c r="CH11" s="7" t="s">
        <v>104</v>
      </c>
      <c r="CI11" s="7">
        <v>0</v>
      </c>
      <c r="CJ11" s="7" t="s">
        <v>104</v>
      </c>
      <c r="CK11" s="7">
        <v>0</v>
      </c>
      <c r="CL11" s="13">
        <v>267790.55</v>
      </c>
      <c r="CM11" s="7" t="s">
        <v>104</v>
      </c>
      <c r="CN11" s="7" t="s">
        <v>104</v>
      </c>
      <c r="CO11" s="13">
        <v>3146620.16</v>
      </c>
      <c r="CP11" s="13">
        <v>836630.66</v>
      </c>
    </row>
    <row r="12" spans="1:94" ht="14.5" x14ac:dyDescent="0.35">
      <c r="A12" s="5" t="s">
        <v>25</v>
      </c>
      <c r="B12" s="12">
        <v>29931.02</v>
      </c>
      <c r="C12" s="12">
        <v>3123.35</v>
      </c>
      <c r="D12" s="12">
        <v>36.380000000000003</v>
      </c>
      <c r="E12" s="12">
        <v>1.51</v>
      </c>
      <c r="F12" s="12">
        <v>3.21</v>
      </c>
      <c r="G12" s="12">
        <v>22756.73</v>
      </c>
      <c r="H12" s="12">
        <v>292.76</v>
      </c>
      <c r="I12" s="12">
        <v>6.09</v>
      </c>
      <c r="J12" s="12">
        <v>16.920000000000002</v>
      </c>
      <c r="K12" s="12">
        <v>2.52</v>
      </c>
      <c r="L12" s="12">
        <v>6.73</v>
      </c>
      <c r="M12" s="12">
        <f t="shared" ref="M12:M76" si="0">N12-SUM(O12:W12)</f>
        <v>481.48</v>
      </c>
      <c r="N12" s="12">
        <v>481.48</v>
      </c>
      <c r="X12" s="12">
        <v>77.95</v>
      </c>
      <c r="Y12" s="12">
        <v>280.64</v>
      </c>
      <c r="Z12" s="12">
        <v>5.73</v>
      </c>
      <c r="AA12" s="12">
        <v>4.37</v>
      </c>
      <c r="AB12" s="12">
        <v>8.4700000000000006</v>
      </c>
      <c r="AC12" s="12">
        <v>1.95</v>
      </c>
      <c r="AD12" s="12">
        <v>3.77</v>
      </c>
      <c r="AE12" s="12">
        <v>10.119999999999999</v>
      </c>
      <c r="AF12" s="12">
        <v>10.16</v>
      </c>
      <c r="AG12" s="12">
        <v>0.7</v>
      </c>
      <c r="AH12" s="12">
        <v>30.57</v>
      </c>
      <c r="AI12" s="12">
        <v>17.78</v>
      </c>
      <c r="AJ12" s="13">
        <f t="shared" ref="AJ12:AJ77" si="1">AK12-AL12</f>
        <v>120.44</v>
      </c>
      <c r="AK12" s="12">
        <v>120.44</v>
      </c>
      <c r="AM12" s="12">
        <v>0.99</v>
      </c>
      <c r="AN12" s="12">
        <v>9.81</v>
      </c>
      <c r="AO12" s="12">
        <v>40.07</v>
      </c>
      <c r="AP12" s="12">
        <v>1.94</v>
      </c>
      <c r="AQ12" s="12">
        <v>596.28</v>
      </c>
      <c r="AR12" s="12">
        <v>113.35</v>
      </c>
      <c r="AS12" s="12">
        <v>20.32</v>
      </c>
      <c r="AT12" s="12">
        <v>10.17</v>
      </c>
      <c r="AU12" s="12">
        <v>0.68</v>
      </c>
      <c r="AV12" s="12">
        <v>9.6999999999999993</v>
      </c>
      <c r="AW12" s="12">
        <v>0.77</v>
      </c>
      <c r="AX12" s="12">
        <v>695.26</v>
      </c>
      <c r="AY12" s="12">
        <v>0.35</v>
      </c>
      <c r="AZ12" s="12">
        <v>1.23</v>
      </c>
      <c r="BA12" s="12">
        <v>0.96</v>
      </c>
      <c r="BB12" s="12">
        <v>22.21</v>
      </c>
      <c r="BC12" s="12">
        <v>0.37</v>
      </c>
      <c r="BD12" s="12">
        <v>0.05</v>
      </c>
      <c r="BE12" s="12">
        <v>0.3</v>
      </c>
      <c r="BF12" s="12">
        <v>98.32</v>
      </c>
      <c r="BG12" s="12">
        <v>53.73</v>
      </c>
      <c r="BH12" s="12">
        <v>15.42</v>
      </c>
      <c r="BI12" s="12">
        <v>67.48</v>
      </c>
      <c r="BJ12" s="12">
        <v>9.6999999999999993</v>
      </c>
      <c r="BK12" s="12">
        <v>56.09</v>
      </c>
      <c r="BL12" s="12">
        <v>73.03</v>
      </c>
      <c r="BM12" s="12">
        <v>2.3199999999999998</v>
      </c>
      <c r="BN12" s="12">
        <v>3.49</v>
      </c>
      <c r="BO12" s="12">
        <v>394.19</v>
      </c>
      <c r="BP12" s="12">
        <v>96.73</v>
      </c>
      <c r="BQ12" s="12">
        <v>31.88</v>
      </c>
      <c r="BR12" s="12">
        <v>91.05</v>
      </c>
      <c r="BS12" s="12">
        <v>72.91</v>
      </c>
      <c r="BT12" s="12">
        <v>14.32</v>
      </c>
      <c r="BU12" s="12">
        <v>7.49</v>
      </c>
      <c r="BV12" s="12">
        <v>4.66</v>
      </c>
      <c r="BW12" s="12">
        <v>0.87</v>
      </c>
      <c r="BX12" s="12">
        <v>12.16</v>
      </c>
      <c r="BY12" s="12">
        <v>7.0000000000000007E-2</v>
      </c>
      <c r="BZ12" s="6">
        <v>0</v>
      </c>
      <c r="CA12" s="12">
        <v>18346.55</v>
      </c>
      <c r="CB12" s="12">
        <v>107.83</v>
      </c>
      <c r="CC12" s="12">
        <v>18238.71</v>
      </c>
      <c r="CD12" s="12">
        <v>0.01</v>
      </c>
      <c r="CE12" s="12">
        <v>1541.61</v>
      </c>
      <c r="CF12" s="12">
        <v>943.83</v>
      </c>
      <c r="CG12" s="6">
        <v>0</v>
      </c>
      <c r="CH12" s="6" t="s">
        <v>104</v>
      </c>
      <c r="CI12" s="6">
        <v>0</v>
      </c>
      <c r="CJ12" s="6" t="s">
        <v>104</v>
      </c>
      <c r="CK12" s="6">
        <v>0</v>
      </c>
      <c r="CL12" s="12">
        <v>597.79</v>
      </c>
      <c r="CM12" s="6" t="s">
        <v>104</v>
      </c>
      <c r="CN12" s="6" t="s">
        <v>104</v>
      </c>
      <c r="CO12" s="12">
        <v>49819.19</v>
      </c>
      <c r="CP12" s="12">
        <v>19888.16</v>
      </c>
    </row>
    <row r="13" spans="1:94" ht="14.5" x14ac:dyDescent="0.35">
      <c r="A13" s="5" t="s">
        <v>26</v>
      </c>
      <c r="B13" s="13">
        <v>1075.6600000000001</v>
      </c>
      <c r="C13" s="13">
        <v>11.81</v>
      </c>
      <c r="D13" s="13">
        <v>88.16</v>
      </c>
      <c r="E13" s="13">
        <v>0.08</v>
      </c>
      <c r="F13" s="13">
        <v>0.37</v>
      </c>
      <c r="G13" s="13">
        <v>16.98</v>
      </c>
      <c r="H13" s="13">
        <v>0.85</v>
      </c>
      <c r="I13" s="13">
        <v>498.54</v>
      </c>
      <c r="J13" s="13">
        <v>218.93</v>
      </c>
      <c r="K13" s="13">
        <v>0.62</v>
      </c>
      <c r="L13" s="13">
        <v>0.13</v>
      </c>
      <c r="M13" s="12">
        <f t="shared" si="0"/>
        <v>41.06</v>
      </c>
      <c r="N13" s="12">
        <v>41.06</v>
      </c>
      <c r="X13" s="13">
        <v>2.48</v>
      </c>
      <c r="Y13" s="13">
        <v>10.029999999999999</v>
      </c>
      <c r="Z13" s="13">
        <v>1.24</v>
      </c>
      <c r="AA13" s="13">
        <v>0.57999999999999996</v>
      </c>
      <c r="AB13" s="13">
        <v>3.68</v>
      </c>
      <c r="AC13" s="13">
        <v>0.18</v>
      </c>
      <c r="AD13" s="13">
        <v>0.15</v>
      </c>
      <c r="AE13" s="13">
        <v>0.54</v>
      </c>
      <c r="AF13" s="13">
        <v>0.21</v>
      </c>
      <c r="AG13" s="13">
        <v>0.09</v>
      </c>
      <c r="AH13" s="13">
        <v>44.06</v>
      </c>
      <c r="AI13" s="13">
        <v>2.5099999999999998</v>
      </c>
      <c r="AJ13" s="13">
        <f t="shared" si="1"/>
        <v>20.329999999999998</v>
      </c>
      <c r="AK13" s="13">
        <v>20.329999999999998</v>
      </c>
      <c r="AM13" s="13">
        <v>0.13</v>
      </c>
      <c r="AN13" s="13">
        <v>7.31</v>
      </c>
      <c r="AO13" s="13">
        <v>27.87</v>
      </c>
      <c r="AP13" s="13">
        <v>7.0000000000000007E-2</v>
      </c>
      <c r="AQ13" s="13">
        <v>17.010000000000002</v>
      </c>
      <c r="AR13" s="13">
        <v>3.86</v>
      </c>
      <c r="AS13" s="13">
        <v>1.52</v>
      </c>
      <c r="AT13" s="13">
        <v>0.14000000000000001</v>
      </c>
      <c r="AU13" s="13">
        <v>3.03</v>
      </c>
      <c r="AV13" s="13">
        <v>1.05</v>
      </c>
      <c r="AW13" s="7">
        <v>0</v>
      </c>
      <c r="AX13" s="13">
        <v>3.39</v>
      </c>
      <c r="AY13" s="13">
        <v>0.06</v>
      </c>
      <c r="AZ13" s="13">
        <v>7.0000000000000007E-2</v>
      </c>
      <c r="BA13" s="13">
        <v>0.01</v>
      </c>
      <c r="BB13" s="13">
        <v>1.39</v>
      </c>
      <c r="BC13" s="13">
        <v>0.02</v>
      </c>
      <c r="BD13" s="7">
        <v>0</v>
      </c>
      <c r="BE13" s="13">
        <v>0.02</v>
      </c>
      <c r="BF13" s="13">
        <v>2.04</v>
      </c>
      <c r="BG13" s="13">
        <v>2.61</v>
      </c>
      <c r="BH13" s="13">
        <v>1.48</v>
      </c>
      <c r="BI13" s="13">
        <v>3.86</v>
      </c>
      <c r="BJ13" s="13">
        <v>0.25</v>
      </c>
      <c r="BK13" s="13">
        <v>0.23</v>
      </c>
      <c r="BL13" s="13">
        <v>4.1500000000000004</v>
      </c>
      <c r="BM13" s="13">
        <v>0.24</v>
      </c>
      <c r="BN13" s="13">
        <v>0.03</v>
      </c>
      <c r="BO13" s="13">
        <v>4.7300000000000004</v>
      </c>
      <c r="BP13" s="13">
        <v>14.42</v>
      </c>
      <c r="BQ13" s="13">
        <v>0.38</v>
      </c>
      <c r="BR13" s="13">
        <v>1.22</v>
      </c>
      <c r="BS13" s="13">
        <v>1.0900000000000001</v>
      </c>
      <c r="BT13" s="13">
        <v>5.34</v>
      </c>
      <c r="BU13" s="13">
        <v>0.48</v>
      </c>
      <c r="BV13" s="13">
        <v>1.19</v>
      </c>
      <c r="BW13" s="13">
        <v>0.1</v>
      </c>
      <c r="BX13" s="13">
        <v>1.3</v>
      </c>
      <c r="BY13" s="13">
        <v>0.01</v>
      </c>
      <c r="BZ13" s="7">
        <v>0</v>
      </c>
      <c r="CA13" s="13">
        <v>257.27999999999997</v>
      </c>
      <c r="CB13" s="7">
        <v>0</v>
      </c>
      <c r="CC13" s="13">
        <v>257.27999999999997</v>
      </c>
      <c r="CD13" s="7">
        <v>0</v>
      </c>
      <c r="CE13" s="13">
        <v>34.56</v>
      </c>
      <c r="CF13" s="13">
        <v>34.340000000000003</v>
      </c>
      <c r="CG13" s="7">
        <v>0</v>
      </c>
      <c r="CH13" s="7" t="s">
        <v>104</v>
      </c>
      <c r="CI13" s="7">
        <v>0</v>
      </c>
      <c r="CJ13" s="7" t="s">
        <v>104</v>
      </c>
      <c r="CK13" s="7">
        <v>0</v>
      </c>
      <c r="CL13" s="13">
        <v>0.22</v>
      </c>
      <c r="CM13" s="7" t="s">
        <v>104</v>
      </c>
      <c r="CN13" s="7" t="s">
        <v>104</v>
      </c>
      <c r="CO13" s="13">
        <v>1367.5</v>
      </c>
      <c r="CP13" s="13">
        <v>291.83999999999997</v>
      </c>
    </row>
    <row r="14" spans="1:94" ht="14.5" x14ac:dyDescent="0.35">
      <c r="A14" s="5" t="s">
        <v>27</v>
      </c>
      <c r="B14" s="12">
        <v>4672.9799999999996</v>
      </c>
      <c r="C14" s="12">
        <v>15.56</v>
      </c>
      <c r="D14" s="12">
        <v>0.68</v>
      </c>
      <c r="E14" s="12">
        <v>72.02</v>
      </c>
      <c r="F14" s="12">
        <v>1.02</v>
      </c>
      <c r="G14" s="12">
        <v>3235.86</v>
      </c>
      <c r="H14" s="12">
        <v>1.64</v>
      </c>
      <c r="I14" s="12">
        <v>0.36</v>
      </c>
      <c r="J14" s="12">
        <v>0.44</v>
      </c>
      <c r="K14" s="12">
        <v>0.01</v>
      </c>
      <c r="L14" s="12">
        <v>0.16</v>
      </c>
      <c r="M14" s="12">
        <f t="shared" si="0"/>
        <v>55.59</v>
      </c>
      <c r="N14" s="12">
        <v>55.59</v>
      </c>
      <c r="X14" s="12">
        <v>44.3</v>
      </c>
      <c r="Y14" s="12">
        <v>0.25</v>
      </c>
      <c r="Z14" s="12">
        <v>0.1</v>
      </c>
      <c r="AA14" s="12">
        <v>0.28999999999999998</v>
      </c>
      <c r="AB14" s="12">
        <v>0.19</v>
      </c>
      <c r="AC14" s="12">
        <v>0.53</v>
      </c>
      <c r="AD14" s="12">
        <v>0.27</v>
      </c>
      <c r="AE14" s="12">
        <v>0.31</v>
      </c>
      <c r="AF14" s="12">
        <v>0.39</v>
      </c>
      <c r="AG14" s="12">
        <v>0.01</v>
      </c>
      <c r="AH14" s="12">
        <v>1.2</v>
      </c>
      <c r="AI14" s="12">
        <v>0.71</v>
      </c>
      <c r="AJ14" s="13">
        <f t="shared" si="1"/>
        <v>10.37</v>
      </c>
      <c r="AK14" s="12">
        <v>10.37</v>
      </c>
      <c r="AM14" s="12">
        <v>0.08</v>
      </c>
      <c r="AN14" s="12">
        <v>1.37</v>
      </c>
      <c r="AO14" s="12">
        <v>14.33</v>
      </c>
      <c r="AP14" s="12">
        <v>0.54</v>
      </c>
      <c r="AQ14" s="12">
        <v>94.91</v>
      </c>
      <c r="AR14" s="12">
        <v>30.84</v>
      </c>
      <c r="AS14" s="12">
        <v>7.2</v>
      </c>
      <c r="AT14" s="12">
        <v>2.33</v>
      </c>
      <c r="AU14" s="12">
        <v>0.1</v>
      </c>
      <c r="AV14" s="12">
        <v>6.54</v>
      </c>
      <c r="AW14" s="12">
        <v>0.21</v>
      </c>
      <c r="AX14" s="12">
        <v>853.2</v>
      </c>
      <c r="AY14" s="12">
        <v>0.5</v>
      </c>
      <c r="AZ14" s="12">
        <v>0.53</v>
      </c>
      <c r="BA14" s="12">
        <v>0.95</v>
      </c>
      <c r="BB14" s="12">
        <v>8.43</v>
      </c>
      <c r="BC14" s="12">
        <v>0.72</v>
      </c>
      <c r="BD14" s="12">
        <v>0.59</v>
      </c>
      <c r="BE14" s="12">
        <v>0.32</v>
      </c>
      <c r="BF14" s="12">
        <v>13.22</v>
      </c>
      <c r="BG14" s="12">
        <v>20.38</v>
      </c>
      <c r="BH14" s="12">
        <v>3.71</v>
      </c>
      <c r="BI14" s="12">
        <v>12.84</v>
      </c>
      <c r="BJ14" s="12">
        <v>1.99</v>
      </c>
      <c r="BK14" s="12">
        <v>2.36</v>
      </c>
      <c r="BL14" s="12">
        <v>32.479999999999997</v>
      </c>
      <c r="BM14" s="12">
        <v>1.44</v>
      </c>
      <c r="BN14" s="12">
        <v>0.5</v>
      </c>
      <c r="BO14" s="12">
        <v>15.75</v>
      </c>
      <c r="BP14" s="12">
        <v>4.8600000000000003</v>
      </c>
      <c r="BQ14" s="12">
        <v>6.62</v>
      </c>
      <c r="BR14" s="12">
        <v>25.63</v>
      </c>
      <c r="BS14" s="12">
        <v>31.97</v>
      </c>
      <c r="BT14" s="12">
        <v>13.79</v>
      </c>
      <c r="BU14" s="12">
        <v>12.63</v>
      </c>
      <c r="BV14" s="12">
        <v>5.58</v>
      </c>
      <c r="BW14" s="12">
        <v>0.18</v>
      </c>
      <c r="BX14" s="12">
        <v>1.07</v>
      </c>
      <c r="BY14" s="12">
        <v>7.0000000000000007E-2</v>
      </c>
      <c r="BZ14" s="6">
        <v>0</v>
      </c>
      <c r="CA14" s="12">
        <v>2819.14</v>
      </c>
      <c r="CB14" s="6">
        <v>0</v>
      </c>
      <c r="CC14" s="12">
        <v>2819.14</v>
      </c>
      <c r="CD14" s="6">
        <v>0</v>
      </c>
      <c r="CE14" s="12">
        <v>-94.48</v>
      </c>
      <c r="CF14" s="12">
        <v>-102.7</v>
      </c>
      <c r="CG14" s="6">
        <v>0</v>
      </c>
      <c r="CH14" s="6" t="s">
        <v>104</v>
      </c>
      <c r="CI14" s="6">
        <v>0</v>
      </c>
      <c r="CJ14" s="6" t="s">
        <v>104</v>
      </c>
      <c r="CK14" s="6">
        <v>0</v>
      </c>
      <c r="CL14" s="12">
        <v>8.2200000000000006</v>
      </c>
      <c r="CM14" s="6" t="s">
        <v>104</v>
      </c>
      <c r="CN14" s="6" t="s">
        <v>104</v>
      </c>
      <c r="CO14" s="12">
        <v>7397.64</v>
      </c>
      <c r="CP14" s="12">
        <v>2724.66</v>
      </c>
    </row>
    <row r="15" spans="1:94" ht="14.5" x14ac:dyDescent="0.35">
      <c r="A15" s="5" t="s">
        <v>28</v>
      </c>
      <c r="B15" s="13">
        <v>419718.97</v>
      </c>
      <c r="C15" s="13">
        <v>1170.02</v>
      </c>
      <c r="D15" s="13">
        <v>11.38</v>
      </c>
      <c r="E15" s="13">
        <v>7.97</v>
      </c>
      <c r="F15" s="13">
        <v>1879.13</v>
      </c>
      <c r="G15" s="13">
        <v>2466.29</v>
      </c>
      <c r="H15" s="13">
        <v>376.76</v>
      </c>
      <c r="I15" s="13">
        <v>61.18</v>
      </c>
      <c r="J15" s="13">
        <v>1514.33</v>
      </c>
      <c r="K15" s="13">
        <v>79.540000000000006</v>
      </c>
      <c r="L15" s="13">
        <v>244051.82</v>
      </c>
      <c r="M15" s="12">
        <f t="shared" si="0"/>
        <v>23220.21</v>
      </c>
      <c r="N15" s="12">
        <v>23220.21</v>
      </c>
      <c r="X15" s="13">
        <v>399.42</v>
      </c>
      <c r="Y15" s="13">
        <v>630.48</v>
      </c>
      <c r="Z15" s="13">
        <v>5260.42</v>
      </c>
      <c r="AA15" s="13">
        <v>32850.67</v>
      </c>
      <c r="AB15" s="13">
        <v>1734.41</v>
      </c>
      <c r="AC15" s="13">
        <v>110.66</v>
      </c>
      <c r="AD15" s="13">
        <v>448.48</v>
      </c>
      <c r="AE15" s="13">
        <v>971.21</v>
      </c>
      <c r="AF15" s="13">
        <v>399.43</v>
      </c>
      <c r="AG15" s="13">
        <v>220.02</v>
      </c>
      <c r="AH15" s="13">
        <v>507.03</v>
      </c>
      <c r="AI15" s="13">
        <v>578.66</v>
      </c>
      <c r="AJ15" s="13">
        <f t="shared" si="1"/>
        <v>72495.429999999993</v>
      </c>
      <c r="AK15" s="13">
        <v>72495.429999999993</v>
      </c>
      <c r="AM15" s="13">
        <v>324.60000000000002</v>
      </c>
      <c r="AN15" s="13">
        <v>598.58000000000004</v>
      </c>
      <c r="AO15" s="13">
        <v>5477.06</v>
      </c>
      <c r="AP15" s="13">
        <v>70.14</v>
      </c>
      <c r="AQ15" s="13">
        <v>8049.84</v>
      </c>
      <c r="AR15" s="13">
        <v>1028.46</v>
      </c>
      <c r="AS15" s="13">
        <v>1959.78</v>
      </c>
      <c r="AT15" s="13">
        <v>44.83</v>
      </c>
      <c r="AU15" s="13">
        <v>17.8</v>
      </c>
      <c r="AV15" s="13">
        <v>527.15</v>
      </c>
      <c r="AW15" s="13">
        <v>117.52</v>
      </c>
      <c r="AX15" s="13">
        <v>747.48</v>
      </c>
      <c r="AY15" s="13">
        <v>13.7</v>
      </c>
      <c r="AZ15" s="13">
        <v>10.42</v>
      </c>
      <c r="BA15" s="13">
        <v>80.88</v>
      </c>
      <c r="BB15" s="13">
        <v>606.71</v>
      </c>
      <c r="BC15" s="13">
        <v>21.46</v>
      </c>
      <c r="BD15" s="13">
        <v>7.9</v>
      </c>
      <c r="BE15" s="13">
        <v>31.08</v>
      </c>
      <c r="BF15" s="13">
        <v>787.03</v>
      </c>
      <c r="BG15" s="13">
        <v>2694.76</v>
      </c>
      <c r="BH15" s="13">
        <v>855.73</v>
      </c>
      <c r="BI15" s="13">
        <v>762.64</v>
      </c>
      <c r="BJ15" s="13">
        <v>67.180000000000007</v>
      </c>
      <c r="BK15" s="13">
        <v>129.1</v>
      </c>
      <c r="BL15" s="13">
        <v>597.77</v>
      </c>
      <c r="BM15" s="13">
        <v>163.44999999999999</v>
      </c>
      <c r="BN15" s="13">
        <v>3.1</v>
      </c>
      <c r="BO15" s="13">
        <v>728.62</v>
      </c>
      <c r="BP15" s="13">
        <v>582.52</v>
      </c>
      <c r="BQ15" s="13">
        <v>178.95</v>
      </c>
      <c r="BR15" s="13">
        <v>465.95</v>
      </c>
      <c r="BS15" s="13">
        <v>241.92</v>
      </c>
      <c r="BT15" s="13">
        <v>43.12</v>
      </c>
      <c r="BU15" s="13">
        <v>82.26</v>
      </c>
      <c r="BV15" s="13">
        <v>66.489999999999995</v>
      </c>
      <c r="BW15" s="13">
        <v>8.27</v>
      </c>
      <c r="BX15" s="13">
        <v>78.58</v>
      </c>
      <c r="BY15" s="13">
        <v>1.22</v>
      </c>
      <c r="BZ15" s="7">
        <v>0</v>
      </c>
      <c r="CA15" s="13">
        <v>20275.72</v>
      </c>
      <c r="CB15" s="13">
        <v>121.55</v>
      </c>
      <c r="CC15" s="13">
        <v>20154.18</v>
      </c>
      <c r="CD15" s="7">
        <v>0</v>
      </c>
      <c r="CE15" s="13">
        <v>4958.07</v>
      </c>
      <c r="CF15" s="13">
        <v>4633.1099999999997</v>
      </c>
      <c r="CG15" s="7">
        <v>0</v>
      </c>
      <c r="CH15" s="7" t="s">
        <v>104</v>
      </c>
      <c r="CI15" s="7">
        <v>0</v>
      </c>
      <c r="CJ15" s="7" t="s">
        <v>104</v>
      </c>
      <c r="CK15" s="7">
        <v>0</v>
      </c>
      <c r="CL15" s="13">
        <v>324.95999999999998</v>
      </c>
      <c r="CM15" s="7" t="s">
        <v>104</v>
      </c>
      <c r="CN15" s="7" t="s">
        <v>104</v>
      </c>
      <c r="CO15" s="13">
        <v>444952.76</v>
      </c>
      <c r="CP15" s="13">
        <v>25233.79</v>
      </c>
    </row>
    <row r="16" spans="1:94" ht="14.5" x14ac:dyDescent="0.35">
      <c r="A16" s="5" t="s">
        <v>29</v>
      </c>
      <c r="B16" s="12">
        <v>33329.67</v>
      </c>
      <c r="C16" s="12">
        <v>1583.59</v>
      </c>
      <c r="D16" s="12">
        <v>17.2</v>
      </c>
      <c r="E16" s="12">
        <v>48.54</v>
      </c>
      <c r="F16" s="12">
        <v>9.93</v>
      </c>
      <c r="G16" s="12">
        <v>19484.98</v>
      </c>
      <c r="H16" s="12">
        <v>218.33</v>
      </c>
      <c r="I16" s="12">
        <v>4.8099999999999996</v>
      </c>
      <c r="J16" s="12">
        <v>57.45</v>
      </c>
      <c r="K16" s="12">
        <v>2.0499999999999998</v>
      </c>
      <c r="L16" s="12">
        <v>114.1</v>
      </c>
      <c r="M16" s="12" t="e">
        <f t="shared" si="0"/>
        <v>#REF!</v>
      </c>
      <c r="N16" s="12">
        <v>1219.6400000000001</v>
      </c>
      <c r="O16" s="29" t="e">
        <f>#REF!/1000000</f>
        <v>#REF!</v>
      </c>
      <c r="X16" s="12">
        <v>348.8</v>
      </c>
      <c r="Y16" s="12">
        <v>41.43</v>
      </c>
      <c r="Z16" s="12">
        <v>13.22</v>
      </c>
      <c r="AA16" s="12">
        <v>15.9</v>
      </c>
      <c r="AB16" s="12">
        <v>12.83</v>
      </c>
      <c r="AC16" s="12">
        <v>20.67</v>
      </c>
      <c r="AD16" s="12">
        <v>8.58</v>
      </c>
      <c r="AE16" s="12">
        <v>22.92</v>
      </c>
      <c r="AF16" s="12">
        <v>10.59</v>
      </c>
      <c r="AG16" s="12">
        <v>3.45</v>
      </c>
      <c r="AH16" s="12">
        <v>73.430000000000007</v>
      </c>
      <c r="AI16" s="12">
        <v>20.7</v>
      </c>
      <c r="AJ16" s="13">
        <f t="shared" si="1"/>
        <v>123.73</v>
      </c>
      <c r="AK16" s="12">
        <v>123.73</v>
      </c>
      <c r="AM16" s="12">
        <v>1.66</v>
      </c>
      <c r="AN16" s="12">
        <v>55.48</v>
      </c>
      <c r="AO16" s="12">
        <v>74.790000000000006</v>
      </c>
      <c r="AP16" s="12">
        <v>13.23</v>
      </c>
      <c r="AQ16" s="12">
        <v>900.11</v>
      </c>
      <c r="AR16" s="12">
        <v>455.76</v>
      </c>
      <c r="AS16" s="12">
        <v>60.04</v>
      </c>
      <c r="AT16" s="12">
        <v>56.81</v>
      </c>
      <c r="AU16" s="12">
        <v>27.86</v>
      </c>
      <c r="AV16" s="12">
        <v>36.090000000000003</v>
      </c>
      <c r="AW16" s="12">
        <v>9.0500000000000007</v>
      </c>
      <c r="AX16" s="12">
        <v>5374.56</v>
      </c>
      <c r="AY16" s="12">
        <v>23.85</v>
      </c>
      <c r="AZ16" s="12">
        <v>20.23</v>
      </c>
      <c r="BA16" s="12">
        <v>21.53</v>
      </c>
      <c r="BB16" s="12">
        <v>90.98</v>
      </c>
      <c r="BC16" s="12">
        <v>6.45</v>
      </c>
      <c r="BD16" s="12">
        <v>4.53</v>
      </c>
      <c r="BE16" s="12">
        <v>5.83</v>
      </c>
      <c r="BF16" s="12">
        <v>97.49</v>
      </c>
      <c r="BG16" s="12">
        <v>122.17</v>
      </c>
      <c r="BH16" s="12">
        <v>36.409999999999997</v>
      </c>
      <c r="BI16" s="12">
        <v>144.30000000000001</v>
      </c>
      <c r="BJ16" s="12">
        <v>23.23</v>
      </c>
      <c r="BK16" s="12">
        <v>48.53</v>
      </c>
      <c r="BL16" s="12">
        <v>123.78</v>
      </c>
      <c r="BM16" s="12">
        <v>14.54</v>
      </c>
      <c r="BN16" s="12">
        <v>16.93</v>
      </c>
      <c r="BO16" s="12">
        <v>211.37</v>
      </c>
      <c r="BP16" s="12">
        <v>228.23</v>
      </c>
      <c r="BQ16" s="12">
        <v>228.36</v>
      </c>
      <c r="BR16" s="12">
        <v>651.30999999999995</v>
      </c>
      <c r="BS16" s="12">
        <v>426.72</v>
      </c>
      <c r="BT16" s="12">
        <v>46.16</v>
      </c>
      <c r="BU16" s="12">
        <v>119.03</v>
      </c>
      <c r="BV16" s="12">
        <v>43.61</v>
      </c>
      <c r="BW16" s="12">
        <v>3.41</v>
      </c>
      <c r="BX16" s="12">
        <v>27.66</v>
      </c>
      <c r="BY16" s="12">
        <v>0.73</v>
      </c>
      <c r="BZ16" s="6">
        <v>0</v>
      </c>
      <c r="CA16" s="12">
        <v>48645.45</v>
      </c>
      <c r="CB16" s="12">
        <v>47.97</v>
      </c>
      <c r="CC16" s="12">
        <v>48523.24</v>
      </c>
      <c r="CD16" s="12">
        <v>74.239999999999995</v>
      </c>
      <c r="CE16" s="12">
        <v>1942.86</v>
      </c>
      <c r="CF16" s="12">
        <v>1942.86</v>
      </c>
      <c r="CG16" s="6">
        <v>0</v>
      </c>
      <c r="CH16" s="6" t="s">
        <v>104</v>
      </c>
      <c r="CI16" s="6">
        <v>0</v>
      </c>
      <c r="CJ16" s="6" t="s">
        <v>104</v>
      </c>
      <c r="CK16" s="6">
        <v>0</v>
      </c>
      <c r="CL16" s="6">
        <v>0</v>
      </c>
      <c r="CM16" s="6" t="s">
        <v>104</v>
      </c>
      <c r="CN16" s="6" t="s">
        <v>104</v>
      </c>
      <c r="CO16" s="12">
        <v>83917.98</v>
      </c>
      <c r="CP16" s="12">
        <v>50588.31</v>
      </c>
    </row>
    <row r="17" spans="1:94" ht="14.5" x14ac:dyDescent="0.35">
      <c r="A17" s="5" t="s">
        <v>30</v>
      </c>
      <c r="B17" s="13">
        <v>33921.31</v>
      </c>
      <c r="C17" s="13">
        <v>171.27</v>
      </c>
      <c r="D17" s="13">
        <v>21.64</v>
      </c>
      <c r="E17" s="13">
        <v>18.54</v>
      </c>
      <c r="F17" s="13">
        <v>29.18</v>
      </c>
      <c r="G17" s="13">
        <v>417.97</v>
      </c>
      <c r="H17" s="13">
        <v>12927.21</v>
      </c>
      <c r="I17" s="13">
        <v>92.47</v>
      </c>
      <c r="J17" s="13">
        <v>577.33000000000004</v>
      </c>
      <c r="K17" s="13">
        <v>225.77</v>
      </c>
      <c r="L17" s="13">
        <v>63.38</v>
      </c>
      <c r="M17" s="12">
        <f t="shared" si="0"/>
        <v>465.06</v>
      </c>
      <c r="N17" s="12">
        <v>465.06</v>
      </c>
      <c r="X17" s="7">
        <v>177</v>
      </c>
      <c r="Y17" s="13">
        <v>1303.22</v>
      </c>
      <c r="Z17" s="13">
        <v>222.02</v>
      </c>
      <c r="AA17" s="13">
        <v>131.35</v>
      </c>
      <c r="AB17" s="13">
        <v>394.5</v>
      </c>
      <c r="AC17" s="13">
        <v>133.53</v>
      </c>
      <c r="AD17" s="13">
        <v>191.16</v>
      </c>
      <c r="AE17" s="13">
        <v>386.25</v>
      </c>
      <c r="AF17" s="13">
        <v>1868.57</v>
      </c>
      <c r="AG17" s="13">
        <v>271.36</v>
      </c>
      <c r="AH17" s="13">
        <v>1728.12</v>
      </c>
      <c r="AI17" s="13">
        <v>243.2</v>
      </c>
      <c r="AJ17" s="13">
        <f t="shared" si="1"/>
        <v>209.43</v>
      </c>
      <c r="AK17" s="13">
        <v>209.43</v>
      </c>
      <c r="AM17" s="13">
        <v>12.63</v>
      </c>
      <c r="AN17" s="13">
        <v>168.51</v>
      </c>
      <c r="AO17" s="13">
        <v>1055.29</v>
      </c>
      <c r="AP17" s="13">
        <v>251.16</v>
      </c>
      <c r="AQ17" s="13">
        <v>1552.76</v>
      </c>
      <c r="AR17" s="13">
        <v>942.05</v>
      </c>
      <c r="AS17" s="13">
        <v>240.55</v>
      </c>
      <c r="AT17" s="13">
        <v>69.92</v>
      </c>
      <c r="AU17" s="13">
        <v>31.97</v>
      </c>
      <c r="AV17" s="13">
        <v>210.69</v>
      </c>
      <c r="AW17" s="13">
        <v>74.010000000000005</v>
      </c>
      <c r="AX17" s="13">
        <v>635.32000000000005</v>
      </c>
      <c r="AY17" s="13">
        <v>36.39</v>
      </c>
      <c r="AZ17" s="13">
        <v>293.86</v>
      </c>
      <c r="BA17" s="13">
        <v>121.56</v>
      </c>
      <c r="BB17" s="13">
        <v>190.81</v>
      </c>
      <c r="BC17" s="13">
        <v>35.96</v>
      </c>
      <c r="BD17" s="13">
        <v>18.510000000000002</v>
      </c>
      <c r="BE17" s="13">
        <v>24.51</v>
      </c>
      <c r="BF17" s="13">
        <v>194.03</v>
      </c>
      <c r="BG17" s="13">
        <v>302.37</v>
      </c>
      <c r="BH17" s="13">
        <v>136.72</v>
      </c>
      <c r="BI17" s="13">
        <v>301.70999999999998</v>
      </c>
      <c r="BJ17" s="7">
        <v>47</v>
      </c>
      <c r="BK17" s="13">
        <v>176.54</v>
      </c>
      <c r="BL17" s="13">
        <v>230.41</v>
      </c>
      <c r="BM17" s="13">
        <v>82.65</v>
      </c>
      <c r="BN17" s="13">
        <v>36.799999999999997</v>
      </c>
      <c r="BO17" s="13">
        <v>463.04</v>
      </c>
      <c r="BP17" s="13">
        <v>600.52</v>
      </c>
      <c r="BQ17" s="13">
        <v>272.97000000000003</v>
      </c>
      <c r="BR17" s="13">
        <v>1586.86</v>
      </c>
      <c r="BS17" s="13">
        <v>516.30999999999995</v>
      </c>
      <c r="BT17" s="13">
        <v>250.39</v>
      </c>
      <c r="BU17" s="13">
        <v>172.26</v>
      </c>
      <c r="BV17" s="13">
        <v>71.540000000000006</v>
      </c>
      <c r="BW17" s="13">
        <v>88.02</v>
      </c>
      <c r="BX17" s="13">
        <v>153.06</v>
      </c>
      <c r="BY17" s="13">
        <v>2.13</v>
      </c>
      <c r="BZ17" s="7">
        <v>0</v>
      </c>
      <c r="CA17" s="13">
        <v>79746.720000000001</v>
      </c>
      <c r="CB17" s="13">
        <v>116.42</v>
      </c>
      <c r="CC17" s="13">
        <v>79533.45</v>
      </c>
      <c r="CD17" s="13">
        <v>96.85</v>
      </c>
      <c r="CE17" s="13">
        <v>14648.18</v>
      </c>
      <c r="CF17" s="13">
        <v>14021.59</v>
      </c>
      <c r="CG17" s="7">
        <v>0</v>
      </c>
      <c r="CH17" s="7" t="s">
        <v>104</v>
      </c>
      <c r="CI17" s="7">
        <v>0</v>
      </c>
      <c r="CJ17" s="7" t="s">
        <v>104</v>
      </c>
      <c r="CK17" s="7">
        <v>0</v>
      </c>
      <c r="CL17" s="13">
        <v>626.59</v>
      </c>
      <c r="CM17" s="7" t="s">
        <v>104</v>
      </c>
      <c r="CN17" s="7" t="s">
        <v>104</v>
      </c>
      <c r="CO17" s="13">
        <v>128316.21</v>
      </c>
      <c r="CP17" s="13">
        <v>94394.89</v>
      </c>
    </row>
    <row r="18" spans="1:94" ht="14.5" x14ac:dyDescent="0.35">
      <c r="A18" s="5" t="s">
        <v>31</v>
      </c>
      <c r="B18" s="12">
        <v>14405.27</v>
      </c>
      <c r="C18" s="12">
        <v>188.52</v>
      </c>
      <c r="D18" s="12">
        <v>27.84</v>
      </c>
      <c r="E18" s="12">
        <v>5.25</v>
      </c>
      <c r="F18" s="12">
        <v>19.079999999999998</v>
      </c>
      <c r="G18" s="12">
        <v>474.96</v>
      </c>
      <c r="H18" s="12">
        <v>38.33</v>
      </c>
      <c r="I18" s="12">
        <v>3464.21</v>
      </c>
      <c r="J18" s="12">
        <v>283.83999999999997</v>
      </c>
      <c r="K18" s="12">
        <v>15.12</v>
      </c>
      <c r="L18" s="12">
        <v>10.4</v>
      </c>
      <c r="M18" s="12">
        <f t="shared" si="0"/>
        <v>120.35</v>
      </c>
      <c r="N18" s="12">
        <v>120.35</v>
      </c>
      <c r="X18" s="12">
        <v>34.47</v>
      </c>
      <c r="Y18" s="12">
        <v>155.88999999999999</v>
      </c>
      <c r="Z18" s="12">
        <v>145.62</v>
      </c>
      <c r="AA18" s="12">
        <v>101.9</v>
      </c>
      <c r="AB18" s="12">
        <v>267.75</v>
      </c>
      <c r="AC18" s="12">
        <v>38.71</v>
      </c>
      <c r="AD18" s="12">
        <v>75.5</v>
      </c>
      <c r="AE18" s="12">
        <v>120.1</v>
      </c>
      <c r="AF18" s="12">
        <v>173.25</v>
      </c>
      <c r="AG18" s="12">
        <v>105.55</v>
      </c>
      <c r="AH18" s="12">
        <v>1927.91</v>
      </c>
      <c r="AI18" s="12">
        <v>166.53</v>
      </c>
      <c r="AJ18" s="13">
        <f t="shared" si="1"/>
        <v>295.52999999999997</v>
      </c>
      <c r="AK18" s="12">
        <v>295.52999999999997</v>
      </c>
      <c r="AM18" s="12">
        <v>2.46</v>
      </c>
      <c r="AN18" s="12">
        <v>53.73</v>
      </c>
      <c r="AO18" s="12">
        <v>4408.17</v>
      </c>
      <c r="AP18" s="12">
        <v>29.22</v>
      </c>
      <c r="AQ18" s="12">
        <v>332.16</v>
      </c>
      <c r="AR18" s="12">
        <v>126.2</v>
      </c>
      <c r="AS18" s="12">
        <v>69.77</v>
      </c>
      <c r="AT18" s="12">
        <v>3.69</v>
      </c>
      <c r="AU18" s="12">
        <v>2.5099999999999998</v>
      </c>
      <c r="AV18" s="12">
        <v>65.260000000000005</v>
      </c>
      <c r="AW18" s="12">
        <v>3.37</v>
      </c>
      <c r="AX18" s="12">
        <v>102.12</v>
      </c>
      <c r="AY18" s="12">
        <v>10.97</v>
      </c>
      <c r="AZ18" s="12">
        <v>56.25</v>
      </c>
      <c r="BA18" s="12">
        <v>21.13</v>
      </c>
      <c r="BB18" s="12">
        <v>47.96</v>
      </c>
      <c r="BC18" s="12">
        <v>2.36</v>
      </c>
      <c r="BD18" s="12">
        <v>1.52</v>
      </c>
      <c r="BE18" s="12">
        <v>3.32</v>
      </c>
      <c r="BF18" s="12">
        <v>166.33</v>
      </c>
      <c r="BG18" s="12">
        <v>44.36</v>
      </c>
      <c r="BH18" s="12">
        <v>45.35</v>
      </c>
      <c r="BI18" s="12">
        <v>53.78</v>
      </c>
      <c r="BJ18" s="12">
        <v>17.97</v>
      </c>
      <c r="BK18" s="12">
        <v>23.31</v>
      </c>
      <c r="BL18" s="12">
        <v>66.73</v>
      </c>
      <c r="BM18" s="12">
        <v>4.9000000000000004</v>
      </c>
      <c r="BN18" s="12">
        <v>1.46</v>
      </c>
      <c r="BO18" s="12">
        <v>181.35</v>
      </c>
      <c r="BP18" s="12">
        <v>27.64</v>
      </c>
      <c r="BQ18" s="12">
        <v>33.74</v>
      </c>
      <c r="BR18" s="12">
        <v>13.81</v>
      </c>
      <c r="BS18" s="12">
        <v>16.79</v>
      </c>
      <c r="BT18" s="12">
        <v>28.91</v>
      </c>
      <c r="BU18" s="12">
        <v>14.49</v>
      </c>
      <c r="BV18" s="12">
        <v>11.2</v>
      </c>
      <c r="BW18" s="12">
        <v>10.61</v>
      </c>
      <c r="BX18" s="12">
        <v>43.35</v>
      </c>
      <c r="BY18" s="12">
        <v>0.44</v>
      </c>
      <c r="BZ18" s="6">
        <v>0</v>
      </c>
      <c r="CA18" s="12">
        <v>1812.18</v>
      </c>
      <c r="CB18" s="6">
        <v>0</v>
      </c>
      <c r="CC18" s="12">
        <v>1812.18</v>
      </c>
      <c r="CD18" s="6">
        <v>0</v>
      </c>
      <c r="CE18" s="12">
        <v>735.8</v>
      </c>
      <c r="CF18" s="12">
        <v>244.76</v>
      </c>
      <c r="CG18" s="6">
        <v>0</v>
      </c>
      <c r="CH18" s="6" t="s">
        <v>104</v>
      </c>
      <c r="CI18" s="6">
        <v>0</v>
      </c>
      <c r="CJ18" s="6" t="s">
        <v>104</v>
      </c>
      <c r="CK18" s="6">
        <v>0</v>
      </c>
      <c r="CL18" s="12">
        <v>491.03</v>
      </c>
      <c r="CM18" s="6" t="s">
        <v>104</v>
      </c>
      <c r="CN18" s="6" t="s">
        <v>104</v>
      </c>
      <c r="CO18" s="12">
        <v>16953.240000000002</v>
      </c>
      <c r="CP18" s="12">
        <v>2547.9699999999998</v>
      </c>
    </row>
    <row r="19" spans="1:94" ht="14.5" x14ac:dyDescent="0.35">
      <c r="A19" s="5" t="s">
        <v>32</v>
      </c>
      <c r="B19" s="13">
        <v>14416.64</v>
      </c>
      <c r="C19" s="13">
        <v>43.52</v>
      </c>
      <c r="D19" s="13">
        <v>28.92</v>
      </c>
      <c r="E19" s="13">
        <v>1.19</v>
      </c>
      <c r="F19" s="13">
        <v>9.25</v>
      </c>
      <c r="G19" s="13">
        <v>1375.77</v>
      </c>
      <c r="H19" s="13">
        <v>81.16</v>
      </c>
      <c r="I19" s="13">
        <v>163.41999999999999</v>
      </c>
      <c r="J19" s="13">
        <v>5736.06</v>
      </c>
      <c r="K19" s="13">
        <v>846.76</v>
      </c>
      <c r="L19" s="13">
        <v>20.61</v>
      </c>
      <c r="M19" s="12">
        <f t="shared" si="0"/>
        <v>401.99</v>
      </c>
      <c r="N19" s="12">
        <v>401.99</v>
      </c>
      <c r="X19" s="13">
        <v>265.41000000000003</v>
      </c>
      <c r="Y19" s="13">
        <v>353.84</v>
      </c>
      <c r="Z19" s="13">
        <v>105.92</v>
      </c>
      <c r="AA19" s="13">
        <v>44.82</v>
      </c>
      <c r="AB19" s="13">
        <v>95.07</v>
      </c>
      <c r="AC19" s="13">
        <v>72.45</v>
      </c>
      <c r="AD19" s="13">
        <v>94.62</v>
      </c>
      <c r="AE19" s="13">
        <v>82.68</v>
      </c>
      <c r="AF19" s="13">
        <v>91.18</v>
      </c>
      <c r="AG19" s="13">
        <v>12.72</v>
      </c>
      <c r="AH19" s="13">
        <v>248.84</v>
      </c>
      <c r="AI19" s="13">
        <v>38.5</v>
      </c>
      <c r="AJ19" s="13">
        <f t="shared" si="1"/>
        <v>133.34</v>
      </c>
      <c r="AK19" s="13">
        <v>133.34</v>
      </c>
      <c r="AM19" s="13">
        <v>4.18</v>
      </c>
      <c r="AN19" s="13">
        <v>92.23</v>
      </c>
      <c r="AO19" s="13">
        <v>212.17</v>
      </c>
      <c r="AP19" s="13">
        <v>39.25</v>
      </c>
      <c r="AQ19" s="13">
        <v>558.22</v>
      </c>
      <c r="AR19" s="13">
        <v>252.33</v>
      </c>
      <c r="AS19" s="13">
        <v>57.63</v>
      </c>
      <c r="AT19" s="13">
        <v>4.62</v>
      </c>
      <c r="AU19" s="13">
        <v>7.24</v>
      </c>
      <c r="AV19" s="13">
        <v>51.35</v>
      </c>
      <c r="AW19" s="13">
        <v>11.99</v>
      </c>
      <c r="AX19" s="13">
        <v>146.35</v>
      </c>
      <c r="AY19" s="13">
        <v>473.77</v>
      </c>
      <c r="AZ19" s="13">
        <v>49.6</v>
      </c>
      <c r="BA19" s="13">
        <v>18.72</v>
      </c>
      <c r="BB19" s="13">
        <v>388.15</v>
      </c>
      <c r="BC19" s="13">
        <v>57.28</v>
      </c>
      <c r="BD19" s="13">
        <v>37.17</v>
      </c>
      <c r="BE19" s="13">
        <v>50.77</v>
      </c>
      <c r="BF19" s="13">
        <v>86.05</v>
      </c>
      <c r="BG19" s="13">
        <v>221.56</v>
      </c>
      <c r="BH19" s="13">
        <v>70.489999999999995</v>
      </c>
      <c r="BI19" s="13">
        <v>96.88</v>
      </c>
      <c r="BJ19" s="13">
        <v>82.29</v>
      </c>
      <c r="BK19" s="13">
        <v>59.47</v>
      </c>
      <c r="BL19" s="13">
        <v>91.21</v>
      </c>
      <c r="BM19" s="13">
        <v>15.69</v>
      </c>
      <c r="BN19" s="13">
        <v>17.38</v>
      </c>
      <c r="BO19" s="13">
        <v>175.09</v>
      </c>
      <c r="BP19" s="13">
        <v>140.18</v>
      </c>
      <c r="BQ19" s="13">
        <v>70.98</v>
      </c>
      <c r="BR19" s="13">
        <v>237.43</v>
      </c>
      <c r="BS19" s="13">
        <v>85.02</v>
      </c>
      <c r="BT19" s="13">
        <v>25.07</v>
      </c>
      <c r="BU19" s="13">
        <v>18.579999999999998</v>
      </c>
      <c r="BV19" s="13">
        <v>22.89</v>
      </c>
      <c r="BW19" s="13">
        <v>3.42</v>
      </c>
      <c r="BX19" s="13">
        <v>35.36</v>
      </c>
      <c r="BY19" s="13">
        <v>0.55000000000000004</v>
      </c>
      <c r="BZ19" s="7">
        <v>0</v>
      </c>
      <c r="CA19" s="13">
        <v>2813.46</v>
      </c>
      <c r="CB19" s="13">
        <v>29.06</v>
      </c>
      <c r="CC19" s="13">
        <v>2784.39</v>
      </c>
      <c r="CD19" s="7">
        <v>0</v>
      </c>
      <c r="CE19" s="13">
        <v>15.4</v>
      </c>
      <c r="CF19" s="13">
        <v>15.33</v>
      </c>
      <c r="CG19" s="7">
        <v>0</v>
      </c>
      <c r="CH19" s="7" t="s">
        <v>104</v>
      </c>
      <c r="CI19" s="7">
        <v>0</v>
      </c>
      <c r="CJ19" s="7" t="s">
        <v>104</v>
      </c>
      <c r="CK19" s="7">
        <v>0</v>
      </c>
      <c r="CL19" s="13">
        <v>7.0000000000000007E-2</v>
      </c>
      <c r="CM19" s="7" t="s">
        <v>104</v>
      </c>
      <c r="CN19" s="7" t="s">
        <v>104</v>
      </c>
      <c r="CO19" s="13">
        <v>17245.5</v>
      </c>
      <c r="CP19" s="13">
        <v>2828.86</v>
      </c>
    </row>
    <row r="20" spans="1:94" ht="14.5" x14ac:dyDescent="0.35">
      <c r="A20" s="5" t="s">
        <v>33</v>
      </c>
      <c r="B20" s="12">
        <v>5949.24</v>
      </c>
      <c r="C20" s="12">
        <v>8.73</v>
      </c>
      <c r="D20" s="12">
        <v>1.07</v>
      </c>
      <c r="E20" s="12">
        <v>0.95</v>
      </c>
      <c r="F20" s="12">
        <v>1.39</v>
      </c>
      <c r="G20" s="12">
        <v>78.39</v>
      </c>
      <c r="H20" s="12">
        <v>27.64</v>
      </c>
      <c r="I20" s="12">
        <v>7.01</v>
      </c>
      <c r="J20" s="12">
        <v>406.31</v>
      </c>
      <c r="K20" s="12">
        <v>505.38</v>
      </c>
      <c r="L20" s="12">
        <v>3.62</v>
      </c>
      <c r="M20" s="12">
        <f t="shared" si="0"/>
        <v>138.07</v>
      </c>
      <c r="N20" s="12">
        <v>138.07</v>
      </c>
      <c r="X20" s="12">
        <v>54.68</v>
      </c>
      <c r="Y20" s="12">
        <v>231.1</v>
      </c>
      <c r="Z20" s="12">
        <v>12.32</v>
      </c>
      <c r="AA20" s="12">
        <v>32.28</v>
      </c>
      <c r="AB20" s="12">
        <v>73.39</v>
      </c>
      <c r="AC20" s="12">
        <v>40.19</v>
      </c>
      <c r="AD20" s="12">
        <v>19.8</v>
      </c>
      <c r="AE20" s="12">
        <v>136.19999999999999</v>
      </c>
      <c r="AF20" s="12">
        <v>53.6</v>
      </c>
      <c r="AG20" s="12">
        <v>7.59</v>
      </c>
      <c r="AH20" s="12">
        <v>30.55</v>
      </c>
      <c r="AI20" s="12">
        <v>30.18</v>
      </c>
      <c r="AJ20" s="13">
        <f t="shared" si="1"/>
        <v>36.659999999999997</v>
      </c>
      <c r="AK20" s="12">
        <v>36.659999999999997</v>
      </c>
      <c r="AM20" s="12">
        <v>4.5</v>
      </c>
      <c r="AN20" s="12">
        <v>23.01</v>
      </c>
      <c r="AO20" s="12">
        <v>72.27</v>
      </c>
      <c r="AP20" s="12">
        <v>52.28</v>
      </c>
      <c r="AQ20" s="12">
        <v>395.67</v>
      </c>
      <c r="AR20" s="12">
        <v>238.71</v>
      </c>
      <c r="AS20" s="12">
        <v>134.97999999999999</v>
      </c>
      <c r="AT20" s="12">
        <v>1.1599999999999999</v>
      </c>
      <c r="AU20" s="12">
        <v>5.79</v>
      </c>
      <c r="AV20" s="12">
        <v>29.48</v>
      </c>
      <c r="AW20" s="12">
        <v>78.69</v>
      </c>
      <c r="AX20" s="12">
        <v>54.17</v>
      </c>
      <c r="AY20" s="12">
        <v>464.03</v>
      </c>
      <c r="AZ20" s="12">
        <v>126.88</v>
      </c>
      <c r="BA20" s="12">
        <v>55.66</v>
      </c>
      <c r="BB20" s="12">
        <v>323.02999999999997</v>
      </c>
      <c r="BC20" s="12">
        <v>125.34</v>
      </c>
      <c r="BD20" s="12">
        <v>92.36</v>
      </c>
      <c r="BE20" s="12">
        <v>117.79</v>
      </c>
      <c r="BF20" s="12">
        <v>46.33</v>
      </c>
      <c r="BG20" s="12">
        <v>330.09</v>
      </c>
      <c r="BH20" s="12">
        <v>61.14</v>
      </c>
      <c r="BI20" s="12">
        <v>80.44</v>
      </c>
      <c r="BJ20" s="12">
        <v>226.86</v>
      </c>
      <c r="BK20" s="12">
        <v>63.51</v>
      </c>
      <c r="BL20" s="12">
        <v>58.71</v>
      </c>
      <c r="BM20" s="12">
        <v>22.39</v>
      </c>
      <c r="BN20" s="12">
        <v>20.92</v>
      </c>
      <c r="BO20" s="12">
        <v>144.22999999999999</v>
      </c>
      <c r="BP20" s="12">
        <v>232.97</v>
      </c>
      <c r="BQ20" s="12">
        <v>116.97</v>
      </c>
      <c r="BR20" s="12">
        <v>44.51</v>
      </c>
      <c r="BS20" s="12">
        <v>34.82</v>
      </c>
      <c r="BT20" s="12">
        <v>42.41</v>
      </c>
      <c r="BU20" s="12">
        <v>38.76</v>
      </c>
      <c r="BV20" s="12">
        <v>41.06</v>
      </c>
      <c r="BW20" s="12">
        <v>3.15</v>
      </c>
      <c r="BX20" s="12">
        <v>6.24</v>
      </c>
      <c r="BY20" s="12">
        <v>0.88</v>
      </c>
      <c r="BZ20" s="6">
        <v>0</v>
      </c>
      <c r="CA20" s="12">
        <v>157.06</v>
      </c>
      <c r="CB20" s="12">
        <v>1.49</v>
      </c>
      <c r="CC20" s="12">
        <v>155.57</v>
      </c>
      <c r="CD20" s="6">
        <v>0</v>
      </c>
      <c r="CE20" s="12">
        <v>-904.67</v>
      </c>
      <c r="CF20" s="12">
        <v>-933.11</v>
      </c>
      <c r="CG20" s="6">
        <v>0</v>
      </c>
      <c r="CH20" s="6" t="s">
        <v>104</v>
      </c>
      <c r="CI20" s="6">
        <v>0</v>
      </c>
      <c r="CJ20" s="6" t="s">
        <v>104</v>
      </c>
      <c r="CK20" s="6">
        <v>0</v>
      </c>
      <c r="CL20" s="12">
        <v>28.44</v>
      </c>
      <c r="CM20" s="6" t="s">
        <v>104</v>
      </c>
      <c r="CN20" s="6" t="s">
        <v>104</v>
      </c>
      <c r="CO20" s="12">
        <v>5201.63</v>
      </c>
      <c r="CP20" s="12">
        <v>-747.61</v>
      </c>
    </row>
    <row r="21" spans="1:94" ht="14.5" x14ac:dyDescent="0.35">
      <c r="A21" s="5" t="s">
        <v>34</v>
      </c>
      <c r="B21" s="13">
        <v>43753.11</v>
      </c>
      <c r="C21" s="13">
        <v>1209.23</v>
      </c>
      <c r="D21" s="13">
        <v>76.95</v>
      </c>
      <c r="E21" s="13">
        <v>43.12</v>
      </c>
      <c r="F21" s="13">
        <v>140.99</v>
      </c>
      <c r="G21" s="7">
        <v>539</v>
      </c>
      <c r="H21" s="13">
        <v>47.74</v>
      </c>
      <c r="I21" s="13">
        <v>61.87</v>
      </c>
      <c r="J21" s="13">
        <v>61.16</v>
      </c>
      <c r="K21" s="13">
        <v>7.33</v>
      </c>
      <c r="L21" s="13">
        <v>5972.58</v>
      </c>
      <c r="M21" s="12">
        <f t="shared" si="0"/>
        <v>5857.18</v>
      </c>
      <c r="N21" s="12">
        <v>5857.18</v>
      </c>
      <c r="X21" s="13">
        <v>146.28</v>
      </c>
      <c r="Y21" s="13">
        <v>138.83000000000001</v>
      </c>
      <c r="Z21" s="13">
        <v>674.32</v>
      </c>
      <c r="AA21" s="13">
        <v>922.86</v>
      </c>
      <c r="AB21" s="13">
        <v>247.51</v>
      </c>
      <c r="AC21" s="13">
        <v>23.27</v>
      </c>
      <c r="AD21" s="13">
        <v>142.38999999999999</v>
      </c>
      <c r="AE21" s="13">
        <v>200.11</v>
      </c>
      <c r="AF21" s="13">
        <v>125.22</v>
      </c>
      <c r="AG21" s="13">
        <v>44.19</v>
      </c>
      <c r="AH21" s="13">
        <v>136.84</v>
      </c>
      <c r="AI21" s="13">
        <v>169.2</v>
      </c>
      <c r="AJ21" s="13">
        <f t="shared" si="1"/>
        <v>1602.06</v>
      </c>
      <c r="AK21" s="13">
        <v>1602.06</v>
      </c>
      <c r="AM21" s="13">
        <v>33.950000000000003</v>
      </c>
      <c r="AN21" s="13">
        <v>353.86</v>
      </c>
      <c r="AO21" s="13">
        <v>1986.74</v>
      </c>
      <c r="AP21" s="13">
        <v>243.38</v>
      </c>
      <c r="AQ21" s="13">
        <v>1108.8699999999999</v>
      </c>
      <c r="AR21" s="13">
        <v>414.64</v>
      </c>
      <c r="AS21" s="15">
        <v>4938.03</v>
      </c>
      <c r="AT21" s="15">
        <v>7080.8</v>
      </c>
      <c r="AU21" s="15">
        <v>4451.22</v>
      </c>
      <c r="AV21" s="13">
        <v>1029.97</v>
      </c>
      <c r="AW21" s="13">
        <v>109.72</v>
      </c>
      <c r="AX21" s="13">
        <v>251.63</v>
      </c>
      <c r="AY21" s="13">
        <v>16.93</v>
      </c>
      <c r="AZ21" s="13">
        <v>50.84</v>
      </c>
      <c r="BA21" s="13">
        <v>51.25</v>
      </c>
      <c r="BB21" s="13">
        <v>138.71</v>
      </c>
      <c r="BC21" s="13">
        <v>27.8</v>
      </c>
      <c r="BD21" s="13">
        <v>52.18</v>
      </c>
      <c r="BE21" s="13">
        <v>24.44</v>
      </c>
      <c r="BF21" s="13">
        <v>135.72</v>
      </c>
      <c r="BG21" s="13">
        <v>231.24</v>
      </c>
      <c r="BH21" s="13">
        <v>145.93</v>
      </c>
      <c r="BI21" s="13">
        <v>152.91999999999999</v>
      </c>
      <c r="BJ21" s="13">
        <v>37.299999999999997</v>
      </c>
      <c r="BK21" s="13">
        <v>62.47</v>
      </c>
      <c r="BL21" s="13">
        <v>626.26</v>
      </c>
      <c r="BM21" s="13">
        <v>28.52</v>
      </c>
      <c r="BN21" s="13">
        <v>32.28</v>
      </c>
      <c r="BO21" s="13">
        <v>335.45</v>
      </c>
      <c r="BP21" s="13">
        <v>450.35</v>
      </c>
      <c r="BQ21" s="13">
        <v>111.85</v>
      </c>
      <c r="BR21" s="13">
        <v>174.79</v>
      </c>
      <c r="BS21" s="13">
        <v>86.87</v>
      </c>
      <c r="BT21" s="13">
        <v>41.15</v>
      </c>
      <c r="BU21" s="13">
        <v>49.43</v>
      </c>
      <c r="BV21" s="13">
        <v>38.54</v>
      </c>
      <c r="BW21" s="13">
        <v>9.7899999999999991</v>
      </c>
      <c r="BX21" s="13">
        <v>45.86</v>
      </c>
      <c r="BY21" s="13">
        <v>1.22</v>
      </c>
      <c r="BZ21" s="7">
        <v>0</v>
      </c>
      <c r="CA21" s="13">
        <v>14816.47</v>
      </c>
      <c r="CB21" s="13">
        <v>176.39</v>
      </c>
      <c r="CC21" s="13">
        <v>14640.08</v>
      </c>
      <c r="CD21" s="7">
        <v>0</v>
      </c>
      <c r="CE21" s="13">
        <v>-269.94</v>
      </c>
      <c r="CF21" s="13">
        <v>-269.94</v>
      </c>
      <c r="CG21" s="7">
        <v>0</v>
      </c>
      <c r="CH21" s="7" t="s">
        <v>104</v>
      </c>
      <c r="CI21" s="7">
        <v>0</v>
      </c>
      <c r="CJ21" s="7" t="s">
        <v>104</v>
      </c>
      <c r="CK21" s="7">
        <v>0</v>
      </c>
      <c r="CL21" s="7">
        <v>0</v>
      </c>
      <c r="CM21" s="7" t="s">
        <v>104</v>
      </c>
      <c r="CN21" s="7" t="s">
        <v>104</v>
      </c>
      <c r="CO21" s="13">
        <v>58299.63</v>
      </c>
      <c r="CP21" s="13">
        <v>14546.53</v>
      </c>
    </row>
    <row r="22" spans="1:94" s="27" customFormat="1" ht="14.5" x14ac:dyDescent="0.35">
      <c r="A22" s="24" t="s">
        <v>138</v>
      </c>
      <c r="B22" s="25">
        <f>B23-SUM(B24:B32)</f>
        <v>110583.02</v>
      </c>
      <c r="C22" s="25">
        <f t="shared" ref="C22:BO22" si="2">C23-SUM(C24:C32)</f>
        <v>4093.86</v>
      </c>
      <c r="D22" s="25">
        <f t="shared" si="2"/>
        <v>80</v>
      </c>
      <c r="E22" s="25">
        <f t="shared" si="2"/>
        <v>39.67</v>
      </c>
      <c r="F22" s="25">
        <f t="shared" si="2"/>
        <v>300.14</v>
      </c>
      <c r="G22" s="25">
        <f t="shared" si="2"/>
        <v>3433.42</v>
      </c>
      <c r="H22" s="25">
        <f t="shared" si="2"/>
        <v>1758.98</v>
      </c>
      <c r="I22" s="25">
        <f t="shared" si="2"/>
        <v>704.5</v>
      </c>
      <c r="J22" s="25">
        <f t="shared" si="2"/>
        <v>1842.68</v>
      </c>
      <c r="K22" s="25">
        <f t="shared" si="2"/>
        <v>363.06</v>
      </c>
      <c r="L22" s="25">
        <f t="shared" si="2"/>
        <v>3540.72</v>
      </c>
      <c r="M22" s="12">
        <f t="shared" si="0"/>
        <v>35103.89</v>
      </c>
      <c r="N22" s="12">
        <f t="shared" si="2"/>
        <v>35103.89</v>
      </c>
      <c r="O22" s="25">
        <f t="shared" si="2"/>
        <v>0</v>
      </c>
      <c r="P22" s="25">
        <f t="shared" si="2"/>
        <v>0</v>
      </c>
      <c r="Q22" s="25">
        <f t="shared" si="2"/>
        <v>0</v>
      </c>
      <c r="R22" s="25">
        <f t="shared" si="2"/>
        <v>0</v>
      </c>
      <c r="S22" s="25">
        <f t="shared" si="2"/>
        <v>0</v>
      </c>
      <c r="T22" s="25">
        <f t="shared" si="2"/>
        <v>0</v>
      </c>
      <c r="U22" s="25">
        <f t="shared" si="2"/>
        <v>0</v>
      </c>
      <c r="V22" s="25">
        <f t="shared" si="2"/>
        <v>0</v>
      </c>
      <c r="W22" s="25">
        <f t="shared" si="2"/>
        <v>0</v>
      </c>
      <c r="X22" s="25">
        <f t="shared" si="2"/>
        <v>7938.31</v>
      </c>
      <c r="Y22" s="25">
        <f t="shared" si="2"/>
        <v>13143.58</v>
      </c>
      <c r="Z22" s="25">
        <f t="shared" si="2"/>
        <v>1531.27</v>
      </c>
      <c r="AA22" s="25">
        <f t="shared" si="2"/>
        <v>1570.64</v>
      </c>
      <c r="AB22" s="25">
        <f t="shared" si="2"/>
        <v>2013.07</v>
      </c>
      <c r="AC22" s="25">
        <f t="shared" si="2"/>
        <v>1148.08</v>
      </c>
      <c r="AD22" s="25">
        <f t="shared" si="2"/>
        <v>1971.16</v>
      </c>
      <c r="AE22" s="25">
        <f t="shared" si="2"/>
        <v>1201.94</v>
      </c>
      <c r="AF22" s="25">
        <f t="shared" si="2"/>
        <v>1937.14</v>
      </c>
      <c r="AG22" s="25">
        <f t="shared" si="2"/>
        <v>555.98</v>
      </c>
      <c r="AH22" s="25">
        <f t="shared" si="2"/>
        <v>1307.3900000000001</v>
      </c>
      <c r="AI22" s="25">
        <f t="shared" si="2"/>
        <v>620.49</v>
      </c>
      <c r="AJ22" s="25">
        <f t="shared" si="2"/>
        <v>2037.53</v>
      </c>
      <c r="AK22" s="25">
        <f t="shared" si="2"/>
        <v>2037.53</v>
      </c>
      <c r="AL22" s="25">
        <f t="shared" si="2"/>
        <v>0</v>
      </c>
      <c r="AM22" s="25">
        <f t="shared" si="2"/>
        <v>55.77</v>
      </c>
      <c r="AN22" s="25">
        <f t="shared" si="2"/>
        <v>387.46</v>
      </c>
      <c r="AO22" s="25">
        <f t="shared" si="2"/>
        <v>3983.64</v>
      </c>
      <c r="AP22" s="25">
        <f t="shared" si="2"/>
        <v>466</v>
      </c>
      <c r="AQ22" s="25">
        <f t="shared" si="2"/>
        <v>3607.54</v>
      </c>
      <c r="AR22" s="25">
        <f t="shared" si="2"/>
        <v>764.92</v>
      </c>
      <c r="AS22" s="31">
        <f>AS23-SUM(AS24:AS32)</f>
        <v>-3272.366763</v>
      </c>
      <c r="AT22" s="25">
        <f t="shared" si="2"/>
        <v>18.91</v>
      </c>
      <c r="AU22" s="25">
        <f t="shared" si="2"/>
        <v>62.08</v>
      </c>
      <c r="AV22" s="25">
        <f t="shared" si="2"/>
        <v>245.85</v>
      </c>
      <c r="AW22" s="25">
        <f t="shared" si="2"/>
        <v>9.35</v>
      </c>
      <c r="AX22" s="25">
        <f t="shared" si="2"/>
        <v>526.47</v>
      </c>
      <c r="AY22" s="25">
        <f t="shared" si="2"/>
        <v>1024.8599999999999</v>
      </c>
      <c r="AZ22" s="25">
        <f t="shared" si="2"/>
        <v>76.38</v>
      </c>
      <c r="BA22" s="25">
        <f t="shared" si="2"/>
        <v>28.54</v>
      </c>
      <c r="BB22" s="25">
        <f t="shared" si="2"/>
        <v>728.52</v>
      </c>
      <c r="BC22" s="25">
        <f t="shared" si="2"/>
        <v>14.75</v>
      </c>
      <c r="BD22" s="25">
        <f t="shared" si="2"/>
        <v>7.88</v>
      </c>
      <c r="BE22" s="25">
        <f t="shared" si="2"/>
        <v>14.66</v>
      </c>
      <c r="BF22" s="25">
        <f t="shared" si="2"/>
        <v>847.82</v>
      </c>
      <c r="BG22" s="25">
        <f t="shared" si="2"/>
        <v>408.88</v>
      </c>
      <c r="BH22" s="25">
        <f t="shared" si="2"/>
        <v>427.6</v>
      </c>
      <c r="BI22" s="25">
        <f t="shared" si="2"/>
        <v>1584.91</v>
      </c>
      <c r="BJ22" s="25">
        <f t="shared" si="2"/>
        <v>64.14</v>
      </c>
      <c r="BK22" s="25">
        <f t="shared" si="2"/>
        <v>242.27</v>
      </c>
      <c r="BL22" s="25">
        <f t="shared" si="2"/>
        <v>701.43</v>
      </c>
      <c r="BM22" s="25">
        <f t="shared" si="2"/>
        <v>53.99</v>
      </c>
      <c r="BN22" s="25">
        <f t="shared" si="2"/>
        <v>15.52</v>
      </c>
      <c r="BO22" s="25">
        <f t="shared" si="2"/>
        <v>1069.0999999999999</v>
      </c>
      <c r="BP22" s="25">
        <f t="shared" ref="BP22:CP22" si="3">BP23-SUM(BP24:BP32)</f>
        <v>262.37</v>
      </c>
      <c r="BQ22" s="25">
        <f t="shared" si="3"/>
        <v>173.71</v>
      </c>
      <c r="BR22" s="25">
        <f t="shared" si="3"/>
        <v>2979.42</v>
      </c>
      <c r="BS22" s="25">
        <f t="shared" si="3"/>
        <v>267.63</v>
      </c>
      <c r="BT22" s="25">
        <f t="shared" si="3"/>
        <v>88.65</v>
      </c>
      <c r="BU22" s="25">
        <f t="shared" si="3"/>
        <v>57.14</v>
      </c>
      <c r="BV22" s="25">
        <f t="shared" si="3"/>
        <v>70.09</v>
      </c>
      <c r="BW22" s="25">
        <f t="shared" si="3"/>
        <v>16.260000000000002</v>
      </c>
      <c r="BX22" s="25">
        <f t="shared" si="3"/>
        <v>546.75</v>
      </c>
      <c r="BY22" s="25">
        <f t="shared" si="3"/>
        <v>0.67</v>
      </c>
      <c r="BZ22" s="25">
        <f t="shared" si="3"/>
        <v>0</v>
      </c>
      <c r="CA22" s="25">
        <f t="shared" si="3"/>
        <v>10419.049999999999</v>
      </c>
      <c r="CB22" s="25">
        <f t="shared" si="3"/>
        <v>20.98</v>
      </c>
      <c r="CC22" s="25">
        <f t="shared" si="3"/>
        <v>10398</v>
      </c>
      <c r="CD22" s="25">
        <f t="shared" si="3"/>
        <v>7.0000000000000007E-2</v>
      </c>
      <c r="CE22" s="25">
        <f t="shared" si="3"/>
        <v>2222.71</v>
      </c>
      <c r="CF22" s="25">
        <f t="shared" si="3"/>
        <v>2212.08</v>
      </c>
      <c r="CG22" s="25">
        <f t="shared" si="3"/>
        <v>0</v>
      </c>
      <c r="CH22" s="25" t="e">
        <f t="shared" si="3"/>
        <v>#VALUE!</v>
      </c>
      <c r="CI22" s="25">
        <f t="shared" si="3"/>
        <v>0</v>
      </c>
      <c r="CJ22" s="25" t="e">
        <f t="shared" si="3"/>
        <v>#VALUE!</v>
      </c>
      <c r="CK22" s="25">
        <f t="shared" si="3"/>
        <v>0</v>
      </c>
      <c r="CL22" s="25">
        <f t="shared" si="3"/>
        <v>10.63</v>
      </c>
      <c r="CM22" s="25" t="e">
        <f t="shared" si="3"/>
        <v>#VALUE!</v>
      </c>
      <c r="CN22" s="25" t="e">
        <f t="shared" si="3"/>
        <v>#VALUE!</v>
      </c>
      <c r="CO22" s="25">
        <f t="shared" si="3"/>
        <v>123224.78</v>
      </c>
      <c r="CP22" s="25">
        <f t="shared" si="3"/>
        <v>12641.76</v>
      </c>
    </row>
    <row r="23" spans="1:94" s="27" customFormat="1" ht="14.5" x14ac:dyDescent="0.35">
      <c r="A23" s="24" t="s">
        <v>137</v>
      </c>
      <c r="B23" s="25">
        <v>110583.02</v>
      </c>
      <c r="C23" s="25">
        <v>4093.86</v>
      </c>
      <c r="D23" s="26">
        <v>80</v>
      </c>
      <c r="E23" s="25">
        <v>39.67</v>
      </c>
      <c r="F23" s="25">
        <v>300.14</v>
      </c>
      <c r="G23" s="25">
        <v>3433.42</v>
      </c>
      <c r="H23" s="25">
        <v>1758.98</v>
      </c>
      <c r="I23" s="25">
        <v>704.5</v>
      </c>
      <c r="J23" s="25">
        <v>1842.68</v>
      </c>
      <c r="K23" s="25">
        <v>363.06</v>
      </c>
      <c r="L23" s="25">
        <v>3540.72</v>
      </c>
      <c r="M23" s="12">
        <f>N23-SUM(O23:W23)</f>
        <v>35103.89</v>
      </c>
      <c r="N23" s="12">
        <v>35103.89</v>
      </c>
      <c r="O23" s="23"/>
      <c r="P23" s="23"/>
      <c r="Q23" s="23"/>
      <c r="R23" s="23"/>
      <c r="S23" s="23"/>
      <c r="T23" s="23"/>
      <c r="U23" s="23"/>
      <c r="V23" s="23"/>
      <c r="W23" s="23"/>
      <c r="X23" s="25">
        <v>7938.31</v>
      </c>
      <c r="Y23" s="25">
        <v>13143.58</v>
      </c>
      <c r="Z23" s="25">
        <v>1531.27</v>
      </c>
      <c r="AA23" s="25">
        <v>1570.64</v>
      </c>
      <c r="AB23" s="25">
        <v>2013.07</v>
      </c>
      <c r="AC23" s="25">
        <v>1148.08</v>
      </c>
      <c r="AD23" s="25">
        <v>1971.16</v>
      </c>
      <c r="AE23" s="25">
        <v>1201.94</v>
      </c>
      <c r="AF23" s="25">
        <v>1937.14</v>
      </c>
      <c r="AG23" s="25">
        <v>555.98</v>
      </c>
      <c r="AH23" s="25">
        <v>1307.3900000000001</v>
      </c>
      <c r="AI23" s="25">
        <v>620.49</v>
      </c>
      <c r="AJ23" s="25">
        <f t="shared" si="1"/>
        <v>2037.53</v>
      </c>
      <c r="AK23" s="25">
        <v>2037.53</v>
      </c>
      <c r="AL23" s="23"/>
      <c r="AM23" s="25">
        <v>55.77</v>
      </c>
      <c r="AN23" s="25">
        <v>387.46</v>
      </c>
      <c r="AO23" s="25">
        <v>3983.64</v>
      </c>
      <c r="AP23" s="26">
        <v>466</v>
      </c>
      <c r="AQ23" s="25">
        <v>3607.54</v>
      </c>
      <c r="AR23" s="25">
        <v>764.92</v>
      </c>
      <c r="AS23" s="25">
        <v>443.64</v>
      </c>
      <c r="AT23" s="25">
        <v>18.91</v>
      </c>
      <c r="AU23" s="25">
        <v>62.08</v>
      </c>
      <c r="AV23" s="25">
        <v>245.85</v>
      </c>
      <c r="AW23" s="25">
        <v>9.35</v>
      </c>
      <c r="AX23" s="25">
        <v>526.47</v>
      </c>
      <c r="AY23" s="25">
        <v>1024.8599999999999</v>
      </c>
      <c r="AZ23" s="25">
        <v>76.38</v>
      </c>
      <c r="BA23" s="25">
        <v>28.54</v>
      </c>
      <c r="BB23" s="25">
        <v>728.52</v>
      </c>
      <c r="BC23" s="25">
        <v>14.75</v>
      </c>
      <c r="BD23" s="25">
        <v>7.88</v>
      </c>
      <c r="BE23" s="25">
        <v>14.66</v>
      </c>
      <c r="BF23" s="25">
        <v>847.82</v>
      </c>
      <c r="BG23" s="25">
        <v>408.88</v>
      </c>
      <c r="BH23" s="25">
        <v>427.6</v>
      </c>
      <c r="BI23" s="25">
        <v>1584.91</v>
      </c>
      <c r="BJ23" s="25">
        <v>64.14</v>
      </c>
      <c r="BK23" s="25">
        <v>242.27</v>
      </c>
      <c r="BL23" s="25">
        <v>701.43</v>
      </c>
      <c r="BM23" s="25">
        <v>53.99</v>
      </c>
      <c r="BN23" s="25">
        <v>15.52</v>
      </c>
      <c r="BO23" s="25">
        <v>1069.0999999999999</v>
      </c>
      <c r="BP23" s="25">
        <v>262.37</v>
      </c>
      <c r="BQ23" s="25">
        <v>173.71</v>
      </c>
      <c r="BR23" s="25">
        <v>2979.42</v>
      </c>
      <c r="BS23" s="25">
        <v>267.63</v>
      </c>
      <c r="BT23" s="25">
        <v>88.65</v>
      </c>
      <c r="BU23" s="25">
        <v>57.14</v>
      </c>
      <c r="BV23" s="25">
        <v>70.09</v>
      </c>
      <c r="BW23" s="25">
        <v>16.260000000000002</v>
      </c>
      <c r="BX23" s="25">
        <v>546.75</v>
      </c>
      <c r="BY23" s="25">
        <v>0.67</v>
      </c>
      <c r="BZ23" s="26">
        <v>0</v>
      </c>
      <c r="CA23" s="25">
        <v>10419.049999999999</v>
      </c>
      <c r="CB23" s="25">
        <v>20.98</v>
      </c>
      <c r="CC23" s="26">
        <v>10398</v>
      </c>
      <c r="CD23" s="25">
        <v>7.0000000000000007E-2</v>
      </c>
      <c r="CE23" s="25">
        <v>2222.71</v>
      </c>
      <c r="CF23" s="25">
        <v>2212.08</v>
      </c>
      <c r="CG23" s="26">
        <v>0</v>
      </c>
      <c r="CH23" s="26" t="s">
        <v>104</v>
      </c>
      <c r="CI23" s="26">
        <v>0</v>
      </c>
      <c r="CJ23" s="26" t="s">
        <v>104</v>
      </c>
      <c r="CK23" s="26">
        <v>0</v>
      </c>
      <c r="CL23" s="25">
        <v>10.63</v>
      </c>
      <c r="CM23" s="26" t="s">
        <v>104</v>
      </c>
      <c r="CN23" s="26" t="s">
        <v>104</v>
      </c>
      <c r="CO23" s="25">
        <v>123224.78</v>
      </c>
      <c r="CP23" s="25">
        <v>12641.76</v>
      </c>
    </row>
    <row r="24" spans="1:94" s="16" customFormat="1" ht="16" customHeight="1" x14ac:dyDescent="0.35">
      <c r="A24" s="16" t="s">
        <v>125</v>
      </c>
      <c r="M24" s="12">
        <f t="shared" si="0"/>
        <v>0</v>
      </c>
      <c r="N24" s="32"/>
      <c r="Q24" s="17"/>
      <c r="R24" s="17"/>
      <c r="S24" s="18"/>
      <c r="T24" s="18"/>
      <c r="U24" s="19"/>
      <c r="V24" s="19"/>
      <c r="W24" s="20"/>
      <c r="AJ24" s="13">
        <f t="shared" si="1"/>
        <v>0</v>
      </c>
      <c r="AL24" s="21"/>
      <c r="AS24" s="29">
        <f>'[1]Market prices'!$K$39</f>
        <v>3213.4163189999999</v>
      </c>
    </row>
    <row r="25" spans="1:94" s="16" customFormat="1" ht="15.5" customHeight="1" x14ac:dyDescent="0.35">
      <c r="A25" s="16" t="s">
        <v>126</v>
      </c>
      <c r="M25" s="12">
        <f t="shared" si="0"/>
        <v>0</v>
      </c>
      <c r="N25" s="32"/>
      <c r="Q25" s="17"/>
      <c r="R25" s="17"/>
      <c r="S25" s="18"/>
      <c r="T25" s="18"/>
      <c r="U25" s="19"/>
      <c r="V25" s="19"/>
      <c r="W25" s="20"/>
      <c r="AJ25" s="13">
        <f t="shared" si="1"/>
        <v>0</v>
      </c>
      <c r="AL25" s="21"/>
    </row>
    <row r="26" spans="1:94" s="17" customFormat="1" ht="26.5" customHeight="1" x14ac:dyDescent="0.35">
      <c r="A26" s="17" t="s">
        <v>127</v>
      </c>
      <c r="M26" s="12">
        <f t="shared" si="0"/>
        <v>0</v>
      </c>
      <c r="N26" s="32"/>
      <c r="O26" s="16"/>
      <c r="P26" s="16"/>
      <c r="S26" s="18"/>
      <c r="T26" s="18"/>
      <c r="U26" s="19"/>
      <c r="V26" s="19"/>
      <c r="W26" s="20"/>
      <c r="AJ26" s="13">
        <f t="shared" si="1"/>
        <v>0</v>
      </c>
      <c r="AL26" s="21"/>
      <c r="AS26" s="30">
        <f>'[1]Market prices'!$K$40</f>
        <v>502.59044399999999</v>
      </c>
    </row>
    <row r="27" spans="1:94" s="17" customFormat="1" ht="21.5" customHeight="1" x14ac:dyDescent="0.35">
      <c r="A27" s="17" t="s">
        <v>128</v>
      </c>
      <c r="M27" s="12">
        <f t="shared" si="0"/>
        <v>0</v>
      </c>
      <c r="N27" s="32"/>
      <c r="O27" s="16"/>
      <c r="P27" s="16"/>
      <c r="S27" s="18"/>
      <c r="T27" s="18"/>
      <c r="U27" s="19"/>
      <c r="V27" s="19"/>
      <c r="W27" s="20"/>
      <c r="AJ27" s="13">
        <f t="shared" si="1"/>
        <v>0</v>
      </c>
      <c r="AL27" s="21"/>
    </row>
    <row r="28" spans="1:94" s="18" customFormat="1" ht="17" customHeight="1" x14ac:dyDescent="0.35">
      <c r="A28" s="18" t="s">
        <v>129</v>
      </c>
      <c r="M28" s="12">
        <f t="shared" si="0"/>
        <v>0</v>
      </c>
      <c r="N28" s="32"/>
      <c r="O28" s="16"/>
      <c r="P28" s="16"/>
      <c r="Q28" s="17"/>
      <c r="R28" s="17"/>
      <c r="U28" s="19"/>
      <c r="V28" s="19"/>
      <c r="W28" s="20"/>
      <c r="AJ28" s="13">
        <f t="shared" si="1"/>
        <v>0</v>
      </c>
      <c r="AL28" s="21"/>
    </row>
    <row r="29" spans="1:94" s="18" customFormat="1" ht="15.5" customHeight="1" x14ac:dyDescent="0.35">
      <c r="A29" s="18" t="s">
        <v>130</v>
      </c>
      <c r="M29" s="12">
        <f t="shared" si="0"/>
        <v>0</v>
      </c>
      <c r="N29" s="32"/>
      <c r="O29" s="16"/>
      <c r="P29" s="16"/>
      <c r="Q29" s="17"/>
      <c r="R29" s="17"/>
      <c r="U29" s="19"/>
      <c r="V29" s="19"/>
      <c r="W29" s="20"/>
      <c r="AJ29" s="13">
        <f t="shared" si="1"/>
        <v>0</v>
      </c>
      <c r="AL29" s="21"/>
    </row>
    <row r="30" spans="1:94" s="19" customFormat="1" ht="20.5" customHeight="1" x14ac:dyDescent="0.35">
      <c r="A30" s="19" t="s">
        <v>131</v>
      </c>
      <c r="M30" s="12">
        <f t="shared" si="0"/>
        <v>0</v>
      </c>
      <c r="N30" s="32"/>
      <c r="O30" s="16"/>
      <c r="P30" s="16"/>
      <c r="Q30" s="17"/>
      <c r="R30" s="17"/>
      <c r="S30" s="18"/>
      <c r="T30" s="18"/>
      <c r="W30" s="20"/>
      <c r="AJ30" s="13">
        <f t="shared" si="1"/>
        <v>0</v>
      </c>
      <c r="AL30" s="21"/>
    </row>
    <row r="31" spans="1:94" s="19" customFormat="1" ht="24.5" customHeight="1" x14ac:dyDescent="0.35">
      <c r="A31" s="19" t="s">
        <v>132</v>
      </c>
      <c r="M31" s="12">
        <f t="shared" si="0"/>
        <v>0</v>
      </c>
      <c r="N31" s="32"/>
      <c r="O31" s="16"/>
      <c r="P31" s="16"/>
      <c r="Q31" s="17"/>
      <c r="R31" s="17"/>
      <c r="S31" s="18"/>
      <c r="T31" s="18"/>
      <c r="W31" s="20"/>
      <c r="AJ31" s="13">
        <f t="shared" si="1"/>
        <v>0</v>
      </c>
      <c r="AL31" s="21"/>
    </row>
    <row r="32" spans="1:94" s="20" customFormat="1" ht="24.5" customHeight="1" x14ac:dyDescent="0.35">
      <c r="A32" s="20" t="s">
        <v>133</v>
      </c>
      <c r="M32" s="12">
        <f t="shared" si="0"/>
        <v>0</v>
      </c>
      <c r="N32" s="32"/>
      <c r="O32" s="16"/>
      <c r="P32" s="16"/>
      <c r="Q32" s="17"/>
      <c r="R32" s="17"/>
      <c r="S32" s="18"/>
      <c r="T32" s="18"/>
      <c r="U32" s="19"/>
      <c r="V32" s="19"/>
      <c r="AJ32" s="13">
        <f t="shared" si="1"/>
        <v>0</v>
      </c>
      <c r="AL32" s="21"/>
    </row>
    <row r="33" spans="1:94" ht="14.5" x14ac:dyDescent="0.35">
      <c r="A33" s="5" t="s">
        <v>35</v>
      </c>
      <c r="B33" s="13">
        <v>43131.8</v>
      </c>
      <c r="C33" s="13">
        <v>393.35</v>
      </c>
      <c r="D33" s="13">
        <v>2.36</v>
      </c>
      <c r="E33" s="13">
        <v>7.08</v>
      </c>
      <c r="F33" s="13">
        <v>3.42</v>
      </c>
      <c r="G33" s="13">
        <v>997.21</v>
      </c>
      <c r="H33" s="13">
        <v>7.42</v>
      </c>
      <c r="I33" s="13">
        <v>7.91</v>
      </c>
      <c r="J33" s="13">
        <v>12.74</v>
      </c>
      <c r="K33" s="13">
        <v>0.53</v>
      </c>
      <c r="L33" s="13">
        <v>28.6</v>
      </c>
      <c r="M33" s="12">
        <f t="shared" si="0"/>
        <v>1866.05</v>
      </c>
      <c r="N33" s="12">
        <v>1866.05</v>
      </c>
      <c r="X33" s="13">
        <v>13976.51</v>
      </c>
      <c r="Y33" s="13">
        <v>82.95</v>
      </c>
      <c r="Z33" s="13">
        <v>27.18</v>
      </c>
      <c r="AA33" s="13">
        <v>10.82</v>
      </c>
      <c r="AB33" s="13">
        <v>8.0299999999999994</v>
      </c>
      <c r="AC33" s="13">
        <v>18.29</v>
      </c>
      <c r="AD33" s="13">
        <v>12.98</v>
      </c>
      <c r="AE33" s="13">
        <v>12.7</v>
      </c>
      <c r="AF33" s="13">
        <v>9.64</v>
      </c>
      <c r="AG33" s="13">
        <v>4.1399999999999997</v>
      </c>
      <c r="AH33" s="13">
        <v>138.80000000000001</v>
      </c>
      <c r="AI33" s="13">
        <v>33.44</v>
      </c>
      <c r="AJ33" s="13">
        <f t="shared" si="1"/>
        <v>13.69</v>
      </c>
      <c r="AK33" s="13">
        <v>13.69</v>
      </c>
      <c r="AM33" s="13">
        <v>1.1399999999999999</v>
      </c>
      <c r="AN33" s="13">
        <v>19.97</v>
      </c>
      <c r="AO33" s="13">
        <v>52.8</v>
      </c>
      <c r="AP33" s="13">
        <v>5.4</v>
      </c>
      <c r="AQ33" s="13">
        <v>2936.51</v>
      </c>
      <c r="AR33" s="13">
        <v>477.43</v>
      </c>
      <c r="AS33" s="13">
        <v>33.979999999999997</v>
      </c>
      <c r="AT33" s="13">
        <v>0.74</v>
      </c>
      <c r="AU33" s="13">
        <v>0.7</v>
      </c>
      <c r="AV33" s="13">
        <v>49.76</v>
      </c>
      <c r="AW33" s="13">
        <v>4.21</v>
      </c>
      <c r="AX33" s="13">
        <v>63.86</v>
      </c>
      <c r="AY33" s="13">
        <v>5.18</v>
      </c>
      <c r="AZ33" s="13">
        <v>1.77</v>
      </c>
      <c r="BA33" s="13">
        <v>10.66</v>
      </c>
      <c r="BB33" s="13">
        <v>149.30000000000001</v>
      </c>
      <c r="BC33" s="13">
        <v>3.73</v>
      </c>
      <c r="BD33" s="13">
        <v>1.99</v>
      </c>
      <c r="BE33" s="13">
        <v>1.72</v>
      </c>
      <c r="BF33" s="13">
        <v>226.99</v>
      </c>
      <c r="BG33" s="13">
        <v>283.45999999999998</v>
      </c>
      <c r="BH33" s="13">
        <v>118.25</v>
      </c>
      <c r="BI33" s="13">
        <v>1482.52</v>
      </c>
      <c r="BJ33" s="13">
        <v>39.799999999999997</v>
      </c>
      <c r="BK33" s="13">
        <v>448.39</v>
      </c>
      <c r="BL33" s="13">
        <v>525.19000000000005</v>
      </c>
      <c r="BM33" s="13">
        <v>31.62</v>
      </c>
      <c r="BN33" s="13">
        <v>2.94</v>
      </c>
      <c r="BO33" s="13">
        <v>273.07</v>
      </c>
      <c r="BP33" s="13">
        <v>740.38</v>
      </c>
      <c r="BQ33" s="13">
        <v>207.4</v>
      </c>
      <c r="BR33" s="13">
        <v>15762.81</v>
      </c>
      <c r="BS33" s="13">
        <v>1402.53</v>
      </c>
      <c r="BT33" s="13">
        <v>17.149999999999999</v>
      </c>
      <c r="BU33" s="13">
        <v>22.24</v>
      </c>
      <c r="BV33" s="13">
        <v>12.37</v>
      </c>
      <c r="BW33" s="13">
        <v>2.6</v>
      </c>
      <c r="BX33" s="13">
        <v>32.39</v>
      </c>
      <c r="BY33" s="13">
        <v>3.03</v>
      </c>
      <c r="BZ33" s="7">
        <v>0</v>
      </c>
      <c r="CA33" s="13">
        <v>40837.75</v>
      </c>
      <c r="CB33" s="13">
        <v>23722.95</v>
      </c>
      <c r="CC33" s="13">
        <v>17096.349999999999</v>
      </c>
      <c r="CD33" s="13">
        <v>18.45</v>
      </c>
      <c r="CE33" s="13">
        <v>4671.3599999999997</v>
      </c>
      <c r="CF33" s="13">
        <v>4671.3599999999997</v>
      </c>
      <c r="CG33" s="7">
        <v>0</v>
      </c>
      <c r="CH33" s="7" t="s">
        <v>104</v>
      </c>
      <c r="CI33" s="7">
        <v>0</v>
      </c>
      <c r="CJ33" s="7" t="s">
        <v>104</v>
      </c>
      <c r="CK33" s="7">
        <v>0</v>
      </c>
      <c r="CL33" s="7">
        <v>0</v>
      </c>
      <c r="CM33" s="7" t="s">
        <v>104</v>
      </c>
      <c r="CN33" s="7" t="s">
        <v>104</v>
      </c>
      <c r="CO33" s="13">
        <v>88640.91</v>
      </c>
      <c r="CP33" s="13">
        <v>45509.11</v>
      </c>
    </row>
    <row r="34" spans="1:94" ht="14.5" x14ac:dyDescent="0.35">
      <c r="A34" s="5" t="s">
        <v>36</v>
      </c>
      <c r="B34" s="12">
        <v>41045.14</v>
      </c>
      <c r="C34" s="12">
        <v>321.70999999999998</v>
      </c>
      <c r="D34" s="12">
        <v>11.84</v>
      </c>
      <c r="E34" s="12">
        <v>8.41</v>
      </c>
      <c r="F34" s="12">
        <v>59.57</v>
      </c>
      <c r="G34" s="12">
        <v>3426.25</v>
      </c>
      <c r="H34" s="12">
        <v>330.62</v>
      </c>
      <c r="I34" s="12">
        <v>205.15</v>
      </c>
      <c r="J34" s="12">
        <v>588.15</v>
      </c>
      <c r="K34" s="12">
        <v>112.31</v>
      </c>
      <c r="L34" s="12">
        <v>280.33999999999997</v>
      </c>
      <c r="M34" s="12">
        <f t="shared" si="0"/>
        <v>1717.87</v>
      </c>
      <c r="N34" s="12">
        <v>1717.87</v>
      </c>
      <c r="X34" s="12">
        <v>1444.98</v>
      </c>
      <c r="Y34" s="12">
        <v>6241.55</v>
      </c>
      <c r="Z34" s="12">
        <v>465.27</v>
      </c>
      <c r="AA34" s="12">
        <v>371.02</v>
      </c>
      <c r="AB34" s="12">
        <v>965.39</v>
      </c>
      <c r="AC34" s="12">
        <v>559.36</v>
      </c>
      <c r="AD34" s="12">
        <v>1152.48</v>
      </c>
      <c r="AE34" s="12">
        <v>1319.93</v>
      </c>
      <c r="AF34" s="12">
        <v>3846.39</v>
      </c>
      <c r="AG34" s="12">
        <v>382.72</v>
      </c>
      <c r="AH34" s="12">
        <v>997.69</v>
      </c>
      <c r="AI34" s="12">
        <v>480.35</v>
      </c>
      <c r="AJ34" s="13">
        <f t="shared" si="1"/>
        <v>181.48</v>
      </c>
      <c r="AK34" s="12">
        <v>181.48</v>
      </c>
      <c r="AM34" s="12">
        <v>16.559999999999999</v>
      </c>
      <c r="AN34" s="12">
        <v>234.18</v>
      </c>
      <c r="AO34" s="12">
        <v>6900.06</v>
      </c>
      <c r="AP34" s="12">
        <v>908.76</v>
      </c>
      <c r="AQ34" s="12">
        <v>1478.21</v>
      </c>
      <c r="AR34" s="12">
        <v>697.28</v>
      </c>
      <c r="AS34" s="12">
        <v>904.72</v>
      </c>
      <c r="AT34" s="12">
        <v>18.72</v>
      </c>
      <c r="AU34" s="12">
        <v>27.38</v>
      </c>
      <c r="AV34" s="12">
        <v>248.64</v>
      </c>
      <c r="AW34" s="12">
        <v>31.93</v>
      </c>
      <c r="AX34" s="12">
        <v>153.08000000000001</v>
      </c>
      <c r="AY34" s="12">
        <v>48.92</v>
      </c>
      <c r="AZ34" s="12">
        <v>29.04</v>
      </c>
      <c r="BA34" s="12">
        <v>160.6</v>
      </c>
      <c r="BB34" s="12">
        <v>235.02</v>
      </c>
      <c r="BC34" s="12">
        <v>32.99</v>
      </c>
      <c r="BD34" s="12">
        <v>31.4</v>
      </c>
      <c r="BE34" s="12">
        <v>23.8</v>
      </c>
      <c r="BF34" s="12">
        <v>396.4</v>
      </c>
      <c r="BG34" s="12">
        <v>181.57</v>
      </c>
      <c r="BH34" s="12">
        <v>224.14</v>
      </c>
      <c r="BI34" s="12">
        <v>437.94</v>
      </c>
      <c r="BJ34" s="12">
        <v>66.14</v>
      </c>
      <c r="BK34" s="12">
        <v>101.27</v>
      </c>
      <c r="BL34" s="12">
        <v>291.97000000000003</v>
      </c>
      <c r="BM34" s="12">
        <v>18.39</v>
      </c>
      <c r="BN34" s="12">
        <v>8.33</v>
      </c>
      <c r="BO34" s="12">
        <v>459.81</v>
      </c>
      <c r="BP34" s="12">
        <v>183.07</v>
      </c>
      <c r="BQ34" s="12">
        <v>64.290000000000006</v>
      </c>
      <c r="BR34" s="12">
        <v>680.59</v>
      </c>
      <c r="BS34" s="12">
        <v>125.75</v>
      </c>
      <c r="BT34" s="12">
        <v>39.700000000000003</v>
      </c>
      <c r="BU34" s="12">
        <v>24.66</v>
      </c>
      <c r="BV34" s="12">
        <v>16.829999999999998</v>
      </c>
      <c r="BW34" s="12">
        <v>24.09</v>
      </c>
      <c r="BX34" s="12">
        <v>46.87</v>
      </c>
      <c r="BY34" s="12">
        <v>1.25</v>
      </c>
      <c r="BZ34" s="6">
        <v>0</v>
      </c>
      <c r="CA34" s="12">
        <v>6631.83</v>
      </c>
      <c r="CB34" s="12">
        <v>14.89</v>
      </c>
      <c r="CC34" s="12">
        <v>6616.94</v>
      </c>
      <c r="CD34" s="6">
        <v>0</v>
      </c>
      <c r="CE34" s="12">
        <v>369.73</v>
      </c>
      <c r="CF34" s="12">
        <v>-29.93</v>
      </c>
      <c r="CG34" s="6">
        <v>0</v>
      </c>
      <c r="CH34" s="6" t="s">
        <v>104</v>
      </c>
      <c r="CI34" s="6">
        <v>0</v>
      </c>
      <c r="CJ34" s="6" t="s">
        <v>104</v>
      </c>
      <c r="CK34" s="6">
        <v>0</v>
      </c>
      <c r="CL34" s="12">
        <v>399.66</v>
      </c>
      <c r="CM34" s="6" t="s">
        <v>104</v>
      </c>
      <c r="CN34" s="6" t="s">
        <v>104</v>
      </c>
      <c r="CO34" s="12">
        <v>48046.7</v>
      </c>
      <c r="CP34" s="12">
        <v>7001.56</v>
      </c>
    </row>
    <row r="35" spans="1:94" ht="14.5" x14ac:dyDescent="0.35">
      <c r="A35" s="5" t="s">
        <v>37</v>
      </c>
      <c r="B35" s="13">
        <v>24465.56</v>
      </c>
      <c r="C35" s="13">
        <v>151.62</v>
      </c>
      <c r="D35" s="13">
        <v>4.66</v>
      </c>
      <c r="E35" s="13">
        <v>4.2</v>
      </c>
      <c r="F35" s="13">
        <v>107.77</v>
      </c>
      <c r="G35" s="13">
        <v>1286.3399999999999</v>
      </c>
      <c r="H35" s="7">
        <v>106</v>
      </c>
      <c r="I35" s="13">
        <v>203.8</v>
      </c>
      <c r="J35" s="13">
        <v>24.08</v>
      </c>
      <c r="K35" s="13">
        <v>4.91</v>
      </c>
      <c r="L35" s="13">
        <v>55.35</v>
      </c>
      <c r="M35" s="12">
        <f t="shared" si="0"/>
        <v>817.41</v>
      </c>
      <c r="N35" s="12">
        <v>817.41</v>
      </c>
      <c r="X35" s="13">
        <v>270.69</v>
      </c>
      <c r="Y35" s="13">
        <v>491.56</v>
      </c>
      <c r="Z35" s="13">
        <v>3324.77</v>
      </c>
      <c r="AA35" s="13">
        <v>582.72</v>
      </c>
      <c r="AB35" s="13">
        <v>604.30999999999995</v>
      </c>
      <c r="AC35" s="13">
        <v>261.42</v>
      </c>
      <c r="AD35" s="7">
        <v>625</v>
      </c>
      <c r="AE35" s="13">
        <v>504.25</v>
      </c>
      <c r="AF35" s="13">
        <v>1376.21</v>
      </c>
      <c r="AG35" s="13">
        <v>265.31</v>
      </c>
      <c r="AH35" s="13">
        <v>389.5</v>
      </c>
      <c r="AI35" s="13">
        <v>291.04000000000002</v>
      </c>
      <c r="AJ35" s="13">
        <f t="shared" si="1"/>
        <v>115.36</v>
      </c>
      <c r="AK35" s="13">
        <v>115.36</v>
      </c>
      <c r="AM35" s="13">
        <v>11.35</v>
      </c>
      <c r="AN35" s="13">
        <v>114.17</v>
      </c>
      <c r="AO35" s="13">
        <v>9745.6</v>
      </c>
      <c r="AP35" s="13">
        <v>262.7</v>
      </c>
      <c r="AQ35" s="13">
        <v>354.32</v>
      </c>
      <c r="AR35" s="13">
        <v>124.46</v>
      </c>
      <c r="AS35" s="13">
        <v>83.81</v>
      </c>
      <c r="AT35" s="13">
        <v>2.64</v>
      </c>
      <c r="AU35" s="13">
        <v>8.92</v>
      </c>
      <c r="AV35" s="13">
        <v>60.13</v>
      </c>
      <c r="AW35" s="13">
        <v>0.91</v>
      </c>
      <c r="AX35" s="13">
        <v>269.92</v>
      </c>
      <c r="AY35" s="13">
        <v>2.19</v>
      </c>
      <c r="AZ35" s="13">
        <v>1.45</v>
      </c>
      <c r="BA35" s="13">
        <v>17.86</v>
      </c>
      <c r="BB35" s="13">
        <v>51.68</v>
      </c>
      <c r="BC35" s="13">
        <v>5.57</v>
      </c>
      <c r="BD35" s="13">
        <v>0.73</v>
      </c>
      <c r="BE35" s="13">
        <v>2.82</v>
      </c>
      <c r="BF35" s="13">
        <v>331.69</v>
      </c>
      <c r="BG35" s="13">
        <v>61.56</v>
      </c>
      <c r="BH35" s="13">
        <v>89.57</v>
      </c>
      <c r="BI35" s="13">
        <v>246.07</v>
      </c>
      <c r="BJ35" s="13">
        <v>9.17</v>
      </c>
      <c r="BK35" s="13">
        <v>32.409999999999997</v>
      </c>
      <c r="BL35" s="13">
        <v>132.74</v>
      </c>
      <c r="BM35" s="13">
        <v>8.89</v>
      </c>
      <c r="BN35" s="13">
        <v>1.79</v>
      </c>
      <c r="BO35" s="13">
        <v>167.16</v>
      </c>
      <c r="BP35" s="13">
        <v>37.82</v>
      </c>
      <c r="BQ35" s="13">
        <v>42.7</v>
      </c>
      <c r="BR35" s="13">
        <v>177.56</v>
      </c>
      <c r="BS35" s="13">
        <v>19.97</v>
      </c>
      <c r="BT35" s="13">
        <v>23.3</v>
      </c>
      <c r="BU35" s="13">
        <v>8.19</v>
      </c>
      <c r="BV35" s="13">
        <v>12.37</v>
      </c>
      <c r="BW35" s="13">
        <v>9.08</v>
      </c>
      <c r="BX35" s="13">
        <v>63.58</v>
      </c>
      <c r="BY35" s="13">
        <v>0.44</v>
      </c>
      <c r="BZ35" s="7">
        <v>0</v>
      </c>
      <c r="CA35" s="13">
        <v>2911.72</v>
      </c>
      <c r="CB35" s="7">
        <v>0</v>
      </c>
      <c r="CC35" s="13">
        <v>2911.72</v>
      </c>
      <c r="CD35" s="7">
        <v>0</v>
      </c>
      <c r="CE35" s="13">
        <v>-64.790000000000006</v>
      </c>
      <c r="CF35" s="7">
        <v>-452</v>
      </c>
      <c r="CG35" s="7">
        <v>0</v>
      </c>
      <c r="CH35" s="7" t="s">
        <v>104</v>
      </c>
      <c r="CI35" s="7">
        <v>0</v>
      </c>
      <c r="CJ35" s="7" t="s">
        <v>104</v>
      </c>
      <c r="CK35" s="7">
        <v>0</v>
      </c>
      <c r="CL35" s="13">
        <v>387.21</v>
      </c>
      <c r="CM35" s="7" t="s">
        <v>104</v>
      </c>
      <c r="CN35" s="7" t="s">
        <v>104</v>
      </c>
      <c r="CO35" s="13">
        <v>27312.49</v>
      </c>
      <c r="CP35" s="13">
        <v>2846.93</v>
      </c>
    </row>
    <row r="36" spans="1:94" ht="14.5" x14ac:dyDescent="0.35">
      <c r="A36" s="5" t="s">
        <v>38</v>
      </c>
      <c r="B36" s="12">
        <v>66656.55</v>
      </c>
      <c r="C36" s="12">
        <v>24.58</v>
      </c>
      <c r="D36" s="12">
        <v>2.81</v>
      </c>
      <c r="E36" s="12">
        <v>0.42</v>
      </c>
      <c r="F36" s="12">
        <v>73.650000000000006</v>
      </c>
      <c r="G36" s="12">
        <v>408.44</v>
      </c>
      <c r="H36" s="12">
        <v>61.01</v>
      </c>
      <c r="I36" s="12">
        <v>110.2</v>
      </c>
      <c r="J36" s="12">
        <v>90.28</v>
      </c>
      <c r="K36" s="12">
        <v>19.149999999999999</v>
      </c>
      <c r="L36" s="12">
        <v>190.42</v>
      </c>
      <c r="M36" s="12">
        <f t="shared" si="0"/>
        <v>1373.24</v>
      </c>
      <c r="N36" s="12">
        <v>1373.24</v>
      </c>
      <c r="X36" s="12">
        <v>189.08</v>
      </c>
      <c r="Y36" s="12">
        <v>781.98</v>
      </c>
      <c r="Z36" s="12">
        <v>443.81</v>
      </c>
      <c r="AA36" s="12">
        <v>25375.06</v>
      </c>
      <c r="AB36" s="12">
        <v>11590.93</v>
      </c>
      <c r="AC36" s="12">
        <v>706.69</v>
      </c>
      <c r="AD36" s="12">
        <v>3822.13</v>
      </c>
      <c r="AE36" s="12">
        <v>5195.87</v>
      </c>
      <c r="AF36" s="12">
        <v>3548.25</v>
      </c>
      <c r="AG36" s="12">
        <v>743.68</v>
      </c>
      <c r="AH36" s="12">
        <v>1633.85</v>
      </c>
      <c r="AI36" s="12">
        <v>1283.5999999999999</v>
      </c>
      <c r="AJ36" s="13">
        <f t="shared" si="1"/>
        <v>243.3</v>
      </c>
      <c r="AK36" s="12">
        <v>243.3</v>
      </c>
      <c r="AM36" s="12">
        <v>23.54</v>
      </c>
      <c r="AN36" s="12">
        <v>939.75</v>
      </c>
      <c r="AO36" s="12">
        <v>4026.21</v>
      </c>
      <c r="AP36" s="12">
        <v>173.75</v>
      </c>
      <c r="AQ36" s="12">
        <v>938.92</v>
      </c>
      <c r="AR36" s="12">
        <v>149.16999999999999</v>
      </c>
      <c r="AS36" s="12">
        <v>170.55</v>
      </c>
      <c r="AT36" s="12">
        <v>3.5</v>
      </c>
      <c r="AU36" s="12">
        <v>1.84</v>
      </c>
      <c r="AV36" s="12">
        <v>101.24</v>
      </c>
      <c r="AW36" s="12">
        <v>1.29</v>
      </c>
      <c r="AX36" s="12">
        <v>24.81</v>
      </c>
      <c r="AY36" s="12">
        <v>8.25</v>
      </c>
      <c r="AZ36" s="12">
        <v>4.4800000000000004</v>
      </c>
      <c r="BA36" s="12">
        <v>47.79</v>
      </c>
      <c r="BB36" s="12">
        <v>131.13</v>
      </c>
      <c r="BC36" s="12">
        <v>3.23</v>
      </c>
      <c r="BD36" s="12">
        <v>1.1399999999999999</v>
      </c>
      <c r="BE36" s="12">
        <v>3.31</v>
      </c>
      <c r="BF36" s="12">
        <v>203.68</v>
      </c>
      <c r="BG36" s="12">
        <v>118.98</v>
      </c>
      <c r="BH36" s="12">
        <v>519.04999999999995</v>
      </c>
      <c r="BI36" s="12">
        <v>563.04</v>
      </c>
      <c r="BJ36" s="12">
        <v>26.6</v>
      </c>
      <c r="BK36" s="12">
        <v>43.37</v>
      </c>
      <c r="BL36" s="12">
        <v>236.97</v>
      </c>
      <c r="BM36" s="12">
        <v>13.15</v>
      </c>
      <c r="BN36" s="12">
        <v>0.65</v>
      </c>
      <c r="BO36" s="12">
        <v>163.99</v>
      </c>
      <c r="BP36" s="12">
        <v>31.79</v>
      </c>
      <c r="BQ36" s="12">
        <v>12.97</v>
      </c>
      <c r="BR36" s="12">
        <v>3.06</v>
      </c>
      <c r="BS36" s="6">
        <v>1</v>
      </c>
      <c r="BT36" s="12">
        <v>9.93</v>
      </c>
      <c r="BU36" s="12">
        <v>2.62</v>
      </c>
      <c r="BV36" s="12">
        <v>2.27</v>
      </c>
      <c r="BW36" s="12">
        <v>28.71</v>
      </c>
      <c r="BX36" s="12">
        <v>8.02</v>
      </c>
      <c r="BY36" s="12">
        <v>0.36</v>
      </c>
      <c r="BZ36" s="6">
        <v>0</v>
      </c>
      <c r="CA36" s="12">
        <v>45.48</v>
      </c>
      <c r="CB36" s="6">
        <v>0</v>
      </c>
      <c r="CC36" s="12">
        <v>45.48</v>
      </c>
      <c r="CD36" s="6">
        <v>0</v>
      </c>
      <c r="CE36" s="12">
        <v>-1307.26</v>
      </c>
      <c r="CF36" s="12">
        <v>-1534.74</v>
      </c>
      <c r="CG36" s="6">
        <v>0</v>
      </c>
      <c r="CH36" s="6" t="s">
        <v>104</v>
      </c>
      <c r="CI36" s="6">
        <v>0</v>
      </c>
      <c r="CJ36" s="6" t="s">
        <v>104</v>
      </c>
      <c r="CK36" s="6">
        <v>0</v>
      </c>
      <c r="CL36" s="12">
        <v>227.48</v>
      </c>
      <c r="CM36" s="6" t="s">
        <v>104</v>
      </c>
      <c r="CN36" s="6" t="s">
        <v>104</v>
      </c>
      <c r="CO36" s="12">
        <v>65394.77</v>
      </c>
      <c r="CP36" s="12">
        <v>-1261.78</v>
      </c>
    </row>
    <row r="37" spans="1:94" ht="14.5" x14ac:dyDescent="0.35">
      <c r="A37" s="5" t="s">
        <v>39</v>
      </c>
      <c r="B37" s="13">
        <v>44118.75</v>
      </c>
      <c r="C37" s="13">
        <v>424.19</v>
      </c>
      <c r="D37" s="13">
        <v>22.08</v>
      </c>
      <c r="E37" s="13">
        <v>7.8</v>
      </c>
      <c r="F37" s="13">
        <v>112.53</v>
      </c>
      <c r="G37" s="13">
        <v>1630.46</v>
      </c>
      <c r="H37" s="13">
        <v>256.12</v>
      </c>
      <c r="I37" s="13">
        <v>368.44</v>
      </c>
      <c r="J37" s="13">
        <v>133.94</v>
      </c>
      <c r="K37" s="13">
        <v>23.87</v>
      </c>
      <c r="L37" s="13">
        <v>182.1</v>
      </c>
      <c r="M37" s="12">
        <f t="shared" si="0"/>
        <v>662.82</v>
      </c>
      <c r="N37" s="12">
        <v>662.82</v>
      </c>
      <c r="X37" s="13">
        <v>275.33</v>
      </c>
      <c r="Y37" s="13">
        <v>1115.29</v>
      </c>
      <c r="Z37" s="13">
        <v>366.77</v>
      </c>
      <c r="AA37" s="13">
        <v>1333.02</v>
      </c>
      <c r="AB37" s="13">
        <v>7133.02</v>
      </c>
      <c r="AC37" s="13">
        <v>639.6</v>
      </c>
      <c r="AD37" s="13">
        <v>1696.05</v>
      </c>
      <c r="AE37" s="13">
        <v>3727.46</v>
      </c>
      <c r="AF37" s="13">
        <v>4377.18</v>
      </c>
      <c r="AG37" s="13">
        <v>1135.32</v>
      </c>
      <c r="AH37" s="13">
        <v>1146.78</v>
      </c>
      <c r="AI37" s="13">
        <v>1497.7</v>
      </c>
      <c r="AJ37" s="13">
        <f t="shared" si="1"/>
        <v>341.89</v>
      </c>
      <c r="AK37" s="13">
        <v>341.89</v>
      </c>
      <c r="AM37" s="13">
        <v>24.57</v>
      </c>
      <c r="AN37" s="13">
        <v>271.72000000000003</v>
      </c>
      <c r="AO37" s="13">
        <v>9290.51</v>
      </c>
      <c r="AP37" s="13">
        <v>493.81</v>
      </c>
      <c r="AQ37" s="13">
        <v>971.66</v>
      </c>
      <c r="AR37" s="13">
        <v>265.97000000000003</v>
      </c>
      <c r="AS37" s="13">
        <v>259.60000000000002</v>
      </c>
      <c r="AT37" s="13">
        <v>23.13</v>
      </c>
      <c r="AU37" s="13">
        <v>8.8000000000000007</v>
      </c>
      <c r="AV37" s="7">
        <v>248</v>
      </c>
      <c r="AW37" s="13">
        <v>16.38</v>
      </c>
      <c r="AX37" s="13">
        <v>267.24</v>
      </c>
      <c r="AY37" s="13">
        <v>13.28</v>
      </c>
      <c r="AZ37" s="13">
        <v>13.07</v>
      </c>
      <c r="BA37" s="13">
        <v>71.59</v>
      </c>
      <c r="BB37" s="13">
        <v>145.44</v>
      </c>
      <c r="BC37" s="13">
        <v>24.74</v>
      </c>
      <c r="BD37" s="13">
        <v>8.44</v>
      </c>
      <c r="BE37" s="13">
        <v>10.99</v>
      </c>
      <c r="BF37" s="13">
        <v>295.38</v>
      </c>
      <c r="BG37" s="13">
        <v>138.07</v>
      </c>
      <c r="BH37" s="13">
        <v>593.59</v>
      </c>
      <c r="BI37" s="13">
        <v>434.85</v>
      </c>
      <c r="BJ37" s="13">
        <v>67.95</v>
      </c>
      <c r="BK37" s="13">
        <v>57.37</v>
      </c>
      <c r="BL37" s="13">
        <v>280.61</v>
      </c>
      <c r="BM37" s="13">
        <v>17.59</v>
      </c>
      <c r="BN37" s="13">
        <v>8.27</v>
      </c>
      <c r="BO37" s="13">
        <v>315.43</v>
      </c>
      <c r="BP37" s="13">
        <v>533.47</v>
      </c>
      <c r="BQ37" s="13">
        <v>58.89</v>
      </c>
      <c r="BR37" s="13">
        <v>91.92</v>
      </c>
      <c r="BS37" s="13">
        <v>38.68</v>
      </c>
      <c r="BT37" s="13">
        <v>29.09</v>
      </c>
      <c r="BU37" s="13">
        <v>26.25</v>
      </c>
      <c r="BV37" s="13">
        <v>13.31</v>
      </c>
      <c r="BW37" s="13">
        <v>39.5</v>
      </c>
      <c r="BX37" s="13">
        <v>39.04</v>
      </c>
      <c r="BY37" s="13">
        <v>0.84</v>
      </c>
      <c r="BZ37" s="7">
        <v>0</v>
      </c>
      <c r="CA37" s="13">
        <v>4101.45</v>
      </c>
      <c r="CB37" s="13">
        <v>41.63</v>
      </c>
      <c r="CC37" s="13">
        <v>4054.21</v>
      </c>
      <c r="CD37" s="13">
        <v>5.61</v>
      </c>
      <c r="CE37" s="13">
        <v>7606.32</v>
      </c>
      <c r="CF37" s="13">
        <v>602.44000000000005</v>
      </c>
      <c r="CG37" s="7">
        <v>0</v>
      </c>
      <c r="CH37" s="7" t="s">
        <v>104</v>
      </c>
      <c r="CI37" s="7">
        <v>0</v>
      </c>
      <c r="CJ37" s="7" t="s">
        <v>104</v>
      </c>
      <c r="CK37" s="7">
        <v>0</v>
      </c>
      <c r="CL37" s="13">
        <v>7003.89</v>
      </c>
      <c r="CM37" s="7" t="s">
        <v>104</v>
      </c>
      <c r="CN37" s="7" t="s">
        <v>104</v>
      </c>
      <c r="CO37" s="13">
        <v>55826.52</v>
      </c>
      <c r="CP37" s="13">
        <v>11707.77</v>
      </c>
    </row>
    <row r="38" spans="1:94" ht="14.5" x14ac:dyDescent="0.35">
      <c r="A38" s="5" t="s">
        <v>40</v>
      </c>
      <c r="B38" s="12">
        <v>72150.94</v>
      </c>
      <c r="C38" s="12">
        <v>33.36</v>
      </c>
      <c r="D38" s="12">
        <v>7.92</v>
      </c>
      <c r="E38" s="12">
        <v>2.78</v>
      </c>
      <c r="F38" s="12">
        <v>35.17</v>
      </c>
      <c r="G38" s="12">
        <v>160.63</v>
      </c>
      <c r="H38" s="12">
        <v>25.81</v>
      </c>
      <c r="I38" s="12">
        <v>21.03</v>
      </c>
      <c r="J38" s="12">
        <v>33.82</v>
      </c>
      <c r="K38" s="12">
        <v>88.56</v>
      </c>
      <c r="L38" s="12">
        <v>91.63</v>
      </c>
      <c r="M38" s="12">
        <f t="shared" si="0"/>
        <v>260.45</v>
      </c>
      <c r="N38" s="12">
        <v>260.45</v>
      </c>
      <c r="X38" s="12">
        <v>258.33</v>
      </c>
      <c r="Y38" s="12">
        <v>264.08999999999997</v>
      </c>
      <c r="Z38" s="12">
        <v>181.19</v>
      </c>
      <c r="AA38" s="12">
        <v>192.75</v>
      </c>
      <c r="AB38" s="12">
        <v>917.1</v>
      </c>
      <c r="AC38" s="12">
        <v>21881.18</v>
      </c>
      <c r="AD38" s="12">
        <v>6402.16</v>
      </c>
      <c r="AE38" s="12">
        <v>3747.23</v>
      </c>
      <c r="AF38" s="12">
        <v>3714.56</v>
      </c>
      <c r="AG38" s="12">
        <v>1814.38</v>
      </c>
      <c r="AH38" s="12">
        <v>832.89</v>
      </c>
      <c r="AI38" s="12">
        <v>2454.96</v>
      </c>
      <c r="AJ38" s="13">
        <f t="shared" si="1"/>
        <v>565.41999999999996</v>
      </c>
      <c r="AK38" s="12">
        <v>565.41999999999996</v>
      </c>
      <c r="AM38" s="12">
        <v>55.45</v>
      </c>
      <c r="AN38" s="12">
        <v>139.33000000000001</v>
      </c>
      <c r="AO38" s="12">
        <v>2632.17</v>
      </c>
      <c r="AP38" s="12">
        <v>325.98</v>
      </c>
      <c r="AQ38" s="12">
        <v>2401.85</v>
      </c>
      <c r="AR38" s="12">
        <v>589.86</v>
      </c>
      <c r="AS38" s="6">
        <v>225</v>
      </c>
      <c r="AT38" s="12">
        <v>26.77</v>
      </c>
      <c r="AU38" s="12">
        <v>45.54</v>
      </c>
      <c r="AV38" s="12">
        <v>281.54000000000002</v>
      </c>
      <c r="AW38" s="12">
        <v>107.33</v>
      </c>
      <c r="AX38" s="12">
        <v>232.19</v>
      </c>
      <c r="AY38" s="12">
        <v>732.73</v>
      </c>
      <c r="AZ38" s="12">
        <v>428.54</v>
      </c>
      <c r="BA38" s="12">
        <v>2816.78</v>
      </c>
      <c r="BB38" s="12">
        <v>5654.68</v>
      </c>
      <c r="BC38" s="12">
        <v>155.65</v>
      </c>
      <c r="BD38" s="12">
        <v>115.15</v>
      </c>
      <c r="BE38" s="12">
        <v>127.27</v>
      </c>
      <c r="BF38" s="12">
        <v>271.24</v>
      </c>
      <c r="BG38" s="12">
        <v>605.33000000000004</v>
      </c>
      <c r="BH38" s="12">
        <v>1226.1199999999999</v>
      </c>
      <c r="BI38" s="12">
        <v>1926.33</v>
      </c>
      <c r="BJ38" s="12">
        <v>367.66</v>
      </c>
      <c r="BK38" s="12">
        <v>265.95999999999998</v>
      </c>
      <c r="BL38" s="12">
        <v>911.95</v>
      </c>
      <c r="BM38" s="12">
        <v>97.09</v>
      </c>
      <c r="BN38" s="12">
        <v>33.799999999999997</v>
      </c>
      <c r="BO38" s="12">
        <v>1006.62</v>
      </c>
      <c r="BP38" s="12">
        <v>1098.3</v>
      </c>
      <c r="BQ38" s="12">
        <v>421.94</v>
      </c>
      <c r="BR38" s="12">
        <v>1298.7</v>
      </c>
      <c r="BS38" s="12">
        <v>287.92</v>
      </c>
      <c r="BT38" s="12">
        <v>447.05</v>
      </c>
      <c r="BU38" s="12">
        <v>152.96</v>
      </c>
      <c r="BV38" s="12">
        <v>119.86</v>
      </c>
      <c r="BW38" s="12">
        <v>472.85</v>
      </c>
      <c r="BX38" s="12">
        <v>57.3</v>
      </c>
      <c r="BY38" s="12">
        <v>0.8</v>
      </c>
      <c r="BZ38" s="6">
        <v>0</v>
      </c>
      <c r="CA38" s="12">
        <v>33632.449999999997</v>
      </c>
      <c r="CB38" s="12">
        <v>497.07</v>
      </c>
      <c r="CC38" s="12">
        <v>33131.32</v>
      </c>
      <c r="CD38" s="12">
        <v>4.05</v>
      </c>
      <c r="CE38" s="12">
        <v>63796.07</v>
      </c>
      <c r="CF38" s="12">
        <v>17824.849999999999</v>
      </c>
      <c r="CG38" s="6">
        <v>0</v>
      </c>
      <c r="CH38" s="6" t="s">
        <v>104</v>
      </c>
      <c r="CI38" s="6">
        <v>0</v>
      </c>
      <c r="CJ38" s="6" t="s">
        <v>104</v>
      </c>
      <c r="CK38" s="6">
        <v>0</v>
      </c>
      <c r="CL38" s="12">
        <v>45971.22</v>
      </c>
      <c r="CM38" s="6" t="s">
        <v>104</v>
      </c>
      <c r="CN38" s="6" t="s">
        <v>104</v>
      </c>
      <c r="CO38" s="12">
        <v>169579.45</v>
      </c>
      <c r="CP38" s="12">
        <v>97428.51</v>
      </c>
    </row>
    <row r="39" spans="1:94" ht="14.5" x14ac:dyDescent="0.35">
      <c r="A39" s="5" t="s">
        <v>41</v>
      </c>
      <c r="B39" s="13">
        <v>69489.69</v>
      </c>
      <c r="C39" s="13">
        <v>117.93</v>
      </c>
      <c r="D39" s="13">
        <v>9.33</v>
      </c>
      <c r="E39" s="13">
        <v>2.27</v>
      </c>
      <c r="F39" s="13">
        <v>57.99</v>
      </c>
      <c r="G39" s="13">
        <v>599.21</v>
      </c>
      <c r="H39" s="13">
        <v>48.44</v>
      </c>
      <c r="I39" s="13">
        <v>73.09</v>
      </c>
      <c r="J39" s="13">
        <v>107.74</v>
      </c>
      <c r="K39" s="13">
        <v>26.45</v>
      </c>
      <c r="L39" s="13">
        <v>134.49</v>
      </c>
      <c r="M39" s="12">
        <f t="shared" si="0"/>
        <v>320.41000000000003</v>
      </c>
      <c r="N39" s="12">
        <v>320.41000000000003</v>
      </c>
      <c r="X39" s="13">
        <v>224.17</v>
      </c>
      <c r="Y39" s="13">
        <v>546.30999999999995</v>
      </c>
      <c r="Z39" s="13">
        <v>204.41</v>
      </c>
      <c r="AA39" s="13">
        <v>822.78</v>
      </c>
      <c r="AB39" s="13">
        <v>1629.72</v>
      </c>
      <c r="AC39" s="13">
        <v>3455.73</v>
      </c>
      <c r="AD39" s="13">
        <v>15433.13</v>
      </c>
      <c r="AE39" s="13">
        <v>5864.46</v>
      </c>
      <c r="AF39" s="13">
        <v>8075.83</v>
      </c>
      <c r="AG39" s="13">
        <v>1707.57</v>
      </c>
      <c r="AH39" s="13">
        <v>642.55999999999995</v>
      </c>
      <c r="AI39" s="13">
        <v>2616.42</v>
      </c>
      <c r="AJ39" s="13">
        <f t="shared" si="1"/>
        <v>2123.0700000000002</v>
      </c>
      <c r="AK39" s="13">
        <v>2123.0700000000002</v>
      </c>
      <c r="AM39" s="13">
        <v>81.599999999999994</v>
      </c>
      <c r="AN39" s="13">
        <v>302.70999999999998</v>
      </c>
      <c r="AO39" s="13">
        <v>12955.07</v>
      </c>
      <c r="AP39" s="13">
        <v>652.92999999999995</v>
      </c>
      <c r="AQ39" s="13">
        <v>1751.79</v>
      </c>
      <c r="AR39" s="13">
        <v>504.76</v>
      </c>
      <c r="AS39" s="13">
        <v>429.64</v>
      </c>
      <c r="AT39" s="13">
        <v>23.72</v>
      </c>
      <c r="AU39" s="13">
        <v>34.79</v>
      </c>
      <c r="AV39" s="13">
        <v>325.52</v>
      </c>
      <c r="AW39" s="13">
        <v>50.53</v>
      </c>
      <c r="AX39" s="13">
        <v>433.24</v>
      </c>
      <c r="AY39" s="13">
        <v>47.35</v>
      </c>
      <c r="AZ39" s="13">
        <v>91.87</v>
      </c>
      <c r="BA39" s="13">
        <v>761.44</v>
      </c>
      <c r="BB39" s="13">
        <v>824.53</v>
      </c>
      <c r="BC39" s="13">
        <v>12.16</v>
      </c>
      <c r="BD39" s="13">
        <v>11.99</v>
      </c>
      <c r="BE39" s="13">
        <v>19.579999999999998</v>
      </c>
      <c r="BF39" s="13">
        <v>667.03</v>
      </c>
      <c r="BG39" s="13">
        <v>407.76</v>
      </c>
      <c r="BH39" s="13">
        <v>635.58000000000004</v>
      </c>
      <c r="BI39" s="13">
        <v>1077.93</v>
      </c>
      <c r="BJ39" s="13">
        <v>56.48</v>
      </c>
      <c r="BK39" s="13">
        <v>161.74</v>
      </c>
      <c r="BL39" s="13">
        <v>606.94000000000005</v>
      </c>
      <c r="BM39" s="13">
        <v>28.65</v>
      </c>
      <c r="BN39" s="13">
        <v>10.37</v>
      </c>
      <c r="BO39" s="13">
        <v>437.04</v>
      </c>
      <c r="BP39" s="13">
        <v>289.73</v>
      </c>
      <c r="BQ39" s="13">
        <v>114.32</v>
      </c>
      <c r="BR39" s="13">
        <v>187.28</v>
      </c>
      <c r="BS39" s="13">
        <v>74.849999999999994</v>
      </c>
      <c r="BT39" s="13">
        <v>99.52</v>
      </c>
      <c r="BU39" s="13">
        <v>61.24</v>
      </c>
      <c r="BV39" s="13">
        <v>17.66</v>
      </c>
      <c r="BW39" s="13">
        <v>185.93</v>
      </c>
      <c r="BX39" s="13">
        <v>210.15</v>
      </c>
      <c r="BY39" s="13">
        <v>0.8</v>
      </c>
      <c r="BZ39" s="7">
        <v>0</v>
      </c>
      <c r="CA39" s="13">
        <v>18155.43</v>
      </c>
      <c r="CB39" s="13">
        <v>15.29</v>
      </c>
      <c r="CC39" s="13">
        <v>18138.830000000002</v>
      </c>
      <c r="CD39" s="13">
        <v>1.31</v>
      </c>
      <c r="CE39" s="13">
        <v>18664.669999999998</v>
      </c>
      <c r="CF39" s="13">
        <v>3780.33</v>
      </c>
      <c r="CG39" s="7">
        <v>0</v>
      </c>
      <c r="CH39" s="7" t="s">
        <v>104</v>
      </c>
      <c r="CI39" s="7">
        <v>0</v>
      </c>
      <c r="CJ39" s="7" t="s">
        <v>104</v>
      </c>
      <c r="CK39" s="7">
        <v>0</v>
      </c>
      <c r="CL39" s="13">
        <v>14884.33</v>
      </c>
      <c r="CM39" s="7" t="s">
        <v>104</v>
      </c>
      <c r="CN39" s="7" t="s">
        <v>104</v>
      </c>
      <c r="CO39" s="13">
        <v>106309.78</v>
      </c>
      <c r="CP39" s="13">
        <v>36820.089999999997</v>
      </c>
    </row>
    <row r="40" spans="1:94" ht="14.5" x14ac:dyDescent="0.35">
      <c r="A40" s="5" t="s">
        <v>42</v>
      </c>
      <c r="B40" s="12">
        <v>56311.89</v>
      </c>
      <c r="C40" s="12">
        <v>586.1</v>
      </c>
      <c r="D40" s="12">
        <v>47.1</v>
      </c>
      <c r="E40" s="12">
        <v>13.79</v>
      </c>
      <c r="F40" s="12">
        <v>194.08</v>
      </c>
      <c r="G40" s="12">
        <v>778.75</v>
      </c>
      <c r="H40" s="12">
        <v>133.56</v>
      </c>
      <c r="I40" s="12">
        <v>123.17</v>
      </c>
      <c r="J40" s="12">
        <v>279.23</v>
      </c>
      <c r="K40" s="12">
        <v>78.98</v>
      </c>
      <c r="L40" s="12">
        <v>328.47</v>
      </c>
      <c r="M40" s="12">
        <f t="shared" si="0"/>
        <v>443.57</v>
      </c>
      <c r="N40" s="12">
        <v>443.57</v>
      </c>
      <c r="X40" s="12">
        <v>239.5</v>
      </c>
      <c r="Y40" s="12">
        <v>811.75</v>
      </c>
      <c r="Z40" s="12">
        <v>352.64</v>
      </c>
      <c r="AA40" s="12">
        <v>1041.54</v>
      </c>
      <c r="AB40" s="12">
        <v>2221.4499999999998</v>
      </c>
      <c r="AC40" s="12">
        <v>1193.06</v>
      </c>
      <c r="AD40" s="12">
        <v>1840.3</v>
      </c>
      <c r="AE40" s="12">
        <v>16979.91</v>
      </c>
      <c r="AF40" s="12">
        <v>7412.53</v>
      </c>
      <c r="AG40" s="12">
        <v>2035.67</v>
      </c>
      <c r="AH40" s="12">
        <v>325.52999999999997</v>
      </c>
      <c r="AI40" s="12">
        <v>3689.43</v>
      </c>
      <c r="AJ40" s="13">
        <f t="shared" si="1"/>
        <v>741.71</v>
      </c>
      <c r="AK40" s="12">
        <v>741.71</v>
      </c>
      <c r="AM40" s="12">
        <v>84.75</v>
      </c>
      <c r="AN40" s="12">
        <v>519.19000000000005</v>
      </c>
      <c r="AO40" s="12">
        <v>4977.1400000000003</v>
      </c>
      <c r="AP40" s="12">
        <v>877.72</v>
      </c>
      <c r="AQ40" s="12">
        <v>1281.29</v>
      </c>
      <c r="AR40" s="12">
        <v>353.1</v>
      </c>
      <c r="AS40" s="12">
        <v>295.51</v>
      </c>
      <c r="AT40" s="12">
        <v>67.55</v>
      </c>
      <c r="AU40" s="12">
        <v>44.3</v>
      </c>
      <c r="AV40" s="12">
        <v>669.52</v>
      </c>
      <c r="AW40" s="12">
        <v>23.19</v>
      </c>
      <c r="AX40" s="12">
        <v>169.71</v>
      </c>
      <c r="AY40" s="12">
        <v>29.58</v>
      </c>
      <c r="AZ40" s="12">
        <v>31.83</v>
      </c>
      <c r="BA40" s="12">
        <v>175.9</v>
      </c>
      <c r="BB40" s="12">
        <v>326.77</v>
      </c>
      <c r="BC40" s="12">
        <v>35.229999999999997</v>
      </c>
      <c r="BD40" s="12">
        <v>23.05</v>
      </c>
      <c r="BE40" s="12">
        <v>17.62</v>
      </c>
      <c r="BF40" s="12">
        <v>241.87</v>
      </c>
      <c r="BG40" s="12">
        <v>322.52</v>
      </c>
      <c r="BH40" s="12">
        <v>565.08000000000004</v>
      </c>
      <c r="BI40" s="12">
        <v>1083.5999999999999</v>
      </c>
      <c r="BJ40" s="12">
        <v>41.45</v>
      </c>
      <c r="BK40" s="12">
        <v>118.63</v>
      </c>
      <c r="BL40" s="12">
        <v>814.53</v>
      </c>
      <c r="BM40" s="12">
        <v>35.29</v>
      </c>
      <c r="BN40" s="12">
        <v>19.079999999999998</v>
      </c>
      <c r="BO40" s="12">
        <v>485.44</v>
      </c>
      <c r="BP40" s="12">
        <v>154.32</v>
      </c>
      <c r="BQ40" s="12">
        <v>57.86</v>
      </c>
      <c r="BR40" s="12">
        <v>143.02000000000001</v>
      </c>
      <c r="BS40" s="12">
        <v>72.91</v>
      </c>
      <c r="BT40" s="12">
        <v>82.98</v>
      </c>
      <c r="BU40" s="6">
        <v>41</v>
      </c>
      <c r="BV40" s="12">
        <v>49.52</v>
      </c>
      <c r="BW40" s="12">
        <v>49.52</v>
      </c>
      <c r="BX40" s="12">
        <v>37.74</v>
      </c>
      <c r="BY40" s="12">
        <v>0.78</v>
      </c>
      <c r="BZ40" s="6">
        <v>0</v>
      </c>
      <c r="CA40" s="12">
        <v>1971.62</v>
      </c>
      <c r="CB40" s="12">
        <v>58.09</v>
      </c>
      <c r="CC40" s="12">
        <v>1913.01</v>
      </c>
      <c r="CD40" s="12">
        <v>0.53</v>
      </c>
      <c r="CE40" s="12">
        <v>50342.6</v>
      </c>
      <c r="CF40" s="12">
        <v>2149.4899999999998</v>
      </c>
      <c r="CG40" s="6">
        <v>0</v>
      </c>
      <c r="CH40" s="6" t="s">
        <v>104</v>
      </c>
      <c r="CI40" s="6">
        <v>0</v>
      </c>
      <c r="CJ40" s="6" t="s">
        <v>104</v>
      </c>
      <c r="CK40" s="6">
        <v>0</v>
      </c>
      <c r="CL40" s="12">
        <v>48193.11</v>
      </c>
      <c r="CM40" s="6" t="s">
        <v>104</v>
      </c>
      <c r="CN40" s="6" t="s">
        <v>104</v>
      </c>
      <c r="CO40" s="12">
        <v>108626.12</v>
      </c>
      <c r="CP40" s="12">
        <v>52314.22</v>
      </c>
    </row>
    <row r="41" spans="1:94" ht="14.5" x14ac:dyDescent="0.35">
      <c r="A41" s="5" t="s">
        <v>43</v>
      </c>
      <c r="B41" s="13">
        <v>45848.67</v>
      </c>
      <c r="C41" s="13">
        <v>94.99</v>
      </c>
      <c r="D41" s="13">
        <v>11.47</v>
      </c>
      <c r="E41" s="13">
        <v>2.14</v>
      </c>
      <c r="F41" s="13">
        <v>12.56</v>
      </c>
      <c r="G41" s="13">
        <v>54.47</v>
      </c>
      <c r="H41" s="13">
        <v>30.81</v>
      </c>
      <c r="I41" s="13">
        <v>19.010000000000002</v>
      </c>
      <c r="J41" s="13">
        <v>6.57</v>
      </c>
      <c r="K41" s="13">
        <v>1.29</v>
      </c>
      <c r="L41" s="13">
        <v>17.93</v>
      </c>
      <c r="M41" s="12">
        <f t="shared" si="0"/>
        <v>196.53</v>
      </c>
      <c r="N41" s="12">
        <v>196.53</v>
      </c>
      <c r="X41" s="13">
        <v>6.17</v>
      </c>
      <c r="Y41" s="13">
        <v>294.37</v>
      </c>
      <c r="Z41" s="13">
        <v>173.13</v>
      </c>
      <c r="AA41" s="13">
        <v>81.94</v>
      </c>
      <c r="AB41" s="13">
        <v>467.52</v>
      </c>
      <c r="AC41" s="13">
        <v>260.83999999999997</v>
      </c>
      <c r="AD41" s="13">
        <v>698.42</v>
      </c>
      <c r="AE41" s="13">
        <v>1685.12</v>
      </c>
      <c r="AF41" s="13">
        <v>31330.1</v>
      </c>
      <c r="AG41" s="13">
        <v>327.08</v>
      </c>
      <c r="AH41" s="13">
        <v>103.35</v>
      </c>
      <c r="AI41" s="13">
        <v>571.5</v>
      </c>
      <c r="AJ41" s="13">
        <f t="shared" si="1"/>
        <v>58.79</v>
      </c>
      <c r="AK41" s="13">
        <v>58.79</v>
      </c>
      <c r="AM41" s="13">
        <v>5.64</v>
      </c>
      <c r="AN41" s="13">
        <v>76.36</v>
      </c>
      <c r="AO41" s="13">
        <v>216.01</v>
      </c>
      <c r="AP41" s="13">
        <v>3976.71</v>
      </c>
      <c r="AQ41" s="13">
        <v>579.41</v>
      </c>
      <c r="AR41" s="13">
        <v>111.8</v>
      </c>
      <c r="AS41" s="13">
        <v>1275.32</v>
      </c>
      <c r="AT41" s="13">
        <v>11.18</v>
      </c>
      <c r="AU41" s="13">
        <v>48.98</v>
      </c>
      <c r="AV41" s="13">
        <v>247.03</v>
      </c>
      <c r="AW41" s="13">
        <v>17.059999999999999</v>
      </c>
      <c r="AX41" s="13">
        <v>40.409999999999997</v>
      </c>
      <c r="AY41" s="13">
        <v>4.28</v>
      </c>
      <c r="AZ41" s="13">
        <v>6.87</v>
      </c>
      <c r="BA41" s="13">
        <v>16.78</v>
      </c>
      <c r="BB41" s="13">
        <v>152.06</v>
      </c>
      <c r="BC41" s="13">
        <v>19.75</v>
      </c>
      <c r="BD41" s="13">
        <v>9.4600000000000009</v>
      </c>
      <c r="BE41" s="13">
        <v>23.67</v>
      </c>
      <c r="BF41" s="13">
        <v>120.1</v>
      </c>
      <c r="BG41" s="13">
        <v>191.47</v>
      </c>
      <c r="BH41" s="13">
        <v>84.24</v>
      </c>
      <c r="BI41" s="13">
        <v>1079.1600000000001</v>
      </c>
      <c r="BJ41" s="13">
        <v>25.49</v>
      </c>
      <c r="BK41" s="13">
        <v>93.1</v>
      </c>
      <c r="BL41" s="13">
        <v>387.2</v>
      </c>
      <c r="BM41" s="13">
        <v>25.98</v>
      </c>
      <c r="BN41" s="13">
        <v>9.17</v>
      </c>
      <c r="BO41" s="13">
        <v>273.77999999999997</v>
      </c>
      <c r="BP41" s="13">
        <v>76.83</v>
      </c>
      <c r="BQ41" s="13">
        <v>37.68</v>
      </c>
      <c r="BR41" s="13">
        <v>28.55</v>
      </c>
      <c r="BS41" s="13">
        <v>15.73</v>
      </c>
      <c r="BT41" s="13">
        <v>8.84</v>
      </c>
      <c r="BU41" s="13">
        <v>18.03</v>
      </c>
      <c r="BV41" s="13">
        <v>19.399999999999999</v>
      </c>
      <c r="BW41" s="13">
        <v>3.62</v>
      </c>
      <c r="BX41" s="13">
        <v>5.28</v>
      </c>
      <c r="BY41" s="13">
        <v>0.18</v>
      </c>
      <c r="BZ41" s="7">
        <v>0</v>
      </c>
      <c r="CA41" s="13">
        <v>34581.24</v>
      </c>
      <c r="CB41" s="13">
        <v>9.4600000000000009</v>
      </c>
      <c r="CC41" s="13">
        <v>34570.879999999997</v>
      </c>
      <c r="CD41" s="13">
        <v>0.9</v>
      </c>
      <c r="CE41" s="13">
        <v>31679.11</v>
      </c>
      <c r="CF41" s="13">
        <v>-903.95</v>
      </c>
      <c r="CG41" s="7">
        <v>0</v>
      </c>
      <c r="CH41" s="7" t="s">
        <v>104</v>
      </c>
      <c r="CI41" s="7">
        <v>0</v>
      </c>
      <c r="CJ41" s="7" t="s">
        <v>104</v>
      </c>
      <c r="CK41" s="7">
        <v>0</v>
      </c>
      <c r="CL41" s="13">
        <v>32583.06</v>
      </c>
      <c r="CM41" s="7" t="s">
        <v>104</v>
      </c>
      <c r="CN41" s="7" t="s">
        <v>104</v>
      </c>
      <c r="CO41" s="13">
        <v>112109.02</v>
      </c>
      <c r="CP41" s="13">
        <v>66260.350000000006</v>
      </c>
    </row>
    <row r="42" spans="1:94" ht="14.5" x14ac:dyDescent="0.35">
      <c r="A42" s="5" t="s">
        <v>44</v>
      </c>
      <c r="B42" s="12">
        <v>35470.49</v>
      </c>
      <c r="C42" s="12">
        <v>25.13</v>
      </c>
      <c r="D42" s="12">
        <v>14.81</v>
      </c>
      <c r="E42" s="12">
        <v>1.25</v>
      </c>
      <c r="F42" s="12">
        <v>24.2</v>
      </c>
      <c r="G42" s="12">
        <v>16.62</v>
      </c>
      <c r="H42" s="12">
        <v>11.53</v>
      </c>
      <c r="I42" s="12">
        <v>9.17</v>
      </c>
      <c r="J42" s="12">
        <v>2.0299999999999998</v>
      </c>
      <c r="K42" s="12">
        <v>0.69</v>
      </c>
      <c r="L42" s="12">
        <v>4.1399999999999997</v>
      </c>
      <c r="M42" s="12">
        <f t="shared" si="0"/>
        <v>7.25</v>
      </c>
      <c r="N42" s="12">
        <v>7.25</v>
      </c>
      <c r="X42" s="12">
        <v>2.2799999999999998</v>
      </c>
      <c r="Y42" s="12">
        <v>81.44</v>
      </c>
      <c r="Z42" s="12">
        <v>7.61</v>
      </c>
      <c r="AA42" s="12">
        <v>35.28</v>
      </c>
      <c r="AB42" s="12">
        <v>233.84</v>
      </c>
      <c r="AC42" s="12">
        <v>162.19</v>
      </c>
      <c r="AD42" s="12">
        <v>140.25</v>
      </c>
      <c r="AE42" s="12">
        <v>195.69</v>
      </c>
      <c r="AF42" s="12">
        <v>406.48</v>
      </c>
      <c r="AG42" s="12">
        <v>24097.62</v>
      </c>
      <c r="AH42" s="12">
        <v>135.30000000000001</v>
      </c>
      <c r="AI42" s="12">
        <v>2475.63</v>
      </c>
      <c r="AJ42" s="13">
        <f t="shared" si="1"/>
        <v>32.979999999999997</v>
      </c>
      <c r="AK42" s="12">
        <v>32.979999999999997</v>
      </c>
      <c r="AM42" s="12">
        <v>5.66</v>
      </c>
      <c r="AN42" s="12">
        <v>52.77</v>
      </c>
      <c r="AO42" s="12">
        <v>190.25</v>
      </c>
      <c r="AP42" s="12">
        <v>253.77</v>
      </c>
      <c r="AQ42" s="12">
        <v>168.05</v>
      </c>
      <c r="AR42" s="12">
        <v>89.57</v>
      </c>
      <c r="AS42" s="12">
        <v>1260.55</v>
      </c>
      <c r="AT42" s="12">
        <v>106.59</v>
      </c>
      <c r="AU42" s="12">
        <v>1898.03</v>
      </c>
      <c r="AV42" s="12">
        <v>399.64</v>
      </c>
      <c r="AW42" s="12">
        <v>5.79</v>
      </c>
      <c r="AX42" s="12">
        <v>34.76</v>
      </c>
      <c r="AY42" s="12">
        <v>9.44</v>
      </c>
      <c r="AZ42" s="12">
        <v>0.47</v>
      </c>
      <c r="BA42" s="12">
        <v>4.09</v>
      </c>
      <c r="BB42" s="12">
        <v>84.66</v>
      </c>
      <c r="BC42" s="12">
        <v>5.65</v>
      </c>
      <c r="BD42" s="12">
        <v>1.01</v>
      </c>
      <c r="BE42" s="12">
        <v>3.39</v>
      </c>
      <c r="BF42" s="12">
        <v>75.540000000000006</v>
      </c>
      <c r="BG42" s="12">
        <v>34.21</v>
      </c>
      <c r="BH42" s="12">
        <v>83.09</v>
      </c>
      <c r="BI42" s="12">
        <v>359.62</v>
      </c>
      <c r="BJ42" s="12">
        <v>4.9000000000000004</v>
      </c>
      <c r="BK42" s="12">
        <v>77.569999999999993</v>
      </c>
      <c r="BL42" s="12">
        <v>466.77</v>
      </c>
      <c r="BM42" s="12">
        <v>6.81</v>
      </c>
      <c r="BN42" s="12">
        <v>6.96</v>
      </c>
      <c r="BO42" s="12">
        <v>88.78</v>
      </c>
      <c r="BP42" s="12">
        <v>1430.39</v>
      </c>
      <c r="BQ42" s="12">
        <v>10.93</v>
      </c>
      <c r="BR42" s="12">
        <v>65.86</v>
      </c>
      <c r="BS42" s="12">
        <v>3.91</v>
      </c>
      <c r="BT42" s="12">
        <v>8.01</v>
      </c>
      <c r="BU42" s="12">
        <v>13.72</v>
      </c>
      <c r="BV42" s="12">
        <v>8.4700000000000006</v>
      </c>
      <c r="BW42" s="12">
        <v>7.96</v>
      </c>
      <c r="BX42" s="12">
        <v>19.32</v>
      </c>
      <c r="BY42" s="12">
        <v>0.11</v>
      </c>
      <c r="BZ42" s="6">
        <v>0</v>
      </c>
      <c r="CA42" s="12">
        <v>11806.51</v>
      </c>
      <c r="CB42" s="12">
        <v>197.04</v>
      </c>
      <c r="CC42" s="12">
        <v>11605.08</v>
      </c>
      <c r="CD42" s="12">
        <v>4.4000000000000004</v>
      </c>
      <c r="CE42" s="12">
        <v>26970.46</v>
      </c>
      <c r="CF42" s="12">
        <v>-12687.14</v>
      </c>
      <c r="CG42" s="6">
        <v>0</v>
      </c>
      <c r="CH42" s="6" t="s">
        <v>104</v>
      </c>
      <c r="CI42" s="6">
        <v>0</v>
      </c>
      <c r="CJ42" s="6" t="s">
        <v>104</v>
      </c>
      <c r="CK42" s="6">
        <v>0</v>
      </c>
      <c r="CL42" s="12">
        <v>39657.599999999999</v>
      </c>
      <c r="CM42" s="6" t="s">
        <v>104</v>
      </c>
      <c r="CN42" s="6" t="s">
        <v>104</v>
      </c>
      <c r="CO42" s="12">
        <v>74247.45</v>
      </c>
      <c r="CP42" s="12">
        <v>38776.97</v>
      </c>
    </row>
    <row r="43" spans="1:94" ht="14.5" x14ac:dyDescent="0.35">
      <c r="A43" s="5" t="s">
        <v>45</v>
      </c>
      <c r="B43" s="13">
        <v>19933.439999999999</v>
      </c>
      <c r="C43" s="13">
        <v>27.67</v>
      </c>
      <c r="D43" s="13">
        <v>2.5</v>
      </c>
      <c r="E43" s="13">
        <v>3.12</v>
      </c>
      <c r="F43" s="13">
        <v>11.45</v>
      </c>
      <c r="G43" s="13">
        <v>312.93</v>
      </c>
      <c r="H43" s="13">
        <v>159.44999999999999</v>
      </c>
      <c r="I43" s="13">
        <v>113.03</v>
      </c>
      <c r="J43" s="13">
        <v>48.19</v>
      </c>
      <c r="K43" s="13">
        <v>19.45</v>
      </c>
      <c r="L43" s="13">
        <v>13.31</v>
      </c>
      <c r="M43" s="12">
        <f t="shared" si="0"/>
        <v>320.85000000000002</v>
      </c>
      <c r="N43" s="12">
        <v>320.85000000000002</v>
      </c>
      <c r="X43" s="13">
        <v>504.11</v>
      </c>
      <c r="Y43" s="13">
        <v>126.43</v>
      </c>
      <c r="Z43" s="13">
        <v>72.48</v>
      </c>
      <c r="AA43" s="13">
        <v>97.66</v>
      </c>
      <c r="AB43" s="13">
        <v>146.63999999999999</v>
      </c>
      <c r="AC43" s="13">
        <v>372.82</v>
      </c>
      <c r="AD43" s="13">
        <v>152.19999999999999</v>
      </c>
      <c r="AE43" s="13">
        <v>210.26</v>
      </c>
      <c r="AF43" s="13">
        <v>447.26</v>
      </c>
      <c r="AG43" s="13">
        <v>93.23</v>
      </c>
      <c r="AH43" s="13">
        <v>2630.77</v>
      </c>
      <c r="AI43" s="13">
        <v>283.01</v>
      </c>
      <c r="AJ43" s="13">
        <f t="shared" si="1"/>
        <v>116.56</v>
      </c>
      <c r="AK43" s="13">
        <v>116.56</v>
      </c>
      <c r="AM43" s="13">
        <v>6.99</v>
      </c>
      <c r="AN43" s="13">
        <v>59.89</v>
      </c>
      <c r="AO43" s="13">
        <v>932.42</v>
      </c>
      <c r="AP43" s="13">
        <v>66.709999999999994</v>
      </c>
      <c r="AQ43" s="13">
        <v>399.97</v>
      </c>
      <c r="AR43" s="13">
        <v>408.99</v>
      </c>
      <c r="AS43" s="13">
        <v>99.05</v>
      </c>
      <c r="AT43" s="13">
        <v>22.2</v>
      </c>
      <c r="AU43" s="13">
        <v>9.57</v>
      </c>
      <c r="AV43" s="13">
        <v>58.97</v>
      </c>
      <c r="AW43" s="13">
        <v>6.14</v>
      </c>
      <c r="AX43" s="13">
        <v>359.29</v>
      </c>
      <c r="AY43" s="13">
        <v>42.71</v>
      </c>
      <c r="AZ43" s="13">
        <v>180.36</v>
      </c>
      <c r="BA43" s="7">
        <v>91</v>
      </c>
      <c r="BB43" s="13">
        <v>219.99</v>
      </c>
      <c r="BC43" s="13">
        <v>38.619999999999997</v>
      </c>
      <c r="BD43" s="13">
        <v>12.67</v>
      </c>
      <c r="BE43" s="13">
        <v>22.16</v>
      </c>
      <c r="BF43" s="13">
        <v>166.24</v>
      </c>
      <c r="BG43" s="13">
        <v>143.91</v>
      </c>
      <c r="BH43" s="13">
        <v>91.01</v>
      </c>
      <c r="BI43" s="13">
        <v>272.93</v>
      </c>
      <c r="BJ43" s="13">
        <v>78.66</v>
      </c>
      <c r="BK43" s="13">
        <v>98.02</v>
      </c>
      <c r="BL43" s="13">
        <v>178.54</v>
      </c>
      <c r="BM43" s="13">
        <v>38.630000000000003</v>
      </c>
      <c r="BN43" s="13">
        <v>6.87</v>
      </c>
      <c r="BO43" s="13">
        <v>216.88</v>
      </c>
      <c r="BP43" s="13">
        <v>248.01</v>
      </c>
      <c r="BQ43" s="13">
        <v>231.52</v>
      </c>
      <c r="BR43" s="13">
        <v>7647.1</v>
      </c>
      <c r="BS43" s="13">
        <v>576.27</v>
      </c>
      <c r="BT43" s="13">
        <v>219.06</v>
      </c>
      <c r="BU43" s="13">
        <v>269.95999999999998</v>
      </c>
      <c r="BV43" s="13">
        <v>57.24</v>
      </c>
      <c r="BW43" s="13">
        <v>17.16</v>
      </c>
      <c r="BX43" s="7">
        <v>51</v>
      </c>
      <c r="BY43" s="13">
        <v>1.4</v>
      </c>
      <c r="BZ43" s="7">
        <v>0</v>
      </c>
      <c r="CA43" s="13">
        <v>31313.8</v>
      </c>
      <c r="CB43" s="13">
        <v>2896.97</v>
      </c>
      <c r="CC43" s="13">
        <v>28404.38</v>
      </c>
      <c r="CD43" s="13">
        <v>12.44</v>
      </c>
      <c r="CE43" s="13">
        <v>15156.4</v>
      </c>
      <c r="CF43" s="13">
        <v>4429.12</v>
      </c>
      <c r="CG43" s="7">
        <v>0</v>
      </c>
      <c r="CH43" s="7" t="s">
        <v>104</v>
      </c>
      <c r="CI43" s="7">
        <v>0</v>
      </c>
      <c r="CJ43" s="7" t="s">
        <v>104</v>
      </c>
      <c r="CK43" s="7">
        <v>0</v>
      </c>
      <c r="CL43" s="13">
        <v>10727.29</v>
      </c>
      <c r="CM43" s="7" t="s">
        <v>104</v>
      </c>
      <c r="CN43" s="7" t="s">
        <v>104</v>
      </c>
      <c r="CO43" s="13">
        <v>66403.64</v>
      </c>
      <c r="CP43" s="13">
        <v>46470.2</v>
      </c>
    </row>
    <row r="44" spans="1:94" ht="14.5" x14ac:dyDescent="0.35">
      <c r="A44" s="5" t="s">
        <v>46</v>
      </c>
      <c r="B44" s="12">
        <v>16160.5</v>
      </c>
      <c r="C44" s="12">
        <v>520.78</v>
      </c>
      <c r="D44" s="12">
        <v>7.84</v>
      </c>
      <c r="E44" s="12">
        <v>14.86</v>
      </c>
      <c r="F44" s="12">
        <v>169.51</v>
      </c>
      <c r="G44" s="12">
        <v>548.15</v>
      </c>
      <c r="H44" s="12">
        <v>55.8</v>
      </c>
      <c r="I44" s="12">
        <v>57.08</v>
      </c>
      <c r="J44" s="12">
        <v>121.7</v>
      </c>
      <c r="K44" s="12">
        <v>11.35</v>
      </c>
      <c r="L44" s="12">
        <v>140.86000000000001</v>
      </c>
      <c r="M44" s="12">
        <f t="shared" si="0"/>
        <v>310.32</v>
      </c>
      <c r="N44" s="12">
        <v>310.32</v>
      </c>
      <c r="X44" s="12">
        <v>146.59</v>
      </c>
      <c r="Y44" s="12">
        <v>121.61</v>
      </c>
      <c r="Z44" s="12">
        <v>173.19</v>
      </c>
      <c r="AA44" s="12">
        <v>286.62</v>
      </c>
      <c r="AB44" s="12">
        <v>290.37</v>
      </c>
      <c r="AC44" s="12">
        <v>122.3</v>
      </c>
      <c r="AD44" s="12">
        <v>223.1</v>
      </c>
      <c r="AE44" s="12">
        <v>370.43</v>
      </c>
      <c r="AF44" s="12">
        <v>151.53</v>
      </c>
      <c r="AG44" s="12">
        <v>248.65</v>
      </c>
      <c r="AH44" s="12">
        <v>174.84</v>
      </c>
      <c r="AI44" s="12">
        <v>686.53</v>
      </c>
      <c r="AJ44" s="13">
        <f t="shared" si="1"/>
        <v>939.03</v>
      </c>
      <c r="AK44" s="12">
        <v>939.03</v>
      </c>
      <c r="AM44" s="12">
        <v>25.46</v>
      </c>
      <c r="AN44" s="12">
        <v>145.87</v>
      </c>
      <c r="AO44" s="12">
        <v>672.98</v>
      </c>
      <c r="AP44" s="12">
        <v>55.74</v>
      </c>
      <c r="AQ44" s="12">
        <v>390.36</v>
      </c>
      <c r="AR44" s="12">
        <v>193.52</v>
      </c>
      <c r="AS44" s="12">
        <v>605.34</v>
      </c>
      <c r="AT44" s="12">
        <v>2340.63</v>
      </c>
      <c r="AU44" s="12">
        <v>2686.27</v>
      </c>
      <c r="AV44" s="12">
        <v>308.33</v>
      </c>
      <c r="AW44" s="12">
        <v>20.13</v>
      </c>
      <c r="AX44" s="12">
        <v>187.09</v>
      </c>
      <c r="AY44" s="12">
        <v>22.37</v>
      </c>
      <c r="AZ44" s="12">
        <v>7.71</v>
      </c>
      <c r="BA44" s="12">
        <v>179.34</v>
      </c>
      <c r="BB44" s="12">
        <v>371.78</v>
      </c>
      <c r="BC44" s="12">
        <v>9.67</v>
      </c>
      <c r="BD44" s="12">
        <v>2.37</v>
      </c>
      <c r="BE44" s="12">
        <v>16.47</v>
      </c>
      <c r="BF44" s="12">
        <v>76.569999999999993</v>
      </c>
      <c r="BG44" s="12">
        <v>126.58</v>
      </c>
      <c r="BH44" s="12">
        <v>75.03</v>
      </c>
      <c r="BI44" s="12">
        <v>102.9</v>
      </c>
      <c r="BJ44" s="12">
        <v>12.43</v>
      </c>
      <c r="BK44" s="12">
        <v>31.47</v>
      </c>
      <c r="BL44" s="12">
        <v>339.66</v>
      </c>
      <c r="BM44" s="12">
        <v>52.54</v>
      </c>
      <c r="BN44" s="12">
        <v>7.79</v>
      </c>
      <c r="BO44" s="12">
        <v>91.18</v>
      </c>
      <c r="BP44" s="12">
        <v>662.18</v>
      </c>
      <c r="BQ44" s="12">
        <v>27.37</v>
      </c>
      <c r="BR44" s="12">
        <v>187.11</v>
      </c>
      <c r="BS44" s="12">
        <v>87.62</v>
      </c>
      <c r="BT44" s="12">
        <v>47.74</v>
      </c>
      <c r="BU44" s="12">
        <v>34.42</v>
      </c>
      <c r="BV44" s="12">
        <v>8.09</v>
      </c>
      <c r="BW44" s="12">
        <v>5.82</v>
      </c>
      <c r="BX44" s="12">
        <v>45.32</v>
      </c>
      <c r="BY44" s="12">
        <v>4.21</v>
      </c>
      <c r="BZ44" s="6">
        <v>0</v>
      </c>
      <c r="CA44" s="12">
        <v>98.91</v>
      </c>
      <c r="CB44" s="12">
        <v>5.05</v>
      </c>
      <c r="CC44" s="12">
        <v>93.86</v>
      </c>
      <c r="CD44" s="6">
        <v>0</v>
      </c>
      <c r="CE44" s="12">
        <v>2553.89</v>
      </c>
      <c r="CF44" s="12">
        <v>455.91</v>
      </c>
      <c r="CG44" s="6">
        <v>0</v>
      </c>
      <c r="CH44" s="6" t="s">
        <v>104</v>
      </c>
      <c r="CI44" s="6">
        <v>0</v>
      </c>
      <c r="CJ44" s="6" t="s">
        <v>104</v>
      </c>
      <c r="CK44" s="6">
        <v>0</v>
      </c>
      <c r="CL44" s="12">
        <v>2097.98</v>
      </c>
      <c r="CM44" s="6" t="s">
        <v>104</v>
      </c>
      <c r="CN44" s="6" t="s">
        <v>104</v>
      </c>
      <c r="CO44" s="12">
        <v>18813.3</v>
      </c>
      <c r="CP44" s="12">
        <v>2652.8</v>
      </c>
    </row>
    <row r="45" spans="1:94" ht="14.5" x14ac:dyDescent="0.35">
      <c r="A45" s="5" t="s">
        <v>142</v>
      </c>
      <c r="B45" s="12">
        <f>B46-B47</f>
        <v>3727.95</v>
      </c>
      <c r="C45" s="12">
        <f t="shared" ref="C45:BN45" si="4">C46-C47</f>
        <v>61.09</v>
      </c>
      <c r="D45" s="12">
        <f t="shared" si="4"/>
        <v>2.4700000000000002</v>
      </c>
      <c r="E45" s="12">
        <f t="shared" si="4"/>
        <v>0.75</v>
      </c>
      <c r="F45" s="12">
        <f t="shared" si="4"/>
        <v>27.71</v>
      </c>
      <c r="G45" s="12">
        <f t="shared" si="4"/>
        <v>180.7</v>
      </c>
      <c r="H45" s="12">
        <f t="shared" si="4"/>
        <v>28.35</v>
      </c>
      <c r="I45" s="12">
        <f t="shared" si="4"/>
        <v>18.260000000000002</v>
      </c>
      <c r="J45" s="12">
        <f t="shared" si="4"/>
        <v>38.229999999999997</v>
      </c>
      <c r="K45" s="12">
        <f t="shared" si="4"/>
        <v>5.16</v>
      </c>
      <c r="L45" s="12">
        <f t="shared" si="4"/>
        <v>55.91</v>
      </c>
      <c r="M45" s="12">
        <f t="shared" si="4"/>
        <v>127.78</v>
      </c>
      <c r="N45" s="12">
        <f t="shared" si="4"/>
        <v>127.78</v>
      </c>
      <c r="O45" s="12">
        <f t="shared" si="4"/>
        <v>0</v>
      </c>
      <c r="P45" s="12">
        <f t="shared" si="4"/>
        <v>0</v>
      </c>
      <c r="Q45" s="12">
        <f t="shared" si="4"/>
        <v>0</v>
      </c>
      <c r="R45" s="12">
        <f t="shared" si="4"/>
        <v>0</v>
      </c>
      <c r="S45" s="12">
        <f t="shared" si="4"/>
        <v>0</v>
      </c>
      <c r="T45" s="12">
        <f t="shared" si="4"/>
        <v>0</v>
      </c>
      <c r="U45" s="12">
        <f t="shared" si="4"/>
        <v>0</v>
      </c>
      <c r="V45" s="12">
        <f t="shared" si="4"/>
        <v>0</v>
      </c>
      <c r="W45" s="12">
        <f t="shared" si="4"/>
        <v>0</v>
      </c>
      <c r="X45" s="12">
        <f t="shared" si="4"/>
        <v>23.56</v>
      </c>
      <c r="Y45" s="12">
        <f t="shared" si="4"/>
        <v>61.99</v>
      </c>
      <c r="Z45" s="12">
        <f t="shared" si="4"/>
        <v>60.27</v>
      </c>
      <c r="AA45" s="12">
        <f t="shared" si="4"/>
        <v>178.51</v>
      </c>
      <c r="AB45" s="12">
        <f t="shared" si="4"/>
        <v>79.34</v>
      </c>
      <c r="AC45" s="12">
        <f t="shared" si="4"/>
        <v>20.43</v>
      </c>
      <c r="AD45" s="12">
        <f t="shared" si="4"/>
        <v>45.64</v>
      </c>
      <c r="AE45" s="12">
        <f t="shared" si="4"/>
        <v>44.4</v>
      </c>
      <c r="AF45" s="12">
        <f t="shared" si="4"/>
        <v>54.66</v>
      </c>
      <c r="AG45" s="12">
        <f t="shared" si="4"/>
        <v>8.4600000000000009</v>
      </c>
      <c r="AH45" s="12">
        <f t="shared" si="4"/>
        <v>24.9</v>
      </c>
      <c r="AI45" s="12">
        <f t="shared" si="4"/>
        <v>11.59</v>
      </c>
      <c r="AJ45" s="12">
        <f t="shared" si="4"/>
        <v>1393.32</v>
      </c>
      <c r="AK45" s="12">
        <f t="shared" si="4"/>
        <v>1393.32</v>
      </c>
      <c r="AL45" s="12">
        <f t="shared" si="4"/>
        <v>0</v>
      </c>
      <c r="AM45" s="12">
        <f t="shared" si="4"/>
        <v>29.52</v>
      </c>
      <c r="AN45" s="12">
        <f t="shared" si="4"/>
        <v>47.63</v>
      </c>
      <c r="AO45" s="12">
        <f t="shared" si="4"/>
        <v>118.55</v>
      </c>
      <c r="AP45" s="12">
        <f t="shared" si="4"/>
        <v>20.95</v>
      </c>
      <c r="AQ45" s="12">
        <f t="shared" si="4"/>
        <v>88.15</v>
      </c>
      <c r="AR45" s="12">
        <f t="shared" si="4"/>
        <v>110.17</v>
      </c>
      <c r="AS45" s="12">
        <f t="shared" si="4"/>
        <v>79.77</v>
      </c>
      <c r="AT45" s="12">
        <f t="shared" si="4"/>
        <v>2.4300000000000002</v>
      </c>
      <c r="AU45" s="12">
        <f t="shared" si="4"/>
        <v>6.13</v>
      </c>
      <c r="AV45" s="12">
        <f t="shared" si="4"/>
        <v>33.6</v>
      </c>
      <c r="AW45" s="12">
        <f t="shared" si="4"/>
        <v>4.12</v>
      </c>
      <c r="AX45" s="12">
        <f t="shared" si="4"/>
        <v>100.04</v>
      </c>
      <c r="AY45" s="12">
        <f t="shared" si="4"/>
        <v>5.65</v>
      </c>
      <c r="AZ45" s="12">
        <f t="shared" si="4"/>
        <v>5.27</v>
      </c>
      <c r="BA45" s="12">
        <f t="shared" si="4"/>
        <v>27.44</v>
      </c>
      <c r="BB45" s="12">
        <f t="shared" si="4"/>
        <v>51.03</v>
      </c>
      <c r="BC45" s="12">
        <f t="shared" si="4"/>
        <v>9.41</v>
      </c>
      <c r="BD45" s="12">
        <f t="shared" si="4"/>
        <v>3.59</v>
      </c>
      <c r="BE45" s="12">
        <f t="shared" si="4"/>
        <v>4.8099999999999996</v>
      </c>
      <c r="BF45" s="12">
        <f t="shared" si="4"/>
        <v>65.11</v>
      </c>
      <c r="BG45" s="12">
        <f t="shared" si="4"/>
        <v>38.07</v>
      </c>
      <c r="BH45" s="12">
        <f t="shared" si="4"/>
        <v>19.16</v>
      </c>
      <c r="BI45" s="12">
        <f t="shared" si="4"/>
        <v>26.49</v>
      </c>
      <c r="BJ45" s="12">
        <f t="shared" si="4"/>
        <v>6.59</v>
      </c>
      <c r="BK45" s="12">
        <f t="shared" si="4"/>
        <v>11.02</v>
      </c>
      <c r="BL45" s="12">
        <f t="shared" si="4"/>
        <v>17.97</v>
      </c>
      <c r="BM45" s="12">
        <f t="shared" si="4"/>
        <v>3.8</v>
      </c>
      <c r="BN45" s="12">
        <f t="shared" si="4"/>
        <v>2.16</v>
      </c>
      <c r="BO45" s="12">
        <f t="shared" ref="BO45:CP45" si="5">BO46-BO47</f>
        <v>24.89</v>
      </c>
      <c r="BP45" s="12">
        <f t="shared" si="5"/>
        <v>49.77</v>
      </c>
      <c r="BQ45" s="12">
        <f t="shared" si="5"/>
        <v>30.29</v>
      </c>
      <c r="BR45" s="12">
        <f t="shared" si="5"/>
        <v>57.82</v>
      </c>
      <c r="BS45" s="12">
        <f t="shared" si="5"/>
        <v>22.77</v>
      </c>
      <c r="BT45" s="12">
        <f t="shared" si="5"/>
        <v>8.85</v>
      </c>
      <c r="BU45" s="12">
        <f t="shared" si="5"/>
        <v>16.72</v>
      </c>
      <c r="BV45" s="12">
        <f t="shared" si="5"/>
        <v>5.73</v>
      </c>
      <c r="BW45" s="12">
        <f t="shared" si="5"/>
        <v>1.57</v>
      </c>
      <c r="BX45" s="12">
        <f t="shared" si="5"/>
        <v>17.38</v>
      </c>
      <c r="BY45" s="12">
        <f t="shared" si="5"/>
        <v>0.09</v>
      </c>
      <c r="BZ45" s="12">
        <f t="shared" si="5"/>
        <v>0</v>
      </c>
      <c r="CA45" s="12">
        <f t="shared" si="5"/>
        <v>1097.93</v>
      </c>
      <c r="CB45" s="12">
        <f t="shared" si="5"/>
        <v>16.260000000000002</v>
      </c>
      <c r="CC45" s="12">
        <f t="shared" si="5"/>
        <v>1081.67</v>
      </c>
      <c r="CD45" s="12">
        <f t="shared" si="5"/>
        <v>0</v>
      </c>
      <c r="CE45" s="12">
        <f t="shared" si="5"/>
        <v>42.23</v>
      </c>
      <c r="CF45" s="12">
        <f t="shared" si="5"/>
        <v>39.56</v>
      </c>
      <c r="CG45" s="12">
        <f t="shared" si="5"/>
        <v>0</v>
      </c>
      <c r="CH45" s="12" t="e">
        <f t="shared" si="5"/>
        <v>#VALUE!</v>
      </c>
      <c r="CI45" s="12">
        <f t="shared" si="5"/>
        <v>0</v>
      </c>
      <c r="CJ45" s="12" t="e">
        <f t="shared" si="5"/>
        <v>#VALUE!</v>
      </c>
      <c r="CK45" s="12">
        <f t="shared" si="5"/>
        <v>0</v>
      </c>
      <c r="CL45" s="12">
        <f t="shared" si="5"/>
        <v>2.66</v>
      </c>
      <c r="CM45" s="12" t="e">
        <f t="shared" si="5"/>
        <v>#VALUE!</v>
      </c>
      <c r="CN45" s="12" t="e">
        <f t="shared" si="5"/>
        <v>#VALUE!</v>
      </c>
      <c r="CO45" s="12">
        <f t="shared" si="5"/>
        <v>4868.1000000000004</v>
      </c>
      <c r="CP45" s="12">
        <f t="shared" si="5"/>
        <v>1140.1500000000001</v>
      </c>
    </row>
    <row r="46" spans="1:94" ht="14.5" x14ac:dyDescent="0.35">
      <c r="A46" s="5" t="s">
        <v>143</v>
      </c>
      <c r="B46" s="13">
        <v>3727.95</v>
      </c>
      <c r="C46" s="13">
        <v>61.09</v>
      </c>
      <c r="D46" s="13">
        <v>2.4700000000000002</v>
      </c>
      <c r="E46" s="13">
        <v>0.75</v>
      </c>
      <c r="F46" s="13">
        <v>27.71</v>
      </c>
      <c r="G46" s="13">
        <v>180.7</v>
      </c>
      <c r="H46" s="13">
        <v>28.35</v>
      </c>
      <c r="I46" s="13">
        <v>18.260000000000002</v>
      </c>
      <c r="J46" s="13">
        <v>38.229999999999997</v>
      </c>
      <c r="K46" s="13">
        <v>5.16</v>
      </c>
      <c r="L46" s="13">
        <v>55.91</v>
      </c>
      <c r="M46" s="12">
        <f t="shared" si="0"/>
        <v>127.78</v>
      </c>
      <c r="N46" s="12">
        <v>127.78</v>
      </c>
      <c r="X46" s="13">
        <v>23.56</v>
      </c>
      <c r="Y46" s="13">
        <v>61.99</v>
      </c>
      <c r="Z46" s="13">
        <v>60.27</v>
      </c>
      <c r="AA46" s="13">
        <v>178.51</v>
      </c>
      <c r="AB46" s="13">
        <v>79.34</v>
      </c>
      <c r="AC46" s="13">
        <v>20.43</v>
      </c>
      <c r="AD46" s="13">
        <v>45.64</v>
      </c>
      <c r="AE46" s="13">
        <v>44.4</v>
      </c>
      <c r="AF46" s="13">
        <v>54.66</v>
      </c>
      <c r="AG46" s="13">
        <v>8.4600000000000009</v>
      </c>
      <c r="AH46" s="13">
        <v>24.9</v>
      </c>
      <c r="AI46" s="13">
        <v>11.59</v>
      </c>
      <c r="AJ46" s="13">
        <f t="shared" si="1"/>
        <v>1393.32</v>
      </c>
      <c r="AK46" s="13">
        <v>1393.32</v>
      </c>
      <c r="AM46" s="13">
        <v>29.52</v>
      </c>
      <c r="AN46" s="13">
        <v>47.63</v>
      </c>
      <c r="AO46" s="13">
        <v>118.55</v>
      </c>
      <c r="AP46" s="13">
        <v>20.95</v>
      </c>
      <c r="AQ46" s="13">
        <v>88.15</v>
      </c>
      <c r="AR46" s="13">
        <v>110.17</v>
      </c>
      <c r="AS46" s="13">
        <v>79.77</v>
      </c>
      <c r="AT46" s="13">
        <v>2.4300000000000002</v>
      </c>
      <c r="AU46" s="13">
        <v>6.13</v>
      </c>
      <c r="AV46" s="13">
        <v>33.6</v>
      </c>
      <c r="AW46" s="13">
        <v>4.12</v>
      </c>
      <c r="AX46" s="13">
        <v>100.04</v>
      </c>
      <c r="AY46" s="13">
        <v>5.65</v>
      </c>
      <c r="AZ46" s="13">
        <v>5.27</v>
      </c>
      <c r="BA46" s="13">
        <v>27.44</v>
      </c>
      <c r="BB46" s="13">
        <v>51.03</v>
      </c>
      <c r="BC46" s="13">
        <v>9.41</v>
      </c>
      <c r="BD46" s="13">
        <v>3.59</v>
      </c>
      <c r="BE46" s="13">
        <v>4.8099999999999996</v>
      </c>
      <c r="BF46" s="13">
        <v>65.11</v>
      </c>
      <c r="BG46" s="13">
        <v>38.07</v>
      </c>
      <c r="BH46" s="13">
        <v>19.16</v>
      </c>
      <c r="BI46" s="13">
        <v>26.49</v>
      </c>
      <c r="BJ46" s="13">
        <v>6.59</v>
      </c>
      <c r="BK46" s="13">
        <v>11.02</v>
      </c>
      <c r="BL46" s="13">
        <v>17.97</v>
      </c>
      <c r="BM46" s="13">
        <v>3.8</v>
      </c>
      <c r="BN46" s="13">
        <v>2.16</v>
      </c>
      <c r="BO46" s="13">
        <v>24.89</v>
      </c>
      <c r="BP46" s="13">
        <v>49.77</v>
      </c>
      <c r="BQ46" s="13">
        <v>30.29</v>
      </c>
      <c r="BR46" s="13">
        <v>57.82</v>
      </c>
      <c r="BS46" s="13">
        <v>22.77</v>
      </c>
      <c r="BT46" s="13">
        <v>8.85</v>
      </c>
      <c r="BU46" s="13">
        <v>16.72</v>
      </c>
      <c r="BV46" s="13">
        <v>5.73</v>
      </c>
      <c r="BW46" s="13">
        <v>1.57</v>
      </c>
      <c r="BX46" s="13">
        <v>17.38</v>
      </c>
      <c r="BY46" s="13">
        <v>0.09</v>
      </c>
      <c r="BZ46" s="7">
        <v>0</v>
      </c>
      <c r="CA46" s="13">
        <v>1097.93</v>
      </c>
      <c r="CB46" s="13">
        <v>16.260000000000002</v>
      </c>
      <c r="CC46" s="13">
        <v>1081.67</v>
      </c>
      <c r="CD46" s="7">
        <v>0</v>
      </c>
      <c r="CE46" s="13">
        <v>42.23</v>
      </c>
      <c r="CF46" s="13">
        <v>39.56</v>
      </c>
      <c r="CG46" s="7">
        <v>0</v>
      </c>
      <c r="CH46" s="7" t="s">
        <v>104</v>
      </c>
      <c r="CI46" s="7">
        <v>0</v>
      </c>
      <c r="CJ46" s="7" t="s">
        <v>104</v>
      </c>
      <c r="CK46" s="7">
        <v>0</v>
      </c>
      <c r="CL46" s="13">
        <v>2.66</v>
      </c>
      <c r="CM46" s="7" t="s">
        <v>104</v>
      </c>
      <c r="CN46" s="7" t="s">
        <v>104</v>
      </c>
      <c r="CO46" s="13">
        <v>4868.1000000000004</v>
      </c>
      <c r="CP46" s="13">
        <v>1140.1500000000001</v>
      </c>
    </row>
    <row r="47" spans="1:94" s="21" customFormat="1" ht="11.5" x14ac:dyDescent="0.35">
      <c r="A47" s="21" t="s">
        <v>134</v>
      </c>
      <c r="M47" s="12">
        <f t="shared" si="0"/>
        <v>0</v>
      </c>
      <c r="N47" s="32"/>
      <c r="O47" s="16"/>
      <c r="P47" s="16"/>
      <c r="Q47" s="17"/>
      <c r="R47" s="17"/>
      <c r="S47" s="18"/>
      <c r="T47" s="18"/>
      <c r="U47" s="19"/>
      <c r="V47" s="19"/>
      <c r="W47" s="20"/>
      <c r="AJ47" s="13">
        <f t="shared" si="1"/>
        <v>0</v>
      </c>
    </row>
    <row r="48" spans="1:94" ht="14.5" x14ac:dyDescent="0.35">
      <c r="A48" s="5" t="s">
        <v>47</v>
      </c>
      <c r="B48" s="12">
        <v>252.06</v>
      </c>
      <c r="C48" s="12">
        <v>9.81</v>
      </c>
      <c r="D48" s="12">
        <v>1.32</v>
      </c>
      <c r="E48" s="12">
        <v>1.33</v>
      </c>
      <c r="F48" s="12">
        <v>2.1800000000000002</v>
      </c>
      <c r="G48" s="12">
        <v>5.51</v>
      </c>
      <c r="H48" s="12">
        <v>2.5</v>
      </c>
      <c r="I48" s="12">
        <v>2.87</v>
      </c>
      <c r="J48" s="12">
        <v>2.84</v>
      </c>
      <c r="K48" s="12">
        <v>1.99</v>
      </c>
      <c r="L48" s="12">
        <v>3.78</v>
      </c>
      <c r="M48" s="12">
        <f t="shared" si="0"/>
        <v>12.94</v>
      </c>
      <c r="N48" s="12">
        <v>12.94</v>
      </c>
      <c r="X48" s="12">
        <v>8.07</v>
      </c>
      <c r="Y48" s="12">
        <v>4.0199999999999996</v>
      </c>
      <c r="Z48" s="12">
        <v>3.36</v>
      </c>
      <c r="AA48" s="12">
        <v>4.4000000000000004</v>
      </c>
      <c r="AB48" s="12">
        <v>4.2300000000000004</v>
      </c>
      <c r="AC48" s="12">
        <v>4.3099999999999996</v>
      </c>
      <c r="AD48" s="12">
        <v>3.87</v>
      </c>
      <c r="AE48" s="12">
        <v>3.66</v>
      </c>
      <c r="AF48" s="12">
        <v>2.64</v>
      </c>
      <c r="AG48" s="12">
        <v>2.57</v>
      </c>
      <c r="AH48" s="12">
        <v>3.44</v>
      </c>
      <c r="AI48" s="12">
        <v>3.4</v>
      </c>
      <c r="AJ48" s="13">
        <f t="shared" si="1"/>
        <v>4.93</v>
      </c>
      <c r="AK48" s="12">
        <v>4.93</v>
      </c>
      <c r="AM48" s="12">
        <v>3.96</v>
      </c>
      <c r="AN48" s="12">
        <v>5.34</v>
      </c>
      <c r="AO48" s="12">
        <v>4.3</v>
      </c>
      <c r="AP48" s="12">
        <v>3.42</v>
      </c>
      <c r="AQ48" s="12">
        <v>5.72</v>
      </c>
      <c r="AR48" s="12">
        <v>3.52</v>
      </c>
      <c r="AS48" s="12">
        <v>3.62</v>
      </c>
      <c r="AT48" s="12">
        <v>4.2</v>
      </c>
      <c r="AU48" s="12">
        <v>4.16</v>
      </c>
      <c r="AV48" s="12">
        <v>5.32</v>
      </c>
      <c r="AW48" s="12">
        <v>2.25</v>
      </c>
      <c r="AX48" s="12">
        <v>5.18</v>
      </c>
      <c r="AY48" s="12">
        <v>2.46</v>
      </c>
      <c r="AZ48" s="12">
        <v>1.99</v>
      </c>
      <c r="BA48" s="12">
        <v>3.89</v>
      </c>
      <c r="BB48" s="12">
        <v>5.24</v>
      </c>
      <c r="BC48" s="12">
        <v>1.7</v>
      </c>
      <c r="BD48" s="12">
        <v>4.08</v>
      </c>
      <c r="BE48" s="12">
        <v>3.9</v>
      </c>
      <c r="BF48" s="12">
        <v>4.57</v>
      </c>
      <c r="BG48" s="12">
        <v>4.05</v>
      </c>
      <c r="BH48" s="12">
        <v>3.72</v>
      </c>
      <c r="BI48" s="12">
        <v>4.88</v>
      </c>
      <c r="BJ48" s="12">
        <v>2.4</v>
      </c>
      <c r="BK48" s="12">
        <v>2.98</v>
      </c>
      <c r="BL48" s="12">
        <v>3.53</v>
      </c>
      <c r="BM48" s="12">
        <v>2.84</v>
      </c>
      <c r="BN48" s="12">
        <v>2.79</v>
      </c>
      <c r="BO48" s="12">
        <v>3.88</v>
      </c>
      <c r="BP48" s="12">
        <v>10.45</v>
      </c>
      <c r="BQ48" s="12">
        <v>3.49</v>
      </c>
      <c r="BR48" s="12">
        <v>10.96</v>
      </c>
      <c r="BS48" s="12">
        <v>5.14</v>
      </c>
      <c r="BT48" s="12">
        <v>2.64</v>
      </c>
      <c r="BU48" s="12">
        <v>2.56</v>
      </c>
      <c r="BV48" s="12">
        <v>2.14</v>
      </c>
      <c r="BW48" s="12">
        <v>1.24</v>
      </c>
      <c r="BX48" s="12">
        <v>3.55</v>
      </c>
      <c r="BY48" s="12">
        <v>0.03</v>
      </c>
      <c r="BZ48" s="6">
        <v>0</v>
      </c>
      <c r="CA48" s="12">
        <v>30.59</v>
      </c>
      <c r="CB48" s="12">
        <v>6.01</v>
      </c>
      <c r="CC48" s="12">
        <v>22.77</v>
      </c>
      <c r="CD48" s="12">
        <v>1.81</v>
      </c>
      <c r="CE48" s="12">
        <v>-9.48</v>
      </c>
      <c r="CF48" s="12">
        <v>-15.74</v>
      </c>
      <c r="CG48" s="6">
        <v>0</v>
      </c>
      <c r="CH48" s="6" t="s">
        <v>104</v>
      </c>
      <c r="CI48" s="6">
        <v>0</v>
      </c>
      <c r="CJ48" s="6" t="s">
        <v>104</v>
      </c>
      <c r="CK48" s="6">
        <v>0</v>
      </c>
      <c r="CL48" s="12">
        <v>6.26</v>
      </c>
      <c r="CM48" s="6" t="s">
        <v>104</v>
      </c>
      <c r="CN48" s="6" t="s">
        <v>104</v>
      </c>
      <c r="CO48" s="12">
        <v>273.17</v>
      </c>
      <c r="CP48" s="12">
        <v>21.11</v>
      </c>
    </row>
    <row r="49" spans="1:94" ht="14.5" x14ac:dyDescent="0.35">
      <c r="A49" s="5" t="s">
        <v>48</v>
      </c>
      <c r="B49" s="13">
        <v>4527.6000000000004</v>
      </c>
      <c r="C49" s="13">
        <v>4.66</v>
      </c>
      <c r="D49" s="13">
        <v>1.06</v>
      </c>
      <c r="E49" s="13">
        <v>0.61</v>
      </c>
      <c r="F49" s="13">
        <v>11.61</v>
      </c>
      <c r="G49" s="13">
        <v>38.700000000000003</v>
      </c>
      <c r="H49" s="13">
        <v>10.89</v>
      </c>
      <c r="I49" s="13">
        <v>7.26</v>
      </c>
      <c r="J49" s="13">
        <v>97.27</v>
      </c>
      <c r="K49" s="13">
        <v>2.66</v>
      </c>
      <c r="L49" s="13">
        <v>22.95</v>
      </c>
      <c r="M49" s="12">
        <f t="shared" si="0"/>
        <v>75.87</v>
      </c>
      <c r="N49" s="12">
        <v>75.87</v>
      </c>
      <c r="X49" s="13">
        <v>24.52</v>
      </c>
      <c r="Y49" s="13">
        <v>234.5</v>
      </c>
      <c r="Z49" s="13">
        <v>30.08</v>
      </c>
      <c r="AA49" s="13">
        <v>1311.54</v>
      </c>
      <c r="AB49" s="13">
        <v>368.6</v>
      </c>
      <c r="AC49" s="13">
        <v>5.29</v>
      </c>
      <c r="AD49" s="13">
        <v>111.41</v>
      </c>
      <c r="AE49" s="13">
        <v>28.62</v>
      </c>
      <c r="AF49" s="13">
        <v>16.21</v>
      </c>
      <c r="AG49" s="13">
        <v>4.5199999999999996</v>
      </c>
      <c r="AH49" s="13">
        <v>15.21</v>
      </c>
      <c r="AI49" s="13">
        <v>21.03</v>
      </c>
      <c r="AJ49" s="13">
        <f t="shared" si="1"/>
        <v>135.16</v>
      </c>
      <c r="AK49" s="13">
        <v>135.16</v>
      </c>
      <c r="AM49" s="13">
        <v>24.96</v>
      </c>
      <c r="AN49" s="13">
        <v>1280.21</v>
      </c>
      <c r="AO49" s="13">
        <v>97.09</v>
      </c>
      <c r="AP49" s="13">
        <v>7.47</v>
      </c>
      <c r="AQ49" s="13">
        <v>89.33</v>
      </c>
      <c r="AR49" s="13">
        <v>41.09</v>
      </c>
      <c r="AS49" s="13">
        <v>12.33</v>
      </c>
      <c r="AT49" s="13">
        <v>1.46</v>
      </c>
      <c r="AU49" s="13">
        <v>7.52</v>
      </c>
      <c r="AV49" s="13">
        <v>9.69</v>
      </c>
      <c r="AW49" s="13">
        <v>1.04</v>
      </c>
      <c r="AX49" s="13">
        <v>22.28</v>
      </c>
      <c r="AY49" s="13">
        <v>2.5299999999999998</v>
      </c>
      <c r="AZ49" s="13">
        <v>3.22</v>
      </c>
      <c r="BA49" s="13">
        <v>10.02</v>
      </c>
      <c r="BB49" s="13">
        <v>25.44</v>
      </c>
      <c r="BC49" s="13">
        <v>1.18</v>
      </c>
      <c r="BD49" s="13">
        <v>0.72</v>
      </c>
      <c r="BE49" s="13">
        <v>2.16</v>
      </c>
      <c r="BF49" s="13">
        <v>37.119999999999997</v>
      </c>
      <c r="BG49" s="13">
        <v>25.26</v>
      </c>
      <c r="BH49" s="13">
        <v>27.95</v>
      </c>
      <c r="BI49" s="13">
        <v>22.58</v>
      </c>
      <c r="BJ49" s="13">
        <v>5.4</v>
      </c>
      <c r="BK49" s="13">
        <v>8.52</v>
      </c>
      <c r="BL49" s="13">
        <v>13.64</v>
      </c>
      <c r="BM49" s="13">
        <v>1.76</v>
      </c>
      <c r="BN49" s="13">
        <v>1.51</v>
      </c>
      <c r="BO49" s="13">
        <v>42.73</v>
      </c>
      <c r="BP49" s="13">
        <v>27.69</v>
      </c>
      <c r="BQ49" s="13">
        <v>4.0599999999999996</v>
      </c>
      <c r="BR49" s="13">
        <v>40.28</v>
      </c>
      <c r="BS49" s="13">
        <v>19.28</v>
      </c>
      <c r="BT49" s="13">
        <v>9.0500000000000007</v>
      </c>
      <c r="BU49" s="13">
        <v>8.2799999999999994</v>
      </c>
      <c r="BV49" s="13">
        <v>6.63</v>
      </c>
      <c r="BW49" s="13">
        <v>0.67</v>
      </c>
      <c r="BX49" s="13">
        <v>5.21</v>
      </c>
      <c r="BY49" s="13">
        <v>0.04</v>
      </c>
      <c r="BZ49" s="7">
        <v>0</v>
      </c>
      <c r="CA49" s="13">
        <v>224.77</v>
      </c>
      <c r="CB49" s="13">
        <v>20.010000000000002</v>
      </c>
      <c r="CC49" s="13">
        <v>204.76</v>
      </c>
      <c r="CD49" s="7">
        <v>0</v>
      </c>
      <c r="CE49" s="13">
        <v>-38.119999999999997</v>
      </c>
      <c r="CF49" s="13">
        <v>-38.119999999999997</v>
      </c>
      <c r="CG49" s="7">
        <v>0</v>
      </c>
      <c r="CH49" s="7" t="s">
        <v>104</v>
      </c>
      <c r="CI49" s="7">
        <v>0</v>
      </c>
      <c r="CJ49" s="7" t="s">
        <v>104</v>
      </c>
      <c r="CK49" s="7">
        <v>0</v>
      </c>
      <c r="CL49" s="7">
        <v>0</v>
      </c>
      <c r="CM49" s="7" t="s">
        <v>104</v>
      </c>
      <c r="CN49" s="7" t="s">
        <v>104</v>
      </c>
      <c r="CO49" s="13">
        <v>4714.25</v>
      </c>
      <c r="CP49" s="13">
        <v>186.65</v>
      </c>
    </row>
    <row r="50" spans="1:94" ht="14.5" x14ac:dyDescent="0.35">
      <c r="A50" s="5" t="s">
        <v>49</v>
      </c>
      <c r="B50" s="12">
        <v>1494.53</v>
      </c>
      <c r="C50" s="12">
        <v>10.97</v>
      </c>
      <c r="D50" s="12">
        <v>2.54</v>
      </c>
      <c r="E50" s="12">
        <v>0.7</v>
      </c>
      <c r="F50" s="12">
        <v>3.5</v>
      </c>
      <c r="G50" s="12">
        <v>22.13</v>
      </c>
      <c r="H50" s="12">
        <v>2.36</v>
      </c>
      <c r="I50" s="12">
        <v>3.2</v>
      </c>
      <c r="J50" s="12">
        <v>3.68</v>
      </c>
      <c r="K50" s="12">
        <v>1.54</v>
      </c>
      <c r="L50" s="12">
        <v>4.9800000000000004</v>
      </c>
      <c r="M50" s="12">
        <f t="shared" si="0"/>
        <v>13.47</v>
      </c>
      <c r="N50" s="12">
        <v>13.47</v>
      </c>
      <c r="X50" s="12">
        <v>31.38</v>
      </c>
      <c r="Y50" s="12">
        <v>5.19</v>
      </c>
      <c r="Z50" s="12">
        <v>5.85</v>
      </c>
      <c r="AA50" s="12">
        <v>23.63</v>
      </c>
      <c r="AB50" s="12">
        <v>27.78</v>
      </c>
      <c r="AC50" s="12">
        <v>12.18</v>
      </c>
      <c r="AD50" s="12">
        <v>5.66</v>
      </c>
      <c r="AE50" s="12">
        <v>25.79</v>
      </c>
      <c r="AF50" s="12">
        <v>5.33</v>
      </c>
      <c r="AG50" s="12">
        <v>2.67</v>
      </c>
      <c r="AH50" s="12">
        <v>4.7699999999999996</v>
      </c>
      <c r="AI50" s="12">
        <v>43.04</v>
      </c>
      <c r="AJ50" s="13">
        <f t="shared" si="1"/>
        <v>47.76</v>
      </c>
      <c r="AK50" s="12">
        <v>47.76</v>
      </c>
      <c r="AM50" s="12">
        <v>3.48</v>
      </c>
      <c r="AN50" s="12">
        <v>20.309999999999999</v>
      </c>
      <c r="AO50" s="12">
        <v>771.53</v>
      </c>
      <c r="AP50" s="12">
        <v>4.83</v>
      </c>
      <c r="AQ50" s="12">
        <v>16.649999999999999</v>
      </c>
      <c r="AR50" s="12">
        <v>10.25</v>
      </c>
      <c r="AS50" s="12">
        <v>15.28</v>
      </c>
      <c r="AT50" s="12">
        <v>2.97</v>
      </c>
      <c r="AU50" s="12">
        <v>3.93</v>
      </c>
      <c r="AV50" s="12">
        <v>28.86</v>
      </c>
      <c r="AW50" s="12">
        <v>2.06</v>
      </c>
      <c r="AX50" s="12">
        <v>12.04</v>
      </c>
      <c r="AY50" s="12">
        <v>1.72</v>
      </c>
      <c r="AZ50" s="12">
        <v>3.2</v>
      </c>
      <c r="BA50" s="12">
        <v>5.95</v>
      </c>
      <c r="BB50" s="12">
        <v>7.48</v>
      </c>
      <c r="BC50" s="12">
        <v>3.34</v>
      </c>
      <c r="BD50" s="12">
        <v>4.63</v>
      </c>
      <c r="BE50" s="12">
        <v>2.65</v>
      </c>
      <c r="BF50" s="12">
        <v>67.489999999999995</v>
      </c>
      <c r="BG50" s="12">
        <v>10.97</v>
      </c>
      <c r="BH50" s="12">
        <v>29.26</v>
      </c>
      <c r="BI50" s="12">
        <v>13.85</v>
      </c>
      <c r="BJ50" s="12">
        <v>3.37</v>
      </c>
      <c r="BK50" s="12">
        <v>2.75</v>
      </c>
      <c r="BL50" s="12">
        <v>7.99</v>
      </c>
      <c r="BM50" s="12">
        <v>3.24</v>
      </c>
      <c r="BN50" s="12">
        <v>2.41</v>
      </c>
      <c r="BO50" s="12">
        <v>10.77</v>
      </c>
      <c r="BP50" s="12">
        <v>65.87</v>
      </c>
      <c r="BQ50" s="12">
        <v>10.26</v>
      </c>
      <c r="BR50" s="12">
        <v>11.84</v>
      </c>
      <c r="BS50" s="12">
        <v>7.36</v>
      </c>
      <c r="BT50" s="12">
        <v>4.82</v>
      </c>
      <c r="BU50" s="12">
        <v>4.3899999999999997</v>
      </c>
      <c r="BV50" s="12">
        <v>2.95</v>
      </c>
      <c r="BW50" s="12">
        <v>1.06</v>
      </c>
      <c r="BX50" s="12">
        <v>2.46</v>
      </c>
      <c r="BY50" s="12">
        <v>0.16</v>
      </c>
      <c r="BZ50" s="6">
        <v>0</v>
      </c>
      <c r="CA50" s="12">
        <v>46.44</v>
      </c>
      <c r="CB50" s="12">
        <v>4.26</v>
      </c>
      <c r="CC50" s="12">
        <v>42.18</v>
      </c>
      <c r="CD50" s="6">
        <v>0</v>
      </c>
      <c r="CE50" s="12">
        <v>1385.54</v>
      </c>
      <c r="CF50" s="12">
        <v>-84.93</v>
      </c>
      <c r="CG50" s="6">
        <v>0</v>
      </c>
      <c r="CH50" s="6" t="s">
        <v>104</v>
      </c>
      <c r="CI50" s="6">
        <v>0</v>
      </c>
      <c r="CJ50" s="6" t="s">
        <v>104</v>
      </c>
      <c r="CK50" s="6">
        <v>0</v>
      </c>
      <c r="CL50" s="12">
        <v>1470.47</v>
      </c>
      <c r="CM50" s="6" t="s">
        <v>104</v>
      </c>
      <c r="CN50" s="6" t="s">
        <v>104</v>
      </c>
      <c r="CO50" s="12">
        <v>2926.51</v>
      </c>
      <c r="CP50" s="12">
        <v>1431.97</v>
      </c>
    </row>
    <row r="51" spans="1:94" ht="14.5" x14ac:dyDescent="0.35">
      <c r="A51" s="5" t="s">
        <v>50</v>
      </c>
      <c r="B51" s="13">
        <v>10872.61</v>
      </c>
      <c r="C51" s="13">
        <v>206.77</v>
      </c>
      <c r="D51" s="13">
        <v>38.36</v>
      </c>
      <c r="E51" s="13">
        <v>41.3</v>
      </c>
      <c r="F51" s="13">
        <v>81.27</v>
      </c>
      <c r="G51" s="13">
        <v>200.07</v>
      </c>
      <c r="H51" s="13">
        <v>92.87</v>
      </c>
      <c r="I51" s="13">
        <v>108.84</v>
      </c>
      <c r="J51" s="13">
        <v>106.78</v>
      </c>
      <c r="K51" s="13">
        <v>59.19</v>
      </c>
      <c r="L51" s="13">
        <v>125.37</v>
      </c>
      <c r="M51" s="12">
        <f t="shared" si="0"/>
        <v>170.77</v>
      </c>
      <c r="N51" s="12">
        <v>170.77</v>
      </c>
      <c r="X51" s="13">
        <v>243.07</v>
      </c>
      <c r="Y51" s="13">
        <v>151.22999999999999</v>
      </c>
      <c r="Z51" s="13">
        <v>140.91999999999999</v>
      </c>
      <c r="AA51" s="13">
        <v>161.72999999999999</v>
      </c>
      <c r="AB51" s="13">
        <v>185.81</v>
      </c>
      <c r="AC51" s="13">
        <v>149.97999999999999</v>
      </c>
      <c r="AD51" s="13">
        <v>140.82</v>
      </c>
      <c r="AE51" s="13">
        <v>184.4</v>
      </c>
      <c r="AF51" s="13">
        <v>442.26</v>
      </c>
      <c r="AG51" s="13">
        <v>111.06</v>
      </c>
      <c r="AH51" s="13">
        <v>130.08000000000001</v>
      </c>
      <c r="AI51" s="13">
        <v>145.87</v>
      </c>
      <c r="AJ51" s="13">
        <f t="shared" si="1"/>
        <v>129.75</v>
      </c>
      <c r="AK51" s="13">
        <v>129.75</v>
      </c>
      <c r="AM51" s="13">
        <v>75.53</v>
      </c>
      <c r="AN51" s="13">
        <v>196.47</v>
      </c>
      <c r="AO51" s="13">
        <v>417.72</v>
      </c>
      <c r="AP51" s="13">
        <v>757.34</v>
      </c>
      <c r="AQ51" s="13">
        <v>306.77</v>
      </c>
      <c r="AR51" s="13">
        <v>231.56</v>
      </c>
      <c r="AS51" s="13">
        <v>690.4</v>
      </c>
      <c r="AT51" s="13">
        <v>98.35</v>
      </c>
      <c r="AU51" s="13">
        <v>205.45</v>
      </c>
      <c r="AV51" s="13">
        <v>478.03</v>
      </c>
      <c r="AW51" s="13">
        <v>324.89999999999998</v>
      </c>
      <c r="AX51" s="13">
        <v>133.13999999999999</v>
      </c>
      <c r="AY51" s="13">
        <v>100.49</v>
      </c>
      <c r="AZ51" s="13">
        <v>66.91</v>
      </c>
      <c r="BA51" s="13">
        <v>173.37</v>
      </c>
      <c r="BB51" s="13">
        <v>241.6</v>
      </c>
      <c r="BC51" s="13">
        <v>68.13</v>
      </c>
      <c r="BD51" s="13">
        <v>118.27</v>
      </c>
      <c r="BE51" s="13">
        <v>124.58</v>
      </c>
      <c r="BF51" s="13">
        <v>105.02</v>
      </c>
      <c r="BG51" s="13">
        <v>191.32</v>
      </c>
      <c r="BH51" s="13">
        <v>127.12</v>
      </c>
      <c r="BI51" s="13">
        <v>154.63</v>
      </c>
      <c r="BJ51" s="13">
        <v>94.26</v>
      </c>
      <c r="BK51" s="13">
        <v>104.21</v>
      </c>
      <c r="BL51" s="13">
        <v>381.33</v>
      </c>
      <c r="BM51" s="13">
        <v>105.58</v>
      </c>
      <c r="BN51" s="13">
        <v>116.3</v>
      </c>
      <c r="BO51" s="13">
        <v>165.46</v>
      </c>
      <c r="BP51" s="13">
        <v>186.87</v>
      </c>
      <c r="BQ51" s="13">
        <v>97.79</v>
      </c>
      <c r="BR51" s="13">
        <v>198.42</v>
      </c>
      <c r="BS51" s="13">
        <v>122.44</v>
      </c>
      <c r="BT51" s="13">
        <v>75.17</v>
      </c>
      <c r="BU51" s="13">
        <v>69.8</v>
      </c>
      <c r="BV51" s="13">
        <v>66.010000000000005</v>
      </c>
      <c r="BW51" s="7">
        <v>49</v>
      </c>
      <c r="BX51" s="13">
        <v>103.9</v>
      </c>
      <c r="BY51" s="13">
        <v>0.41</v>
      </c>
      <c r="BZ51" s="7">
        <v>0</v>
      </c>
      <c r="CA51" s="13">
        <v>2689.45</v>
      </c>
      <c r="CB51" s="13">
        <v>189.45</v>
      </c>
      <c r="CC51" s="13">
        <v>2449.5500000000002</v>
      </c>
      <c r="CD51" s="13">
        <v>50.45</v>
      </c>
      <c r="CE51" s="13">
        <v>444.73</v>
      </c>
      <c r="CF51" s="13">
        <v>177.08</v>
      </c>
      <c r="CG51" s="7">
        <v>0</v>
      </c>
      <c r="CH51" s="7" t="s">
        <v>104</v>
      </c>
      <c r="CI51" s="7">
        <v>0</v>
      </c>
      <c r="CJ51" s="7" t="s">
        <v>104</v>
      </c>
      <c r="CK51" s="7">
        <v>0</v>
      </c>
      <c r="CL51" s="13">
        <v>267.64999999999998</v>
      </c>
      <c r="CM51" s="7" t="s">
        <v>104</v>
      </c>
      <c r="CN51" s="7" t="s">
        <v>104</v>
      </c>
      <c r="CO51" s="13">
        <v>14006.79</v>
      </c>
      <c r="CP51" s="13">
        <v>3134.17</v>
      </c>
    </row>
    <row r="52" spans="1:94" ht="14.5" x14ac:dyDescent="0.35">
      <c r="A52" s="5" t="s">
        <v>51</v>
      </c>
      <c r="B52" s="12">
        <v>297916.03000000003</v>
      </c>
      <c r="C52" s="12">
        <v>3632.54</v>
      </c>
      <c r="D52" s="12">
        <v>216.09</v>
      </c>
      <c r="E52" s="12">
        <v>149.09</v>
      </c>
      <c r="F52" s="12">
        <v>357.85</v>
      </c>
      <c r="G52" s="12">
        <v>24115.84</v>
      </c>
      <c r="H52" s="12">
        <v>4270.74</v>
      </c>
      <c r="I52" s="12">
        <v>1931.76</v>
      </c>
      <c r="J52" s="12">
        <v>2253.7600000000002</v>
      </c>
      <c r="K52" s="12">
        <v>318.85000000000002</v>
      </c>
      <c r="L52" s="12">
        <v>3026.23</v>
      </c>
      <c r="M52" s="12">
        <f t="shared" si="0"/>
        <v>9635.5400000000009</v>
      </c>
      <c r="N52" s="12">
        <v>9635.5400000000009</v>
      </c>
      <c r="X52" s="12">
        <v>9711.16</v>
      </c>
      <c r="Y52" s="12">
        <v>4711.45</v>
      </c>
      <c r="Z52" s="12">
        <v>2562.9299999999998</v>
      </c>
      <c r="AA52" s="12">
        <v>3736.58</v>
      </c>
      <c r="AB52" s="12">
        <v>5370.24</v>
      </c>
      <c r="AC52" s="12">
        <v>12022.17</v>
      </c>
      <c r="AD52" s="6">
        <v>4833</v>
      </c>
      <c r="AE52" s="12">
        <v>8691.4</v>
      </c>
      <c r="AF52" s="12">
        <v>9458.56</v>
      </c>
      <c r="AG52" s="12">
        <v>2098.23</v>
      </c>
      <c r="AH52" s="12">
        <v>6033.72</v>
      </c>
      <c r="AI52" s="12">
        <v>3454.78</v>
      </c>
      <c r="AJ52" s="13">
        <f t="shared" si="1"/>
        <v>5115.09</v>
      </c>
      <c r="AK52" s="12">
        <v>5115.09</v>
      </c>
      <c r="AM52" s="12">
        <v>208.16</v>
      </c>
      <c r="AN52" s="12">
        <v>2212.73</v>
      </c>
      <c r="AO52" s="12">
        <v>10858.03</v>
      </c>
      <c r="AP52" s="12">
        <v>2449.8000000000002</v>
      </c>
      <c r="AQ52" s="12">
        <v>43064.21</v>
      </c>
      <c r="AR52" s="12">
        <v>10858.01</v>
      </c>
      <c r="AS52" s="12">
        <v>2149.27</v>
      </c>
      <c r="AT52" s="12">
        <v>1512.85</v>
      </c>
      <c r="AU52" s="12">
        <v>2494.62</v>
      </c>
      <c r="AV52" s="12">
        <v>3121.07</v>
      </c>
      <c r="AW52" s="12">
        <v>266.07</v>
      </c>
      <c r="AX52" s="12">
        <v>4719.6899999999996</v>
      </c>
      <c r="AY52" s="12">
        <v>13070.72</v>
      </c>
      <c r="AZ52" s="12">
        <v>847.73</v>
      </c>
      <c r="BA52" s="12">
        <v>1752.86</v>
      </c>
      <c r="BB52" s="12">
        <v>40719.160000000003</v>
      </c>
      <c r="BC52" s="12">
        <v>288.26</v>
      </c>
      <c r="BD52" s="12">
        <v>163.09</v>
      </c>
      <c r="BE52" s="12">
        <v>1229.57</v>
      </c>
      <c r="BF52" s="12">
        <v>1544.26</v>
      </c>
      <c r="BG52" s="12">
        <v>4589.51</v>
      </c>
      <c r="BH52" s="12">
        <v>1386.49</v>
      </c>
      <c r="BI52" s="12">
        <v>3469.64</v>
      </c>
      <c r="BJ52" s="12">
        <v>1387.02</v>
      </c>
      <c r="BK52" s="12">
        <v>821.15</v>
      </c>
      <c r="BL52" s="12">
        <v>3610.05</v>
      </c>
      <c r="BM52" s="12">
        <v>311.05</v>
      </c>
      <c r="BN52" s="12">
        <v>803.37</v>
      </c>
      <c r="BO52" s="12">
        <v>2437.34</v>
      </c>
      <c r="BP52" s="12">
        <v>874.87</v>
      </c>
      <c r="BQ52" s="12">
        <v>692.3</v>
      </c>
      <c r="BR52" s="12">
        <v>3337.11</v>
      </c>
      <c r="BS52" s="12">
        <v>692.69</v>
      </c>
      <c r="BT52" s="6">
        <v>720</v>
      </c>
      <c r="BU52" s="12">
        <v>560.20000000000005</v>
      </c>
      <c r="BV52" s="12">
        <v>278.83</v>
      </c>
      <c r="BW52" s="12">
        <v>368.68</v>
      </c>
      <c r="BX52" s="12">
        <v>337.98</v>
      </c>
      <c r="BY52" s="6">
        <v>0</v>
      </c>
      <c r="BZ52" s="6">
        <v>0</v>
      </c>
      <c r="CA52" s="12">
        <v>6028.16</v>
      </c>
      <c r="CB52" s="12">
        <v>1303.23</v>
      </c>
      <c r="CC52" s="12">
        <v>4637.47</v>
      </c>
      <c r="CD52" s="12">
        <v>87.47</v>
      </c>
      <c r="CE52" s="12">
        <v>9620.2900000000009</v>
      </c>
      <c r="CF52" s="12">
        <v>2981.51</v>
      </c>
      <c r="CG52" s="6">
        <v>0</v>
      </c>
      <c r="CH52" s="6" t="s">
        <v>104</v>
      </c>
      <c r="CI52" s="6">
        <v>0</v>
      </c>
      <c r="CJ52" s="6" t="s">
        <v>104</v>
      </c>
      <c r="CK52" s="6">
        <v>0</v>
      </c>
      <c r="CL52" s="12">
        <v>6638.78</v>
      </c>
      <c r="CM52" s="6" t="s">
        <v>104</v>
      </c>
      <c r="CN52" s="6" t="s">
        <v>104</v>
      </c>
      <c r="CO52" s="12">
        <v>313564.48</v>
      </c>
      <c r="CP52" s="12">
        <v>15648.45</v>
      </c>
    </row>
    <row r="53" spans="1:94" ht="14.5" x14ac:dyDescent="0.35">
      <c r="A53" s="5" t="s">
        <v>52</v>
      </c>
      <c r="B53" s="13">
        <v>67154.179999999993</v>
      </c>
      <c r="C53" s="13">
        <v>1120.53</v>
      </c>
      <c r="D53" s="7">
        <v>423</v>
      </c>
      <c r="E53" s="13">
        <v>426.3</v>
      </c>
      <c r="F53" s="13">
        <v>777.99</v>
      </c>
      <c r="G53" s="13">
        <v>1445.12</v>
      </c>
      <c r="H53" s="13">
        <v>944.92</v>
      </c>
      <c r="I53" s="13">
        <v>886.31</v>
      </c>
      <c r="J53" s="13">
        <v>1142.58</v>
      </c>
      <c r="K53" s="13">
        <v>696.26</v>
      </c>
      <c r="L53" s="13">
        <v>1296.03</v>
      </c>
      <c r="M53" s="12">
        <f t="shared" si="0"/>
        <v>1442.05</v>
      </c>
      <c r="N53" s="12">
        <v>1442.05</v>
      </c>
      <c r="X53" s="13">
        <v>1039.04</v>
      </c>
      <c r="Y53" s="13">
        <v>1302.5</v>
      </c>
      <c r="Z53" s="13">
        <v>1044.47</v>
      </c>
      <c r="AA53" s="13">
        <v>1450.91</v>
      </c>
      <c r="AB53" s="13">
        <v>1364.21</v>
      </c>
      <c r="AC53" s="13">
        <v>1015.16</v>
      </c>
      <c r="AD53" s="13">
        <v>1081.95</v>
      </c>
      <c r="AE53" s="13">
        <v>1153.6500000000001</v>
      </c>
      <c r="AF53" s="13">
        <v>1155.69</v>
      </c>
      <c r="AG53" s="13">
        <v>984.41</v>
      </c>
      <c r="AH53" s="13">
        <v>1016.85</v>
      </c>
      <c r="AI53" s="13">
        <v>1267.5</v>
      </c>
      <c r="AJ53" s="13">
        <f t="shared" si="1"/>
        <v>1270.44</v>
      </c>
      <c r="AK53" s="13">
        <v>1270.44</v>
      </c>
      <c r="AM53" s="13">
        <v>451.8</v>
      </c>
      <c r="AN53" s="13">
        <v>1324.8</v>
      </c>
      <c r="AO53" s="13">
        <v>1440.56</v>
      </c>
      <c r="AP53" s="13">
        <v>1019.45</v>
      </c>
      <c r="AQ53" s="13">
        <v>1179.42</v>
      </c>
      <c r="AR53" s="13">
        <v>2119.73</v>
      </c>
      <c r="AS53" s="13">
        <v>1384.81</v>
      </c>
      <c r="AT53" s="13">
        <v>1344.2</v>
      </c>
      <c r="AU53" s="13">
        <v>1124.47</v>
      </c>
      <c r="AV53" s="13">
        <v>1224.3599999999999</v>
      </c>
      <c r="AW53" s="13">
        <v>821.8</v>
      </c>
      <c r="AX53" s="13">
        <v>1266.04</v>
      </c>
      <c r="AY53" s="13">
        <v>1004.89</v>
      </c>
      <c r="AZ53" s="13">
        <v>1071.96</v>
      </c>
      <c r="BA53" s="13">
        <v>1115.08</v>
      </c>
      <c r="BB53" s="13">
        <v>1261.95</v>
      </c>
      <c r="BC53" s="13">
        <v>640.99</v>
      </c>
      <c r="BD53" s="13">
        <v>969.32</v>
      </c>
      <c r="BE53" s="13">
        <v>1052.3399999999999</v>
      </c>
      <c r="BF53" s="13">
        <v>1034.68</v>
      </c>
      <c r="BG53" s="13">
        <v>1160.8399999999999</v>
      </c>
      <c r="BH53" s="13">
        <v>1088.31</v>
      </c>
      <c r="BI53" s="13">
        <v>1296.68</v>
      </c>
      <c r="BJ53" s="13">
        <v>1071.3699999999999</v>
      </c>
      <c r="BK53" s="13">
        <v>868.4</v>
      </c>
      <c r="BL53" s="13">
        <v>1753.85</v>
      </c>
      <c r="BM53" s="13">
        <v>752.29</v>
      </c>
      <c r="BN53" s="13">
        <v>1149.8699999999999</v>
      </c>
      <c r="BO53" s="13">
        <v>1092.44</v>
      </c>
      <c r="BP53" s="13">
        <v>959.36</v>
      </c>
      <c r="BQ53" s="13">
        <v>1035.1600000000001</v>
      </c>
      <c r="BR53" s="13">
        <v>1329.22</v>
      </c>
      <c r="BS53" s="13">
        <v>1000.98</v>
      </c>
      <c r="BT53" s="13">
        <v>947.57</v>
      </c>
      <c r="BU53" s="13">
        <v>795.66</v>
      </c>
      <c r="BV53" s="13">
        <v>741.11</v>
      </c>
      <c r="BW53" s="13">
        <v>608.91999999999996</v>
      </c>
      <c r="BX53" s="13">
        <v>896.16</v>
      </c>
      <c r="BY53" s="13">
        <v>5.47</v>
      </c>
      <c r="BZ53" s="7">
        <v>0</v>
      </c>
      <c r="CA53" s="13">
        <v>9469.18</v>
      </c>
      <c r="CB53" s="13">
        <v>1420.75</v>
      </c>
      <c r="CC53" s="13">
        <v>7986.35</v>
      </c>
      <c r="CD53" s="13">
        <v>62.08</v>
      </c>
      <c r="CE53" s="13">
        <v>4460.67</v>
      </c>
      <c r="CF53" s="13">
        <v>3103.36</v>
      </c>
      <c r="CG53" s="7">
        <v>0</v>
      </c>
      <c r="CH53" s="7" t="s">
        <v>104</v>
      </c>
      <c r="CI53" s="7">
        <v>0</v>
      </c>
      <c r="CJ53" s="7" t="s">
        <v>104</v>
      </c>
      <c r="CK53" s="7">
        <v>0</v>
      </c>
      <c r="CL53" s="13">
        <v>1357.31</v>
      </c>
      <c r="CM53" s="7" t="s">
        <v>104</v>
      </c>
      <c r="CN53" s="7" t="s">
        <v>104</v>
      </c>
      <c r="CO53" s="13">
        <v>81084.039999999994</v>
      </c>
      <c r="CP53" s="13">
        <v>13929.85</v>
      </c>
    </row>
    <row r="54" spans="1:94" ht="14.5" x14ac:dyDescent="0.35">
      <c r="A54" s="5" t="s">
        <v>53</v>
      </c>
      <c r="B54" s="12">
        <v>76679.98</v>
      </c>
      <c r="C54" s="12">
        <v>630.29999999999995</v>
      </c>
      <c r="D54" s="12">
        <v>42.58</v>
      </c>
      <c r="E54" s="12">
        <v>14.71</v>
      </c>
      <c r="F54" s="12">
        <v>238.94</v>
      </c>
      <c r="G54" s="12">
        <v>5003.5200000000004</v>
      </c>
      <c r="H54" s="12">
        <v>1026.3900000000001</v>
      </c>
      <c r="I54" s="12">
        <v>521.91</v>
      </c>
      <c r="J54" s="12">
        <v>1042.3599999999999</v>
      </c>
      <c r="K54" s="12">
        <v>120.82</v>
      </c>
      <c r="L54" s="12">
        <v>12015.05</v>
      </c>
      <c r="M54" s="12">
        <f t="shared" si="0"/>
        <v>4172.18</v>
      </c>
      <c r="N54" s="12">
        <v>4172.18</v>
      </c>
      <c r="X54" s="12">
        <v>775.96</v>
      </c>
      <c r="Y54" s="12">
        <v>1944.6</v>
      </c>
      <c r="Z54" s="12">
        <v>1243.8900000000001</v>
      </c>
      <c r="AA54" s="12">
        <v>4629.54</v>
      </c>
      <c r="AB54" s="12">
        <v>1738.55</v>
      </c>
      <c r="AC54" s="12">
        <v>1173.17</v>
      </c>
      <c r="AD54" s="12">
        <v>1660.5</v>
      </c>
      <c r="AE54" s="12">
        <v>1898.3</v>
      </c>
      <c r="AF54" s="12">
        <v>3846.56</v>
      </c>
      <c r="AG54" s="12">
        <v>815.69</v>
      </c>
      <c r="AH54" s="12">
        <v>1006.95</v>
      </c>
      <c r="AI54" s="12">
        <v>720.95</v>
      </c>
      <c r="AJ54" s="13">
        <f t="shared" si="1"/>
        <v>4226.1899999999996</v>
      </c>
      <c r="AK54" s="12">
        <v>4226.1899999999996</v>
      </c>
      <c r="AM54" s="12">
        <v>50.25</v>
      </c>
      <c r="AN54" s="12">
        <v>456.12</v>
      </c>
      <c r="AO54" s="12">
        <v>4042.55</v>
      </c>
      <c r="AP54" s="12">
        <v>722.87</v>
      </c>
      <c r="AQ54" s="12">
        <v>3885.34</v>
      </c>
      <c r="AR54" s="12">
        <v>1189.1199999999999</v>
      </c>
      <c r="AS54" s="12">
        <v>4264.5600000000004</v>
      </c>
      <c r="AT54" s="12">
        <v>148.91</v>
      </c>
      <c r="AU54" s="12">
        <v>171.31</v>
      </c>
      <c r="AV54" s="12">
        <v>3588.91</v>
      </c>
      <c r="AW54" s="12">
        <v>137.03</v>
      </c>
      <c r="AX54" s="12">
        <v>493.55</v>
      </c>
      <c r="AY54" s="12">
        <v>497.02</v>
      </c>
      <c r="AZ54" s="12">
        <v>187.02</v>
      </c>
      <c r="BA54" s="12">
        <v>213.81</v>
      </c>
      <c r="BB54" s="12">
        <v>596.88</v>
      </c>
      <c r="BC54" s="12">
        <v>56.85</v>
      </c>
      <c r="BD54" s="12">
        <v>23.66</v>
      </c>
      <c r="BE54" s="12">
        <v>41.68</v>
      </c>
      <c r="BF54" s="12">
        <v>349.99</v>
      </c>
      <c r="BG54" s="12">
        <v>400.99</v>
      </c>
      <c r="BH54" s="12">
        <v>361.68</v>
      </c>
      <c r="BI54" s="12">
        <v>674.4</v>
      </c>
      <c r="BJ54" s="12">
        <v>187.51</v>
      </c>
      <c r="BK54" s="12">
        <v>127.7</v>
      </c>
      <c r="BL54" s="12">
        <v>394.45</v>
      </c>
      <c r="BM54" s="12">
        <v>54.66</v>
      </c>
      <c r="BN54" s="12">
        <v>115.15</v>
      </c>
      <c r="BO54" s="12">
        <v>350.11</v>
      </c>
      <c r="BP54" s="12">
        <v>617.20000000000005</v>
      </c>
      <c r="BQ54" s="12">
        <v>219.78</v>
      </c>
      <c r="BR54" s="12">
        <v>1010.45</v>
      </c>
      <c r="BS54" s="12">
        <v>151.69</v>
      </c>
      <c r="BT54" s="12">
        <v>75.430000000000007</v>
      </c>
      <c r="BU54" s="12">
        <v>77.27</v>
      </c>
      <c r="BV54" s="12">
        <v>109.71</v>
      </c>
      <c r="BW54" s="12">
        <v>48.63</v>
      </c>
      <c r="BX54" s="12">
        <v>73.84</v>
      </c>
      <c r="BY54" s="12">
        <v>2.2799999999999998</v>
      </c>
      <c r="BZ54" s="6">
        <v>0</v>
      </c>
      <c r="CA54" s="12">
        <v>8052.43</v>
      </c>
      <c r="CB54" s="12">
        <v>1846.76</v>
      </c>
      <c r="CC54" s="12">
        <v>6180.24</v>
      </c>
      <c r="CD54" s="12">
        <v>25.43</v>
      </c>
      <c r="CE54" s="12">
        <v>7413.92</v>
      </c>
      <c r="CF54" s="12">
        <v>199.91</v>
      </c>
      <c r="CG54" s="6">
        <v>0</v>
      </c>
      <c r="CH54" s="6" t="s">
        <v>104</v>
      </c>
      <c r="CI54" s="6">
        <v>0</v>
      </c>
      <c r="CJ54" s="6" t="s">
        <v>104</v>
      </c>
      <c r="CK54" s="6">
        <v>0</v>
      </c>
      <c r="CL54" s="12">
        <v>7214.01</v>
      </c>
      <c r="CM54" s="6" t="s">
        <v>104</v>
      </c>
      <c r="CN54" s="6" t="s">
        <v>104</v>
      </c>
      <c r="CO54" s="12">
        <v>92146.33</v>
      </c>
      <c r="CP54" s="12">
        <v>15466.35</v>
      </c>
    </row>
    <row r="55" spans="1:94" ht="14.5" x14ac:dyDescent="0.35">
      <c r="A55" s="5" t="s">
        <v>54</v>
      </c>
      <c r="B55" s="13">
        <v>23749.03</v>
      </c>
      <c r="C55" s="13">
        <v>44.06</v>
      </c>
      <c r="D55" s="13">
        <v>26.77</v>
      </c>
      <c r="E55" s="13">
        <v>13.86</v>
      </c>
      <c r="F55" s="13">
        <v>56.65</v>
      </c>
      <c r="G55" s="13">
        <v>731.48</v>
      </c>
      <c r="H55" s="13">
        <v>84.78</v>
      </c>
      <c r="I55" s="13">
        <v>72.599999999999994</v>
      </c>
      <c r="J55" s="13">
        <v>115.97</v>
      </c>
      <c r="K55" s="13">
        <v>13.65</v>
      </c>
      <c r="L55" s="13">
        <v>3453.28</v>
      </c>
      <c r="M55" s="12">
        <f t="shared" si="0"/>
        <v>825.9</v>
      </c>
      <c r="N55" s="12">
        <v>825.9</v>
      </c>
      <c r="X55" s="13">
        <v>258.19</v>
      </c>
      <c r="Y55" s="13">
        <v>140.41</v>
      </c>
      <c r="Z55" s="13">
        <v>185.37</v>
      </c>
      <c r="AA55" s="13">
        <v>672.1</v>
      </c>
      <c r="AB55" s="13">
        <v>208.82</v>
      </c>
      <c r="AC55" s="13">
        <v>327.48</v>
      </c>
      <c r="AD55" s="13">
        <v>247.66</v>
      </c>
      <c r="AE55" s="13">
        <v>295.55</v>
      </c>
      <c r="AF55" s="13">
        <v>374.44</v>
      </c>
      <c r="AG55" s="13">
        <v>139.32</v>
      </c>
      <c r="AH55" s="13">
        <v>92.24</v>
      </c>
      <c r="AI55" s="13">
        <v>124.84</v>
      </c>
      <c r="AJ55" s="13">
        <f t="shared" si="1"/>
        <v>502.44</v>
      </c>
      <c r="AK55" s="13">
        <v>502.44</v>
      </c>
      <c r="AM55" s="13">
        <v>5.0199999999999996</v>
      </c>
      <c r="AN55" s="13">
        <v>93.56</v>
      </c>
      <c r="AO55" s="13">
        <v>360.12</v>
      </c>
      <c r="AP55" s="13">
        <v>95.28</v>
      </c>
      <c r="AQ55" s="13">
        <v>822.21</v>
      </c>
      <c r="AR55" s="13">
        <v>96.18</v>
      </c>
      <c r="AS55" s="13">
        <v>633.16</v>
      </c>
      <c r="AT55" s="13">
        <v>9885.9</v>
      </c>
      <c r="AU55" s="13">
        <v>72.52</v>
      </c>
      <c r="AV55" s="13">
        <v>1351.42</v>
      </c>
      <c r="AW55" s="13">
        <v>22.66</v>
      </c>
      <c r="AX55" s="13">
        <v>79.849999999999994</v>
      </c>
      <c r="AY55" s="13">
        <v>130.38999999999999</v>
      </c>
      <c r="AZ55" s="13">
        <v>20.18</v>
      </c>
      <c r="BA55" s="13">
        <v>37.83</v>
      </c>
      <c r="BB55" s="13">
        <v>110.98</v>
      </c>
      <c r="BC55" s="13">
        <v>4.83</v>
      </c>
      <c r="BD55" s="13">
        <v>7.59</v>
      </c>
      <c r="BE55" s="13">
        <v>10.79</v>
      </c>
      <c r="BF55" s="13">
        <v>42.68</v>
      </c>
      <c r="BG55" s="13">
        <v>97.14</v>
      </c>
      <c r="BH55" s="13">
        <v>32.99</v>
      </c>
      <c r="BI55" s="13">
        <v>75.290000000000006</v>
      </c>
      <c r="BJ55" s="13">
        <v>16.45</v>
      </c>
      <c r="BK55" s="13">
        <v>25.44</v>
      </c>
      <c r="BL55" s="13">
        <v>102.03</v>
      </c>
      <c r="BM55" s="13">
        <v>12.38</v>
      </c>
      <c r="BN55" s="13">
        <v>112.55</v>
      </c>
      <c r="BO55" s="13">
        <v>83.63</v>
      </c>
      <c r="BP55" s="13">
        <v>92.18</v>
      </c>
      <c r="BQ55" s="13">
        <v>29.44</v>
      </c>
      <c r="BR55" s="13">
        <v>110.99</v>
      </c>
      <c r="BS55" s="13">
        <v>27.33</v>
      </c>
      <c r="BT55" s="13">
        <v>12.16</v>
      </c>
      <c r="BU55" s="13">
        <v>9.36</v>
      </c>
      <c r="BV55" s="13">
        <v>5.67</v>
      </c>
      <c r="BW55" s="13">
        <v>5.68</v>
      </c>
      <c r="BX55" s="13">
        <v>6.18</v>
      </c>
      <c r="BY55" s="13">
        <v>1.1299999999999999</v>
      </c>
      <c r="BZ55" s="7">
        <v>0</v>
      </c>
      <c r="CA55" s="13">
        <v>3866.57</v>
      </c>
      <c r="CB55" s="13">
        <v>48.91</v>
      </c>
      <c r="CC55" s="13">
        <v>3817.52</v>
      </c>
      <c r="CD55" s="13">
        <v>0.13</v>
      </c>
      <c r="CE55" s="13">
        <v>1770.34</v>
      </c>
      <c r="CF55" s="13">
        <v>769.28</v>
      </c>
      <c r="CG55" s="7">
        <v>0</v>
      </c>
      <c r="CH55" s="7" t="s">
        <v>104</v>
      </c>
      <c r="CI55" s="7">
        <v>0</v>
      </c>
      <c r="CJ55" s="7" t="s">
        <v>104</v>
      </c>
      <c r="CK55" s="7">
        <v>0</v>
      </c>
      <c r="CL55" s="13">
        <v>1001.06</v>
      </c>
      <c r="CM55" s="7" t="s">
        <v>104</v>
      </c>
      <c r="CN55" s="7" t="s">
        <v>104</v>
      </c>
      <c r="CO55" s="13">
        <v>29385.94</v>
      </c>
      <c r="CP55" s="13">
        <v>5636.91</v>
      </c>
    </row>
    <row r="56" spans="1:94" ht="14.5" x14ac:dyDescent="0.35">
      <c r="A56" s="5" t="s">
        <v>55</v>
      </c>
      <c r="B56" s="12">
        <v>6631.62</v>
      </c>
      <c r="C56" s="12">
        <v>27.83</v>
      </c>
      <c r="D56" s="12">
        <v>2.33</v>
      </c>
      <c r="E56" s="12">
        <v>1.32</v>
      </c>
      <c r="F56" s="12">
        <v>5.77</v>
      </c>
      <c r="G56" s="12">
        <v>136.16</v>
      </c>
      <c r="H56" s="12">
        <v>36.36</v>
      </c>
      <c r="I56" s="12">
        <v>7.18</v>
      </c>
      <c r="J56" s="12">
        <v>15.39</v>
      </c>
      <c r="K56" s="12">
        <v>8.23</v>
      </c>
      <c r="L56" s="12">
        <v>348.04</v>
      </c>
      <c r="M56" s="12">
        <f t="shared" si="0"/>
        <v>140.6</v>
      </c>
      <c r="N56" s="12">
        <v>140.6</v>
      </c>
      <c r="X56" s="12">
        <v>72.52</v>
      </c>
      <c r="Y56" s="12">
        <v>53.93</v>
      </c>
      <c r="Z56" s="12">
        <v>31.07</v>
      </c>
      <c r="AA56" s="12">
        <v>81.150000000000006</v>
      </c>
      <c r="AB56" s="12">
        <v>101.3</v>
      </c>
      <c r="AC56" s="12">
        <v>151.22999999999999</v>
      </c>
      <c r="AD56" s="12">
        <v>156.41999999999999</v>
      </c>
      <c r="AE56" s="12">
        <v>208.14</v>
      </c>
      <c r="AF56" s="12">
        <v>167.77</v>
      </c>
      <c r="AG56" s="12">
        <v>192.62</v>
      </c>
      <c r="AH56" s="12">
        <v>44.05</v>
      </c>
      <c r="AI56" s="12">
        <v>85.38</v>
      </c>
      <c r="AJ56" s="13">
        <f t="shared" si="1"/>
        <v>285.3</v>
      </c>
      <c r="AK56" s="12">
        <v>285.3</v>
      </c>
      <c r="AM56" s="12">
        <v>2.27</v>
      </c>
      <c r="AN56" s="12">
        <v>21.95</v>
      </c>
      <c r="AO56" s="12">
        <v>145.66</v>
      </c>
      <c r="AP56" s="12">
        <v>31.7</v>
      </c>
      <c r="AQ56" s="12">
        <v>140.34</v>
      </c>
      <c r="AR56" s="12">
        <v>64.62</v>
      </c>
      <c r="AS56" s="12">
        <v>47.24</v>
      </c>
      <c r="AT56" s="12">
        <v>51.67</v>
      </c>
      <c r="AU56" s="12">
        <v>973.42</v>
      </c>
      <c r="AV56" s="12">
        <v>205.23</v>
      </c>
      <c r="AW56" s="12">
        <v>102.03</v>
      </c>
      <c r="AX56" s="12">
        <v>58.56</v>
      </c>
      <c r="AY56" s="12">
        <v>29.55</v>
      </c>
      <c r="AZ56" s="12">
        <v>60.08</v>
      </c>
      <c r="BA56" s="12">
        <v>38.19</v>
      </c>
      <c r="BB56" s="12">
        <v>128.13999999999999</v>
      </c>
      <c r="BC56" s="12">
        <v>50.79</v>
      </c>
      <c r="BD56" s="12">
        <v>28.18</v>
      </c>
      <c r="BE56" s="12">
        <v>72.61</v>
      </c>
      <c r="BF56" s="12">
        <v>27.97</v>
      </c>
      <c r="BG56" s="12">
        <v>135.82</v>
      </c>
      <c r="BH56" s="12">
        <v>65.73</v>
      </c>
      <c r="BI56" s="12">
        <v>91.75</v>
      </c>
      <c r="BJ56" s="12">
        <v>40.51</v>
      </c>
      <c r="BK56" s="12">
        <v>25.99</v>
      </c>
      <c r="BL56" s="12">
        <v>68.099999999999994</v>
      </c>
      <c r="BM56" s="12">
        <v>12.6</v>
      </c>
      <c r="BN56" s="12">
        <v>992.02</v>
      </c>
      <c r="BO56" s="12">
        <v>68.53</v>
      </c>
      <c r="BP56" s="12">
        <v>168.04</v>
      </c>
      <c r="BQ56" s="12">
        <v>36.81</v>
      </c>
      <c r="BR56" s="12">
        <v>114.38</v>
      </c>
      <c r="BS56" s="12">
        <v>37.99</v>
      </c>
      <c r="BT56" s="12">
        <v>44.79</v>
      </c>
      <c r="BU56" s="12">
        <v>18.55</v>
      </c>
      <c r="BV56" s="12">
        <v>46.74</v>
      </c>
      <c r="BW56" s="12">
        <v>4.1399999999999997</v>
      </c>
      <c r="BX56" s="12">
        <v>17.8</v>
      </c>
      <c r="BY56" s="12">
        <v>1.0900000000000001</v>
      </c>
      <c r="BZ56" s="6">
        <v>0</v>
      </c>
      <c r="CA56" s="12">
        <v>6347.3</v>
      </c>
      <c r="CB56" s="12">
        <v>44.62</v>
      </c>
      <c r="CC56" s="12">
        <v>6302.58</v>
      </c>
      <c r="CD56" s="12">
        <v>0.11</v>
      </c>
      <c r="CE56" s="12">
        <v>557.46</v>
      </c>
      <c r="CF56" s="12">
        <v>-196.23</v>
      </c>
      <c r="CG56" s="6">
        <v>0</v>
      </c>
      <c r="CH56" s="6" t="s">
        <v>104</v>
      </c>
      <c r="CI56" s="6">
        <v>0</v>
      </c>
      <c r="CJ56" s="6" t="s">
        <v>104</v>
      </c>
      <c r="CK56" s="6">
        <v>0</v>
      </c>
      <c r="CL56" s="12">
        <v>753.68</v>
      </c>
      <c r="CM56" s="6" t="s">
        <v>104</v>
      </c>
      <c r="CN56" s="6" t="s">
        <v>104</v>
      </c>
      <c r="CO56" s="12">
        <v>13536.39</v>
      </c>
      <c r="CP56" s="12">
        <v>6904.76</v>
      </c>
    </row>
    <row r="57" spans="1:94" ht="14.5" x14ac:dyDescent="0.35">
      <c r="A57" s="5" t="s">
        <v>56</v>
      </c>
      <c r="B57" s="13">
        <v>31653.97</v>
      </c>
      <c r="C57" s="13">
        <v>39.49</v>
      </c>
      <c r="D57" s="13">
        <v>5.9</v>
      </c>
      <c r="E57" s="13">
        <v>9.6300000000000008</v>
      </c>
      <c r="F57" s="13">
        <v>33.67</v>
      </c>
      <c r="G57" s="13">
        <v>423.54</v>
      </c>
      <c r="H57" s="13">
        <v>60.02</v>
      </c>
      <c r="I57" s="13">
        <v>49.24</v>
      </c>
      <c r="J57" s="13">
        <v>76.63</v>
      </c>
      <c r="K57" s="13">
        <v>10.44</v>
      </c>
      <c r="L57" s="13">
        <v>185.53</v>
      </c>
      <c r="M57" s="12">
        <f t="shared" si="0"/>
        <v>246.12</v>
      </c>
      <c r="N57" s="12">
        <v>246.12</v>
      </c>
      <c r="X57" s="13">
        <v>99.92</v>
      </c>
      <c r="Y57" s="13">
        <v>77.81</v>
      </c>
      <c r="Z57" s="13">
        <v>98.68</v>
      </c>
      <c r="AA57" s="13">
        <v>150.71</v>
      </c>
      <c r="AB57" s="13">
        <v>110.74</v>
      </c>
      <c r="AC57" s="13">
        <v>50.78</v>
      </c>
      <c r="AD57" s="13">
        <v>53.04</v>
      </c>
      <c r="AE57" s="13">
        <v>114.79</v>
      </c>
      <c r="AF57" s="13">
        <v>162.01</v>
      </c>
      <c r="AG57" s="13">
        <v>59.91</v>
      </c>
      <c r="AH57" s="13">
        <v>41.71</v>
      </c>
      <c r="AI57" s="13">
        <v>72.930000000000007</v>
      </c>
      <c r="AJ57" s="13">
        <f t="shared" si="1"/>
        <v>144.38</v>
      </c>
      <c r="AK57" s="13">
        <v>144.38</v>
      </c>
      <c r="AM57" s="13">
        <v>4.2699999999999996</v>
      </c>
      <c r="AN57" s="13">
        <v>63.84</v>
      </c>
      <c r="AO57" s="13">
        <v>381.07</v>
      </c>
      <c r="AP57" s="13">
        <v>193.86</v>
      </c>
      <c r="AQ57" s="13">
        <v>2121.94</v>
      </c>
      <c r="AR57" s="13">
        <v>532.82000000000005</v>
      </c>
      <c r="AS57" s="13">
        <v>1954.03</v>
      </c>
      <c r="AT57" s="13">
        <v>13762.63</v>
      </c>
      <c r="AU57" s="13">
        <v>2035.95</v>
      </c>
      <c r="AV57" s="13">
        <v>6444.37</v>
      </c>
      <c r="AW57" s="13">
        <v>295.26</v>
      </c>
      <c r="AX57" s="13">
        <v>60.27</v>
      </c>
      <c r="AY57" s="13">
        <v>47.62</v>
      </c>
      <c r="AZ57" s="13">
        <v>9.2100000000000009</v>
      </c>
      <c r="BA57" s="13">
        <v>145.30000000000001</v>
      </c>
      <c r="BB57" s="13">
        <v>207.4</v>
      </c>
      <c r="BC57" s="13">
        <v>9.1300000000000008</v>
      </c>
      <c r="BD57" s="13">
        <v>9.2200000000000006</v>
      </c>
      <c r="BE57" s="13">
        <v>12.1</v>
      </c>
      <c r="BF57" s="13">
        <v>132.66999999999999</v>
      </c>
      <c r="BG57" s="13">
        <v>128.1</v>
      </c>
      <c r="BH57" s="13">
        <v>40.6</v>
      </c>
      <c r="BI57" s="13">
        <v>52.73</v>
      </c>
      <c r="BJ57" s="13">
        <v>30.34</v>
      </c>
      <c r="BK57" s="13">
        <v>24.35</v>
      </c>
      <c r="BL57" s="13">
        <v>180.68</v>
      </c>
      <c r="BM57" s="13">
        <v>17.190000000000001</v>
      </c>
      <c r="BN57" s="13">
        <v>50.6</v>
      </c>
      <c r="BO57" s="13">
        <v>84.94</v>
      </c>
      <c r="BP57" s="13">
        <v>129.19</v>
      </c>
      <c r="BQ57" s="13">
        <v>12.79</v>
      </c>
      <c r="BR57" s="13">
        <v>32.590000000000003</v>
      </c>
      <c r="BS57" s="13">
        <v>6.76</v>
      </c>
      <c r="BT57" s="13">
        <v>13.72</v>
      </c>
      <c r="BU57" s="13">
        <v>11.16</v>
      </c>
      <c r="BV57" s="13">
        <v>3.79</v>
      </c>
      <c r="BW57" s="13">
        <v>15.28</v>
      </c>
      <c r="BX57" s="13">
        <v>15.45</v>
      </c>
      <c r="BY57" s="13">
        <v>3.14</v>
      </c>
      <c r="BZ57" s="7">
        <v>0</v>
      </c>
      <c r="CA57" s="13">
        <v>340.73</v>
      </c>
      <c r="CB57" s="13">
        <v>6.99</v>
      </c>
      <c r="CC57" s="13">
        <v>333.64</v>
      </c>
      <c r="CD57" s="13">
        <v>0.09</v>
      </c>
      <c r="CE57" s="13">
        <v>45.7</v>
      </c>
      <c r="CF57" s="13">
        <v>3.85</v>
      </c>
      <c r="CG57" s="7">
        <v>0</v>
      </c>
      <c r="CH57" s="7" t="s">
        <v>104</v>
      </c>
      <c r="CI57" s="7">
        <v>0</v>
      </c>
      <c r="CJ57" s="7" t="s">
        <v>104</v>
      </c>
      <c r="CK57" s="7">
        <v>0</v>
      </c>
      <c r="CL57" s="13">
        <v>41.85</v>
      </c>
      <c r="CM57" s="7" t="s">
        <v>104</v>
      </c>
      <c r="CN57" s="7" t="s">
        <v>104</v>
      </c>
      <c r="CO57" s="13">
        <v>32040.39</v>
      </c>
      <c r="CP57" s="13">
        <v>386.43</v>
      </c>
    </row>
    <row r="58" spans="1:94" ht="14.5" x14ac:dyDescent="0.35">
      <c r="A58" s="5" t="s">
        <v>57</v>
      </c>
      <c r="B58" s="12">
        <v>16158.62</v>
      </c>
      <c r="C58" s="12">
        <v>38.340000000000003</v>
      </c>
      <c r="D58" s="12">
        <v>4.5199999999999996</v>
      </c>
      <c r="E58" s="12">
        <v>0.77</v>
      </c>
      <c r="F58" s="12">
        <v>12.24</v>
      </c>
      <c r="G58" s="12">
        <v>241.82</v>
      </c>
      <c r="H58" s="12">
        <v>70.64</v>
      </c>
      <c r="I58" s="12">
        <v>14.69</v>
      </c>
      <c r="J58" s="12">
        <v>27.03</v>
      </c>
      <c r="K58" s="12">
        <v>24.8</v>
      </c>
      <c r="L58" s="12">
        <v>58.53</v>
      </c>
      <c r="M58" s="12">
        <f t="shared" si="0"/>
        <v>289.43</v>
      </c>
      <c r="N58" s="12">
        <v>289.43</v>
      </c>
      <c r="X58" s="12">
        <v>192.75</v>
      </c>
      <c r="Y58" s="12">
        <v>69.02</v>
      </c>
      <c r="Z58" s="12">
        <v>35.4</v>
      </c>
      <c r="AA58" s="12">
        <v>39.99</v>
      </c>
      <c r="AB58" s="12">
        <v>108.49</v>
      </c>
      <c r="AC58" s="12">
        <v>145.52000000000001</v>
      </c>
      <c r="AD58" s="12">
        <v>158.53</v>
      </c>
      <c r="AE58" s="12">
        <v>221.97</v>
      </c>
      <c r="AF58" s="12">
        <v>153.21</v>
      </c>
      <c r="AG58" s="12">
        <v>21.78</v>
      </c>
      <c r="AH58" s="12">
        <v>121.81</v>
      </c>
      <c r="AI58" s="12">
        <v>64.87</v>
      </c>
      <c r="AJ58" s="13">
        <f t="shared" si="1"/>
        <v>208.61</v>
      </c>
      <c r="AK58" s="12">
        <v>208.61</v>
      </c>
      <c r="AM58" s="12">
        <v>22.61</v>
      </c>
      <c r="AN58" s="12">
        <v>116.87</v>
      </c>
      <c r="AO58" s="12">
        <v>180.07</v>
      </c>
      <c r="AP58" s="12">
        <v>171.21</v>
      </c>
      <c r="AQ58" s="12">
        <v>1030.0999999999999</v>
      </c>
      <c r="AR58" s="12">
        <v>993.64</v>
      </c>
      <c r="AS58" s="12">
        <v>370.65</v>
      </c>
      <c r="AT58" s="12">
        <v>191.34</v>
      </c>
      <c r="AU58" s="12">
        <v>110.92</v>
      </c>
      <c r="AV58" s="12">
        <v>429.75</v>
      </c>
      <c r="AW58" s="12">
        <v>2000.1</v>
      </c>
      <c r="AX58" s="12">
        <v>368.49</v>
      </c>
      <c r="AY58" s="12">
        <v>223.17</v>
      </c>
      <c r="AZ58" s="12">
        <v>88.97</v>
      </c>
      <c r="BA58" s="12">
        <v>492.99</v>
      </c>
      <c r="BB58" s="12">
        <v>833.93</v>
      </c>
      <c r="BC58" s="12">
        <v>378.69</v>
      </c>
      <c r="BD58" s="12">
        <v>164.94</v>
      </c>
      <c r="BE58" s="12">
        <v>317.8</v>
      </c>
      <c r="BF58" s="12">
        <v>177.8</v>
      </c>
      <c r="BG58" s="12">
        <v>2025.6</v>
      </c>
      <c r="BH58" s="12">
        <v>106.54</v>
      </c>
      <c r="BI58" s="12">
        <v>232.72</v>
      </c>
      <c r="BJ58" s="12">
        <v>133.18</v>
      </c>
      <c r="BK58" s="12">
        <v>85.86</v>
      </c>
      <c r="BL58" s="12">
        <v>334.56</v>
      </c>
      <c r="BM58" s="12">
        <v>234.61</v>
      </c>
      <c r="BN58" s="12">
        <v>43.25</v>
      </c>
      <c r="BO58" s="12">
        <v>303.33</v>
      </c>
      <c r="BP58" s="12">
        <v>833.56</v>
      </c>
      <c r="BQ58" s="12">
        <v>132.54</v>
      </c>
      <c r="BR58" s="12">
        <v>208.66</v>
      </c>
      <c r="BS58" s="12">
        <v>185.89</v>
      </c>
      <c r="BT58" s="12">
        <v>97.21</v>
      </c>
      <c r="BU58" s="12">
        <v>52.2</v>
      </c>
      <c r="BV58" s="12">
        <v>78.16</v>
      </c>
      <c r="BW58" s="12">
        <v>11.61</v>
      </c>
      <c r="BX58" s="12">
        <v>63.58</v>
      </c>
      <c r="BY58" s="12">
        <v>6.79</v>
      </c>
      <c r="BZ58" s="6">
        <v>0</v>
      </c>
      <c r="CA58" s="12">
        <v>1421.19</v>
      </c>
      <c r="CB58" s="12">
        <v>3.72</v>
      </c>
      <c r="CC58" s="12">
        <v>1417.47</v>
      </c>
      <c r="CD58" s="6">
        <v>0</v>
      </c>
      <c r="CE58" s="12">
        <v>0.05</v>
      </c>
      <c r="CF58" s="12">
        <v>0.05</v>
      </c>
      <c r="CG58" s="6">
        <v>0</v>
      </c>
      <c r="CH58" s="6" t="s">
        <v>104</v>
      </c>
      <c r="CI58" s="6">
        <v>0</v>
      </c>
      <c r="CJ58" s="6" t="s">
        <v>104</v>
      </c>
      <c r="CK58" s="6">
        <v>0</v>
      </c>
      <c r="CL58" s="6">
        <v>0</v>
      </c>
      <c r="CM58" s="6" t="s">
        <v>104</v>
      </c>
      <c r="CN58" s="6" t="s">
        <v>104</v>
      </c>
      <c r="CO58" s="12">
        <v>17579.86</v>
      </c>
      <c r="CP58" s="12">
        <v>1421.24</v>
      </c>
    </row>
    <row r="59" spans="1:94" ht="14.5" x14ac:dyDescent="0.35">
      <c r="A59" s="5" t="s">
        <v>58</v>
      </c>
      <c r="B59" s="13">
        <v>2472.56</v>
      </c>
      <c r="C59" s="13">
        <v>12.41</v>
      </c>
      <c r="D59" s="13">
        <v>3.01</v>
      </c>
      <c r="E59" s="13">
        <v>6.45</v>
      </c>
      <c r="F59" s="13">
        <v>8.0500000000000007</v>
      </c>
      <c r="G59" s="13">
        <v>39.28</v>
      </c>
      <c r="H59" s="13">
        <v>17.93</v>
      </c>
      <c r="I59" s="13">
        <v>9.9700000000000006</v>
      </c>
      <c r="J59" s="13">
        <v>12.43</v>
      </c>
      <c r="K59" s="13">
        <v>8.5</v>
      </c>
      <c r="L59" s="13">
        <v>13.05</v>
      </c>
      <c r="M59" s="12">
        <f t="shared" si="0"/>
        <v>32.57</v>
      </c>
      <c r="N59" s="12">
        <v>32.57</v>
      </c>
      <c r="X59" s="13">
        <v>19.22</v>
      </c>
      <c r="Y59" s="13">
        <v>25.72</v>
      </c>
      <c r="Z59" s="13">
        <v>17.809999999999999</v>
      </c>
      <c r="AA59" s="13">
        <v>24.61</v>
      </c>
      <c r="AB59" s="13">
        <v>34.880000000000003</v>
      </c>
      <c r="AC59" s="13">
        <v>30.18</v>
      </c>
      <c r="AD59" s="13">
        <v>27.51</v>
      </c>
      <c r="AE59" s="13">
        <v>53.23</v>
      </c>
      <c r="AF59" s="13">
        <v>40.86</v>
      </c>
      <c r="AG59" s="13">
        <v>21.18</v>
      </c>
      <c r="AH59" s="13">
        <v>20.7</v>
      </c>
      <c r="AI59" s="13">
        <v>26.35</v>
      </c>
      <c r="AJ59" s="13">
        <f t="shared" si="1"/>
        <v>30.54</v>
      </c>
      <c r="AK59" s="13">
        <v>30.54</v>
      </c>
      <c r="AM59" s="13">
        <v>5.8</v>
      </c>
      <c r="AN59" s="13">
        <v>18.61</v>
      </c>
      <c r="AO59" s="13">
        <v>83.97</v>
      </c>
      <c r="AP59" s="13">
        <v>22.13</v>
      </c>
      <c r="AQ59" s="13">
        <v>50.8</v>
      </c>
      <c r="AR59" s="13">
        <v>35.83</v>
      </c>
      <c r="AS59" s="13">
        <v>81.150000000000006</v>
      </c>
      <c r="AT59" s="13">
        <v>19.64</v>
      </c>
      <c r="AU59" s="13">
        <v>33.159999999999997</v>
      </c>
      <c r="AV59" s="13">
        <v>62.67</v>
      </c>
      <c r="AW59" s="13">
        <v>8.48</v>
      </c>
      <c r="AX59" s="13">
        <v>45.14</v>
      </c>
      <c r="AY59" s="13">
        <v>14.09</v>
      </c>
      <c r="AZ59" s="13">
        <v>21.84</v>
      </c>
      <c r="BA59" s="13">
        <v>38.78</v>
      </c>
      <c r="BB59" s="13">
        <v>51.47</v>
      </c>
      <c r="BC59" s="13">
        <v>16.02</v>
      </c>
      <c r="BD59" s="13">
        <v>19.61</v>
      </c>
      <c r="BE59" s="13">
        <v>32.28</v>
      </c>
      <c r="BF59" s="7">
        <v>20</v>
      </c>
      <c r="BG59" s="13">
        <v>58.34</v>
      </c>
      <c r="BH59" s="13">
        <v>24.73</v>
      </c>
      <c r="BI59" s="13">
        <v>27.13</v>
      </c>
      <c r="BJ59" s="13">
        <v>18.989999999999998</v>
      </c>
      <c r="BK59" s="13">
        <v>17.54</v>
      </c>
      <c r="BL59" s="13">
        <v>27.3</v>
      </c>
      <c r="BM59" s="13">
        <v>18.3</v>
      </c>
      <c r="BN59" s="13">
        <v>773.85</v>
      </c>
      <c r="BO59" s="13">
        <v>35.49</v>
      </c>
      <c r="BP59" s="13">
        <v>39.729999999999997</v>
      </c>
      <c r="BQ59" s="13">
        <v>44.32</v>
      </c>
      <c r="BR59" s="13">
        <v>47.81</v>
      </c>
      <c r="BS59" s="13">
        <v>35.54</v>
      </c>
      <c r="BT59" s="13">
        <v>21.86</v>
      </c>
      <c r="BU59" s="13">
        <v>14.85</v>
      </c>
      <c r="BV59" s="13">
        <v>20.079999999999998</v>
      </c>
      <c r="BW59" s="13">
        <v>9.7200000000000006</v>
      </c>
      <c r="BX59" s="13">
        <v>18.98</v>
      </c>
      <c r="BY59" s="13">
        <v>0.11</v>
      </c>
      <c r="BZ59" s="7">
        <v>0</v>
      </c>
      <c r="CA59" s="13">
        <v>611.37</v>
      </c>
      <c r="CB59" s="13">
        <v>19.68</v>
      </c>
      <c r="CC59" s="13">
        <v>591.69000000000005</v>
      </c>
      <c r="CD59" s="7">
        <v>0</v>
      </c>
      <c r="CE59" s="13">
        <v>210.35</v>
      </c>
      <c r="CF59" s="13">
        <v>195.82</v>
      </c>
      <c r="CG59" s="7">
        <v>0</v>
      </c>
      <c r="CH59" s="7" t="s">
        <v>104</v>
      </c>
      <c r="CI59" s="7">
        <v>0</v>
      </c>
      <c r="CJ59" s="7" t="s">
        <v>104</v>
      </c>
      <c r="CK59" s="7">
        <v>0</v>
      </c>
      <c r="CL59" s="13">
        <v>14.52</v>
      </c>
      <c r="CM59" s="7" t="s">
        <v>104</v>
      </c>
      <c r="CN59" s="7" t="s">
        <v>104</v>
      </c>
      <c r="CO59" s="13">
        <v>3294.27</v>
      </c>
      <c r="CP59" s="13">
        <v>821.71</v>
      </c>
    </row>
    <row r="60" spans="1:94" ht="14.5" x14ac:dyDescent="0.35">
      <c r="A60" s="5" t="s">
        <v>59</v>
      </c>
      <c r="B60" s="12">
        <v>26204.61</v>
      </c>
      <c r="C60" s="12">
        <v>28.32</v>
      </c>
      <c r="D60" s="12">
        <v>3.04</v>
      </c>
      <c r="E60" s="12">
        <v>0.31</v>
      </c>
      <c r="F60" s="12">
        <v>22.74</v>
      </c>
      <c r="G60" s="12">
        <v>496.77</v>
      </c>
      <c r="H60" s="12">
        <v>40.94</v>
      </c>
      <c r="I60" s="12">
        <v>20.5</v>
      </c>
      <c r="J60" s="12">
        <v>129.15</v>
      </c>
      <c r="K60" s="12">
        <v>137.30000000000001</v>
      </c>
      <c r="L60" s="12">
        <v>97.4</v>
      </c>
      <c r="M60" s="12">
        <f t="shared" si="0"/>
        <v>419.44</v>
      </c>
      <c r="N60" s="12">
        <v>419.44</v>
      </c>
      <c r="X60" s="12">
        <v>1314.83</v>
      </c>
      <c r="Y60" s="12">
        <v>102.53</v>
      </c>
      <c r="Z60" s="12">
        <v>52.61</v>
      </c>
      <c r="AA60" s="12">
        <v>70.150000000000006</v>
      </c>
      <c r="AB60" s="12">
        <v>178.52</v>
      </c>
      <c r="AC60" s="12">
        <v>784.98</v>
      </c>
      <c r="AD60" s="12">
        <v>87.83</v>
      </c>
      <c r="AE60" s="12">
        <v>185.69</v>
      </c>
      <c r="AF60" s="12">
        <v>137.71</v>
      </c>
      <c r="AG60" s="12">
        <v>44.81</v>
      </c>
      <c r="AH60" s="12">
        <v>173.99</v>
      </c>
      <c r="AI60" s="12">
        <v>69.37</v>
      </c>
      <c r="AJ60" s="13">
        <f t="shared" si="1"/>
        <v>482.19</v>
      </c>
      <c r="AK60" s="12">
        <v>482.19</v>
      </c>
      <c r="AM60" s="12">
        <v>28.77</v>
      </c>
      <c r="AN60" s="12">
        <v>168.19</v>
      </c>
      <c r="AO60" s="12">
        <v>220.42</v>
      </c>
      <c r="AP60" s="12">
        <v>112.64</v>
      </c>
      <c r="AQ60" s="12">
        <v>885.4</v>
      </c>
      <c r="AR60" s="12">
        <v>377.54</v>
      </c>
      <c r="AS60" s="12">
        <v>126.63</v>
      </c>
      <c r="AT60" s="12">
        <v>32.840000000000003</v>
      </c>
      <c r="AU60" s="12">
        <v>170.46</v>
      </c>
      <c r="AV60" s="12">
        <v>142.09</v>
      </c>
      <c r="AW60" s="12">
        <v>44.69</v>
      </c>
      <c r="AX60" s="12">
        <v>163.94</v>
      </c>
      <c r="AY60" s="12">
        <v>6841.12</v>
      </c>
      <c r="AZ60" s="12">
        <v>154.19999999999999</v>
      </c>
      <c r="BA60" s="12">
        <v>202.19</v>
      </c>
      <c r="BB60" s="12">
        <v>3352.63</v>
      </c>
      <c r="BC60" s="12">
        <v>514.72</v>
      </c>
      <c r="BD60" s="12">
        <v>186.49</v>
      </c>
      <c r="BE60" s="12">
        <v>418.98</v>
      </c>
      <c r="BF60" s="6">
        <v>103</v>
      </c>
      <c r="BG60" s="12">
        <v>1019.74</v>
      </c>
      <c r="BH60" s="12">
        <v>248.75</v>
      </c>
      <c r="BI60" s="12">
        <v>375.21</v>
      </c>
      <c r="BJ60" s="12">
        <v>465.39</v>
      </c>
      <c r="BK60" s="12">
        <v>227.25</v>
      </c>
      <c r="BL60" s="12">
        <v>330.57</v>
      </c>
      <c r="BM60" s="12">
        <v>78.84</v>
      </c>
      <c r="BN60" s="12">
        <v>171.6</v>
      </c>
      <c r="BO60" s="12">
        <v>351.99</v>
      </c>
      <c r="BP60" s="12">
        <v>718.29</v>
      </c>
      <c r="BQ60" s="12">
        <v>1140.25</v>
      </c>
      <c r="BR60" s="12">
        <v>471.67</v>
      </c>
      <c r="BS60" s="12">
        <v>307.63</v>
      </c>
      <c r="BT60" s="12">
        <v>533.5</v>
      </c>
      <c r="BU60" s="12">
        <v>100.23</v>
      </c>
      <c r="BV60" s="12">
        <v>276.99</v>
      </c>
      <c r="BW60" s="12">
        <v>8.25</v>
      </c>
      <c r="BX60" s="12">
        <v>49.76</v>
      </c>
      <c r="BY60" s="12">
        <v>0.71</v>
      </c>
      <c r="BZ60" s="6">
        <v>0</v>
      </c>
      <c r="CA60" s="12">
        <v>9105.0499999999993</v>
      </c>
      <c r="CB60" s="12">
        <v>12.38</v>
      </c>
      <c r="CC60" s="12">
        <v>9092.66</v>
      </c>
      <c r="CD60" s="12">
        <v>0.01</v>
      </c>
      <c r="CE60" s="12">
        <v>3637.75</v>
      </c>
      <c r="CF60" s="12">
        <v>-278.23</v>
      </c>
      <c r="CG60" s="6">
        <v>0</v>
      </c>
      <c r="CH60" s="6" t="s">
        <v>104</v>
      </c>
      <c r="CI60" s="6">
        <v>0</v>
      </c>
      <c r="CJ60" s="6" t="s">
        <v>104</v>
      </c>
      <c r="CK60" s="6">
        <v>0</v>
      </c>
      <c r="CL60" s="12">
        <v>3915.98</v>
      </c>
      <c r="CM60" s="6" t="s">
        <v>104</v>
      </c>
      <c r="CN60" s="6" t="s">
        <v>104</v>
      </c>
      <c r="CO60" s="12">
        <v>38947.4</v>
      </c>
      <c r="CP60" s="12">
        <v>12742.79</v>
      </c>
    </row>
    <row r="61" spans="1:94" ht="14.5" x14ac:dyDescent="0.35">
      <c r="A61" s="5" t="s">
        <v>60</v>
      </c>
      <c r="B61" s="13">
        <v>17830.810000000001</v>
      </c>
      <c r="C61" s="13">
        <v>64.540000000000006</v>
      </c>
      <c r="D61" s="13">
        <v>0.28000000000000003</v>
      </c>
      <c r="E61" s="13">
        <v>0.79</v>
      </c>
      <c r="F61" s="13">
        <v>1.18</v>
      </c>
      <c r="G61" s="13">
        <v>94.44</v>
      </c>
      <c r="H61" s="13">
        <v>6.08</v>
      </c>
      <c r="I61" s="13">
        <v>7.76</v>
      </c>
      <c r="J61" s="13">
        <v>5.0599999999999996</v>
      </c>
      <c r="K61" s="13">
        <v>15.84</v>
      </c>
      <c r="L61" s="13">
        <v>4.01</v>
      </c>
      <c r="M61" s="12">
        <f t="shared" si="0"/>
        <v>94.49</v>
      </c>
      <c r="N61" s="12">
        <v>94.49</v>
      </c>
      <c r="X61" s="13">
        <v>407.84</v>
      </c>
      <c r="Y61" s="13">
        <v>9.4600000000000009</v>
      </c>
      <c r="Z61" s="13">
        <v>4.9800000000000004</v>
      </c>
      <c r="AA61" s="13">
        <v>4.1900000000000004</v>
      </c>
      <c r="AB61" s="13">
        <v>10.130000000000001</v>
      </c>
      <c r="AC61" s="13">
        <v>74.09</v>
      </c>
      <c r="AD61" s="13">
        <v>10.69</v>
      </c>
      <c r="AE61" s="13">
        <v>10.28</v>
      </c>
      <c r="AF61" s="13">
        <v>21.85</v>
      </c>
      <c r="AG61" s="13">
        <v>6.31</v>
      </c>
      <c r="AH61" s="13">
        <v>110.98</v>
      </c>
      <c r="AI61" s="13">
        <v>12.8</v>
      </c>
      <c r="AJ61" s="13">
        <f t="shared" si="1"/>
        <v>27.96</v>
      </c>
      <c r="AK61" s="13">
        <v>27.96</v>
      </c>
      <c r="AM61" s="13">
        <v>47.96</v>
      </c>
      <c r="AN61" s="13">
        <v>95.23</v>
      </c>
      <c r="AO61" s="13">
        <v>48.85</v>
      </c>
      <c r="AP61" s="13">
        <v>91.05</v>
      </c>
      <c r="AQ61" s="13">
        <v>362.99</v>
      </c>
      <c r="AR61" s="13">
        <v>296.16000000000003</v>
      </c>
      <c r="AS61" s="13">
        <v>14.4</v>
      </c>
      <c r="AT61" s="13">
        <v>9.6999999999999993</v>
      </c>
      <c r="AU61" s="13">
        <v>9.7799999999999994</v>
      </c>
      <c r="AV61" s="13">
        <v>31.94</v>
      </c>
      <c r="AW61" s="13">
        <v>3.18</v>
      </c>
      <c r="AX61" s="13">
        <v>208.95</v>
      </c>
      <c r="AY61" s="13">
        <v>325.20999999999998</v>
      </c>
      <c r="AZ61" s="13">
        <v>4369.8599999999997</v>
      </c>
      <c r="BA61" s="13">
        <v>770.52</v>
      </c>
      <c r="BB61" s="13">
        <v>3139.25</v>
      </c>
      <c r="BC61" s="13">
        <v>21.53</v>
      </c>
      <c r="BD61" s="13">
        <v>43.31</v>
      </c>
      <c r="BE61" s="13">
        <v>29.39</v>
      </c>
      <c r="BF61" s="13">
        <v>49.84</v>
      </c>
      <c r="BG61" s="13">
        <v>507.64</v>
      </c>
      <c r="BH61" s="13">
        <v>115.92</v>
      </c>
      <c r="BI61" s="13">
        <v>120.18</v>
      </c>
      <c r="BJ61" s="13">
        <v>1773.1</v>
      </c>
      <c r="BK61" s="13">
        <v>59.78</v>
      </c>
      <c r="BL61" s="13">
        <v>1343.3</v>
      </c>
      <c r="BM61" s="13">
        <v>21.02</v>
      </c>
      <c r="BN61" s="13">
        <v>12.12</v>
      </c>
      <c r="BO61" s="13">
        <v>178.08</v>
      </c>
      <c r="BP61" s="13">
        <v>1411.06</v>
      </c>
      <c r="BQ61" s="13">
        <v>59.84</v>
      </c>
      <c r="BR61" s="13">
        <v>55.97</v>
      </c>
      <c r="BS61" s="13">
        <v>203.91</v>
      </c>
      <c r="BT61" s="13">
        <v>383.79</v>
      </c>
      <c r="BU61" s="13">
        <v>153.72</v>
      </c>
      <c r="BV61" s="13">
        <v>414.48</v>
      </c>
      <c r="BW61" s="13">
        <v>8.02</v>
      </c>
      <c r="BX61" s="13">
        <v>33.229999999999997</v>
      </c>
      <c r="BY61" s="13">
        <v>0.56999999999999995</v>
      </c>
      <c r="BZ61" s="7">
        <v>0</v>
      </c>
      <c r="CA61" s="13">
        <v>6616.99</v>
      </c>
      <c r="CB61" s="13">
        <v>42.87</v>
      </c>
      <c r="CC61" s="13">
        <v>6573.57</v>
      </c>
      <c r="CD61" s="13">
        <v>0.55000000000000004</v>
      </c>
      <c r="CE61" s="13">
        <v>580.46</v>
      </c>
      <c r="CF61" s="13">
        <v>69.489999999999995</v>
      </c>
      <c r="CG61" s="7">
        <v>0</v>
      </c>
      <c r="CH61" s="7" t="s">
        <v>104</v>
      </c>
      <c r="CI61" s="7">
        <v>0</v>
      </c>
      <c r="CJ61" s="7" t="s">
        <v>104</v>
      </c>
      <c r="CK61" s="7">
        <v>0</v>
      </c>
      <c r="CL61" s="13">
        <v>510.97</v>
      </c>
      <c r="CM61" s="7" t="s">
        <v>104</v>
      </c>
      <c r="CN61" s="7" t="s">
        <v>104</v>
      </c>
      <c r="CO61" s="13">
        <v>25028.25</v>
      </c>
      <c r="CP61" s="13">
        <v>7197.44</v>
      </c>
    </row>
    <row r="62" spans="1:94" ht="14.5" x14ac:dyDescent="0.35">
      <c r="A62" s="5" t="s">
        <v>61</v>
      </c>
      <c r="B62" s="12">
        <v>9345.6</v>
      </c>
      <c r="C62" s="12">
        <v>26.85</v>
      </c>
      <c r="D62" s="12">
        <v>2.5</v>
      </c>
      <c r="E62" s="12">
        <v>0.65</v>
      </c>
      <c r="F62" s="12">
        <v>7.33</v>
      </c>
      <c r="G62" s="12">
        <v>79.83</v>
      </c>
      <c r="H62" s="12">
        <v>8.6999999999999993</v>
      </c>
      <c r="I62" s="12">
        <v>6.6</v>
      </c>
      <c r="J62" s="12">
        <v>14.88</v>
      </c>
      <c r="K62" s="12">
        <v>4.88</v>
      </c>
      <c r="L62" s="12">
        <v>17.18</v>
      </c>
      <c r="M62" s="12">
        <f t="shared" si="0"/>
        <v>49.07</v>
      </c>
      <c r="N62" s="12">
        <v>49.07</v>
      </c>
      <c r="X62" s="12">
        <v>36.25</v>
      </c>
      <c r="Y62" s="12">
        <v>23.9</v>
      </c>
      <c r="Z62" s="12">
        <v>16.47</v>
      </c>
      <c r="AA62" s="12">
        <v>21.56</v>
      </c>
      <c r="AB62" s="12">
        <v>46.2</v>
      </c>
      <c r="AC62" s="12">
        <v>62.52</v>
      </c>
      <c r="AD62" s="12">
        <v>29.1</v>
      </c>
      <c r="AE62" s="12">
        <v>61.02</v>
      </c>
      <c r="AF62" s="12">
        <v>51.94</v>
      </c>
      <c r="AG62" s="12">
        <v>15.59</v>
      </c>
      <c r="AH62" s="12">
        <v>22.5</v>
      </c>
      <c r="AI62" s="12">
        <v>35.47</v>
      </c>
      <c r="AJ62" s="13">
        <f t="shared" si="1"/>
        <v>73.84</v>
      </c>
      <c r="AK62" s="12">
        <v>73.84</v>
      </c>
      <c r="AM62" s="12">
        <v>5.53</v>
      </c>
      <c r="AN62" s="12">
        <v>33.83</v>
      </c>
      <c r="AO62" s="12">
        <v>191.09</v>
      </c>
      <c r="AP62" s="12">
        <v>59.63</v>
      </c>
      <c r="AQ62" s="12">
        <v>283.19</v>
      </c>
      <c r="AR62" s="12">
        <v>238.83</v>
      </c>
      <c r="AS62" s="12">
        <v>85.91</v>
      </c>
      <c r="AT62" s="12">
        <v>26.88</v>
      </c>
      <c r="AU62" s="12">
        <v>31.04</v>
      </c>
      <c r="AV62" s="12">
        <v>81.2</v>
      </c>
      <c r="AW62" s="12">
        <v>137.91</v>
      </c>
      <c r="AX62" s="12">
        <v>141.84</v>
      </c>
      <c r="AY62" s="12">
        <v>207.04</v>
      </c>
      <c r="AZ62" s="12">
        <v>86.04</v>
      </c>
      <c r="BA62" s="12">
        <v>3471.97</v>
      </c>
      <c r="BB62" s="12">
        <v>631.01</v>
      </c>
      <c r="BC62" s="12">
        <v>169.53</v>
      </c>
      <c r="BD62" s="12">
        <v>105.26</v>
      </c>
      <c r="BE62" s="12">
        <v>273.85000000000002</v>
      </c>
      <c r="BF62" s="12">
        <v>107.69</v>
      </c>
      <c r="BG62" s="12">
        <v>600.69000000000005</v>
      </c>
      <c r="BH62" s="12">
        <v>88.04</v>
      </c>
      <c r="BI62" s="12">
        <v>105.34</v>
      </c>
      <c r="BJ62" s="12">
        <v>102.87</v>
      </c>
      <c r="BK62" s="12">
        <v>58.81</v>
      </c>
      <c r="BL62" s="12">
        <v>144.69999999999999</v>
      </c>
      <c r="BM62" s="12">
        <v>95.05</v>
      </c>
      <c r="BN62" s="6">
        <v>132</v>
      </c>
      <c r="BO62" s="12">
        <v>141.26</v>
      </c>
      <c r="BP62" s="12">
        <v>279.99</v>
      </c>
      <c r="BQ62" s="12">
        <v>73.5</v>
      </c>
      <c r="BR62" s="12">
        <v>137.63999999999999</v>
      </c>
      <c r="BS62" s="12">
        <v>73.36</v>
      </c>
      <c r="BT62" s="12">
        <v>119.41</v>
      </c>
      <c r="BU62" s="12">
        <v>32.39</v>
      </c>
      <c r="BV62" s="12">
        <v>30.61</v>
      </c>
      <c r="BW62" s="12">
        <v>8.43</v>
      </c>
      <c r="BX62" s="12">
        <v>36.479999999999997</v>
      </c>
      <c r="BY62" s="12">
        <v>0.94</v>
      </c>
      <c r="BZ62" s="6">
        <v>0</v>
      </c>
      <c r="CA62" s="12">
        <v>5972.48</v>
      </c>
      <c r="CB62" s="12">
        <v>7.53</v>
      </c>
      <c r="CC62" s="12">
        <v>5964.47</v>
      </c>
      <c r="CD62" s="12">
        <v>0.48</v>
      </c>
      <c r="CE62" s="12">
        <v>0.43</v>
      </c>
      <c r="CF62" s="12">
        <v>0.43</v>
      </c>
      <c r="CG62" s="6">
        <v>0</v>
      </c>
      <c r="CH62" s="6" t="s">
        <v>104</v>
      </c>
      <c r="CI62" s="6">
        <v>0</v>
      </c>
      <c r="CJ62" s="6" t="s">
        <v>104</v>
      </c>
      <c r="CK62" s="6">
        <v>0</v>
      </c>
      <c r="CL62" s="6">
        <v>0</v>
      </c>
      <c r="CM62" s="6" t="s">
        <v>104</v>
      </c>
      <c r="CN62" s="6" t="s">
        <v>104</v>
      </c>
      <c r="CO62" s="12">
        <v>15318.5</v>
      </c>
      <c r="CP62" s="12">
        <v>5972.91</v>
      </c>
    </row>
    <row r="63" spans="1:94" ht="14.5" x14ac:dyDescent="0.35">
      <c r="A63" s="5" t="s">
        <v>62</v>
      </c>
      <c r="B63" s="13">
        <v>48206.76</v>
      </c>
      <c r="C63" s="13">
        <v>17.920000000000002</v>
      </c>
      <c r="D63" s="13">
        <v>8.5299999999999994</v>
      </c>
      <c r="E63" s="13">
        <v>1.59</v>
      </c>
      <c r="F63" s="13">
        <v>33.86</v>
      </c>
      <c r="G63" s="13">
        <v>362.08</v>
      </c>
      <c r="H63" s="13">
        <v>122.13</v>
      </c>
      <c r="I63" s="13">
        <v>33.979999999999997</v>
      </c>
      <c r="J63" s="13">
        <v>126.14</v>
      </c>
      <c r="K63" s="13">
        <v>46.52</v>
      </c>
      <c r="L63" s="7">
        <v>144</v>
      </c>
      <c r="M63" s="12">
        <f t="shared" si="0"/>
        <v>532.17999999999995</v>
      </c>
      <c r="N63" s="12">
        <v>532.17999999999995</v>
      </c>
      <c r="X63" s="13">
        <v>301.45999999999998</v>
      </c>
      <c r="Y63" s="13">
        <v>142.66</v>
      </c>
      <c r="Z63" s="13">
        <v>90.68</v>
      </c>
      <c r="AA63" s="13">
        <v>232.15</v>
      </c>
      <c r="AB63" s="13">
        <v>332.05</v>
      </c>
      <c r="AC63" s="13">
        <v>309.01</v>
      </c>
      <c r="AD63" s="13">
        <v>272.32</v>
      </c>
      <c r="AE63" s="13">
        <v>393.79</v>
      </c>
      <c r="AF63" s="13">
        <v>504.36</v>
      </c>
      <c r="AG63" s="13">
        <v>203.33</v>
      </c>
      <c r="AH63" s="13">
        <v>101.02</v>
      </c>
      <c r="AI63" s="13">
        <v>185.5</v>
      </c>
      <c r="AJ63" s="13">
        <f t="shared" si="1"/>
        <v>574.51</v>
      </c>
      <c r="AK63" s="13">
        <v>574.51</v>
      </c>
      <c r="AM63" s="13">
        <v>24.62</v>
      </c>
      <c r="AN63" s="13">
        <v>340.38</v>
      </c>
      <c r="AO63" s="13">
        <v>607.49</v>
      </c>
      <c r="AP63" s="13">
        <v>278.49</v>
      </c>
      <c r="AQ63" s="13">
        <v>1535.19</v>
      </c>
      <c r="AR63" s="13">
        <v>805.37</v>
      </c>
      <c r="AS63" s="13">
        <v>435.51</v>
      </c>
      <c r="AT63" s="13">
        <v>312.83</v>
      </c>
      <c r="AU63" s="13">
        <v>228.84</v>
      </c>
      <c r="AV63" s="13">
        <v>524.01</v>
      </c>
      <c r="AW63" s="13">
        <v>377.07</v>
      </c>
      <c r="AX63" s="13">
        <v>254.24</v>
      </c>
      <c r="AY63" s="13">
        <v>1481.7</v>
      </c>
      <c r="AZ63" s="13">
        <v>287.12</v>
      </c>
      <c r="BA63" s="13">
        <v>933.84</v>
      </c>
      <c r="BB63" s="13">
        <v>19365.46</v>
      </c>
      <c r="BC63" s="13">
        <v>1077.9000000000001</v>
      </c>
      <c r="BD63" s="13">
        <v>507.86</v>
      </c>
      <c r="BE63" s="13">
        <v>947.09</v>
      </c>
      <c r="BF63" s="13">
        <v>343.79</v>
      </c>
      <c r="BG63" s="13">
        <v>3591.73</v>
      </c>
      <c r="BH63" s="13">
        <v>557.83000000000004</v>
      </c>
      <c r="BI63" s="13">
        <v>844.74</v>
      </c>
      <c r="BJ63" s="13">
        <v>666.73</v>
      </c>
      <c r="BK63" s="13">
        <v>346.25</v>
      </c>
      <c r="BL63" s="13">
        <v>1086.96</v>
      </c>
      <c r="BM63" s="13">
        <v>296.69</v>
      </c>
      <c r="BN63" s="7">
        <v>175</v>
      </c>
      <c r="BO63" s="13">
        <v>833.59</v>
      </c>
      <c r="BP63" s="13">
        <v>994.93</v>
      </c>
      <c r="BQ63" s="13">
        <v>505.42</v>
      </c>
      <c r="BR63" s="13">
        <v>751.45</v>
      </c>
      <c r="BS63" s="13">
        <v>383.9</v>
      </c>
      <c r="BT63" s="13">
        <v>1096.8900000000001</v>
      </c>
      <c r="BU63" s="13">
        <v>67.400000000000006</v>
      </c>
      <c r="BV63" s="13">
        <v>90.45</v>
      </c>
      <c r="BW63" s="13">
        <v>91.36</v>
      </c>
      <c r="BX63" s="13">
        <v>76.28</v>
      </c>
      <c r="BY63" s="13">
        <v>8.6300000000000008</v>
      </c>
      <c r="BZ63" s="7">
        <v>0</v>
      </c>
      <c r="CA63" s="13">
        <v>644.34</v>
      </c>
      <c r="CB63" s="13">
        <v>22.63</v>
      </c>
      <c r="CC63" s="13">
        <v>621.71</v>
      </c>
      <c r="CD63" s="13">
        <v>0.01</v>
      </c>
      <c r="CE63" s="13">
        <v>17077.45</v>
      </c>
      <c r="CF63" s="13">
        <v>18.63</v>
      </c>
      <c r="CG63" s="7">
        <v>0</v>
      </c>
      <c r="CH63" s="7" t="s">
        <v>104</v>
      </c>
      <c r="CI63" s="7">
        <v>0</v>
      </c>
      <c r="CJ63" s="7" t="s">
        <v>104</v>
      </c>
      <c r="CK63" s="7">
        <v>0</v>
      </c>
      <c r="CL63" s="13">
        <v>17058.82</v>
      </c>
      <c r="CM63" s="7" t="s">
        <v>104</v>
      </c>
      <c r="CN63" s="7" t="s">
        <v>104</v>
      </c>
      <c r="CO63" s="13">
        <v>65928.539999999994</v>
      </c>
      <c r="CP63" s="13">
        <v>17721.79</v>
      </c>
    </row>
    <row r="64" spans="1:94" ht="14.5" x14ac:dyDescent="0.35">
      <c r="A64" s="5" t="s">
        <v>63</v>
      </c>
      <c r="B64" s="12">
        <v>159349.18</v>
      </c>
      <c r="C64" s="12">
        <v>1496.41</v>
      </c>
      <c r="D64" s="12">
        <v>96.64</v>
      </c>
      <c r="E64" s="12">
        <v>38.31</v>
      </c>
      <c r="F64" s="12">
        <v>202.32</v>
      </c>
      <c r="G64" s="12">
        <v>3093.52</v>
      </c>
      <c r="H64" s="12">
        <v>609.37</v>
      </c>
      <c r="I64" s="12">
        <v>215.71</v>
      </c>
      <c r="J64" s="12">
        <v>350.02</v>
      </c>
      <c r="K64" s="12">
        <v>119.15</v>
      </c>
      <c r="L64" s="12">
        <v>1041.8900000000001</v>
      </c>
      <c r="M64" s="12">
        <f t="shared" si="0"/>
        <v>1732.59</v>
      </c>
      <c r="N64" s="12">
        <v>1732.59</v>
      </c>
      <c r="X64" s="12">
        <v>1047.58</v>
      </c>
      <c r="Y64" s="12">
        <v>1086.1099999999999</v>
      </c>
      <c r="Z64" s="12">
        <v>513.98</v>
      </c>
      <c r="AA64" s="12">
        <v>1339.9</v>
      </c>
      <c r="AB64" s="12">
        <v>1263.3599999999999</v>
      </c>
      <c r="AC64" s="6">
        <v>754</v>
      </c>
      <c r="AD64" s="12">
        <v>576.64</v>
      </c>
      <c r="AE64" s="12">
        <v>1597.72</v>
      </c>
      <c r="AF64" s="12">
        <v>1796.17</v>
      </c>
      <c r="AG64" s="12">
        <v>275.99</v>
      </c>
      <c r="AH64" s="12">
        <v>463.55</v>
      </c>
      <c r="AI64" s="12">
        <v>548.61</v>
      </c>
      <c r="AJ64" s="13">
        <f t="shared" si="1"/>
        <v>2564.9699999999998</v>
      </c>
      <c r="AK64" s="12">
        <v>2564.9699999999998</v>
      </c>
      <c r="AM64" s="12">
        <v>122.57</v>
      </c>
      <c r="AN64" s="12">
        <v>636.96</v>
      </c>
      <c r="AO64" s="12">
        <v>7919.45</v>
      </c>
      <c r="AP64" s="12">
        <v>1509.58</v>
      </c>
      <c r="AQ64" s="12">
        <v>10345.34</v>
      </c>
      <c r="AR64" s="12">
        <v>3860.43</v>
      </c>
      <c r="AS64" s="12">
        <v>1663.75</v>
      </c>
      <c r="AT64" s="12">
        <v>4605.91</v>
      </c>
      <c r="AU64" s="12">
        <v>1719.57</v>
      </c>
      <c r="AV64" s="12">
        <v>2268.13</v>
      </c>
      <c r="AW64" s="12">
        <v>378.67</v>
      </c>
      <c r="AX64" s="12">
        <v>2529.6</v>
      </c>
      <c r="AY64" s="6">
        <v>736</v>
      </c>
      <c r="AZ64" s="12">
        <v>411.84</v>
      </c>
      <c r="BA64" s="12">
        <v>1014.49</v>
      </c>
      <c r="BB64" s="12">
        <v>7782.3</v>
      </c>
      <c r="BC64" s="12">
        <v>38537.46</v>
      </c>
      <c r="BD64" s="12">
        <v>12208.79</v>
      </c>
      <c r="BE64" s="12">
        <v>7041.32</v>
      </c>
      <c r="BF64" s="12">
        <v>5474.22</v>
      </c>
      <c r="BG64" s="12">
        <v>5966.83</v>
      </c>
      <c r="BH64" s="12">
        <v>1047.54</v>
      </c>
      <c r="BI64" s="12">
        <v>979.91</v>
      </c>
      <c r="BJ64" s="12">
        <v>736.91</v>
      </c>
      <c r="BK64" s="12">
        <v>876.52</v>
      </c>
      <c r="BL64" s="12">
        <v>3420.61</v>
      </c>
      <c r="BM64" s="12">
        <v>539.83000000000004</v>
      </c>
      <c r="BN64" s="12">
        <v>436.55</v>
      </c>
      <c r="BO64" s="12">
        <v>1511.74</v>
      </c>
      <c r="BP64" s="12">
        <v>4438.91</v>
      </c>
      <c r="BQ64" s="12">
        <v>597.30999999999995</v>
      </c>
      <c r="BR64" s="12">
        <v>2341.35</v>
      </c>
      <c r="BS64" s="12">
        <v>1113.5899999999999</v>
      </c>
      <c r="BT64" s="12">
        <v>432.87</v>
      </c>
      <c r="BU64" s="12">
        <v>238.19</v>
      </c>
      <c r="BV64" s="12">
        <v>519.61</v>
      </c>
      <c r="BW64" s="12">
        <v>74.59</v>
      </c>
      <c r="BX64" s="12">
        <v>483.47</v>
      </c>
      <c r="BY64" s="12">
        <v>2.02</v>
      </c>
      <c r="BZ64" s="6">
        <v>0</v>
      </c>
      <c r="CA64" s="12">
        <v>37103.279999999999</v>
      </c>
      <c r="CB64" s="12">
        <v>682.42</v>
      </c>
      <c r="CC64" s="12">
        <v>36420.86</v>
      </c>
      <c r="CD64" s="12">
        <v>0.01</v>
      </c>
      <c r="CE64" s="12">
        <v>16.95</v>
      </c>
      <c r="CF64" s="12">
        <v>0.05</v>
      </c>
      <c r="CG64" s="6">
        <v>0</v>
      </c>
      <c r="CH64" s="6" t="s">
        <v>104</v>
      </c>
      <c r="CI64" s="6">
        <v>0</v>
      </c>
      <c r="CJ64" s="6" t="s">
        <v>104</v>
      </c>
      <c r="CK64" s="6">
        <v>0</v>
      </c>
      <c r="CL64" s="12">
        <v>16.91</v>
      </c>
      <c r="CM64" s="6" t="s">
        <v>104</v>
      </c>
      <c r="CN64" s="6" t="s">
        <v>104</v>
      </c>
      <c r="CO64" s="12">
        <v>196469.42</v>
      </c>
      <c r="CP64" s="12">
        <v>37120.239999999998</v>
      </c>
    </row>
    <row r="65" spans="1:94" ht="14.5" x14ac:dyDescent="0.35">
      <c r="A65" s="5" t="s">
        <v>64</v>
      </c>
      <c r="B65" s="13">
        <v>14385.08</v>
      </c>
      <c r="C65" s="13">
        <v>319.95</v>
      </c>
      <c r="D65" s="13">
        <v>3.54</v>
      </c>
      <c r="E65" s="13">
        <v>3.93</v>
      </c>
      <c r="F65" s="13">
        <v>25.54</v>
      </c>
      <c r="G65" s="13">
        <v>243.12</v>
      </c>
      <c r="H65" s="13">
        <v>56.23</v>
      </c>
      <c r="I65" s="13">
        <v>19.52</v>
      </c>
      <c r="J65" s="13">
        <v>61.36</v>
      </c>
      <c r="K65" s="13">
        <v>30.9</v>
      </c>
      <c r="L65" s="13">
        <v>498.72</v>
      </c>
      <c r="M65" s="12">
        <f t="shared" si="0"/>
        <v>400.7</v>
      </c>
      <c r="N65" s="12">
        <v>400.7</v>
      </c>
      <c r="X65" s="13">
        <v>225.91</v>
      </c>
      <c r="Y65" s="13">
        <v>96.76</v>
      </c>
      <c r="Z65" s="13">
        <v>51.73</v>
      </c>
      <c r="AA65" s="13">
        <v>152.47</v>
      </c>
      <c r="AB65" s="13">
        <v>165.34</v>
      </c>
      <c r="AC65" s="13">
        <v>85.78</v>
      </c>
      <c r="AD65" s="13">
        <v>95.15</v>
      </c>
      <c r="AE65" s="13">
        <v>207.19</v>
      </c>
      <c r="AF65" s="13">
        <v>138.44</v>
      </c>
      <c r="AG65" s="13">
        <v>210.58</v>
      </c>
      <c r="AH65" s="13">
        <v>90.42</v>
      </c>
      <c r="AI65" s="13">
        <v>113.41</v>
      </c>
      <c r="AJ65" s="13">
        <f t="shared" si="1"/>
        <v>729.48</v>
      </c>
      <c r="AK65" s="13">
        <v>729.48</v>
      </c>
      <c r="AM65" s="13">
        <v>15.32</v>
      </c>
      <c r="AN65" s="13">
        <v>102.1</v>
      </c>
      <c r="AO65" s="13">
        <v>636.83000000000004</v>
      </c>
      <c r="AP65" s="13">
        <v>108.97</v>
      </c>
      <c r="AQ65" s="13">
        <v>321.29000000000002</v>
      </c>
      <c r="AR65" s="13">
        <v>187.3</v>
      </c>
      <c r="AS65" s="13">
        <v>282.58</v>
      </c>
      <c r="AT65" s="13">
        <v>143.46</v>
      </c>
      <c r="AU65" s="13">
        <v>72.069999999999993</v>
      </c>
      <c r="AV65" s="13">
        <v>114.81</v>
      </c>
      <c r="AW65" s="7">
        <v>20</v>
      </c>
      <c r="AX65" s="13">
        <v>213.17</v>
      </c>
      <c r="AY65" s="13">
        <v>63.43</v>
      </c>
      <c r="AZ65" s="13">
        <v>45.93</v>
      </c>
      <c r="BA65" s="13">
        <v>113.09</v>
      </c>
      <c r="BB65" s="13">
        <v>316.73</v>
      </c>
      <c r="BC65" s="13">
        <v>69.47</v>
      </c>
      <c r="BD65" s="13">
        <v>5201.8100000000004</v>
      </c>
      <c r="BE65" s="13">
        <v>135.19999999999999</v>
      </c>
      <c r="BF65" s="13">
        <v>299.10000000000002</v>
      </c>
      <c r="BG65" s="13">
        <v>376.43</v>
      </c>
      <c r="BH65" s="13">
        <v>86.56</v>
      </c>
      <c r="BI65" s="13">
        <v>95.48</v>
      </c>
      <c r="BJ65" s="13">
        <v>29.91</v>
      </c>
      <c r="BK65" s="13">
        <v>35.82</v>
      </c>
      <c r="BL65" s="13">
        <v>279.75</v>
      </c>
      <c r="BM65" s="13">
        <v>19.329999999999998</v>
      </c>
      <c r="BN65" s="13">
        <v>10.69</v>
      </c>
      <c r="BO65" s="13">
        <v>141.47</v>
      </c>
      <c r="BP65" s="13">
        <v>209.21</v>
      </c>
      <c r="BQ65" s="13">
        <v>92.04</v>
      </c>
      <c r="BR65" s="13">
        <v>327.45999999999998</v>
      </c>
      <c r="BS65" s="13">
        <v>73.760000000000005</v>
      </c>
      <c r="BT65" s="13">
        <v>41.98</v>
      </c>
      <c r="BU65" s="13">
        <v>22.54</v>
      </c>
      <c r="BV65" s="13">
        <v>21.63</v>
      </c>
      <c r="BW65" s="13">
        <v>11.78</v>
      </c>
      <c r="BX65" s="13">
        <v>20.23</v>
      </c>
      <c r="BY65" s="13">
        <v>0.19</v>
      </c>
      <c r="BZ65" s="7">
        <v>0</v>
      </c>
      <c r="CA65" s="13">
        <v>5527.33</v>
      </c>
      <c r="CB65" s="13">
        <v>367.59</v>
      </c>
      <c r="CC65" s="13">
        <v>5159.63</v>
      </c>
      <c r="CD65" s="13">
        <v>0.11</v>
      </c>
      <c r="CE65" s="13">
        <v>750.9</v>
      </c>
      <c r="CF65" s="13">
        <v>-96.01</v>
      </c>
      <c r="CG65" s="7">
        <v>0</v>
      </c>
      <c r="CH65" s="7" t="s">
        <v>104</v>
      </c>
      <c r="CI65" s="7">
        <v>0</v>
      </c>
      <c r="CJ65" s="7" t="s">
        <v>104</v>
      </c>
      <c r="CK65" s="7">
        <v>0</v>
      </c>
      <c r="CL65" s="13">
        <v>846.9</v>
      </c>
      <c r="CM65" s="7" t="s">
        <v>104</v>
      </c>
      <c r="CN65" s="7" t="s">
        <v>104</v>
      </c>
      <c r="CO65" s="13">
        <v>20663.310000000001</v>
      </c>
      <c r="CP65" s="13">
        <v>6278.22</v>
      </c>
    </row>
    <row r="66" spans="1:94" ht="14.5" x14ac:dyDescent="0.35">
      <c r="A66" s="5" t="s">
        <v>65</v>
      </c>
      <c r="B66" s="12">
        <v>16279.57</v>
      </c>
      <c r="C66" s="12">
        <v>18.53</v>
      </c>
      <c r="D66" s="12">
        <v>4.91</v>
      </c>
      <c r="E66" s="12">
        <v>1.56</v>
      </c>
      <c r="F66" s="12">
        <v>6.17</v>
      </c>
      <c r="G66" s="12">
        <v>71.27</v>
      </c>
      <c r="H66" s="12">
        <v>24.73</v>
      </c>
      <c r="I66" s="6">
        <v>19</v>
      </c>
      <c r="J66" s="12">
        <v>26.88</v>
      </c>
      <c r="K66" s="12">
        <v>6.13</v>
      </c>
      <c r="L66" s="12">
        <v>22.19</v>
      </c>
      <c r="M66" s="12">
        <f t="shared" si="0"/>
        <v>53.64</v>
      </c>
      <c r="N66" s="12">
        <v>53.64</v>
      </c>
      <c r="X66" s="12">
        <v>51.58</v>
      </c>
      <c r="Y66" s="12">
        <v>13.02</v>
      </c>
      <c r="Z66" s="12">
        <v>34.020000000000003</v>
      </c>
      <c r="AA66" s="12">
        <v>17.04</v>
      </c>
      <c r="AB66" s="12">
        <v>44.49</v>
      </c>
      <c r="AC66" s="12">
        <v>23.81</v>
      </c>
      <c r="AD66" s="12">
        <v>21.85</v>
      </c>
      <c r="AE66" s="12">
        <v>123.61</v>
      </c>
      <c r="AF66" s="12">
        <v>77.3</v>
      </c>
      <c r="AG66" s="12">
        <v>94.99</v>
      </c>
      <c r="AH66" s="12">
        <v>36.380000000000003</v>
      </c>
      <c r="AI66" s="12">
        <v>34.85</v>
      </c>
      <c r="AJ66" s="13">
        <f t="shared" si="1"/>
        <v>51.78</v>
      </c>
      <c r="AK66" s="12">
        <v>51.78</v>
      </c>
      <c r="AM66" s="12">
        <v>4.24</v>
      </c>
      <c r="AN66" s="12">
        <v>13.36</v>
      </c>
      <c r="AO66" s="12">
        <v>154.02000000000001</v>
      </c>
      <c r="AP66" s="12">
        <v>25.85</v>
      </c>
      <c r="AQ66" s="12">
        <v>160.13999999999999</v>
      </c>
      <c r="AR66" s="12">
        <v>69.33</v>
      </c>
      <c r="AS66" s="12">
        <v>103.32</v>
      </c>
      <c r="AT66" s="12">
        <v>52.73</v>
      </c>
      <c r="AU66" s="12">
        <v>58.79</v>
      </c>
      <c r="AV66" s="12">
        <v>38.409999999999997</v>
      </c>
      <c r="AW66" s="12">
        <v>8.41</v>
      </c>
      <c r="AX66" s="12">
        <v>45.29</v>
      </c>
      <c r="AY66" s="12">
        <v>20.100000000000001</v>
      </c>
      <c r="AZ66" s="12">
        <v>8.31</v>
      </c>
      <c r="BA66" s="12">
        <v>106.46</v>
      </c>
      <c r="BB66" s="12">
        <v>192.8</v>
      </c>
      <c r="BC66" s="12">
        <v>2361.2800000000002</v>
      </c>
      <c r="BD66" s="12">
        <v>4807.18</v>
      </c>
      <c r="BE66" s="12">
        <v>6281.62</v>
      </c>
      <c r="BF66" s="12">
        <v>146.5</v>
      </c>
      <c r="BG66" s="12">
        <v>206.46</v>
      </c>
      <c r="BH66" s="12">
        <v>53.36</v>
      </c>
      <c r="BI66" s="12">
        <v>59.44</v>
      </c>
      <c r="BJ66" s="12">
        <v>12.53</v>
      </c>
      <c r="BK66" s="12">
        <v>48.81</v>
      </c>
      <c r="BL66" s="12">
        <v>149.04</v>
      </c>
      <c r="BM66" s="12">
        <v>12.29</v>
      </c>
      <c r="BN66" s="12">
        <v>9.69</v>
      </c>
      <c r="BO66" s="12">
        <v>70.44</v>
      </c>
      <c r="BP66" s="12">
        <v>22.22</v>
      </c>
      <c r="BQ66" s="12">
        <v>14.22</v>
      </c>
      <c r="BR66" s="12">
        <v>14.56</v>
      </c>
      <c r="BS66" s="12">
        <v>12.45</v>
      </c>
      <c r="BT66" s="12">
        <v>8.9</v>
      </c>
      <c r="BU66" s="12">
        <v>14.13</v>
      </c>
      <c r="BV66" s="12">
        <v>14.29</v>
      </c>
      <c r="BW66" s="12">
        <v>8.7200000000000006</v>
      </c>
      <c r="BX66" s="12">
        <v>9.99</v>
      </c>
      <c r="BY66" s="12">
        <v>0.2</v>
      </c>
      <c r="BZ66" s="6">
        <v>0</v>
      </c>
      <c r="CA66" s="12">
        <v>845.75</v>
      </c>
      <c r="CB66" s="12">
        <v>5.9</v>
      </c>
      <c r="CC66" s="12">
        <v>839.67</v>
      </c>
      <c r="CD66" s="12">
        <v>0.18</v>
      </c>
      <c r="CE66" s="12">
        <v>9.5299999999999994</v>
      </c>
      <c r="CF66" s="12">
        <v>3.85</v>
      </c>
      <c r="CG66" s="6">
        <v>0</v>
      </c>
      <c r="CH66" s="6" t="s">
        <v>104</v>
      </c>
      <c r="CI66" s="6">
        <v>0</v>
      </c>
      <c r="CJ66" s="6" t="s">
        <v>104</v>
      </c>
      <c r="CK66" s="6">
        <v>0</v>
      </c>
      <c r="CL66" s="12">
        <v>5.68</v>
      </c>
      <c r="CM66" s="6" t="s">
        <v>104</v>
      </c>
      <c r="CN66" s="6" t="s">
        <v>104</v>
      </c>
      <c r="CO66" s="12">
        <v>17134.849999999999</v>
      </c>
      <c r="CP66" s="12">
        <v>855.28</v>
      </c>
    </row>
    <row r="67" spans="1:94" ht="14.5" x14ac:dyDescent="0.35">
      <c r="A67" s="5" t="s">
        <v>66</v>
      </c>
      <c r="B67" s="13">
        <v>5198.8999999999996</v>
      </c>
      <c r="C67" s="13">
        <v>48.18</v>
      </c>
      <c r="D67" s="13">
        <v>13.73</v>
      </c>
      <c r="E67" s="13">
        <v>15.88</v>
      </c>
      <c r="F67" s="13">
        <v>25.28</v>
      </c>
      <c r="G67" s="13">
        <v>117.54</v>
      </c>
      <c r="H67" s="13">
        <v>32.43</v>
      </c>
      <c r="I67" s="13">
        <v>35.770000000000003</v>
      </c>
      <c r="J67" s="13">
        <v>36.159999999999997</v>
      </c>
      <c r="K67" s="13">
        <v>24.95</v>
      </c>
      <c r="L67" s="13">
        <v>42.95</v>
      </c>
      <c r="M67" s="12">
        <f t="shared" si="0"/>
        <v>67.55</v>
      </c>
      <c r="N67" s="12">
        <v>67.55</v>
      </c>
      <c r="X67" s="13">
        <v>94.15</v>
      </c>
      <c r="Y67" s="13">
        <v>62.95</v>
      </c>
      <c r="Z67" s="13">
        <v>42.29</v>
      </c>
      <c r="AA67" s="13">
        <v>58.19</v>
      </c>
      <c r="AB67" s="13">
        <v>71.22</v>
      </c>
      <c r="AC67" s="13">
        <v>61.27</v>
      </c>
      <c r="AD67" s="13">
        <v>57.77</v>
      </c>
      <c r="AE67" s="13">
        <v>64.680000000000007</v>
      </c>
      <c r="AF67" s="13">
        <v>67.47</v>
      </c>
      <c r="AG67" s="13">
        <v>36.43</v>
      </c>
      <c r="AH67" s="13">
        <v>46.66</v>
      </c>
      <c r="AI67" s="13">
        <v>44.57</v>
      </c>
      <c r="AJ67" s="13">
        <f t="shared" si="1"/>
        <v>106.57</v>
      </c>
      <c r="AK67" s="13">
        <v>106.57</v>
      </c>
      <c r="AM67" s="13">
        <v>27.1</v>
      </c>
      <c r="AN67" s="13">
        <v>49.48</v>
      </c>
      <c r="AO67" s="13">
        <v>200.75</v>
      </c>
      <c r="AP67" s="13">
        <v>95.79</v>
      </c>
      <c r="AQ67" s="13">
        <v>144.63</v>
      </c>
      <c r="AR67" s="13">
        <v>161.25</v>
      </c>
      <c r="AS67" s="13">
        <v>67.39</v>
      </c>
      <c r="AT67" s="13">
        <v>33.08</v>
      </c>
      <c r="AU67" s="13">
        <v>43.65</v>
      </c>
      <c r="AV67" s="13">
        <v>94.12</v>
      </c>
      <c r="AW67" s="13">
        <v>101.32</v>
      </c>
      <c r="AX67" s="13">
        <v>161.55000000000001</v>
      </c>
      <c r="AY67" s="13">
        <v>28.99</v>
      </c>
      <c r="AZ67" s="13">
        <v>29.34</v>
      </c>
      <c r="BA67" s="13">
        <v>95.79</v>
      </c>
      <c r="BB67" s="13">
        <v>137.99</v>
      </c>
      <c r="BC67" s="13">
        <v>45.46</v>
      </c>
      <c r="BD67" s="13">
        <v>65.02</v>
      </c>
      <c r="BE67" s="13">
        <v>96.78</v>
      </c>
      <c r="BF67" s="13">
        <v>159.59</v>
      </c>
      <c r="BG67" s="7">
        <v>910</v>
      </c>
      <c r="BH67" s="13">
        <v>85.13</v>
      </c>
      <c r="BI67" s="13">
        <v>86.05</v>
      </c>
      <c r="BJ67" s="13">
        <v>62.19</v>
      </c>
      <c r="BK67" s="13">
        <v>43.15</v>
      </c>
      <c r="BL67" s="13">
        <v>142.32</v>
      </c>
      <c r="BM67" s="13">
        <v>121.08</v>
      </c>
      <c r="BN67" s="13">
        <v>28.93</v>
      </c>
      <c r="BO67" s="13">
        <v>101.47</v>
      </c>
      <c r="BP67" s="13">
        <v>149.93</v>
      </c>
      <c r="BQ67" s="13">
        <v>38.33</v>
      </c>
      <c r="BR67" s="13">
        <v>100.48</v>
      </c>
      <c r="BS67" s="7">
        <v>64</v>
      </c>
      <c r="BT67" s="13">
        <v>28.15</v>
      </c>
      <c r="BU67" s="13">
        <v>32.44</v>
      </c>
      <c r="BV67" s="13">
        <v>24.16</v>
      </c>
      <c r="BW67" s="13">
        <v>19.12</v>
      </c>
      <c r="BX67" s="13">
        <v>48.27</v>
      </c>
      <c r="BY67" s="7">
        <v>0</v>
      </c>
      <c r="BZ67" s="7">
        <v>0</v>
      </c>
      <c r="CA67" s="13">
        <v>469.6</v>
      </c>
      <c r="CB67" s="13">
        <v>85.65</v>
      </c>
      <c r="CC67" s="13">
        <v>365.62</v>
      </c>
      <c r="CD67" s="13">
        <v>18.329999999999998</v>
      </c>
      <c r="CE67" s="13">
        <v>156.88999999999999</v>
      </c>
      <c r="CF67" s="13">
        <v>90.19</v>
      </c>
      <c r="CG67" s="7">
        <v>0</v>
      </c>
      <c r="CH67" s="7" t="s">
        <v>104</v>
      </c>
      <c r="CI67" s="7">
        <v>0</v>
      </c>
      <c r="CJ67" s="7" t="s">
        <v>104</v>
      </c>
      <c r="CK67" s="7" t="s">
        <v>104</v>
      </c>
      <c r="CL67" s="13">
        <v>66.69</v>
      </c>
      <c r="CM67" s="7" t="s">
        <v>104</v>
      </c>
      <c r="CN67" s="7" t="s">
        <v>104</v>
      </c>
      <c r="CO67" s="13">
        <v>5825.39</v>
      </c>
      <c r="CP67" s="13">
        <v>626.49</v>
      </c>
    </row>
    <row r="68" spans="1:94" ht="14.5" x14ac:dyDescent="0.35">
      <c r="A68" s="5" t="s">
        <v>67</v>
      </c>
      <c r="B68" s="12">
        <v>69102.52</v>
      </c>
      <c r="C68" s="12">
        <v>110.46</v>
      </c>
      <c r="D68" s="12">
        <v>15.03</v>
      </c>
      <c r="E68" s="12">
        <v>4.2300000000000004</v>
      </c>
      <c r="F68" s="12">
        <v>93.71</v>
      </c>
      <c r="G68" s="12">
        <v>1597.31</v>
      </c>
      <c r="H68" s="12">
        <v>159.52000000000001</v>
      </c>
      <c r="I68" s="12">
        <v>89.54</v>
      </c>
      <c r="J68" s="12">
        <v>190.4</v>
      </c>
      <c r="K68" s="12">
        <v>47.26</v>
      </c>
      <c r="L68" s="6">
        <v>431</v>
      </c>
      <c r="M68" s="12">
        <f t="shared" si="0"/>
        <v>1565.23</v>
      </c>
      <c r="N68" s="12">
        <v>1565.23</v>
      </c>
      <c r="X68" s="12">
        <v>3496.58</v>
      </c>
      <c r="Y68" s="12">
        <v>326.10000000000002</v>
      </c>
      <c r="Z68" s="12">
        <v>283.17</v>
      </c>
      <c r="AA68" s="12">
        <v>468.47</v>
      </c>
      <c r="AB68" s="12">
        <v>464.09</v>
      </c>
      <c r="AC68" s="12">
        <v>4033.97</v>
      </c>
      <c r="AD68" s="12">
        <v>482.74</v>
      </c>
      <c r="AE68" s="12">
        <v>879.75</v>
      </c>
      <c r="AF68" s="12">
        <v>1088.29</v>
      </c>
      <c r="AG68" s="12">
        <v>255.93</v>
      </c>
      <c r="AH68" s="12">
        <v>368.08</v>
      </c>
      <c r="AI68" s="12">
        <v>327.38</v>
      </c>
      <c r="AJ68" s="13">
        <f t="shared" si="1"/>
        <v>663.58</v>
      </c>
      <c r="AK68" s="12">
        <v>663.58</v>
      </c>
      <c r="AM68" s="12">
        <v>32.22</v>
      </c>
      <c r="AN68" s="12">
        <v>283.83</v>
      </c>
      <c r="AO68" s="12">
        <v>1444.74</v>
      </c>
      <c r="AP68" s="12">
        <v>520.16999999999996</v>
      </c>
      <c r="AQ68" s="12">
        <v>4014.4</v>
      </c>
      <c r="AR68" s="12">
        <v>1190.33</v>
      </c>
      <c r="AS68" s="12">
        <v>511.99</v>
      </c>
      <c r="AT68" s="12">
        <v>358.06</v>
      </c>
      <c r="AU68" s="12">
        <v>194.2</v>
      </c>
      <c r="AV68" s="6">
        <v>710</v>
      </c>
      <c r="AW68" s="12">
        <v>377.28</v>
      </c>
      <c r="AX68" s="12">
        <v>682.22</v>
      </c>
      <c r="AY68" s="12">
        <v>2856.46</v>
      </c>
      <c r="AZ68" s="12">
        <v>268.98</v>
      </c>
      <c r="BA68" s="12">
        <v>712.85</v>
      </c>
      <c r="BB68" s="12">
        <v>8911.2000000000007</v>
      </c>
      <c r="BC68" s="12">
        <v>1567.76</v>
      </c>
      <c r="BD68" s="12">
        <v>1623.5</v>
      </c>
      <c r="BE68" s="12">
        <v>1387.22</v>
      </c>
      <c r="BF68" s="12">
        <v>1351.13</v>
      </c>
      <c r="BG68" s="12">
        <v>10713.88</v>
      </c>
      <c r="BH68" s="12">
        <v>1660.99</v>
      </c>
      <c r="BI68" s="12">
        <v>1070.32</v>
      </c>
      <c r="BJ68" s="12">
        <v>443.92</v>
      </c>
      <c r="BK68" s="12">
        <v>477.29</v>
      </c>
      <c r="BL68" s="12">
        <v>1399.47</v>
      </c>
      <c r="BM68" s="12">
        <v>720.05</v>
      </c>
      <c r="BN68" s="12">
        <v>1303.51</v>
      </c>
      <c r="BO68" s="12">
        <v>1942.33</v>
      </c>
      <c r="BP68" s="12">
        <v>527.25</v>
      </c>
      <c r="BQ68" s="12">
        <v>284.85000000000002</v>
      </c>
      <c r="BR68" s="12">
        <v>688.2</v>
      </c>
      <c r="BS68" s="12">
        <v>256.99</v>
      </c>
      <c r="BT68" s="12">
        <v>691.8</v>
      </c>
      <c r="BU68" s="12">
        <v>132.88</v>
      </c>
      <c r="BV68" s="12">
        <v>181.64</v>
      </c>
      <c r="BW68" s="12">
        <v>39.04</v>
      </c>
      <c r="BX68" s="12">
        <v>123.18</v>
      </c>
      <c r="BY68" s="12">
        <v>4.5999999999999996</v>
      </c>
      <c r="BZ68" s="6">
        <v>0</v>
      </c>
      <c r="CA68" s="12">
        <v>765.54</v>
      </c>
      <c r="CB68" s="12">
        <v>0.01</v>
      </c>
      <c r="CC68" s="12">
        <v>765.39</v>
      </c>
      <c r="CD68" s="12">
        <v>0.14000000000000001</v>
      </c>
      <c r="CE68" s="12">
        <v>1608.05</v>
      </c>
      <c r="CF68" s="12">
        <v>21.67</v>
      </c>
      <c r="CG68" s="6">
        <v>0</v>
      </c>
      <c r="CH68" s="6" t="s">
        <v>104</v>
      </c>
      <c r="CI68" s="6">
        <v>0</v>
      </c>
      <c r="CJ68" s="6" t="s">
        <v>104</v>
      </c>
      <c r="CK68" s="6">
        <v>0</v>
      </c>
      <c r="CL68" s="12">
        <v>1586.38</v>
      </c>
      <c r="CM68" s="6" t="s">
        <v>104</v>
      </c>
      <c r="CN68" s="6" t="s">
        <v>104</v>
      </c>
      <c r="CO68" s="12">
        <v>71476.11</v>
      </c>
      <c r="CP68" s="12">
        <v>2373.59</v>
      </c>
    </row>
    <row r="69" spans="1:94" ht="14.5" x14ac:dyDescent="0.35">
      <c r="A69" s="5" t="s">
        <v>68</v>
      </c>
      <c r="B69" s="13">
        <v>5559.38</v>
      </c>
      <c r="C69" s="13">
        <v>13.69</v>
      </c>
      <c r="D69" s="13">
        <v>0.98</v>
      </c>
      <c r="E69" s="13">
        <v>0.26</v>
      </c>
      <c r="F69" s="13">
        <v>22.86</v>
      </c>
      <c r="G69" s="13">
        <v>87.34</v>
      </c>
      <c r="H69" s="13">
        <v>5.58</v>
      </c>
      <c r="I69" s="13">
        <v>9.18</v>
      </c>
      <c r="J69" s="13">
        <v>13.12</v>
      </c>
      <c r="K69" s="13">
        <v>2.2400000000000002</v>
      </c>
      <c r="L69" s="13">
        <v>52.47</v>
      </c>
      <c r="M69" s="12">
        <f t="shared" si="0"/>
        <v>120.66</v>
      </c>
      <c r="N69" s="12">
        <v>120.66</v>
      </c>
      <c r="X69" s="13">
        <v>120.77</v>
      </c>
      <c r="Y69" s="13">
        <v>46.65</v>
      </c>
      <c r="Z69" s="13">
        <v>38.89</v>
      </c>
      <c r="AA69" s="13">
        <v>45.18</v>
      </c>
      <c r="AB69" s="13">
        <v>122.08</v>
      </c>
      <c r="AC69" s="13">
        <v>93.43</v>
      </c>
      <c r="AD69" s="13">
        <v>75.94</v>
      </c>
      <c r="AE69" s="13">
        <v>134.43</v>
      </c>
      <c r="AF69" s="13">
        <v>126.13</v>
      </c>
      <c r="AG69" s="13">
        <v>79.28</v>
      </c>
      <c r="AH69" s="13">
        <v>21.99</v>
      </c>
      <c r="AI69" s="13">
        <v>122.1</v>
      </c>
      <c r="AJ69" s="13">
        <f t="shared" si="1"/>
        <v>140.21</v>
      </c>
      <c r="AK69" s="13">
        <v>140.21</v>
      </c>
      <c r="AM69" s="13">
        <v>13.38</v>
      </c>
      <c r="AN69" s="13">
        <v>104.52</v>
      </c>
      <c r="AO69" s="13">
        <v>1421.63</v>
      </c>
      <c r="AP69" s="13">
        <v>22.12</v>
      </c>
      <c r="AQ69" s="13">
        <v>112.23</v>
      </c>
      <c r="AR69" s="13">
        <v>32.479999999999997</v>
      </c>
      <c r="AS69" s="13">
        <v>66.650000000000006</v>
      </c>
      <c r="AT69" s="13">
        <v>39.840000000000003</v>
      </c>
      <c r="AU69" s="13">
        <v>15.13</v>
      </c>
      <c r="AV69" s="13">
        <v>70.8</v>
      </c>
      <c r="AW69" s="13">
        <v>8.3699999999999992</v>
      </c>
      <c r="AX69" s="13">
        <v>38.9</v>
      </c>
      <c r="AY69" s="13">
        <v>17.399999999999999</v>
      </c>
      <c r="AZ69" s="13">
        <v>7.29</v>
      </c>
      <c r="BA69" s="13">
        <v>44.54</v>
      </c>
      <c r="BB69" s="13">
        <v>333.92</v>
      </c>
      <c r="BC69" s="13">
        <v>20.04</v>
      </c>
      <c r="BD69" s="13">
        <v>14.49</v>
      </c>
      <c r="BE69" s="13">
        <v>28.81</v>
      </c>
      <c r="BF69" s="13">
        <v>98.72</v>
      </c>
      <c r="BG69" s="13">
        <v>150.84</v>
      </c>
      <c r="BH69" s="13">
        <v>727.34</v>
      </c>
      <c r="BI69" s="13">
        <v>96.41</v>
      </c>
      <c r="BJ69" s="13">
        <v>29.01</v>
      </c>
      <c r="BK69" s="13">
        <v>58.87</v>
      </c>
      <c r="BL69" s="13">
        <v>102.9</v>
      </c>
      <c r="BM69" s="13">
        <v>33.369999999999997</v>
      </c>
      <c r="BN69" s="13">
        <v>2.58</v>
      </c>
      <c r="BO69" s="13">
        <v>94.93</v>
      </c>
      <c r="BP69" s="13">
        <v>153.58000000000001</v>
      </c>
      <c r="BQ69" s="13">
        <v>25.2</v>
      </c>
      <c r="BR69" s="13">
        <v>33.28</v>
      </c>
      <c r="BS69" s="13">
        <v>5.63</v>
      </c>
      <c r="BT69" s="13">
        <v>11.54</v>
      </c>
      <c r="BU69" s="13">
        <v>6.89</v>
      </c>
      <c r="BV69" s="13">
        <v>9.4600000000000009</v>
      </c>
      <c r="BW69" s="13">
        <v>2.0299999999999998</v>
      </c>
      <c r="BX69" s="13">
        <v>8.07</v>
      </c>
      <c r="BY69" s="13">
        <v>0.75</v>
      </c>
      <c r="BZ69" s="7">
        <v>0</v>
      </c>
      <c r="CA69" s="13">
        <v>75.42</v>
      </c>
      <c r="CB69" s="13">
        <v>7.94</v>
      </c>
      <c r="CC69" s="13">
        <v>67.459999999999994</v>
      </c>
      <c r="CD69" s="13">
        <v>0.02</v>
      </c>
      <c r="CE69" s="13">
        <v>1246.07</v>
      </c>
      <c r="CF69" s="13">
        <v>7.75</v>
      </c>
      <c r="CG69" s="7">
        <v>0</v>
      </c>
      <c r="CH69" s="7" t="s">
        <v>104</v>
      </c>
      <c r="CI69" s="7">
        <v>0</v>
      </c>
      <c r="CJ69" s="7" t="s">
        <v>104</v>
      </c>
      <c r="CK69" s="7">
        <v>0</v>
      </c>
      <c r="CL69" s="13">
        <v>1238.31</v>
      </c>
      <c r="CM69" s="7" t="s">
        <v>104</v>
      </c>
      <c r="CN69" s="7" t="s">
        <v>104</v>
      </c>
      <c r="CO69" s="13">
        <v>6880.86</v>
      </c>
      <c r="CP69" s="13">
        <v>1321.49</v>
      </c>
    </row>
    <row r="70" spans="1:94" ht="14.5" x14ac:dyDescent="0.35">
      <c r="A70" s="5" t="s">
        <v>69</v>
      </c>
      <c r="B70" s="12">
        <v>3705.02</v>
      </c>
      <c r="C70" s="12">
        <v>2.02</v>
      </c>
      <c r="D70" s="12">
        <v>0.09</v>
      </c>
      <c r="E70" s="12">
        <v>0.41</v>
      </c>
      <c r="F70" s="12">
        <v>0.91</v>
      </c>
      <c r="G70" s="12">
        <v>52.04</v>
      </c>
      <c r="H70" s="12">
        <v>2.4300000000000002</v>
      </c>
      <c r="I70" s="12">
        <v>0.25</v>
      </c>
      <c r="J70" s="12">
        <v>2.4900000000000002</v>
      </c>
      <c r="K70" s="12">
        <v>0.47</v>
      </c>
      <c r="L70" s="12">
        <v>11.37</v>
      </c>
      <c r="M70" s="12">
        <f t="shared" si="0"/>
        <v>65.260000000000005</v>
      </c>
      <c r="N70" s="12">
        <v>65.260000000000005</v>
      </c>
      <c r="X70" s="12">
        <v>484.74</v>
      </c>
      <c r="Y70" s="12">
        <v>16.8</v>
      </c>
      <c r="Z70" s="12">
        <v>7.69</v>
      </c>
      <c r="AA70" s="6">
        <v>2</v>
      </c>
      <c r="AB70" s="12">
        <v>9.27</v>
      </c>
      <c r="AC70" s="12">
        <v>120.86</v>
      </c>
      <c r="AD70" s="12">
        <v>30.41</v>
      </c>
      <c r="AE70" s="12">
        <v>38.130000000000003</v>
      </c>
      <c r="AF70" s="12">
        <v>253.98</v>
      </c>
      <c r="AG70" s="12">
        <v>5.97</v>
      </c>
      <c r="AH70" s="12">
        <v>10.25</v>
      </c>
      <c r="AI70" s="12">
        <v>6.5</v>
      </c>
      <c r="AJ70" s="13">
        <f t="shared" si="1"/>
        <v>11.56</v>
      </c>
      <c r="AK70" s="12">
        <v>11.56</v>
      </c>
      <c r="AM70" s="12">
        <v>1.62</v>
      </c>
      <c r="AN70" s="12">
        <v>1.48</v>
      </c>
      <c r="AO70" s="12">
        <v>6.84</v>
      </c>
      <c r="AP70" s="12">
        <v>13.01</v>
      </c>
      <c r="AQ70" s="12">
        <v>70.62</v>
      </c>
      <c r="AR70" s="12">
        <v>4.95</v>
      </c>
      <c r="AS70" s="12">
        <v>2.63</v>
      </c>
      <c r="AT70" s="12">
        <v>0.63</v>
      </c>
      <c r="AU70" s="12">
        <v>1.25</v>
      </c>
      <c r="AV70" s="12">
        <v>1.03</v>
      </c>
      <c r="AW70" s="12">
        <v>23.4</v>
      </c>
      <c r="AX70" s="12">
        <v>1.03</v>
      </c>
      <c r="AY70" s="12">
        <v>61.48</v>
      </c>
      <c r="AZ70" s="12">
        <v>0.3</v>
      </c>
      <c r="BA70" s="12">
        <v>2.09</v>
      </c>
      <c r="BB70" s="12">
        <v>209.97</v>
      </c>
      <c r="BC70" s="12">
        <v>21.52</v>
      </c>
      <c r="BD70" s="12">
        <v>0.13</v>
      </c>
      <c r="BE70" s="12">
        <v>1.76</v>
      </c>
      <c r="BF70" s="12">
        <v>12.2</v>
      </c>
      <c r="BG70" s="12">
        <v>318.04000000000002</v>
      </c>
      <c r="BH70" s="12">
        <v>38.729999999999997</v>
      </c>
      <c r="BI70" s="12">
        <v>1333.54</v>
      </c>
      <c r="BJ70" s="12">
        <v>15.46</v>
      </c>
      <c r="BK70" s="12">
        <v>19.09</v>
      </c>
      <c r="BL70" s="12">
        <v>157.85</v>
      </c>
      <c r="BM70" s="12">
        <v>24.8</v>
      </c>
      <c r="BN70" s="12">
        <v>0.14000000000000001</v>
      </c>
      <c r="BO70" s="12">
        <v>58.89</v>
      </c>
      <c r="BP70" s="12">
        <v>40.79</v>
      </c>
      <c r="BQ70" s="12">
        <v>57.44</v>
      </c>
      <c r="BR70" s="12">
        <v>52.26</v>
      </c>
      <c r="BS70" s="12">
        <v>1.24</v>
      </c>
      <c r="BT70" s="12">
        <v>6.69</v>
      </c>
      <c r="BU70" s="12">
        <v>0.27</v>
      </c>
      <c r="BV70" s="12">
        <v>3.74</v>
      </c>
      <c r="BW70" s="12">
        <v>0.28999999999999998</v>
      </c>
      <c r="BX70" s="12">
        <v>7.0000000000000007E-2</v>
      </c>
      <c r="BY70" s="12">
        <v>1.86</v>
      </c>
      <c r="BZ70" s="6">
        <v>0</v>
      </c>
      <c r="CA70" s="12">
        <v>41.12</v>
      </c>
      <c r="CB70" s="12">
        <v>40.590000000000003</v>
      </c>
      <c r="CC70" s="6">
        <v>0</v>
      </c>
      <c r="CD70" s="12">
        <v>0.53</v>
      </c>
      <c r="CE70" s="12">
        <v>19097.12</v>
      </c>
      <c r="CF70" s="12">
        <v>153.80000000000001</v>
      </c>
      <c r="CG70" s="6">
        <v>0</v>
      </c>
      <c r="CH70" s="6" t="s">
        <v>104</v>
      </c>
      <c r="CI70" s="6">
        <v>0</v>
      </c>
      <c r="CJ70" s="6" t="s">
        <v>104</v>
      </c>
      <c r="CK70" s="6">
        <v>0</v>
      </c>
      <c r="CL70" s="12">
        <v>18943.32</v>
      </c>
      <c r="CM70" s="6" t="s">
        <v>104</v>
      </c>
      <c r="CN70" s="6" t="s">
        <v>104</v>
      </c>
      <c r="CO70" s="12">
        <v>22843.25</v>
      </c>
      <c r="CP70" s="12">
        <v>19138.240000000002</v>
      </c>
    </row>
    <row r="71" spans="1:94" ht="14.5" x14ac:dyDescent="0.35">
      <c r="A71" s="5" t="s">
        <v>70</v>
      </c>
      <c r="B71" s="13">
        <v>8201.25</v>
      </c>
      <c r="C71" s="13">
        <v>7.1</v>
      </c>
      <c r="D71" s="13">
        <v>0.9</v>
      </c>
      <c r="E71" s="13">
        <v>0.32</v>
      </c>
      <c r="F71" s="13">
        <v>6.07</v>
      </c>
      <c r="G71" s="13">
        <v>800.93</v>
      </c>
      <c r="H71" s="13">
        <v>28.76</v>
      </c>
      <c r="I71" s="13">
        <v>7.12</v>
      </c>
      <c r="J71" s="13">
        <v>22.81</v>
      </c>
      <c r="K71" s="13">
        <v>5.49</v>
      </c>
      <c r="L71" s="13">
        <v>64.58</v>
      </c>
      <c r="M71" s="12">
        <f t="shared" si="0"/>
        <v>257.64999999999998</v>
      </c>
      <c r="N71" s="12">
        <v>257.64999999999998</v>
      </c>
      <c r="X71" s="13">
        <v>884.8</v>
      </c>
      <c r="Y71" s="13">
        <v>41.45</v>
      </c>
      <c r="Z71" s="13">
        <v>38.200000000000003</v>
      </c>
      <c r="AA71" s="13">
        <v>18.079999999999998</v>
      </c>
      <c r="AB71" s="13">
        <v>41.09</v>
      </c>
      <c r="AC71" s="13">
        <v>129.61000000000001</v>
      </c>
      <c r="AD71" s="13">
        <v>37.14</v>
      </c>
      <c r="AE71" s="13">
        <v>45.16</v>
      </c>
      <c r="AF71" s="13">
        <v>127.95</v>
      </c>
      <c r="AG71" s="13">
        <v>10.46</v>
      </c>
      <c r="AH71" s="13">
        <v>108.79</v>
      </c>
      <c r="AI71" s="13">
        <v>19.149999999999999</v>
      </c>
      <c r="AJ71" s="13">
        <f t="shared" si="1"/>
        <v>47.41</v>
      </c>
      <c r="AK71" s="13">
        <v>47.41</v>
      </c>
      <c r="AM71" s="13">
        <v>3.45</v>
      </c>
      <c r="AN71" s="13">
        <v>15.46</v>
      </c>
      <c r="AO71" s="13">
        <v>97.87</v>
      </c>
      <c r="AP71" s="13">
        <v>150.19</v>
      </c>
      <c r="AQ71" s="13">
        <v>550.39</v>
      </c>
      <c r="AR71" s="13">
        <v>468.96</v>
      </c>
      <c r="AS71" s="13">
        <v>31.43</v>
      </c>
      <c r="AT71" s="13">
        <v>7.44</v>
      </c>
      <c r="AU71" s="13">
        <v>25.51</v>
      </c>
      <c r="AV71" s="13">
        <v>31.92</v>
      </c>
      <c r="AW71" s="13">
        <v>29.67</v>
      </c>
      <c r="AX71" s="13">
        <v>82.82</v>
      </c>
      <c r="AY71" s="13">
        <v>119.68</v>
      </c>
      <c r="AZ71" s="13">
        <v>56.38</v>
      </c>
      <c r="BA71" s="13">
        <v>78.98</v>
      </c>
      <c r="BB71" s="13">
        <v>1156.03</v>
      </c>
      <c r="BC71" s="13">
        <v>89.25</v>
      </c>
      <c r="BD71" s="13">
        <v>117.12</v>
      </c>
      <c r="BE71" s="13">
        <v>75.92</v>
      </c>
      <c r="BF71" s="13">
        <v>51.46</v>
      </c>
      <c r="BG71" s="13">
        <v>366.07</v>
      </c>
      <c r="BH71" s="13">
        <v>26.05</v>
      </c>
      <c r="BI71" s="13">
        <v>129.47999999999999</v>
      </c>
      <c r="BJ71" s="13">
        <v>562.36</v>
      </c>
      <c r="BK71" s="13">
        <v>36.799999999999997</v>
      </c>
      <c r="BL71" s="13">
        <v>133.62</v>
      </c>
      <c r="BM71" s="13">
        <v>49.35</v>
      </c>
      <c r="BN71" s="13">
        <v>522.94000000000005</v>
      </c>
      <c r="BO71" s="13">
        <v>84.65</v>
      </c>
      <c r="BP71" s="13">
        <v>57.96</v>
      </c>
      <c r="BQ71" s="13">
        <v>17.420000000000002</v>
      </c>
      <c r="BR71" s="13">
        <v>65.02</v>
      </c>
      <c r="BS71" s="13">
        <v>16.149999999999999</v>
      </c>
      <c r="BT71" s="13">
        <v>78.87</v>
      </c>
      <c r="BU71" s="13">
        <v>28.37</v>
      </c>
      <c r="BV71" s="13">
        <v>20.13</v>
      </c>
      <c r="BW71" s="13">
        <v>5.57</v>
      </c>
      <c r="BX71" s="13">
        <v>9.4499999999999993</v>
      </c>
      <c r="BY71" s="13">
        <v>0.06</v>
      </c>
      <c r="BZ71" s="7">
        <v>0</v>
      </c>
      <c r="CA71" s="13">
        <v>3.75</v>
      </c>
      <c r="CB71" s="13">
        <v>0.77</v>
      </c>
      <c r="CC71" s="13">
        <v>2.98</v>
      </c>
      <c r="CD71" s="13">
        <v>0.01</v>
      </c>
      <c r="CE71" s="13">
        <v>1.25</v>
      </c>
      <c r="CF71" s="13">
        <v>0.62</v>
      </c>
      <c r="CG71" s="7">
        <v>0</v>
      </c>
      <c r="CH71" s="7" t="s">
        <v>104</v>
      </c>
      <c r="CI71" s="7">
        <v>0</v>
      </c>
      <c r="CJ71" s="7" t="s">
        <v>104</v>
      </c>
      <c r="CK71" s="7">
        <v>0</v>
      </c>
      <c r="CL71" s="13">
        <v>0.63</v>
      </c>
      <c r="CM71" s="7" t="s">
        <v>104</v>
      </c>
      <c r="CN71" s="7" t="s">
        <v>104</v>
      </c>
      <c r="CO71" s="13">
        <v>8206.25</v>
      </c>
      <c r="CP71" s="7">
        <v>5</v>
      </c>
    </row>
    <row r="72" spans="1:94" ht="14.5" x14ac:dyDescent="0.35">
      <c r="A72" s="5" t="s">
        <v>71</v>
      </c>
      <c r="B72" s="12">
        <v>17683.669999999998</v>
      </c>
      <c r="C72" s="12">
        <v>135.12</v>
      </c>
      <c r="D72" s="12">
        <v>3.07</v>
      </c>
      <c r="E72" s="12">
        <v>0.79</v>
      </c>
      <c r="F72" s="12">
        <v>20.49</v>
      </c>
      <c r="G72" s="12">
        <v>395.65</v>
      </c>
      <c r="H72" s="12">
        <v>63.03</v>
      </c>
      <c r="I72" s="12">
        <v>17.059999999999999</v>
      </c>
      <c r="J72" s="12">
        <v>57.84</v>
      </c>
      <c r="K72" s="12">
        <v>29.24</v>
      </c>
      <c r="L72" s="12">
        <v>93.75</v>
      </c>
      <c r="M72" s="12">
        <f t="shared" si="0"/>
        <v>331.81</v>
      </c>
      <c r="N72" s="12">
        <v>331.81</v>
      </c>
      <c r="X72" s="12">
        <v>412.82</v>
      </c>
      <c r="Y72" s="12">
        <v>93.25</v>
      </c>
      <c r="Z72" s="12">
        <v>54.29</v>
      </c>
      <c r="AA72" s="12">
        <v>104.3</v>
      </c>
      <c r="AB72" s="12">
        <v>130.03</v>
      </c>
      <c r="AC72" s="12">
        <v>153.63999999999999</v>
      </c>
      <c r="AD72" s="12">
        <v>186.57</v>
      </c>
      <c r="AE72" s="12">
        <v>236.43</v>
      </c>
      <c r="AF72" s="12">
        <v>377.04</v>
      </c>
      <c r="AG72" s="12">
        <v>46.67</v>
      </c>
      <c r="AH72" s="12">
        <v>81.09</v>
      </c>
      <c r="AI72" s="12">
        <v>114.16</v>
      </c>
      <c r="AJ72" s="13">
        <f t="shared" si="1"/>
        <v>215.29</v>
      </c>
      <c r="AK72" s="12">
        <v>215.29</v>
      </c>
      <c r="AM72" s="12">
        <v>18.43</v>
      </c>
      <c r="AN72" s="12">
        <v>162.07</v>
      </c>
      <c r="AO72" s="12">
        <v>516.14</v>
      </c>
      <c r="AP72" s="12">
        <v>185.29</v>
      </c>
      <c r="AQ72" s="12">
        <v>1130.1099999999999</v>
      </c>
      <c r="AR72" s="12">
        <v>401.21</v>
      </c>
      <c r="AS72" s="12">
        <v>209.47</v>
      </c>
      <c r="AT72" s="12">
        <v>46.07</v>
      </c>
      <c r="AU72" s="12">
        <v>690.54</v>
      </c>
      <c r="AV72" s="12">
        <v>152.09</v>
      </c>
      <c r="AW72" s="12">
        <v>85.19</v>
      </c>
      <c r="AX72" s="12">
        <v>273.62</v>
      </c>
      <c r="AY72" s="12">
        <v>400.3</v>
      </c>
      <c r="AZ72" s="12">
        <v>127.63</v>
      </c>
      <c r="BA72" s="12">
        <v>365.3</v>
      </c>
      <c r="BB72" s="12">
        <v>1441.74</v>
      </c>
      <c r="BC72" s="12">
        <v>343.54</v>
      </c>
      <c r="BD72" s="12">
        <v>423.66</v>
      </c>
      <c r="BE72" s="12">
        <v>425.5</v>
      </c>
      <c r="BF72" s="12">
        <v>311.82</v>
      </c>
      <c r="BG72" s="12">
        <v>1423.88</v>
      </c>
      <c r="BH72" s="12">
        <v>346.36</v>
      </c>
      <c r="BI72" s="12">
        <v>324.45999999999998</v>
      </c>
      <c r="BJ72" s="12">
        <v>564.08000000000004</v>
      </c>
      <c r="BK72" s="12">
        <v>744.65</v>
      </c>
      <c r="BL72" s="12">
        <v>476.33</v>
      </c>
      <c r="BM72" s="12">
        <v>161.47999999999999</v>
      </c>
      <c r="BN72" s="12">
        <v>94.94</v>
      </c>
      <c r="BO72" s="12">
        <v>812.28</v>
      </c>
      <c r="BP72" s="12">
        <v>536.17999999999995</v>
      </c>
      <c r="BQ72" s="12">
        <v>194.26</v>
      </c>
      <c r="BR72" s="12">
        <v>319.17</v>
      </c>
      <c r="BS72" s="12">
        <v>142.59</v>
      </c>
      <c r="BT72" s="12">
        <v>118.05</v>
      </c>
      <c r="BU72" s="12">
        <v>83.72</v>
      </c>
      <c r="BV72" s="12">
        <v>165.26</v>
      </c>
      <c r="BW72" s="12">
        <v>17.61</v>
      </c>
      <c r="BX72" s="12">
        <v>93.3</v>
      </c>
      <c r="BY72" s="12">
        <v>1.95</v>
      </c>
      <c r="BZ72" s="6">
        <v>0</v>
      </c>
      <c r="CA72" s="12">
        <v>4113.96</v>
      </c>
      <c r="CB72" s="12">
        <v>15.29</v>
      </c>
      <c r="CC72" s="12">
        <v>4098.63</v>
      </c>
      <c r="CD72" s="12">
        <v>0.04</v>
      </c>
      <c r="CE72" s="12">
        <v>38.17</v>
      </c>
      <c r="CF72" s="12">
        <v>38.159999999999997</v>
      </c>
      <c r="CG72" s="6">
        <v>0</v>
      </c>
      <c r="CH72" s="6" t="s">
        <v>104</v>
      </c>
      <c r="CI72" s="6">
        <v>0</v>
      </c>
      <c r="CJ72" s="6" t="s">
        <v>104</v>
      </c>
      <c r="CK72" s="6">
        <v>0</v>
      </c>
      <c r="CL72" s="12">
        <v>0.01</v>
      </c>
      <c r="CM72" s="6" t="s">
        <v>104</v>
      </c>
      <c r="CN72" s="6" t="s">
        <v>104</v>
      </c>
      <c r="CO72" s="12">
        <v>21835.8</v>
      </c>
      <c r="CP72" s="12">
        <v>4152.13</v>
      </c>
    </row>
    <row r="73" spans="1:94" ht="14.5" x14ac:dyDescent="0.35">
      <c r="A73" s="5" t="s">
        <v>72</v>
      </c>
      <c r="B73" s="13">
        <v>11127.63</v>
      </c>
      <c r="C73" s="13">
        <v>44.23</v>
      </c>
      <c r="D73" s="13">
        <v>1.74</v>
      </c>
      <c r="E73" s="13">
        <v>1.68</v>
      </c>
      <c r="F73" s="13">
        <v>12.26</v>
      </c>
      <c r="G73" s="13">
        <v>216.3</v>
      </c>
      <c r="H73" s="13">
        <v>63.08</v>
      </c>
      <c r="I73" s="13">
        <v>10.85</v>
      </c>
      <c r="J73" s="13">
        <v>18.739999999999998</v>
      </c>
      <c r="K73" s="13">
        <v>10.78</v>
      </c>
      <c r="L73" s="13">
        <v>41.09</v>
      </c>
      <c r="M73" s="12">
        <f t="shared" si="0"/>
        <v>372.74</v>
      </c>
      <c r="N73" s="12">
        <v>372.74</v>
      </c>
      <c r="X73" s="13">
        <v>675.08</v>
      </c>
      <c r="Y73" s="13">
        <v>67.05</v>
      </c>
      <c r="Z73" s="13">
        <v>51.31</v>
      </c>
      <c r="AA73" s="13">
        <v>52.35</v>
      </c>
      <c r="AB73" s="13">
        <v>80.69</v>
      </c>
      <c r="AC73" s="13">
        <v>217.84</v>
      </c>
      <c r="AD73" s="13">
        <v>109.78</v>
      </c>
      <c r="AE73" s="13">
        <v>182.93</v>
      </c>
      <c r="AF73" s="13">
        <v>228.52</v>
      </c>
      <c r="AG73" s="13">
        <v>60.65</v>
      </c>
      <c r="AH73" s="13">
        <v>75.819999999999993</v>
      </c>
      <c r="AI73" s="13">
        <v>77.55</v>
      </c>
      <c r="AJ73" s="13">
        <f t="shared" si="1"/>
        <v>100.36</v>
      </c>
      <c r="AK73" s="13">
        <v>100.36</v>
      </c>
      <c r="AM73" s="13">
        <v>14.47</v>
      </c>
      <c r="AN73" s="13">
        <v>93.05</v>
      </c>
      <c r="AO73" s="13">
        <v>428.15</v>
      </c>
      <c r="AP73" s="13">
        <v>88.81</v>
      </c>
      <c r="AQ73" s="13">
        <v>518.44000000000005</v>
      </c>
      <c r="AR73" s="13">
        <v>236.34</v>
      </c>
      <c r="AS73" s="13">
        <v>238.36</v>
      </c>
      <c r="AT73" s="13">
        <v>137.55000000000001</v>
      </c>
      <c r="AU73" s="13">
        <v>207.69</v>
      </c>
      <c r="AV73" s="13">
        <v>226.58</v>
      </c>
      <c r="AW73" s="13">
        <v>17.66</v>
      </c>
      <c r="AX73" s="13">
        <v>164.89</v>
      </c>
      <c r="AY73" s="13">
        <v>83.07</v>
      </c>
      <c r="AZ73" s="13">
        <v>258.54000000000002</v>
      </c>
      <c r="BA73" s="13">
        <v>131.31</v>
      </c>
      <c r="BB73" s="13">
        <v>2728.05</v>
      </c>
      <c r="BC73" s="13">
        <v>68.63</v>
      </c>
      <c r="BD73" s="13">
        <v>42.1</v>
      </c>
      <c r="BE73" s="13">
        <v>49.14</v>
      </c>
      <c r="BF73" s="13">
        <v>56.44</v>
      </c>
      <c r="BG73" s="13">
        <v>365.6</v>
      </c>
      <c r="BH73" s="13">
        <v>109.04</v>
      </c>
      <c r="BI73" s="13">
        <v>186.3</v>
      </c>
      <c r="BJ73" s="13">
        <v>104.68</v>
      </c>
      <c r="BK73" s="7">
        <v>58</v>
      </c>
      <c r="BL73" s="13">
        <v>993.68</v>
      </c>
      <c r="BM73" s="13">
        <v>18.78</v>
      </c>
      <c r="BN73" s="13">
        <v>21.73</v>
      </c>
      <c r="BO73" s="13">
        <v>244.98</v>
      </c>
      <c r="BP73" s="13">
        <v>102.23</v>
      </c>
      <c r="BQ73" s="13">
        <v>64.790000000000006</v>
      </c>
      <c r="BR73" s="13">
        <v>95.56</v>
      </c>
      <c r="BS73" s="13">
        <v>40.090000000000003</v>
      </c>
      <c r="BT73" s="13">
        <v>59.16</v>
      </c>
      <c r="BU73" s="13">
        <v>34.03</v>
      </c>
      <c r="BV73" s="13">
        <v>11.81</v>
      </c>
      <c r="BW73" s="13">
        <v>8.6300000000000008</v>
      </c>
      <c r="BX73" s="13">
        <v>45.08</v>
      </c>
      <c r="BY73" s="13">
        <v>0.77</v>
      </c>
      <c r="BZ73" s="7">
        <v>0</v>
      </c>
      <c r="CA73" s="13">
        <v>212.72</v>
      </c>
      <c r="CB73" s="13">
        <v>0.01</v>
      </c>
      <c r="CC73" s="13">
        <v>212.72</v>
      </c>
      <c r="CD73" s="7">
        <v>0</v>
      </c>
      <c r="CE73" s="13">
        <v>64.13</v>
      </c>
      <c r="CF73" s="13">
        <v>0.05</v>
      </c>
      <c r="CG73" s="7">
        <v>0</v>
      </c>
      <c r="CH73" s="7" t="s">
        <v>104</v>
      </c>
      <c r="CI73" s="7">
        <v>0</v>
      </c>
      <c r="CJ73" s="7" t="s">
        <v>104</v>
      </c>
      <c r="CK73" s="7">
        <v>0</v>
      </c>
      <c r="CL73" s="13">
        <v>64.08</v>
      </c>
      <c r="CM73" s="7" t="s">
        <v>104</v>
      </c>
      <c r="CN73" s="7" t="s">
        <v>104</v>
      </c>
      <c r="CO73" s="13">
        <v>11404.48</v>
      </c>
      <c r="CP73" s="13">
        <v>276.85000000000002</v>
      </c>
    </row>
    <row r="74" spans="1:94" ht="14.5" x14ac:dyDescent="0.35">
      <c r="A74" s="5" t="s">
        <v>73</v>
      </c>
      <c r="B74" s="12">
        <v>12055.22</v>
      </c>
      <c r="C74" s="12">
        <v>454.38</v>
      </c>
      <c r="D74" s="12">
        <v>33.24</v>
      </c>
      <c r="E74" s="12">
        <v>34.340000000000003</v>
      </c>
      <c r="F74" s="12">
        <v>59.87</v>
      </c>
      <c r="G74" s="12">
        <v>637.61</v>
      </c>
      <c r="H74" s="12">
        <v>150.69</v>
      </c>
      <c r="I74" s="12">
        <v>98.55</v>
      </c>
      <c r="J74" s="12">
        <v>139.33000000000001</v>
      </c>
      <c r="K74" s="12">
        <v>76.430000000000007</v>
      </c>
      <c r="L74" s="12">
        <v>116.37</v>
      </c>
      <c r="M74" s="12">
        <f t="shared" si="0"/>
        <v>263.26</v>
      </c>
      <c r="N74" s="12">
        <v>263.26</v>
      </c>
      <c r="X74" s="12">
        <v>190.16</v>
      </c>
      <c r="Y74" s="12">
        <v>243.35</v>
      </c>
      <c r="Z74" s="6">
        <v>149</v>
      </c>
      <c r="AA74" s="12">
        <v>213.42</v>
      </c>
      <c r="AB74" s="12">
        <v>396.4</v>
      </c>
      <c r="AC74" s="12">
        <v>184.52</v>
      </c>
      <c r="AD74" s="12">
        <v>217.58</v>
      </c>
      <c r="AE74" s="12">
        <v>395.54</v>
      </c>
      <c r="AF74" s="12">
        <v>344.71</v>
      </c>
      <c r="AG74" s="12">
        <v>175.23</v>
      </c>
      <c r="AH74" s="12">
        <v>170.89</v>
      </c>
      <c r="AI74" s="12">
        <v>210.17</v>
      </c>
      <c r="AJ74" s="13">
        <f t="shared" si="1"/>
        <v>171.45</v>
      </c>
      <c r="AK74" s="12">
        <v>171.45</v>
      </c>
      <c r="AM74" s="12">
        <v>42.31</v>
      </c>
      <c r="AN74" s="12">
        <v>158.84</v>
      </c>
      <c r="AO74" s="12">
        <v>426.07</v>
      </c>
      <c r="AP74" s="12">
        <v>137.33000000000001</v>
      </c>
      <c r="AQ74" s="12">
        <v>459.98</v>
      </c>
      <c r="AR74" s="12">
        <v>224.61</v>
      </c>
      <c r="AS74" s="12">
        <v>216.84</v>
      </c>
      <c r="AT74" s="12">
        <v>100.19</v>
      </c>
      <c r="AU74" s="12">
        <v>128.51</v>
      </c>
      <c r="AV74" s="12">
        <v>518.96</v>
      </c>
      <c r="AW74" s="12">
        <v>146.88999999999999</v>
      </c>
      <c r="AX74" s="12">
        <v>263.36</v>
      </c>
      <c r="AY74" s="12">
        <v>79.81</v>
      </c>
      <c r="AZ74" s="12">
        <v>70.55</v>
      </c>
      <c r="BA74" s="12">
        <v>109.67</v>
      </c>
      <c r="BB74" s="12">
        <v>340.92</v>
      </c>
      <c r="BC74" s="12">
        <v>132.37</v>
      </c>
      <c r="BD74" s="12">
        <v>73.540000000000006</v>
      </c>
      <c r="BE74" s="12">
        <v>116.46</v>
      </c>
      <c r="BF74" s="12">
        <v>146.99</v>
      </c>
      <c r="BG74" s="12">
        <v>290.08999999999997</v>
      </c>
      <c r="BH74" s="12">
        <v>279.94</v>
      </c>
      <c r="BI74" s="12">
        <v>173.64</v>
      </c>
      <c r="BJ74" s="12">
        <v>123.72</v>
      </c>
      <c r="BK74" s="12">
        <v>99.37</v>
      </c>
      <c r="BL74" s="12">
        <v>158.26</v>
      </c>
      <c r="BM74" s="12">
        <v>335.16</v>
      </c>
      <c r="BN74" s="12">
        <v>50.52</v>
      </c>
      <c r="BO74" s="12">
        <v>381.73</v>
      </c>
      <c r="BP74" s="12">
        <v>108.77</v>
      </c>
      <c r="BQ74" s="12">
        <v>102.16</v>
      </c>
      <c r="BR74" s="12">
        <v>419.16</v>
      </c>
      <c r="BS74" s="12">
        <v>181.47</v>
      </c>
      <c r="BT74" s="12">
        <v>63.13</v>
      </c>
      <c r="BU74" s="12">
        <v>70.59</v>
      </c>
      <c r="BV74" s="12">
        <v>54.33</v>
      </c>
      <c r="BW74" s="12">
        <v>55.72</v>
      </c>
      <c r="BX74" s="12">
        <v>85.68</v>
      </c>
      <c r="BY74" s="12">
        <v>1.1399999999999999</v>
      </c>
      <c r="BZ74" s="6">
        <v>0</v>
      </c>
      <c r="CA74" s="12">
        <v>247.29</v>
      </c>
      <c r="CB74" s="12">
        <v>122.32</v>
      </c>
      <c r="CC74" s="12">
        <v>106.29</v>
      </c>
      <c r="CD74" s="12">
        <v>18.670000000000002</v>
      </c>
      <c r="CE74" s="12">
        <v>200.15</v>
      </c>
      <c r="CF74" s="12">
        <v>100.95</v>
      </c>
      <c r="CG74" s="6">
        <v>0</v>
      </c>
      <c r="CH74" s="6" t="s">
        <v>104</v>
      </c>
      <c r="CI74" s="6">
        <v>0</v>
      </c>
      <c r="CJ74" s="6" t="s">
        <v>104</v>
      </c>
      <c r="CK74" s="6">
        <v>0</v>
      </c>
      <c r="CL74" s="12">
        <v>99.2</v>
      </c>
      <c r="CM74" s="6" t="s">
        <v>104</v>
      </c>
      <c r="CN74" s="6" t="s">
        <v>104</v>
      </c>
      <c r="CO74" s="12">
        <v>12502.66</v>
      </c>
      <c r="CP74" s="12">
        <v>447.43</v>
      </c>
    </row>
    <row r="75" spans="1:94" ht="14.5" x14ac:dyDescent="0.35">
      <c r="A75" s="5" t="s">
        <v>74</v>
      </c>
      <c r="B75" s="13">
        <v>13596.74</v>
      </c>
      <c r="C75" s="13">
        <v>133.55000000000001</v>
      </c>
      <c r="D75" s="13">
        <v>39.6</v>
      </c>
      <c r="E75" s="13">
        <v>59.99</v>
      </c>
      <c r="F75" s="13">
        <v>80.88</v>
      </c>
      <c r="G75" s="13">
        <v>251.6</v>
      </c>
      <c r="H75" s="13">
        <v>132.58000000000001</v>
      </c>
      <c r="I75" s="13">
        <v>95.35</v>
      </c>
      <c r="J75" s="13">
        <v>133.44</v>
      </c>
      <c r="K75" s="13">
        <v>83.42</v>
      </c>
      <c r="L75" s="13">
        <v>158.21</v>
      </c>
      <c r="M75" s="12">
        <f t="shared" si="0"/>
        <v>212.23</v>
      </c>
      <c r="N75" s="12">
        <v>212.23</v>
      </c>
      <c r="X75" s="13">
        <v>170.43</v>
      </c>
      <c r="Y75" s="13">
        <v>185.95</v>
      </c>
      <c r="Z75" s="13">
        <v>154.77000000000001</v>
      </c>
      <c r="AA75" s="13">
        <v>201.54</v>
      </c>
      <c r="AB75" s="13">
        <v>202.74</v>
      </c>
      <c r="AC75" s="13">
        <v>148.61000000000001</v>
      </c>
      <c r="AD75" s="13">
        <v>176.82</v>
      </c>
      <c r="AE75" s="13">
        <v>191.97</v>
      </c>
      <c r="AF75" s="13">
        <v>214.63</v>
      </c>
      <c r="AG75" s="13">
        <v>166.58</v>
      </c>
      <c r="AH75" s="13">
        <v>132.47</v>
      </c>
      <c r="AI75" s="13">
        <v>156.26</v>
      </c>
      <c r="AJ75" s="13">
        <f t="shared" si="1"/>
        <v>168.95</v>
      </c>
      <c r="AK75" s="13">
        <v>168.95</v>
      </c>
      <c r="AM75" s="13">
        <v>62.25</v>
      </c>
      <c r="AN75" s="13">
        <v>220.09</v>
      </c>
      <c r="AO75" s="13">
        <v>466.23</v>
      </c>
      <c r="AP75" s="13">
        <v>186.48</v>
      </c>
      <c r="AQ75" s="13">
        <v>349.39</v>
      </c>
      <c r="AR75" s="13">
        <v>250.2</v>
      </c>
      <c r="AS75" s="13">
        <v>456.05</v>
      </c>
      <c r="AT75" s="13">
        <v>239.06</v>
      </c>
      <c r="AU75" s="13">
        <v>1070.71</v>
      </c>
      <c r="AV75" s="13">
        <v>757.87</v>
      </c>
      <c r="AW75" s="13">
        <v>61.22</v>
      </c>
      <c r="AX75" s="13">
        <v>443.1</v>
      </c>
      <c r="AY75" s="13">
        <v>100.51</v>
      </c>
      <c r="AZ75" s="13">
        <v>129.22</v>
      </c>
      <c r="BA75" s="13">
        <v>162.83000000000001</v>
      </c>
      <c r="BB75" s="13">
        <v>244.66</v>
      </c>
      <c r="BC75" s="13">
        <v>91.62</v>
      </c>
      <c r="BD75" s="13">
        <v>101.49</v>
      </c>
      <c r="BE75" s="13">
        <v>86.4</v>
      </c>
      <c r="BF75" s="13">
        <v>132.31</v>
      </c>
      <c r="BG75" s="13">
        <v>365.08</v>
      </c>
      <c r="BH75" s="13">
        <v>157.1</v>
      </c>
      <c r="BI75" s="13">
        <v>164.61</v>
      </c>
      <c r="BJ75" s="13">
        <v>127.44</v>
      </c>
      <c r="BK75" s="13">
        <v>107.97</v>
      </c>
      <c r="BL75" s="13">
        <v>354.91</v>
      </c>
      <c r="BM75" s="13">
        <v>76.84</v>
      </c>
      <c r="BN75" s="13">
        <v>1585.93</v>
      </c>
      <c r="BO75" s="13">
        <v>157.61000000000001</v>
      </c>
      <c r="BP75" s="13">
        <v>213.42</v>
      </c>
      <c r="BQ75" s="13">
        <v>146.9</v>
      </c>
      <c r="BR75" s="13">
        <v>218.98</v>
      </c>
      <c r="BS75" s="13">
        <v>112.02</v>
      </c>
      <c r="BT75" s="13">
        <v>128.22</v>
      </c>
      <c r="BU75" s="13">
        <v>136.62</v>
      </c>
      <c r="BV75" s="13">
        <v>86.75</v>
      </c>
      <c r="BW75" s="13">
        <v>85.38</v>
      </c>
      <c r="BX75" s="13">
        <v>104.79</v>
      </c>
      <c r="BY75" s="13">
        <v>1.93</v>
      </c>
      <c r="BZ75" s="7">
        <v>0</v>
      </c>
      <c r="CA75" s="13">
        <v>11196.53</v>
      </c>
      <c r="CB75" s="13">
        <v>205.24</v>
      </c>
      <c r="CC75" s="13">
        <v>10982.45</v>
      </c>
      <c r="CD75" s="13">
        <v>8.84</v>
      </c>
      <c r="CE75" s="13">
        <v>345.35</v>
      </c>
      <c r="CF75" s="13">
        <v>182.32</v>
      </c>
      <c r="CG75" s="7">
        <v>0</v>
      </c>
      <c r="CH75" s="7" t="s">
        <v>104</v>
      </c>
      <c r="CI75" s="7">
        <v>0</v>
      </c>
      <c r="CJ75" s="7" t="s">
        <v>104</v>
      </c>
      <c r="CK75" s="7">
        <v>0</v>
      </c>
      <c r="CL75" s="13">
        <v>163.03</v>
      </c>
      <c r="CM75" s="7" t="s">
        <v>104</v>
      </c>
      <c r="CN75" s="7" t="s">
        <v>104</v>
      </c>
      <c r="CO75" s="13">
        <v>25138.62</v>
      </c>
      <c r="CP75" s="13">
        <v>11541.88</v>
      </c>
    </row>
    <row r="76" spans="1:94" ht="14.5" x14ac:dyDescent="0.35">
      <c r="A76" s="5" t="s">
        <v>75</v>
      </c>
      <c r="B76" s="12">
        <v>76458.3</v>
      </c>
      <c r="C76" s="12">
        <v>435.47</v>
      </c>
      <c r="D76" s="12">
        <v>67.13</v>
      </c>
      <c r="E76" s="12">
        <v>15.66</v>
      </c>
      <c r="F76" s="12">
        <v>159.16999999999999</v>
      </c>
      <c r="G76" s="12">
        <v>2248.11</v>
      </c>
      <c r="H76" s="12">
        <v>420.58</v>
      </c>
      <c r="I76" s="12">
        <v>248.16</v>
      </c>
      <c r="J76" s="12">
        <v>398.49</v>
      </c>
      <c r="K76" s="12">
        <v>140.93</v>
      </c>
      <c r="L76" s="12">
        <v>495.55</v>
      </c>
      <c r="M76" s="12">
        <f t="shared" si="0"/>
        <v>1722.86</v>
      </c>
      <c r="N76" s="12">
        <v>1722.86</v>
      </c>
      <c r="X76" s="12">
        <v>1472.11</v>
      </c>
      <c r="Y76" s="12">
        <v>642.66</v>
      </c>
      <c r="Z76" s="12">
        <v>471.42</v>
      </c>
      <c r="AA76" s="12">
        <v>866.43</v>
      </c>
      <c r="AB76" s="12">
        <v>1021.13</v>
      </c>
      <c r="AC76" s="12">
        <v>534.78</v>
      </c>
      <c r="AD76" s="12">
        <v>745.96</v>
      </c>
      <c r="AE76" s="12">
        <v>1384.22</v>
      </c>
      <c r="AF76" s="12">
        <v>1564.78</v>
      </c>
      <c r="AG76" s="12">
        <v>494.92</v>
      </c>
      <c r="AH76" s="12">
        <v>720.27</v>
      </c>
      <c r="AI76" s="12">
        <v>630.72</v>
      </c>
      <c r="AJ76" s="13">
        <f t="shared" si="1"/>
        <v>2012.66</v>
      </c>
      <c r="AK76" s="12">
        <v>2012.66</v>
      </c>
      <c r="AM76" s="12">
        <v>124.24</v>
      </c>
      <c r="AN76" s="12">
        <v>841.33</v>
      </c>
      <c r="AO76" s="12">
        <v>2537.84</v>
      </c>
      <c r="AP76" s="12">
        <v>943.56</v>
      </c>
      <c r="AQ76" s="12">
        <v>3783.21</v>
      </c>
      <c r="AR76" s="12">
        <v>1890.62</v>
      </c>
      <c r="AS76" s="12">
        <v>1272.3699999999999</v>
      </c>
      <c r="AT76" s="12">
        <v>816.49</v>
      </c>
      <c r="AU76" s="12">
        <v>699.19</v>
      </c>
      <c r="AV76" s="12">
        <v>1678.33</v>
      </c>
      <c r="AW76" s="12">
        <v>446.91</v>
      </c>
      <c r="AX76" s="12">
        <v>1851.72</v>
      </c>
      <c r="AY76" s="12">
        <v>944.22</v>
      </c>
      <c r="AZ76" s="12">
        <v>826.33</v>
      </c>
      <c r="BA76" s="12">
        <v>1176.6300000000001</v>
      </c>
      <c r="BB76" s="12">
        <v>5423.96</v>
      </c>
      <c r="BC76" s="12">
        <v>1606.14</v>
      </c>
      <c r="BD76" s="12">
        <v>1054.55</v>
      </c>
      <c r="BE76" s="12">
        <v>1107.0999999999999</v>
      </c>
      <c r="BF76" s="12">
        <v>1144.24</v>
      </c>
      <c r="BG76" s="12">
        <v>5184.82</v>
      </c>
      <c r="BH76" s="12">
        <v>1241.51</v>
      </c>
      <c r="BI76" s="12">
        <v>1363.72</v>
      </c>
      <c r="BJ76" s="12">
        <v>1080.6600000000001</v>
      </c>
      <c r="BK76" s="12">
        <v>758.45</v>
      </c>
      <c r="BL76" s="12">
        <v>3216.8</v>
      </c>
      <c r="BM76" s="12">
        <v>593.6</v>
      </c>
      <c r="BN76" s="12">
        <v>707.65</v>
      </c>
      <c r="BO76" s="12">
        <v>5261.53</v>
      </c>
      <c r="BP76" s="12">
        <v>2477.2800000000002</v>
      </c>
      <c r="BQ76" s="12">
        <v>1131.32</v>
      </c>
      <c r="BR76" s="12">
        <v>1729.49</v>
      </c>
      <c r="BS76" s="12">
        <v>847.69</v>
      </c>
      <c r="BT76" s="12">
        <v>608.91999999999996</v>
      </c>
      <c r="BU76" s="12">
        <v>348.39</v>
      </c>
      <c r="BV76" s="12">
        <v>331.37</v>
      </c>
      <c r="BW76" s="12">
        <v>145.25</v>
      </c>
      <c r="BX76" s="12">
        <v>344.31</v>
      </c>
      <c r="BY76" s="12">
        <v>2.4</v>
      </c>
      <c r="BZ76" s="6">
        <v>0</v>
      </c>
      <c r="CA76" s="12">
        <v>4169.87</v>
      </c>
      <c r="CB76" s="12">
        <v>101.39</v>
      </c>
      <c r="CC76" s="12">
        <v>4066.25</v>
      </c>
      <c r="CD76" s="12">
        <v>2.23</v>
      </c>
      <c r="CE76" s="12">
        <v>155.44999999999999</v>
      </c>
      <c r="CF76" s="12">
        <v>66.81</v>
      </c>
      <c r="CG76" s="6">
        <v>0</v>
      </c>
      <c r="CH76" s="6" t="s">
        <v>104</v>
      </c>
      <c r="CI76" s="6">
        <v>0</v>
      </c>
      <c r="CJ76" s="6" t="s">
        <v>104</v>
      </c>
      <c r="CK76" s="6">
        <v>0</v>
      </c>
      <c r="CL76" s="12">
        <v>88.64</v>
      </c>
      <c r="CM76" s="6" t="s">
        <v>104</v>
      </c>
      <c r="CN76" s="6" t="s">
        <v>104</v>
      </c>
      <c r="CO76" s="12">
        <v>80783.62</v>
      </c>
      <c r="CP76" s="12">
        <v>4325.32</v>
      </c>
    </row>
    <row r="77" spans="1:94" ht="14.5" x14ac:dyDescent="0.35">
      <c r="A77" s="5" t="s">
        <v>76</v>
      </c>
      <c r="B77" s="13">
        <v>700.63</v>
      </c>
      <c r="C77" s="13">
        <v>9.85</v>
      </c>
      <c r="D77" s="13">
        <v>2.0499999999999998</v>
      </c>
      <c r="E77" s="13">
        <v>2.64</v>
      </c>
      <c r="F77" s="13">
        <v>3.95</v>
      </c>
      <c r="G77" s="13">
        <v>18.64</v>
      </c>
      <c r="H77" s="13">
        <v>5.61</v>
      </c>
      <c r="I77" s="13">
        <v>4.8499999999999996</v>
      </c>
      <c r="J77" s="13">
        <v>6.96</v>
      </c>
      <c r="K77" s="13">
        <v>4.03</v>
      </c>
      <c r="L77" s="13">
        <v>12.31</v>
      </c>
      <c r="M77" s="12">
        <f t="shared" ref="M77:M105" si="6">N77-SUM(O77:W77)</f>
        <v>14.15</v>
      </c>
      <c r="N77" s="12">
        <v>14.15</v>
      </c>
      <c r="X77" s="13">
        <v>6.39</v>
      </c>
      <c r="Y77" s="13">
        <v>9.9</v>
      </c>
      <c r="Z77" s="13">
        <v>7.42</v>
      </c>
      <c r="AA77" s="13">
        <v>10.27</v>
      </c>
      <c r="AB77" s="13">
        <v>10.45</v>
      </c>
      <c r="AC77" s="13">
        <v>7.26</v>
      </c>
      <c r="AD77" s="13">
        <v>8.99</v>
      </c>
      <c r="AE77" s="13">
        <v>9.18</v>
      </c>
      <c r="AF77" s="13">
        <v>9.68</v>
      </c>
      <c r="AG77" s="13">
        <v>5.56</v>
      </c>
      <c r="AH77" s="13">
        <v>6.44</v>
      </c>
      <c r="AI77" s="13">
        <v>6.91</v>
      </c>
      <c r="AJ77" s="13">
        <f t="shared" si="1"/>
        <v>43.77</v>
      </c>
      <c r="AK77" s="13">
        <v>43.77</v>
      </c>
      <c r="AM77" s="13">
        <v>3.68</v>
      </c>
      <c r="AN77" s="13">
        <v>11.7</v>
      </c>
      <c r="AO77" s="13">
        <v>61.67</v>
      </c>
      <c r="AP77" s="13">
        <v>5.73</v>
      </c>
      <c r="AQ77" s="13">
        <v>12.29</v>
      </c>
      <c r="AR77" s="13">
        <v>8.7899999999999991</v>
      </c>
      <c r="AS77" s="13">
        <v>10.48</v>
      </c>
      <c r="AT77" s="13">
        <v>7.32</v>
      </c>
      <c r="AU77" s="13">
        <v>7.14</v>
      </c>
      <c r="AV77" s="13">
        <v>11.02</v>
      </c>
      <c r="AW77" s="13">
        <v>3.09</v>
      </c>
      <c r="AX77" s="13">
        <v>12.63</v>
      </c>
      <c r="AY77" s="13">
        <v>4.03</v>
      </c>
      <c r="AZ77" s="13">
        <v>4.47</v>
      </c>
      <c r="BA77" s="13">
        <v>19.64</v>
      </c>
      <c r="BB77" s="13">
        <v>11.21</v>
      </c>
      <c r="BC77" s="13">
        <v>6.26</v>
      </c>
      <c r="BD77" s="13">
        <v>6.98</v>
      </c>
      <c r="BE77" s="13">
        <v>6.57</v>
      </c>
      <c r="BF77" s="13">
        <v>11.33</v>
      </c>
      <c r="BG77" s="13">
        <v>21.64</v>
      </c>
      <c r="BH77" s="13">
        <v>14.28</v>
      </c>
      <c r="BI77" s="13">
        <v>8.41</v>
      </c>
      <c r="BJ77" s="13">
        <v>6.58</v>
      </c>
      <c r="BK77" s="13">
        <v>6.34</v>
      </c>
      <c r="BL77" s="13">
        <v>9.6999999999999993</v>
      </c>
      <c r="BM77" s="13">
        <v>3.35</v>
      </c>
      <c r="BN77" s="13">
        <v>3.08</v>
      </c>
      <c r="BO77" s="13">
        <v>12.45</v>
      </c>
      <c r="BP77" s="13">
        <v>111.4</v>
      </c>
      <c r="BQ77" s="13">
        <v>6.43</v>
      </c>
      <c r="BR77" s="13">
        <v>13.83</v>
      </c>
      <c r="BS77" s="13">
        <v>6.98</v>
      </c>
      <c r="BT77" s="13">
        <v>4.33</v>
      </c>
      <c r="BU77" s="13">
        <v>4.2699999999999996</v>
      </c>
      <c r="BV77" s="13">
        <v>4.53</v>
      </c>
      <c r="BW77" s="13">
        <v>3.43</v>
      </c>
      <c r="BX77" s="13">
        <v>4.05</v>
      </c>
      <c r="BY77" s="13">
        <v>2.31</v>
      </c>
      <c r="BZ77" s="7">
        <v>0</v>
      </c>
      <c r="CA77" s="13">
        <v>536.08000000000004</v>
      </c>
      <c r="CB77" s="13">
        <v>337.07</v>
      </c>
      <c r="CC77" s="13">
        <v>198.01</v>
      </c>
      <c r="CD77" s="13">
        <v>1.01</v>
      </c>
      <c r="CE77" s="13">
        <v>32.44</v>
      </c>
      <c r="CF77" s="13">
        <v>7.1</v>
      </c>
      <c r="CG77" s="7">
        <v>0</v>
      </c>
      <c r="CH77" s="7" t="s">
        <v>104</v>
      </c>
      <c r="CI77" s="7">
        <v>0</v>
      </c>
      <c r="CJ77" s="7" t="s">
        <v>104</v>
      </c>
      <c r="CK77" s="7">
        <v>0</v>
      </c>
      <c r="CL77" s="13">
        <v>25.34</v>
      </c>
      <c r="CM77" s="7" t="s">
        <v>104</v>
      </c>
      <c r="CN77" s="7" t="s">
        <v>104</v>
      </c>
      <c r="CO77" s="13">
        <v>1269.1500000000001</v>
      </c>
      <c r="CP77" s="13">
        <v>568.53</v>
      </c>
    </row>
    <row r="78" spans="1:94" ht="14.5" x14ac:dyDescent="0.35">
      <c r="A78" s="5" t="s">
        <v>77</v>
      </c>
      <c r="B78" s="12">
        <v>1851.44</v>
      </c>
      <c r="C78" s="12">
        <v>15.18</v>
      </c>
      <c r="D78" s="12">
        <v>3.49</v>
      </c>
      <c r="E78" s="12">
        <v>6.28</v>
      </c>
      <c r="F78" s="12">
        <v>8.0399999999999991</v>
      </c>
      <c r="G78" s="12">
        <v>37.200000000000003</v>
      </c>
      <c r="H78" s="12">
        <v>11.58</v>
      </c>
      <c r="I78" s="12">
        <v>10.6</v>
      </c>
      <c r="J78" s="12">
        <v>14.26</v>
      </c>
      <c r="K78" s="12">
        <v>8.5</v>
      </c>
      <c r="L78" s="12">
        <v>12.97</v>
      </c>
      <c r="M78" s="12">
        <f t="shared" si="6"/>
        <v>32.07</v>
      </c>
      <c r="N78" s="12">
        <v>32.07</v>
      </c>
      <c r="X78" s="12">
        <v>46.43</v>
      </c>
      <c r="Y78" s="12">
        <v>41.04</v>
      </c>
      <c r="Z78" s="12">
        <v>18.25</v>
      </c>
      <c r="AA78" s="12">
        <v>17.62</v>
      </c>
      <c r="AB78" s="12">
        <v>29.93</v>
      </c>
      <c r="AC78" s="12">
        <v>24.66</v>
      </c>
      <c r="AD78" s="12">
        <v>25.67</v>
      </c>
      <c r="AE78" s="12">
        <v>36.03</v>
      </c>
      <c r="AF78" s="12">
        <v>26.84</v>
      </c>
      <c r="AG78" s="12">
        <v>18.78</v>
      </c>
      <c r="AH78" s="12">
        <v>15.73</v>
      </c>
      <c r="AI78" s="12">
        <v>21.38</v>
      </c>
      <c r="AJ78" s="13">
        <f t="shared" ref="AJ78:AJ106" si="7">AK78-AL78</f>
        <v>23.73</v>
      </c>
      <c r="AK78" s="12">
        <v>23.73</v>
      </c>
      <c r="AM78" s="12">
        <v>8.1300000000000008</v>
      </c>
      <c r="AN78" s="12">
        <v>23.73</v>
      </c>
      <c r="AO78" s="12">
        <v>45.73</v>
      </c>
      <c r="AP78" s="12">
        <v>21.88</v>
      </c>
      <c r="AQ78" s="12">
        <v>64.849999999999994</v>
      </c>
      <c r="AR78" s="12">
        <v>27.64</v>
      </c>
      <c r="AS78" s="12">
        <v>23.49</v>
      </c>
      <c r="AT78" s="12">
        <v>15.58</v>
      </c>
      <c r="AU78" s="12">
        <v>21.31</v>
      </c>
      <c r="AV78" s="12">
        <v>34.93</v>
      </c>
      <c r="AW78" s="12">
        <v>9.17</v>
      </c>
      <c r="AX78" s="12">
        <v>28.03</v>
      </c>
      <c r="AY78" s="12">
        <v>15.99</v>
      </c>
      <c r="AZ78" s="12">
        <v>11.07</v>
      </c>
      <c r="BA78" s="12">
        <v>25.85</v>
      </c>
      <c r="BB78" s="12">
        <v>57.38</v>
      </c>
      <c r="BC78" s="12">
        <v>21.34</v>
      </c>
      <c r="BD78" s="12">
        <v>22.94</v>
      </c>
      <c r="BE78" s="12">
        <v>24.64</v>
      </c>
      <c r="BF78" s="12">
        <v>16.829999999999998</v>
      </c>
      <c r="BG78" s="12">
        <v>51.04</v>
      </c>
      <c r="BH78" s="12">
        <v>31.15</v>
      </c>
      <c r="BI78" s="12">
        <v>55.58</v>
      </c>
      <c r="BJ78" s="12">
        <v>11.95</v>
      </c>
      <c r="BK78" s="12">
        <v>19.66</v>
      </c>
      <c r="BL78" s="12">
        <v>20.07</v>
      </c>
      <c r="BM78" s="12">
        <v>13.65</v>
      </c>
      <c r="BN78" s="12">
        <v>7.5</v>
      </c>
      <c r="BO78" s="12">
        <v>24.84</v>
      </c>
      <c r="BP78" s="12">
        <v>121.58</v>
      </c>
      <c r="BQ78" s="12">
        <v>252.08</v>
      </c>
      <c r="BR78" s="12">
        <v>77.17</v>
      </c>
      <c r="BS78" s="12">
        <v>53.05</v>
      </c>
      <c r="BT78" s="12">
        <v>14.93</v>
      </c>
      <c r="BU78" s="12">
        <v>11.72</v>
      </c>
      <c r="BV78" s="12">
        <v>34.69</v>
      </c>
      <c r="BW78" s="12">
        <v>8.34</v>
      </c>
      <c r="BX78" s="12">
        <v>15.25</v>
      </c>
      <c r="BY78" s="12">
        <v>0.49</v>
      </c>
      <c r="BZ78" s="6">
        <v>0</v>
      </c>
      <c r="CA78" s="12">
        <v>1295.03</v>
      </c>
      <c r="CB78" s="12">
        <v>484.23</v>
      </c>
      <c r="CC78" s="12">
        <v>806.42</v>
      </c>
      <c r="CD78" s="12">
        <v>4.38</v>
      </c>
      <c r="CE78" s="12">
        <v>36.96</v>
      </c>
      <c r="CF78" s="12">
        <v>17.34</v>
      </c>
      <c r="CG78" s="6">
        <v>0</v>
      </c>
      <c r="CH78" s="6" t="s">
        <v>104</v>
      </c>
      <c r="CI78" s="6">
        <v>0</v>
      </c>
      <c r="CJ78" s="6" t="s">
        <v>104</v>
      </c>
      <c r="CK78" s="6">
        <v>0</v>
      </c>
      <c r="CL78" s="12">
        <v>19.62</v>
      </c>
      <c r="CM78" s="6" t="s">
        <v>104</v>
      </c>
      <c r="CN78" s="6" t="s">
        <v>104</v>
      </c>
      <c r="CO78" s="12">
        <v>3183.43</v>
      </c>
      <c r="CP78" s="12">
        <v>1331.99</v>
      </c>
    </row>
    <row r="79" spans="1:94" ht="14.5" x14ac:dyDescent="0.35">
      <c r="A79" s="5" t="s">
        <v>78</v>
      </c>
      <c r="B79" s="13">
        <v>828.2</v>
      </c>
      <c r="C79" s="13">
        <v>2.76</v>
      </c>
      <c r="D79" s="13">
        <v>0.63</v>
      </c>
      <c r="E79" s="13">
        <v>0.48</v>
      </c>
      <c r="F79" s="13">
        <v>9.58</v>
      </c>
      <c r="G79" s="13">
        <v>9.18</v>
      </c>
      <c r="H79" s="13">
        <v>2.56</v>
      </c>
      <c r="I79" s="13">
        <v>2.91</v>
      </c>
      <c r="J79" s="13">
        <v>3.56</v>
      </c>
      <c r="K79" s="13">
        <v>0.78</v>
      </c>
      <c r="L79" s="13">
        <v>17.46</v>
      </c>
      <c r="M79" s="12">
        <f t="shared" si="6"/>
        <v>7.47</v>
      </c>
      <c r="N79" s="12">
        <v>7.47</v>
      </c>
      <c r="X79" s="13">
        <v>19.89</v>
      </c>
      <c r="Y79" s="13">
        <v>4.3499999999999996</v>
      </c>
      <c r="Z79" s="13">
        <v>5.45</v>
      </c>
      <c r="AA79" s="13">
        <v>3.26</v>
      </c>
      <c r="AB79" s="13">
        <v>3.95</v>
      </c>
      <c r="AC79" s="13">
        <v>3.24</v>
      </c>
      <c r="AD79" s="13">
        <v>2.98</v>
      </c>
      <c r="AE79" s="13">
        <v>3.83</v>
      </c>
      <c r="AF79" s="13">
        <v>4.91</v>
      </c>
      <c r="AG79" s="13">
        <v>2.7</v>
      </c>
      <c r="AH79" s="13">
        <v>4.09</v>
      </c>
      <c r="AI79" s="13">
        <v>3.68</v>
      </c>
      <c r="AJ79" s="13">
        <f t="shared" si="7"/>
        <v>3.67</v>
      </c>
      <c r="AK79" s="13">
        <v>3.67</v>
      </c>
      <c r="AM79" s="13">
        <v>0.97</v>
      </c>
      <c r="AN79" s="13">
        <v>7.66</v>
      </c>
      <c r="AO79" s="13">
        <v>16.98</v>
      </c>
      <c r="AP79" s="13">
        <v>2.6</v>
      </c>
      <c r="AQ79" s="13">
        <v>7.5</v>
      </c>
      <c r="AR79" s="13">
        <v>4.9800000000000004</v>
      </c>
      <c r="AS79" s="13">
        <v>10.3</v>
      </c>
      <c r="AT79" s="13">
        <v>2.82</v>
      </c>
      <c r="AU79" s="13">
        <v>2.64</v>
      </c>
      <c r="AV79" s="13">
        <v>4.91</v>
      </c>
      <c r="AW79" s="13">
        <v>4.0999999999999996</v>
      </c>
      <c r="AX79" s="13">
        <v>7.16</v>
      </c>
      <c r="AY79" s="13">
        <v>4.55</v>
      </c>
      <c r="AZ79" s="13">
        <v>2.46</v>
      </c>
      <c r="BA79" s="13">
        <v>4.4000000000000004</v>
      </c>
      <c r="BB79" s="13">
        <v>10.59</v>
      </c>
      <c r="BC79" s="13">
        <v>2.91</v>
      </c>
      <c r="BD79" s="13">
        <v>2.85</v>
      </c>
      <c r="BE79" s="13">
        <v>3.6</v>
      </c>
      <c r="BF79" s="13">
        <v>4.7699999999999996</v>
      </c>
      <c r="BG79" s="13">
        <v>10.49</v>
      </c>
      <c r="BH79" s="13">
        <v>4.3899999999999997</v>
      </c>
      <c r="BI79" s="13">
        <v>11.13</v>
      </c>
      <c r="BJ79" s="13">
        <v>3.04</v>
      </c>
      <c r="BK79" s="13">
        <v>2.93</v>
      </c>
      <c r="BL79" s="13">
        <v>14.73</v>
      </c>
      <c r="BM79" s="13">
        <v>4.5599999999999996</v>
      </c>
      <c r="BN79" s="13">
        <v>5.74</v>
      </c>
      <c r="BO79" s="13">
        <v>5.58</v>
      </c>
      <c r="BP79" s="13">
        <v>15.36</v>
      </c>
      <c r="BQ79" s="13">
        <v>7.35</v>
      </c>
      <c r="BR79" s="13">
        <v>459.6</v>
      </c>
      <c r="BS79" s="13">
        <v>30.73</v>
      </c>
      <c r="BT79" s="13">
        <v>2.54</v>
      </c>
      <c r="BU79" s="13">
        <v>9.5500000000000007</v>
      </c>
      <c r="BV79" s="13">
        <v>2.77</v>
      </c>
      <c r="BW79" s="13">
        <v>1.19</v>
      </c>
      <c r="BX79" s="13">
        <v>3.95</v>
      </c>
      <c r="BY79" s="13">
        <v>0.52</v>
      </c>
      <c r="BZ79" s="7">
        <v>0</v>
      </c>
      <c r="CA79" s="13">
        <v>1908.75</v>
      </c>
      <c r="CB79" s="13">
        <v>1343.07</v>
      </c>
      <c r="CC79" s="13">
        <v>563.30999999999995</v>
      </c>
      <c r="CD79" s="13">
        <v>2.37</v>
      </c>
      <c r="CE79" s="13">
        <v>8.33</v>
      </c>
      <c r="CF79" s="13">
        <v>5.77</v>
      </c>
      <c r="CG79" s="7">
        <v>0</v>
      </c>
      <c r="CH79" s="7" t="s">
        <v>104</v>
      </c>
      <c r="CI79" s="7">
        <v>0</v>
      </c>
      <c r="CJ79" s="7" t="s">
        <v>104</v>
      </c>
      <c r="CK79" s="7">
        <v>0</v>
      </c>
      <c r="CL79" s="13">
        <v>2.56</v>
      </c>
      <c r="CM79" s="7" t="s">
        <v>104</v>
      </c>
      <c r="CN79" s="7" t="s">
        <v>104</v>
      </c>
      <c r="CO79" s="13">
        <v>2745.27</v>
      </c>
      <c r="CP79" s="13">
        <v>1917.07</v>
      </c>
    </row>
    <row r="80" spans="1:94" ht="14.5" x14ac:dyDescent="0.35">
      <c r="A80" s="5" t="s">
        <v>79</v>
      </c>
      <c r="B80" s="12">
        <v>133.29</v>
      </c>
      <c r="C80" s="12">
        <v>2.14</v>
      </c>
      <c r="D80" s="12">
        <v>0.91</v>
      </c>
      <c r="E80" s="12">
        <v>0.72</v>
      </c>
      <c r="F80" s="12">
        <v>1.48</v>
      </c>
      <c r="G80" s="12">
        <v>2.7</v>
      </c>
      <c r="H80" s="12">
        <v>1.87</v>
      </c>
      <c r="I80" s="12">
        <v>1.73</v>
      </c>
      <c r="J80" s="12">
        <v>2.0699999999999998</v>
      </c>
      <c r="K80" s="12">
        <v>1.23</v>
      </c>
      <c r="L80" s="12">
        <v>2.16</v>
      </c>
      <c r="M80" s="12">
        <f t="shared" si="6"/>
        <v>3.14</v>
      </c>
      <c r="N80" s="12">
        <v>3.14</v>
      </c>
      <c r="X80" s="12">
        <v>2.54</v>
      </c>
      <c r="Y80" s="12">
        <v>2.41</v>
      </c>
      <c r="Z80" s="12">
        <v>1.97</v>
      </c>
      <c r="AA80" s="12">
        <v>2.62</v>
      </c>
      <c r="AB80" s="12">
        <v>2.62</v>
      </c>
      <c r="AC80" s="12">
        <v>2.0299999999999998</v>
      </c>
      <c r="AD80" s="12">
        <v>2.11</v>
      </c>
      <c r="AE80" s="12">
        <v>2.1800000000000002</v>
      </c>
      <c r="AF80" s="12">
        <v>2.0699999999999998</v>
      </c>
      <c r="AG80" s="12">
        <v>1.97</v>
      </c>
      <c r="AH80" s="12">
        <v>1.97</v>
      </c>
      <c r="AI80" s="12">
        <v>2.38</v>
      </c>
      <c r="AJ80" s="13">
        <f t="shared" si="7"/>
        <v>2.25</v>
      </c>
      <c r="AK80" s="12">
        <v>2.25</v>
      </c>
      <c r="AM80" s="12">
        <v>0.9</v>
      </c>
      <c r="AN80" s="12">
        <v>2.4300000000000002</v>
      </c>
      <c r="AO80" s="12">
        <v>2.74</v>
      </c>
      <c r="AP80" s="12">
        <v>1.98</v>
      </c>
      <c r="AQ80" s="12">
        <v>2.4</v>
      </c>
      <c r="AR80" s="12">
        <v>1.86</v>
      </c>
      <c r="AS80" s="12">
        <v>2.64</v>
      </c>
      <c r="AT80" s="12">
        <v>3.27</v>
      </c>
      <c r="AU80" s="12">
        <v>2.34</v>
      </c>
      <c r="AV80" s="12">
        <v>2.42</v>
      </c>
      <c r="AW80" s="12">
        <v>1.54</v>
      </c>
      <c r="AX80" s="12">
        <v>2.2999999999999998</v>
      </c>
      <c r="AY80" s="12">
        <v>1.9</v>
      </c>
      <c r="AZ80" s="12">
        <v>1.85</v>
      </c>
      <c r="BA80" s="12">
        <v>2.2200000000000002</v>
      </c>
      <c r="BB80" s="12">
        <v>3.23</v>
      </c>
      <c r="BC80" s="12">
        <v>1.1399999999999999</v>
      </c>
      <c r="BD80" s="12">
        <v>1.8</v>
      </c>
      <c r="BE80" s="12">
        <v>1.64</v>
      </c>
      <c r="BF80" s="12">
        <v>1.89</v>
      </c>
      <c r="BG80" s="12">
        <v>2.39</v>
      </c>
      <c r="BH80" s="12">
        <v>2.06</v>
      </c>
      <c r="BI80" s="12">
        <v>5.0999999999999996</v>
      </c>
      <c r="BJ80" s="12">
        <v>1.96</v>
      </c>
      <c r="BK80" s="12">
        <v>1.65</v>
      </c>
      <c r="BL80" s="12">
        <v>3.14</v>
      </c>
      <c r="BM80" s="12">
        <v>1.56</v>
      </c>
      <c r="BN80" s="12">
        <v>2.35</v>
      </c>
      <c r="BO80" s="12">
        <v>2.06</v>
      </c>
      <c r="BP80" s="12">
        <v>1.9</v>
      </c>
      <c r="BQ80" s="12">
        <v>1.87</v>
      </c>
      <c r="BR80" s="12">
        <v>4.7</v>
      </c>
      <c r="BS80" s="12">
        <v>3.42</v>
      </c>
      <c r="BT80" s="12">
        <v>1.74</v>
      </c>
      <c r="BU80" s="12">
        <v>1.49</v>
      </c>
      <c r="BV80" s="12">
        <v>1.44</v>
      </c>
      <c r="BW80" s="6">
        <v>1</v>
      </c>
      <c r="BX80" s="12">
        <v>1.71</v>
      </c>
      <c r="BY80" s="12">
        <v>0.03</v>
      </c>
      <c r="BZ80" s="6">
        <v>0</v>
      </c>
      <c r="CA80" s="12">
        <v>30.4</v>
      </c>
      <c r="CB80" s="12">
        <v>20.47</v>
      </c>
      <c r="CC80" s="12">
        <v>9.31</v>
      </c>
      <c r="CD80" s="12">
        <v>0.62</v>
      </c>
      <c r="CE80" s="12">
        <v>6.18</v>
      </c>
      <c r="CF80" s="12">
        <v>3.39</v>
      </c>
      <c r="CG80" s="6">
        <v>0</v>
      </c>
      <c r="CH80" s="6" t="s">
        <v>104</v>
      </c>
      <c r="CI80" s="6">
        <v>0</v>
      </c>
      <c r="CJ80" s="6" t="s">
        <v>104</v>
      </c>
      <c r="CK80" s="6">
        <v>0</v>
      </c>
      <c r="CL80" s="12">
        <v>2.79</v>
      </c>
      <c r="CM80" s="6" t="s">
        <v>104</v>
      </c>
      <c r="CN80" s="6" t="s">
        <v>104</v>
      </c>
      <c r="CO80" s="12">
        <v>169.87</v>
      </c>
      <c r="CP80" s="12">
        <v>36.58</v>
      </c>
    </row>
    <row r="81" spans="1:94" ht="14.5" x14ac:dyDescent="0.35">
      <c r="A81" s="5" t="s">
        <v>80</v>
      </c>
      <c r="B81" s="13">
        <v>1102.8699999999999</v>
      </c>
      <c r="C81" s="13">
        <v>0.2</v>
      </c>
      <c r="D81" s="13">
        <v>0.05</v>
      </c>
      <c r="E81" s="7">
        <v>0</v>
      </c>
      <c r="F81" s="13">
        <v>0.03</v>
      </c>
      <c r="G81" s="13">
        <v>3.28</v>
      </c>
      <c r="H81" s="13">
        <v>0.44</v>
      </c>
      <c r="I81" s="13">
        <v>0.23</v>
      </c>
      <c r="J81" s="13">
        <v>0.25</v>
      </c>
      <c r="K81" s="13">
        <v>0.54</v>
      </c>
      <c r="L81" s="13">
        <v>1.41</v>
      </c>
      <c r="M81" s="12">
        <f t="shared" si="6"/>
        <v>1.08</v>
      </c>
      <c r="N81" s="12">
        <v>1.08</v>
      </c>
      <c r="X81" s="13">
        <v>5.03</v>
      </c>
      <c r="Y81" s="13">
        <v>0.48</v>
      </c>
      <c r="Z81" s="13">
        <v>0.63</v>
      </c>
      <c r="AA81" s="13">
        <v>0.43</v>
      </c>
      <c r="AB81" s="13">
        <v>1.35</v>
      </c>
      <c r="AC81" s="13">
        <v>4.8099999999999996</v>
      </c>
      <c r="AD81" s="13">
        <v>0.39</v>
      </c>
      <c r="AE81" s="13">
        <v>0.37</v>
      </c>
      <c r="AF81" s="13">
        <v>0.16</v>
      </c>
      <c r="AG81" s="13">
        <v>3.22</v>
      </c>
      <c r="AH81" s="13">
        <v>0.17</v>
      </c>
      <c r="AI81" s="13">
        <v>1.19</v>
      </c>
      <c r="AJ81" s="13">
        <f t="shared" si="7"/>
        <v>2.89</v>
      </c>
      <c r="AK81" s="13">
        <v>2.89</v>
      </c>
      <c r="AM81" s="13">
        <v>0.19</v>
      </c>
      <c r="AN81" s="13">
        <v>2.59</v>
      </c>
      <c r="AO81" s="13">
        <v>4.1900000000000004</v>
      </c>
      <c r="AP81" s="13">
        <v>2.2799999999999998</v>
      </c>
      <c r="AQ81" s="13">
        <v>21.48</v>
      </c>
      <c r="AR81" s="13">
        <v>6.25</v>
      </c>
      <c r="AS81" s="13">
        <v>0.78</v>
      </c>
      <c r="AT81" s="13">
        <v>0.12</v>
      </c>
      <c r="AU81" s="13">
        <v>2.16</v>
      </c>
      <c r="AV81" s="13">
        <v>0.68</v>
      </c>
      <c r="AW81" s="13">
        <v>0.22</v>
      </c>
      <c r="AX81" s="13">
        <v>125.2</v>
      </c>
      <c r="AY81" s="13">
        <v>39.630000000000003</v>
      </c>
      <c r="AZ81" s="13">
        <v>210.79</v>
      </c>
      <c r="BA81" s="13">
        <v>7.2</v>
      </c>
      <c r="BB81" s="13">
        <v>42.21</v>
      </c>
      <c r="BC81" s="13">
        <v>8.1</v>
      </c>
      <c r="BD81" s="13">
        <v>0.6</v>
      </c>
      <c r="BE81" s="13">
        <v>0.51</v>
      </c>
      <c r="BF81" s="13">
        <v>8.31</v>
      </c>
      <c r="BG81" s="13">
        <v>12.79</v>
      </c>
      <c r="BH81" s="13">
        <v>3.73</v>
      </c>
      <c r="BI81" s="13">
        <v>7.81</v>
      </c>
      <c r="BJ81" s="13">
        <v>8.89</v>
      </c>
      <c r="BK81" s="13">
        <v>16.32</v>
      </c>
      <c r="BL81" s="13">
        <v>19.34</v>
      </c>
      <c r="BM81" s="13">
        <v>4.4000000000000004</v>
      </c>
      <c r="BN81" s="13">
        <v>60.31</v>
      </c>
      <c r="BO81" s="13">
        <v>13.33</v>
      </c>
      <c r="BP81" s="13">
        <v>23.65</v>
      </c>
      <c r="BQ81" s="13">
        <v>13.02</v>
      </c>
      <c r="BR81" s="13">
        <v>0.98</v>
      </c>
      <c r="BS81" s="13">
        <v>6.21</v>
      </c>
      <c r="BT81" s="13">
        <v>350.83</v>
      </c>
      <c r="BU81" s="13">
        <v>27.5</v>
      </c>
      <c r="BV81" s="13">
        <v>18.32</v>
      </c>
      <c r="BW81" s="13">
        <v>0.38</v>
      </c>
      <c r="BX81" s="13">
        <v>2.96</v>
      </c>
      <c r="BY81" s="13">
        <v>0.01</v>
      </c>
      <c r="BZ81" s="7">
        <v>0</v>
      </c>
      <c r="CA81" s="13">
        <v>1593.72</v>
      </c>
      <c r="CB81" s="13">
        <v>161.19999999999999</v>
      </c>
      <c r="CC81" s="13">
        <v>1430.12</v>
      </c>
      <c r="CD81" s="13">
        <v>2.4</v>
      </c>
      <c r="CE81" s="13">
        <v>765.48</v>
      </c>
      <c r="CF81" s="13">
        <v>629.73</v>
      </c>
      <c r="CG81" s="7">
        <v>0</v>
      </c>
      <c r="CH81" s="7" t="s">
        <v>104</v>
      </c>
      <c r="CI81" s="7">
        <v>0</v>
      </c>
      <c r="CJ81" s="7" t="s">
        <v>104</v>
      </c>
      <c r="CK81" s="7">
        <v>0</v>
      </c>
      <c r="CL81" s="13">
        <v>135.75</v>
      </c>
      <c r="CM81" s="7" t="s">
        <v>104</v>
      </c>
      <c r="CN81" s="7" t="s">
        <v>104</v>
      </c>
      <c r="CO81" s="13">
        <v>3462.07</v>
      </c>
      <c r="CP81" s="13">
        <v>2359.21</v>
      </c>
    </row>
    <row r="82" spans="1:94" ht="14.5" x14ac:dyDescent="0.35">
      <c r="A82" s="5" t="s">
        <v>81</v>
      </c>
      <c r="B82" s="12">
        <v>599.6</v>
      </c>
      <c r="C82" s="12">
        <v>3.81</v>
      </c>
      <c r="D82" s="12">
        <v>1.26</v>
      </c>
      <c r="E82" s="12">
        <v>1.99</v>
      </c>
      <c r="F82" s="12">
        <v>2.4500000000000002</v>
      </c>
      <c r="G82" s="12">
        <v>10.09</v>
      </c>
      <c r="H82" s="12">
        <v>4.62</v>
      </c>
      <c r="I82" s="12">
        <v>2.73</v>
      </c>
      <c r="J82" s="12">
        <v>3.65</v>
      </c>
      <c r="K82" s="12">
        <v>3.34</v>
      </c>
      <c r="L82" s="12">
        <v>4.53</v>
      </c>
      <c r="M82" s="12">
        <f t="shared" si="6"/>
        <v>5.0199999999999996</v>
      </c>
      <c r="N82" s="12">
        <v>5.0199999999999996</v>
      </c>
      <c r="X82" s="12">
        <v>5.21</v>
      </c>
      <c r="Y82" s="12">
        <v>5.58</v>
      </c>
      <c r="Z82" s="12">
        <v>4.0999999999999996</v>
      </c>
      <c r="AA82" s="12">
        <v>4.55</v>
      </c>
      <c r="AB82" s="12">
        <v>5.23</v>
      </c>
      <c r="AC82" s="12">
        <v>4.41</v>
      </c>
      <c r="AD82" s="12">
        <v>4.79</v>
      </c>
      <c r="AE82" s="12">
        <v>4.29</v>
      </c>
      <c r="AF82" s="12">
        <v>3.95</v>
      </c>
      <c r="AG82" s="12">
        <v>4.57</v>
      </c>
      <c r="AH82" s="12">
        <v>4.7699999999999996</v>
      </c>
      <c r="AI82" s="12">
        <v>4.18</v>
      </c>
      <c r="AJ82" s="13">
        <f t="shared" si="7"/>
        <v>5.22</v>
      </c>
      <c r="AK82" s="12">
        <v>5.22</v>
      </c>
      <c r="AM82" s="12">
        <v>1.81</v>
      </c>
      <c r="AN82" s="12">
        <v>4.3</v>
      </c>
      <c r="AO82" s="12">
        <v>8.1999999999999993</v>
      </c>
      <c r="AP82" s="12">
        <v>4.0599999999999996</v>
      </c>
      <c r="AQ82" s="12">
        <v>5.1100000000000003</v>
      </c>
      <c r="AR82" s="12">
        <v>7.83</v>
      </c>
      <c r="AS82" s="12">
        <v>5.6</v>
      </c>
      <c r="AT82" s="12">
        <v>4.62</v>
      </c>
      <c r="AU82" s="12">
        <v>3.79</v>
      </c>
      <c r="AV82" s="12">
        <v>5.29</v>
      </c>
      <c r="AW82" s="12">
        <v>1.92</v>
      </c>
      <c r="AX82" s="12">
        <v>14.23</v>
      </c>
      <c r="AY82" s="12">
        <v>4.57</v>
      </c>
      <c r="AZ82" s="12">
        <v>10.52</v>
      </c>
      <c r="BA82" s="12">
        <v>5.58</v>
      </c>
      <c r="BB82" s="12">
        <v>9.0299999999999994</v>
      </c>
      <c r="BC82" s="12">
        <v>2.4300000000000002</v>
      </c>
      <c r="BD82" s="12">
        <v>3.2</v>
      </c>
      <c r="BE82" s="12">
        <v>3.05</v>
      </c>
      <c r="BF82" s="12">
        <v>3.95</v>
      </c>
      <c r="BG82" s="12">
        <v>13.04</v>
      </c>
      <c r="BH82" s="12">
        <v>5.25</v>
      </c>
      <c r="BI82" s="12">
        <v>5.69</v>
      </c>
      <c r="BJ82" s="12">
        <v>7.74</v>
      </c>
      <c r="BK82" s="12">
        <v>3.87</v>
      </c>
      <c r="BL82" s="12">
        <v>6.44</v>
      </c>
      <c r="BM82" s="12">
        <v>2.56</v>
      </c>
      <c r="BN82" s="12">
        <v>133.71</v>
      </c>
      <c r="BO82" s="12">
        <v>5.67</v>
      </c>
      <c r="BP82" s="12">
        <v>88.72</v>
      </c>
      <c r="BQ82" s="12">
        <v>4.1500000000000004</v>
      </c>
      <c r="BR82" s="12">
        <v>4.97</v>
      </c>
      <c r="BS82" s="12">
        <v>4.97</v>
      </c>
      <c r="BT82" s="12">
        <v>10.47</v>
      </c>
      <c r="BU82" s="12">
        <v>75.94</v>
      </c>
      <c r="BV82" s="12">
        <v>5.47</v>
      </c>
      <c r="BW82" s="12">
        <v>2.87</v>
      </c>
      <c r="BX82" s="12">
        <v>4.62</v>
      </c>
      <c r="BY82" s="12">
        <v>0.02</v>
      </c>
      <c r="BZ82" s="6">
        <v>0</v>
      </c>
      <c r="CA82" s="12">
        <v>219.84</v>
      </c>
      <c r="CB82" s="12">
        <v>22.65</v>
      </c>
      <c r="CC82" s="12">
        <v>192.63</v>
      </c>
      <c r="CD82" s="12">
        <v>4.5599999999999996</v>
      </c>
      <c r="CE82" s="12">
        <v>10.130000000000001</v>
      </c>
      <c r="CF82" s="12">
        <v>5.53</v>
      </c>
      <c r="CG82" s="6">
        <v>0</v>
      </c>
      <c r="CH82" s="6" t="s">
        <v>104</v>
      </c>
      <c r="CI82" s="6">
        <v>0</v>
      </c>
      <c r="CJ82" s="6" t="s">
        <v>104</v>
      </c>
      <c r="CK82" s="6">
        <v>0</v>
      </c>
      <c r="CL82" s="12">
        <v>4.5999999999999996</v>
      </c>
      <c r="CM82" s="6" t="s">
        <v>104</v>
      </c>
      <c r="CN82" s="6" t="s">
        <v>104</v>
      </c>
      <c r="CO82" s="12">
        <v>829.56</v>
      </c>
      <c r="CP82" s="12">
        <v>229.97</v>
      </c>
    </row>
    <row r="83" spans="1:94" ht="14.5" x14ac:dyDescent="0.35">
      <c r="A83" s="5" t="s">
        <v>82</v>
      </c>
      <c r="B83" s="13">
        <v>23.43</v>
      </c>
      <c r="C83" s="13">
        <v>0.45</v>
      </c>
      <c r="D83" s="13">
        <v>0.09</v>
      </c>
      <c r="E83" s="13">
        <v>0.09</v>
      </c>
      <c r="F83" s="13">
        <v>0.17</v>
      </c>
      <c r="G83" s="13">
        <v>0.6</v>
      </c>
      <c r="H83" s="13">
        <v>0.24</v>
      </c>
      <c r="I83" s="13">
        <v>0.21</v>
      </c>
      <c r="J83" s="13">
        <v>0.26</v>
      </c>
      <c r="K83" s="13">
        <v>0.16</v>
      </c>
      <c r="L83" s="13">
        <v>0.46</v>
      </c>
      <c r="M83" s="12">
        <f t="shared" si="6"/>
        <v>0.53</v>
      </c>
      <c r="N83" s="12">
        <v>0.53</v>
      </c>
      <c r="X83" s="13">
        <v>0.35</v>
      </c>
      <c r="Y83" s="13">
        <v>0.38</v>
      </c>
      <c r="Z83" s="13">
        <v>0.31</v>
      </c>
      <c r="AA83" s="13">
        <v>0.5</v>
      </c>
      <c r="AB83" s="13">
        <v>0.49</v>
      </c>
      <c r="AC83" s="13">
        <v>0.32</v>
      </c>
      <c r="AD83" s="13">
        <v>0.35</v>
      </c>
      <c r="AE83" s="13">
        <v>0.39</v>
      </c>
      <c r="AF83" s="13">
        <v>0.47</v>
      </c>
      <c r="AG83" s="13">
        <v>0.28999999999999998</v>
      </c>
      <c r="AH83" s="13">
        <v>0.3</v>
      </c>
      <c r="AI83" s="13">
        <v>0.31</v>
      </c>
      <c r="AJ83" s="13">
        <f t="shared" si="7"/>
        <v>0.78</v>
      </c>
      <c r="AK83" s="13">
        <v>0.78</v>
      </c>
      <c r="AM83" s="13">
        <v>0.12</v>
      </c>
      <c r="AN83" s="13">
        <v>0.37</v>
      </c>
      <c r="AO83" s="13">
        <v>1.1399999999999999</v>
      </c>
      <c r="AP83" s="13">
        <v>0.43</v>
      </c>
      <c r="AQ83" s="13">
        <v>0.51</v>
      </c>
      <c r="AR83" s="13">
        <v>0.79</v>
      </c>
      <c r="AS83" s="13">
        <v>0.55000000000000004</v>
      </c>
      <c r="AT83" s="13">
        <v>0.4</v>
      </c>
      <c r="AU83" s="13">
        <v>0.22</v>
      </c>
      <c r="AV83" s="13">
        <v>0.63</v>
      </c>
      <c r="AW83" s="13">
        <v>0.17</v>
      </c>
      <c r="AX83" s="13">
        <v>0.49</v>
      </c>
      <c r="AY83" s="13">
        <v>0.28000000000000003</v>
      </c>
      <c r="AZ83" s="13">
        <v>0.21</v>
      </c>
      <c r="BA83" s="13">
        <v>0.34</v>
      </c>
      <c r="BB83" s="13">
        <v>0.57999999999999996</v>
      </c>
      <c r="BC83" s="13">
        <v>0.24</v>
      </c>
      <c r="BD83" s="13">
        <v>0.3</v>
      </c>
      <c r="BE83" s="13">
        <v>0.44</v>
      </c>
      <c r="BF83" s="13">
        <v>0.26</v>
      </c>
      <c r="BG83" s="13">
        <v>1.01</v>
      </c>
      <c r="BH83" s="13">
        <v>0.49</v>
      </c>
      <c r="BI83" s="13">
        <v>0.48</v>
      </c>
      <c r="BJ83" s="13">
        <v>0.27</v>
      </c>
      <c r="BK83" s="13">
        <v>0.23</v>
      </c>
      <c r="BL83" s="13">
        <v>0.55000000000000004</v>
      </c>
      <c r="BM83" s="13">
        <v>0.23</v>
      </c>
      <c r="BN83" s="13">
        <v>0.25</v>
      </c>
      <c r="BO83" s="13">
        <v>0.5</v>
      </c>
      <c r="BP83" s="13">
        <v>0.31</v>
      </c>
      <c r="BQ83" s="13">
        <v>0.2</v>
      </c>
      <c r="BR83" s="13">
        <v>0.35</v>
      </c>
      <c r="BS83" s="13">
        <v>0.24</v>
      </c>
      <c r="BT83" s="13">
        <v>0.18</v>
      </c>
      <c r="BU83" s="13">
        <v>0.21</v>
      </c>
      <c r="BV83" s="13">
        <v>0.55000000000000004</v>
      </c>
      <c r="BW83" s="13">
        <v>0.14000000000000001</v>
      </c>
      <c r="BX83" s="13">
        <v>0.3</v>
      </c>
      <c r="BY83" s="7">
        <v>0</v>
      </c>
      <c r="BZ83" s="7">
        <v>0</v>
      </c>
      <c r="CA83" s="13">
        <v>2.98</v>
      </c>
      <c r="CB83" s="13">
        <v>0.35</v>
      </c>
      <c r="CC83" s="13">
        <v>1.69</v>
      </c>
      <c r="CD83" s="13">
        <v>0.95</v>
      </c>
      <c r="CE83" s="13">
        <v>0.67</v>
      </c>
      <c r="CF83" s="13">
        <v>0.37</v>
      </c>
      <c r="CG83" s="7">
        <v>0</v>
      </c>
      <c r="CH83" s="7" t="s">
        <v>104</v>
      </c>
      <c r="CI83" s="7">
        <v>0</v>
      </c>
      <c r="CJ83" s="7" t="s">
        <v>104</v>
      </c>
      <c r="CK83" s="7">
        <v>0</v>
      </c>
      <c r="CL83" s="13">
        <v>0.3</v>
      </c>
      <c r="CM83" s="7" t="s">
        <v>104</v>
      </c>
      <c r="CN83" s="7" t="s">
        <v>104</v>
      </c>
      <c r="CO83" s="13">
        <v>27.07</v>
      </c>
      <c r="CP83" s="13">
        <v>3.65</v>
      </c>
    </row>
    <row r="84" spans="1:94" ht="14.5" x14ac:dyDescent="0.35">
      <c r="A84" s="5" t="s">
        <v>83</v>
      </c>
      <c r="B84" s="12">
        <v>61.77</v>
      </c>
      <c r="C84" s="12">
        <v>0.49</v>
      </c>
      <c r="D84" s="12">
        <v>0.18</v>
      </c>
      <c r="E84" s="12">
        <v>0.21</v>
      </c>
      <c r="F84" s="12">
        <v>0.33</v>
      </c>
      <c r="G84" s="12">
        <v>1.1499999999999999</v>
      </c>
      <c r="H84" s="12">
        <v>0.59</v>
      </c>
      <c r="I84" s="12">
        <v>0.44</v>
      </c>
      <c r="J84" s="12">
        <v>0.57999999999999996</v>
      </c>
      <c r="K84" s="12">
        <v>0.34</v>
      </c>
      <c r="L84" s="12">
        <v>0.94</v>
      </c>
      <c r="M84" s="12">
        <f t="shared" si="6"/>
        <v>1.0900000000000001</v>
      </c>
      <c r="N84" s="12">
        <v>1.0900000000000001</v>
      </c>
      <c r="X84" s="12">
        <v>0.85</v>
      </c>
      <c r="Y84" s="12">
        <v>0.82</v>
      </c>
      <c r="Z84" s="12">
        <v>0.78</v>
      </c>
      <c r="AA84" s="12">
        <v>1.1100000000000001</v>
      </c>
      <c r="AB84" s="12">
        <v>0.99</v>
      </c>
      <c r="AC84" s="12">
        <v>0.99</v>
      </c>
      <c r="AD84" s="12">
        <v>1.1100000000000001</v>
      </c>
      <c r="AE84" s="12">
        <v>1.23</v>
      </c>
      <c r="AF84" s="12">
        <v>1.69</v>
      </c>
      <c r="AG84" s="12">
        <v>0.66</v>
      </c>
      <c r="AH84" s="12">
        <v>0.78</v>
      </c>
      <c r="AI84" s="12">
        <v>0.69</v>
      </c>
      <c r="AJ84" s="13">
        <f t="shared" si="7"/>
        <v>1.1599999999999999</v>
      </c>
      <c r="AK84" s="12">
        <v>1.1599999999999999</v>
      </c>
      <c r="AM84" s="12">
        <v>0.27</v>
      </c>
      <c r="AN84" s="12">
        <v>0.69</v>
      </c>
      <c r="AO84" s="12">
        <v>1.62</v>
      </c>
      <c r="AP84" s="12">
        <v>0.69</v>
      </c>
      <c r="AQ84" s="12">
        <v>2.06</v>
      </c>
      <c r="AR84" s="12">
        <v>2.06</v>
      </c>
      <c r="AS84" s="12">
        <v>0.94</v>
      </c>
      <c r="AT84" s="12">
        <v>0.8</v>
      </c>
      <c r="AU84" s="12">
        <v>0.86</v>
      </c>
      <c r="AV84" s="12">
        <v>1.02</v>
      </c>
      <c r="AW84" s="12">
        <v>0.34</v>
      </c>
      <c r="AX84" s="12">
        <v>2.21</v>
      </c>
      <c r="AY84" s="12">
        <v>0.8</v>
      </c>
      <c r="AZ84" s="12">
        <v>0.5</v>
      </c>
      <c r="BA84" s="12">
        <v>1.48</v>
      </c>
      <c r="BB84" s="12">
        <v>6.84</v>
      </c>
      <c r="BC84" s="12">
        <v>0.7</v>
      </c>
      <c r="BD84" s="12">
        <v>0.68</v>
      </c>
      <c r="BE84" s="12">
        <v>0.91</v>
      </c>
      <c r="BF84" s="12">
        <v>0.79</v>
      </c>
      <c r="BG84" s="12">
        <v>2.2999999999999998</v>
      </c>
      <c r="BH84" s="12">
        <v>0.85</v>
      </c>
      <c r="BI84" s="12">
        <v>1.05</v>
      </c>
      <c r="BJ84" s="12">
        <v>0.79</v>
      </c>
      <c r="BK84" s="12">
        <v>0.53</v>
      </c>
      <c r="BL84" s="12">
        <v>1.58</v>
      </c>
      <c r="BM84" s="12">
        <v>0.36</v>
      </c>
      <c r="BN84" s="12">
        <v>0.56000000000000005</v>
      </c>
      <c r="BO84" s="6">
        <v>1</v>
      </c>
      <c r="BP84" s="12">
        <v>1.01</v>
      </c>
      <c r="BQ84" s="12">
        <v>1.1100000000000001</v>
      </c>
      <c r="BR84" s="12">
        <v>2.5299999999999998</v>
      </c>
      <c r="BS84" s="12">
        <v>0.52</v>
      </c>
      <c r="BT84" s="12">
        <v>0.39</v>
      </c>
      <c r="BU84" s="12">
        <v>0.39</v>
      </c>
      <c r="BV84" s="12">
        <v>0.28999999999999998</v>
      </c>
      <c r="BW84" s="12">
        <v>0.67</v>
      </c>
      <c r="BX84" s="12">
        <v>0.39</v>
      </c>
      <c r="BY84" s="6">
        <v>0</v>
      </c>
      <c r="BZ84" s="6">
        <v>0</v>
      </c>
      <c r="CA84" s="6">
        <v>28</v>
      </c>
      <c r="CB84" s="12">
        <v>0.74</v>
      </c>
      <c r="CC84" s="12">
        <v>27.16</v>
      </c>
      <c r="CD84" s="12">
        <v>0.1</v>
      </c>
      <c r="CE84" s="12">
        <v>-532.57000000000005</v>
      </c>
      <c r="CF84" s="12">
        <v>-533.20000000000005</v>
      </c>
      <c r="CG84" s="6">
        <v>0</v>
      </c>
      <c r="CH84" s="6" t="s">
        <v>104</v>
      </c>
      <c r="CI84" s="6">
        <v>0</v>
      </c>
      <c r="CJ84" s="6" t="s">
        <v>104</v>
      </c>
      <c r="CK84" s="6">
        <v>0</v>
      </c>
      <c r="CL84" s="12">
        <v>0.63</v>
      </c>
      <c r="CM84" s="6" t="s">
        <v>104</v>
      </c>
      <c r="CN84" s="6" t="s">
        <v>104</v>
      </c>
      <c r="CO84" s="12">
        <v>-442.81</v>
      </c>
      <c r="CP84" s="12">
        <v>-504.57</v>
      </c>
    </row>
    <row r="85" spans="1:94" ht="14.5" x14ac:dyDescent="0.35">
      <c r="A85" s="5" t="s">
        <v>84</v>
      </c>
      <c r="B85" s="13">
        <v>563.91</v>
      </c>
      <c r="C85" s="13">
        <v>3.28</v>
      </c>
      <c r="D85" s="13">
        <v>1.91</v>
      </c>
      <c r="E85" s="13">
        <v>1.0900000000000001</v>
      </c>
      <c r="F85" s="13">
        <v>2.4500000000000002</v>
      </c>
      <c r="G85" s="13">
        <v>5.92</v>
      </c>
      <c r="H85" s="13">
        <v>3.12</v>
      </c>
      <c r="I85" s="13">
        <v>5.1100000000000003</v>
      </c>
      <c r="J85" s="13">
        <v>3.49</v>
      </c>
      <c r="K85" s="13">
        <v>2.87</v>
      </c>
      <c r="L85" s="13">
        <v>5.57</v>
      </c>
      <c r="M85" s="12">
        <f t="shared" si="6"/>
        <v>5.33</v>
      </c>
      <c r="N85" s="12">
        <v>5.33</v>
      </c>
      <c r="X85" s="13">
        <v>3.02</v>
      </c>
      <c r="Y85" s="13">
        <v>6.56</v>
      </c>
      <c r="Z85" s="13">
        <v>4.07</v>
      </c>
      <c r="AA85" s="13">
        <v>5.8</v>
      </c>
      <c r="AB85" s="13">
        <v>7.44</v>
      </c>
      <c r="AC85" s="13">
        <v>4.49</v>
      </c>
      <c r="AD85" s="13">
        <v>3.47</v>
      </c>
      <c r="AE85" s="13">
        <v>4.4800000000000004</v>
      </c>
      <c r="AF85" s="13">
        <v>4.3499999999999996</v>
      </c>
      <c r="AG85" s="13">
        <v>3.17</v>
      </c>
      <c r="AH85" s="13">
        <v>87.41</v>
      </c>
      <c r="AI85" s="13">
        <v>3.93</v>
      </c>
      <c r="AJ85" s="13">
        <f t="shared" si="7"/>
        <v>5.7</v>
      </c>
      <c r="AK85" s="13">
        <v>5.7</v>
      </c>
      <c r="AM85" s="13">
        <v>1.42</v>
      </c>
      <c r="AN85" s="13">
        <v>7.21</v>
      </c>
      <c r="AO85" s="13">
        <v>5.56</v>
      </c>
      <c r="AP85" s="13">
        <v>4.59</v>
      </c>
      <c r="AQ85" s="13">
        <v>6.94</v>
      </c>
      <c r="AR85" s="13">
        <v>7.55</v>
      </c>
      <c r="AS85" s="13">
        <v>6.07</v>
      </c>
      <c r="AT85" s="13">
        <v>4.7300000000000004</v>
      </c>
      <c r="AU85" s="13">
        <v>7.39</v>
      </c>
      <c r="AV85" s="13">
        <v>5.27</v>
      </c>
      <c r="AW85" s="13">
        <v>4.2699999999999996</v>
      </c>
      <c r="AX85" s="13">
        <v>27.46</v>
      </c>
      <c r="AY85" s="13">
        <v>4.08</v>
      </c>
      <c r="AZ85" s="7">
        <v>4</v>
      </c>
      <c r="BA85" s="13">
        <v>3.79</v>
      </c>
      <c r="BB85" s="13">
        <v>7.38</v>
      </c>
      <c r="BC85" s="13">
        <v>2.2400000000000002</v>
      </c>
      <c r="BD85" s="13">
        <v>5.04</v>
      </c>
      <c r="BE85" s="13">
        <v>3.54</v>
      </c>
      <c r="BF85" s="13">
        <v>5.13</v>
      </c>
      <c r="BG85" s="13">
        <v>7.84</v>
      </c>
      <c r="BH85" s="13">
        <v>4.32</v>
      </c>
      <c r="BI85" s="13">
        <v>6.16</v>
      </c>
      <c r="BJ85" s="13">
        <v>4.41</v>
      </c>
      <c r="BK85" s="13">
        <v>3.24</v>
      </c>
      <c r="BL85" s="13">
        <v>10.07</v>
      </c>
      <c r="BM85" s="13">
        <v>3.8</v>
      </c>
      <c r="BN85" s="13">
        <v>80.430000000000007</v>
      </c>
      <c r="BO85" s="13">
        <v>5.34</v>
      </c>
      <c r="BP85" s="13">
        <v>8.14</v>
      </c>
      <c r="BQ85" s="13">
        <v>6.5</v>
      </c>
      <c r="BR85" s="13">
        <v>41.39</v>
      </c>
      <c r="BS85" s="13">
        <v>7.23</v>
      </c>
      <c r="BT85" s="13">
        <v>6.28</v>
      </c>
      <c r="BU85" s="13">
        <v>4.54</v>
      </c>
      <c r="BV85" s="13">
        <v>6.5</v>
      </c>
      <c r="BW85" s="13">
        <v>1.77</v>
      </c>
      <c r="BX85" s="13">
        <v>48.27</v>
      </c>
      <c r="BY85" s="7">
        <v>0</v>
      </c>
      <c r="BZ85" s="7">
        <v>0</v>
      </c>
      <c r="CA85" s="13">
        <v>980.25</v>
      </c>
      <c r="CB85" s="13">
        <v>12.83</v>
      </c>
      <c r="CC85" s="13">
        <v>965.36</v>
      </c>
      <c r="CD85" s="13">
        <v>2.06</v>
      </c>
      <c r="CE85" s="13">
        <v>14.71</v>
      </c>
      <c r="CF85" s="13">
        <v>10.38</v>
      </c>
      <c r="CG85" s="7">
        <v>0</v>
      </c>
      <c r="CH85" s="7" t="s">
        <v>104</v>
      </c>
      <c r="CI85" s="7">
        <v>0</v>
      </c>
      <c r="CJ85" s="7" t="s">
        <v>104</v>
      </c>
      <c r="CK85" s="7">
        <v>0</v>
      </c>
      <c r="CL85" s="13">
        <v>4.32</v>
      </c>
      <c r="CM85" s="7" t="s">
        <v>104</v>
      </c>
      <c r="CN85" s="7" t="s">
        <v>104</v>
      </c>
      <c r="CO85" s="13">
        <v>1558.87</v>
      </c>
      <c r="CP85" s="13">
        <v>994.96</v>
      </c>
    </row>
    <row r="86" spans="1:94" ht="14.5" x14ac:dyDescent="0.35">
      <c r="A86" s="5" t="s">
        <v>85</v>
      </c>
      <c r="B86" s="12">
        <v>3.1</v>
      </c>
      <c r="C86" s="12">
        <v>0.06</v>
      </c>
      <c r="D86" s="12">
        <v>0.02</v>
      </c>
      <c r="E86" s="12">
        <v>0.02</v>
      </c>
      <c r="F86" s="12">
        <v>0.04</v>
      </c>
      <c r="G86" s="12">
        <v>7.0000000000000007E-2</v>
      </c>
      <c r="H86" s="12">
        <v>0.05</v>
      </c>
      <c r="I86" s="12">
        <v>0.04</v>
      </c>
      <c r="J86" s="12">
        <v>0.06</v>
      </c>
      <c r="K86" s="12">
        <v>0.04</v>
      </c>
      <c r="L86" s="12">
        <v>0.06</v>
      </c>
      <c r="M86" s="12">
        <f t="shared" si="6"/>
        <v>7.0000000000000007E-2</v>
      </c>
      <c r="N86" s="12">
        <v>7.0000000000000007E-2</v>
      </c>
      <c r="X86" s="12">
        <v>0.06</v>
      </c>
      <c r="Y86" s="12">
        <v>0.06</v>
      </c>
      <c r="Z86" s="12">
        <v>0.05</v>
      </c>
      <c r="AA86" s="12">
        <v>7.0000000000000007E-2</v>
      </c>
      <c r="AB86" s="12">
        <v>7.0000000000000007E-2</v>
      </c>
      <c r="AC86" s="12">
        <v>0.05</v>
      </c>
      <c r="AD86" s="12">
        <v>0.05</v>
      </c>
      <c r="AE86" s="12">
        <v>0.06</v>
      </c>
      <c r="AF86" s="12">
        <v>0.06</v>
      </c>
      <c r="AG86" s="12">
        <v>0.05</v>
      </c>
      <c r="AH86" s="12">
        <v>0.06</v>
      </c>
      <c r="AI86" s="12">
        <v>0.06</v>
      </c>
      <c r="AJ86" s="13">
        <f t="shared" si="7"/>
        <v>0.06</v>
      </c>
      <c r="AK86" s="12">
        <v>0.06</v>
      </c>
      <c r="AM86" s="12">
        <v>0.02</v>
      </c>
      <c r="AN86" s="12">
        <v>7.0000000000000007E-2</v>
      </c>
      <c r="AO86" s="12">
        <v>7.0000000000000007E-2</v>
      </c>
      <c r="AP86" s="12">
        <v>0.05</v>
      </c>
      <c r="AQ86" s="12">
        <v>0.05</v>
      </c>
      <c r="AR86" s="12">
        <v>0.04</v>
      </c>
      <c r="AS86" s="12">
        <v>0.06</v>
      </c>
      <c r="AT86" s="12">
        <v>0.05</v>
      </c>
      <c r="AU86" s="12">
        <v>0.05</v>
      </c>
      <c r="AV86" s="12">
        <v>0.06</v>
      </c>
      <c r="AW86" s="12">
        <v>0.04</v>
      </c>
      <c r="AX86" s="12">
        <v>0.06</v>
      </c>
      <c r="AY86" s="12">
        <v>0.04</v>
      </c>
      <c r="AZ86" s="12">
        <v>0.05</v>
      </c>
      <c r="BA86" s="12">
        <v>0.06</v>
      </c>
      <c r="BB86" s="12">
        <v>0.06</v>
      </c>
      <c r="BC86" s="12">
        <v>0.03</v>
      </c>
      <c r="BD86" s="12">
        <v>0.05</v>
      </c>
      <c r="BE86" s="12">
        <v>0.04</v>
      </c>
      <c r="BF86" s="12">
        <v>0.05</v>
      </c>
      <c r="BG86" s="12">
        <v>0.05</v>
      </c>
      <c r="BH86" s="12">
        <v>0.05</v>
      </c>
      <c r="BI86" s="12">
        <v>0.06</v>
      </c>
      <c r="BJ86" s="12">
        <v>0.04</v>
      </c>
      <c r="BK86" s="12">
        <v>0.04</v>
      </c>
      <c r="BL86" s="12">
        <v>0.08</v>
      </c>
      <c r="BM86" s="12">
        <v>0.03</v>
      </c>
      <c r="BN86" s="12">
        <v>0.05</v>
      </c>
      <c r="BO86" s="12">
        <v>0.05</v>
      </c>
      <c r="BP86" s="12">
        <v>0.05</v>
      </c>
      <c r="BQ86" s="12">
        <v>0.05</v>
      </c>
      <c r="BR86" s="12">
        <v>7.0000000000000007E-2</v>
      </c>
      <c r="BS86" s="12">
        <v>0.04</v>
      </c>
      <c r="BT86" s="12">
        <v>0.04</v>
      </c>
      <c r="BU86" s="12">
        <v>0.03</v>
      </c>
      <c r="BV86" s="12">
        <v>0.03</v>
      </c>
      <c r="BW86" s="12">
        <v>0.03</v>
      </c>
      <c r="BX86" s="12">
        <v>0.04</v>
      </c>
      <c r="BY86" s="6">
        <v>0</v>
      </c>
      <c r="BZ86" s="6">
        <v>0</v>
      </c>
      <c r="CA86" s="12">
        <v>0.4</v>
      </c>
      <c r="CB86" s="12">
        <v>7.0000000000000007E-2</v>
      </c>
      <c r="CC86" s="12">
        <v>0.33</v>
      </c>
      <c r="CD86" s="12">
        <v>0.01</v>
      </c>
      <c r="CE86" s="12">
        <v>0.15</v>
      </c>
      <c r="CF86" s="12">
        <v>0.08</v>
      </c>
      <c r="CG86" s="6">
        <v>0</v>
      </c>
      <c r="CH86" s="6" t="s">
        <v>104</v>
      </c>
      <c r="CI86" s="6">
        <v>0</v>
      </c>
      <c r="CJ86" s="6" t="s">
        <v>104</v>
      </c>
      <c r="CK86" s="6">
        <v>0</v>
      </c>
      <c r="CL86" s="12">
        <v>7.0000000000000007E-2</v>
      </c>
      <c r="CM86" s="6" t="s">
        <v>104</v>
      </c>
      <c r="CN86" s="6" t="s">
        <v>104</v>
      </c>
      <c r="CO86" s="12">
        <v>3.65</v>
      </c>
      <c r="CP86" s="12">
        <v>0.55000000000000004</v>
      </c>
    </row>
    <row r="87" spans="1:94" ht="14.5" x14ac:dyDescent="0.35">
      <c r="A87" s="5" t="s">
        <v>86</v>
      </c>
      <c r="B87" s="7">
        <v>0</v>
      </c>
      <c r="C87" s="7">
        <v>0</v>
      </c>
      <c r="D87" s="7">
        <v>0</v>
      </c>
      <c r="E87" s="7">
        <v>0</v>
      </c>
      <c r="F87" s="7">
        <v>0</v>
      </c>
      <c r="G87" s="7">
        <v>0</v>
      </c>
      <c r="H87" s="7">
        <v>0</v>
      </c>
      <c r="I87" s="7">
        <v>0</v>
      </c>
      <c r="J87" s="7">
        <v>0</v>
      </c>
      <c r="K87" s="7">
        <v>0</v>
      </c>
      <c r="L87" s="7">
        <v>0</v>
      </c>
      <c r="M87" s="12">
        <f t="shared" si="6"/>
        <v>0</v>
      </c>
      <c r="N87" s="6">
        <v>0</v>
      </c>
      <c r="X87" s="7">
        <v>0</v>
      </c>
      <c r="Y87" s="7">
        <v>0</v>
      </c>
      <c r="Z87" s="7">
        <v>0</v>
      </c>
      <c r="AA87" s="7">
        <v>0</v>
      </c>
      <c r="AB87" s="7">
        <v>0</v>
      </c>
      <c r="AC87" s="7">
        <v>0</v>
      </c>
      <c r="AD87" s="7">
        <v>0</v>
      </c>
      <c r="AE87" s="7">
        <v>0</v>
      </c>
      <c r="AF87" s="7">
        <v>0</v>
      </c>
      <c r="AG87" s="7">
        <v>0</v>
      </c>
      <c r="AH87" s="7">
        <v>0</v>
      </c>
      <c r="AI87" s="7">
        <v>0</v>
      </c>
      <c r="AJ87" s="13">
        <f t="shared" si="7"/>
        <v>0</v>
      </c>
      <c r="AK87" s="7">
        <v>0</v>
      </c>
      <c r="AM87" s="7">
        <v>0</v>
      </c>
      <c r="AN87" s="7">
        <v>0</v>
      </c>
      <c r="AO87" s="7">
        <v>0</v>
      </c>
      <c r="AP87" s="7">
        <v>0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  <c r="AY87" s="7">
        <v>0</v>
      </c>
      <c r="AZ87" s="7">
        <v>0</v>
      </c>
      <c r="BA87" s="7">
        <v>0</v>
      </c>
      <c r="BB87" s="7">
        <v>0</v>
      </c>
      <c r="BC87" s="7">
        <v>0</v>
      </c>
      <c r="BD87" s="7">
        <v>0</v>
      </c>
      <c r="BE87" s="7">
        <v>0</v>
      </c>
      <c r="BF87" s="7">
        <v>0</v>
      </c>
      <c r="BG87" s="7">
        <v>0</v>
      </c>
      <c r="BH87" s="7">
        <v>0</v>
      </c>
      <c r="BI87" s="7">
        <v>0</v>
      </c>
      <c r="BJ87" s="7">
        <v>0</v>
      </c>
      <c r="BK87" s="7">
        <v>0</v>
      </c>
      <c r="BL87" s="7">
        <v>0</v>
      </c>
      <c r="BM87" s="7">
        <v>0</v>
      </c>
      <c r="BN87" s="7">
        <v>0</v>
      </c>
      <c r="BO87" s="7">
        <v>0</v>
      </c>
      <c r="BP87" s="7">
        <v>0</v>
      </c>
      <c r="BQ87" s="7">
        <v>0</v>
      </c>
      <c r="BR87" s="7">
        <v>0</v>
      </c>
      <c r="BS87" s="7">
        <v>0</v>
      </c>
      <c r="BT87" s="7">
        <v>0</v>
      </c>
      <c r="BU87" s="7">
        <v>0</v>
      </c>
      <c r="BV87" s="7">
        <v>0</v>
      </c>
      <c r="BW87" s="7">
        <v>0</v>
      </c>
      <c r="BX87" s="7">
        <v>0</v>
      </c>
      <c r="BY87" s="7">
        <v>0</v>
      </c>
      <c r="BZ87" s="7">
        <v>0</v>
      </c>
      <c r="CA87" s="7">
        <v>0</v>
      </c>
      <c r="CB87" s="7">
        <v>0</v>
      </c>
      <c r="CC87" s="7">
        <v>0</v>
      </c>
      <c r="CD87" s="7">
        <v>0</v>
      </c>
      <c r="CE87" s="7">
        <v>0</v>
      </c>
      <c r="CF87" s="7">
        <v>0</v>
      </c>
      <c r="CG87" s="7">
        <v>0</v>
      </c>
      <c r="CH87" s="7" t="s">
        <v>104</v>
      </c>
      <c r="CI87" s="7">
        <v>0</v>
      </c>
      <c r="CJ87" s="7" t="s">
        <v>104</v>
      </c>
      <c r="CK87" s="7">
        <v>0</v>
      </c>
      <c r="CL87" s="7">
        <v>0</v>
      </c>
      <c r="CM87" s="7" t="s">
        <v>104</v>
      </c>
      <c r="CN87" s="7" t="s">
        <v>104</v>
      </c>
      <c r="CO87" s="7">
        <v>0</v>
      </c>
      <c r="CP87" s="7">
        <v>0</v>
      </c>
    </row>
    <row r="88" spans="1:94" ht="14.5" x14ac:dyDescent="0.35">
      <c r="A88" s="5" t="s">
        <v>105</v>
      </c>
      <c r="B88" s="6" t="s">
        <v>104</v>
      </c>
      <c r="C88" s="6" t="s">
        <v>104</v>
      </c>
      <c r="D88" s="6" t="s">
        <v>104</v>
      </c>
      <c r="E88" s="6" t="s">
        <v>104</v>
      </c>
      <c r="F88" s="6" t="s">
        <v>104</v>
      </c>
      <c r="G88" s="6" t="s">
        <v>104</v>
      </c>
      <c r="H88" s="6" t="s">
        <v>104</v>
      </c>
      <c r="I88" s="6" t="s">
        <v>104</v>
      </c>
      <c r="J88" s="6" t="s">
        <v>104</v>
      </c>
      <c r="K88" s="6" t="s">
        <v>104</v>
      </c>
      <c r="L88" s="6" t="s">
        <v>104</v>
      </c>
      <c r="M88" s="12" t="e">
        <f t="shared" si="6"/>
        <v>#VALUE!</v>
      </c>
      <c r="N88" s="6" t="s">
        <v>104</v>
      </c>
      <c r="X88" s="6" t="s">
        <v>104</v>
      </c>
      <c r="Y88" s="6" t="s">
        <v>104</v>
      </c>
      <c r="Z88" s="6" t="s">
        <v>104</v>
      </c>
      <c r="AA88" s="6" t="s">
        <v>104</v>
      </c>
      <c r="AB88" s="6" t="s">
        <v>104</v>
      </c>
      <c r="AC88" s="6" t="s">
        <v>104</v>
      </c>
      <c r="AD88" s="6" t="s">
        <v>104</v>
      </c>
      <c r="AE88" s="6" t="s">
        <v>104</v>
      </c>
      <c r="AF88" s="6" t="s">
        <v>104</v>
      </c>
      <c r="AG88" s="6" t="s">
        <v>104</v>
      </c>
      <c r="AH88" s="6" t="s">
        <v>104</v>
      </c>
      <c r="AI88" s="6" t="s">
        <v>104</v>
      </c>
      <c r="AJ88" s="13" t="e">
        <f t="shared" si="7"/>
        <v>#VALUE!</v>
      </c>
      <c r="AK88" s="6" t="s">
        <v>104</v>
      </c>
      <c r="AM88" s="6" t="s">
        <v>104</v>
      </c>
      <c r="AN88" s="6" t="s">
        <v>104</v>
      </c>
      <c r="AO88" s="6" t="s">
        <v>104</v>
      </c>
      <c r="AP88" s="6" t="s">
        <v>104</v>
      </c>
      <c r="AQ88" s="6" t="s">
        <v>104</v>
      </c>
      <c r="AR88" s="6" t="s">
        <v>104</v>
      </c>
      <c r="AS88" s="6" t="s">
        <v>104</v>
      </c>
      <c r="AT88" s="6" t="s">
        <v>104</v>
      </c>
      <c r="AU88" s="6" t="s">
        <v>104</v>
      </c>
      <c r="AV88" s="6" t="s">
        <v>104</v>
      </c>
      <c r="AW88" s="6" t="s">
        <v>104</v>
      </c>
      <c r="AX88" s="6" t="s">
        <v>104</v>
      </c>
      <c r="AY88" s="6" t="s">
        <v>104</v>
      </c>
      <c r="AZ88" s="6" t="s">
        <v>104</v>
      </c>
      <c r="BA88" s="6" t="s">
        <v>104</v>
      </c>
      <c r="BB88" s="6" t="s">
        <v>104</v>
      </c>
      <c r="BC88" s="6" t="s">
        <v>104</v>
      </c>
      <c r="BD88" s="6" t="s">
        <v>104</v>
      </c>
      <c r="BE88" s="6" t="s">
        <v>104</v>
      </c>
      <c r="BF88" s="6" t="s">
        <v>104</v>
      </c>
      <c r="BG88" s="6" t="s">
        <v>104</v>
      </c>
      <c r="BH88" s="6" t="s">
        <v>104</v>
      </c>
      <c r="BI88" s="6" t="s">
        <v>104</v>
      </c>
      <c r="BJ88" s="6" t="s">
        <v>104</v>
      </c>
      <c r="BK88" s="6" t="s">
        <v>104</v>
      </c>
      <c r="BL88" s="6" t="s">
        <v>104</v>
      </c>
      <c r="BM88" s="6" t="s">
        <v>104</v>
      </c>
      <c r="BN88" s="6" t="s">
        <v>104</v>
      </c>
      <c r="BO88" s="6" t="s">
        <v>104</v>
      </c>
      <c r="BP88" s="6" t="s">
        <v>104</v>
      </c>
      <c r="BQ88" s="6" t="s">
        <v>104</v>
      </c>
      <c r="BR88" s="6" t="s">
        <v>104</v>
      </c>
      <c r="BS88" s="6" t="s">
        <v>104</v>
      </c>
      <c r="BT88" s="6" t="s">
        <v>104</v>
      </c>
      <c r="BU88" s="6" t="s">
        <v>104</v>
      </c>
      <c r="BV88" s="6" t="s">
        <v>104</v>
      </c>
      <c r="BW88" s="6" t="s">
        <v>104</v>
      </c>
      <c r="BX88" s="6" t="s">
        <v>104</v>
      </c>
      <c r="BY88" s="6" t="s">
        <v>104</v>
      </c>
      <c r="BZ88" s="6" t="s">
        <v>104</v>
      </c>
      <c r="CA88" s="6" t="s">
        <v>104</v>
      </c>
      <c r="CB88" s="6" t="s">
        <v>104</v>
      </c>
      <c r="CC88" s="6" t="s">
        <v>104</v>
      </c>
      <c r="CD88" s="6" t="s">
        <v>104</v>
      </c>
      <c r="CE88" s="6" t="s">
        <v>104</v>
      </c>
      <c r="CF88" s="6" t="s">
        <v>104</v>
      </c>
      <c r="CG88" s="6" t="s">
        <v>104</v>
      </c>
      <c r="CH88" s="6" t="s">
        <v>104</v>
      </c>
      <c r="CI88" s="6" t="s">
        <v>104</v>
      </c>
      <c r="CJ88" s="6" t="s">
        <v>104</v>
      </c>
      <c r="CK88" s="6" t="s">
        <v>104</v>
      </c>
      <c r="CL88" s="6" t="s">
        <v>104</v>
      </c>
      <c r="CM88" s="6" t="s">
        <v>104</v>
      </c>
      <c r="CN88" s="6" t="s">
        <v>104</v>
      </c>
      <c r="CO88" s="6" t="s">
        <v>104</v>
      </c>
      <c r="CP88" s="6" t="s">
        <v>104</v>
      </c>
    </row>
    <row r="89" spans="1:94" ht="14.5" x14ac:dyDescent="0.35">
      <c r="A89" s="5" t="s">
        <v>106</v>
      </c>
      <c r="B89" s="7" t="s">
        <v>104</v>
      </c>
      <c r="C89" s="7" t="s">
        <v>104</v>
      </c>
      <c r="D89" s="7" t="s">
        <v>104</v>
      </c>
      <c r="E89" s="7" t="s">
        <v>104</v>
      </c>
      <c r="F89" s="7" t="s">
        <v>104</v>
      </c>
      <c r="G89" s="7" t="s">
        <v>104</v>
      </c>
      <c r="H89" s="7" t="s">
        <v>104</v>
      </c>
      <c r="I89" s="7" t="s">
        <v>104</v>
      </c>
      <c r="J89" s="7" t="s">
        <v>104</v>
      </c>
      <c r="K89" s="7" t="s">
        <v>104</v>
      </c>
      <c r="L89" s="7" t="s">
        <v>104</v>
      </c>
      <c r="M89" s="12" t="e">
        <f t="shared" si="6"/>
        <v>#VALUE!</v>
      </c>
      <c r="N89" s="6" t="s">
        <v>104</v>
      </c>
      <c r="X89" s="7" t="s">
        <v>104</v>
      </c>
      <c r="Y89" s="7" t="s">
        <v>104</v>
      </c>
      <c r="Z89" s="7" t="s">
        <v>104</v>
      </c>
      <c r="AA89" s="7" t="s">
        <v>104</v>
      </c>
      <c r="AB89" s="7" t="s">
        <v>104</v>
      </c>
      <c r="AC89" s="7" t="s">
        <v>104</v>
      </c>
      <c r="AD89" s="7" t="s">
        <v>104</v>
      </c>
      <c r="AE89" s="7" t="s">
        <v>104</v>
      </c>
      <c r="AF89" s="7" t="s">
        <v>104</v>
      </c>
      <c r="AG89" s="7" t="s">
        <v>104</v>
      </c>
      <c r="AH89" s="7" t="s">
        <v>104</v>
      </c>
      <c r="AI89" s="7" t="s">
        <v>104</v>
      </c>
      <c r="AJ89" s="13" t="e">
        <f t="shared" si="7"/>
        <v>#VALUE!</v>
      </c>
      <c r="AK89" s="7" t="s">
        <v>104</v>
      </c>
      <c r="AM89" s="7" t="s">
        <v>104</v>
      </c>
      <c r="AN89" s="7" t="s">
        <v>104</v>
      </c>
      <c r="AO89" s="7" t="s">
        <v>104</v>
      </c>
      <c r="AP89" s="7" t="s">
        <v>104</v>
      </c>
      <c r="AQ89" s="7" t="s">
        <v>104</v>
      </c>
      <c r="AR89" s="7" t="s">
        <v>104</v>
      </c>
      <c r="AS89" s="7" t="s">
        <v>104</v>
      </c>
      <c r="AT89" s="7" t="s">
        <v>104</v>
      </c>
      <c r="AU89" s="7" t="s">
        <v>104</v>
      </c>
      <c r="AV89" s="7" t="s">
        <v>104</v>
      </c>
      <c r="AW89" s="7" t="s">
        <v>104</v>
      </c>
      <c r="AX89" s="7" t="s">
        <v>104</v>
      </c>
      <c r="AY89" s="7" t="s">
        <v>104</v>
      </c>
      <c r="AZ89" s="7" t="s">
        <v>104</v>
      </c>
      <c r="BA89" s="7" t="s">
        <v>104</v>
      </c>
      <c r="BB89" s="7" t="s">
        <v>104</v>
      </c>
      <c r="BC89" s="7" t="s">
        <v>104</v>
      </c>
      <c r="BD89" s="7" t="s">
        <v>104</v>
      </c>
      <c r="BE89" s="7" t="s">
        <v>104</v>
      </c>
      <c r="BF89" s="7" t="s">
        <v>104</v>
      </c>
      <c r="BG89" s="7" t="s">
        <v>104</v>
      </c>
      <c r="BH89" s="7" t="s">
        <v>104</v>
      </c>
      <c r="BI89" s="7" t="s">
        <v>104</v>
      </c>
      <c r="BJ89" s="7" t="s">
        <v>104</v>
      </c>
      <c r="BK89" s="7" t="s">
        <v>104</v>
      </c>
      <c r="BL89" s="7" t="s">
        <v>104</v>
      </c>
      <c r="BM89" s="7" t="s">
        <v>104</v>
      </c>
      <c r="BN89" s="7" t="s">
        <v>104</v>
      </c>
      <c r="BO89" s="7" t="s">
        <v>104</v>
      </c>
      <c r="BP89" s="7" t="s">
        <v>104</v>
      </c>
      <c r="BQ89" s="7" t="s">
        <v>104</v>
      </c>
      <c r="BR89" s="7" t="s">
        <v>104</v>
      </c>
      <c r="BS89" s="7" t="s">
        <v>104</v>
      </c>
      <c r="BT89" s="7" t="s">
        <v>104</v>
      </c>
      <c r="BU89" s="7" t="s">
        <v>104</v>
      </c>
      <c r="BV89" s="7" t="s">
        <v>104</v>
      </c>
      <c r="BW89" s="7" t="s">
        <v>104</v>
      </c>
      <c r="BX89" s="7" t="s">
        <v>104</v>
      </c>
      <c r="BY89" s="7" t="s">
        <v>104</v>
      </c>
      <c r="BZ89" s="7" t="s">
        <v>104</v>
      </c>
      <c r="CA89" s="7" t="s">
        <v>104</v>
      </c>
      <c r="CB89" s="7" t="s">
        <v>104</v>
      </c>
      <c r="CC89" s="7" t="s">
        <v>104</v>
      </c>
      <c r="CD89" s="7" t="s">
        <v>104</v>
      </c>
      <c r="CE89" s="7" t="s">
        <v>104</v>
      </c>
      <c r="CF89" s="7" t="s">
        <v>104</v>
      </c>
      <c r="CG89" s="7" t="s">
        <v>104</v>
      </c>
      <c r="CH89" s="7" t="s">
        <v>104</v>
      </c>
      <c r="CI89" s="7" t="s">
        <v>104</v>
      </c>
      <c r="CJ89" s="7" t="s">
        <v>104</v>
      </c>
      <c r="CK89" s="7" t="s">
        <v>104</v>
      </c>
      <c r="CL89" s="7" t="s">
        <v>104</v>
      </c>
      <c r="CM89" s="7" t="s">
        <v>104</v>
      </c>
      <c r="CN89" s="7" t="s">
        <v>104</v>
      </c>
      <c r="CO89" s="7" t="s">
        <v>104</v>
      </c>
      <c r="CP89" s="7" t="s">
        <v>104</v>
      </c>
    </row>
    <row r="90" spans="1:94" ht="14.5" x14ac:dyDescent="0.35">
      <c r="A90" s="5" t="s">
        <v>107</v>
      </c>
      <c r="B90" s="6" t="s">
        <v>104</v>
      </c>
      <c r="C90" s="6" t="s">
        <v>104</v>
      </c>
      <c r="D90" s="6" t="s">
        <v>104</v>
      </c>
      <c r="E90" s="6" t="s">
        <v>104</v>
      </c>
      <c r="F90" s="6" t="s">
        <v>104</v>
      </c>
      <c r="G90" s="6" t="s">
        <v>104</v>
      </c>
      <c r="H90" s="6" t="s">
        <v>104</v>
      </c>
      <c r="I90" s="6" t="s">
        <v>104</v>
      </c>
      <c r="J90" s="6" t="s">
        <v>104</v>
      </c>
      <c r="K90" s="6" t="s">
        <v>104</v>
      </c>
      <c r="L90" s="6" t="s">
        <v>104</v>
      </c>
      <c r="M90" s="12" t="e">
        <f t="shared" si="6"/>
        <v>#VALUE!</v>
      </c>
      <c r="N90" s="6" t="s">
        <v>104</v>
      </c>
      <c r="X90" s="6" t="s">
        <v>104</v>
      </c>
      <c r="Y90" s="6" t="s">
        <v>104</v>
      </c>
      <c r="Z90" s="6" t="s">
        <v>104</v>
      </c>
      <c r="AA90" s="6" t="s">
        <v>104</v>
      </c>
      <c r="AB90" s="6" t="s">
        <v>104</v>
      </c>
      <c r="AC90" s="6" t="s">
        <v>104</v>
      </c>
      <c r="AD90" s="6" t="s">
        <v>104</v>
      </c>
      <c r="AE90" s="6" t="s">
        <v>104</v>
      </c>
      <c r="AF90" s="6" t="s">
        <v>104</v>
      </c>
      <c r="AG90" s="6" t="s">
        <v>104</v>
      </c>
      <c r="AH90" s="6" t="s">
        <v>104</v>
      </c>
      <c r="AI90" s="6" t="s">
        <v>104</v>
      </c>
      <c r="AJ90" s="13" t="e">
        <f t="shared" si="7"/>
        <v>#VALUE!</v>
      </c>
      <c r="AK90" s="6" t="s">
        <v>104</v>
      </c>
      <c r="AM90" s="6" t="s">
        <v>104</v>
      </c>
      <c r="AN90" s="6" t="s">
        <v>104</v>
      </c>
      <c r="AO90" s="6" t="s">
        <v>104</v>
      </c>
      <c r="AP90" s="6" t="s">
        <v>104</v>
      </c>
      <c r="AQ90" s="6" t="s">
        <v>104</v>
      </c>
      <c r="AR90" s="6" t="s">
        <v>104</v>
      </c>
      <c r="AS90" s="6" t="s">
        <v>104</v>
      </c>
      <c r="AT90" s="6" t="s">
        <v>104</v>
      </c>
      <c r="AU90" s="6" t="s">
        <v>104</v>
      </c>
      <c r="AV90" s="6" t="s">
        <v>104</v>
      </c>
      <c r="AW90" s="6" t="s">
        <v>104</v>
      </c>
      <c r="AX90" s="6" t="s">
        <v>104</v>
      </c>
      <c r="AY90" s="6" t="s">
        <v>104</v>
      </c>
      <c r="AZ90" s="6" t="s">
        <v>104</v>
      </c>
      <c r="BA90" s="6" t="s">
        <v>104</v>
      </c>
      <c r="BB90" s="6" t="s">
        <v>104</v>
      </c>
      <c r="BC90" s="6" t="s">
        <v>104</v>
      </c>
      <c r="BD90" s="6" t="s">
        <v>104</v>
      </c>
      <c r="BE90" s="6" t="s">
        <v>104</v>
      </c>
      <c r="BF90" s="6" t="s">
        <v>104</v>
      </c>
      <c r="BG90" s="6" t="s">
        <v>104</v>
      </c>
      <c r="BH90" s="6" t="s">
        <v>104</v>
      </c>
      <c r="BI90" s="6" t="s">
        <v>104</v>
      </c>
      <c r="BJ90" s="6" t="s">
        <v>104</v>
      </c>
      <c r="BK90" s="6" t="s">
        <v>104</v>
      </c>
      <c r="BL90" s="6" t="s">
        <v>104</v>
      </c>
      <c r="BM90" s="6" t="s">
        <v>104</v>
      </c>
      <c r="BN90" s="6" t="s">
        <v>104</v>
      </c>
      <c r="BO90" s="6" t="s">
        <v>104</v>
      </c>
      <c r="BP90" s="6" t="s">
        <v>104</v>
      </c>
      <c r="BQ90" s="6" t="s">
        <v>104</v>
      </c>
      <c r="BR90" s="6" t="s">
        <v>104</v>
      </c>
      <c r="BS90" s="6" t="s">
        <v>104</v>
      </c>
      <c r="BT90" s="6" t="s">
        <v>104</v>
      </c>
      <c r="BU90" s="6" t="s">
        <v>104</v>
      </c>
      <c r="BV90" s="6" t="s">
        <v>104</v>
      </c>
      <c r="BW90" s="6" t="s">
        <v>104</v>
      </c>
      <c r="BX90" s="6" t="s">
        <v>104</v>
      </c>
      <c r="BY90" s="6" t="s">
        <v>104</v>
      </c>
      <c r="BZ90" s="6" t="s">
        <v>104</v>
      </c>
      <c r="CA90" s="6" t="s">
        <v>104</v>
      </c>
      <c r="CB90" s="6" t="s">
        <v>104</v>
      </c>
      <c r="CC90" s="6" t="s">
        <v>104</v>
      </c>
      <c r="CD90" s="6" t="s">
        <v>104</v>
      </c>
      <c r="CE90" s="6" t="s">
        <v>104</v>
      </c>
      <c r="CF90" s="6" t="s">
        <v>104</v>
      </c>
      <c r="CG90" s="6" t="s">
        <v>104</v>
      </c>
      <c r="CH90" s="6" t="s">
        <v>104</v>
      </c>
      <c r="CI90" s="6" t="s">
        <v>104</v>
      </c>
      <c r="CJ90" s="6" t="s">
        <v>104</v>
      </c>
      <c r="CK90" s="6" t="s">
        <v>104</v>
      </c>
      <c r="CL90" s="6" t="s">
        <v>104</v>
      </c>
      <c r="CM90" s="6" t="s">
        <v>104</v>
      </c>
      <c r="CN90" s="6" t="s">
        <v>104</v>
      </c>
      <c r="CO90" s="6" t="s">
        <v>104</v>
      </c>
      <c r="CP90" s="6" t="s">
        <v>104</v>
      </c>
    </row>
    <row r="91" spans="1:94" ht="14.5" x14ac:dyDescent="0.35">
      <c r="A91" s="5" t="s">
        <v>108</v>
      </c>
      <c r="B91" s="7" t="s">
        <v>104</v>
      </c>
      <c r="C91" s="7" t="s">
        <v>104</v>
      </c>
      <c r="D91" s="7" t="s">
        <v>104</v>
      </c>
      <c r="E91" s="7" t="s">
        <v>104</v>
      </c>
      <c r="F91" s="7" t="s">
        <v>104</v>
      </c>
      <c r="G91" s="7" t="s">
        <v>104</v>
      </c>
      <c r="H91" s="7" t="s">
        <v>104</v>
      </c>
      <c r="I91" s="7" t="s">
        <v>104</v>
      </c>
      <c r="J91" s="7" t="s">
        <v>104</v>
      </c>
      <c r="K91" s="7" t="s">
        <v>104</v>
      </c>
      <c r="L91" s="7" t="s">
        <v>104</v>
      </c>
      <c r="M91" s="12" t="e">
        <f t="shared" si="6"/>
        <v>#VALUE!</v>
      </c>
      <c r="N91" s="6" t="s">
        <v>104</v>
      </c>
      <c r="X91" s="7" t="s">
        <v>104</v>
      </c>
      <c r="Y91" s="7" t="s">
        <v>104</v>
      </c>
      <c r="Z91" s="7" t="s">
        <v>104</v>
      </c>
      <c r="AA91" s="7" t="s">
        <v>104</v>
      </c>
      <c r="AB91" s="7" t="s">
        <v>104</v>
      </c>
      <c r="AC91" s="7" t="s">
        <v>104</v>
      </c>
      <c r="AD91" s="7" t="s">
        <v>104</v>
      </c>
      <c r="AE91" s="7" t="s">
        <v>104</v>
      </c>
      <c r="AF91" s="7" t="s">
        <v>104</v>
      </c>
      <c r="AG91" s="7" t="s">
        <v>104</v>
      </c>
      <c r="AH91" s="7" t="s">
        <v>104</v>
      </c>
      <c r="AI91" s="7" t="s">
        <v>104</v>
      </c>
      <c r="AJ91" s="13" t="e">
        <f t="shared" si="7"/>
        <v>#VALUE!</v>
      </c>
      <c r="AK91" s="7" t="s">
        <v>104</v>
      </c>
      <c r="AM91" s="7" t="s">
        <v>104</v>
      </c>
      <c r="AN91" s="7" t="s">
        <v>104</v>
      </c>
      <c r="AO91" s="7" t="s">
        <v>104</v>
      </c>
      <c r="AP91" s="7" t="s">
        <v>104</v>
      </c>
      <c r="AQ91" s="7" t="s">
        <v>104</v>
      </c>
      <c r="AR91" s="7" t="s">
        <v>104</v>
      </c>
      <c r="AS91" s="7" t="s">
        <v>104</v>
      </c>
      <c r="AT91" s="7" t="s">
        <v>104</v>
      </c>
      <c r="AU91" s="7" t="s">
        <v>104</v>
      </c>
      <c r="AV91" s="7" t="s">
        <v>104</v>
      </c>
      <c r="AW91" s="7" t="s">
        <v>104</v>
      </c>
      <c r="AX91" s="7" t="s">
        <v>104</v>
      </c>
      <c r="AY91" s="7" t="s">
        <v>104</v>
      </c>
      <c r="AZ91" s="7" t="s">
        <v>104</v>
      </c>
      <c r="BA91" s="7" t="s">
        <v>104</v>
      </c>
      <c r="BB91" s="7" t="s">
        <v>104</v>
      </c>
      <c r="BC91" s="7" t="s">
        <v>104</v>
      </c>
      <c r="BD91" s="7" t="s">
        <v>104</v>
      </c>
      <c r="BE91" s="7" t="s">
        <v>104</v>
      </c>
      <c r="BF91" s="7" t="s">
        <v>104</v>
      </c>
      <c r="BG91" s="7" t="s">
        <v>104</v>
      </c>
      <c r="BH91" s="7" t="s">
        <v>104</v>
      </c>
      <c r="BI91" s="7" t="s">
        <v>104</v>
      </c>
      <c r="BJ91" s="7" t="s">
        <v>104</v>
      </c>
      <c r="BK91" s="7" t="s">
        <v>104</v>
      </c>
      <c r="BL91" s="7" t="s">
        <v>104</v>
      </c>
      <c r="BM91" s="7" t="s">
        <v>104</v>
      </c>
      <c r="BN91" s="7" t="s">
        <v>104</v>
      </c>
      <c r="BO91" s="7" t="s">
        <v>104</v>
      </c>
      <c r="BP91" s="7" t="s">
        <v>104</v>
      </c>
      <c r="BQ91" s="7" t="s">
        <v>104</v>
      </c>
      <c r="BR91" s="7" t="s">
        <v>104</v>
      </c>
      <c r="BS91" s="7" t="s">
        <v>104</v>
      </c>
      <c r="BT91" s="7" t="s">
        <v>104</v>
      </c>
      <c r="BU91" s="7" t="s">
        <v>104</v>
      </c>
      <c r="BV91" s="7" t="s">
        <v>104</v>
      </c>
      <c r="BW91" s="7" t="s">
        <v>104</v>
      </c>
      <c r="BX91" s="7" t="s">
        <v>104</v>
      </c>
      <c r="BY91" s="7" t="s">
        <v>104</v>
      </c>
      <c r="BZ91" s="7" t="s">
        <v>104</v>
      </c>
      <c r="CA91" s="7" t="s">
        <v>104</v>
      </c>
      <c r="CB91" s="7" t="s">
        <v>104</v>
      </c>
      <c r="CC91" s="7" t="s">
        <v>104</v>
      </c>
      <c r="CD91" s="7" t="s">
        <v>104</v>
      </c>
      <c r="CE91" s="7" t="s">
        <v>104</v>
      </c>
      <c r="CF91" s="7" t="s">
        <v>104</v>
      </c>
      <c r="CG91" s="7" t="s">
        <v>104</v>
      </c>
      <c r="CH91" s="7" t="s">
        <v>104</v>
      </c>
      <c r="CI91" s="7" t="s">
        <v>104</v>
      </c>
      <c r="CJ91" s="7" t="s">
        <v>104</v>
      </c>
      <c r="CK91" s="7" t="s">
        <v>104</v>
      </c>
      <c r="CL91" s="7" t="s">
        <v>104</v>
      </c>
      <c r="CM91" s="7" t="s">
        <v>104</v>
      </c>
      <c r="CN91" s="7" t="s">
        <v>104</v>
      </c>
      <c r="CO91" s="7" t="s">
        <v>104</v>
      </c>
      <c r="CP91" s="7" t="s">
        <v>104</v>
      </c>
    </row>
    <row r="92" spans="1:94" ht="14.5" x14ac:dyDescent="0.35">
      <c r="A92" s="5" t="s">
        <v>109</v>
      </c>
      <c r="B92" s="6" t="s">
        <v>104</v>
      </c>
      <c r="C92" s="6" t="s">
        <v>104</v>
      </c>
      <c r="D92" s="6" t="s">
        <v>104</v>
      </c>
      <c r="E92" s="6" t="s">
        <v>104</v>
      </c>
      <c r="F92" s="6" t="s">
        <v>104</v>
      </c>
      <c r="G92" s="6" t="s">
        <v>104</v>
      </c>
      <c r="H92" s="6" t="s">
        <v>104</v>
      </c>
      <c r="I92" s="6" t="s">
        <v>104</v>
      </c>
      <c r="J92" s="6" t="s">
        <v>104</v>
      </c>
      <c r="K92" s="6" t="s">
        <v>104</v>
      </c>
      <c r="L92" s="6" t="s">
        <v>104</v>
      </c>
      <c r="M92" s="12" t="e">
        <f t="shared" si="6"/>
        <v>#VALUE!</v>
      </c>
      <c r="N92" s="6" t="s">
        <v>104</v>
      </c>
      <c r="X92" s="6" t="s">
        <v>104</v>
      </c>
      <c r="Y92" s="6" t="s">
        <v>104</v>
      </c>
      <c r="Z92" s="6" t="s">
        <v>104</v>
      </c>
      <c r="AA92" s="6" t="s">
        <v>104</v>
      </c>
      <c r="AB92" s="6" t="s">
        <v>104</v>
      </c>
      <c r="AC92" s="6" t="s">
        <v>104</v>
      </c>
      <c r="AD92" s="6" t="s">
        <v>104</v>
      </c>
      <c r="AE92" s="6" t="s">
        <v>104</v>
      </c>
      <c r="AF92" s="6" t="s">
        <v>104</v>
      </c>
      <c r="AG92" s="6" t="s">
        <v>104</v>
      </c>
      <c r="AH92" s="6" t="s">
        <v>104</v>
      </c>
      <c r="AI92" s="6" t="s">
        <v>104</v>
      </c>
      <c r="AJ92" s="13" t="e">
        <f t="shared" si="7"/>
        <v>#VALUE!</v>
      </c>
      <c r="AK92" s="6" t="s">
        <v>104</v>
      </c>
      <c r="AM92" s="6" t="s">
        <v>104</v>
      </c>
      <c r="AN92" s="6" t="s">
        <v>104</v>
      </c>
      <c r="AO92" s="6" t="s">
        <v>104</v>
      </c>
      <c r="AP92" s="6" t="s">
        <v>104</v>
      </c>
      <c r="AQ92" s="6" t="s">
        <v>104</v>
      </c>
      <c r="AR92" s="6" t="s">
        <v>104</v>
      </c>
      <c r="AS92" s="6" t="s">
        <v>104</v>
      </c>
      <c r="AT92" s="6" t="s">
        <v>104</v>
      </c>
      <c r="AU92" s="6" t="s">
        <v>104</v>
      </c>
      <c r="AV92" s="6" t="s">
        <v>104</v>
      </c>
      <c r="AW92" s="6" t="s">
        <v>104</v>
      </c>
      <c r="AX92" s="6" t="s">
        <v>104</v>
      </c>
      <c r="AY92" s="6" t="s">
        <v>104</v>
      </c>
      <c r="AZ92" s="6" t="s">
        <v>104</v>
      </c>
      <c r="BA92" s="6" t="s">
        <v>104</v>
      </c>
      <c r="BB92" s="6" t="s">
        <v>104</v>
      </c>
      <c r="BC92" s="6" t="s">
        <v>104</v>
      </c>
      <c r="BD92" s="6" t="s">
        <v>104</v>
      </c>
      <c r="BE92" s="6" t="s">
        <v>104</v>
      </c>
      <c r="BF92" s="6" t="s">
        <v>104</v>
      </c>
      <c r="BG92" s="6" t="s">
        <v>104</v>
      </c>
      <c r="BH92" s="6" t="s">
        <v>104</v>
      </c>
      <c r="BI92" s="6" t="s">
        <v>104</v>
      </c>
      <c r="BJ92" s="6" t="s">
        <v>104</v>
      </c>
      <c r="BK92" s="6" t="s">
        <v>104</v>
      </c>
      <c r="BL92" s="6" t="s">
        <v>104</v>
      </c>
      <c r="BM92" s="6" t="s">
        <v>104</v>
      </c>
      <c r="BN92" s="6" t="s">
        <v>104</v>
      </c>
      <c r="BO92" s="6" t="s">
        <v>104</v>
      </c>
      <c r="BP92" s="6" t="s">
        <v>104</v>
      </c>
      <c r="BQ92" s="6" t="s">
        <v>104</v>
      </c>
      <c r="BR92" s="6" t="s">
        <v>104</v>
      </c>
      <c r="BS92" s="6" t="s">
        <v>104</v>
      </c>
      <c r="BT92" s="6" t="s">
        <v>104</v>
      </c>
      <c r="BU92" s="6" t="s">
        <v>104</v>
      </c>
      <c r="BV92" s="6" t="s">
        <v>104</v>
      </c>
      <c r="BW92" s="6" t="s">
        <v>104</v>
      </c>
      <c r="BX92" s="6" t="s">
        <v>104</v>
      </c>
      <c r="BY92" s="6" t="s">
        <v>104</v>
      </c>
      <c r="BZ92" s="6" t="s">
        <v>104</v>
      </c>
      <c r="CA92" s="6" t="s">
        <v>104</v>
      </c>
      <c r="CB92" s="6" t="s">
        <v>104</v>
      </c>
      <c r="CC92" s="6" t="s">
        <v>104</v>
      </c>
      <c r="CD92" s="6" t="s">
        <v>104</v>
      </c>
      <c r="CE92" s="6" t="s">
        <v>104</v>
      </c>
      <c r="CF92" s="6" t="s">
        <v>104</v>
      </c>
      <c r="CG92" s="6" t="s">
        <v>104</v>
      </c>
      <c r="CH92" s="6" t="s">
        <v>104</v>
      </c>
      <c r="CI92" s="6" t="s">
        <v>104</v>
      </c>
      <c r="CJ92" s="6" t="s">
        <v>104</v>
      </c>
      <c r="CK92" s="6" t="s">
        <v>104</v>
      </c>
      <c r="CL92" s="6" t="s">
        <v>104</v>
      </c>
      <c r="CM92" s="6" t="s">
        <v>104</v>
      </c>
      <c r="CN92" s="6" t="s">
        <v>104</v>
      </c>
      <c r="CO92" s="6" t="s">
        <v>104</v>
      </c>
      <c r="CP92" s="6" t="s">
        <v>104</v>
      </c>
    </row>
    <row r="93" spans="1:94" ht="14.5" x14ac:dyDescent="0.35">
      <c r="A93" s="5" t="s">
        <v>110</v>
      </c>
      <c r="B93" s="7" t="s">
        <v>104</v>
      </c>
      <c r="C93" s="7" t="s">
        <v>104</v>
      </c>
      <c r="D93" s="7" t="s">
        <v>104</v>
      </c>
      <c r="E93" s="7" t="s">
        <v>104</v>
      </c>
      <c r="F93" s="7" t="s">
        <v>104</v>
      </c>
      <c r="G93" s="7" t="s">
        <v>104</v>
      </c>
      <c r="H93" s="7" t="s">
        <v>104</v>
      </c>
      <c r="I93" s="7" t="s">
        <v>104</v>
      </c>
      <c r="J93" s="7" t="s">
        <v>104</v>
      </c>
      <c r="K93" s="7" t="s">
        <v>104</v>
      </c>
      <c r="L93" s="7" t="s">
        <v>104</v>
      </c>
      <c r="M93" s="12" t="e">
        <f t="shared" si="6"/>
        <v>#VALUE!</v>
      </c>
      <c r="N93" s="6" t="s">
        <v>104</v>
      </c>
      <c r="X93" s="7" t="s">
        <v>104</v>
      </c>
      <c r="Y93" s="7" t="s">
        <v>104</v>
      </c>
      <c r="Z93" s="7" t="s">
        <v>104</v>
      </c>
      <c r="AA93" s="7" t="s">
        <v>104</v>
      </c>
      <c r="AB93" s="7" t="s">
        <v>104</v>
      </c>
      <c r="AC93" s="7" t="s">
        <v>104</v>
      </c>
      <c r="AD93" s="7" t="s">
        <v>104</v>
      </c>
      <c r="AE93" s="7" t="s">
        <v>104</v>
      </c>
      <c r="AF93" s="7" t="s">
        <v>104</v>
      </c>
      <c r="AG93" s="7" t="s">
        <v>104</v>
      </c>
      <c r="AH93" s="7" t="s">
        <v>104</v>
      </c>
      <c r="AI93" s="7" t="s">
        <v>104</v>
      </c>
      <c r="AJ93" s="13" t="e">
        <f t="shared" si="7"/>
        <v>#VALUE!</v>
      </c>
      <c r="AK93" s="7" t="s">
        <v>104</v>
      </c>
      <c r="AM93" s="7" t="s">
        <v>104</v>
      </c>
      <c r="AN93" s="7" t="s">
        <v>104</v>
      </c>
      <c r="AO93" s="7" t="s">
        <v>104</v>
      </c>
      <c r="AP93" s="7" t="s">
        <v>104</v>
      </c>
      <c r="AQ93" s="7" t="s">
        <v>104</v>
      </c>
      <c r="AR93" s="7" t="s">
        <v>104</v>
      </c>
      <c r="AS93" s="7" t="s">
        <v>104</v>
      </c>
      <c r="AT93" s="7" t="s">
        <v>104</v>
      </c>
      <c r="AU93" s="7" t="s">
        <v>104</v>
      </c>
      <c r="AV93" s="7" t="s">
        <v>104</v>
      </c>
      <c r="AW93" s="7" t="s">
        <v>104</v>
      </c>
      <c r="AX93" s="7" t="s">
        <v>104</v>
      </c>
      <c r="AY93" s="7" t="s">
        <v>104</v>
      </c>
      <c r="AZ93" s="7" t="s">
        <v>104</v>
      </c>
      <c r="BA93" s="7" t="s">
        <v>104</v>
      </c>
      <c r="BB93" s="7" t="s">
        <v>104</v>
      </c>
      <c r="BC93" s="7" t="s">
        <v>104</v>
      </c>
      <c r="BD93" s="7" t="s">
        <v>104</v>
      </c>
      <c r="BE93" s="7" t="s">
        <v>104</v>
      </c>
      <c r="BF93" s="7" t="s">
        <v>104</v>
      </c>
      <c r="BG93" s="7" t="s">
        <v>104</v>
      </c>
      <c r="BH93" s="7" t="s">
        <v>104</v>
      </c>
      <c r="BI93" s="7" t="s">
        <v>104</v>
      </c>
      <c r="BJ93" s="7" t="s">
        <v>104</v>
      </c>
      <c r="BK93" s="7" t="s">
        <v>104</v>
      </c>
      <c r="BL93" s="7" t="s">
        <v>104</v>
      </c>
      <c r="BM93" s="7" t="s">
        <v>104</v>
      </c>
      <c r="BN93" s="7" t="s">
        <v>104</v>
      </c>
      <c r="BO93" s="7" t="s">
        <v>104</v>
      </c>
      <c r="BP93" s="7" t="s">
        <v>104</v>
      </c>
      <c r="BQ93" s="7" t="s">
        <v>104</v>
      </c>
      <c r="BR93" s="7" t="s">
        <v>104</v>
      </c>
      <c r="BS93" s="7" t="s">
        <v>104</v>
      </c>
      <c r="BT93" s="7" t="s">
        <v>104</v>
      </c>
      <c r="BU93" s="7" t="s">
        <v>104</v>
      </c>
      <c r="BV93" s="7" t="s">
        <v>104</v>
      </c>
      <c r="BW93" s="7" t="s">
        <v>104</v>
      </c>
      <c r="BX93" s="7" t="s">
        <v>104</v>
      </c>
      <c r="BY93" s="7" t="s">
        <v>104</v>
      </c>
      <c r="BZ93" s="7" t="s">
        <v>104</v>
      </c>
      <c r="CA93" s="7" t="s">
        <v>104</v>
      </c>
      <c r="CB93" s="7" t="s">
        <v>104</v>
      </c>
      <c r="CC93" s="7" t="s">
        <v>104</v>
      </c>
      <c r="CD93" s="7" t="s">
        <v>104</v>
      </c>
      <c r="CE93" s="7" t="s">
        <v>104</v>
      </c>
      <c r="CF93" s="7" t="s">
        <v>104</v>
      </c>
      <c r="CG93" s="7" t="s">
        <v>104</v>
      </c>
      <c r="CH93" s="7" t="s">
        <v>104</v>
      </c>
      <c r="CI93" s="7" t="s">
        <v>104</v>
      </c>
      <c r="CJ93" s="7" t="s">
        <v>104</v>
      </c>
      <c r="CK93" s="7" t="s">
        <v>104</v>
      </c>
      <c r="CL93" s="7" t="s">
        <v>104</v>
      </c>
      <c r="CM93" s="7" t="s">
        <v>104</v>
      </c>
      <c r="CN93" s="7" t="s">
        <v>104</v>
      </c>
      <c r="CO93" s="7" t="s">
        <v>104</v>
      </c>
      <c r="CP93" s="7" t="s">
        <v>104</v>
      </c>
    </row>
    <row r="94" spans="1:94" ht="14.5" x14ac:dyDescent="0.35">
      <c r="A94" s="5" t="s">
        <v>111</v>
      </c>
      <c r="B94" s="6" t="s">
        <v>104</v>
      </c>
      <c r="C94" s="6" t="s">
        <v>104</v>
      </c>
      <c r="D94" s="6" t="s">
        <v>104</v>
      </c>
      <c r="E94" s="6" t="s">
        <v>104</v>
      </c>
      <c r="F94" s="6" t="s">
        <v>104</v>
      </c>
      <c r="G94" s="6" t="s">
        <v>104</v>
      </c>
      <c r="H94" s="6" t="s">
        <v>104</v>
      </c>
      <c r="I94" s="6" t="s">
        <v>104</v>
      </c>
      <c r="J94" s="6" t="s">
        <v>104</v>
      </c>
      <c r="K94" s="6" t="s">
        <v>104</v>
      </c>
      <c r="L94" s="6" t="s">
        <v>104</v>
      </c>
      <c r="M94" s="12" t="e">
        <f t="shared" si="6"/>
        <v>#VALUE!</v>
      </c>
      <c r="N94" s="6" t="s">
        <v>104</v>
      </c>
      <c r="X94" s="6" t="s">
        <v>104</v>
      </c>
      <c r="Y94" s="6" t="s">
        <v>104</v>
      </c>
      <c r="Z94" s="6" t="s">
        <v>104</v>
      </c>
      <c r="AA94" s="6" t="s">
        <v>104</v>
      </c>
      <c r="AB94" s="6" t="s">
        <v>104</v>
      </c>
      <c r="AC94" s="6" t="s">
        <v>104</v>
      </c>
      <c r="AD94" s="6" t="s">
        <v>104</v>
      </c>
      <c r="AE94" s="6" t="s">
        <v>104</v>
      </c>
      <c r="AF94" s="6" t="s">
        <v>104</v>
      </c>
      <c r="AG94" s="6" t="s">
        <v>104</v>
      </c>
      <c r="AH94" s="6" t="s">
        <v>104</v>
      </c>
      <c r="AI94" s="6" t="s">
        <v>104</v>
      </c>
      <c r="AJ94" s="13" t="e">
        <f t="shared" si="7"/>
        <v>#VALUE!</v>
      </c>
      <c r="AK94" s="6" t="s">
        <v>104</v>
      </c>
      <c r="AM94" s="6" t="s">
        <v>104</v>
      </c>
      <c r="AN94" s="6" t="s">
        <v>104</v>
      </c>
      <c r="AO94" s="6" t="s">
        <v>104</v>
      </c>
      <c r="AP94" s="6" t="s">
        <v>104</v>
      </c>
      <c r="AQ94" s="6" t="s">
        <v>104</v>
      </c>
      <c r="AR94" s="6" t="s">
        <v>104</v>
      </c>
      <c r="AS94" s="6" t="s">
        <v>104</v>
      </c>
      <c r="AT94" s="6" t="s">
        <v>104</v>
      </c>
      <c r="AU94" s="6" t="s">
        <v>104</v>
      </c>
      <c r="AV94" s="6" t="s">
        <v>104</v>
      </c>
      <c r="AW94" s="6" t="s">
        <v>104</v>
      </c>
      <c r="AX94" s="6" t="s">
        <v>104</v>
      </c>
      <c r="AY94" s="6" t="s">
        <v>104</v>
      </c>
      <c r="AZ94" s="6" t="s">
        <v>104</v>
      </c>
      <c r="BA94" s="6" t="s">
        <v>104</v>
      </c>
      <c r="BB94" s="6" t="s">
        <v>104</v>
      </c>
      <c r="BC94" s="6" t="s">
        <v>104</v>
      </c>
      <c r="BD94" s="6" t="s">
        <v>104</v>
      </c>
      <c r="BE94" s="6" t="s">
        <v>104</v>
      </c>
      <c r="BF94" s="6" t="s">
        <v>104</v>
      </c>
      <c r="BG94" s="6" t="s">
        <v>104</v>
      </c>
      <c r="BH94" s="6" t="s">
        <v>104</v>
      </c>
      <c r="BI94" s="6" t="s">
        <v>104</v>
      </c>
      <c r="BJ94" s="6" t="s">
        <v>104</v>
      </c>
      <c r="BK94" s="6" t="s">
        <v>104</v>
      </c>
      <c r="BL94" s="6" t="s">
        <v>104</v>
      </c>
      <c r="BM94" s="6" t="s">
        <v>104</v>
      </c>
      <c r="BN94" s="6" t="s">
        <v>104</v>
      </c>
      <c r="BO94" s="6" t="s">
        <v>104</v>
      </c>
      <c r="BP94" s="6" t="s">
        <v>104</v>
      </c>
      <c r="BQ94" s="6" t="s">
        <v>104</v>
      </c>
      <c r="BR94" s="6" t="s">
        <v>104</v>
      </c>
      <c r="BS94" s="6" t="s">
        <v>104</v>
      </c>
      <c r="BT94" s="6" t="s">
        <v>104</v>
      </c>
      <c r="BU94" s="6" t="s">
        <v>104</v>
      </c>
      <c r="BV94" s="6" t="s">
        <v>104</v>
      </c>
      <c r="BW94" s="6" t="s">
        <v>104</v>
      </c>
      <c r="BX94" s="6" t="s">
        <v>104</v>
      </c>
      <c r="BY94" s="6" t="s">
        <v>104</v>
      </c>
      <c r="BZ94" s="6" t="s">
        <v>104</v>
      </c>
      <c r="CA94" s="6" t="s">
        <v>104</v>
      </c>
      <c r="CB94" s="6" t="s">
        <v>104</v>
      </c>
      <c r="CC94" s="6" t="s">
        <v>104</v>
      </c>
      <c r="CD94" s="6" t="s">
        <v>104</v>
      </c>
      <c r="CE94" s="6" t="s">
        <v>104</v>
      </c>
      <c r="CF94" s="6" t="s">
        <v>104</v>
      </c>
      <c r="CG94" s="6" t="s">
        <v>104</v>
      </c>
      <c r="CH94" s="6" t="s">
        <v>104</v>
      </c>
      <c r="CI94" s="6" t="s">
        <v>104</v>
      </c>
      <c r="CJ94" s="6" t="s">
        <v>104</v>
      </c>
      <c r="CK94" s="6" t="s">
        <v>104</v>
      </c>
      <c r="CL94" s="6" t="s">
        <v>104</v>
      </c>
      <c r="CM94" s="6" t="s">
        <v>104</v>
      </c>
      <c r="CN94" s="6" t="s">
        <v>104</v>
      </c>
      <c r="CO94" s="6" t="s">
        <v>104</v>
      </c>
      <c r="CP94" s="6" t="s">
        <v>104</v>
      </c>
    </row>
    <row r="95" spans="1:94" ht="14.5" x14ac:dyDescent="0.35">
      <c r="A95" s="5" t="s">
        <v>112</v>
      </c>
      <c r="B95" s="7" t="s">
        <v>104</v>
      </c>
      <c r="C95" s="7" t="s">
        <v>104</v>
      </c>
      <c r="D95" s="7" t="s">
        <v>104</v>
      </c>
      <c r="E95" s="7" t="s">
        <v>104</v>
      </c>
      <c r="F95" s="7" t="s">
        <v>104</v>
      </c>
      <c r="G95" s="7" t="s">
        <v>104</v>
      </c>
      <c r="H95" s="7" t="s">
        <v>104</v>
      </c>
      <c r="I95" s="7" t="s">
        <v>104</v>
      </c>
      <c r="J95" s="7" t="s">
        <v>104</v>
      </c>
      <c r="K95" s="7" t="s">
        <v>104</v>
      </c>
      <c r="L95" s="7" t="s">
        <v>104</v>
      </c>
      <c r="M95" s="12" t="e">
        <f t="shared" si="6"/>
        <v>#VALUE!</v>
      </c>
      <c r="N95" s="6" t="s">
        <v>104</v>
      </c>
      <c r="X95" s="7" t="s">
        <v>104</v>
      </c>
      <c r="Y95" s="7" t="s">
        <v>104</v>
      </c>
      <c r="Z95" s="7" t="s">
        <v>104</v>
      </c>
      <c r="AA95" s="7" t="s">
        <v>104</v>
      </c>
      <c r="AB95" s="7" t="s">
        <v>104</v>
      </c>
      <c r="AC95" s="7" t="s">
        <v>104</v>
      </c>
      <c r="AD95" s="7" t="s">
        <v>104</v>
      </c>
      <c r="AE95" s="7" t="s">
        <v>104</v>
      </c>
      <c r="AF95" s="7" t="s">
        <v>104</v>
      </c>
      <c r="AG95" s="7" t="s">
        <v>104</v>
      </c>
      <c r="AH95" s="7" t="s">
        <v>104</v>
      </c>
      <c r="AI95" s="7" t="s">
        <v>104</v>
      </c>
      <c r="AJ95" s="13" t="e">
        <f t="shared" si="7"/>
        <v>#VALUE!</v>
      </c>
      <c r="AK95" s="7" t="s">
        <v>104</v>
      </c>
      <c r="AM95" s="7" t="s">
        <v>104</v>
      </c>
      <c r="AN95" s="7" t="s">
        <v>104</v>
      </c>
      <c r="AO95" s="7" t="s">
        <v>104</v>
      </c>
      <c r="AP95" s="7" t="s">
        <v>104</v>
      </c>
      <c r="AQ95" s="7" t="s">
        <v>104</v>
      </c>
      <c r="AR95" s="7" t="s">
        <v>104</v>
      </c>
      <c r="AS95" s="7" t="s">
        <v>104</v>
      </c>
      <c r="AT95" s="7" t="s">
        <v>104</v>
      </c>
      <c r="AU95" s="7" t="s">
        <v>104</v>
      </c>
      <c r="AV95" s="7" t="s">
        <v>104</v>
      </c>
      <c r="AW95" s="7" t="s">
        <v>104</v>
      </c>
      <c r="AX95" s="7" t="s">
        <v>104</v>
      </c>
      <c r="AY95" s="7" t="s">
        <v>104</v>
      </c>
      <c r="AZ95" s="7" t="s">
        <v>104</v>
      </c>
      <c r="BA95" s="7" t="s">
        <v>104</v>
      </c>
      <c r="BB95" s="7" t="s">
        <v>104</v>
      </c>
      <c r="BC95" s="7" t="s">
        <v>104</v>
      </c>
      <c r="BD95" s="7" t="s">
        <v>104</v>
      </c>
      <c r="BE95" s="7" t="s">
        <v>104</v>
      </c>
      <c r="BF95" s="7" t="s">
        <v>104</v>
      </c>
      <c r="BG95" s="7" t="s">
        <v>104</v>
      </c>
      <c r="BH95" s="7" t="s">
        <v>104</v>
      </c>
      <c r="BI95" s="7" t="s">
        <v>104</v>
      </c>
      <c r="BJ95" s="7" t="s">
        <v>104</v>
      </c>
      <c r="BK95" s="7" t="s">
        <v>104</v>
      </c>
      <c r="BL95" s="7" t="s">
        <v>104</v>
      </c>
      <c r="BM95" s="7" t="s">
        <v>104</v>
      </c>
      <c r="BN95" s="7" t="s">
        <v>104</v>
      </c>
      <c r="BO95" s="7" t="s">
        <v>104</v>
      </c>
      <c r="BP95" s="7" t="s">
        <v>104</v>
      </c>
      <c r="BQ95" s="7" t="s">
        <v>104</v>
      </c>
      <c r="BR95" s="7" t="s">
        <v>104</v>
      </c>
      <c r="BS95" s="7" t="s">
        <v>104</v>
      </c>
      <c r="BT95" s="7" t="s">
        <v>104</v>
      </c>
      <c r="BU95" s="7" t="s">
        <v>104</v>
      </c>
      <c r="BV95" s="7" t="s">
        <v>104</v>
      </c>
      <c r="BW95" s="7" t="s">
        <v>104</v>
      </c>
      <c r="BX95" s="7" t="s">
        <v>104</v>
      </c>
      <c r="BY95" s="7" t="s">
        <v>104</v>
      </c>
      <c r="BZ95" s="7" t="s">
        <v>104</v>
      </c>
      <c r="CA95" s="7" t="s">
        <v>104</v>
      </c>
      <c r="CB95" s="7" t="s">
        <v>104</v>
      </c>
      <c r="CC95" s="7" t="s">
        <v>104</v>
      </c>
      <c r="CD95" s="7" t="s">
        <v>104</v>
      </c>
      <c r="CE95" s="7" t="s">
        <v>104</v>
      </c>
      <c r="CF95" s="7" t="s">
        <v>104</v>
      </c>
      <c r="CG95" s="7" t="s">
        <v>104</v>
      </c>
      <c r="CH95" s="7" t="s">
        <v>104</v>
      </c>
      <c r="CI95" s="7" t="s">
        <v>104</v>
      </c>
      <c r="CJ95" s="7" t="s">
        <v>104</v>
      </c>
      <c r="CK95" s="7" t="s">
        <v>104</v>
      </c>
      <c r="CL95" s="7" t="s">
        <v>104</v>
      </c>
      <c r="CM95" s="7" t="s">
        <v>104</v>
      </c>
      <c r="CN95" s="7" t="s">
        <v>104</v>
      </c>
      <c r="CO95" s="7" t="s">
        <v>104</v>
      </c>
      <c r="CP95" s="7" t="s">
        <v>104</v>
      </c>
    </row>
    <row r="96" spans="1:94" ht="14.5" x14ac:dyDescent="0.35">
      <c r="A96" s="5" t="s">
        <v>113</v>
      </c>
      <c r="B96" s="6" t="s">
        <v>104</v>
      </c>
      <c r="C96" s="6" t="s">
        <v>104</v>
      </c>
      <c r="D96" s="6" t="s">
        <v>104</v>
      </c>
      <c r="E96" s="6" t="s">
        <v>104</v>
      </c>
      <c r="F96" s="6" t="s">
        <v>104</v>
      </c>
      <c r="G96" s="6" t="s">
        <v>104</v>
      </c>
      <c r="H96" s="6" t="s">
        <v>104</v>
      </c>
      <c r="I96" s="6" t="s">
        <v>104</v>
      </c>
      <c r="J96" s="6" t="s">
        <v>104</v>
      </c>
      <c r="K96" s="6" t="s">
        <v>104</v>
      </c>
      <c r="L96" s="6" t="s">
        <v>104</v>
      </c>
      <c r="M96" s="12" t="e">
        <f t="shared" si="6"/>
        <v>#VALUE!</v>
      </c>
      <c r="N96" s="6" t="s">
        <v>104</v>
      </c>
      <c r="X96" s="6" t="s">
        <v>104</v>
      </c>
      <c r="Y96" s="6" t="s">
        <v>104</v>
      </c>
      <c r="Z96" s="6" t="s">
        <v>104</v>
      </c>
      <c r="AA96" s="6" t="s">
        <v>104</v>
      </c>
      <c r="AB96" s="6" t="s">
        <v>104</v>
      </c>
      <c r="AC96" s="6" t="s">
        <v>104</v>
      </c>
      <c r="AD96" s="6" t="s">
        <v>104</v>
      </c>
      <c r="AE96" s="6" t="s">
        <v>104</v>
      </c>
      <c r="AF96" s="6" t="s">
        <v>104</v>
      </c>
      <c r="AG96" s="6" t="s">
        <v>104</v>
      </c>
      <c r="AH96" s="6" t="s">
        <v>104</v>
      </c>
      <c r="AI96" s="6" t="s">
        <v>104</v>
      </c>
      <c r="AJ96" s="13" t="e">
        <f t="shared" si="7"/>
        <v>#VALUE!</v>
      </c>
      <c r="AK96" s="6" t="s">
        <v>104</v>
      </c>
      <c r="AM96" s="6" t="s">
        <v>104</v>
      </c>
      <c r="AN96" s="6" t="s">
        <v>104</v>
      </c>
      <c r="AO96" s="6" t="s">
        <v>104</v>
      </c>
      <c r="AP96" s="6" t="s">
        <v>104</v>
      </c>
      <c r="AQ96" s="6" t="s">
        <v>104</v>
      </c>
      <c r="AR96" s="6" t="s">
        <v>104</v>
      </c>
      <c r="AS96" s="6" t="s">
        <v>104</v>
      </c>
      <c r="AT96" s="6" t="s">
        <v>104</v>
      </c>
      <c r="AU96" s="6" t="s">
        <v>104</v>
      </c>
      <c r="AV96" s="6" t="s">
        <v>104</v>
      </c>
      <c r="AW96" s="6" t="s">
        <v>104</v>
      </c>
      <c r="AX96" s="6" t="s">
        <v>104</v>
      </c>
      <c r="AY96" s="6" t="s">
        <v>104</v>
      </c>
      <c r="AZ96" s="6" t="s">
        <v>104</v>
      </c>
      <c r="BA96" s="6" t="s">
        <v>104</v>
      </c>
      <c r="BB96" s="6" t="s">
        <v>104</v>
      </c>
      <c r="BC96" s="6" t="s">
        <v>104</v>
      </c>
      <c r="BD96" s="6" t="s">
        <v>104</v>
      </c>
      <c r="BE96" s="6" t="s">
        <v>104</v>
      </c>
      <c r="BF96" s="6" t="s">
        <v>104</v>
      </c>
      <c r="BG96" s="6" t="s">
        <v>104</v>
      </c>
      <c r="BH96" s="6" t="s">
        <v>104</v>
      </c>
      <c r="BI96" s="6" t="s">
        <v>104</v>
      </c>
      <c r="BJ96" s="6" t="s">
        <v>104</v>
      </c>
      <c r="BK96" s="6" t="s">
        <v>104</v>
      </c>
      <c r="BL96" s="6" t="s">
        <v>104</v>
      </c>
      <c r="BM96" s="6" t="s">
        <v>104</v>
      </c>
      <c r="BN96" s="6" t="s">
        <v>104</v>
      </c>
      <c r="BO96" s="6" t="s">
        <v>104</v>
      </c>
      <c r="BP96" s="6" t="s">
        <v>104</v>
      </c>
      <c r="BQ96" s="6" t="s">
        <v>104</v>
      </c>
      <c r="BR96" s="6" t="s">
        <v>104</v>
      </c>
      <c r="BS96" s="6" t="s">
        <v>104</v>
      </c>
      <c r="BT96" s="6" t="s">
        <v>104</v>
      </c>
      <c r="BU96" s="6" t="s">
        <v>104</v>
      </c>
      <c r="BV96" s="6" t="s">
        <v>104</v>
      </c>
      <c r="BW96" s="6" t="s">
        <v>104</v>
      </c>
      <c r="BX96" s="6" t="s">
        <v>104</v>
      </c>
      <c r="BY96" s="6" t="s">
        <v>104</v>
      </c>
      <c r="BZ96" s="6" t="s">
        <v>104</v>
      </c>
      <c r="CA96" s="6" t="s">
        <v>104</v>
      </c>
      <c r="CB96" s="6" t="s">
        <v>104</v>
      </c>
      <c r="CC96" s="6" t="s">
        <v>104</v>
      </c>
      <c r="CD96" s="6" t="s">
        <v>104</v>
      </c>
      <c r="CE96" s="6" t="s">
        <v>104</v>
      </c>
      <c r="CF96" s="6" t="s">
        <v>104</v>
      </c>
      <c r="CG96" s="6" t="s">
        <v>104</v>
      </c>
      <c r="CH96" s="6" t="s">
        <v>104</v>
      </c>
      <c r="CI96" s="6" t="s">
        <v>104</v>
      </c>
      <c r="CJ96" s="6" t="s">
        <v>104</v>
      </c>
      <c r="CK96" s="6" t="s">
        <v>104</v>
      </c>
      <c r="CL96" s="6" t="s">
        <v>104</v>
      </c>
      <c r="CM96" s="6" t="s">
        <v>104</v>
      </c>
      <c r="CN96" s="6" t="s">
        <v>104</v>
      </c>
      <c r="CO96" s="6" t="s">
        <v>104</v>
      </c>
      <c r="CP96" s="6" t="s">
        <v>104</v>
      </c>
    </row>
    <row r="97" spans="1:94" ht="14.5" x14ac:dyDescent="0.35">
      <c r="A97" s="5" t="s">
        <v>114</v>
      </c>
      <c r="B97" s="7" t="s">
        <v>104</v>
      </c>
      <c r="C97" s="7" t="s">
        <v>104</v>
      </c>
      <c r="D97" s="7" t="s">
        <v>104</v>
      </c>
      <c r="E97" s="7" t="s">
        <v>104</v>
      </c>
      <c r="F97" s="7" t="s">
        <v>104</v>
      </c>
      <c r="G97" s="7" t="s">
        <v>104</v>
      </c>
      <c r="H97" s="7" t="s">
        <v>104</v>
      </c>
      <c r="I97" s="7" t="s">
        <v>104</v>
      </c>
      <c r="J97" s="7" t="s">
        <v>104</v>
      </c>
      <c r="K97" s="7" t="s">
        <v>104</v>
      </c>
      <c r="L97" s="7" t="s">
        <v>104</v>
      </c>
      <c r="M97" s="12" t="e">
        <f t="shared" si="6"/>
        <v>#VALUE!</v>
      </c>
      <c r="N97" s="6" t="s">
        <v>104</v>
      </c>
      <c r="X97" s="7" t="s">
        <v>104</v>
      </c>
      <c r="Y97" s="7" t="s">
        <v>104</v>
      </c>
      <c r="Z97" s="7" t="s">
        <v>104</v>
      </c>
      <c r="AA97" s="7" t="s">
        <v>104</v>
      </c>
      <c r="AB97" s="7" t="s">
        <v>104</v>
      </c>
      <c r="AC97" s="7" t="s">
        <v>104</v>
      </c>
      <c r="AD97" s="7" t="s">
        <v>104</v>
      </c>
      <c r="AE97" s="7" t="s">
        <v>104</v>
      </c>
      <c r="AF97" s="7" t="s">
        <v>104</v>
      </c>
      <c r="AG97" s="7" t="s">
        <v>104</v>
      </c>
      <c r="AH97" s="7" t="s">
        <v>104</v>
      </c>
      <c r="AI97" s="7" t="s">
        <v>104</v>
      </c>
      <c r="AJ97" s="13" t="e">
        <f t="shared" si="7"/>
        <v>#VALUE!</v>
      </c>
      <c r="AK97" s="7" t="s">
        <v>104</v>
      </c>
      <c r="AM97" s="7" t="s">
        <v>104</v>
      </c>
      <c r="AN97" s="7" t="s">
        <v>104</v>
      </c>
      <c r="AO97" s="7" t="s">
        <v>104</v>
      </c>
      <c r="AP97" s="7" t="s">
        <v>104</v>
      </c>
      <c r="AQ97" s="7" t="s">
        <v>104</v>
      </c>
      <c r="AR97" s="7" t="s">
        <v>104</v>
      </c>
      <c r="AS97" s="7" t="s">
        <v>104</v>
      </c>
      <c r="AT97" s="7" t="s">
        <v>104</v>
      </c>
      <c r="AU97" s="7" t="s">
        <v>104</v>
      </c>
      <c r="AV97" s="7" t="s">
        <v>104</v>
      </c>
      <c r="AW97" s="7" t="s">
        <v>104</v>
      </c>
      <c r="AX97" s="7" t="s">
        <v>104</v>
      </c>
      <c r="AY97" s="7" t="s">
        <v>104</v>
      </c>
      <c r="AZ97" s="7" t="s">
        <v>104</v>
      </c>
      <c r="BA97" s="7" t="s">
        <v>104</v>
      </c>
      <c r="BB97" s="7" t="s">
        <v>104</v>
      </c>
      <c r="BC97" s="7" t="s">
        <v>104</v>
      </c>
      <c r="BD97" s="7" t="s">
        <v>104</v>
      </c>
      <c r="BE97" s="7" t="s">
        <v>104</v>
      </c>
      <c r="BF97" s="7" t="s">
        <v>104</v>
      </c>
      <c r="BG97" s="7" t="s">
        <v>104</v>
      </c>
      <c r="BH97" s="7" t="s">
        <v>104</v>
      </c>
      <c r="BI97" s="7" t="s">
        <v>104</v>
      </c>
      <c r="BJ97" s="7" t="s">
        <v>104</v>
      </c>
      <c r="BK97" s="7" t="s">
        <v>104</v>
      </c>
      <c r="BL97" s="7" t="s">
        <v>104</v>
      </c>
      <c r="BM97" s="7" t="s">
        <v>104</v>
      </c>
      <c r="BN97" s="7" t="s">
        <v>104</v>
      </c>
      <c r="BO97" s="7" t="s">
        <v>104</v>
      </c>
      <c r="BP97" s="7" t="s">
        <v>104</v>
      </c>
      <c r="BQ97" s="7" t="s">
        <v>104</v>
      </c>
      <c r="BR97" s="7" t="s">
        <v>104</v>
      </c>
      <c r="BS97" s="7" t="s">
        <v>104</v>
      </c>
      <c r="BT97" s="7" t="s">
        <v>104</v>
      </c>
      <c r="BU97" s="7" t="s">
        <v>104</v>
      </c>
      <c r="BV97" s="7" t="s">
        <v>104</v>
      </c>
      <c r="BW97" s="7" t="s">
        <v>104</v>
      </c>
      <c r="BX97" s="7" t="s">
        <v>104</v>
      </c>
      <c r="BY97" s="7" t="s">
        <v>104</v>
      </c>
      <c r="BZ97" s="7" t="s">
        <v>104</v>
      </c>
      <c r="CA97" s="7" t="s">
        <v>104</v>
      </c>
      <c r="CB97" s="7" t="s">
        <v>104</v>
      </c>
      <c r="CC97" s="7" t="s">
        <v>104</v>
      </c>
      <c r="CD97" s="7" t="s">
        <v>104</v>
      </c>
      <c r="CE97" s="7" t="s">
        <v>104</v>
      </c>
      <c r="CF97" s="7" t="s">
        <v>104</v>
      </c>
      <c r="CG97" s="7" t="s">
        <v>104</v>
      </c>
      <c r="CH97" s="7" t="s">
        <v>104</v>
      </c>
      <c r="CI97" s="7" t="s">
        <v>104</v>
      </c>
      <c r="CJ97" s="7" t="s">
        <v>104</v>
      </c>
      <c r="CK97" s="7" t="s">
        <v>104</v>
      </c>
      <c r="CL97" s="7" t="s">
        <v>104</v>
      </c>
      <c r="CM97" s="7" t="s">
        <v>104</v>
      </c>
      <c r="CN97" s="7" t="s">
        <v>104</v>
      </c>
      <c r="CO97" s="7" t="s">
        <v>104</v>
      </c>
      <c r="CP97" s="7" t="s">
        <v>104</v>
      </c>
    </row>
    <row r="98" spans="1:94" ht="14.5" x14ac:dyDescent="0.35">
      <c r="A98" s="5" t="s">
        <v>115</v>
      </c>
      <c r="B98" s="6" t="s">
        <v>104</v>
      </c>
      <c r="C98" s="6" t="s">
        <v>104</v>
      </c>
      <c r="D98" s="6" t="s">
        <v>104</v>
      </c>
      <c r="E98" s="6" t="s">
        <v>104</v>
      </c>
      <c r="F98" s="6" t="s">
        <v>104</v>
      </c>
      <c r="G98" s="6" t="s">
        <v>104</v>
      </c>
      <c r="H98" s="6" t="s">
        <v>104</v>
      </c>
      <c r="I98" s="6" t="s">
        <v>104</v>
      </c>
      <c r="J98" s="6" t="s">
        <v>104</v>
      </c>
      <c r="K98" s="6" t="s">
        <v>104</v>
      </c>
      <c r="L98" s="6" t="s">
        <v>104</v>
      </c>
      <c r="M98" s="12" t="e">
        <f t="shared" si="6"/>
        <v>#VALUE!</v>
      </c>
      <c r="N98" s="6" t="s">
        <v>104</v>
      </c>
      <c r="X98" s="6" t="s">
        <v>104</v>
      </c>
      <c r="Y98" s="6" t="s">
        <v>104</v>
      </c>
      <c r="Z98" s="6" t="s">
        <v>104</v>
      </c>
      <c r="AA98" s="6" t="s">
        <v>104</v>
      </c>
      <c r="AB98" s="6" t="s">
        <v>104</v>
      </c>
      <c r="AC98" s="6" t="s">
        <v>104</v>
      </c>
      <c r="AD98" s="6" t="s">
        <v>104</v>
      </c>
      <c r="AE98" s="6" t="s">
        <v>104</v>
      </c>
      <c r="AF98" s="6" t="s">
        <v>104</v>
      </c>
      <c r="AG98" s="6" t="s">
        <v>104</v>
      </c>
      <c r="AH98" s="6" t="s">
        <v>104</v>
      </c>
      <c r="AI98" s="6" t="s">
        <v>104</v>
      </c>
      <c r="AJ98" s="13" t="e">
        <f t="shared" si="7"/>
        <v>#VALUE!</v>
      </c>
      <c r="AK98" s="6" t="s">
        <v>104</v>
      </c>
      <c r="AM98" s="6" t="s">
        <v>104</v>
      </c>
      <c r="AN98" s="6" t="s">
        <v>104</v>
      </c>
      <c r="AO98" s="6" t="s">
        <v>104</v>
      </c>
      <c r="AP98" s="6" t="s">
        <v>104</v>
      </c>
      <c r="AQ98" s="6" t="s">
        <v>104</v>
      </c>
      <c r="AR98" s="6" t="s">
        <v>104</v>
      </c>
      <c r="AS98" s="6" t="s">
        <v>104</v>
      </c>
      <c r="AT98" s="6" t="s">
        <v>104</v>
      </c>
      <c r="AU98" s="6" t="s">
        <v>104</v>
      </c>
      <c r="AV98" s="6" t="s">
        <v>104</v>
      </c>
      <c r="AW98" s="6" t="s">
        <v>104</v>
      </c>
      <c r="AX98" s="6" t="s">
        <v>104</v>
      </c>
      <c r="AY98" s="6" t="s">
        <v>104</v>
      </c>
      <c r="AZ98" s="6" t="s">
        <v>104</v>
      </c>
      <c r="BA98" s="6" t="s">
        <v>104</v>
      </c>
      <c r="BB98" s="6" t="s">
        <v>104</v>
      </c>
      <c r="BC98" s="6" t="s">
        <v>104</v>
      </c>
      <c r="BD98" s="6" t="s">
        <v>104</v>
      </c>
      <c r="BE98" s="6" t="s">
        <v>104</v>
      </c>
      <c r="BF98" s="6" t="s">
        <v>104</v>
      </c>
      <c r="BG98" s="6" t="s">
        <v>104</v>
      </c>
      <c r="BH98" s="6" t="s">
        <v>104</v>
      </c>
      <c r="BI98" s="6" t="s">
        <v>104</v>
      </c>
      <c r="BJ98" s="6" t="s">
        <v>104</v>
      </c>
      <c r="BK98" s="6" t="s">
        <v>104</v>
      </c>
      <c r="BL98" s="6" t="s">
        <v>104</v>
      </c>
      <c r="BM98" s="6" t="s">
        <v>104</v>
      </c>
      <c r="BN98" s="6" t="s">
        <v>104</v>
      </c>
      <c r="BO98" s="6" t="s">
        <v>104</v>
      </c>
      <c r="BP98" s="6" t="s">
        <v>104</v>
      </c>
      <c r="BQ98" s="6" t="s">
        <v>104</v>
      </c>
      <c r="BR98" s="6" t="s">
        <v>104</v>
      </c>
      <c r="BS98" s="6" t="s">
        <v>104</v>
      </c>
      <c r="BT98" s="6" t="s">
        <v>104</v>
      </c>
      <c r="BU98" s="6" t="s">
        <v>104</v>
      </c>
      <c r="BV98" s="6" t="s">
        <v>104</v>
      </c>
      <c r="BW98" s="6" t="s">
        <v>104</v>
      </c>
      <c r="BX98" s="6" t="s">
        <v>104</v>
      </c>
      <c r="BY98" s="6" t="s">
        <v>104</v>
      </c>
      <c r="BZ98" s="6" t="s">
        <v>104</v>
      </c>
      <c r="CA98" s="6" t="s">
        <v>104</v>
      </c>
      <c r="CB98" s="6" t="s">
        <v>104</v>
      </c>
      <c r="CC98" s="6" t="s">
        <v>104</v>
      </c>
      <c r="CD98" s="6" t="s">
        <v>104</v>
      </c>
      <c r="CE98" s="6" t="s">
        <v>104</v>
      </c>
      <c r="CF98" s="6" t="s">
        <v>104</v>
      </c>
      <c r="CG98" s="6" t="s">
        <v>104</v>
      </c>
      <c r="CH98" s="6" t="s">
        <v>104</v>
      </c>
      <c r="CI98" s="6" t="s">
        <v>104</v>
      </c>
      <c r="CJ98" s="6" t="s">
        <v>104</v>
      </c>
      <c r="CK98" s="6" t="s">
        <v>104</v>
      </c>
      <c r="CL98" s="6" t="s">
        <v>104</v>
      </c>
      <c r="CM98" s="6" t="s">
        <v>104</v>
      </c>
      <c r="CN98" s="6" t="s">
        <v>104</v>
      </c>
      <c r="CO98" s="6" t="s">
        <v>104</v>
      </c>
      <c r="CP98" s="6" t="s">
        <v>104</v>
      </c>
    </row>
    <row r="99" spans="1:94" ht="14.5" x14ac:dyDescent="0.35">
      <c r="A99" s="5" t="s">
        <v>116</v>
      </c>
      <c r="B99" s="7" t="s">
        <v>104</v>
      </c>
      <c r="C99" s="7" t="s">
        <v>104</v>
      </c>
      <c r="D99" s="7" t="s">
        <v>104</v>
      </c>
      <c r="E99" s="7" t="s">
        <v>104</v>
      </c>
      <c r="F99" s="7" t="s">
        <v>104</v>
      </c>
      <c r="G99" s="7" t="s">
        <v>104</v>
      </c>
      <c r="H99" s="7" t="s">
        <v>104</v>
      </c>
      <c r="I99" s="7" t="s">
        <v>104</v>
      </c>
      <c r="J99" s="7" t="s">
        <v>104</v>
      </c>
      <c r="K99" s="7" t="s">
        <v>104</v>
      </c>
      <c r="L99" s="7" t="s">
        <v>104</v>
      </c>
      <c r="M99" s="12" t="e">
        <f t="shared" si="6"/>
        <v>#VALUE!</v>
      </c>
      <c r="N99" s="6" t="s">
        <v>104</v>
      </c>
      <c r="X99" s="7" t="s">
        <v>104</v>
      </c>
      <c r="Y99" s="7" t="s">
        <v>104</v>
      </c>
      <c r="Z99" s="7" t="s">
        <v>104</v>
      </c>
      <c r="AA99" s="7" t="s">
        <v>104</v>
      </c>
      <c r="AB99" s="7" t="s">
        <v>104</v>
      </c>
      <c r="AC99" s="7" t="s">
        <v>104</v>
      </c>
      <c r="AD99" s="7" t="s">
        <v>104</v>
      </c>
      <c r="AE99" s="7" t="s">
        <v>104</v>
      </c>
      <c r="AF99" s="7" t="s">
        <v>104</v>
      </c>
      <c r="AG99" s="7" t="s">
        <v>104</v>
      </c>
      <c r="AH99" s="7" t="s">
        <v>104</v>
      </c>
      <c r="AI99" s="7" t="s">
        <v>104</v>
      </c>
      <c r="AJ99" s="13" t="e">
        <f t="shared" si="7"/>
        <v>#VALUE!</v>
      </c>
      <c r="AK99" s="7" t="s">
        <v>104</v>
      </c>
      <c r="AM99" s="7" t="s">
        <v>104</v>
      </c>
      <c r="AN99" s="7" t="s">
        <v>104</v>
      </c>
      <c r="AO99" s="7" t="s">
        <v>104</v>
      </c>
      <c r="AP99" s="7" t="s">
        <v>104</v>
      </c>
      <c r="AQ99" s="7" t="s">
        <v>104</v>
      </c>
      <c r="AR99" s="7" t="s">
        <v>104</v>
      </c>
      <c r="AS99" s="7" t="s">
        <v>104</v>
      </c>
      <c r="AT99" s="7" t="s">
        <v>104</v>
      </c>
      <c r="AU99" s="7" t="s">
        <v>104</v>
      </c>
      <c r="AV99" s="7" t="s">
        <v>104</v>
      </c>
      <c r="AW99" s="7" t="s">
        <v>104</v>
      </c>
      <c r="AX99" s="7" t="s">
        <v>104</v>
      </c>
      <c r="AY99" s="7" t="s">
        <v>104</v>
      </c>
      <c r="AZ99" s="7" t="s">
        <v>104</v>
      </c>
      <c r="BA99" s="7" t="s">
        <v>104</v>
      </c>
      <c r="BB99" s="7" t="s">
        <v>104</v>
      </c>
      <c r="BC99" s="7" t="s">
        <v>104</v>
      </c>
      <c r="BD99" s="7" t="s">
        <v>104</v>
      </c>
      <c r="BE99" s="7" t="s">
        <v>104</v>
      </c>
      <c r="BF99" s="7" t="s">
        <v>104</v>
      </c>
      <c r="BG99" s="7" t="s">
        <v>104</v>
      </c>
      <c r="BH99" s="7" t="s">
        <v>104</v>
      </c>
      <c r="BI99" s="7" t="s">
        <v>104</v>
      </c>
      <c r="BJ99" s="7" t="s">
        <v>104</v>
      </c>
      <c r="BK99" s="7" t="s">
        <v>104</v>
      </c>
      <c r="BL99" s="7" t="s">
        <v>104</v>
      </c>
      <c r="BM99" s="7" t="s">
        <v>104</v>
      </c>
      <c r="BN99" s="7" t="s">
        <v>104</v>
      </c>
      <c r="BO99" s="7" t="s">
        <v>104</v>
      </c>
      <c r="BP99" s="7" t="s">
        <v>104</v>
      </c>
      <c r="BQ99" s="7" t="s">
        <v>104</v>
      </c>
      <c r="BR99" s="7" t="s">
        <v>104</v>
      </c>
      <c r="BS99" s="7" t="s">
        <v>104</v>
      </c>
      <c r="BT99" s="7" t="s">
        <v>104</v>
      </c>
      <c r="BU99" s="7" t="s">
        <v>104</v>
      </c>
      <c r="BV99" s="7" t="s">
        <v>104</v>
      </c>
      <c r="BW99" s="7" t="s">
        <v>104</v>
      </c>
      <c r="BX99" s="7" t="s">
        <v>104</v>
      </c>
      <c r="BY99" s="7" t="s">
        <v>104</v>
      </c>
      <c r="BZ99" s="7" t="s">
        <v>104</v>
      </c>
      <c r="CA99" s="7" t="s">
        <v>104</v>
      </c>
      <c r="CB99" s="7" t="s">
        <v>104</v>
      </c>
      <c r="CC99" s="7" t="s">
        <v>104</v>
      </c>
      <c r="CD99" s="7" t="s">
        <v>104</v>
      </c>
      <c r="CE99" s="7" t="s">
        <v>104</v>
      </c>
      <c r="CF99" s="7" t="s">
        <v>104</v>
      </c>
      <c r="CG99" s="7" t="s">
        <v>104</v>
      </c>
      <c r="CH99" s="7" t="s">
        <v>104</v>
      </c>
      <c r="CI99" s="7" t="s">
        <v>104</v>
      </c>
      <c r="CJ99" s="7" t="s">
        <v>104</v>
      </c>
      <c r="CK99" s="7" t="s">
        <v>104</v>
      </c>
      <c r="CL99" s="7" t="s">
        <v>104</v>
      </c>
      <c r="CM99" s="7" t="s">
        <v>104</v>
      </c>
      <c r="CN99" s="7" t="s">
        <v>104</v>
      </c>
      <c r="CO99" s="7" t="s">
        <v>104</v>
      </c>
      <c r="CP99" s="7" t="s">
        <v>104</v>
      </c>
    </row>
    <row r="100" spans="1:94" ht="14.5" x14ac:dyDescent="0.35">
      <c r="A100" s="5" t="s">
        <v>117</v>
      </c>
      <c r="B100" s="6" t="s">
        <v>104</v>
      </c>
      <c r="C100" s="6" t="s">
        <v>104</v>
      </c>
      <c r="D100" s="6" t="s">
        <v>104</v>
      </c>
      <c r="E100" s="6" t="s">
        <v>104</v>
      </c>
      <c r="F100" s="6" t="s">
        <v>104</v>
      </c>
      <c r="G100" s="6" t="s">
        <v>104</v>
      </c>
      <c r="H100" s="6" t="s">
        <v>104</v>
      </c>
      <c r="I100" s="6" t="s">
        <v>104</v>
      </c>
      <c r="J100" s="6" t="s">
        <v>104</v>
      </c>
      <c r="K100" s="6" t="s">
        <v>104</v>
      </c>
      <c r="L100" s="6" t="s">
        <v>104</v>
      </c>
      <c r="M100" s="12" t="e">
        <f t="shared" si="6"/>
        <v>#VALUE!</v>
      </c>
      <c r="N100" s="6" t="s">
        <v>104</v>
      </c>
      <c r="X100" s="6" t="s">
        <v>104</v>
      </c>
      <c r="Y100" s="6" t="s">
        <v>104</v>
      </c>
      <c r="Z100" s="6" t="s">
        <v>104</v>
      </c>
      <c r="AA100" s="6" t="s">
        <v>104</v>
      </c>
      <c r="AB100" s="6" t="s">
        <v>104</v>
      </c>
      <c r="AC100" s="6" t="s">
        <v>104</v>
      </c>
      <c r="AD100" s="6" t="s">
        <v>104</v>
      </c>
      <c r="AE100" s="6" t="s">
        <v>104</v>
      </c>
      <c r="AF100" s="6" t="s">
        <v>104</v>
      </c>
      <c r="AG100" s="6" t="s">
        <v>104</v>
      </c>
      <c r="AH100" s="6" t="s">
        <v>104</v>
      </c>
      <c r="AI100" s="6" t="s">
        <v>104</v>
      </c>
      <c r="AJ100" s="13" t="e">
        <f t="shared" si="7"/>
        <v>#VALUE!</v>
      </c>
      <c r="AK100" s="6" t="s">
        <v>104</v>
      </c>
      <c r="AM100" s="6" t="s">
        <v>104</v>
      </c>
      <c r="AN100" s="6" t="s">
        <v>104</v>
      </c>
      <c r="AO100" s="6" t="s">
        <v>104</v>
      </c>
      <c r="AP100" s="6" t="s">
        <v>104</v>
      </c>
      <c r="AQ100" s="6" t="s">
        <v>104</v>
      </c>
      <c r="AR100" s="6" t="s">
        <v>104</v>
      </c>
      <c r="AS100" s="6" t="s">
        <v>104</v>
      </c>
      <c r="AT100" s="6" t="s">
        <v>104</v>
      </c>
      <c r="AU100" s="6" t="s">
        <v>104</v>
      </c>
      <c r="AV100" s="6" t="s">
        <v>104</v>
      </c>
      <c r="AW100" s="6" t="s">
        <v>104</v>
      </c>
      <c r="AX100" s="6" t="s">
        <v>104</v>
      </c>
      <c r="AY100" s="6" t="s">
        <v>104</v>
      </c>
      <c r="AZ100" s="6" t="s">
        <v>104</v>
      </c>
      <c r="BA100" s="6" t="s">
        <v>104</v>
      </c>
      <c r="BB100" s="6" t="s">
        <v>104</v>
      </c>
      <c r="BC100" s="6" t="s">
        <v>104</v>
      </c>
      <c r="BD100" s="6" t="s">
        <v>104</v>
      </c>
      <c r="BE100" s="6" t="s">
        <v>104</v>
      </c>
      <c r="BF100" s="6" t="s">
        <v>104</v>
      </c>
      <c r="BG100" s="6" t="s">
        <v>104</v>
      </c>
      <c r="BH100" s="6" t="s">
        <v>104</v>
      </c>
      <c r="BI100" s="6" t="s">
        <v>104</v>
      </c>
      <c r="BJ100" s="6" t="s">
        <v>104</v>
      </c>
      <c r="BK100" s="6" t="s">
        <v>104</v>
      </c>
      <c r="BL100" s="6" t="s">
        <v>104</v>
      </c>
      <c r="BM100" s="6" t="s">
        <v>104</v>
      </c>
      <c r="BN100" s="6" t="s">
        <v>104</v>
      </c>
      <c r="BO100" s="6" t="s">
        <v>104</v>
      </c>
      <c r="BP100" s="6" t="s">
        <v>104</v>
      </c>
      <c r="BQ100" s="6" t="s">
        <v>104</v>
      </c>
      <c r="BR100" s="6" t="s">
        <v>104</v>
      </c>
      <c r="BS100" s="6" t="s">
        <v>104</v>
      </c>
      <c r="BT100" s="6" t="s">
        <v>104</v>
      </c>
      <c r="BU100" s="6" t="s">
        <v>104</v>
      </c>
      <c r="BV100" s="6" t="s">
        <v>104</v>
      </c>
      <c r="BW100" s="6" t="s">
        <v>104</v>
      </c>
      <c r="BX100" s="6" t="s">
        <v>104</v>
      </c>
      <c r="BY100" s="6" t="s">
        <v>104</v>
      </c>
      <c r="BZ100" s="6" t="s">
        <v>104</v>
      </c>
      <c r="CA100" s="6" t="s">
        <v>104</v>
      </c>
      <c r="CB100" s="6" t="s">
        <v>104</v>
      </c>
      <c r="CC100" s="6" t="s">
        <v>104</v>
      </c>
      <c r="CD100" s="6" t="s">
        <v>104</v>
      </c>
      <c r="CE100" s="6" t="s">
        <v>104</v>
      </c>
      <c r="CF100" s="6" t="s">
        <v>104</v>
      </c>
      <c r="CG100" s="6" t="s">
        <v>104</v>
      </c>
      <c r="CH100" s="6" t="s">
        <v>104</v>
      </c>
      <c r="CI100" s="6" t="s">
        <v>104</v>
      </c>
      <c r="CJ100" s="6" t="s">
        <v>104</v>
      </c>
      <c r="CK100" s="6" t="s">
        <v>104</v>
      </c>
      <c r="CL100" s="6" t="s">
        <v>104</v>
      </c>
      <c r="CM100" s="6" t="s">
        <v>104</v>
      </c>
      <c r="CN100" s="6" t="s">
        <v>104</v>
      </c>
      <c r="CO100" s="6" t="s">
        <v>104</v>
      </c>
      <c r="CP100" s="6" t="s">
        <v>104</v>
      </c>
    </row>
    <row r="101" spans="1:94" ht="14.5" x14ac:dyDescent="0.35">
      <c r="A101" s="5" t="s">
        <v>118</v>
      </c>
      <c r="B101" s="7" t="s">
        <v>104</v>
      </c>
      <c r="C101" s="7" t="s">
        <v>104</v>
      </c>
      <c r="D101" s="7" t="s">
        <v>104</v>
      </c>
      <c r="E101" s="7" t="s">
        <v>104</v>
      </c>
      <c r="F101" s="7" t="s">
        <v>104</v>
      </c>
      <c r="G101" s="7" t="s">
        <v>104</v>
      </c>
      <c r="H101" s="7" t="s">
        <v>104</v>
      </c>
      <c r="I101" s="7" t="s">
        <v>104</v>
      </c>
      <c r="J101" s="7" t="s">
        <v>104</v>
      </c>
      <c r="K101" s="7" t="s">
        <v>104</v>
      </c>
      <c r="L101" s="7" t="s">
        <v>104</v>
      </c>
      <c r="M101" s="12" t="e">
        <f t="shared" si="6"/>
        <v>#VALUE!</v>
      </c>
      <c r="N101" s="6" t="s">
        <v>104</v>
      </c>
      <c r="X101" s="7" t="s">
        <v>104</v>
      </c>
      <c r="Y101" s="7" t="s">
        <v>104</v>
      </c>
      <c r="Z101" s="7" t="s">
        <v>104</v>
      </c>
      <c r="AA101" s="7" t="s">
        <v>104</v>
      </c>
      <c r="AB101" s="7" t="s">
        <v>104</v>
      </c>
      <c r="AC101" s="7" t="s">
        <v>104</v>
      </c>
      <c r="AD101" s="7" t="s">
        <v>104</v>
      </c>
      <c r="AE101" s="7" t="s">
        <v>104</v>
      </c>
      <c r="AF101" s="7" t="s">
        <v>104</v>
      </c>
      <c r="AG101" s="7" t="s">
        <v>104</v>
      </c>
      <c r="AH101" s="7" t="s">
        <v>104</v>
      </c>
      <c r="AI101" s="7" t="s">
        <v>104</v>
      </c>
      <c r="AJ101" s="13" t="e">
        <f t="shared" si="7"/>
        <v>#VALUE!</v>
      </c>
      <c r="AK101" s="7" t="s">
        <v>104</v>
      </c>
      <c r="AM101" s="7" t="s">
        <v>104</v>
      </c>
      <c r="AN101" s="7" t="s">
        <v>104</v>
      </c>
      <c r="AO101" s="7" t="s">
        <v>104</v>
      </c>
      <c r="AP101" s="7" t="s">
        <v>104</v>
      </c>
      <c r="AQ101" s="7" t="s">
        <v>104</v>
      </c>
      <c r="AR101" s="7" t="s">
        <v>104</v>
      </c>
      <c r="AS101" s="7" t="s">
        <v>104</v>
      </c>
      <c r="AT101" s="7" t="s">
        <v>104</v>
      </c>
      <c r="AU101" s="7" t="s">
        <v>104</v>
      </c>
      <c r="AV101" s="7" t="s">
        <v>104</v>
      </c>
      <c r="AW101" s="7" t="s">
        <v>104</v>
      </c>
      <c r="AX101" s="7" t="s">
        <v>104</v>
      </c>
      <c r="AY101" s="7" t="s">
        <v>104</v>
      </c>
      <c r="AZ101" s="7" t="s">
        <v>104</v>
      </c>
      <c r="BA101" s="7" t="s">
        <v>104</v>
      </c>
      <c r="BB101" s="7" t="s">
        <v>104</v>
      </c>
      <c r="BC101" s="7" t="s">
        <v>104</v>
      </c>
      <c r="BD101" s="7" t="s">
        <v>104</v>
      </c>
      <c r="BE101" s="7" t="s">
        <v>104</v>
      </c>
      <c r="BF101" s="7" t="s">
        <v>104</v>
      </c>
      <c r="BG101" s="7" t="s">
        <v>104</v>
      </c>
      <c r="BH101" s="7" t="s">
        <v>104</v>
      </c>
      <c r="BI101" s="7" t="s">
        <v>104</v>
      </c>
      <c r="BJ101" s="7" t="s">
        <v>104</v>
      </c>
      <c r="BK101" s="7" t="s">
        <v>104</v>
      </c>
      <c r="BL101" s="7" t="s">
        <v>104</v>
      </c>
      <c r="BM101" s="7" t="s">
        <v>104</v>
      </c>
      <c r="BN101" s="7" t="s">
        <v>104</v>
      </c>
      <c r="BO101" s="7" t="s">
        <v>104</v>
      </c>
      <c r="BP101" s="7" t="s">
        <v>104</v>
      </c>
      <c r="BQ101" s="7" t="s">
        <v>104</v>
      </c>
      <c r="BR101" s="7" t="s">
        <v>104</v>
      </c>
      <c r="BS101" s="7" t="s">
        <v>104</v>
      </c>
      <c r="BT101" s="7" t="s">
        <v>104</v>
      </c>
      <c r="BU101" s="7" t="s">
        <v>104</v>
      </c>
      <c r="BV101" s="7" t="s">
        <v>104</v>
      </c>
      <c r="BW101" s="7" t="s">
        <v>104</v>
      </c>
      <c r="BX101" s="7" t="s">
        <v>104</v>
      </c>
      <c r="BY101" s="7" t="s">
        <v>104</v>
      </c>
      <c r="BZ101" s="7" t="s">
        <v>104</v>
      </c>
      <c r="CA101" s="7" t="s">
        <v>104</v>
      </c>
      <c r="CB101" s="7" t="s">
        <v>104</v>
      </c>
      <c r="CC101" s="7" t="s">
        <v>104</v>
      </c>
      <c r="CD101" s="7" t="s">
        <v>104</v>
      </c>
      <c r="CE101" s="7" t="s">
        <v>104</v>
      </c>
      <c r="CF101" s="7" t="s">
        <v>104</v>
      </c>
      <c r="CG101" s="7" t="s">
        <v>104</v>
      </c>
      <c r="CH101" s="7" t="s">
        <v>104</v>
      </c>
      <c r="CI101" s="7" t="s">
        <v>104</v>
      </c>
      <c r="CJ101" s="7" t="s">
        <v>104</v>
      </c>
      <c r="CK101" s="7" t="s">
        <v>104</v>
      </c>
      <c r="CL101" s="7" t="s">
        <v>104</v>
      </c>
      <c r="CM101" s="7" t="s">
        <v>104</v>
      </c>
      <c r="CN101" s="7" t="s">
        <v>104</v>
      </c>
      <c r="CO101" s="7" t="s">
        <v>104</v>
      </c>
      <c r="CP101" s="7" t="s">
        <v>104</v>
      </c>
    </row>
    <row r="102" spans="1:94" ht="14.5" x14ac:dyDescent="0.35">
      <c r="A102" s="5" t="s">
        <v>119</v>
      </c>
      <c r="B102" s="6" t="s">
        <v>104</v>
      </c>
      <c r="C102" s="6" t="s">
        <v>104</v>
      </c>
      <c r="D102" s="6" t="s">
        <v>104</v>
      </c>
      <c r="E102" s="6" t="s">
        <v>104</v>
      </c>
      <c r="F102" s="6" t="s">
        <v>104</v>
      </c>
      <c r="G102" s="6" t="s">
        <v>104</v>
      </c>
      <c r="H102" s="6" t="s">
        <v>104</v>
      </c>
      <c r="I102" s="6" t="s">
        <v>104</v>
      </c>
      <c r="J102" s="6" t="s">
        <v>104</v>
      </c>
      <c r="K102" s="6" t="s">
        <v>104</v>
      </c>
      <c r="L102" s="6" t="s">
        <v>104</v>
      </c>
      <c r="M102" s="12" t="e">
        <f t="shared" si="6"/>
        <v>#VALUE!</v>
      </c>
      <c r="N102" s="6" t="s">
        <v>104</v>
      </c>
      <c r="X102" s="6" t="s">
        <v>104</v>
      </c>
      <c r="Y102" s="6" t="s">
        <v>104</v>
      </c>
      <c r="Z102" s="6" t="s">
        <v>104</v>
      </c>
      <c r="AA102" s="6" t="s">
        <v>104</v>
      </c>
      <c r="AB102" s="6" t="s">
        <v>104</v>
      </c>
      <c r="AC102" s="6" t="s">
        <v>104</v>
      </c>
      <c r="AD102" s="6" t="s">
        <v>104</v>
      </c>
      <c r="AE102" s="6" t="s">
        <v>104</v>
      </c>
      <c r="AF102" s="6" t="s">
        <v>104</v>
      </c>
      <c r="AG102" s="6" t="s">
        <v>104</v>
      </c>
      <c r="AH102" s="6" t="s">
        <v>104</v>
      </c>
      <c r="AI102" s="6" t="s">
        <v>104</v>
      </c>
      <c r="AJ102" s="13" t="e">
        <f t="shared" si="7"/>
        <v>#VALUE!</v>
      </c>
      <c r="AK102" s="6" t="s">
        <v>104</v>
      </c>
      <c r="AM102" s="6" t="s">
        <v>104</v>
      </c>
      <c r="AN102" s="6" t="s">
        <v>104</v>
      </c>
      <c r="AO102" s="6" t="s">
        <v>104</v>
      </c>
      <c r="AP102" s="6" t="s">
        <v>104</v>
      </c>
      <c r="AQ102" s="6" t="s">
        <v>104</v>
      </c>
      <c r="AR102" s="6" t="s">
        <v>104</v>
      </c>
      <c r="AS102" s="6" t="s">
        <v>104</v>
      </c>
      <c r="AT102" s="6" t="s">
        <v>104</v>
      </c>
      <c r="AU102" s="6" t="s">
        <v>104</v>
      </c>
      <c r="AV102" s="6" t="s">
        <v>104</v>
      </c>
      <c r="AW102" s="6" t="s">
        <v>104</v>
      </c>
      <c r="AX102" s="6" t="s">
        <v>104</v>
      </c>
      <c r="AY102" s="6" t="s">
        <v>104</v>
      </c>
      <c r="AZ102" s="6" t="s">
        <v>104</v>
      </c>
      <c r="BA102" s="6" t="s">
        <v>104</v>
      </c>
      <c r="BB102" s="6" t="s">
        <v>104</v>
      </c>
      <c r="BC102" s="6" t="s">
        <v>104</v>
      </c>
      <c r="BD102" s="6" t="s">
        <v>104</v>
      </c>
      <c r="BE102" s="6" t="s">
        <v>104</v>
      </c>
      <c r="BF102" s="6" t="s">
        <v>104</v>
      </c>
      <c r="BG102" s="6" t="s">
        <v>104</v>
      </c>
      <c r="BH102" s="6" t="s">
        <v>104</v>
      </c>
      <c r="BI102" s="6" t="s">
        <v>104</v>
      </c>
      <c r="BJ102" s="6" t="s">
        <v>104</v>
      </c>
      <c r="BK102" s="6" t="s">
        <v>104</v>
      </c>
      <c r="BL102" s="6" t="s">
        <v>104</v>
      </c>
      <c r="BM102" s="6" t="s">
        <v>104</v>
      </c>
      <c r="BN102" s="6" t="s">
        <v>104</v>
      </c>
      <c r="BO102" s="6" t="s">
        <v>104</v>
      </c>
      <c r="BP102" s="6" t="s">
        <v>104</v>
      </c>
      <c r="BQ102" s="6" t="s">
        <v>104</v>
      </c>
      <c r="BR102" s="6" t="s">
        <v>104</v>
      </c>
      <c r="BS102" s="6" t="s">
        <v>104</v>
      </c>
      <c r="BT102" s="6" t="s">
        <v>104</v>
      </c>
      <c r="BU102" s="6" t="s">
        <v>104</v>
      </c>
      <c r="BV102" s="6" t="s">
        <v>104</v>
      </c>
      <c r="BW102" s="6" t="s">
        <v>104</v>
      </c>
      <c r="BX102" s="6" t="s">
        <v>104</v>
      </c>
      <c r="BY102" s="6" t="s">
        <v>104</v>
      </c>
      <c r="BZ102" s="6" t="s">
        <v>104</v>
      </c>
      <c r="CA102" s="6" t="s">
        <v>104</v>
      </c>
      <c r="CB102" s="6" t="s">
        <v>104</v>
      </c>
      <c r="CC102" s="6" t="s">
        <v>104</v>
      </c>
      <c r="CD102" s="6" t="s">
        <v>104</v>
      </c>
      <c r="CE102" s="6" t="s">
        <v>104</v>
      </c>
      <c r="CF102" s="6" t="s">
        <v>104</v>
      </c>
      <c r="CG102" s="6" t="s">
        <v>104</v>
      </c>
      <c r="CH102" s="6" t="s">
        <v>104</v>
      </c>
      <c r="CI102" s="6" t="s">
        <v>104</v>
      </c>
      <c r="CJ102" s="6" t="s">
        <v>104</v>
      </c>
      <c r="CK102" s="6" t="s">
        <v>104</v>
      </c>
      <c r="CL102" s="6" t="s">
        <v>104</v>
      </c>
      <c r="CM102" s="6" t="s">
        <v>104</v>
      </c>
      <c r="CN102" s="6" t="s">
        <v>104</v>
      </c>
      <c r="CO102" s="6" t="s">
        <v>104</v>
      </c>
      <c r="CP102" s="6" t="s">
        <v>104</v>
      </c>
    </row>
    <row r="103" spans="1:94" ht="14.5" x14ac:dyDescent="0.35">
      <c r="A103" s="5" t="s">
        <v>120</v>
      </c>
      <c r="B103" s="7" t="s">
        <v>104</v>
      </c>
      <c r="C103" s="7" t="s">
        <v>104</v>
      </c>
      <c r="D103" s="7" t="s">
        <v>104</v>
      </c>
      <c r="E103" s="7" t="s">
        <v>104</v>
      </c>
      <c r="F103" s="7" t="s">
        <v>104</v>
      </c>
      <c r="G103" s="7" t="s">
        <v>104</v>
      </c>
      <c r="H103" s="7" t="s">
        <v>104</v>
      </c>
      <c r="I103" s="7" t="s">
        <v>104</v>
      </c>
      <c r="J103" s="7" t="s">
        <v>104</v>
      </c>
      <c r="K103" s="7" t="s">
        <v>104</v>
      </c>
      <c r="L103" s="7" t="s">
        <v>104</v>
      </c>
      <c r="M103" s="12" t="e">
        <f t="shared" si="6"/>
        <v>#VALUE!</v>
      </c>
      <c r="N103" s="6" t="s">
        <v>104</v>
      </c>
      <c r="X103" s="7" t="s">
        <v>104</v>
      </c>
      <c r="Y103" s="7" t="s">
        <v>104</v>
      </c>
      <c r="Z103" s="7" t="s">
        <v>104</v>
      </c>
      <c r="AA103" s="7" t="s">
        <v>104</v>
      </c>
      <c r="AB103" s="7" t="s">
        <v>104</v>
      </c>
      <c r="AC103" s="7" t="s">
        <v>104</v>
      </c>
      <c r="AD103" s="7" t="s">
        <v>104</v>
      </c>
      <c r="AE103" s="7" t="s">
        <v>104</v>
      </c>
      <c r="AF103" s="7" t="s">
        <v>104</v>
      </c>
      <c r="AG103" s="7" t="s">
        <v>104</v>
      </c>
      <c r="AH103" s="7" t="s">
        <v>104</v>
      </c>
      <c r="AI103" s="7" t="s">
        <v>104</v>
      </c>
      <c r="AJ103" s="13" t="e">
        <f t="shared" si="7"/>
        <v>#VALUE!</v>
      </c>
      <c r="AK103" s="7" t="s">
        <v>104</v>
      </c>
      <c r="AM103" s="7" t="s">
        <v>104</v>
      </c>
      <c r="AN103" s="7" t="s">
        <v>104</v>
      </c>
      <c r="AO103" s="7" t="s">
        <v>104</v>
      </c>
      <c r="AP103" s="7" t="s">
        <v>104</v>
      </c>
      <c r="AQ103" s="7" t="s">
        <v>104</v>
      </c>
      <c r="AR103" s="7" t="s">
        <v>104</v>
      </c>
      <c r="AS103" s="7" t="s">
        <v>104</v>
      </c>
      <c r="AT103" s="7" t="s">
        <v>104</v>
      </c>
      <c r="AU103" s="7" t="s">
        <v>104</v>
      </c>
      <c r="AV103" s="7" t="s">
        <v>104</v>
      </c>
      <c r="AW103" s="7" t="s">
        <v>104</v>
      </c>
      <c r="AX103" s="7" t="s">
        <v>104</v>
      </c>
      <c r="AY103" s="7" t="s">
        <v>104</v>
      </c>
      <c r="AZ103" s="7" t="s">
        <v>104</v>
      </c>
      <c r="BA103" s="7" t="s">
        <v>104</v>
      </c>
      <c r="BB103" s="7" t="s">
        <v>104</v>
      </c>
      <c r="BC103" s="7" t="s">
        <v>104</v>
      </c>
      <c r="BD103" s="7" t="s">
        <v>104</v>
      </c>
      <c r="BE103" s="7" t="s">
        <v>104</v>
      </c>
      <c r="BF103" s="7" t="s">
        <v>104</v>
      </c>
      <c r="BG103" s="7" t="s">
        <v>104</v>
      </c>
      <c r="BH103" s="7" t="s">
        <v>104</v>
      </c>
      <c r="BI103" s="7" t="s">
        <v>104</v>
      </c>
      <c r="BJ103" s="7" t="s">
        <v>104</v>
      </c>
      <c r="BK103" s="7" t="s">
        <v>104</v>
      </c>
      <c r="BL103" s="7" t="s">
        <v>104</v>
      </c>
      <c r="BM103" s="7" t="s">
        <v>104</v>
      </c>
      <c r="BN103" s="7" t="s">
        <v>104</v>
      </c>
      <c r="BO103" s="7" t="s">
        <v>104</v>
      </c>
      <c r="BP103" s="7" t="s">
        <v>104</v>
      </c>
      <c r="BQ103" s="7" t="s">
        <v>104</v>
      </c>
      <c r="BR103" s="7" t="s">
        <v>104</v>
      </c>
      <c r="BS103" s="7" t="s">
        <v>104</v>
      </c>
      <c r="BT103" s="7" t="s">
        <v>104</v>
      </c>
      <c r="BU103" s="7" t="s">
        <v>104</v>
      </c>
      <c r="BV103" s="7" t="s">
        <v>104</v>
      </c>
      <c r="BW103" s="7" t="s">
        <v>104</v>
      </c>
      <c r="BX103" s="7" t="s">
        <v>104</v>
      </c>
      <c r="BY103" s="7" t="s">
        <v>104</v>
      </c>
      <c r="BZ103" s="7" t="s">
        <v>104</v>
      </c>
      <c r="CA103" s="7" t="s">
        <v>104</v>
      </c>
      <c r="CB103" s="7" t="s">
        <v>104</v>
      </c>
      <c r="CC103" s="7" t="s">
        <v>104</v>
      </c>
      <c r="CD103" s="7" t="s">
        <v>104</v>
      </c>
      <c r="CE103" s="7" t="s">
        <v>104</v>
      </c>
      <c r="CF103" s="7" t="s">
        <v>104</v>
      </c>
      <c r="CG103" s="7" t="s">
        <v>104</v>
      </c>
      <c r="CH103" s="7" t="s">
        <v>104</v>
      </c>
      <c r="CI103" s="7" t="s">
        <v>104</v>
      </c>
      <c r="CJ103" s="7" t="s">
        <v>104</v>
      </c>
      <c r="CK103" s="7" t="s">
        <v>104</v>
      </c>
      <c r="CL103" s="7" t="s">
        <v>104</v>
      </c>
      <c r="CM103" s="7" t="s">
        <v>104</v>
      </c>
      <c r="CN103" s="7" t="s">
        <v>104</v>
      </c>
      <c r="CO103" s="7" t="s">
        <v>104</v>
      </c>
      <c r="CP103" s="7" t="s">
        <v>104</v>
      </c>
    </row>
    <row r="104" spans="1:94" ht="14.5" x14ac:dyDescent="0.35">
      <c r="A104" s="5" t="s">
        <v>121</v>
      </c>
      <c r="B104" s="6" t="s">
        <v>104</v>
      </c>
      <c r="C104" s="6" t="s">
        <v>104</v>
      </c>
      <c r="D104" s="6" t="s">
        <v>104</v>
      </c>
      <c r="E104" s="6" t="s">
        <v>104</v>
      </c>
      <c r="F104" s="6" t="s">
        <v>104</v>
      </c>
      <c r="G104" s="6" t="s">
        <v>104</v>
      </c>
      <c r="H104" s="6" t="s">
        <v>104</v>
      </c>
      <c r="I104" s="6" t="s">
        <v>104</v>
      </c>
      <c r="J104" s="6" t="s">
        <v>104</v>
      </c>
      <c r="K104" s="6" t="s">
        <v>104</v>
      </c>
      <c r="L104" s="6" t="s">
        <v>104</v>
      </c>
      <c r="M104" s="12" t="e">
        <f t="shared" si="6"/>
        <v>#VALUE!</v>
      </c>
      <c r="N104" s="6" t="s">
        <v>104</v>
      </c>
      <c r="X104" s="6" t="s">
        <v>104</v>
      </c>
      <c r="Y104" s="6" t="s">
        <v>104</v>
      </c>
      <c r="Z104" s="6" t="s">
        <v>104</v>
      </c>
      <c r="AA104" s="6" t="s">
        <v>104</v>
      </c>
      <c r="AB104" s="6" t="s">
        <v>104</v>
      </c>
      <c r="AC104" s="6" t="s">
        <v>104</v>
      </c>
      <c r="AD104" s="6" t="s">
        <v>104</v>
      </c>
      <c r="AE104" s="6" t="s">
        <v>104</v>
      </c>
      <c r="AF104" s="6" t="s">
        <v>104</v>
      </c>
      <c r="AG104" s="6" t="s">
        <v>104</v>
      </c>
      <c r="AH104" s="6" t="s">
        <v>104</v>
      </c>
      <c r="AI104" s="6" t="s">
        <v>104</v>
      </c>
      <c r="AJ104" s="13" t="e">
        <f t="shared" si="7"/>
        <v>#VALUE!</v>
      </c>
      <c r="AK104" s="6" t="s">
        <v>104</v>
      </c>
      <c r="AM104" s="6" t="s">
        <v>104</v>
      </c>
      <c r="AN104" s="6" t="s">
        <v>104</v>
      </c>
      <c r="AO104" s="6" t="s">
        <v>104</v>
      </c>
      <c r="AP104" s="6" t="s">
        <v>104</v>
      </c>
      <c r="AQ104" s="6" t="s">
        <v>104</v>
      </c>
      <c r="AR104" s="6" t="s">
        <v>104</v>
      </c>
      <c r="AS104" s="6" t="s">
        <v>104</v>
      </c>
      <c r="AT104" s="6" t="s">
        <v>104</v>
      </c>
      <c r="AU104" s="6" t="s">
        <v>104</v>
      </c>
      <c r="AV104" s="6" t="s">
        <v>104</v>
      </c>
      <c r="AW104" s="6" t="s">
        <v>104</v>
      </c>
      <c r="AX104" s="6" t="s">
        <v>104</v>
      </c>
      <c r="AY104" s="6" t="s">
        <v>104</v>
      </c>
      <c r="AZ104" s="6" t="s">
        <v>104</v>
      </c>
      <c r="BA104" s="6" t="s">
        <v>104</v>
      </c>
      <c r="BB104" s="6" t="s">
        <v>104</v>
      </c>
      <c r="BC104" s="6" t="s">
        <v>104</v>
      </c>
      <c r="BD104" s="6" t="s">
        <v>104</v>
      </c>
      <c r="BE104" s="6" t="s">
        <v>104</v>
      </c>
      <c r="BF104" s="6" t="s">
        <v>104</v>
      </c>
      <c r="BG104" s="6" t="s">
        <v>104</v>
      </c>
      <c r="BH104" s="6" t="s">
        <v>104</v>
      </c>
      <c r="BI104" s="6" t="s">
        <v>104</v>
      </c>
      <c r="BJ104" s="6" t="s">
        <v>104</v>
      </c>
      <c r="BK104" s="6" t="s">
        <v>104</v>
      </c>
      <c r="BL104" s="6" t="s">
        <v>104</v>
      </c>
      <c r="BM104" s="6" t="s">
        <v>104</v>
      </c>
      <c r="BN104" s="6" t="s">
        <v>104</v>
      </c>
      <c r="BO104" s="6" t="s">
        <v>104</v>
      </c>
      <c r="BP104" s="6" t="s">
        <v>104</v>
      </c>
      <c r="BQ104" s="6" t="s">
        <v>104</v>
      </c>
      <c r="BR104" s="6" t="s">
        <v>104</v>
      </c>
      <c r="BS104" s="6" t="s">
        <v>104</v>
      </c>
      <c r="BT104" s="6" t="s">
        <v>104</v>
      </c>
      <c r="BU104" s="6" t="s">
        <v>104</v>
      </c>
      <c r="BV104" s="6" t="s">
        <v>104</v>
      </c>
      <c r="BW104" s="6" t="s">
        <v>104</v>
      </c>
      <c r="BX104" s="6" t="s">
        <v>104</v>
      </c>
      <c r="BY104" s="6" t="s">
        <v>104</v>
      </c>
      <c r="BZ104" s="6" t="s">
        <v>104</v>
      </c>
      <c r="CA104" s="6" t="s">
        <v>104</v>
      </c>
      <c r="CB104" s="6" t="s">
        <v>104</v>
      </c>
      <c r="CC104" s="6" t="s">
        <v>104</v>
      </c>
      <c r="CD104" s="6" t="s">
        <v>104</v>
      </c>
      <c r="CE104" s="6" t="s">
        <v>104</v>
      </c>
      <c r="CF104" s="6" t="s">
        <v>104</v>
      </c>
      <c r="CG104" s="6" t="s">
        <v>104</v>
      </c>
      <c r="CH104" s="6" t="s">
        <v>104</v>
      </c>
      <c r="CI104" s="6" t="s">
        <v>104</v>
      </c>
      <c r="CJ104" s="6" t="s">
        <v>104</v>
      </c>
      <c r="CK104" s="6" t="s">
        <v>104</v>
      </c>
      <c r="CL104" s="6" t="s">
        <v>104</v>
      </c>
      <c r="CM104" s="6" t="s">
        <v>104</v>
      </c>
      <c r="CN104" s="6" t="s">
        <v>104</v>
      </c>
      <c r="CO104" s="6" t="s">
        <v>104</v>
      </c>
      <c r="CP104" s="6" t="s">
        <v>104</v>
      </c>
    </row>
    <row r="105" spans="1:94" ht="14.5" x14ac:dyDescent="0.35">
      <c r="A105" s="5" t="s">
        <v>122</v>
      </c>
      <c r="B105" s="7" t="s">
        <v>104</v>
      </c>
      <c r="C105" s="7" t="s">
        <v>104</v>
      </c>
      <c r="D105" s="7" t="s">
        <v>104</v>
      </c>
      <c r="E105" s="7" t="s">
        <v>104</v>
      </c>
      <c r="F105" s="7" t="s">
        <v>104</v>
      </c>
      <c r="G105" s="7" t="s">
        <v>104</v>
      </c>
      <c r="H105" s="7" t="s">
        <v>104</v>
      </c>
      <c r="I105" s="7" t="s">
        <v>104</v>
      </c>
      <c r="J105" s="7" t="s">
        <v>104</v>
      </c>
      <c r="K105" s="7" t="s">
        <v>104</v>
      </c>
      <c r="L105" s="7" t="s">
        <v>104</v>
      </c>
      <c r="M105" s="12" t="e">
        <f t="shared" si="6"/>
        <v>#VALUE!</v>
      </c>
      <c r="N105" s="6" t="s">
        <v>104</v>
      </c>
      <c r="X105" s="7" t="s">
        <v>104</v>
      </c>
      <c r="Y105" s="7" t="s">
        <v>104</v>
      </c>
      <c r="Z105" s="7" t="s">
        <v>104</v>
      </c>
      <c r="AA105" s="7" t="s">
        <v>104</v>
      </c>
      <c r="AB105" s="7" t="s">
        <v>104</v>
      </c>
      <c r="AC105" s="7" t="s">
        <v>104</v>
      </c>
      <c r="AD105" s="7" t="s">
        <v>104</v>
      </c>
      <c r="AE105" s="7" t="s">
        <v>104</v>
      </c>
      <c r="AF105" s="7" t="s">
        <v>104</v>
      </c>
      <c r="AG105" s="7" t="s">
        <v>104</v>
      </c>
      <c r="AH105" s="7" t="s">
        <v>104</v>
      </c>
      <c r="AI105" s="7" t="s">
        <v>104</v>
      </c>
      <c r="AJ105" s="13" t="e">
        <f t="shared" si="7"/>
        <v>#VALUE!</v>
      </c>
      <c r="AK105" s="7" t="s">
        <v>104</v>
      </c>
      <c r="AM105" s="7" t="s">
        <v>104</v>
      </c>
      <c r="AN105" s="7" t="s">
        <v>104</v>
      </c>
      <c r="AO105" s="7" t="s">
        <v>104</v>
      </c>
      <c r="AP105" s="7" t="s">
        <v>104</v>
      </c>
      <c r="AQ105" s="7" t="s">
        <v>104</v>
      </c>
      <c r="AR105" s="7" t="s">
        <v>104</v>
      </c>
      <c r="AS105" s="7" t="s">
        <v>104</v>
      </c>
      <c r="AT105" s="7" t="s">
        <v>104</v>
      </c>
      <c r="AU105" s="7" t="s">
        <v>104</v>
      </c>
      <c r="AV105" s="7" t="s">
        <v>104</v>
      </c>
      <c r="AW105" s="7" t="s">
        <v>104</v>
      </c>
      <c r="AX105" s="7" t="s">
        <v>104</v>
      </c>
      <c r="AY105" s="7" t="s">
        <v>104</v>
      </c>
      <c r="AZ105" s="7" t="s">
        <v>104</v>
      </c>
      <c r="BA105" s="7" t="s">
        <v>104</v>
      </c>
      <c r="BB105" s="7" t="s">
        <v>104</v>
      </c>
      <c r="BC105" s="7" t="s">
        <v>104</v>
      </c>
      <c r="BD105" s="7" t="s">
        <v>104</v>
      </c>
      <c r="BE105" s="7" t="s">
        <v>104</v>
      </c>
      <c r="BF105" s="7" t="s">
        <v>104</v>
      </c>
      <c r="BG105" s="7" t="s">
        <v>104</v>
      </c>
      <c r="BH105" s="7" t="s">
        <v>104</v>
      </c>
      <c r="BI105" s="7" t="s">
        <v>104</v>
      </c>
      <c r="BJ105" s="7" t="s">
        <v>104</v>
      </c>
      <c r="BK105" s="7" t="s">
        <v>104</v>
      </c>
      <c r="BL105" s="7" t="s">
        <v>104</v>
      </c>
      <c r="BM105" s="7" t="s">
        <v>104</v>
      </c>
      <c r="BN105" s="7" t="s">
        <v>104</v>
      </c>
      <c r="BO105" s="7" t="s">
        <v>104</v>
      </c>
      <c r="BP105" s="7" t="s">
        <v>104</v>
      </c>
      <c r="BQ105" s="7" t="s">
        <v>104</v>
      </c>
      <c r="BR105" s="7" t="s">
        <v>104</v>
      </c>
      <c r="BS105" s="7" t="s">
        <v>104</v>
      </c>
      <c r="BT105" s="7" t="s">
        <v>104</v>
      </c>
      <c r="BU105" s="7" t="s">
        <v>104</v>
      </c>
      <c r="BV105" s="7" t="s">
        <v>104</v>
      </c>
      <c r="BW105" s="7" t="s">
        <v>104</v>
      </c>
      <c r="BX105" s="7" t="s">
        <v>104</v>
      </c>
      <c r="BY105" s="7" t="s">
        <v>104</v>
      </c>
      <c r="BZ105" s="7" t="s">
        <v>104</v>
      </c>
      <c r="CA105" s="7" t="s">
        <v>104</v>
      </c>
      <c r="CB105" s="7" t="s">
        <v>104</v>
      </c>
      <c r="CC105" s="7" t="s">
        <v>104</v>
      </c>
      <c r="CD105" s="7" t="s">
        <v>104</v>
      </c>
      <c r="CE105" s="7" t="s">
        <v>104</v>
      </c>
      <c r="CF105" s="7" t="s">
        <v>104</v>
      </c>
      <c r="CG105" s="7" t="s">
        <v>104</v>
      </c>
      <c r="CH105" s="7" t="s">
        <v>104</v>
      </c>
      <c r="CI105" s="7" t="s">
        <v>104</v>
      </c>
      <c r="CJ105" s="7" t="s">
        <v>104</v>
      </c>
      <c r="CK105" s="7" t="s">
        <v>104</v>
      </c>
      <c r="CL105" s="7" t="s">
        <v>104</v>
      </c>
      <c r="CM105" s="7" t="s">
        <v>104</v>
      </c>
      <c r="CN105" s="7" t="s">
        <v>104</v>
      </c>
      <c r="CO105" s="7" t="s">
        <v>104</v>
      </c>
      <c r="CP105" s="7" t="s">
        <v>104</v>
      </c>
    </row>
    <row r="106" spans="1:94" ht="11.4" customHeight="1" x14ac:dyDescent="0.35">
      <c r="AJ106" s="13">
        <f t="shared" si="7"/>
        <v>0</v>
      </c>
    </row>
    <row r="107" spans="1:94" ht="14.5" x14ac:dyDescent="0.35"/>
    <row r="108" spans="1:94" ht="14.5" x14ac:dyDescent="0.35">
      <c r="A108" s="2" t="s">
        <v>123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Summary</vt:lpstr>
      <vt:lpstr>Sheet 1</vt:lpstr>
      <vt:lpstr>Sheet 2</vt:lpstr>
      <vt:lpstr>Sheet 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Lucie Cherpin</cp:lastModifiedBy>
  <dcterms:created xsi:type="dcterms:W3CDTF">2026-07-22T11:00:25Z</dcterms:created>
  <dcterms:modified xsi:type="dcterms:W3CDTF">2026-08-19T09:40:00Z</dcterms:modified>
</cp:coreProperties>
</file>