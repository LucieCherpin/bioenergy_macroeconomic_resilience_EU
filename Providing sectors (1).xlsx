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comments21.xml" ContentType="application/vnd.openxmlformats-officedocument.spreadsheetml.comments+xml"/>
  <Override PartName="/xl/threadedComments/threadedComment2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S:\Projekte\Standort WB\N-31-535-0-ETIP-B_2026-2028\Daten\WP3 Sector Monitoring and Analysis\Task 3.2 Assessment of building capacity\"/>
    </mc:Choice>
  </mc:AlternateContent>
  <xr:revisionPtr revIDLastSave="0" documentId="13_ncr:1_{A788602B-1770-408F-957E-C522E3F22477}" xr6:coauthVersionLast="47" xr6:coauthVersionMax="47" xr10:uidLastSave="{00000000-0000-0000-0000-000000000000}"/>
  <bookViews>
    <workbookView xWindow="-11985" yWindow="-18120" windowWidth="29040" windowHeight="17520" firstSheet="3" activeTab="5" xr2:uid="{EB10599E-20DB-41E1-9C42-A3EF77438160}"/>
  </bookViews>
  <sheets>
    <sheet name="Prices per feedstock &amp; per IVC" sheetId="1" r:id="rId1"/>
    <sheet name="LCoP CONVENTIONAL" sheetId="11" r:id="rId2"/>
    <sheet name="2023 costs" sheetId="8" r:id="rId3"/>
    <sheet name="2030 costs Sc 1" sheetId="4" r:id="rId4"/>
    <sheet name="2030 costs Sc 2" sheetId="13" r:id="rId5"/>
    <sheet name="2030 costs Sc 3" sheetId="20" r:id="rId6"/>
    <sheet name="2035 costs Sc 1" sheetId="15" r:id="rId7"/>
    <sheet name="2035 costs Scenario 2" sheetId="14" r:id="rId8"/>
    <sheet name="2040 Sc 1" sheetId="16" r:id="rId9"/>
    <sheet name="2040 Sc 2" sheetId="22" r:id="rId10"/>
    <sheet name="2040 costs Sc 3" sheetId="23" r:id="rId11"/>
    <sheet name="LCoP 2030 MEDIUM" sheetId="6" r:id="rId12"/>
    <sheet name="LCoP 2040 high" sheetId="18" r:id="rId13"/>
    <sheet name="Co-products" sheetId="21" r:id="rId14"/>
    <sheet name="LCoP 2030 HIGH" sheetId="9" r:id="rId15"/>
    <sheet name="Feedstock MIX per IVC" sheetId="3" r:id="rId16"/>
    <sheet name="LCoP 2040 medium-high" sheetId="17" r:id="rId17"/>
    <sheet name="LCoP 2050 high" sheetId="19" r:id="rId18"/>
    <sheet name="Feedtstocks only CONVENTIONAL" sheetId="12" r:id="rId19"/>
    <sheet name="Feedstock share development" sheetId="10" r:id="rId20"/>
    <sheet name="CAPEX only" sheetId="5" r:id="rId21"/>
    <sheet name="OPEX only" sheetId="7" r:id="rId22"/>
    <sheet name="CAPEX and OPEX" sheetId="2" r:id="rId23"/>
  </sheets>
  <externalReferences>
    <externalReference r:id="rId24"/>
    <externalReference r:id="rId25"/>
    <externalReference r:id="rId2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10" i="20" l="1"/>
  <c r="C203" i="20"/>
  <c r="C198" i="4"/>
  <c r="P217" i="14"/>
  <c r="M217" i="14"/>
  <c r="I217" i="14"/>
  <c r="G217" i="14"/>
  <c r="P210" i="14"/>
  <c r="M210" i="14"/>
  <c r="I210" i="14"/>
  <c r="G210" i="14"/>
  <c r="Q223" i="14"/>
  <c r="E217" i="14"/>
  <c r="F217" i="14"/>
  <c r="C217" i="14" s="1"/>
  <c r="Q216" i="14"/>
  <c r="E210" i="14"/>
  <c r="F210" i="14"/>
  <c r="D209" i="14"/>
  <c r="Q175" i="15"/>
  <c r="O175" i="15"/>
  <c r="R174" i="15"/>
  <c r="O174" i="15"/>
  <c r="R173" i="15"/>
  <c r="O173" i="15"/>
  <c r="R172" i="15"/>
  <c r="O172" i="15"/>
  <c r="R171" i="15"/>
  <c r="O171" i="15"/>
  <c r="R170" i="15"/>
  <c r="R176" i="15" s="1"/>
  <c r="O170" i="15"/>
  <c r="O176" i="15" s="1"/>
  <c r="P169" i="15"/>
  <c r="M169" i="15"/>
  <c r="I169" i="15"/>
  <c r="G169" i="15"/>
  <c r="E169" i="15"/>
  <c r="F169" i="15" s="1"/>
  <c r="C169" i="15" s="1"/>
  <c r="Q167" i="15"/>
  <c r="O167" i="15"/>
  <c r="R166" i="15"/>
  <c r="O166" i="15"/>
  <c r="R165" i="15"/>
  <c r="O165" i="15"/>
  <c r="R164" i="15"/>
  <c r="O164" i="15"/>
  <c r="R163" i="15"/>
  <c r="O163" i="15"/>
  <c r="R162" i="15"/>
  <c r="R168" i="15" s="1"/>
  <c r="O162" i="15"/>
  <c r="O168" i="15" s="1"/>
  <c r="P161" i="15"/>
  <c r="M161" i="15"/>
  <c r="I161" i="15"/>
  <c r="G161" i="15"/>
  <c r="E161" i="15"/>
  <c r="F161" i="15" s="1"/>
  <c r="D160" i="15"/>
  <c r="Q200" i="23"/>
  <c r="Q193" i="23"/>
  <c r="Q215" i="20"/>
  <c r="Q208" i="20"/>
  <c r="Q211" i="4"/>
  <c r="Q203" i="4"/>
  <c r="Q226" i="13"/>
  <c r="Q219" i="13"/>
  <c r="H13" i="6"/>
  <c r="G205" i="4"/>
  <c r="E13" i="6"/>
  <c r="B48" i="3"/>
  <c r="B61" i="3"/>
  <c r="C225" i="4"/>
  <c r="C4" i="4"/>
  <c r="C120" i="4"/>
  <c r="C154" i="4"/>
  <c r="C8" i="4"/>
  <c r="C6" i="4"/>
  <c r="C196" i="4"/>
  <c r="D6" i="4"/>
  <c r="C90" i="13"/>
  <c r="D86" i="4"/>
  <c r="L112" i="4"/>
  <c r="C98" i="4"/>
  <c r="C88" i="4"/>
  <c r="C87" i="4"/>
  <c r="C86" i="4"/>
  <c r="D97" i="4"/>
  <c r="P97" i="4"/>
  <c r="M97" i="4"/>
  <c r="I97" i="4"/>
  <c r="K99" i="4"/>
  <c r="K100" i="4"/>
  <c r="K101" i="4"/>
  <c r="K102" i="4"/>
  <c r="K103" i="4"/>
  <c r="K104" i="4"/>
  <c r="K105" i="4"/>
  <c r="K106" i="4"/>
  <c r="K107" i="4"/>
  <c r="K98" i="4"/>
  <c r="G97" i="4"/>
  <c r="E97" i="4"/>
  <c r="F97" i="4"/>
  <c r="D92" i="13"/>
  <c r="D90" i="13" s="1"/>
  <c r="D102" i="13"/>
  <c r="D101" i="13"/>
  <c r="D103" i="13" s="1"/>
  <c r="D91" i="13"/>
  <c r="D93" i="13" s="1"/>
  <c r="K232" i="14"/>
  <c r="K231" i="14"/>
  <c r="K230" i="14"/>
  <c r="K229" i="14"/>
  <c r="S251" i="14"/>
  <c r="E251" i="14"/>
  <c r="D243" i="14"/>
  <c r="E243" i="14"/>
  <c r="D235" i="14"/>
  <c r="K235" i="14"/>
  <c r="E235" i="14"/>
  <c r="F235" i="14"/>
  <c r="D228" i="14"/>
  <c r="D251" i="14" s="1"/>
  <c r="F251" i="14" s="1"/>
  <c r="K228" i="14"/>
  <c r="E228" i="14"/>
  <c r="F228" i="14"/>
  <c r="H228" i="14" s="1"/>
  <c r="R108" i="23"/>
  <c r="O108" i="23"/>
  <c r="O107" i="23"/>
  <c r="R106" i="23"/>
  <c r="O106" i="23"/>
  <c r="R105" i="23"/>
  <c r="O105" i="23"/>
  <c r="R104" i="23"/>
  <c r="O104" i="23"/>
  <c r="R103" i="23"/>
  <c r="O103" i="23"/>
  <c r="R102" i="23"/>
  <c r="O102" i="23"/>
  <c r="C102" i="23"/>
  <c r="K184" i="23"/>
  <c r="L184" i="23" s="1"/>
  <c r="K183" i="23"/>
  <c r="L183" i="23" s="1"/>
  <c r="K182" i="23"/>
  <c r="L182" i="23" s="1"/>
  <c r="K181" i="23"/>
  <c r="L181" i="23" s="1"/>
  <c r="K180" i="23"/>
  <c r="L180" i="23" s="1"/>
  <c r="K179" i="23"/>
  <c r="L179" i="23" s="1"/>
  <c r="K178" i="23"/>
  <c r="L178" i="23" s="1"/>
  <c r="K177" i="23"/>
  <c r="L177" i="23" s="1"/>
  <c r="P176" i="23"/>
  <c r="M176" i="23"/>
  <c r="I176" i="23"/>
  <c r="G176" i="23"/>
  <c r="N176" i="23"/>
  <c r="E176" i="23"/>
  <c r="D176" i="23"/>
  <c r="F176" i="23" s="1"/>
  <c r="C176" i="23" s="1"/>
  <c r="D194" i="23"/>
  <c r="D187" i="23"/>
  <c r="D186" i="23"/>
  <c r="E187" i="23"/>
  <c r="F187" i="23"/>
  <c r="E194" i="23"/>
  <c r="F194" i="23"/>
  <c r="C194" i="23" s="1"/>
  <c r="D163" i="20"/>
  <c r="F261" i="20"/>
  <c r="B261" i="20"/>
  <c r="R262" i="20"/>
  <c r="O262" i="20"/>
  <c r="L262" i="20"/>
  <c r="L263" i="20" s="1"/>
  <c r="C261" i="20"/>
  <c r="D261" i="20"/>
  <c r="K238" i="20"/>
  <c r="E229" i="20"/>
  <c r="E253" i="20"/>
  <c r="D253" i="20"/>
  <c r="F253" i="20" s="1"/>
  <c r="C252" i="20"/>
  <c r="S245" i="20"/>
  <c r="E245" i="20"/>
  <c r="D245" i="20"/>
  <c r="F245" i="20" s="1"/>
  <c r="K242" i="20"/>
  <c r="K241" i="20"/>
  <c r="K240" i="20"/>
  <c r="K239" i="20"/>
  <c r="S238" i="20"/>
  <c r="E238" i="20"/>
  <c r="D238" i="20"/>
  <c r="F238" i="20" s="1"/>
  <c r="K234" i="20"/>
  <c r="K233" i="20"/>
  <c r="K232" i="20"/>
  <c r="K231" i="20"/>
  <c r="S230" i="20"/>
  <c r="K230" i="20"/>
  <c r="E230" i="20"/>
  <c r="D230" i="20"/>
  <c r="K157" i="15"/>
  <c r="K156" i="15"/>
  <c r="K155" i="15"/>
  <c r="K154" i="15"/>
  <c r="K153" i="15"/>
  <c r="K152" i="15"/>
  <c r="K151" i="15"/>
  <c r="K150" i="15"/>
  <c r="P149" i="15"/>
  <c r="M149" i="15"/>
  <c r="I149" i="15"/>
  <c r="G149" i="15"/>
  <c r="E149" i="15"/>
  <c r="D149" i="15"/>
  <c r="F149" i="15" s="1"/>
  <c r="K175" i="4"/>
  <c r="K176" i="4"/>
  <c r="K177" i="4"/>
  <c r="K178" i="4"/>
  <c r="K179" i="4"/>
  <c r="K180" i="4"/>
  <c r="K181" i="4"/>
  <c r="K174" i="4"/>
  <c r="K69" i="4"/>
  <c r="D155" i="4"/>
  <c r="P173" i="4"/>
  <c r="M173" i="4"/>
  <c r="I173" i="4"/>
  <c r="G173" i="4"/>
  <c r="E173" i="4"/>
  <c r="D173" i="4"/>
  <c r="F173" i="4" s="1"/>
  <c r="C173" i="4" s="1"/>
  <c r="C174" i="4" s="1"/>
  <c r="D193" i="13"/>
  <c r="D150" i="13"/>
  <c r="D182" i="20"/>
  <c r="G262" i="20"/>
  <c r="M241" i="4"/>
  <c r="K253" i="13"/>
  <c r="K252" i="13"/>
  <c r="K251" i="13"/>
  <c r="K250" i="13"/>
  <c r="I241" i="4"/>
  <c r="K226" i="4"/>
  <c r="R236" i="4"/>
  <c r="R237" i="4"/>
  <c r="R238" i="4"/>
  <c r="R239" i="4"/>
  <c r="R240" i="4"/>
  <c r="R235" i="4"/>
  <c r="O234" i="4"/>
  <c r="D234" i="4"/>
  <c r="G98" i="8"/>
  <c r="G9" i="16"/>
  <c r="G9" i="15"/>
  <c r="P9" i="4"/>
  <c r="M9" i="4"/>
  <c r="I9" i="4"/>
  <c r="G9" i="4"/>
  <c r="H2" i="6"/>
  <c r="E9" i="15"/>
  <c r="G273" i="13"/>
  <c r="G275" i="4"/>
  <c r="G283" i="13"/>
  <c r="R289" i="13"/>
  <c r="R288" i="13"/>
  <c r="O288" i="13"/>
  <c r="R287" i="13"/>
  <c r="O287" i="13"/>
  <c r="R286" i="13"/>
  <c r="O286" i="13"/>
  <c r="K286" i="13"/>
  <c r="R285" i="13"/>
  <c r="O285" i="13"/>
  <c r="K285" i="13"/>
  <c r="R284" i="13"/>
  <c r="O284" i="13"/>
  <c r="K284" i="13"/>
  <c r="D3" i="7"/>
  <c r="C72" i="3"/>
  <c r="K238" i="4"/>
  <c r="K237" i="4"/>
  <c r="K236" i="4"/>
  <c r="K235" i="4"/>
  <c r="L235" i="4" s="1"/>
  <c r="K227" i="4"/>
  <c r="B7" i="9"/>
  <c r="N28" i="23"/>
  <c r="N16" i="23"/>
  <c r="N9" i="23"/>
  <c r="L46" i="23"/>
  <c r="D168" i="23"/>
  <c r="D157" i="23"/>
  <c r="D156" i="23" s="1"/>
  <c r="D133" i="23"/>
  <c r="D122" i="23"/>
  <c r="D115" i="23"/>
  <c r="D101" i="23"/>
  <c r="D91" i="23"/>
  <c r="D72" i="23"/>
  <c r="D63" i="23"/>
  <c r="D56" i="23"/>
  <c r="D49" i="23"/>
  <c r="D28" i="23"/>
  <c r="D16" i="23"/>
  <c r="D9" i="23"/>
  <c r="D8" i="23" s="1"/>
  <c r="E157" i="23"/>
  <c r="F157" i="23"/>
  <c r="F156" i="23" s="1"/>
  <c r="D144" i="22"/>
  <c r="D71" i="22"/>
  <c r="D16" i="22"/>
  <c r="R12" i="23"/>
  <c r="R11" i="23"/>
  <c r="R10" i="23"/>
  <c r="E241" i="23"/>
  <c r="F241" i="23" s="1"/>
  <c r="F240" i="23" s="1"/>
  <c r="E240" i="23"/>
  <c r="E233" i="23"/>
  <c r="F233" i="23" s="1"/>
  <c r="F232" i="23" s="1"/>
  <c r="E232" i="23"/>
  <c r="E229" i="23"/>
  <c r="F229" i="23" s="1"/>
  <c r="K222" i="23"/>
  <c r="G222" i="23"/>
  <c r="E222" i="23"/>
  <c r="F222" i="23" s="1"/>
  <c r="K218" i="23"/>
  <c r="K217" i="23"/>
  <c r="K216" i="23"/>
  <c r="K215" i="23"/>
  <c r="K214" i="23"/>
  <c r="E214" i="23"/>
  <c r="F214" i="23" s="1"/>
  <c r="E213" i="23"/>
  <c r="D213" i="23"/>
  <c r="E211" i="23"/>
  <c r="P168" i="23"/>
  <c r="O168" i="23"/>
  <c r="M168" i="23"/>
  <c r="I168" i="23"/>
  <c r="G168" i="23"/>
  <c r="E168" i="23"/>
  <c r="F168" i="23"/>
  <c r="C168" i="23" s="1"/>
  <c r="E145" i="23"/>
  <c r="E133" i="23"/>
  <c r="F133" i="23"/>
  <c r="C133" i="23" s="1"/>
  <c r="E122" i="23"/>
  <c r="F122" i="23"/>
  <c r="C122" i="23" s="1"/>
  <c r="E115" i="23"/>
  <c r="F115" i="23"/>
  <c r="E101" i="23"/>
  <c r="F101" i="23"/>
  <c r="C101" i="23" s="1"/>
  <c r="N98" i="23"/>
  <c r="E91" i="23"/>
  <c r="F91" i="23"/>
  <c r="D90" i="23"/>
  <c r="E72" i="23"/>
  <c r="F72" i="23"/>
  <c r="C72" i="23" s="1"/>
  <c r="E63" i="23"/>
  <c r="F63" i="23"/>
  <c r="C63" i="23" s="1"/>
  <c r="E56" i="23"/>
  <c r="F56" i="23"/>
  <c r="C56" i="23" s="1"/>
  <c r="E49" i="23"/>
  <c r="F49" i="23"/>
  <c r="D48" i="23"/>
  <c r="Q34" i="23"/>
  <c r="E28" i="23"/>
  <c r="F28" i="23"/>
  <c r="C28" i="23" s="1"/>
  <c r="E16" i="23"/>
  <c r="F16" i="23"/>
  <c r="C16" i="23" s="1"/>
  <c r="E9" i="23"/>
  <c r="F9" i="23"/>
  <c r="O106" i="22"/>
  <c r="R105" i="22"/>
  <c r="O105" i="22"/>
  <c r="R104" i="22"/>
  <c r="O104" i="22"/>
  <c r="R103" i="22"/>
  <c r="O103" i="22"/>
  <c r="R102" i="22"/>
  <c r="O102" i="22"/>
  <c r="R101" i="22"/>
  <c r="R107" i="22" s="1"/>
  <c r="O101" i="22"/>
  <c r="O107" i="22" s="1"/>
  <c r="E100" i="22"/>
  <c r="E121" i="22"/>
  <c r="E16" i="22"/>
  <c r="K242" i="13"/>
  <c r="O166" i="22"/>
  <c r="G166" i="22"/>
  <c r="E228" i="22"/>
  <c r="F228" i="22"/>
  <c r="F227" i="22" s="1"/>
  <c r="E227" i="22"/>
  <c r="E220" i="22"/>
  <c r="F220" i="22"/>
  <c r="F219" i="22" s="1"/>
  <c r="E219" i="22"/>
  <c r="E216" i="22"/>
  <c r="F216" i="22"/>
  <c r="K209" i="22"/>
  <c r="G209" i="22"/>
  <c r="E209" i="22"/>
  <c r="F209" i="22"/>
  <c r="K205" i="22"/>
  <c r="K204" i="22"/>
  <c r="K203" i="22"/>
  <c r="K202" i="22"/>
  <c r="K201" i="22"/>
  <c r="E201" i="22"/>
  <c r="F201" i="22"/>
  <c r="E200" i="22"/>
  <c r="D200" i="22"/>
  <c r="E198" i="22"/>
  <c r="P166" i="22"/>
  <c r="E166" i="22"/>
  <c r="E155" i="22"/>
  <c r="E144" i="22"/>
  <c r="F144" i="22"/>
  <c r="C144" i="22" s="1"/>
  <c r="E132" i="22"/>
  <c r="E114" i="22"/>
  <c r="N97" i="22"/>
  <c r="E90" i="22"/>
  <c r="E71" i="22"/>
  <c r="F71" i="22"/>
  <c r="C71" i="22" s="1"/>
  <c r="E62" i="22"/>
  <c r="E55" i="22"/>
  <c r="E48" i="22"/>
  <c r="Q34" i="22"/>
  <c r="E28" i="22"/>
  <c r="E9" i="22"/>
  <c r="D9" i="16"/>
  <c r="D150" i="14"/>
  <c r="E150" i="14"/>
  <c r="F150" i="14" s="1"/>
  <c r="C86" i="15"/>
  <c r="S249" i="13"/>
  <c r="S256" i="13"/>
  <c r="S241" i="13"/>
  <c r="B283" i="13"/>
  <c r="C263" i="13"/>
  <c r="F9" i="3"/>
  <c r="G175" i="20"/>
  <c r="I3" i="6"/>
  <c r="I23" i="6"/>
  <c r="I22" i="6"/>
  <c r="B22" i="21"/>
  <c r="B21" i="21"/>
  <c r="B20" i="21"/>
  <c r="B19" i="21"/>
  <c r="B18" i="21"/>
  <c r="B17" i="21"/>
  <c r="B16" i="21"/>
  <c r="B15" i="21"/>
  <c r="B14" i="21"/>
  <c r="B13" i="21"/>
  <c r="B11" i="21"/>
  <c r="B9" i="21"/>
  <c r="B8" i="21"/>
  <c r="B6" i="21"/>
  <c r="B5" i="21"/>
  <c r="B4" i="21"/>
  <c r="B3" i="21"/>
  <c r="B2" i="21"/>
  <c r="I21" i="6"/>
  <c r="I16" i="6"/>
  <c r="I2" i="6"/>
  <c r="I7" i="12"/>
  <c r="E25" i="6"/>
  <c r="C25" i="6"/>
  <c r="B25" i="6"/>
  <c r="C3" i="6"/>
  <c r="B3" i="6"/>
  <c r="E24" i="6"/>
  <c r="C24" i="6"/>
  <c r="C2" i="6"/>
  <c r="B24" i="6"/>
  <c r="E115" i="8"/>
  <c r="S226" i="4"/>
  <c r="B284" i="4"/>
  <c r="C167" i="4"/>
  <c r="F7" i="3"/>
  <c r="F6" i="3"/>
  <c r="G6" i="3" s="1"/>
  <c r="K17" i="4" s="1"/>
  <c r="E262" i="20"/>
  <c r="E283" i="13"/>
  <c r="E273" i="13"/>
  <c r="E264" i="13"/>
  <c r="E209" i="20"/>
  <c r="E202" i="20"/>
  <c r="E175" i="20"/>
  <c r="E164" i="20"/>
  <c r="L160" i="20"/>
  <c r="E138" i="20"/>
  <c r="F131" i="20"/>
  <c r="C131" i="20" s="1"/>
  <c r="E124" i="20"/>
  <c r="R106" i="20"/>
  <c r="R105" i="20"/>
  <c r="R104" i="20"/>
  <c r="R103" i="20"/>
  <c r="R102" i="20"/>
  <c r="E101" i="20"/>
  <c r="N98" i="20"/>
  <c r="E91" i="20"/>
  <c r="E72" i="20"/>
  <c r="E63" i="20"/>
  <c r="E56" i="20"/>
  <c r="E49" i="20"/>
  <c r="E182" i="20"/>
  <c r="Q34" i="20"/>
  <c r="E28" i="20"/>
  <c r="E16" i="20"/>
  <c r="E9" i="20"/>
  <c r="P284" i="4"/>
  <c r="M284" i="4"/>
  <c r="I284" i="4"/>
  <c r="G284" i="4"/>
  <c r="E256" i="13"/>
  <c r="K249" i="13"/>
  <c r="E249" i="13"/>
  <c r="K245" i="13"/>
  <c r="K244" i="13"/>
  <c r="K243" i="13"/>
  <c r="K241" i="13"/>
  <c r="E241" i="13"/>
  <c r="E240" i="13" s="1"/>
  <c r="E220" i="13"/>
  <c r="E213" i="13"/>
  <c r="E205" i="4"/>
  <c r="E197" i="4"/>
  <c r="E185" i="13"/>
  <c r="P261" i="14"/>
  <c r="M261" i="14"/>
  <c r="I261" i="14"/>
  <c r="G261" i="14"/>
  <c r="F38" i="11"/>
  <c r="E261" i="14"/>
  <c r="R103" i="13"/>
  <c r="R104" i="13"/>
  <c r="R105" i="13"/>
  <c r="R106" i="13"/>
  <c r="R102" i="13"/>
  <c r="E101" i="13"/>
  <c r="E131" i="13"/>
  <c r="E150" i="13"/>
  <c r="G185" i="13"/>
  <c r="E72" i="13"/>
  <c r="E56" i="13"/>
  <c r="E63" i="13"/>
  <c r="E193" i="13"/>
  <c r="E16" i="13"/>
  <c r="P149" i="16"/>
  <c r="M149" i="16"/>
  <c r="G149" i="16"/>
  <c r="E125" i="16"/>
  <c r="D220" i="13"/>
  <c r="E180" i="16"/>
  <c r="E179" i="16" s="1"/>
  <c r="E189" i="16"/>
  <c r="E188" i="16" s="1"/>
  <c r="E176" i="16"/>
  <c r="K169" i="16"/>
  <c r="G169" i="16"/>
  <c r="E169" i="16"/>
  <c r="K165" i="16"/>
  <c r="K164" i="16"/>
  <c r="K163" i="16"/>
  <c r="K162" i="16"/>
  <c r="K161" i="16"/>
  <c r="E161" i="16"/>
  <c r="E160" i="16" s="1"/>
  <c r="E158" i="16" s="1"/>
  <c r="E149" i="16"/>
  <c r="E138" i="16"/>
  <c r="E113" i="16"/>
  <c r="E106" i="16"/>
  <c r="N101" i="16"/>
  <c r="E94" i="16"/>
  <c r="E75" i="16"/>
  <c r="E66" i="16"/>
  <c r="E59" i="16"/>
  <c r="E52" i="16"/>
  <c r="E32" i="16"/>
  <c r="Q29" i="16"/>
  <c r="E23" i="16"/>
  <c r="E16" i="16"/>
  <c r="E9" i="16"/>
  <c r="D19" i="19"/>
  <c r="D18" i="19"/>
  <c r="D15" i="19"/>
  <c r="D13" i="19"/>
  <c r="D7" i="19"/>
  <c r="D6" i="19"/>
  <c r="D2" i="19"/>
  <c r="C23" i="19"/>
  <c r="B23" i="19"/>
  <c r="C22" i="19"/>
  <c r="B22" i="19"/>
  <c r="C21" i="19"/>
  <c r="B21" i="19"/>
  <c r="I20" i="19"/>
  <c r="C20" i="19"/>
  <c r="B20" i="19"/>
  <c r="I19" i="19"/>
  <c r="B19" i="19"/>
  <c r="I18" i="19"/>
  <c r="C18" i="19"/>
  <c r="B18" i="19"/>
  <c r="I17" i="19"/>
  <c r="C17" i="19"/>
  <c r="B17" i="19"/>
  <c r="C16" i="19"/>
  <c r="B16" i="19"/>
  <c r="I15" i="19"/>
  <c r="C15" i="19"/>
  <c r="B15" i="19"/>
  <c r="I14" i="19"/>
  <c r="C14" i="19"/>
  <c r="B14" i="19"/>
  <c r="I13" i="19"/>
  <c r="C13" i="19"/>
  <c r="B13" i="19"/>
  <c r="G12" i="19"/>
  <c r="F12" i="19"/>
  <c r="D12" i="19"/>
  <c r="H12" i="19" s="1"/>
  <c r="I11" i="19"/>
  <c r="C11" i="19"/>
  <c r="B11" i="19"/>
  <c r="I9" i="19"/>
  <c r="C9" i="19"/>
  <c r="B9" i="19"/>
  <c r="I8" i="19"/>
  <c r="C8" i="19"/>
  <c r="B8" i="19"/>
  <c r="C7" i="19"/>
  <c r="B7" i="19"/>
  <c r="I6" i="19"/>
  <c r="B6" i="19"/>
  <c r="I5" i="19"/>
  <c r="C5" i="19"/>
  <c r="B5" i="19"/>
  <c r="I4" i="19"/>
  <c r="C4" i="19"/>
  <c r="B4" i="19"/>
  <c r="I3" i="19"/>
  <c r="C3" i="19"/>
  <c r="B3" i="19"/>
  <c r="I2" i="19"/>
  <c r="C2" i="19"/>
  <c r="B2" i="19"/>
  <c r="D6" i="18"/>
  <c r="C23" i="18"/>
  <c r="B23" i="18"/>
  <c r="C22" i="18"/>
  <c r="B22" i="18"/>
  <c r="C21" i="18"/>
  <c r="B21" i="18"/>
  <c r="I20" i="18"/>
  <c r="C20" i="18"/>
  <c r="B20" i="18"/>
  <c r="I19" i="18"/>
  <c r="B19" i="18"/>
  <c r="I18" i="18"/>
  <c r="C18" i="18"/>
  <c r="B18" i="18"/>
  <c r="I17" i="18"/>
  <c r="C17" i="18"/>
  <c r="B17" i="18"/>
  <c r="C16" i="18"/>
  <c r="B16" i="18"/>
  <c r="I15" i="18"/>
  <c r="C15" i="18"/>
  <c r="B15" i="18"/>
  <c r="I14" i="18"/>
  <c r="C14" i="18"/>
  <c r="B14" i="18"/>
  <c r="I13" i="18"/>
  <c r="C13" i="18"/>
  <c r="B13" i="18"/>
  <c r="G12" i="18"/>
  <c r="F12" i="18"/>
  <c r="M166" i="22" s="1"/>
  <c r="D12" i="18"/>
  <c r="H12" i="18" s="1"/>
  <c r="I166" i="22" s="1"/>
  <c r="I11" i="18"/>
  <c r="C11" i="18"/>
  <c r="B11" i="18"/>
  <c r="I9" i="18"/>
  <c r="C9" i="18"/>
  <c r="B9" i="18"/>
  <c r="I8" i="18"/>
  <c r="C8" i="18"/>
  <c r="B8" i="18"/>
  <c r="C7" i="18"/>
  <c r="B7" i="18"/>
  <c r="I6" i="18"/>
  <c r="B6" i="18"/>
  <c r="I5" i="18"/>
  <c r="C5" i="18"/>
  <c r="B5" i="18"/>
  <c r="I4" i="18"/>
  <c r="C4" i="18"/>
  <c r="B4" i="18"/>
  <c r="I3" i="18"/>
  <c r="C3" i="18"/>
  <c r="B3" i="18"/>
  <c r="I2" i="18"/>
  <c r="C2" i="18"/>
  <c r="B2" i="18"/>
  <c r="D12" i="17"/>
  <c r="D6" i="17"/>
  <c r="C23" i="17"/>
  <c r="B23" i="17"/>
  <c r="C22" i="17"/>
  <c r="B22" i="17"/>
  <c r="C21" i="17"/>
  <c r="B21" i="17"/>
  <c r="I20" i="17"/>
  <c r="C20" i="17"/>
  <c r="B20" i="17"/>
  <c r="I19" i="17"/>
  <c r="B19" i="17"/>
  <c r="I18" i="17"/>
  <c r="C18" i="17"/>
  <c r="B18" i="17"/>
  <c r="I17" i="17"/>
  <c r="C17" i="17"/>
  <c r="B17" i="17"/>
  <c r="C16" i="17"/>
  <c r="B16" i="17"/>
  <c r="I15" i="17"/>
  <c r="C15" i="17"/>
  <c r="B15" i="17"/>
  <c r="I14" i="17"/>
  <c r="C14" i="17"/>
  <c r="B14" i="17"/>
  <c r="I13" i="17"/>
  <c r="C13" i="17"/>
  <c r="B13" i="17"/>
  <c r="G12" i="17"/>
  <c r="F12" i="17"/>
  <c r="H12" i="17"/>
  <c r="I149" i="16" s="1"/>
  <c r="I11" i="17"/>
  <c r="C11" i="17"/>
  <c r="B11" i="17"/>
  <c r="I9" i="17"/>
  <c r="C9" i="17"/>
  <c r="B9" i="17"/>
  <c r="I8" i="17"/>
  <c r="C8" i="17"/>
  <c r="B8" i="17"/>
  <c r="C7" i="17"/>
  <c r="B7" i="17"/>
  <c r="I6" i="17"/>
  <c r="B6" i="17"/>
  <c r="I5" i="17"/>
  <c r="C5" i="17"/>
  <c r="B5" i="17"/>
  <c r="I4" i="17"/>
  <c r="C4" i="17"/>
  <c r="B4" i="17"/>
  <c r="I3" i="17"/>
  <c r="C3" i="17"/>
  <c r="B3" i="17"/>
  <c r="I2" i="17"/>
  <c r="C2" i="17"/>
  <c r="B2" i="17"/>
  <c r="M18" i="3"/>
  <c r="M19" i="3"/>
  <c r="M20" i="3"/>
  <c r="M21" i="3"/>
  <c r="M46" i="3"/>
  <c r="M48" i="3"/>
  <c r="M61" i="3"/>
  <c r="M85" i="3"/>
  <c r="M87" i="3"/>
  <c r="M4" i="3"/>
  <c r="K61" i="3"/>
  <c r="K48" i="3"/>
  <c r="K46" i="3"/>
  <c r="K23" i="3"/>
  <c r="K22" i="3" s="1"/>
  <c r="E116" i="15"/>
  <c r="E216" i="15"/>
  <c r="E204" i="15"/>
  <c r="E196" i="15"/>
  <c r="K189" i="15"/>
  <c r="E189" i="15"/>
  <c r="K185" i="15"/>
  <c r="K184" i="15"/>
  <c r="K183" i="15"/>
  <c r="K182" i="15"/>
  <c r="K181" i="15"/>
  <c r="E181" i="15"/>
  <c r="G141" i="15"/>
  <c r="E141" i="15"/>
  <c r="E130" i="15"/>
  <c r="E104" i="15"/>
  <c r="E97" i="15"/>
  <c r="N92" i="15"/>
  <c r="E85" i="15"/>
  <c r="E66" i="15"/>
  <c r="E57" i="15"/>
  <c r="E50" i="15"/>
  <c r="E43" i="15"/>
  <c r="Q29" i="15"/>
  <c r="E23" i="15"/>
  <c r="E16" i="15"/>
  <c r="E130" i="14"/>
  <c r="D130" i="14"/>
  <c r="F130" i="14" s="1"/>
  <c r="C130" i="14" s="1"/>
  <c r="D137" i="14"/>
  <c r="D16" i="14"/>
  <c r="E284" i="4"/>
  <c r="E275" i="4"/>
  <c r="E264" i="4"/>
  <c r="E241" i="4"/>
  <c r="E249" i="4"/>
  <c r="D264" i="4"/>
  <c r="F264" i="4" s="1"/>
  <c r="D257" i="4"/>
  <c r="D226" i="4"/>
  <c r="K257" i="4"/>
  <c r="E257" i="4"/>
  <c r="F257" i="4"/>
  <c r="C257" i="4" s="1"/>
  <c r="K230" i="4"/>
  <c r="K229" i="4"/>
  <c r="K228" i="4"/>
  <c r="K86" i="8"/>
  <c r="K87" i="8"/>
  <c r="K88" i="8"/>
  <c r="K85" i="8"/>
  <c r="E226" i="4"/>
  <c r="F226" i="4" s="1"/>
  <c r="D275" i="4"/>
  <c r="D284" i="4"/>
  <c r="D123" i="14"/>
  <c r="B17" i="11"/>
  <c r="B38" i="11"/>
  <c r="E181" i="14"/>
  <c r="G181" i="14"/>
  <c r="E98" i="14"/>
  <c r="E170" i="14"/>
  <c r="E137" i="14"/>
  <c r="E123" i="14"/>
  <c r="N95" i="14"/>
  <c r="E88" i="14"/>
  <c r="E69" i="14"/>
  <c r="E60" i="14"/>
  <c r="E53" i="14"/>
  <c r="E46" i="14"/>
  <c r="E189" i="14"/>
  <c r="Q33" i="14"/>
  <c r="E27" i="14"/>
  <c r="E9" i="14"/>
  <c r="G12" i="9"/>
  <c r="F12" i="9"/>
  <c r="D12" i="9"/>
  <c r="E166" i="4"/>
  <c r="G12" i="6"/>
  <c r="F12" i="6"/>
  <c r="D12" i="6"/>
  <c r="E174" i="13"/>
  <c r="E138" i="13"/>
  <c r="E124" i="13"/>
  <c r="N98" i="13"/>
  <c r="E91" i="13"/>
  <c r="E49" i="13"/>
  <c r="Q34" i="13"/>
  <c r="E28" i="13"/>
  <c r="E9" i="13"/>
  <c r="H12" i="6"/>
  <c r="G166" i="4"/>
  <c r="E155" i="4"/>
  <c r="C64" i="3"/>
  <c r="D64" i="3" s="1"/>
  <c r="C65" i="3"/>
  <c r="D65" i="3" s="1"/>
  <c r="C66" i="3"/>
  <c r="D66" i="3" s="1"/>
  <c r="C67" i="3"/>
  <c r="D67" i="3" s="1"/>
  <c r="C68" i="3"/>
  <c r="D68" i="3" s="1"/>
  <c r="C69" i="3"/>
  <c r="D69" i="3" s="1"/>
  <c r="C70" i="3"/>
  <c r="D70" i="3" s="1"/>
  <c r="C71" i="3"/>
  <c r="D71" i="3" s="1"/>
  <c r="D72" i="3"/>
  <c r="C63" i="3"/>
  <c r="D63" i="3" s="1"/>
  <c r="E128" i="4"/>
  <c r="N72" i="8"/>
  <c r="N94" i="4"/>
  <c r="E121" i="4"/>
  <c r="E87" i="4"/>
  <c r="E59" i="4"/>
  <c r="E52" i="4"/>
  <c r="E45" i="4"/>
  <c r="E68" i="4"/>
  <c r="Q29" i="4"/>
  <c r="E23" i="4"/>
  <c r="E16" i="4"/>
  <c r="E9" i="4"/>
  <c r="K84" i="8"/>
  <c r="K117" i="8"/>
  <c r="K118" i="8"/>
  <c r="K119" i="8"/>
  <c r="K120" i="8"/>
  <c r="K121" i="8"/>
  <c r="K116" i="8"/>
  <c r="E53" i="11"/>
  <c r="K102" i="8"/>
  <c r="K101" i="8"/>
  <c r="K100" i="8"/>
  <c r="K99" i="8"/>
  <c r="I23" i="12"/>
  <c r="K98" i="8"/>
  <c r="I22" i="12"/>
  <c r="J24" i="12"/>
  <c r="J25" i="12"/>
  <c r="J26" i="12"/>
  <c r="J23" i="12"/>
  <c r="I24" i="12"/>
  <c r="I25" i="12"/>
  <c r="I26" i="12"/>
  <c r="H17" i="12"/>
  <c r="J5" i="12"/>
  <c r="J6" i="12"/>
  <c r="J7" i="12"/>
  <c r="J4" i="12"/>
  <c r="I4" i="12"/>
  <c r="I91" i="8"/>
  <c r="P91" i="8"/>
  <c r="M91" i="8"/>
  <c r="I17" i="11"/>
  <c r="F17" i="11"/>
  <c r="E19" i="11"/>
  <c r="E20" i="11"/>
  <c r="E18" i="11"/>
  <c r="C17" i="11"/>
  <c r="G24" i="12"/>
  <c r="G25" i="12"/>
  <c r="G26" i="12"/>
  <c r="G23" i="12"/>
  <c r="G4" i="12"/>
  <c r="F25" i="12"/>
  <c r="F24" i="12"/>
  <c r="F23" i="12"/>
  <c r="D19" i="11"/>
  <c r="D18" i="11"/>
  <c r="I3" i="12"/>
  <c r="H16" i="12"/>
  <c r="F39" i="12"/>
  <c r="G39" i="12" s="1"/>
  <c r="I39" i="12" s="1"/>
  <c r="F38" i="12"/>
  <c r="G38" i="12" s="1"/>
  <c r="I38" i="12" s="1"/>
  <c r="F37" i="12"/>
  <c r="G37" i="12" s="1"/>
  <c r="I37" i="12" s="1"/>
  <c r="H38" i="12"/>
  <c r="H37" i="12"/>
  <c r="F18" i="12"/>
  <c r="G18" i="12" s="1"/>
  <c r="I18" i="12" s="1"/>
  <c r="F17" i="12"/>
  <c r="G17" i="12" s="1"/>
  <c r="I17" i="12" s="1"/>
  <c r="F16" i="12"/>
  <c r="G16" i="12" s="1"/>
  <c r="I16" i="12" s="1"/>
  <c r="I15" i="12" s="1"/>
  <c r="K91" i="8" s="1"/>
  <c r="F6" i="12"/>
  <c r="F5" i="12"/>
  <c r="F4" i="12"/>
  <c r="H55" i="11"/>
  <c r="H56" i="11"/>
  <c r="H57" i="11"/>
  <c r="H58" i="11"/>
  <c r="H54" i="11"/>
  <c r="H53" i="11"/>
  <c r="G115" i="8"/>
  <c r="K55" i="11"/>
  <c r="K56" i="11"/>
  <c r="K57" i="11"/>
  <c r="K58" i="11"/>
  <c r="K59" i="11"/>
  <c r="K54" i="11"/>
  <c r="K46" i="11"/>
  <c r="K53" i="11"/>
  <c r="D7" i="11"/>
  <c r="G5" i="12"/>
  <c r="I5" i="12" s="1"/>
  <c r="G6" i="12"/>
  <c r="I6" i="12" s="1"/>
  <c r="G7" i="12"/>
  <c r="B43" i="12"/>
  <c r="B36" i="12"/>
  <c r="C15" i="12"/>
  <c r="B15" i="12"/>
  <c r="E91" i="8"/>
  <c r="H47" i="11"/>
  <c r="H48" i="11"/>
  <c r="H49" i="11"/>
  <c r="H50" i="11"/>
  <c r="H46" i="11"/>
  <c r="K47" i="11"/>
  <c r="K48" i="11"/>
  <c r="K49" i="11"/>
  <c r="K50" i="11"/>
  <c r="K51" i="11"/>
  <c r="I45" i="11"/>
  <c r="F45" i="11"/>
  <c r="C45" i="11"/>
  <c r="B45" i="11"/>
  <c r="K40" i="11"/>
  <c r="K41" i="11"/>
  <c r="K42" i="11"/>
  <c r="K43" i="11"/>
  <c r="K44" i="11"/>
  <c r="K39" i="11"/>
  <c r="H40" i="11"/>
  <c r="H41" i="11"/>
  <c r="H42" i="11"/>
  <c r="H43" i="11"/>
  <c r="H39" i="11"/>
  <c r="I38" i="11"/>
  <c r="C38" i="11"/>
  <c r="J45" i="11"/>
  <c r="G45" i="11"/>
  <c r="J53" i="11"/>
  <c r="J38" i="11"/>
  <c r="J31" i="11"/>
  <c r="J24" i="11"/>
  <c r="J17" i="11"/>
  <c r="J10" i="11"/>
  <c r="J3" i="11"/>
  <c r="G38" i="11"/>
  <c r="G31" i="11"/>
  <c r="G24" i="11"/>
  <c r="G17" i="11"/>
  <c r="G10" i="11"/>
  <c r="H12" i="11"/>
  <c r="H13" i="11"/>
  <c r="H14" i="11"/>
  <c r="H15" i="11"/>
  <c r="H11" i="11"/>
  <c r="G3" i="11"/>
  <c r="H5" i="11"/>
  <c r="H6" i="11"/>
  <c r="H7" i="11"/>
  <c r="H8" i="11"/>
  <c r="H4" i="11"/>
  <c r="L3" i="11"/>
  <c r="E98" i="8"/>
  <c r="F98" i="8" s="1"/>
  <c r="C98" i="8" s="1"/>
  <c r="E84" i="8"/>
  <c r="Q71" i="8"/>
  <c r="Q53" i="8"/>
  <c r="Q46" i="8"/>
  <c r="Q24" i="8"/>
  <c r="Q17" i="8"/>
  <c r="Q10" i="8"/>
  <c r="N11" i="8"/>
  <c r="L77" i="8"/>
  <c r="B32" i="3"/>
  <c r="E65" i="8"/>
  <c r="F65" i="8" s="1"/>
  <c r="C65" i="8" s="1"/>
  <c r="L59" i="8"/>
  <c r="B21" i="9"/>
  <c r="B20" i="9"/>
  <c r="B23" i="9"/>
  <c r="B22" i="9"/>
  <c r="C23" i="9"/>
  <c r="C22" i="9"/>
  <c r="C21" i="9"/>
  <c r="C20" i="9"/>
  <c r="E16" i="14"/>
  <c r="C23" i="6"/>
  <c r="C22" i="6"/>
  <c r="C21" i="6"/>
  <c r="C20" i="6"/>
  <c r="B23" i="6"/>
  <c r="B22" i="6"/>
  <c r="B21" i="6"/>
  <c r="B20" i="6"/>
  <c r="C90" i="3"/>
  <c r="C91" i="3"/>
  <c r="C92" i="3"/>
  <c r="C93" i="3"/>
  <c r="C94" i="3"/>
  <c r="C95" i="3"/>
  <c r="C96" i="3"/>
  <c r="C89" i="3"/>
  <c r="D90" i="3"/>
  <c r="H106" i="3"/>
  <c r="C99" i="3"/>
  <c r="D99" i="3" s="1"/>
  <c r="C100" i="3"/>
  <c r="D100" i="3" s="1"/>
  <c r="C101" i="3"/>
  <c r="D101" i="3" s="1"/>
  <c r="C102" i="3"/>
  <c r="D102" i="3" s="1"/>
  <c r="C103" i="3"/>
  <c r="D103" i="3" s="1"/>
  <c r="C104" i="3"/>
  <c r="D104" i="3" s="1"/>
  <c r="C105" i="3"/>
  <c r="D105" i="3" s="1"/>
  <c r="C98" i="3"/>
  <c r="D98" i="3" s="1"/>
  <c r="C108" i="3"/>
  <c r="D108" i="3" s="1"/>
  <c r="C109" i="3"/>
  <c r="D109" i="3" s="1"/>
  <c r="C110" i="3"/>
  <c r="D110" i="3" s="1"/>
  <c r="C111" i="3"/>
  <c r="D111" i="3" s="1"/>
  <c r="C112" i="3"/>
  <c r="D112" i="3" s="1"/>
  <c r="C113" i="3"/>
  <c r="D113" i="3" s="1"/>
  <c r="C114" i="3"/>
  <c r="D114" i="3" s="1"/>
  <c r="C107" i="3"/>
  <c r="D107" i="3" s="1"/>
  <c r="D3" i="8"/>
  <c r="F87" i="3"/>
  <c r="K87" i="3" s="1"/>
  <c r="C85" i="3"/>
  <c r="D85" i="3" s="1"/>
  <c r="C87" i="3"/>
  <c r="D87" i="3" s="1"/>
  <c r="H22" i="3"/>
  <c r="H45" i="3"/>
  <c r="I45" i="3"/>
  <c r="H47" i="3"/>
  <c r="I47" i="3"/>
  <c r="H60" i="3"/>
  <c r="I60" i="3"/>
  <c r="H84" i="3"/>
  <c r="I84" i="3"/>
  <c r="J4" i="3"/>
  <c r="D2" i="9" s="1"/>
  <c r="I23" i="3"/>
  <c r="G17" i="3"/>
  <c r="D6" i="6" s="1"/>
  <c r="F85" i="3"/>
  <c r="K85" i="3" s="1"/>
  <c r="E47" i="8"/>
  <c r="D47" i="8"/>
  <c r="E40" i="8"/>
  <c r="F40" i="8" s="1"/>
  <c r="D93" i="10"/>
  <c r="E93" i="10" s="1"/>
  <c r="D92" i="10"/>
  <c r="E92" i="10" s="1"/>
  <c r="D91" i="10"/>
  <c r="E91" i="10" s="1"/>
  <c r="D90" i="10"/>
  <c r="E90" i="10" s="1"/>
  <c r="D89" i="10"/>
  <c r="E89" i="10" s="1"/>
  <c r="D88" i="10"/>
  <c r="E88" i="10" s="1"/>
  <c r="D87" i="10"/>
  <c r="E87" i="10" s="1"/>
  <c r="D86" i="10"/>
  <c r="E86" i="10" s="1"/>
  <c r="D84" i="10"/>
  <c r="E84" i="10" s="1"/>
  <c r="D83" i="10"/>
  <c r="E83" i="10" s="1"/>
  <c r="D82" i="10"/>
  <c r="E82" i="10" s="1"/>
  <c r="D81" i="10"/>
  <c r="E81" i="10" s="1"/>
  <c r="D80" i="10"/>
  <c r="E80" i="10" s="1"/>
  <c r="D79" i="10"/>
  <c r="E79" i="10" s="1"/>
  <c r="D78" i="10"/>
  <c r="E78" i="10" s="1"/>
  <c r="D77" i="10"/>
  <c r="E77" i="10" s="1"/>
  <c r="D75" i="10"/>
  <c r="E75" i="10" s="1"/>
  <c r="D73" i="10"/>
  <c r="E73" i="10" s="1"/>
  <c r="D72" i="10"/>
  <c r="E72" i="10" s="1"/>
  <c r="D71" i="10"/>
  <c r="E71" i="10" s="1"/>
  <c r="D70" i="10"/>
  <c r="E70" i="10" s="1"/>
  <c r="D69" i="10"/>
  <c r="E69" i="10" s="1"/>
  <c r="D68" i="10"/>
  <c r="E68" i="10" s="1"/>
  <c r="D67" i="10"/>
  <c r="E67" i="10" s="1"/>
  <c r="D66" i="10"/>
  <c r="E66" i="10" s="1"/>
  <c r="D65" i="10"/>
  <c r="E65" i="10" s="1"/>
  <c r="D64" i="10"/>
  <c r="E64" i="10" s="1"/>
  <c r="D62" i="10"/>
  <c r="E62" i="10" s="1"/>
  <c r="D60" i="10"/>
  <c r="E60" i="10" s="1"/>
  <c r="D59" i="10"/>
  <c r="E59" i="10" s="1"/>
  <c r="D58" i="10"/>
  <c r="E58" i="10" s="1"/>
  <c r="D57" i="10"/>
  <c r="E57" i="10" s="1"/>
  <c r="D56" i="10"/>
  <c r="E56" i="10" s="1"/>
  <c r="D55" i="10"/>
  <c r="E55" i="10" s="1"/>
  <c r="D54" i="10"/>
  <c r="E54" i="10" s="1"/>
  <c r="D53" i="10"/>
  <c r="E53" i="10" s="1"/>
  <c r="D52" i="10"/>
  <c r="E52" i="10" s="1"/>
  <c r="D51" i="10"/>
  <c r="E51" i="10" s="1"/>
  <c r="D49" i="10"/>
  <c r="E49" i="10" s="1"/>
  <c r="D47" i="10"/>
  <c r="E47" i="10" s="1"/>
  <c r="D45" i="10"/>
  <c r="E45" i="10" s="1"/>
  <c r="D38" i="10"/>
  <c r="E38" i="10" s="1"/>
  <c r="C34" i="10"/>
  <c r="D32" i="10"/>
  <c r="E32" i="10" s="1"/>
  <c r="D23" i="10"/>
  <c r="E23" i="10" s="1"/>
  <c r="D21" i="10"/>
  <c r="E21" i="10" s="1"/>
  <c r="D20" i="10"/>
  <c r="E20" i="10" s="1"/>
  <c r="D19" i="10"/>
  <c r="E19" i="10" s="1"/>
  <c r="D18" i="10"/>
  <c r="E18" i="10" s="1"/>
  <c r="D16" i="10"/>
  <c r="E16" i="10" s="1"/>
  <c r="D15" i="10"/>
  <c r="E15" i="10" s="1"/>
  <c r="D14" i="10"/>
  <c r="E14" i="10" s="1"/>
  <c r="D13" i="10"/>
  <c r="E13" i="10" s="1"/>
  <c r="D11" i="10"/>
  <c r="E11" i="10" s="1"/>
  <c r="D10" i="10"/>
  <c r="D7" i="10"/>
  <c r="E7" i="10" s="1"/>
  <c r="D6" i="10"/>
  <c r="E4" i="10"/>
  <c r="I20" i="9"/>
  <c r="I19" i="9"/>
  <c r="B19" i="9"/>
  <c r="J18" i="9"/>
  <c r="I18" i="9"/>
  <c r="C18" i="9"/>
  <c r="B18" i="9"/>
  <c r="I17" i="9"/>
  <c r="C17" i="9"/>
  <c r="C16" i="9" s="1"/>
  <c r="B17" i="9"/>
  <c r="B16" i="9" s="1"/>
  <c r="I15" i="9"/>
  <c r="C15" i="9"/>
  <c r="B15" i="9"/>
  <c r="I14" i="9"/>
  <c r="C14" i="9"/>
  <c r="B14" i="9"/>
  <c r="I13" i="9"/>
  <c r="C13" i="9"/>
  <c r="B13" i="9"/>
  <c r="I11" i="9"/>
  <c r="C11" i="9"/>
  <c r="B11" i="9"/>
  <c r="I9" i="9"/>
  <c r="C9" i="9"/>
  <c r="B9" i="9"/>
  <c r="I8" i="9"/>
  <c r="C8" i="9"/>
  <c r="C10" i="9" s="1"/>
  <c r="B8" i="9"/>
  <c r="I6" i="9"/>
  <c r="B6" i="9"/>
  <c r="E6" i="9" s="1"/>
  <c r="I5" i="9"/>
  <c r="C5" i="9"/>
  <c r="B5" i="9"/>
  <c r="I4" i="9"/>
  <c r="C4" i="9"/>
  <c r="B4" i="9"/>
  <c r="I3" i="9"/>
  <c r="C3" i="9"/>
  <c r="B3" i="9"/>
  <c r="I2" i="9"/>
  <c r="C2" i="9"/>
  <c r="B2" i="9"/>
  <c r="E18" i="8"/>
  <c r="F18" i="8" s="1"/>
  <c r="C18" i="8" s="1"/>
  <c r="E11" i="8"/>
  <c r="F11" i="8" s="1"/>
  <c r="C11" i="8" s="1"/>
  <c r="E4" i="8"/>
  <c r="F4" i="8" s="1"/>
  <c r="C61" i="3"/>
  <c r="D61" i="3" s="1"/>
  <c r="J61" i="3" s="1"/>
  <c r="J60" i="3" s="1"/>
  <c r="D15" i="9" s="1"/>
  <c r="C48" i="3"/>
  <c r="D48" i="3" s="1"/>
  <c r="J48" i="3" s="1"/>
  <c r="J47" i="3" s="1"/>
  <c r="D13" i="9" s="1"/>
  <c r="C46" i="3"/>
  <c r="D46" i="3" s="1"/>
  <c r="J46" i="3" s="1"/>
  <c r="J45" i="3" s="1"/>
  <c r="I15" i="6"/>
  <c r="I13" i="6"/>
  <c r="I20" i="6"/>
  <c r="B9" i="6"/>
  <c r="G9" i="5"/>
  <c r="E9" i="5"/>
  <c r="H9" i="5" s="1"/>
  <c r="D9" i="5"/>
  <c r="C9" i="5"/>
  <c r="B9" i="5"/>
  <c r="I9" i="5" s="1"/>
  <c r="J9" i="5" s="1"/>
  <c r="B4" i="6"/>
  <c r="B5" i="6"/>
  <c r="B6" i="6"/>
  <c r="B7" i="6"/>
  <c r="B8" i="6"/>
  <c r="B11" i="6"/>
  <c r="B13" i="6"/>
  <c r="B14" i="6"/>
  <c r="B15" i="6"/>
  <c r="B17" i="6"/>
  <c r="B16" i="6" s="1"/>
  <c r="B18" i="6"/>
  <c r="B19" i="6"/>
  <c r="B2" i="6"/>
  <c r="D6" i="5"/>
  <c r="G3" i="5"/>
  <c r="E4" i="5"/>
  <c r="H20" i="5"/>
  <c r="B3" i="5"/>
  <c r="B6" i="5"/>
  <c r="C7" i="5"/>
  <c r="I17" i="6"/>
  <c r="I18" i="6"/>
  <c r="G7" i="5"/>
  <c r="D16" i="5"/>
  <c r="B5" i="5"/>
  <c r="G5" i="5"/>
  <c r="E5" i="5"/>
  <c r="H5" i="5" s="1"/>
  <c r="G4" i="5"/>
  <c r="B4" i="5"/>
  <c r="C6" i="3"/>
  <c r="D6" i="3" s="1"/>
  <c r="I19" i="6"/>
  <c r="G17" i="5"/>
  <c r="H17" i="5"/>
  <c r="G18" i="5"/>
  <c r="G10" i="5"/>
  <c r="B17" i="5"/>
  <c r="I17" i="5" s="1"/>
  <c r="J17" i="5" s="1"/>
  <c r="I5" i="6"/>
  <c r="I6" i="6"/>
  <c r="B10" i="5"/>
  <c r="D7" i="5"/>
  <c r="B7" i="5" s="1"/>
  <c r="C18" i="5"/>
  <c r="B18" i="5" s="1"/>
  <c r="D4" i="7"/>
  <c r="D8" i="5"/>
  <c r="C83" i="3"/>
  <c r="D44" i="1"/>
  <c r="E20" i="7"/>
  <c r="F4" i="7"/>
  <c r="F7" i="7"/>
  <c r="C4" i="6"/>
  <c r="C5" i="6"/>
  <c r="C7" i="6"/>
  <c r="C8" i="6"/>
  <c r="C9" i="6"/>
  <c r="C11" i="6"/>
  <c r="C13" i="6"/>
  <c r="C14" i="6"/>
  <c r="C15" i="6"/>
  <c r="C17" i="6"/>
  <c r="C16" i="6" s="1"/>
  <c r="C18" i="6"/>
  <c r="B8" i="7"/>
  <c r="D12" i="7"/>
  <c r="D8" i="7"/>
  <c r="F8" i="7" s="1"/>
  <c r="D9" i="7"/>
  <c r="F9" i="7" s="1"/>
  <c r="D10" i="7"/>
  <c r="F10" i="7" s="1"/>
  <c r="D11" i="7"/>
  <c r="F11" i="7" s="1"/>
  <c r="D13" i="7"/>
  <c r="F13" i="7" s="1"/>
  <c r="D14" i="7"/>
  <c r="F14" i="7" s="1"/>
  <c r="D15" i="7"/>
  <c r="F15" i="7" s="1"/>
  <c r="D17" i="7"/>
  <c r="F17" i="7" s="1"/>
  <c r="D20" i="7"/>
  <c r="F20" i="7" s="1"/>
  <c r="F3" i="7"/>
  <c r="B16" i="7"/>
  <c r="D16" i="7" s="1"/>
  <c r="F16" i="7" s="1"/>
  <c r="D5" i="7"/>
  <c r="F5" i="7" s="1"/>
  <c r="D6" i="7"/>
  <c r="F6" i="7" s="1"/>
  <c r="E18" i="5"/>
  <c r="H18" i="5"/>
  <c r="E16" i="5"/>
  <c r="H16" i="5" s="1"/>
  <c r="E7" i="5"/>
  <c r="E6" i="5"/>
  <c r="H6" i="5" s="1"/>
  <c r="I6" i="5" s="1"/>
  <c r="E10" i="5"/>
  <c r="H11" i="5"/>
  <c r="G11" i="5"/>
  <c r="H10" i="5"/>
  <c r="H4" i="5"/>
  <c r="H7" i="5"/>
  <c r="H8" i="5"/>
  <c r="H12" i="5"/>
  <c r="H13" i="5"/>
  <c r="H14" i="5"/>
  <c r="H15" i="5"/>
  <c r="H19" i="5"/>
  <c r="E3" i="5"/>
  <c r="H3" i="5" s="1"/>
  <c r="G6" i="5"/>
  <c r="G20" i="5"/>
  <c r="G19" i="5"/>
  <c r="G16" i="5"/>
  <c r="G15" i="5"/>
  <c r="G14" i="5"/>
  <c r="G13" i="5"/>
  <c r="G12" i="5"/>
  <c r="G8" i="5"/>
  <c r="I14" i="6"/>
  <c r="I11" i="6"/>
  <c r="I9" i="6"/>
  <c r="I8" i="6"/>
  <c r="I4" i="6"/>
  <c r="I10" i="5"/>
  <c r="J10" i="5" s="1"/>
  <c r="B12" i="5"/>
  <c r="I12" i="5" s="1"/>
  <c r="J12" i="5" s="1"/>
  <c r="B13" i="5"/>
  <c r="I13" i="5" s="1"/>
  <c r="J13" i="5" s="1"/>
  <c r="B14" i="5"/>
  <c r="I14" i="5" s="1"/>
  <c r="J14" i="5" s="1"/>
  <c r="B15" i="5"/>
  <c r="I15" i="5" s="1"/>
  <c r="J15" i="5" s="1"/>
  <c r="B19" i="5"/>
  <c r="I19" i="5" s="1"/>
  <c r="J19" i="5" s="1"/>
  <c r="B20" i="5"/>
  <c r="I20" i="5" s="1"/>
  <c r="J20" i="5" s="1"/>
  <c r="C8" i="5"/>
  <c r="C16" i="5"/>
  <c r="C11" i="5"/>
  <c r="B11" i="5" s="1"/>
  <c r="I11" i="5" s="1"/>
  <c r="J11" i="5" s="1"/>
  <c r="E71" i="1"/>
  <c r="E58" i="1"/>
  <c r="E45" i="1"/>
  <c r="E43" i="1"/>
  <c r="E20" i="1"/>
  <c r="C33" i="3"/>
  <c r="D33" i="3"/>
  <c r="E30" i="1"/>
  <c r="G24" i="1"/>
  <c r="G25" i="1"/>
  <c r="D4" i="3"/>
  <c r="N5" i="1"/>
  <c r="C16" i="3"/>
  <c r="C15" i="3"/>
  <c r="C14" i="3"/>
  <c r="C11" i="3"/>
  <c r="D11" i="3" s="1"/>
  <c r="C37" i="3"/>
  <c r="C123" i="3"/>
  <c r="D123" i="3" s="1"/>
  <c r="C122" i="3"/>
  <c r="D122" i="3" s="1"/>
  <c r="C121" i="3"/>
  <c r="D121" i="3" s="1"/>
  <c r="C120" i="3"/>
  <c r="C119" i="3"/>
  <c r="C118" i="3"/>
  <c r="D85" i="15"/>
  <c r="D115" i="8"/>
  <c r="F115" i="8" s="1"/>
  <c r="D91" i="8"/>
  <c r="F91" i="8" s="1"/>
  <c r="C91" i="8" s="1"/>
  <c r="D138" i="20"/>
  <c r="F138" i="20" s="1"/>
  <c r="C138" i="20" s="1"/>
  <c r="D16" i="20"/>
  <c r="F16" i="20" s="1"/>
  <c r="C16" i="20" s="1"/>
  <c r="D209" i="20"/>
  <c r="F209" i="20" s="1"/>
  <c r="C209" i="20" s="1"/>
  <c r="D175" i="20"/>
  <c r="F175" i="20" s="1"/>
  <c r="D49" i="20"/>
  <c r="D213" i="13"/>
  <c r="F209" i="14" l="1"/>
  <c r="C210" i="14"/>
  <c r="C209" i="14" s="1"/>
  <c r="B209" i="14" s="1"/>
  <c r="H217" i="14"/>
  <c r="H210" i="14"/>
  <c r="F160" i="15"/>
  <c r="C161" i="15"/>
  <c r="C160" i="15" s="1"/>
  <c r="B160" i="15" s="1"/>
  <c r="H169" i="15"/>
  <c r="H161" i="15"/>
  <c r="C97" i="4"/>
  <c r="L107" i="4"/>
  <c r="L98" i="4"/>
  <c r="L99" i="4"/>
  <c r="L100" i="4"/>
  <c r="L101" i="4"/>
  <c r="L102" i="4"/>
  <c r="L103" i="4"/>
  <c r="L104" i="4"/>
  <c r="L105" i="4"/>
  <c r="L106" i="4"/>
  <c r="H102" i="4"/>
  <c r="H103" i="4"/>
  <c r="H98" i="4"/>
  <c r="H99" i="4"/>
  <c r="H100" i="4"/>
  <c r="H101" i="4"/>
  <c r="H97" i="4"/>
  <c r="L97" i="4" s="1"/>
  <c r="L175" i="4"/>
  <c r="L176" i="4"/>
  <c r="L177" i="4"/>
  <c r="L178" i="4"/>
  <c r="L179" i="4"/>
  <c r="L180" i="4"/>
  <c r="L181" i="4"/>
  <c r="L174" i="4"/>
  <c r="L182" i="4" s="1"/>
  <c r="F230" i="20"/>
  <c r="D229" i="20"/>
  <c r="D227" i="20" s="1"/>
  <c r="F243" i="14"/>
  <c r="E8" i="14"/>
  <c r="H251" i="14"/>
  <c r="C251" i="14"/>
  <c r="H243" i="14"/>
  <c r="C243" i="14"/>
  <c r="H235" i="14"/>
  <c r="L228" i="14"/>
  <c r="O228" i="14"/>
  <c r="R228" i="14"/>
  <c r="H176" i="23"/>
  <c r="C187" i="23"/>
  <c r="F186" i="23"/>
  <c r="C186" i="23"/>
  <c r="B186" i="23" s="1"/>
  <c r="R268" i="20"/>
  <c r="R267" i="20"/>
  <c r="R266" i="20"/>
  <c r="R265" i="20"/>
  <c r="R264" i="20"/>
  <c r="R263" i="20"/>
  <c r="O267" i="20"/>
  <c r="O266" i="20"/>
  <c r="O265" i="20"/>
  <c r="O264" i="20"/>
  <c r="O263" i="20"/>
  <c r="H253" i="20"/>
  <c r="C253" i="20"/>
  <c r="H245" i="20"/>
  <c r="C245" i="20"/>
  <c r="H238" i="20"/>
  <c r="C238" i="20"/>
  <c r="H230" i="20"/>
  <c r="F229" i="20"/>
  <c r="C230" i="20"/>
  <c r="C229" i="20" s="1"/>
  <c r="L157" i="15"/>
  <c r="L156" i="15"/>
  <c r="L155" i="15"/>
  <c r="L154" i="15"/>
  <c r="L153" i="15"/>
  <c r="L152" i="15"/>
  <c r="L151" i="15"/>
  <c r="L150" i="15"/>
  <c r="H149" i="15"/>
  <c r="C149" i="15"/>
  <c r="H173" i="4"/>
  <c r="R173" i="4" s="1"/>
  <c r="K231" i="4"/>
  <c r="P241" i="4"/>
  <c r="O236" i="4"/>
  <c r="O237" i="4"/>
  <c r="O238" i="4"/>
  <c r="O239" i="4"/>
  <c r="O235" i="4"/>
  <c r="C264" i="4"/>
  <c r="H264" i="4"/>
  <c r="D9" i="22"/>
  <c r="D132" i="22"/>
  <c r="F132" i="22" s="1"/>
  <c r="C132" i="22" s="1"/>
  <c r="D62" i="22"/>
  <c r="F62" i="22" s="1"/>
  <c r="C62" i="22" s="1"/>
  <c r="D55" i="22"/>
  <c r="F55" i="22" s="1"/>
  <c r="C55" i="22" s="1"/>
  <c r="H24" i="6"/>
  <c r="K287" i="13"/>
  <c r="C64" i="8"/>
  <c r="C157" i="23"/>
  <c r="C156" i="23" s="1"/>
  <c r="C177" i="23" s="1"/>
  <c r="H214" i="23"/>
  <c r="F213" i="23"/>
  <c r="F211" i="23" s="1"/>
  <c r="O174" i="23"/>
  <c r="O173" i="23"/>
  <c r="O172" i="23"/>
  <c r="O171" i="23"/>
  <c r="O170" i="23"/>
  <c r="O169" i="23"/>
  <c r="C115" i="23"/>
  <c r="F90" i="23"/>
  <c r="C91" i="23"/>
  <c r="C90" i="23" s="1"/>
  <c r="F48" i="23"/>
  <c r="C49" i="23"/>
  <c r="F8" i="23"/>
  <c r="C9" i="23"/>
  <c r="H222" i="23"/>
  <c r="L218" i="23"/>
  <c r="L217" i="23"/>
  <c r="L216" i="23"/>
  <c r="L215" i="23"/>
  <c r="L219" i="23" s="1"/>
  <c r="H168" i="23"/>
  <c r="D166" i="22"/>
  <c r="F166" i="22" s="1"/>
  <c r="D9" i="20"/>
  <c r="F16" i="22"/>
  <c r="C16" i="22" s="1"/>
  <c r="C150" i="14"/>
  <c r="H201" i="22"/>
  <c r="F200" i="22"/>
  <c r="F198" i="22" s="1"/>
  <c r="H209" i="22"/>
  <c r="L205" i="22"/>
  <c r="L204" i="22"/>
  <c r="L203" i="22"/>
  <c r="L202" i="22"/>
  <c r="L206" i="22" s="1"/>
  <c r="C226" i="4"/>
  <c r="N4" i="3"/>
  <c r="D2" i="18" s="1"/>
  <c r="E2" i="18" s="1"/>
  <c r="F2" i="18" s="1"/>
  <c r="G11" i="8"/>
  <c r="H25" i="6"/>
  <c r="I11" i="8" s="1"/>
  <c r="G25" i="6"/>
  <c r="P11" i="8" s="1"/>
  <c r="F25" i="6"/>
  <c r="M11" i="8" s="1"/>
  <c r="G4" i="8"/>
  <c r="I22" i="3"/>
  <c r="M23" i="3"/>
  <c r="G4" i="3"/>
  <c r="L4" i="3"/>
  <c r="D2" i="17" s="1"/>
  <c r="C40" i="8"/>
  <c r="F3" i="8"/>
  <c r="L5" i="8"/>
  <c r="C4" i="8"/>
  <c r="C3" i="8" s="1"/>
  <c r="D202" i="20"/>
  <c r="G24" i="6"/>
  <c r="F24" i="6"/>
  <c r="H115" i="8"/>
  <c r="C115" i="8"/>
  <c r="D197" i="4"/>
  <c r="P175" i="20"/>
  <c r="P185" i="13"/>
  <c r="P181" i="14"/>
  <c r="M175" i="20"/>
  <c r="M185" i="13"/>
  <c r="M181" i="14"/>
  <c r="F197" i="4"/>
  <c r="F182" i="20"/>
  <c r="C182" i="20" s="1"/>
  <c r="F101" i="13"/>
  <c r="C101" i="13" s="1"/>
  <c r="F213" i="13"/>
  <c r="D212" i="13"/>
  <c r="D256" i="13"/>
  <c r="F256" i="13" s="1"/>
  <c r="D249" i="13"/>
  <c r="F249" i="13" s="1"/>
  <c r="C249" i="13" s="1"/>
  <c r="F220" i="13"/>
  <c r="C220" i="13" s="1"/>
  <c r="H175" i="20"/>
  <c r="H249" i="13"/>
  <c r="D94" i="16"/>
  <c r="D261" i="14"/>
  <c r="F261" i="14" s="1"/>
  <c r="H261" i="14" s="1"/>
  <c r="F137" i="14"/>
  <c r="C137" i="14" s="1"/>
  <c r="E225" i="4"/>
  <c r="M22" i="3"/>
  <c r="M45" i="3"/>
  <c r="N46" i="3"/>
  <c r="N45" i="3" s="1"/>
  <c r="M47" i="3"/>
  <c r="N48" i="3"/>
  <c r="N47" i="3" s="1"/>
  <c r="D13" i="18" s="1"/>
  <c r="M60" i="3"/>
  <c r="N61" i="3"/>
  <c r="N60" i="3" s="1"/>
  <c r="D15" i="18" s="1"/>
  <c r="M84" i="3"/>
  <c r="N85" i="3"/>
  <c r="K57" i="23" s="1"/>
  <c r="L57" i="23" s="1"/>
  <c r="L88" i="23" s="1"/>
  <c r="M86" i="3"/>
  <c r="N87" i="3"/>
  <c r="N86" i="3" s="1"/>
  <c r="D19" i="18" s="1"/>
  <c r="K86" i="3"/>
  <c r="L87" i="3"/>
  <c r="L86" i="3" s="1"/>
  <c r="D19" i="17" s="1"/>
  <c r="K84" i="3"/>
  <c r="L85" i="3"/>
  <c r="K60" i="3"/>
  <c r="L61" i="3"/>
  <c r="L60" i="3" s="1"/>
  <c r="D15" i="17" s="1"/>
  <c r="K47" i="3"/>
  <c r="L48" i="3"/>
  <c r="L47" i="3" s="1"/>
  <c r="D13" i="17" s="1"/>
  <c r="K45" i="3"/>
  <c r="L46" i="3"/>
  <c r="L45" i="3" s="1"/>
  <c r="J19" i="19"/>
  <c r="E19" i="19"/>
  <c r="F19" i="19" s="1"/>
  <c r="J18" i="19"/>
  <c r="E18" i="19"/>
  <c r="F18" i="19" s="1"/>
  <c r="J15" i="19"/>
  <c r="E15" i="19"/>
  <c r="F15" i="19" s="1"/>
  <c r="E13" i="19"/>
  <c r="F13" i="19" s="1"/>
  <c r="C10" i="19"/>
  <c r="J7" i="19"/>
  <c r="E7" i="19"/>
  <c r="F7" i="19" s="1"/>
  <c r="J6" i="19"/>
  <c r="E6" i="19"/>
  <c r="F6" i="19" s="1"/>
  <c r="J2" i="19"/>
  <c r="E2" i="19"/>
  <c r="F2" i="19" s="1"/>
  <c r="J19" i="18"/>
  <c r="E19" i="18"/>
  <c r="F19" i="18" s="1"/>
  <c r="J15" i="18"/>
  <c r="E15" i="18"/>
  <c r="E13" i="18"/>
  <c r="C10" i="18"/>
  <c r="J6" i="18"/>
  <c r="E6" i="18"/>
  <c r="F6" i="18" s="1"/>
  <c r="J2" i="18"/>
  <c r="J19" i="17"/>
  <c r="E19" i="17"/>
  <c r="F19" i="17" s="1"/>
  <c r="J15" i="17"/>
  <c r="E15" i="17"/>
  <c r="F15" i="17" s="1"/>
  <c r="E13" i="17"/>
  <c r="F13" i="17" s="1"/>
  <c r="C10" i="17"/>
  <c r="J6" i="17"/>
  <c r="E6" i="17"/>
  <c r="F6" i="17" s="1"/>
  <c r="J2" i="17"/>
  <c r="E2" i="17"/>
  <c r="P141" i="15"/>
  <c r="P166" i="4"/>
  <c r="M141" i="15"/>
  <c r="M166" i="4"/>
  <c r="I141" i="15"/>
  <c r="I166" i="4"/>
  <c r="D128" i="4"/>
  <c r="F128" i="4" s="1"/>
  <c r="C128" i="4" s="1"/>
  <c r="D9" i="4"/>
  <c r="D87" i="4"/>
  <c r="D45" i="4"/>
  <c r="D241" i="4"/>
  <c r="D249" i="4"/>
  <c r="F249" i="4" s="1"/>
  <c r="D274" i="4"/>
  <c r="F275" i="4"/>
  <c r="H275" i="4" s="1"/>
  <c r="D283" i="4"/>
  <c r="F284" i="4"/>
  <c r="C284" i="4" s="1"/>
  <c r="C283" i="4" s="1"/>
  <c r="B283" i="4" s="1"/>
  <c r="D98" i="14"/>
  <c r="F123" i="14"/>
  <c r="F98" i="14"/>
  <c r="C98" i="14" s="1"/>
  <c r="H257" i="4"/>
  <c r="O257" i="4" s="1"/>
  <c r="H226" i="4"/>
  <c r="L226" i="4" s="1"/>
  <c r="O226" i="4"/>
  <c r="R226" i="4"/>
  <c r="F91" i="13"/>
  <c r="I36" i="12"/>
  <c r="J37" i="12"/>
  <c r="F16" i="14"/>
  <c r="C16" i="14" s="1"/>
  <c r="F155" i="4"/>
  <c r="C155" i="4" s="1"/>
  <c r="C10" i="6"/>
  <c r="H98" i="8"/>
  <c r="L98" i="8"/>
  <c r="O98" i="8"/>
  <c r="R98" i="8"/>
  <c r="D6" i="11"/>
  <c r="D5" i="11"/>
  <c r="D4" i="11"/>
  <c r="D84" i="8"/>
  <c r="F84" i="8"/>
  <c r="C84" i="8" s="1"/>
  <c r="C83" i="8" s="1"/>
  <c r="D83" i="8"/>
  <c r="F64" i="8"/>
  <c r="G87" i="3"/>
  <c r="G86" i="3" s="1"/>
  <c r="D19" i="6" s="1"/>
  <c r="J87" i="3"/>
  <c r="J86" i="3" s="1"/>
  <c r="D19" i="9" s="1"/>
  <c r="G61" i="3"/>
  <c r="G60" i="3" s="1"/>
  <c r="D15" i="6" s="1"/>
  <c r="G48" i="3"/>
  <c r="G47" i="3" s="1"/>
  <c r="D13" i="6" s="1"/>
  <c r="G46" i="3"/>
  <c r="G45" i="3" s="1"/>
  <c r="F47" i="8"/>
  <c r="D39" i="8"/>
  <c r="J2" i="9"/>
  <c r="I4" i="5"/>
  <c r="I5" i="5"/>
  <c r="J5" i="5" s="1"/>
  <c r="C13" i="3"/>
  <c r="D13" i="3" s="1"/>
  <c r="C23" i="3"/>
  <c r="C44" i="3"/>
  <c r="D44" i="3" s="1"/>
  <c r="C59" i="3"/>
  <c r="D59" i="3" s="1"/>
  <c r="C117" i="3"/>
  <c r="C116" i="3"/>
  <c r="I18" i="5"/>
  <c r="J18" i="5" s="1"/>
  <c r="I7" i="5"/>
  <c r="J7" i="5" s="1"/>
  <c r="J6" i="5"/>
  <c r="I3" i="5"/>
  <c r="J3" i="5" s="1"/>
  <c r="J4" i="5"/>
  <c r="D120" i="3"/>
  <c r="D119" i="3"/>
  <c r="D118" i="3"/>
  <c r="D117" i="3"/>
  <c r="D116" i="3"/>
  <c r="B8" i="5"/>
  <c r="I8" i="5" s="1"/>
  <c r="J8" i="5" s="1"/>
  <c r="B16" i="5"/>
  <c r="I16" i="5" s="1"/>
  <c r="J16" i="5" s="1"/>
  <c r="D83" i="3"/>
  <c r="I5" i="1"/>
  <c r="K5" i="1"/>
  <c r="D16" i="3"/>
  <c r="D15" i="3"/>
  <c r="D14" i="3"/>
  <c r="D37" i="3"/>
  <c r="M5" i="1"/>
  <c r="D96" i="3"/>
  <c r="D9" i="15"/>
  <c r="D16" i="16"/>
  <c r="F16" i="16" s="1"/>
  <c r="C16" i="16" s="1"/>
  <c r="D104" i="15"/>
  <c r="F104" i="15" s="1"/>
  <c r="C104" i="15" s="1"/>
  <c r="D130" i="15"/>
  <c r="D204" i="15"/>
  <c r="F204" i="15" s="1"/>
  <c r="H204" i="15" s="1"/>
  <c r="D176" i="16"/>
  <c r="F176" i="16" s="1"/>
  <c r="D196" i="15"/>
  <c r="D216" i="15"/>
  <c r="D113" i="16"/>
  <c r="F113" i="16" s="1"/>
  <c r="C113" i="16" s="1"/>
  <c r="D138" i="16"/>
  <c r="D16" i="15"/>
  <c r="D63" i="20"/>
  <c r="F63" i="20" s="1"/>
  <c r="C63" i="20" s="1"/>
  <c r="L217" i="14" l="1"/>
  <c r="L218" i="14" s="1"/>
  <c r="O217" i="14"/>
  <c r="R217" i="14"/>
  <c r="L210" i="14"/>
  <c r="O210" i="14"/>
  <c r="R210" i="14"/>
  <c r="L169" i="15"/>
  <c r="L170" i="15" s="1"/>
  <c r="O169" i="15"/>
  <c r="R169" i="15"/>
  <c r="L161" i="15"/>
  <c r="O161" i="15"/>
  <c r="O160" i="15" s="1"/>
  <c r="R161" i="15"/>
  <c r="R160" i="15" s="1"/>
  <c r="H160" i="15"/>
  <c r="L204" i="15"/>
  <c r="L205" i="15" s="1"/>
  <c r="O204" i="15"/>
  <c r="R204" i="15"/>
  <c r="F13" i="18"/>
  <c r="M187" i="23" s="1"/>
  <c r="G187" i="23"/>
  <c r="H187" i="23" s="1"/>
  <c r="F15" i="18"/>
  <c r="M194" i="23" s="1"/>
  <c r="G194" i="23"/>
  <c r="H194" i="23" s="1"/>
  <c r="L108" i="4"/>
  <c r="H105" i="4"/>
  <c r="O97" i="4"/>
  <c r="L230" i="14"/>
  <c r="L231" i="14"/>
  <c r="L232" i="14"/>
  <c r="L229" i="14"/>
  <c r="L233" i="14" s="1"/>
  <c r="O230" i="14"/>
  <c r="O231" i="14"/>
  <c r="O232" i="14"/>
  <c r="O233" i="14"/>
  <c r="O229" i="14"/>
  <c r="O234" i="14" s="1"/>
  <c r="R230" i="14"/>
  <c r="R231" i="14"/>
  <c r="R232" i="14"/>
  <c r="R233" i="14"/>
  <c r="R234" i="14"/>
  <c r="R229" i="14"/>
  <c r="B229" i="20"/>
  <c r="B227" i="20" s="1"/>
  <c r="C227" i="20"/>
  <c r="L251" i="14"/>
  <c r="O251" i="14"/>
  <c r="R251" i="14"/>
  <c r="L243" i="14"/>
  <c r="O243" i="14"/>
  <c r="R243" i="14"/>
  <c r="R235" i="14"/>
  <c r="O235" i="14"/>
  <c r="L235" i="14"/>
  <c r="L176" i="23"/>
  <c r="O176" i="23"/>
  <c r="R176" i="23"/>
  <c r="L253" i="20"/>
  <c r="L254" i="20" s="1"/>
  <c r="O253" i="20"/>
  <c r="R253" i="20"/>
  <c r="L245" i="20"/>
  <c r="O245" i="20"/>
  <c r="R245" i="20"/>
  <c r="L238" i="20"/>
  <c r="O238" i="20"/>
  <c r="R238" i="20"/>
  <c r="L230" i="20"/>
  <c r="O230" i="20"/>
  <c r="R230" i="20"/>
  <c r="C256" i="13"/>
  <c r="H256" i="13"/>
  <c r="O249" i="13"/>
  <c r="L249" i="13"/>
  <c r="L149" i="15"/>
  <c r="O149" i="15"/>
  <c r="R149" i="15"/>
  <c r="F9" i="4"/>
  <c r="L173" i="4"/>
  <c r="G174" i="4" s="1"/>
  <c r="O173" i="4"/>
  <c r="S173" i="4"/>
  <c r="S241" i="4"/>
  <c r="L264" i="4"/>
  <c r="O264" i="4"/>
  <c r="R264" i="4"/>
  <c r="D225" i="4"/>
  <c r="D223" i="4" s="1"/>
  <c r="C249" i="4"/>
  <c r="H249" i="4"/>
  <c r="R275" i="4"/>
  <c r="O275" i="4"/>
  <c r="L275" i="4"/>
  <c r="L276" i="4" s="1"/>
  <c r="O258" i="4"/>
  <c r="O262" i="4"/>
  <c r="O261" i="4"/>
  <c r="O260" i="4"/>
  <c r="O259" i="4"/>
  <c r="D145" i="23"/>
  <c r="D28" i="22"/>
  <c r="D8" i="22" s="1"/>
  <c r="D90" i="22"/>
  <c r="D114" i="22"/>
  <c r="F114" i="22" s="1"/>
  <c r="L227" i="4"/>
  <c r="L230" i="4"/>
  <c r="L229" i="4"/>
  <c r="L228" i="4"/>
  <c r="G228" i="4" s="1"/>
  <c r="K92" i="8"/>
  <c r="K285" i="4"/>
  <c r="K265" i="4"/>
  <c r="L265" i="4" s="1"/>
  <c r="K258" i="4"/>
  <c r="L231" i="4"/>
  <c r="G227" i="4"/>
  <c r="L214" i="23"/>
  <c r="O214" i="23"/>
  <c r="R214" i="23"/>
  <c r="C48" i="23"/>
  <c r="C50" i="23" s="1"/>
  <c r="C8" i="23"/>
  <c r="R222" i="23"/>
  <c r="O222" i="23"/>
  <c r="L222" i="23"/>
  <c r="L168" i="23"/>
  <c r="L169" i="23" s="1"/>
  <c r="R168" i="23"/>
  <c r="H166" i="22"/>
  <c r="C166" i="22"/>
  <c r="D155" i="22"/>
  <c r="N84" i="3"/>
  <c r="D18" i="18" s="1"/>
  <c r="K56" i="22"/>
  <c r="L56" i="22" s="1"/>
  <c r="L87" i="22" s="1"/>
  <c r="L84" i="3"/>
  <c r="D18" i="17" s="1"/>
  <c r="K60" i="16"/>
  <c r="D100" i="22"/>
  <c r="F100" i="22" s="1"/>
  <c r="F9" i="22"/>
  <c r="F28" i="22"/>
  <c r="C123" i="14"/>
  <c r="F122" i="14"/>
  <c r="L201" i="22"/>
  <c r="O201" i="22"/>
  <c r="R201" i="22"/>
  <c r="R209" i="22"/>
  <c r="O209" i="22"/>
  <c r="L209" i="22"/>
  <c r="L166" i="22"/>
  <c r="L167" i="22" s="1"/>
  <c r="R166" i="22"/>
  <c r="H9" i="4"/>
  <c r="I4" i="8"/>
  <c r="P4" i="8"/>
  <c r="M4" i="8"/>
  <c r="F2" i="17"/>
  <c r="M9" i="16" s="1"/>
  <c r="D201" i="20"/>
  <c r="F202" i="20"/>
  <c r="C202" i="20" s="1"/>
  <c r="C201" i="20" s="1"/>
  <c r="C9" i="4"/>
  <c r="C47" i="8"/>
  <c r="C39" i="8" s="1"/>
  <c r="F39" i="8"/>
  <c r="D28" i="20"/>
  <c r="D8" i="20" s="1"/>
  <c r="D101" i="20"/>
  <c r="F9" i="15"/>
  <c r="D189" i="16"/>
  <c r="D97" i="15"/>
  <c r="D215" i="15"/>
  <c r="F216" i="15"/>
  <c r="F215" i="15" s="1"/>
  <c r="D180" i="16"/>
  <c r="D181" i="15"/>
  <c r="D161" i="16"/>
  <c r="D66" i="16"/>
  <c r="F66" i="16" s="1"/>
  <c r="C66" i="16" s="1"/>
  <c r="F138" i="16"/>
  <c r="C138" i="16" s="1"/>
  <c r="D106" i="16"/>
  <c r="C213" i="13"/>
  <c r="C212" i="13" s="1"/>
  <c r="B212" i="13" s="1"/>
  <c r="F212" i="13"/>
  <c r="F90" i="13"/>
  <c r="C91" i="13"/>
  <c r="B90" i="13" s="1"/>
  <c r="C197" i="4"/>
  <c r="F274" i="4"/>
  <c r="C275" i="4"/>
  <c r="C274" i="4" s="1"/>
  <c r="B274" i="4" s="1"/>
  <c r="F87" i="4"/>
  <c r="L261" i="14"/>
  <c r="O261" i="14"/>
  <c r="R261" i="14"/>
  <c r="D56" i="13"/>
  <c r="F56" i="13" s="1"/>
  <c r="C56" i="13" s="1"/>
  <c r="D59" i="16"/>
  <c r="O175" i="20"/>
  <c r="R175" i="20"/>
  <c r="F283" i="4"/>
  <c r="H284" i="4"/>
  <c r="R249" i="13"/>
  <c r="D93" i="16"/>
  <c r="F94" i="16"/>
  <c r="O263" i="14"/>
  <c r="O264" i="14"/>
  <c r="O265" i="14"/>
  <c r="O266" i="14"/>
  <c r="O262" i="14"/>
  <c r="R263" i="14"/>
  <c r="R264" i="14"/>
  <c r="R265" i="14"/>
  <c r="R266" i="14"/>
  <c r="R267" i="14"/>
  <c r="R262" i="14"/>
  <c r="H19" i="19"/>
  <c r="G19" i="19"/>
  <c r="G18" i="19"/>
  <c r="H18" i="19"/>
  <c r="G15" i="19"/>
  <c r="H15" i="19"/>
  <c r="G13" i="19"/>
  <c r="H13" i="19"/>
  <c r="G7" i="19"/>
  <c r="H7" i="19"/>
  <c r="H6" i="19"/>
  <c r="G6" i="19"/>
  <c r="G2" i="19"/>
  <c r="H2" i="19"/>
  <c r="H19" i="18"/>
  <c r="G19" i="18"/>
  <c r="G15" i="18"/>
  <c r="P194" i="23" s="1"/>
  <c r="H15" i="18"/>
  <c r="I194" i="23" s="1"/>
  <c r="L194" i="23" s="1"/>
  <c r="G13" i="18"/>
  <c r="P187" i="23" s="1"/>
  <c r="R187" i="23" s="1"/>
  <c r="H13" i="18"/>
  <c r="I187" i="23" s="1"/>
  <c r="L187" i="23" s="1"/>
  <c r="L188" i="23" s="1"/>
  <c r="H6" i="18"/>
  <c r="G6" i="18"/>
  <c r="G2" i="18"/>
  <c r="H2" i="18"/>
  <c r="H19" i="17"/>
  <c r="G19" i="17"/>
  <c r="G15" i="17"/>
  <c r="H15" i="17"/>
  <c r="G13" i="17"/>
  <c r="H13" i="17"/>
  <c r="H6" i="17"/>
  <c r="G6" i="17"/>
  <c r="G2" i="17"/>
  <c r="P9" i="16" s="1"/>
  <c r="H2" i="17"/>
  <c r="I9" i="16" s="1"/>
  <c r="F130" i="15"/>
  <c r="D84" i="15"/>
  <c r="F85" i="15"/>
  <c r="C85" i="15" s="1"/>
  <c r="C84" i="15" s="1"/>
  <c r="D23" i="4"/>
  <c r="D59" i="4"/>
  <c r="F59" i="4" s="1"/>
  <c r="C59" i="4" s="1"/>
  <c r="D121" i="4"/>
  <c r="D120" i="4" s="1"/>
  <c r="D16" i="4"/>
  <c r="F16" i="4" s="1"/>
  <c r="F16" i="15"/>
  <c r="C16" i="15" s="1"/>
  <c r="F45" i="4"/>
  <c r="C45" i="4" s="1"/>
  <c r="D68" i="4"/>
  <c r="F68" i="4" s="1"/>
  <c r="C68" i="4" s="1"/>
  <c r="F241" i="4"/>
  <c r="F196" i="15"/>
  <c r="D166" i="4"/>
  <c r="D154" i="4" s="1"/>
  <c r="D88" i="14"/>
  <c r="R257" i="4"/>
  <c r="L257" i="4"/>
  <c r="O228" i="4"/>
  <c r="O229" i="4"/>
  <c r="O230" i="4"/>
  <c r="O231" i="4"/>
  <c r="O227" i="4"/>
  <c r="O232" i="4" s="1"/>
  <c r="R228" i="4"/>
  <c r="R229" i="4"/>
  <c r="R230" i="4"/>
  <c r="R231" i="4"/>
  <c r="R232" i="4" s="1"/>
  <c r="R227" i="4"/>
  <c r="H84" i="8"/>
  <c r="D27" i="14"/>
  <c r="F27" i="14" s="1"/>
  <c r="C27" i="14" s="1"/>
  <c r="D60" i="14"/>
  <c r="F60" i="14" s="1"/>
  <c r="C60" i="14" s="1"/>
  <c r="J38" i="12"/>
  <c r="J39" i="12"/>
  <c r="L84" i="8"/>
  <c r="L85" i="8" s="1"/>
  <c r="L115" i="8"/>
  <c r="L122" i="8" s="1"/>
  <c r="R115" i="8"/>
  <c r="O115" i="8"/>
  <c r="L99" i="8"/>
  <c r="L100" i="8"/>
  <c r="L101" i="8"/>
  <c r="L102" i="8"/>
  <c r="O99" i="8"/>
  <c r="O103" i="8"/>
  <c r="O102" i="8"/>
  <c r="O101" i="8"/>
  <c r="O100" i="8"/>
  <c r="R99" i="8"/>
  <c r="R104" i="8"/>
  <c r="R103" i="8"/>
  <c r="R102" i="8"/>
  <c r="R101" i="8"/>
  <c r="R100" i="8"/>
  <c r="L116" i="8"/>
  <c r="L121" i="8"/>
  <c r="L120" i="8"/>
  <c r="L119" i="8"/>
  <c r="L118" i="8"/>
  <c r="L117" i="8"/>
  <c r="O84" i="8"/>
  <c r="R84" i="8"/>
  <c r="R116" i="8"/>
  <c r="R121" i="8"/>
  <c r="R120" i="8"/>
  <c r="R119" i="8"/>
  <c r="R118" i="8"/>
  <c r="R117" i="8"/>
  <c r="O116" i="8"/>
  <c r="O120" i="8"/>
  <c r="O119" i="8"/>
  <c r="O118" i="8"/>
  <c r="O117" i="8"/>
  <c r="F83" i="8"/>
  <c r="K18" i="11"/>
  <c r="K23" i="11"/>
  <c r="K22" i="11"/>
  <c r="K21" i="11"/>
  <c r="K20" i="11"/>
  <c r="K19" i="11"/>
  <c r="H18" i="11"/>
  <c r="H22" i="11"/>
  <c r="H21" i="11"/>
  <c r="H20" i="11"/>
  <c r="H19" i="11"/>
  <c r="G3" i="3"/>
  <c r="D2" i="6" s="1"/>
  <c r="D37" i="10"/>
  <c r="E37" i="10" s="1"/>
  <c r="D39" i="10"/>
  <c r="E39" i="10" s="1"/>
  <c r="D40" i="10"/>
  <c r="E40" i="10" s="1"/>
  <c r="D41" i="10"/>
  <c r="E41" i="10" s="1"/>
  <c r="D36" i="10"/>
  <c r="E36" i="10" s="1"/>
  <c r="E2" i="9"/>
  <c r="J2" i="6"/>
  <c r="E2" i="6"/>
  <c r="E13" i="9"/>
  <c r="H13" i="9"/>
  <c r="F2" i="6"/>
  <c r="J15" i="9"/>
  <c r="E15" i="9"/>
  <c r="G197" i="4"/>
  <c r="H197" i="4" s="1"/>
  <c r="I197" i="4"/>
  <c r="L197" i="4" s="1"/>
  <c r="J15" i="6"/>
  <c r="E15" i="6"/>
  <c r="C82" i="3"/>
  <c r="C52" i="3"/>
  <c r="C74" i="3"/>
  <c r="C76" i="3"/>
  <c r="C77" i="3"/>
  <c r="C78" i="3"/>
  <c r="C75" i="3"/>
  <c r="C36" i="3"/>
  <c r="C38" i="3"/>
  <c r="C39" i="3"/>
  <c r="C40" i="3"/>
  <c r="C35" i="3"/>
  <c r="D57" i="15"/>
  <c r="F57" i="15" s="1"/>
  <c r="C57" i="15" s="1"/>
  <c r="D141" i="15"/>
  <c r="D129" i="15" s="1"/>
  <c r="D43" i="15"/>
  <c r="F43" i="15" s="1"/>
  <c r="C43" i="15" s="1"/>
  <c r="D149" i="16"/>
  <c r="O223" i="14" l="1"/>
  <c r="O222" i="14"/>
  <c r="O221" i="14"/>
  <c r="O220" i="14"/>
  <c r="O219" i="14"/>
  <c r="O218" i="14"/>
  <c r="O224" i="14" s="1"/>
  <c r="R222" i="14"/>
  <c r="R221" i="14"/>
  <c r="R220" i="14"/>
  <c r="R219" i="14"/>
  <c r="R218" i="14"/>
  <c r="R224" i="14" s="1"/>
  <c r="O209" i="14"/>
  <c r="O216" i="14"/>
  <c r="O215" i="14"/>
  <c r="O214" i="14"/>
  <c r="O213" i="14"/>
  <c r="O212" i="14"/>
  <c r="O211" i="14"/>
  <c r="R209" i="14"/>
  <c r="R215" i="14"/>
  <c r="R214" i="14"/>
  <c r="R213" i="14"/>
  <c r="R212" i="14"/>
  <c r="R211" i="14"/>
  <c r="L209" i="14"/>
  <c r="L211" i="14"/>
  <c r="L160" i="15"/>
  <c r="L162" i="15"/>
  <c r="O205" i="15"/>
  <c r="O209" i="15"/>
  <c r="O208" i="15"/>
  <c r="O207" i="15"/>
  <c r="O206" i="15"/>
  <c r="R205" i="15"/>
  <c r="R209" i="15"/>
  <c r="R208" i="15"/>
  <c r="R207" i="15"/>
  <c r="R206" i="15"/>
  <c r="O187" i="23"/>
  <c r="R192" i="23"/>
  <c r="R191" i="23"/>
  <c r="R190" i="23"/>
  <c r="R189" i="23"/>
  <c r="R188" i="23"/>
  <c r="O194" i="23"/>
  <c r="R194" i="23"/>
  <c r="L186" i="23"/>
  <c r="L195" i="23"/>
  <c r="L204" i="23" s="1"/>
  <c r="L203" i="23" s="1"/>
  <c r="D8" i="4"/>
  <c r="L10" i="4"/>
  <c r="R237" i="14"/>
  <c r="R238" i="14"/>
  <c r="R239" i="14"/>
  <c r="R240" i="14"/>
  <c r="R241" i="14"/>
  <c r="R236" i="14"/>
  <c r="O237" i="14"/>
  <c r="O238" i="14"/>
  <c r="O239" i="14"/>
  <c r="O240" i="14"/>
  <c r="O236" i="14"/>
  <c r="O258" i="20"/>
  <c r="O257" i="20"/>
  <c r="O256" i="20"/>
  <c r="O255" i="20"/>
  <c r="O254" i="20"/>
  <c r="R259" i="20"/>
  <c r="R258" i="20"/>
  <c r="R257" i="20"/>
  <c r="R256" i="20"/>
  <c r="R255" i="20"/>
  <c r="R254" i="20"/>
  <c r="L248" i="20"/>
  <c r="L247" i="20"/>
  <c r="L246" i="20"/>
  <c r="O247" i="20"/>
  <c r="O250" i="20"/>
  <c r="O246" i="20"/>
  <c r="O249" i="20"/>
  <c r="O248" i="20"/>
  <c r="R247" i="20"/>
  <c r="R246" i="20"/>
  <c r="R249" i="20"/>
  <c r="R251" i="20"/>
  <c r="R250" i="20"/>
  <c r="R248" i="20"/>
  <c r="L242" i="20"/>
  <c r="L241" i="20"/>
  <c r="L240" i="20"/>
  <c r="L239" i="20"/>
  <c r="O243" i="20"/>
  <c r="O242" i="20"/>
  <c r="O241" i="20"/>
  <c r="O240" i="20"/>
  <c r="O239" i="20"/>
  <c r="R244" i="20"/>
  <c r="R243" i="20"/>
  <c r="R242" i="20"/>
  <c r="R241" i="20"/>
  <c r="R240" i="20"/>
  <c r="R239" i="20"/>
  <c r="L231" i="20"/>
  <c r="L234" i="20"/>
  <c r="L233" i="20"/>
  <c r="L232" i="20"/>
  <c r="O234" i="20"/>
  <c r="O233" i="20"/>
  <c r="O232" i="20"/>
  <c r="O231" i="20"/>
  <c r="O235" i="20"/>
  <c r="R236" i="20"/>
  <c r="R235" i="20"/>
  <c r="R234" i="20"/>
  <c r="R233" i="20"/>
  <c r="R232" i="20"/>
  <c r="R231" i="20"/>
  <c r="R237" i="20" s="1"/>
  <c r="G181" i="23"/>
  <c r="G179" i="23"/>
  <c r="G178" i="23"/>
  <c r="G180" i="23"/>
  <c r="G177" i="23"/>
  <c r="G182" i="23" s="1"/>
  <c r="O182" i="23"/>
  <c r="O181" i="23"/>
  <c r="O180" i="23"/>
  <c r="O179" i="23"/>
  <c r="O178" i="23"/>
  <c r="O177" i="23"/>
  <c r="R181" i="23"/>
  <c r="R180" i="23"/>
  <c r="R179" i="23"/>
  <c r="R178" i="23"/>
  <c r="R177" i="23"/>
  <c r="S176" i="23"/>
  <c r="G231" i="20"/>
  <c r="G232" i="20"/>
  <c r="L256" i="13"/>
  <c r="O256" i="13"/>
  <c r="R256" i="13"/>
  <c r="O250" i="13"/>
  <c r="O254" i="13"/>
  <c r="O253" i="13"/>
  <c r="O252" i="13"/>
  <c r="O251" i="13"/>
  <c r="L250" i="13"/>
  <c r="L251" i="13"/>
  <c r="L252" i="13"/>
  <c r="L253" i="13"/>
  <c r="R251" i="13"/>
  <c r="R252" i="13"/>
  <c r="R253" i="13"/>
  <c r="R254" i="13"/>
  <c r="R255" i="13"/>
  <c r="R250" i="13"/>
  <c r="F28" i="20"/>
  <c r="G150" i="15"/>
  <c r="G153" i="15"/>
  <c r="G151" i="15"/>
  <c r="G152" i="15"/>
  <c r="G154" i="15"/>
  <c r="O155" i="15"/>
  <c r="O154" i="15"/>
  <c r="O153" i="15"/>
  <c r="O152" i="15"/>
  <c r="O151" i="15"/>
  <c r="O150" i="15"/>
  <c r="R154" i="15"/>
  <c r="R153" i="15"/>
  <c r="R152" i="15"/>
  <c r="R151" i="15"/>
  <c r="R150" i="15"/>
  <c r="S149" i="15"/>
  <c r="C9" i="15"/>
  <c r="C130" i="15"/>
  <c r="F166" i="4"/>
  <c r="C166" i="4" s="1"/>
  <c r="B154" i="4" s="1"/>
  <c r="G175" i="4"/>
  <c r="G176" i="4"/>
  <c r="G177" i="4"/>
  <c r="G178" i="4"/>
  <c r="O265" i="4"/>
  <c r="O269" i="4"/>
  <c r="O268" i="4"/>
  <c r="O267" i="4"/>
  <c r="O266" i="4"/>
  <c r="R265" i="4"/>
  <c r="R270" i="4"/>
  <c r="R269" i="4"/>
  <c r="R268" i="4"/>
  <c r="R267" i="4"/>
  <c r="R266" i="4"/>
  <c r="L249" i="4"/>
  <c r="L250" i="4" s="1"/>
  <c r="O249" i="4"/>
  <c r="R249" i="4"/>
  <c r="R276" i="4"/>
  <c r="R281" i="4"/>
  <c r="R280" i="4"/>
  <c r="R279" i="4"/>
  <c r="R278" i="4"/>
  <c r="R277" i="4"/>
  <c r="O276" i="4"/>
  <c r="O280" i="4"/>
  <c r="O279" i="4"/>
  <c r="O278" i="4"/>
  <c r="O277" i="4"/>
  <c r="R259" i="4"/>
  <c r="R260" i="4"/>
  <c r="R261" i="4"/>
  <c r="R262" i="4"/>
  <c r="R263" i="4"/>
  <c r="R258" i="4"/>
  <c r="D114" i="23"/>
  <c r="F145" i="23"/>
  <c r="D6" i="23"/>
  <c r="D48" i="22"/>
  <c r="C16" i="4"/>
  <c r="L17" i="4"/>
  <c r="L258" i="4"/>
  <c r="F225" i="4"/>
  <c r="H241" i="4"/>
  <c r="L236" i="4"/>
  <c r="L237" i="4"/>
  <c r="L238" i="4"/>
  <c r="G236" i="4" s="1"/>
  <c r="K93" i="8"/>
  <c r="K286" i="4"/>
  <c r="K266" i="4"/>
  <c r="K259" i="4"/>
  <c r="K94" i="8"/>
  <c r="K287" i="4"/>
  <c r="K267" i="4"/>
  <c r="L267" i="4" s="1"/>
  <c r="K260" i="4"/>
  <c r="L260" i="4" s="1"/>
  <c r="C10" i="23"/>
  <c r="O215" i="23"/>
  <c r="O216" i="23"/>
  <c r="O217" i="23"/>
  <c r="O218" i="23"/>
  <c r="O219" i="23"/>
  <c r="R215" i="23"/>
  <c r="R216" i="23"/>
  <c r="R217" i="23"/>
  <c r="R218" i="23"/>
  <c r="R219" i="23"/>
  <c r="R220" i="23" s="1"/>
  <c r="C57" i="23"/>
  <c r="C64" i="23"/>
  <c r="C73" i="23"/>
  <c r="C17" i="23"/>
  <c r="C29" i="23"/>
  <c r="R174" i="23"/>
  <c r="R173" i="23"/>
  <c r="R172" i="23"/>
  <c r="R171" i="23"/>
  <c r="R170" i="23"/>
  <c r="R169" i="23"/>
  <c r="D154" i="22"/>
  <c r="F155" i="22"/>
  <c r="C114" i="22"/>
  <c r="C113" i="22" s="1"/>
  <c r="C115" i="22" s="1"/>
  <c r="F113" i="22"/>
  <c r="J18" i="18"/>
  <c r="E18" i="18"/>
  <c r="G56" i="23" s="1"/>
  <c r="H56" i="23" s="1"/>
  <c r="J18" i="17"/>
  <c r="E18" i="17"/>
  <c r="F93" i="16"/>
  <c r="C94" i="16"/>
  <c r="C93" i="16" s="1"/>
  <c r="C9" i="22"/>
  <c r="F8" i="22"/>
  <c r="C100" i="22"/>
  <c r="C101" i="22" s="1"/>
  <c r="C28" i="22"/>
  <c r="C8" i="22" s="1"/>
  <c r="C122" i="14"/>
  <c r="C124" i="14"/>
  <c r="O202" i="22"/>
  <c r="O203" i="22"/>
  <c r="O204" i="22"/>
  <c r="O205" i="22"/>
  <c r="O206" i="22"/>
  <c r="R202" i="22"/>
  <c r="R203" i="22"/>
  <c r="R204" i="22"/>
  <c r="R205" i="22"/>
  <c r="R206" i="22"/>
  <c r="R207" i="22" s="1"/>
  <c r="C133" i="22"/>
  <c r="C145" i="22"/>
  <c r="O172" i="22"/>
  <c r="O171" i="22"/>
  <c r="O170" i="22"/>
  <c r="O169" i="22"/>
  <c r="O168" i="22"/>
  <c r="O167" i="22"/>
  <c r="R172" i="22"/>
  <c r="R171" i="22"/>
  <c r="R170" i="22"/>
  <c r="R169" i="22"/>
  <c r="R168" i="22"/>
  <c r="R167" i="22"/>
  <c r="C138" i="14"/>
  <c r="C131" i="14"/>
  <c r="F101" i="20"/>
  <c r="C101" i="20" s="1"/>
  <c r="I9" i="15"/>
  <c r="F189" i="16"/>
  <c r="F188" i="16" s="1"/>
  <c r="D188" i="16"/>
  <c r="D179" i="16"/>
  <c r="F180" i="16"/>
  <c r="F179" i="16" s="1"/>
  <c r="F181" i="15"/>
  <c r="F161" i="16"/>
  <c r="F9" i="16"/>
  <c r="F106" i="16"/>
  <c r="D205" i="4"/>
  <c r="D23" i="16"/>
  <c r="D23" i="15"/>
  <c r="D8" i="15" s="1"/>
  <c r="D169" i="16"/>
  <c r="D189" i="15"/>
  <c r="D52" i="16"/>
  <c r="D137" i="16"/>
  <c r="F149" i="16"/>
  <c r="C149" i="16" s="1"/>
  <c r="C137" i="16" s="1"/>
  <c r="F86" i="4"/>
  <c r="B86" i="4"/>
  <c r="C241" i="4"/>
  <c r="H166" i="4"/>
  <c r="F154" i="4"/>
  <c r="G202" i="20"/>
  <c r="H202" i="20" s="1"/>
  <c r="G213" i="13"/>
  <c r="H213" i="13" s="1"/>
  <c r="I202" i="20"/>
  <c r="L202" i="20" s="1"/>
  <c r="I213" i="13"/>
  <c r="L213" i="13" s="1"/>
  <c r="G209" i="20"/>
  <c r="H209" i="20" s="1"/>
  <c r="G220" i="13"/>
  <c r="H220" i="13" s="1"/>
  <c r="L198" i="4"/>
  <c r="F150" i="13"/>
  <c r="C150" i="13" s="1"/>
  <c r="D264" i="13"/>
  <c r="F264" i="13" s="1"/>
  <c r="D241" i="13"/>
  <c r="D240" i="13" s="1"/>
  <c r="D49" i="13"/>
  <c r="L203" i="20"/>
  <c r="O181" i="20"/>
  <c r="O180" i="20"/>
  <c r="O179" i="20"/>
  <c r="O178" i="20"/>
  <c r="O177" i="20"/>
  <c r="O176" i="20"/>
  <c r="R180" i="20"/>
  <c r="R179" i="20"/>
  <c r="R178" i="20"/>
  <c r="R177" i="20"/>
  <c r="R176" i="20"/>
  <c r="L284" i="4"/>
  <c r="L285" i="4" s="1"/>
  <c r="O284" i="4"/>
  <c r="R284" i="4"/>
  <c r="L214" i="13"/>
  <c r="D16" i="13"/>
  <c r="F16" i="13" s="1"/>
  <c r="C16" i="13" s="1"/>
  <c r="L9" i="4"/>
  <c r="H9" i="15"/>
  <c r="L9" i="15" s="1"/>
  <c r="M9" i="15"/>
  <c r="O9" i="15" s="1"/>
  <c r="F84" i="15"/>
  <c r="F23" i="15"/>
  <c r="F97" i="15"/>
  <c r="C97" i="15" s="1"/>
  <c r="F121" i="4"/>
  <c r="F23" i="4"/>
  <c r="F141" i="15"/>
  <c r="F129" i="15" s="1"/>
  <c r="L10" i="15"/>
  <c r="O15" i="15"/>
  <c r="O14" i="15"/>
  <c r="O13" i="15"/>
  <c r="O12" i="15"/>
  <c r="O11" i="15"/>
  <c r="O10" i="15"/>
  <c r="F88" i="14"/>
  <c r="C88" i="14" s="1"/>
  <c r="D87" i="14"/>
  <c r="D53" i="14"/>
  <c r="F53" i="14" s="1"/>
  <c r="C53" i="14" s="1"/>
  <c r="D69" i="14"/>
  <c r="F69" i="14" s="1"/>
  <c r="C69" i="14" s="1"/>
  <c r="D189" i="14"/>
  <c r="F189" i="14" s="1"/>
  <c r="C189" i="14" s="1"/>
  <c r="D181" i="14"/>
  <c r="F181" i="14" s="1"/>
  <c r="H181" i="14" s="1"/>
  <c r="K95" i="8"/>
  <c r="H2" i="9"/>
  <c r="L88" i="8"/>
  <c r="L87" i="8"/>
  <c r="L86" i="8"/>
  <c r="O85" i="8"/>
  <c r="O89" i="8"/>
  <c r="O88" i="8"/>
  <c r="O87" i="8"/>
  <c r="O86" i="8"/>
  <c r="R85" i="8"/>
  <c r="R90" i="8"/>
  <c r="R89" i="8"/>
  <c r="R88" i="8"/>
  <c r="R87" i="8"/>
  <c r="R86" i="8"/>
  <c r="O121" i="8"/>
  <c r="G2" i="6"/>
  <c r="F2" i="9"/>
  <c r="G2" i="9"/>
  <c r="F13" i="9"/>
  <c r="G13" i="9"/>
  <c r="G15" i="9"/>
  <c r="F15" i="9"/>
  <c r="H15" i="9"/>
  <c r="G13" i="6"/>
  <c r="P197" i="4" s="1"/>
  <c r="R197" i="4" s="1"/>
  <c r="F13" i="6"/>
  <c r="M197" i="4" s="1"/>
  <c r="O197" i="4" s="1"/>
  <c r="F15" i="6"/>
  <c r="M205" i="4" s="1"/>
  <c r="G15" i="6"/>
  <c r="P205" i="4" s="1"/>
  <c r="H15" i="6"/>
  <c r="I205" i="4" s="1"/>
  <c r="C79" i="3"/>
  <c r="D82" i="3"/>
  <c r="D52" i="3"/>
  <c r="D74" i="3"/>
  <c r="D76" i="3"/>
  <c r="D77" i="3"/>
  <c r="D78" i="3"/>
  <c r="D79" i="3"/>
  <c r="D75" i="3"/>
  <c r="D36" i="3"/>
  <c r="D38" i="3"/>
  <c r="D39" i="3"/>
  <c r="D40" i="3"/>
  <c r="D35" i="3"/>
  <c r="C53" i="3"/>
  <c r="C54" i="3"/>
  <c r="C50" i="3"/>
  <c r="C51" i="3"/>
  <c r="C55" i="3"/>
  <c r="C58" i="3"/>
  <c r="C81" i="3"/>
  <c r="C80" i="3"/>
  <c r="D72" i="13"/>
  <c r="F72" i="13" s="1"/>
  <c r="C72" i="13" s="1"/>
  <c r="D273" i="13"/>
  <c r="O188" i="23" l="1"/>
  <c r="O189" i="23"/>
  <c r="O190" i="23"/>
  <c r="O191" i="23"/>
  <c r="O192" i="23"/>
  <c r="O193" i="23"/>
  <c r="O186" i="23"/>
  <c r="O200" i="23"/>
  <c r="O209" i="23" s="1"/>
  <c r="O199" i="23"/>
  <c r="O208" i="23" s="1"/>
  <c r="O198" i="23"/>
  <c r="O207" i="23" s="1"/>
  <c r="O197" i="23"/>
  <c r="O206" i="23" s="1"/>
  <c r="O196" i="23"/>
  <c r="O205" i="23" s="1"/>
  <c r="O195" i="23"/>
  <c r="R186" i="23"/>
  <c r="R199" i="23"/>
  <c r="R208" i="23" s="1"/>
  <c r="R198" i="23"/>
  <c r="R207" i="23" s="1"/>
  <c r="R197" i="23"/>
  <c r="R206" i="23" s="1"/>
  <c r="R196" i="23"/>
  <c r="R205" i="23" s="1"/>
  <c r="R195" i="23"/>
  <c r="C23" i="4"/>
  <c r="F8" i="4"/>
  <c r="O251" i="20"/>
  <c r="R252" i="20"/>
  <c r="L235" i="20"/>
  <c r="O236" i="20"/>
  <c r="C28" i="20"/>
  <c r="L257" i="13"/>
  <c r="L259" i="13"/>
  <c r="L258" i="13"/>
  <c r="O257" i="13"/>
  <c r="O260" i="13"/>
  <c r="O259" i="13"/>
  <c r="O258" i="13"/>
  <c r="O261" i="13"/>
  <c r="R257" i="13"/>
  <c r="R262" i="13"/>
  <c r="R261" i="13"/>
  <c r="R260" i="13"/>
  <c r="R259" i="13"/>
  <c r="R258" i="13"/>
  <c r="C264" i="13"/>
  <c r="H264" i="13"/>
  <c r="D272" i="13"/>
  <c r="F273" i="13"/>
  <c r="G155" i="15"/>
  <c r="C23" i="15"/>
  <c r="C8" i="15" s="1"/>
  <c r="F8" i="15"/>
  <c r="O250" i="4"/>
  <c r="O254" i="4"/>
  <c r="O253" i="4"/>
  <c r="O252" i="4"/>
  <c r="O251" i="4"/>
  <c r="R255" i="4"/>
  <c r="R254" i="4"/>
  <c r="R253" i="4"/>
  <c r="R252" i="4"/>
  <c r="R251" i="4"/>
  <c r="R250" i="4"/>
  <c r="R256" i="4" s="1"/>
  <c r="O241" i="4"/>
  <c r="L241" i="4"/>
  <c r="L242" i="4" s="1"/>
  <c r="R241" i="4"/>
  <c r="G235" i="4"/>
  <c r="L239" i="4"/>
  <c r="F114" i="23"/>
  <c r="C145" i="23"/>
  <c r="D121" i="22"/>
  <c r="K288" i="4"/>
  <c r="F258" i="4"/>
  <c r="L286" i="4"/>
  <c r="L287" i="4"/>
  <c r="L266" i="4"/>
  <c r="L268" i="4" s="1"/>
  <c r="K268" i="4"/>
  <c r="L259" i="4"/>
  <c r="K261" i="4"/>
  <c r="O220" i="23"/>
  <c r="C155" i="22"/>
  <c r="C154" i="22" s="1"/>
  <c r="F154" i="22"/>
  <c r="F48" i="22"/>
  <c r="D47" i="22"/>
  <c r="H18" i="18"/>
  <c r="G18" i="18"/>
  <c r="G55" i="22"/>
  <c r="H55" i="22" s="1"/>
  <c r="F18" i="18"/>
  <c r="H18" i="17"/>
  <c r="I59" i="16" s="1"/>
  <c r="G18" i="17"/>
  <c r="P59" i="16" s="1"/>
  <c r="G59" i="16"/>
  <c r="F18" i="17"/>
  <c r="M59" i="16" s="1"/>
  <c r="H9" i="16"/>
  <c r="C9" i="16"/>
  <c r="C106" i="16"/>
  <c r="C141" i="15"/>
  <c r="C129" i="15" s="1"/>
  <c r="F90" i="22"/>
  <c r="D89" i="22"/>
  <c r="C29" i="22"/>
  <c r="O207" i="22"/>
  <c r="C87" i="14"/>
  <c r="C99" i="14" s="1"/>
  <c r="C89" i="14"/>
  <c r="C242" i="4"/>
  <c r="C24" i="4"/>
  <c r="P9" i="15"/>
  <c r="R9" i="15" s="1"/>
  <c r="F23" i="16"/>
  <c r="C23" i="16" s="1"/>
  <c r="L182" i="15"/>
  <c r="L183" i="15"/>
  <c r="L184" i="15"/>
  <c r="L185" i="15"/>
  <c r="H181" i="15"/>
  <c r="L162" i="16"/>
  <c r="L163" i="16"/>
  <c r="L164" i="16"/>
  <c r="L165" i="16"/>
  <c r="H161" i="16"/>
  <c r="R9" i="16"/>
  <c r="O9" i="16"/>
  <c r="L9" i="16"/>
  <c r="D196" i="4"/>
  <c r="F205" i="4"/>
  <c r="F52" i="16"/>
  <c r="C52" i="16" s="1"/>
  <c r="F137" i="16"/>
  <c r="H149" i="16"/>
  <c r="F169" i="16"/>
  <c r="D160" i="16"/>
  <c r="F189" i="15"/>
  <c r="D180" i="15"/>
  <c r="D116" i="15"/>
  <c r="F120" i="4"/>
  <c r="C121" i="4"/>
  <c r="B120" i="4" s="1"/>
  <c r="L166" i="4"/>
  <c r="L167" i="4" s="1"/>
  <c r="L189" i="4" s="1"/>
  <c r="O166" i="4"/>
  <c r="R166" i="4"/>
  <c r="O9" i="4"/>
  <c r="M202" i="20"/>
  <c r="O202" i="20" s="1"/>
  <c r="M213" i="13"/>
  <c r="O213" i="13" s="1"/>
  <c r="P202" i="20"/>
  <c r="R202" i="20" s="1"/>
  <c r="P213" i="13"/>
  <c r="R213" i="13" s="1"/>
  <c r="P209" i="20"/>
  <c r="R209" i="20" s="1"/>
  <c r="P220" i="13"/>
  <c r="R220" i="13" s="1"/>
  <c r="M209" i="20"/>
  <c r="O209" i="20" s="1"/>
  <c r="M220" i="13"/>
  <c r="O220" i="13" s="1"/>
  <c r="I209" i="20"/>
  <c r="L209" i="20" s="1"/>
  <c r="I220" i="13"/>
  <c r="L220" i="13" s="1"/>
  <c r="R198" i="4"/>
  <c r="R202" i="4"/>
  <c r="R201" i="4"/>
  <c r="R200" i="4"/>
  <c r="R199" i="4"/>
  <c r="O198" i="4"/>
  <c r="O202" i="4"/>
  <c r="O201" i="4"/>
  <c r="O200" i="4"/>
  <c r="O199" i="4"/>
  <c r="O203" i="4"/>
  <c r="D28" i="13"/>
  <c r="D63" i="13"/>
  <c r="F241" i="13"/>
  <c r="C241" i="13" s="1"/>
  <c r="C240" i="13" s="1"/>
  <c r="B240" i="13" s="1"/>
  <c r="D170" i="14"/>
  <c r="D169" i="14" s="1"/>
  <c r="D124" i="13"/>
  <c r="H273" i="13"/>
  <c r="F49" i="20"/>
  <c r="C49" i="20" s="1"/>
  <c r="F49" i="13"/>
  <c r="C49" i="13" s="1"/>
  <c r="O285" i="4"/>
  <c r="O289" i="4"/>
  <c r="O288" i="4"/>
  <c r="O287" i="4"/>
  <c r="O286" i="4"/>
  <c r="S284" i="4"/>
  <c r="R285" i="4"/>
  <c r="R290" i="4"/>
  <c r="R289" i="4"/>
  <c r="R288" i="4"/>
  <c r="R287" i="4"/>
  <c r="R286" i="4"/>
  <c r="R10" i="15"/>
  <c r="R11" i="15"/>
  <c r="R12" i="15"/>
  <c r="R13" i="15"/>
  <c r="R14" i="15"/>
  <c r="S9" i="15"/>
  <c r="H141" i="15"/>
  <c r="L141" i="15"/>
  <c r="L142" i="15" s="1"/>
  <c r="O141" i="15"/>
  <c r="R141" i="15"/>
  <c r="F87" i="14"/>
  <c r="D46" i="14"/>
  <c r="O181" i="14"/>
  <c r="R181" i="14"/>
  <c r="R182" i="14" s="1"/>
  <c r="R183" i="14" s="1"/>
  <c r="R184" i="14" s="1"/>
  <c r="R185" i="14" s="1"/>
  <c r="R186" i="14" s="1"/>
  <c r="R9" i="4"/>
  <c r="H4" i="8"/>
  <c r="R4" i="8"/>
  <c r="R6" i="8"/>
  <c r="R9" i="8"/>
  <c r="R8" i="8"/>
  <c r="R7" i="8"/>
  <c r="R5" i="8"/>
  <c r="O4" i="8"/>
  <c r="L4" i="8"/>
  <c r="D53" i="3"/>
  <c r="D54" i="3"/>
  <c r="D50" i="3"/>
  <c r="D51" i="3"/>
  <c r="D55" i="3"/>
  <c r="D58" i="3"/>
  <c r="D81" i="3"/>
  <c r="D80" i="3"/>
  <c r="D66" i="15"/>
  <c r="F66" i="15" s="1"/>
  <c r="C66" i="15" s="1"/>
  <c r="D174" i="13"/>
  <c r="D56" i="20"/>
  <c r="O204" i="23" l="1"/>
  <c r="O203" i="23" s="1"/>
  <c r="O201" i="23"/>
  <c r="R204" i="23"/>
  <c r="R203" i="23" s="1"/>
  <c r="R201" i="23"/>
  <c r="O264" i="13"/>
  <c r="R264" i="13"/>
  <c r="L264" i="13"/>
  <c r="O262" i="13"/>
  <c r="R263" i="13"/>
  <c r="F56" i="20"/>
  <c r="C56" i="20" s="1"/>
  <c r="C131" i="15"/>
  <c r="C150" i="15"/>
  <c r="O242" i="4"/>
  <c r="O246" i="4"/>
  <c r="O245" i="4"/>
  <c r="O244" i="4"/>
  <c r="O243" i="4"/>
  <c r="R243" i="4"/>
  <c r="R244" i="4"/>
  <c r="R245" i="4"/>
  <c r="R246" i="4"/>
  <c r="R247" i="4"/>
  <c r="R242" i="4"/>
  <c r="O256" i="4"/>
  <c r="C114" i="23"/>
  <c r="C146" i="23" s="1"/>
  <c r="L273" i="13"/>
  <c r="O273" i="13"/>
  <c r="R273" i="13"/>
  <c r="F259" i="4"/>
  <c r="L261" i="4"/>
  <c r="L288" i="4"/>
  <c r="I55" i="22"/>
  <c r="I56" i="23"/>
  <c r="L56" i="23" s="1"/>
  <c r="P55" i="22"/>
  <c r="P56" i="23"/>
  <c r="R56" i="23" s="1"/>
  <c r="M55" i="22"/>
  <c r="O55" i="22" s="1"/>
  <c r="M56" i="23"/>
  <c r="O56" i="23" s="1"/>
  <c r="F47" i="22"/>
  <c r="C48" i="22"/>
  <c r="O56" i="22"/>
  <c r="O57" i="22"/>
  <c r="O58" i="22"/>
  <c r="O59" i="22"/>
  <c r="O60" i="22"/>
  <c r="O61" i="22"/>
  <c r="L55" i="22"/>
  <c r="R55" i="22"/>
  <c r="C90" i="22"/>
  <c r="C89" i="22" s="1"/>
  <c r="F89" i="22"/>
  <c r="D113" i="22"/>
  <c r="D6" i="22" s="1"/>
  <c r="F121" i="22"/>
  <c r="C121" i="22" s="1"/>
  <c r="D185" i="13"/>
  <c r="C10" i="22"/>
  <c r="C17" i="22"/>
  <c r="C273" i="13"/>
  <c r="B272" i="13" s="1"/>
  <c r="B225" i="4"/>
  <c r="C265" i="4"/>
  <c r="C235" i="4"/>
  <c r="C258" i="4"/>
  <c r="C250" i="4"/>
  <c r="C227" i="4"/>
  <c r="B8" i="4"/>
  <c r="C17" i="4"/>
  <c r="C10" i="4"/>
  <c r="T9" i="4"/>
  <c r="H169" i="16"/>
  <c r="F160" i="16"/>
  <c r="H189" i="15"/>
  <c r="F180" i="15"/>
  <c r="R181" i="15"/>
  <c r="O181" i="15"/>
  <c r="L181" i="15"/>
  <c r="R161" i="16"/>
  <c r="O161" i="16"/>
  <c r="L161" i="16"/>
  <c r="F158" i="16"/>
  <c r="R10" i="16"/>
  <c r="R11" i="16"/>
  <c r="R12" i="16"/>
  <c r="R13" i="16"/>
  <c r="R14" i="16"/>
  <c r="O10" i="16"/>
  <c r="O11" i="16"/>
  <c r="O12" i="16"/>
  <c r="O13" i="16"/>
  <c r="O14" i="16"/>
  <c r="O15" i="16"/>
  <c r="L10" i="16"/>
  <c r="S9" i="16"/>
  <c r="H205" i="4"/>
  <c r="F196" i="4"/>
  <c r="C205" i="4"/>
  <c r="B196" i="4" s="1"/>
  <c r="R149" i="16"/>
  <c r="O149" i="16"/>
  <c r="L149" i="16"/>
  <c r="L150" i="16" s="1"/>
  <c r="R169" i="16"/>
  <c r="O169" i="16"/>
  <c r="L169" i="16"/>
  <c r="D158" i="16"/>
  <c r="R189" i="15"/>
  <c r="O189" i="15"/>
  <c r="L189" i="15"/>
  <c r="D178" i="15"/>
  <c r="D125" i="16"/>
  <c r="D32" i="16"/>
  <c r="D75" i="16"/>
  <c r="D96" i="15"/>
  <c r="F116" i="15"/>
  <c r="L186" i="15"/>
  <c r="L166" i="16"/>
  <c r="H185" i="13"/>
  <c r="C185" i="13"/>
  <c r="O10" i="4"/>
  <c r="F28" i="13"/>
  <c r="O168" i="4"/>
  <c r="O169" i="4"/>
  <c r="O170" i="4"/>
  <c r="O171" i="4"/>
  <c r="O172" i="4"/>
  <c r="O167" i="4"/>
  <c r="R168" i="4"/>
  <c r="R169" i="4"/>
  <c r="R170" i="4"/>
  <c r="R171" i="4"/>
  <c r="R172" i="4"/>
  <c r="R167" i="4"/>
  <c r="O15" i="4"/>
  <c r="O14" i="4"/>
  <c r="O13" i="4"/>
  <c r="O12" i="4"/>
  <c r="O11" i="4"/>
  <c r="O203" i="20"/>
  <c r="O204" i="20"/>
  <c r="O205" i="20"/>
  <c r="O206" i="20"/>
  <c r="O207" i="20"/>
  <c r="O208" i="20"/>
  <c r="O201" i="20"/>
  <c r="O212" i="13"/>
  <c r="O214" i="13"/>
  <c r="O219" i="13"/>
  <c r="O218" i="13"/>
  <c r="O217" i="13"/>
  <c r="O216" i="13"/>
  <c r="O215" i="13"/>
  <c r="R203" i="20"/>
  <c r="R204" i="20"/>
  <c r="R205" i="20"/>
  <c r="R206" i="20"/>
  <c r="R207" i="20"/>
  <c r="R201" i="20"/>
  <c r="R218" i="13"/>
  <c r="R217" i="13"/>
  <c r="R216" i="13"/>
  <c r="R215" i="13"/>
  <c r="R212" i="13"/>
  <c r="R214" i="13"/>
  <c r="R210" i="20"/>
  <c r="R211" i="20"/>
  <c r="R212" i="20"/>
  <c r="R213" i="20"/>
  <c r="R214" i="20"/>
  <c r="R221" i="13"/>
  <c r="R225" i="13"/>
  <c r="R224" i="13"/>
  <c r="R223" i="13"/>
  <c r="R222" i="13"/>
  <c r="O210" i="20"/>
  <c r="O211" i="20"/>
  <c r="O212" i="20"/>
  <c r="O213" i="20"/>
  <c r="O214" i="20"/>
  <c r="O215" i="20"/>
  <c r="O221" i="13"/>
  <c r="O226" i="13"/>
  <c r="O225" i="13"/>
  <c r="O224" i="13"/>
  <c r="O223" i="13"/>
  <c r="O222" i="13"/>
  <c r="L201" i="20"/>
  <c r="L210" i="20"/>
  <c r="L219" i="20" s="1"/>
  <c r="L218" i="20" s="1"/>
  <c r="L212" i="13"/>
  <c r="L221" i="13"/>
  <c r="L230" i="13" s="1"/>
  <c r="L229" i="13" s="1"/>
  <c r="R204" i="4"/>
  <c r="O204" i="4"/>
  <c r="F170" i="14"/>
  <c r="F169" i="14" s="1"/>
  <c r="D48" i="13"/>
  <c r="F63" i="13"/>
  <c r="H241" i="13"/>
  <c r="L241" i="13" s="1"/>
  <c r="F240" i="13"/>
  <c r="F124" i="13"/>
  <c r="F193" i="13"/>
  <c r="C193" i="13" s="1"/>
  <c r="O185" i="13"/>
  <c r="R185" i="13"/>
  <c r="F174" i="13"/>
  <c r="F173" i="13" s="1"/>
  <c r="O142" i="15"/>
  <c r="O143" i="15"/>
  <c r="O144" i="15"/>
  <c r="O145" i="15"/>
  <c r="O146" i="15"/>
  <c r="O147" i="15"/>
  <c r="R142" i="15"/>
  <c r="R143" i="15"/>
  <c r="R144" i="15"/>
  <c r="R145" i="15"/>
  <c r="R146" i="15"/>
  <c r="R147" i="15"/>
  <c r="F46" i="14"/>
  <c r="C46" i="14" s="1"/>
  <c r="D45" i="14"/>
  <c r="O182" i="14"/>
  <c r="O186" i="14"/>
  <c r="O185" i="14"/>
  <c r="O184" i="14"/>
  <c r="O183" i="14"/>
  <c r="O187" i="14"/>
  <c r="R10" i="4"/>
  <c r="R14" i="4"/>
  <c r="R13" i="4"/>
  <c r="R12" i="4"/>
  <c r="R11" i="4"/>
  <c r="S4" i="8"/>
  <c r="R10" i="8"/>
  <c r="O5" i="8"/>
  <c r="O6" i="8"/>
  <c r="O7" i="8"/>
  <c r="O8" i="8"/>
  <c r="O9" i="8"/>
  <c r="O10" i="8"/>
  <c r="D23" i="3"/>
  <c r="F185" i="13" l="1"/>
  <c r="D173" i="13"/>
  <c r="C28" i="13"/>
  <c r="C134" i="23"/>
  <c r="C116" i="23"/>
  <c r="S56" i="23"/>
  <c r="R57" i="23"/>
  <c r="R58" i="23"/>
  <c r="R59" i="23"/>
  <c r="R60" i="23"/>
  <c r="R61" i="23"/>
  <c r="O57" i="23"/>
  <c r="O58" i="23"/>
  <c r="O59" i="23"/>
  <c r="O60" i="23"/>
  <c r="O61" i="23"/>
  <c r="O62" i="23"/>
  <c r="C47" i="22"/>
  <c r="C49" i="22" s="1"/>
  <c r="R60" i="22"/>
  <c r="R59" i="22"/>
  <c r="R58" i="22"/>
  <c r="R57" i="22"/>
  <c r="R56" i="22"/>
  <c r="S55" i="22"/>
  <c r="F96" i="15"/>
  <c r="C116" i="15"/>
  <c r="L245" i="13"/>
  <c r="L244" i="13"/>
  <c r="L242" i="13"/>
  <c r="L243" i="13"/>
  <c r="G243" i="13" s="1"/>
  <c r="C170" i="14"/>
  <c r="C45" i="14"/>
  <c r="C47" i="14"/>
  <c r="R186" i="15"/>
  <c r="R187" i="15" s="1"/>
  <c r="R185" i="15"/>
  <c r="R184" i="15"/>
  <c r="R183" i="15"/>
  <c r="R182" i="15"/>
  <c r="O186" i="15"/>
  <c r="O185" i="15"/>
  <c r="O184" i="15"/>
  <c r="O183" i="15"/>
  <c r="O182" i="15"/>
  <c r="O187" i="15" s="1"/>
  <c r="R166" i="16"/>
  <c r="R167" i="16" s="1"/>
  <c r="R165" i="16"/>
  <c r="R164" i="16"/>
  <c r="R163" i="16"/>
  <c r="R162" i="16"/>
  <c r="O166" i="16"/>
  <c r="O165" i="16"/>
  <c r="O164" i="16"/>
  <c r="O163" i="16"/>
  <c r="O162" i="16"/>
  <c r="O167" i="16" s="1"/>
  <c r="L205" i="4"/>
  <c r="R205" i="4"/>
  <c r="O205" i="4"/>
  <c r="H196" i="4"/>
  <c r="R150" i="16"/>
  <c r="R151" i="16"/>
  <c r="R152" i="16"/>
  <c r="R153" i="16"/>
  <c r="R154" i="16"/>
  <c r="R155" i="16"/>
  <c r="O150" i="16"/>
  <c r="O151" i="16"/>
  <c r="O152" i="16"/>
  <c r="O153" i="16"/>
  <c r="O154" i="16"/>
  <c r="O155" i="16"/>
  <c r="D105" i="16"/>
  <c r="F125" i="16"/>
  <c r="D8" i="16"/>
  <c r="F32" i="16"/>
  <c r="D51" i="16"/>
  <c r="F75" i="16"/>
  <c r="C75" i="16" s="1"/>
  <c r="F48" i="13"/>
  <c r="C63" i="13"/>
  <c r="C124" i="13"/>
  <c r="C174" i="13"/>
  <c r="C173" i="13" s="1"/>
  <c r="B173" i="13" s="1"/>
  <c r="S9" i="4"/>
  <c r="L42" i="4"/>
  <c r="O219" i="20"/>
  <c r="O220" i="20"/>
  <c r="O221" i="20"/>
  <c r="O222" i="20"/>
  <c r="O223" i="20"/>
  <c r="O224" i="20"/>
  <c r="O230" i="13"/>
  <c r="O235" i="13"/>
  <c r="O234" i="13"/>
  <c r="O233" i="13"/>
  <c r="O232" i="13"/>
  <c r="O231" i="13"/>
  <c r="R219" i="20"/>
  <c r="R220" i="20"/>
  <c r="R221" i="20"/>
  <c r="R222" i="20"/>
  <c r="R223" i="20"/>
  <c r="R234" i="13"/>
  <c r="R233" i="13"/>
  <c r="R232" i="13"/>
  <c r="R231" i="13"/>
  <c r="R230" i="13"/>
  <c r="R216" i="20"/>
  <c r="R227" i="13"/>
  <c r="O216" i="20"/>
  <c r="O227" i="13"/>
  <c r="R241" i="13"/>
  <c r="O241" i="13"/>
  <c r="O187" i="13"/>
  <c r="O188" i="13"/>
  <c r="O189" i="13"/>
  <c r="O190" i="13"/>
  <c r="O191" i="13"/>
  <c r="O186" i="13"/>
  <c r="R187" i="13"/>
  <c r="R188" i="13"/>
  <c r="R189" i="13"/>
  <c r="R190" i="13"/>
  <c r="R186" i="13"/>
  <c r="J23" i="3"/>
  <c r="J22" i="3" s="1"/>
  <c r="D7" i="9" s="1"/>
  <c r="L23" i="3"/>
  <c r="L22" i="3" s="1"/>
  <c r="D7" i="17" s="1"/>
  <c r="N23" i="3"/>
  <c r="N22" i="3" s="1"/>
  <c r="D7" i="18" s="1"/>
  <c r="F45" i="14"/>
  <c r="G23" i="3"/>
  <c r="G22" i="3" s="1"/>
  <c r="D7" i="6" s="1"/>
  <c r="D6" i="16" l="1"/>
  <c r="R243" i="13"/>
  <c r="R244" i="13"/>
  <c r="R245" i="13"/>
  <c r="R246" i="13"/>
  <c r="R247" i="13"/>
  <c r="R242" i="13"/>
  <c r="R248" i="13" s="1"/>
  <c r="O243" i="13"/>
  <c r="O244" i="13"/>
  <c r="O245" i="13"/>
  <c r="O246" i="13"/>
  <c r="O242" i="13"/>
  <c r="O247" i="13" s="1"/>
  <c r="C72" i="22"/>
  <c r="C63" i="22"/>
  <c r="C56" i="22"/>
  <c r="C96" i="15"/>
  <c r="C117" i="15"/>
  <c r="C125" i="16"/>
  <c r="F105" i="16"/>
  <c r="F8" i="16"/>
  <c r="C32" i="16"/>
  <c r="G242" i="13"/>
  <c r="L246" i="13"/>
  <c r="C70" i="14"/>
  <c r="C54" i="14"/>
  <c r="C61" i="14"/>
  <c r="C48" i="13"/>
  <c r="C64" i="13"/>
  <c r="L206" i="4"/>
  <c r="L215" i="4" s="1"/>
  <c r="L214" i="4" s="1"/>
  <c r="L196" i="4"/>
  <c r="R207" i="4"/>
  <c r="R216" i="4" s="1"/>
  <c r="R208" i="4"/>
  <c r="R217" i="4" s="1"/>
  <c r="R209" i="4"/>
  <c r="R218" i="4" s="1"/>
  <c r="R210" i="4"/>
  <c r="R219" i="4" s="1"/>
  <c r="R206" i="4"/>
  <c r="R196" i="4"/>
  <c r="O207" i="4"/>
  <c r="O216" i="4" s="1"/>
  <c r="O208" i="4"/>
  <c r="O217" i="4" s="1"/>
  <c r="O209" i="4"/>
  <c r="O218" i="4" s="1"/>
  <c r="O210" i="4"/>
  <c r="O219" i="4" s="1"/>
  <c r="O211" i="4"/>
  <c r="O220" i="4" s="1"/>
  <c r="O206" i="4"/>
  <c r="O196" i="4"/>
  <c r="O218" i="20"/>
  <c r="R218" i="20"/>
  <c r="E7" i="17"/>
  <c r="H7" i="17" s="1"/>
  <c r="J7" i="17"/>
  <c r="E7" i="18"/>
  <c r="H7" i="18" s="1"/>
  <c r="J7" i="18"/>
  <c r="J7" i="9"/>
  <c r="E7" i="9"/>
  <c r="J7" i="6"/>
  <c r="E7" i="6"/>
  <c r="G131" i="13" l="1"/>
  <c r="H7" i="9"/>
  <c r="I131" i="13" s="1"/>
  <c r="C98" i="15"/>
  <c r="C105" i="15"/>
  <c r="C105" i="16"/>
  <c r="C126" i="16"/>
  <c r="C8" i="16"/>
  <c r="C33" i="16"/>
  <c r="C50" i="13"/>
  <c r="C73" i="13"/>
  <c r="C57" i="13"/>
  <c r="B48" i="13"/>
  <c r="R212" i="4"/>
  <c r="R215" i="4"/>
  <c r="R214" i="4" s="1"/>
  <c r="O212" i="4"/>
  <c r="O215" i="4"/>
  <c r="O214" i="4" s="1"/>
  <c r="S214" i="4" s="1"/>
  <c r="G7" i="17"/>
  <c r="F7" i="17"/>
  <c r="G7" i="18"/>
  <c r="F7" i="18"/>
  <c r="D44" i="10"/>
  <c r="E44" i="10" s="1"/>
  <c r="D42" i="10"/>
  <c r="E42" i="10" s="1"/>
  <c r="D43" i="10"/>
  <c r="E43" i="10" s="1"/>
  <c r="G7" i="9"/>
  <c r="P131" i="13" s="1"/>
  <c r="F7" i="9"/>
  <c r="M131" i="13" s="1"/>
  <c r="F7" i="6"/>
  <c r="G7" i="6"/>
  <c r="H7" i="6"/>
  <c r="C41" i="3"/>
  <c r="D41" i="3" s="1"/>
  <c r="C42" i="3"/>
  <c r="D42" i="3" s="1"/>
  <c r="C107" i="16" l="1"/>
  <c r="C114" i="16"/>
  <c r="C17" i="16"/>
  <c r="C24" i="16"/>
  <c r="C10" i="16"/>
  <c r="C17" i="15"/>
  <c r="C10" i="15"/>
  <c r="C24" i="15"/>
  <c r="C43" i="3"/>
  <c r="D43" i="3" s="1"/>
  <c r="D91" i="3" l="1"/>
  <c r="D92" i="3"/>
  <c r="D93" i="3"/>
  <c r="D94" i="3"/>
  <c r="D95" i="3"/>
  <c r="D89" i="3"/>
  <c r="C57" i="3"/>
  <c r="D57" i="3" s="1"/>
  <c r="C56" i="3"/>
  <c r="D56" i="3" s="1"/>
  <c r="C21" i="3" l="1"/>
  <c r="D21" i="3" s="1"/>
  <c r="G21" i="3" l="1"/>
  <c r="L21" i="3"/>
  <c r="N21" i="3"/>
  <c r="C7" i="3"/>
  <c r="D7" i="3" s="1"/>
  <c r="G7" i="3" s="1"/>
  <c r="G5" i="3" l="1"/>
  <c r="K19" i="4"/>
  <c r="L19" i="4" s="1"/>
  <c r="K18" i="4"/>
  <c r="L18" i="4" s="1"/>
  <c r="L20" i="4" s="1"/>
  <c r="C20" i="3"/>
  <c r="D20" i="3" s="1"/>
  <c r="C18" i="3"/>
  <c r="D18" i="3" s="1"/>
  <c r="L39" i="4" l="1"/>
  <c r="L40" i="4"/>
  <c r="G20" i="3"/>
  <c r="L20" i="3"/>
  <c r="N20" i="3"/>
  <c r="L18" i="3"/>
  <c r="N18" i="3"/>
  <c r="L31" i="8"/>
  <c r="G18" i="3"/>
  <c r="C19" i="3"/>
  <c r="D19" i="3" s="1"/>
  <c r="G19" i="3" l="1"/>
  <c r="L19" i="3"/>
  <c r="N19" i="3"/>
  <c r="C10" i="3"/>
  <c r="D10" i="3" s="1"/>
  <c r="D9" i="10" l="1"/>
  <c r="E9" i="10" s="1"/>
  <c r="C9" i="3"/>
  <c r="D9" i="3" s="1"/>
  <c r="G9" i="3" s="1"/>
  <c r="F59" i="16" l="1"/>
  <c r="F51" i="16" l="1"/>
  <c r="C59" i="16"/>
  <c r="J85" i="3"/>
  <c r="C51" i="16" l="1"/>
  <c r="C60" i="16"/>
  <c r="K57" i="20"/>
  <c r="L57" i="20" s="1"/>
  <c r="L88" i="20" s="1"/>
  <c r="K57" i="13"/>
  <c r="D52" i="4"/>
  <c r="J84" i="3"/>
  <c r="D18" i="9" s="1"/>
  <c r="K54" i="14"/>
  <c r="L54" i="14" s="1"/>
  <c r="L85" i="14" s="1"/>
  <c r="G85" i="3"/>
  <c r="L60" i="16" s="1"/>
  <c r="L91" i="16" s="1"/>
  <c r="J6" i="9"/>
  <c r="C76" i="16" l="1"/>
  <c r="C53" i="16"/>
  <c r="C67" i="16"/>
  <c r="L57" i="13"/>
  <c r="L88" i="13" s="1"/>
  <c r="K51" i="15"/>
  <c r="D44" i="4"/>
  <c r="F52" i="4"/>
  <c r="G84" i="3"/>
  <c r="D18" i="6" s="1"/>
  <c r="K53" i="4"/>
  <c r="L53" i="4" s="1"/>
  <c r="L84" i="4" s="1"/>
  <c r="G6" i="9"/>
  <c r="F6" i="9"/>
  <c r="H6" i="9"/>
  <c r="E6" i="6"/>
  <c r="H6" i="6" s="1"/>
  <c r="J6" i="6"/>
  <c r="F44" i="4" l="1"/>
  <c r="C52" i="4"/>
  <c r="C44" i="4" s="1"/>
  <c r="B44" i="4" s="1"/>
  <c r="D50" i="15"/>
  <c r="E32" i="3"/>
  <c r="E18" i="9"/>
  <c r="H18" i="9"/>
  <c r="F6" i="6"/>
  <c r="G6" i="6"/>
  <c r="J19" i="9"/>
  <c r="E19" i="9"/>
  <c r="J19" i="6"/>
  <c r="E19" i="6"/>
  <c r="J18" i="6"/>
  <c r="E18" i="6"/>
  <c r="G53" i="14" l="1"/>
  <c r="H53" i="14" s="1"/>
  <c r="G56" i="20"/>
  <c r="H56" i="20" s="1"/>
  <c r="G56" i="13"/>
  <c r="H56" i="13" s="1"/>
  <c r="I53" i="14"/>
  <c r="L53" i="14" s="1"/>
  <c r="I56" i="20"/>
  <c r="L56" i="20" s="1"/>
  <c r="I56" i="13"/>
  <c r="L56" i="13" s="1"/>
  <c r="O25" i="3"/>
  <c r="G50" i="15"/>
  <c r="H59" i="16"/>
  <c r="F50" i="15"/>
  <c r="C50" i="15" s="1"/>
  <c r="D42" i="15"/>
  <c r="I13" i="3"/>
  <c r="I89" i="3"/>
  <c r="I98" i="3"/>
  <c r="I91" i="3"/>
  <c r="I100" i="3"/>
  <c r="I96" i="3"/>
  <c r="I105" i="3"/>
  <c r="I90" i="3"/>
  <c r="I99" i="3"/>
  <c r="I94" i="3"/>
  <c r="I103" i="3"/>
  <c r="I92" i="3"/>
  <c r="I101" i="3"/>
  <c r="I95" i="3"/>
  <c r="I104" i="3"/>
  <c r="G52" i="4"/>
  <c r="H52" i="4" s="1"/>
  <c r="G34" i="10"/>
  <c r="F18" i="9"/>
  <c r="G18" i="9"/>
  <c r="G19" i="9"/>
  <c r="F19" i="9"/>
  <c r="H19" i="9"/>
  <c r="G19" i="6"/>
  <c r="F19" i="6"/>
  <c r="H19" i="6"/>
  <c r="F18" i="6"/>
  <c r="G18" i="6"/>
  <c r="H18" i="6"/>
  <c r="D6" i="15" l="1"/>
  <c r="C42" i="15"/>
  <c r="C51" i="15"/>
  <c r="M53" i="14"/>
  <c r="O53" i="14" s="1"/>
  <c r="M56" i="20"/>
  <c r="O56" i="20" s="1"/>
  <c r="M56" i="13"/>
  <c r="O56" i="13" s="1"/>
  <c r="P53" i="14"/>
  <c r="R53" i="14" s="1"/>
  <c r="P56" i="20"/>
  <c r="R56" i="20" s="1"/>
  <c r="P56" i="13"/>
  <c r="R56" i="13" s="1"/>
  <c r="S56" i="13" s="1"/>
  <c r="O13" i="3"/>
  <c r="O89" i="3"/>
  <c r="O98" i="3"/>
  <c r="O107" i="3"/>
  <c r="O116" i="3"/>
  <c r="O91" i="3"/>
  <c r="P91" i="3" s="1"/>
  <c r="O100" i="3"/>
  <c r="P100" i="3" s="1"/>
  <c r="O109" i="3"/>
  <c r="P109" i="3" s="1"/>
  <c r="O118" i="3"/>
  <c r="P118" i="3" s="1"/>
  <c r="O96" i="3"/>
  <c r="P96" i="3" s="1"/>
  <c r="O105" i="3"/>
  <c r="P105" i="3" s="1"/>
  <c r="O114" i="3"/>
  <c r="P114" i="3" s="1"/>
  <c r="O123" i="3"/>
  <c r="P123" i="3" s="1"/>
  <c r="O28" i="3"/>
  <c r="O27" i="3"/>
  <c r="O32" i="3"/>
  <c r="O30" i="3"/>
  <c r="O29" i="3"/>
  <c r="O31" i="3"/>
  <c r="O26" i="3"/>
  <c r="O33" i="3"/>
  <c r="P33" i="3" s="1"/>
  <c r="O90" i="3"/>
  <c r="P90" i="3" s="1"/>
  <c r="O99" i="3"/>
  <c r="P99" i="3" s="1"/>
  <c r="O108" i="3"/>
  <c r="P108" i="3" s="1"/>
  <c r="O117" i="3"/>
  <c r="P117" i="3" s="1"/>
  <c r="O94" i="3"/>
  <c r="P94" i="3" s="1"/>
  <c r="O103" i="3"/>
  <c r="P103" i="3" s="1"/>
  <c r="O112" i="3"/>
  <c r="P112" i="3" s="1"/>
  <c r="O121" i="3"/>
  <c r="P121" i="3" s="1"/>
  <c r="O92" i="3"/>
  <c r="P92" i="3" s="1"/>
  <c r="O101" i="3"/>
  <c r="P101" i="3" s="1"/>
  <c r="O110" i="3"/>
  <c r="P110" i="3" s="1"/>
  <c r="O119" i="3"/>
  <c r="P119" i="3" s="1"/>
  <c r="O95" i="3"/>
  <c r="P95" i="3" s="1"/>
  <c r="O104" i="3"/>
  <c r="P104" i="3" s="1"/>
  <c r="O113" i="3"/>
  <c r="P113" i="3" s="1"/>
  <c r="O122" i="3"/>
  <c r="P122" i="3" s="1"/>
  <c r="O93" i="3"/>
  <c r="P93" i="3" s="1"/>
  <c r="O102" i="3"/>
  <c r="P102" i="3" s="1"/>
  <c r="O111" i="3"/>
  <c r="P111" i="3" s="1"/>
  <c r="O120" i="3"/>
  <c r="P120" i="3" s="1"/>
  <c r="J91" i="3"/>
  <c r="M91" i="3"/>
  <c r="N91" i="3" s="1"/>
  <c r="J100" i="3"/>
  <c r="M100" i="3"/>
  <c r="N100" i="3" s="1"/>
  <c r="J96" i="3"/>
  <c r="M96" i="3"/>
  <c r="N96" i="3" s="1"/>
  <c r="J105" i="3"/>
  <c r="M105" i="3"/>
  <c r="N105" i="3" s="1"/>
  <c r="J90" i="3"/>
  <c r="M90" i="3"/>
  <c r="J99" i="3"/>
  <c r="M99" i="3"/>
  <c r="J94" i="3"/>
  <c r="M94" i="3"/>
  <c r="N94" i="3" s="1"/>
  <c r="J103" i="3"/>
  <c r="M103" i="3"/>
  <c r="N103" i="3" s="1"/>
  <c r="J92" i="3"/>
  <c r="M92" i="3"/>
  <c r="N92" i="3" s="1"/>
  <c r="J101" i="3"/>
  <c r="M101" i="3"/>
  <c r="N101" i="3" s="1"/>
  <c r="J95" i="3"/>
  <c r="M95" i="3"/>
  <c r="N95" i="3" s="1"/>
  <c r="J104" i="3"/>
  <c r="M104" i="3"/>
  <c r="N104" i="3" s="1"/>
  <c r="M50" i="15"/>
  <c r="O59" i="16"/>
  <c r="P50" i="15"/>
  <c r="R59" i="16"/>
  <c r="I50" i="15"/>
  <c r="L59" i="16"/>
  <c r="H50" i="15"/>
  <c r="L51" i="15"/>
  <c r="L82" i="15" s="1"/>
  <c r="F42" i="15"/>
  <c r="I123" i="3"/>
  <c r="I114" i="3"/>
  <c r="I118" i="3"/>
  <c r="I109" i="3"/>
  <c r="I122" i="3"/>
  <c r="I113" i="3"/>
  <c r="I117" i="3"/>
  <c r="I108" i="3"/>
  <c r="I120" i="3"/>
  <c r="I111" i="3"/>
  <c r="I119" i="3"/>
  <c r="I110" i="3"/>
  <c r="I121" i="3"/>
  <c r="I112" i="3"/>
  <c r="J13" i="3"/>
  <c r="I14" i="3"/>
  <c r="I15" i="3"/>
  <c r="I16" i="3"/>
  <c r="J89" i="3"/>
  <c r="J98" i="3"/>
  <c r="K72" i="14"/>
  <c r="L72" i="14" s="1"/>
  <c r="K30" i="14"/>
  <c r="L30" i="14" s="1"/>
  <c r="L40" i="14" s="1"/>
  <c r="K63" i="14"/>
  <c r="L63" i="14" s="1"/>
  <c r="K68" i="14"/>
  <c r="L68" i="14" s="1"/>
  <c r="K35" i="14"/>
  <c r="L35" i="14" s="1"/>
  <c r="L41" i="14" s="1"/>
  <c r="K77" i="14"/>
  <c r="L77" i="14" s="1"/>
  <c r="K71" i="14"/>
  <c r="L71" i="14" s="1"/>
  <c r="K62" i="14"/>
  <c r="L62" i="14" s="1"/>
  <c r="K29" i="14"/>
  <c r="L29" i="14" s="1"/>
  <c r="K75" i="14"/>
  <c r="L75" i="14" s="1"/>
  <c r="K33" i="14"/>
  <c r="L33" i="14" s="1"/>
  <c r="L38" i="14" s="1"/>
  <c r="K66" i="14"/>
  <c r="L66" i="14" s="1"/>
  <c r="I26" i="3"/>
  <c r="M26" i="3" s="1"/>
  <c r="K73" i="14"/>
  <c r="L73" i="14" s="1"/>
  <c r="K31" i="14"/>
  <c r="L31" i="14" s="1"/>
  <c r="K64" i="14"/>
  <c r="L64" i="14" s="1"/>
  <c r="K67" i="14"/>
  <c r="L67" i="14" s="1"/>
  <c r="K34" i="14"/>
  <c r="L34" i="14" s="1"/>
  <c r="K76" i="14"/>
  <c r="L76" i="14" s="1"/>
  <c r="I107" i="3"/>
  <c r="M107" i="3" s="1"/>
  <c r="I116" i="3"/>
  <c r="M116" i="3" s="1"/>
  <c r="I93" i="3"/>
  <c r="M93" i="3" s="1"/>
  <c r="N93" i="3" s="1"/>
  <c r="I102" i="3"/>
  <c r="M102" i="3" s="1"/>
  <c r="N102" i="3" s="1"/>
  <c r="F89" i="3"/>
  <c r="K89" i="3" s="1"/>
  <c r="F98" i="3"/>
  <c r="H102" i="3"/>
  <c r="H98" i="3"/>
  <c r="H100" i="3"/>
  <c r="H105" i="3"/>
  <c r="H104" i="3"/>
  <c r="H101" i="3"/>
  <c r="H103" i="3"/>
  <c r="H99" i="3"/>
  <c r="H27" i="3"/>
  <c r="H28" i="3"/>
  <c r="H31" i="3"/>
  <c r="H29" i="3"/>
  <c r="H25" i="3"/>
  <c r="H26" i="3"/>
  <c r="H32" i="3"/>
  <c r="H30" i="3"/>
  <c r="H33" i="3"/>
  <c r="F26" i="3"/>
  <c r="K26" i="3" s="1"/>
  <c r="M52" i="4"/>
  <c r="O52" i="4" s="1"/>
  <c r="P52" i="4"/>
  <c r="R52" i="4" s="1"/>
  <c r="I52" i="4"/>
  <c r="L52" i="4" s="1"/>
  <c r="O54" i="14"/>
  <c r="O55" i="14"/>
  <c r="O56" i="14"/>
  <c r="O57" i="14"/>
  <c r="O58" i="14"/>
  <c r="O59" i="14"/>
  <c r="S53" i="14"/>
  <c r="R54" i="14"/>
  <c r="R55" i="14"/>
  <c r="R56" i="14"/>
  <c r="R57" i="14"/>
  <c r="R58" i="14"/>
  <c r="O53" i="4"/>
  <c r="O58" i="4"/>
  <c r="O57" i="4"/>
  <c r="O56" i="4"/>
  <c r="O55" i="4"/>
  <c r="O54" i="4"/>
  <c r="S52" i="4"/>
  <c r="R53" i="4"/>
  <c r="R57" i="4"/>
  <c r="R56" i="4"/>
  <c r="R55" i="4"/>
  <c r="R54" i="4"/>
  <c r="F16" i="3"/>
  <c r="H18" i="3"/>
  <c r="D16" i="1"/>
  <c r="H13" i="3"/>
  <c r="D19" i="1"/>
  <c r="H16" i="3"/>
  <c r="H21" i="3"/>
  <c r="H15" i="3"/>
  <c r="H20" i="3"/>
  <c r="D18" i="1"/>
  <c r="H14" i="3"/>
  <c r="D17" i="1"/>
  <c r="H19" i="3"/>
  <c r="G14" i="10"/>
  <c r="G19" i="10"/>
  <c r="E19" i="3"/>
  <c r="G20" i="10"/>
  <c r="E15" i="3"/>
  <c r="E20" i="3"/>
  <c r="C18" i="1"/>
  <c r="G15" i="10"/>
  <c r="E13" i="3"/>
  <c r="E18" i="3"/>
  <c r="G18" i="10"/>
  <c r="G13" i="10"/>
  <c r="C16" i="1"/>
  <c r="E16" i="3"/>
  <c r="C19" i="1"/>
  <c r="E21" i="3"/>
  <c r="G21" i="10"/>
  <c r="G16" i="10"/>
  <c r="C17" i="1"/>
  <c r="E14" i="3"/>
  <c r="H121" i="3"/>
  <c r="D79" i="1"/>
  <c r="D74" i="1"/>
  <c r="H89" i="3"/>
  <c r="H116" i="3"/>
  <c r="H91" i="3"/>
  <c r="H118" i="3"/>
  <c r="D76" i="1"/>
  <c r="H120" i="3"/>
  <c r="D78" i="1"/>
  <c r="H93" i="3"/>
  <c r="H123" i="3"/>
  <c r="D81" i="1"/>
  <c r="H96" i="3"/>
  <c r="H94" i="3"/>
  <c r="H119" i="3"/>
  <c r="D77" i="1"/>
  <c r="H92" i="3"/>
  <c r="H122" i="3"/>
  <c r="D80" i="1"/>
  <c r="H95" i="3"/>
  <c r="H117" i="3"/>
  <c r="D75" i="1"/>
  <c r="H90" i="3"/>
  <c r="E25" i="3"/>
  <c r="E31" i="3"/>
  <c r="C28" i="1"/>
  <c r="E30" i="3"/>
  <c r="G30" i="10"/>
  <c r="C26" i="1"/>
  <c r="E27" i="3"/>
  <c r="G27" i="10"/>
  <c r="G28" i="10"/>
  <c r="E28" i="3"/>
  <c r="C23" i="1"/>
  <c r="C25" i="1"/>
  <c r="G25" i="10"/>
  <c r="G31" i="10"/>
  <c r="C29" i="1"/>
  <c r="C27" i="1"/>
  <c r="E29" i="3"/>
  <c r="G29" i="10"/>
  <c r="C30" i="1"/>
  <c r="C31" i="1"/>
  <c r="G26" i="10"/>
  <c r="E26" i="3"/>
  <c r="C24" i="1"/>
  <c r="G32" i="10"/>
  <c r="E33" i="3"/>
  <c r="E117" i="3"/>
  <c r="C75" i="1"/>
  <c r="C81" i="1"/>
  <c r="E116" i="3"/>
  <c r="G86" i="10"/>
  <c r="E89" i="3"/>
  <c r="G77" i="10"/>
  <c r="C74" i="1"/>
  <c r="E93" i="3"/>
  <c r="C78" i="1"/>
  <c r="E123" i="3"/>
  <c r="E120" i="3"/>
  <c r="G81" i="10"/>
  <c r="G90" i="10"/>
  <c r="C76" i="1"/>
  <c r="G88" i="10"/>
  <c r="G80" i="10"/>
  <c r="E118" i="3"/>
  <c r="G79" i="10"/>
  <c r="C79" i="1"/>
  <c r="G91" i="10"/>
  <c r="E121" i="3"/>
  <c r="G82" i="10"/>
  <c r="E95" i="3"/>
  <c r="G83" i="10"/>
  <c r="C80" i="1"/>
  <c r="G92" i="10"/>
  <c r="G93" i="10"/>
  <c r="E91" i="3"/>
  <c r="E94" i="3"/>
  <c r="E119" i="3"/>
  <c r="C77" i="1"/>
  <c r="G89" i="10"/>
  <c r="E92" i="3"/>
  <c r="E122" i="3"/>
  <c r="G84" i="10"/>
  <c r="G87" i="10"/>
  <c r="E96" i="3"/>
  <c r="G78" i="10"/>
  <c r="E90" i="3"/>
  <c r="D26" i="1"/>
  <c r="D29" i="1"/>
  <c r="D27" i="1"/>
  <c r="D30" i="1"/>
  <c r="D24" i="1"/>
  <c r="D23" i="1"/>
  <c r="D25" i="1"/>
  <c r="D28" i="1"/>
  <c r="D31" i="1"/>
  <c r="K66" i="23" l="1"/>
  <c r="L66" i="23" s="1"/>
  <c r="K31" i="23"/>
  <c r="L31" i="23" s="1"/>
  <c r="K71" i="23"/>
  <c r="L71" i="23" s="1"/>
  <c r="K36" i="23"/>
  <c r="L36" i="23" s="1"/>
  <c r="K69" i="23"/>
  <c r="L69" i="23" s="1"/>
  <c r="K34" i="23"/>
  <c r="L34" i="23" s="1"/>
  <c r="K67" i="23"/>
  <c r="L67" i="23" s="1"/>
  <c r="K32" i="23"/>
  <c r="L32" i="23" s="1"/>
  <c r="K70" i="23"/>
  <c r="L70" i="23" s="1"/>
  <c r="K35" i="23"/>
  <c r="L35" i="23" s="1"/>
  <c r="K68" i="23"/>
  <c r="L68" i="23" s="1"/>
  <c r="K33" i="23"/>
  <c r="L33" i="23" s="1"/>
  <c r="C67" i="15"/>
  <c r="C44" i="15"/>
  <c r="C58" i="15"/>
  <c r="K65" i="22"/>
  <c r="L65" i="22" s="1"/>
  <c r="K31" i="22"/>
  <c r="L31" i="22" s="1"/>
  <c r="K70" i="22"/>
  <c r="L70" i="22" s="1"/>
  <c r="K36" i="22"/>
  <c r="L36" i="22" s="1"/>
  <c r="K68" i="22"/>
  <c r="L68" i="22" s="1"/>
  <c r="K34" i="22"/>
  <c r="L34" i="22" s="1"/>
  <c r="K66" i="22"/>
  <c r="L66" i="22" s="1"/>
  <c r="K32" i="22"/>
  <c r="L32" i="22" s="1"/>
  <c r="K69" i="22"/>
  <c r="L69" i="22" s="1"/>
  <c r="K35" i="22"/>
  <c r="L35" i="22" s="1"/>
  <c r="K67" i="22"/>
  <c r="L67" i="22" s="1"/>
  <c r="K33" i="22"/>
  <c r="L33" i="22" s="1"/>
  <c r="L83" i="14"/>
  <c r="O62" i="20"/>
  <c r="O61" i="20"/>
  <c r="O60" i="20"/>
  <c r="O59" i="20"/>
  <c r="O58" i="20"/>
  <c r="O57" i="20"/>
  <c r="R61" i="20"/>
  <c r="R60" i="20"/>
  <c r="R59" i="20"/>
  <c r="R58" i="20"/>
  <c r="R57" i="20"/>
  <c r="S56" i="20"/>
  <c r="O14" i="3"/>
  <c r="O15" i="3"/>
  <c r="O16" i="3"/>
  <c r="P16" i="3" s="1"/>
  <c r="M13" i="3"/>
  <c r="N13" i="3" s="1"/>
  <c r="P13" i="3"/>
  <c r="O12" i="3"/>
  <c r="M89" i="3"/>
  <c r="N89" i="3" s="1"/>
  <c r="P89" i="3"/>
  <c r="P88" i="3" s="1"/>
  <c r="D20" i="19" s="1"/>
  <c r="O88" i="3"/>
  <c r="M98" i="3"/>
  <c r="N98" i="3" s="1"/>
  <c r="P98" i="3"/>
  <c r="P97" i="3" s="1"/>
  <c r="D21" i="19" s="1"/>
  <c r="O97" i="3"/>
  <c r="P107" i="3"/>
  <c r="P106" i="3" s="1"/>
  <c r="D22" i="19" s="1"/>
  <c r="O106" i="3"/>
  <c r="P116" i="3"/>
  <c r="P115" i="3" s="1"/>
  <c r="D23" i="19" s="1"/>
  <c r="O115" i="3"/>
  <c r="O24" i="3"/>
  <c r="K66" i="13"/>
  <c r="K66" i="20"/>
  <c r="L66" i="20" s="1"/>
  <c r="K31" i="13"/>
  <c r="K31" i="20"/>
  <c r="L31" i="20" s="1"/>
  <c r="K71" i="13"/>
  <c r="K36" i="20"/>
  <c r="L36" i="20" s="1"/>
  <c r="K71" i="20"/>
  <c r="L71" i="20" s="1"/>
  <c r="K36" i="13"/>
  <c r="K65" i="20"/>
  <c r="L65" i="20" s="1"/>
  <c r="K30" i="13"/>
  <c r="K65" i="13"/>
  <c r="K30" i="20"/>
  <c r="L30" i="20" s="1"/>
  <c r="K69" i="20"/>
  <c r="L69" i="20" s="1"/>
  <c r="K69" i="13"/>
  <c r="K34" i="13"/>
  <c r="K34" i="20"/>
  <c r="L34" i="20" s="1"/>
  <c r="K67" i="20"/>
  <c r="L67" i="20" s="1"/>
  <c r="K32" i="13"/>
  <c r="K67" i="13"/>
  <c r="K32" i="20"/>
  <c r="L32" i="20" s="1"/>
  <c r="K70" i="20"/>
  <c r="L70" i="20" s="1"/>
  <c r="K70" i="13"/>
  <c r="K35" i="13"/>
  <c r="K35" i="20"/>
  <c r="L35" i="20" s="1"/>
  <c r="K50" i="20"/>
  <c r="L50" i="20" s="1"/>
  <c r="K50" i="13"/>
  <c r="K64" i="20"/>
  <c r="L64" i="20" s="1"/>
  <c r="K64" i="13"/>
  <c r="K29" i="13"/>
  <c r="L29" i="13" s="1"/>
  <c r="K29" i="20"/>
  <c r="L29" i="20" s="1"/>
  <c r="O60" i="16"/>
  <c r="O61" i="16"/>
  <c r="O62" i="16"/>
  <c r="O63" i="16"/>
  <c r="O64" i="16"/>
  <c r="O65" i="16"/>
  <c r="S59" i="16"/>
  <c r="R60" i="16"/>
  <c r="R61" i="16"/>
  <c r="R62" i="16"/>
  <c r="R63" i="16"/>
  <c r="R64" i="16"/>
  <c r="N90" i="3"/>
  <c r="M88" i="3"/>
  <c r="N99" i="3"/>
  <c r="N97" i="3" s="1"/>
  <c r="D21" i="18" s="1"/>
  <c r="M97" i="3"/>
  <c r="J123" i="3"/>
  <c r="K158" i="14" s="1"/>
  <c r="L158" i="14" s="1"/>
  <c r="M123" i="3"/>
  <c r="N123" i="3" s="1"/>
  <c r="J114" i="3"/>
  <c r="M114" i="3"/>
  <c r="N114" i="3" s="1"/>
  <c r="J118" i="3"/>
  <c r="K153" i="14" s="1"/>
  <c r="L153" i="14" s="1"/>
  <c r="M118" i="3"/>
  <c r="N118" i="3" s="1"/>
  <c r="J109" i="3"/>
  <c r="M109" i="3"/>
  <c r="N109" i="3" s="1"/>
  <c r="J122" i="3"/>
  <c r="K157" i="14" s="1"/>
  <c r="L157" i="14" s="1"/>
  <c r="M122" i="3"/>
  <c r="N122" i="3" s="1"/>
  <c r="J113" i="3"/>
  <c r="M113" i="3"/>
  <c r="N113" i="3" s="1"/>
  <c r="J117" i="3"/>
  <c r="K152" i="14" s="1"/>
  <c r="L152" i="14" s="1"/>
  <c r="M117" i="3"/>
  <c r="N117" i="3" s="1"/>
  <c r="J108" i="3"/>
  <c r="M108" i="3"/>
  <c r="N108" i="3" s="1"/>
  <c r="J120" i="3"/>
  <c r="K155" i="14" s="1"/>
  <c r="L155" i="14" s="1"/>
  <c r="M120" i="3"/>
  <c r="N120" i="3" s="1"/>
  <c r="J111" i="3"/>
  <c r="M111" i="3"/>
  <c r="N111" i="3" s="1"/>
  <c r="J119" i="3"/>
  <c r="K154" i="14" s="1"/>
  <c r="L154" i="14" s="1"/>
  <c r="M119" i="3"/>
  <c r="N119" i="3" s="1"/>
  <c r="J110" i="3"/>
  <c r="M110" i="3"/>
  <c r="N110" i="3" s="1"/>
  <c r="J121" i="3"/>
  <c r="K156" i="14" s="1"/>
  <c r="L156" i="14" s="1"/>
  <c r="M121" i="3"/>
  <c r="N121" i="3" s="1"/>
  <c r="J112" i="3"/>
  <c r="M112" i="3"/>
  <c r="N112" i="3" s="1"/>
  <c r="J15" i="3"/>
  <c r="J16" i="3"/>
  <c r="M16" i="3"/>
  <c r="N16" i="3" s="1"/>
  <c r="N107" i="3"/>
  <c r="K73" i="23" s="1"/>
  <c r="L73" i="23" s="1"/>
  <c r="M106" i="3"/>
  <c r="N116" i="3"/>
  <c r="M115" i="3"/>
  <c r="L89" i="3"/>
  <c r="G98" i="3"/>
  <c r="K98" i="3"/>
  <c r="G16" i="3"/>
  <c r="K16" i="3"/>
  <c r="L16" i="3" s="1"/>
  <c r="K56" i="16" s="1"/>
  <c r="L56" i="16" s="1"/>
  <c r="L50" i="15"/>
  <c r="O50" i="15"/>
  <c r="R50" i="15"/>
  <c r="F6" i="15"/>
  <c r="K47" i="14"/>
  <c r="L47" i="14" s="1"/>
  <c r="K61" i="14"/>
  <c r="L61" i="14" s="1"/>
  <c r="K70" i="14"/>
  <c r="L70" i="14" s="1"/>
  <c r="K28" i="14"/>
  <c r="L28" i="14" s="1"/>
  <c r="I32" i="3"/>
  <c r="M32" i="3" s="1"/>
  <c r="I30" i="3"/>
  <c r="M30" i="3" s="1"/>
  <c r="I25" i="3"/>
  <c r="M25" i="3" s="1"/>
  <c r="I29" i="3"/>
  <c r="M29" i="3" s="1"/>
  <c r="I31" i="3"/>
  <c r="M31" i="3" s="1"/>
  <c r="I28" i="3"/>
  <c r="M28" i="3" s="1"/>
  <c r="I27" i="3"/>
  <c r="M27" i="3" s="1"/>
  <c r="I33" i="3"/>
  <c r="I106" i="3"/>
  <c r="J107" i="3"/>
  <c r="I115" i="3"/>
  <c r="J116" i="3"/>
  <c r="K151" i="14" s="1"/>
  <c r="L151" i="14" s="1"/>
  <c r="L159" i="14" s="1"/>
  <c r="F101" i="3"/>
  <c r="F104" i="3"/>
  <c r="F102" i="3"/>
  <c r="F100" i="3"/>
  <c r="F105" i="3"/>
  <c r="F99" i="3"/>
  <c r="F103" i="3"/>
  <c r="L84" i="14"/>
  <c r="L81" i="14"/>
  <c r="H97" i="3"/>
  <c r="J14" i="3"/>
  <c r="I12" i="3"/>
  <c r="J93" i="3"/>
  <c r="I88" i="3"/>
  <c r="J102" i="3"/>
  <c r="J97" i="3" s="1"/>
  <c r="D21" i="9" s="1"/>
  <c r="I97" i="3"/>
  <c r="K47" i="15"/>
  <c r="L47" i="15" s="1"/>
  <c r="F32" i="3"/>
  <c r="K32" i="3" s="1"/>
  <c r="F27" i="3"/>
  <c r="K27" i="3" s="1"/>
  <c r="F28" i="3"/>
  <c r="K28" i="3" s="1"/>
  <c r="F29" i="3"/>
  <c r="K29" i="3" s="1"/>
  <c r="F30" i="3"/>
  <c r="K30" i="3" s="1"/>
  <c r="F31" i="3"/>
  <c r="K31" i="3" s="1"/>
  <c r="F33" i="3"/>
  <c r="K33" i="3" s="1"/>
  <c r="L33" i="3" s="1"/>
  <c r="K103" i="16" s="1"/>
  <c r="L103" i="16" s="1"/>
  <c r="F25" i="3"/>
  <c r="F10" i="3"/>
  <c r="O57" i="13"/>
  <c r="O58" i="13"/>
  <c r="O59" i="13"/>
  <c r="O60" i="13"/>
  <c r="O61" i="13"/>
  <c r="O62" i="13"/>
  <c r="R57" i="13"/>
  <c r="R58" i="13"/>
  <c r="R59" i="13"/>
  <c r="R60" i="13"/>
  <c r="R61" i="13"/>
  <c r="K44" i="8"/>
  <c r="L44" i="8" s="1"/>
  <c r="K49" i="4"/>
  <c r="L49" i="4" s="1"/>
  <c r="F92" i="3"/>
  <c r="F95" i="3"/>
  <c r="F93" i="3"/>
  <c r="F91" i="3"/>
  <c r="F96" i="3"/>
  <c r="F90" i="3"/>
  <c r="F94" i="3"/>
  <c r="F88" i="3"/>
  <c r="G89" i="3"/>
  <c r="D15" i="1"/>
  <c r="E15" i="1"/>
  <c r="D73" i="1"/>
  <c r="E73" i="1"/>
  <c r="G33" i="3"/>
  <c r="D22" i="1"/>
  <c r="E22" i="1"/>
  <c r="H12" i="3"/>
  <c r="C15" i="1"/>
  <c r="H115" i="3"/>
  <c r="E24" i="3"/>
  <c r="C22" i="1"/>
  <c r="G24" i="10"/>
  <c r="G85" i="10"/>
  <c r="E88" i="3"/>
  <c r="C73" i="1"/>
  <c r="H24" i="3"/>
  <c r="F14" i="3"/>
  <c r="F15" i="3"/>
  <c r="F13" i="3"/>
  <c r="K49" i="22" l="1"/>
  <c r="L49" i="22" s="1"/>
  <c r="K50" i="23"/>
  <c r="L50" i="23" s="1"/>
  <c r="K64" i="23"/>
  <c r="L64" i="23" s="1"/>
  <c r="K29" i="23"/>
  <c r="L29" i="23" s="1"/>
  <c r="K65" i="23"/>
  <c r="L65" i="23" s="1"/>
  <c r="K30" i="23"/>
  <c r="L30" i="23" s="1"/>
  <c r="K152" i="22"/>
  <c r="L152" i="22" s="1"/>
  <c r="K153" i="23"/>
  <c r="L153" i="23" s="1"/>
  <c r="K79" i="22"/>
  <c r="L79" i="22" s="1"/>
  <c r="L86" i="22" s="1"/>
  <c r="K80" i="23"/>
  <c r="L80" i="23" s="1"/>
  <c r="L87" i="23" s="1"/>
  <c r="K147" i="22"/>
  <c r="L147" i="22" s="1"/>
  <c r="K148" i="23"/>
  <c r="L148" i="23" s="1"/>
  <c r="K74" i="22"/>
  <c r="L74" i="22" s="1"/>
  <c r="L85" i="22" s="1"/>
  <c r="K75" i="23"/>
  <c r="L75" i="23" s="1"/>
  <c r="L86" i="23" s="1"/>
  <c r="K151" i="22"/>
  <c r="L151" i="22" s="1"/>
  <c r="K152" i="23"/>
  <c r="L152" i="23" s="1"/>
  <c r="K78" i="22"/>
  <c r="L78" i="22" s="1"/>
  <c r="K79" i="23"/>
  <c r="L79" i="23" s="1"/>
  <c r="K146" i="22"/>
  <c r="L146" i="22" s="1"/>
  <c r="K147" i="23"/>
  <c r="L147" i="23" s="1"/>
  <c r="K73" i="22"/>
  <c r="L73" i="22" s="1"/>
  <c r="K74" i="23"/>
  <c r="L74" i="23" s="1"/>
  <c r="K149" i="22"/>
  <c r="L149" i="22" s="1"/>
  <c r="K150" i="23"/>
  <c r="L150" i="23" s="1"/>
  <c r="K76" i="22"/>
  <c r="L76" i="22" s="1"/>
  <c r="K77" i="23"/>
  <c r="L77" i="23" s="1"/>
  <c r="K148" i="22"/>
  <c r="L148" i="22" s="1"/>
  <c r="K149" i="23"/>
  <c r="L149" i="23" s="1"/>
  <c r="K75" i="22"/>
  <c r="L75" i="22" s="1"/>
  <c r="K76" i="23"/>
  <c r="L76" i="23" s="1"/>
  <c r="K150" i="22"/>
  <c r="L150" i="22" s="1"/>
  <c r="K151" i="23"/>
  <c r="L151" i="23" s="1"/>
  <c r="K77" i="22"/>
  <c r="L77" i="22" s="1"/>
  <c r="L83" i="22" s="1"/>
  <c r="K78" i="23"/>
  <c r="L78" i="23" s="1"/>
  <c r="L84" i="23" s="1"/>
  <c r="K52" i="22"/>
  <c r="L52" i="22" s="1"/>
  <c r="L84" i="22" s="1"/>
  <c r="K53" i="23"/>
  <c r="L53" i="23" s="1"/>
  <c r="L85" i="23" s="1"/>
  <c r="K146" i="23"/>
  <c r="L146" i="23" s="1"/>
  <c r="P15" i="3"/>
  <c r="M15" i="3"/>
  <c r="K29" i="22"/>
  <c r="L29" i="22" s="1"/>
  <c r="K63" i="22"/>
  <c r="L63" i="22" s="1"/>
  <c r="N88" i="3"/>
  <c r="D20" i="18" s="1"/>
  <c r="K64" i="22"/>
  <c r="L64" i="22" s="1"/>
  <c r="K30" i="22"/>
  <c r="L30" i="22" s="1"/>
  <c r="N106" i="3"/>
  <c r="D22" i="18" s="1"/>
  <c r="K72" i="22"/>
  <c r="L72" i="22" s="1"/>
  <c r="N115" i="3"/>
  <c r="D23" i="18" s="1"/>
  <c r="K145" i="22"/>
  <c r="L145" i="22" s="1"/>
  <c r="K67" i="16"/>
  <c r="K24" i="16"/>
  <c r="L24" i="16" s="1"/>
  <c r="M14" i="3"/>
  <c r="N14" i="3" s="1"/>
  <c r="P14" i="3"/>
  <c r="P12" i="3" s="1"/>
  <c r="D5" i="19" s="1"/>
  <c r="J5" i="19"/>
  <c r="E5" i="19"/>
  <c r="J20" i="19"/>
  <c r="E20" i="19"/>
  <c r="E21" i="19"/>
  <c r="H21" i="19" s="1"/>
  <c r="J22" i="19"/>
  <c r="E22" i="19"/>
  <c r="H22" i="19" s="1"/>
  <c r="E23" i="19"/>
  <c r="H23" i="19" s="1"/>
  <c r="O69" i="3"/>
  <c r="P69" i="3" s="1"/>
  <c r="O80" i="3"/>
  <c r="P80" i="3" s="1"/>
  <c r="O68" i="3"/>
  <c r="P68" i="3" s="1"/>
  <c r="O79" i="3"/>
  <c r="P79" i="3" s="1"/>
  <c r="O63" i="3"/>
  <c r="O74" i="3"/>
  <c r="O64" i="3"/>
  <c r="P64" i="3" s="1"/>
  <c r="O75" i="3"/>
  <c r="P75" i="3" s="1"/>
  <c r="O70" i="3"/>
  <c r="P70" i="3" s="1"/>
  <c r="O81" i="3"/>
  <c r="P81" i="3" s="1"/>
  <c r="O66" i="3"/>
  <c r="P66" i="3" s="1"/>
  <c r="O77" i="3"/>
  <c r="P77" i="3" s="1"/>
  <c r="O71" i="3"/>
  <c r="P71" i="3" s="1"/>
  <c r="O82" i="3"/>
  <c r="P82" i="3" s="1"/>
  <c r="O65" i="3"/>
  <c r="P65" i="3" s="1"/>
  <c r="O76" i="3"/>
  <c r="P76" i="3" s="1"/>
  <c r="O78" i="3"/>
  <c r="P78" i="3" s="1"/>
  <c r="O67" i="3"/>
  <c r="P67" i="3" s="1"/>
  <c r="O11" i="3"/>
  <c r="P11" i="3" s="1"/>
  <c r="O44" i="3"/>
  <c r="P44" i="3" s="1"/>
  <c r="O59" i="3"/>
  <c r="P59" i="3" s="1"/>
  <c r="O83" i="3"/>
  <c r="P83" i="3" s="1"/>
  <c r="O72" i="3"/>
  <c r="P72" i="3" s="1"/>
  <c r="K197" i="14"/>
  <c r="L197" i="14" s="1"/>
  <c r="K158" i="13"/>
  <c r="L158" i="13" s="1" a="1"/>
  <c r="K201" i="13"/>
  <c r="K190" i="20"/>
  <c r="L190" i="20" s="1"/>
  <c r="K80" i="13"/>
  <c r="K80" i="20"/>
  <c r="K192" i="14"/>
  <c r="L192" i="14" s="1"/>
  <c r="K153" i="13"/>
  <c r="L153" i="13" s="1" a="1"/>
  <c r="K185" i="20"/>
  <c r="L185" i="20" s="1"/>
  <c r="K196" i="13"/>
  <c r="K75" i="20"/>
  <c r="K75" i="13"/>
  <c r="K196" i="14"/>
  <c r="L196" i="14" s="1"/>
  <c r="K157" i="13"/>
  <c r="L157" i="13" s="1" a="1"/>
  <c r="K200" i="13"/>
  <c r="K189" i="20"/>
  <c r="L189" i="20" s="1"/>
  <c r="K79" i="13"/>
  <c r="K79" i="20"/>
  <c r="K191" i="14"/>
  <c r="L191" i="14" s="1"/>
  <c r="K195" i="13"/>
  <c r="K152" i="13"/>
  <c r="L152" i="13" s="1" a="1"/>
  <c r="K184" i="20"/>
  <c r="L184" i="20" s="1"/>
  <c r="K74" i="13"/>
  <c r="K74" i="20"/>
  <c r="K194" i="14"/>
  <c r="L194" i="14" s="1"/>
  <c r="K198" i="13"/>
  <c r="K187" i="20"/>
  <c r="L187" i="20" s="1"/>
  <c r="K155" i="13"/>
  <c r="L155" i="13" s="1" a="1"/>
  <c r="K77" i="20"/>
  <c r="K77" i="13"/>
  <c r="K193" i="14"/>
  <c r="L193" i="14" s="1"/>
  <c r="K154" i="13"/>
  <c r="L154" i="13" s="1" a="1"/>
  <c r="K186" i="20"/>
  <c r="L186" i="20" s="1"/>
  <c r="K197" i="13"/>
  <c r="K76" i="20"/>
  <c r="K76" i="13"/>
  <c r="K195" i="14"/>
  <c r="L195" i="14" s="1"/>
  <c r="K156" i="13"/>
  <c r="L156" i="13" s="1" a="1"/>
  <c r="K188" i="20"/>
  <c r="L188" i="20" s="1"/>
  <c r="K199" i="13"/>
  <c r="K78" i="20"/>
  <c r="K78" i="13"/>
  <c r="K49" i="14"/>
  <c r="L49" i="14" s="1"/>
  <c r="K52" i="13"/>
  <c r="K52" i="20"/>
  <c r="L52" i="20" s="1"/>
  <c r="K50" i="14"/>
  <c r="L50" i="14" s="1"/>
  <c r="K53" i="13"/>
  <c r="L53" i="13" s="1"/>
  <c r="K53" i="20"/>
  <c r="L53" i="20" s="1"/>
  <c r="J106" i="3"/>
  <c r="D22" i="9" s="1"/>
  <c r="K73" i="20"/>
  <c r="K73" i="13"/>
  <c r="K151" i="13"/>
  <c r="L151" i="13" s="1" a="1"/>
  <c r="K194" i="13"/>
  <c r="L194" i="13" s="1"/>
  <c r="K183" i="20"/>
  <c r="L183" i="20" s="1"/>
  <c r="K51" i="20"/>
  <c r="L51" i="20" s="1"/>
  <c r="K51" i="13"/>
  <c r="J88" i="3"/>
  <c r="D20" i="9" s="1"/>
  <c r="K68" i="13"/>
  <c r="K33" i="20"/>
  <c r="L33" i="20" s="1"/>
  <c r="K68" i="20"/>
  <c r="L68" i="20" s="1"/>
  <c r="K33" i="13"/>
  <c r="J20" i="18"/>
  <c r="E20" i="18"/>
  <c r="H20" i="18"/>
  <c r="E21" i="18"/>
  <c r="H21" i="18"/>
  <c r="E22" i="18"/>
  <c r="G72" i="23" s="1"/>
  <c r="H72" i="23" s="1"/>
  <c r="J22" i="18"/>
  <c r="E23" i="18"/>
  <c r="L98" i="3"/>
  <c r="N15" i="3"/>
  <c r="K52" i="23" s="1"/>
  <c r="L52" i="23" s="1"/>
  <c r="M12" i="3"/>
  <c r="J33" i="3"/>
  <c r="M33" i="3"/>
  <c r="G101" i="3"/>
  <c r="K101" i="3"/>
  <c r="L101" i="3" s="1"/>
  <c r="G104" i="3"/>
  <c r="K104" i="3"/>
  <c r="L104" i="3" s="1"/>
  <c r="G102" i="3"/>
  <c r="K102" i="3"/>
  <c r="L102" i="3" s="1"/>
  <c r="G100" i="3"/>
  <c r="K100" i="3"/>
  <c r="L100" i="3" s="1"/>
  <c r="G105" i="3"/>
  <c r="K105" i="3"/>
  <c r="L105" i="3" s="1"/>
  <c r="G99" i="3"/>
  <c r="K99" i="3"/>
  <c r="G103" i="3"/>
  <c r="K103" i="3"/>
  <c r="L103" i="3" s="1"/>
  <c r="F24" i="3"/>
  <c r="K25" i="3"/>
  <c r="G10" i="3"/>
  <c r="G92" i="3"/>
  <c r="K92" i="3"/>
  <c r="L92" i="3" s="1"/>
  <c r="G95" i="3"/>
  <c r="K95" i="3"/>
  <c r="L95" i="3" s="1"/>
  <c r="G93" i="3"/>
  <c r="K28" i="4" s="1"/>
  <c r="L28" i="4" s="1"/>
  <c r="K93" i="3"/>
  <c r="L93" i="3" s="1"/>
  <c r="G91" i="3"/>
  <c r="K91" i="3"/>
  <c r="L91" i="3" s="1"/>
  <c r="G96" i="3"/>
  <c r="K96" i="3"/>
  <c r="L96" i="3" s="1"/>
  <c r="G90" i="3"/>
  <c r="K90" i="3"/>
  <c r="G94" i="3"/>
  <c r="K94" i="3"/>
  <c r="L94" i="3" s="1"/>
  <c r="L67" i="16"/>
  <c r="G14" i="3"/>
  <c r="K14" i="3"/>
  <c r="L14" i="3" s="1"/>
  <c r="K54" i="16" s="1"/>
  <c r="L54" i="16" s="1"/>
  <c r="G15" i="3"/>
  <c r="K15" i="3"/>
  <c r="L15" i="3" s="1"/>
  <c r="K55" i="16" s="1"/>
  <c r="L55" i="16" s="1"/>
  <c r="G13" i="3"/>
  <c r="G12" i="3" s="1"/>
  <c r="D5" i="6" s="1"/>
  <c r="K13" i="3"/>
  <c r="K48" i="14"/>
  <c r="L48" i="14" s="1"/>
  <c r="J12" i="3"/>
  <c r="D5" i="9" s="1"/>
  <c r="O56" i="15"/>
  <c r="O55" i="15"/>
  <c r="O54" i="15"/>
  <c r="O53" i="15"/>
  <c r="O52" i="15"/>
  <c r="O51" i="15"/>
  <c r="R55" i="15"/>
  <c r="R54" i="15"/>
  <c r="R53" i="15"/>
  <c r="R52" i="15"/>
  <c r="R51" i="15"/>
  <c r="S50" i="15"/>
  <c r="J5" i="9"/>
  <c r="E5" i="9"/>
  <c r="J20" i="9"/>
  <c r="E20" i="9"/>
  <c r="J22" i="9"/>
  <c r="E22" i="9"/>
  <c r="J115" i="3"/>
  <c r="D23" i="9" s="1"/>
  <c r="K190" i="14"/>
  <c r="L190" i="14" s="1"/>
  <c r="K32" i="14"/>
  <c r="L32" i="14" s="1"/>
  <c r="L37" i="14" s="1"/>
  <c r="K65" i="14"/>
  <c r="L65" i="14" s="1"/>
  <c r="K74" i="14"/>
  <c r="L74" i="14" s="1"/>
  <c r="E21" i="9"/>
  <c r="H21" i="9"/>
  <c r="L80" i="14"/>
  <c r="I24" i="3"/>
  <c r="G97" i="3"/>
  <c r="D21" i="6" s="1"/>
  <c r="J21" i="6" s="1"/>
  <c r="O7" i="3"/>
  <c r="P7" i="3" s="1"/>
  <c r="O6" i="3"/>
  <c r="K6" i="3" s="1"/>
  <c r="L6" i="3" s="1"/>
  <c r="K27" i="15"/>
  <c r="L27" i="15" s="1"/>
  <c r="K70" i="15"/>
  <c r="L70" i="15" s="1"/>
  <c r="K61" i="15"/>
  <c r="L61" i="15" s="1"/>
  <c r="K73" i="15"/>
  <c r="L73" i="15" s="1"/>
  <c r="K30" i="15"/>
  <c r="L30" i="15" s="1"/>
  <c r="K64" i="15"/>
  <c r="L64" i="15" s="1"/>
  <c r="L79" i="15" s="1"/>
  <c r="K71" i="15"/>
  <c r="L71" i="15" s="1"/>
  <c r="K62" i="15"/>
  <c r="L62" i="15" s="1"/>
  <c r="K28" i="15"/>
  <c r="L28" i="15" s="1"/>
  <c r="K26" i="15"/>
  <c r="L26" i="15" s="1"/>
  <c r="L37" i="15" s="1"/>
  <c r="K69" i="15"/>
  <c r="L69" i="15" s="1"/>
  <c r="K60" i="15"/>
  <c r="L60" i="15" s="1"/>
  <c r="L80" i="15" s="1"/>
  <c r="K74" i="15"/>
  <c r="L74" i="15" s="1"/>
  <c r="K65" i="15"/>
  <c r="L65" i="15" s="1"/>
  <c r="L81" i="15" s="1"/>
  <c r="K31" i="15"/>
  <c r="L31" i="15" s="1"/>
  <c r="L38" i="15" s="1"/>
  <c r="K25" i="15"/>
  <c r="L25" i="15" s="1"/>
  <c r="K68" i="15"/>
  <c r="L68" i="15" s="1"/>
  <c r="K59" i="15"/>
  <c r="L59" i="15" s="1"/>
  <c r="K63" i="15"/>
  <c r="L63" i="15" s="1"/>
  <c r="K72" i="15"/>
  <c r="L72" i="15" s="1"/>
  <c r="L78" i="15" s="1"/>
  <c r="K29" i="15"/>
  <c r="L29" i="15" s="1"/>
  <c r="L35" i="15" s="1"/>
  <c r="K58" i="15"/>
  <c r="L58" i="15" s="1"/>
  <c r="K67" i="15"/>
  <c r="L67" i="15" s="1"/>
  <c r="K24" i="15"/>
  <c r="L24" i="15" s="1"/>
  <c r="L34" i="15" s="1"/>
  <c r="K94" i="15"/>
  <c r="L94" i="15" s="1"/>
  <c r="L51" i="13"/>
  <c r="K45" i="15"/>
  <c r="L45" i="15" s="1"/>
  <c r="L52" i="13"/>
  <c r="K46" i="15"/>
  <c r="L46" i="15" s="1"/>
  <c r="K123" i="4"/>
  <c r="L123" i="4" s="1"/>
  <c r="L76" i="13"/>
  <c r="L67" i="13"/>
  <c r="L32" i="13"/>
  <c r="L79" i="13"/>
  <c r="L70" i="13"/>
  <c r="L35" i="13"/>
  <c r="L77" i="13"/>
  <c r="L68" i="13"/>
  <c r="L33" i="13"/>
  <c r="L75" i="13"/>
  <c r="L66" i="13"/>
  <c r="L31" i="13"/>
  <c r="L80" i="13"/>
  <c r="L71" i="13"/>
  <c r="L36" i="13"/>
  <c r="L74" i="13"/>
  <c r="L65" i="13"/>
  <c r="L30" i="13"/>
  <c r="L78" i="13"/>
  <c r="L69" i="13"/>
  <c r="L34" i="13"/>
  <c r="L73" i="13"/>
  <c r="L64" i="13"/>
  <c r="L201" i="13"/>
  <c r="L196" i="13"/>
  <c r="L200" i="13"/>
  <c r="L195" i="13"/>
  <c r="L198" i="13"/>
  <c r="L197" i="13"/>
  <c r="L199" i="13"/>
  <c r="K46" i="4"/>
  <c r="L46" i="4" s="1"/>
  <c r="L50" i="13"/>
  <c r="K63" i="4"/>
  <c r="L63" i="4" s="1"/>
  <c r="K72" i="4"/>
  <c r="L72" i="4" s="1"/>
  <c r="K27" i="4"/>
  <c r="L27" i="4" s="1"/>
  <c r="G24" i="4" s="1"/>
  <c r="K66" i="4"/>
  <c r="L66" i="4" s="1"/>
  <c r="K75" i="4"/>
  <c r="L75" i="4" s="1"/>
  <c r="K30" i="4"/>
  <c r="L30" i="4" s="1"/>
  <c r="K64" i="4"/>
  <c r="L64" i="4" s="1"/>
  <c r="K73" i="4"/>
  <c r="L73" i="4" s="1"/>
  <c r="K62" i="4"/>
  <c r="L62" i="4" s="1"/>
  <c r="K71" i="4"/>
  <c r="L71" i="4" s="1"/>
  <c r="K26" i="4"/>
  <c r="L26" i="4" s="1"/>
  <c r="K67" i="4"/>
  <c r="L67" i="4" s="1"/>
  <c r="K76" i="4"/>
  <c r="L76" i="4" s="1"/>
  <c r="K31" i="4"/>
  <c r="L31" i="4" s="1"/>
  <c r="K61" i="4"/>
  <c r="L61" i="4" s="1"/>
  <c r="K70" i="4"/>
  <c r="L70" i="4" s="1"/>
  <c r="K25" i="4"/>
  <c r="L25" i="4" s="1"/>
  <c r="K65" i="4"/>
  <c r="L65" i="4" s="1"/>
  <c r="K74" i="4"/>
  <c r="L74" i="4" s="1"/>
  <c r="K29" i="4"/>
  <c r="L29" i="4" s="1"/>
  <c r="K48" i="8"/>
  <c r="L69" i="4"/>
  <c r="K60" i="4"/>
  <c r="L60" i="4" s="1"/>
  <c r="K24" i="4"/>
  <c r="L24" i="4" s="1"/>
  <c r="L34" i="4" s="1"/>
  <c r="K96" i="4"/>
  <c r="L96" i="4" s="1"/>
  <c r="K74" i="8"/>
  <c r="L74" i="8" s="1"/>
  <c r="L78" i="8" s="1"/>
  <c r="K42" i="8"/>
  <c r="L42" i="8" s="1"/>
  <c r="K47" i="4"/>
  <c r="L47" i="4" s="1"/>
  <c r="K43" i="8"/>
  <c r="L43" i="8" s="1"/>
  <c r="K48" i="4"/>
  <c r="L48" i="4" s="1"/>
  <c r="L48" i="8"/>
  <c r="K22" i="8"/>
  <c r="K51" i="8"/>
  <c r="L51" i="8" s="1"/>
  <c r="K25" i="8"/>
  <c r="L25" i="8" s="1"/>
  <c r="L30" i="8" s="1"/>
  <c r="K54" i="8"/>
  <c r="L54" i="8" s="1"/>
  <c r="L58" i="8" s="1"/>
  <c r="K23" i="8"/>
  <c r="K52" i="8"/>
  <c r="L52" i="8" s="1"/>
  <c r="K21" i="8"/>
  <c r="K50" i="8"/>
  <c r="L50" i="8" s="1"/>
  <c r="L60" i="8" s="1"/>
  <c r="K26" i="8"/>
  <c r="K55" i="8"/>
  <c r="L55" i="8" s="1"/>
  <c r="L61" i="8" s="1"/>
  <c r="K20" i="8"/>
  <c r="K49" i="8"/>
  <c r="K24" i="8"/>
  <c r="K53" i="8"/>
  <c r="L53" i="8" s="1"/>
  <c r="L62" i="8" s="1"/>
  <c r="L22" i="8"/>
  <c r="L23" i="8"/>
  <c r="L21" i="8"/>
  <c r="L32" i="8" s="1"/>
  <c r="M26" i="8"/>
  <c r="L26" i="8"/>
  <c r="L33" i="8" s="1"/>
  <c r="L20" i="8"/>
  <c r="L24" i="8"/>
  <c r="L34" i="8" s="1"/>
  <c r="G88" i="3"/>
  <c r="D20" i="6" s="1"/>
  <c r="K19" i="8"/>
  <c r="L19" i="8" s="1"/>
  <c r="L29" i="8" s="1"/>
  <c r="F12" i="3"/>
  <c r="F11" i="3"/>
  <c r="C13" i="1"/>
  <c r="G10" i="10"/>
  <c r="C14" i="1"/>
  <c r="E11" i="3"/>
  <c r="G11" i="10"/>
  <c r="G9" i="10"/>
  <c r="E9" i="3"/>
  <c r="C12" i="1"/>
  <c r="C11" i="1" s="1"/>
  <c r="E10" i="3"/>
  <c r="G68" i="10"/>
  <c r="E77" i="3"/>
  <c r="C64" i="1"/>
  <c r="G67" i="10"/>
  <c r="C70" i="1"/>
  <c r="E83" i="3"/>
  <c r="G73" i="10"/>
  <c r="C67" i="1"/>
  <c r="E76" i="3"/>
  <c r="C68" i="1"/>
  <c r="E81" i="3"/>
  <c r="E82" i="3"/>
  <c r="E80" i="3"/>
  <c r="G70" i="10"/>
  <c r="C63" i="1"/>
  <c r="G66" i="10"/>
  <c r="G72" i="10"/>
  <c r="C69" i="1"/>
  <c r="E79" i="3"/>
  <c r="G69" i="10"/>
  <c r="E75" i="3"/>
  <c r="C62" i="1"/>
  <c r="G65" i="10"/>
  <c r="C66" i="1"/>
  <c r="C61" i="1"/>
  <c r="E74" i="3"/>
  <c r="G64" i="10"/>
  <c r="G71" i="10"/>
  <c r="C65" i="1"/>
  <c r="E78" i="3"/>
  <c r="C10" i="1"/>
  <c r="E7" i="3"/>
  <c r="E6" i="3"/>
  <c r="C9" i="1"/>
  <c r="C7" i="1" s="1"/>
  <c r="G6" i="10"/>
  <c r="G7" i="10"/>
  <c r="E41" i="3"/>
  <c r="E56" i="3"/>
  <c r="C39" i="1"/>
  <c r="G42" i="10"/>
  <c r="G57" i="10"/>
  <c r="C41" i="1"/>
  <c r="G59" i="10"/>
  <c r="E43" i="3"/>
  <c r="E40" i="3"/>
  <c r="E58" i="3"/>
  <c r="G44" i="10"/>
  <c r="C38" i="1"/>
  <c r="G41" i="10"/>
  <c r="G56" i="10"/>
  <c r="E55" i="3"/>
  <c r="G51" i="10"/>
  <c r="C33" i="1"/>
  <c r="E35" i="3"/>
  <c r="E50" i="3"/>
  <c r="G37" i="10"/>
  <c r="E51" i="3"/>
  <c r="C34" i="1"/>
  <c r="E36" i="3"/>
  <c r="G52" i="10"/>
  <c r="G60" i="10"/>
  <c r="E42" i="3"/>
  <c r="E57" i="3"/>
  <c r="C40" i="1"/>
  <c r="G43" i="10"/>
  <c r="G58" i="10"/>
  <c r="G45" i="10"/>
  <c r="G36" i="10"/>
  <c r="E54" i="3"/>
  <c r="E39" i="3"/>
  <c r="C37" i="1"/>
  <c r="G55" i="10"/>
  <c r="G40" i="10"/>
  <c r="C42" i="1"/>
  <c r="E44" i="3"/>
  <c r="E59" i="3"/>
  <c r="E37" i="3"/>
  <c r="C35" i="1"/>
  <c r="G38" i="10"/>
  <c r="G53" i="10"/>
  <c r="E52" i="3"/>
  <c r="G39" i="10"/>
  <c r="E38" i="3"/>
  <c r="C36" i="1"/>
  <c r="E53" i="3"/>
  <c r="G54" i="10"/>
  <c r="H59" i="3"/>
  <c r="H44" i="3"/>
  <c r="D42" i="1"/>
  <c r="D34" i="1"/>
  <c r="H51" i="3"/>
  <c r="H36" i="3"/>
  <c r="D35" i="1"/>
  <c r="H58" i="3"/>
  <c r="D41" i="1"/>
  <c r="D33" i="1"/>
  <c r="H43" i="3"/>
  <c r="H53" i="3"/>
  <c r="H37" i="3"/>
  <c r="H40" i="3"/>
  <c r="H55" i="3"/>
  <c r="H41" i="3"/>
  <c r="H56" i="3"/>
  <c r="D39" i="1"/>
  <c r="H39" i="3"/>
  <c r="D37" i="1"/>
  <c r="H54" i="3"/>
  <c r="D40" i="1"/>
  <c r="H42" i="3"/>
  <c r="H57" i="3"/>
  <c r="H38" i="3"/>
  <c r="D36" i="1"/>
  <c r="H35" i="3"/>
  <c r="H34" i="3" s="1"/>
  <c r="H50" i="3"/>
  <c r="D38" i="1"/>
  <c r="H52" i="3"/>
  <c r="K50" i="22" l="1"/>
  <c r="L50" i="22" s="1"/>
  <c r="K51" i="23"/>
  <c r="L51" i="23" s="1"/>
  <c r="L83" i="23" s="1"/>
  <c r="L82" i="23" s="1"/>
  <c r="G63" i="23"/>
  <c r="H63" i="23" s="1"/>
  <c r="G28" i="23"/>
  <c r="H28" i="23" s="1"/>
  <c r="I63" i="23"/>
  <c r="L63" i="23" s="1"/>
  <c r="I28" i="23"/>
  <c r="L28" i="23" s="1"/>
  <c r="G145" i="23"/>
  <c r="H145" i="23" s="1"/>
  <c r="N12" i="3"/>
  <c r="K119" i="23" s="1"/>
  <c r="L119" i="23" s="1"/>
  <c r="K51" i="22"/>
  <c r="L51" i="22" s="1"/>
  <c r="L82" i="22" s="1"/>
  <c r="L81" i="22" s="1"/>
  <c r="K70" i="16"/>
  <c r="K27" i="16"/>
  <c r="K73" i="16"/>
  <c r="K30" i="16"/>
  <c r="K71" i="16"/>
  <c r="K28" i="16"/>
  <c r="K69" i="16"/>
  <c r="K26" i="16"/>
  <c r="K74" i="16"/>
  <c r="K31" i="16"/>
  <c r="K72" i="16"/>
  <c r="K29" i="16"/>
  <c r="L37" i="20"/>
  <c r="L159" i="13"/>
  <c r="G62" i="22"/>
  <c r="H62" i="22" s="1"/>
  <c r="G28" i="22"/>
  <c r="H28" i="22" s="1"/>
  <c r="I62" i="22"/>
  <c r="L62" i="22" s="1"/>
  <c r="I28" i="22"/>
  <c r="L28" i="22" s="1"/>
  <c r="H22" i="18"/>
  <c r="G71" i="22"/>
  <c r="H71" i="22" s="1"/>
  <c r="H23" i="18"/>
  <c r="G144" i="22"/>
  <c r="H144" i="22" s="1"/>
  <c r="L82" i="14"/>
  <c r="L115" i="4"/>
  <c r="L85" i="13"/>
  <c r="L86" i="13"/>
  <c r="L87" i="13"/>
  <c r="L84" i="13"/>
  <c r="L83" i="13"/>
  <c r="L28" i="8"/>
  <c r="L79" i="14"/>
  <c r="L191" i="20"/>
  <c r="F5" i="19"/>
  <c r="G5" i="19"/>
  <c r="H5" i="19"/>
  <c r="F20" i="19"/>
  <c r="G20" i="19"/>
  <c r="H20" i="19"/>
  <c r="G21" i="19"/>
  <c r="F21" i="19"/>
  <c r="G22" i="19"/>
  <c r="F22" i="19"/>
  <c r="G23" i="19"/>
  <c r="F23" i="19"/>
  <c r="O62" i="3"/>
  <c r="P63" i="3"/>
  <c r="P62" i="3" s="1"/>
  <c r="D16" i="19" s="1"/>
  <c r="O73" i="3"/>
  <c r="P74" i="3"/>
  <c r="P73" i="3" s="1"/>
  <c r="D17" i="19" s="1"/>
  <c r="O9" i="3"/>
  <c r="O10" i="3"/>
  <c r="O55" i="3"/>
  <c r="P55" i="3" s="1"/>
  <c r="O40" i="3"/>
  <c r="P40" i="3" s="1"/>
  <c r="O57" i="3"/>
  <c r="P57" i="3" s="1"/>
  <c r="O42" i="3"/>
  <c r="P42" i="3" s="1"/>
  <c r="O54" i="3"/>
  <c r="P54" i="3" s="1"/>
  <c r="O39" i="3"/>
  <c r="P39" i="3" s="1"/>
  <c r="O56" i="3"/>
  <c r="P56" i="3" s="1"/>
  <c r="O41" i="3"/>
  <c r="P41" i="3" s="1"/>
  <c r="O51" i="3"/>
  <c r="P51" i="3" s="1"/>
  <c r="O36" i="3"/>
  <c r="P36" i="3" s="1"/>
  <c r="O58" i="3"/>
  <c r="P58" i="3" s="1"/>
  <c r="O43" i="3"/>
  <c r="P43" i="3" s="1"/>
  <c r="O53" i="3"/>
  <c r="P53" i="3" s="1"/>
  <c r="O38" i="3"/>
  <c r="P38" i="3" s="1"/>
  <c r="O52" i="3"/>
  <c r="P52" i="3" s="1"/>
  <c r="O37" i="3"/>
  <c r="P37" i="3" s="1"/>
  <c r="O35" i="3"/>
  <c r="O50" i="3"/>
  <c r="K97" i="14"/>
  <c r="L97" i="14" s="1"/>
  <c r="K100" i="20"/>
  <c r="K100" i="13"/>
  <c r="L100" i="13" s="1"/>
  <c r="H5" i="9"/>
  <c r="G49" i="20"/>
  <c r="H49" i="20" s="1"/>
  <c r="G49" i="13"/>
  <c r="H20" i="9"/>
  <c r="G63" i="20"/>
  <c r="H63" i="20" s="1"/>
  <c r="G28" i="20"/>
  <c r="H28" i="20" s="1"/>
  <c r="G63" i="13"/>
  <c r="H63" i="13" s="1"/>
  <c r="H22" i="9"/>
  <c r="G72" i="20"/>
  <c r="G72" i="13"/>
  <c r="H72" i="13" s="1"/>
  <c r="L79" i="4"/>
  <c r="L81" i="4"/>
  <c r="L82" i="4"/>
  <c r="L83" i="4"/>
  <c r="L80" i="4"/>
  <c r="L202" i="13"/>
  <c r="L37" i="13"/>
  <c r="L82" i="13"/>
  <c r="G20" i="18"/>
  <c r="F20" i="18"/>
  <c r="G21" i="18"/>
  <c r="F21" i="18"/>
  <c r="G22" i="18"/>
  <c r="F22" i="18"/>
  <c r="G23" i="18"/>
  <c r="F23" i="18"/>
  <c r="K24" i="3"/>
  <c r="K99" i="15"/>
  <c r="L99" i="15" s="1"/>
  <c r="L27" i="16"/>
  <c r="L70" i="16"/>
  <c r="L30" i="16"/>
  <c r="L73" i="16"/>
  <c r="L28" i="16"/>
  <c r="L71" i="16"/>
  <c r="L26" i="16"/>
  <c r="L69" i="16"/>
  <c r="L31" i="16"/>
  <c r="L74" i="16"/>
  <c r="K88" i="3"/>
  <c r="L90" i="3"/>
  <c r="L29" i="16"/>
  <c r="L72" i="16"/>
  <c r="K44" i="15"/>
  <c r="L44" i="15" s="1"/>
  <c r="L13" i="3"/>
  <c r="K12" i="3"/>
  <c r="N33" i="3"/>
  <c r="M24" i="3"/>
  <c r="L99" i="3"/>
  <c r="L97" i="3" s="1"/>
  <c r="D21" i="17" s="1"/>
  <c r="K97" i="3"/>
  <c r="O5" i="3"/>
  <c r="P6" i="3"/>
  <c r="P5" i="3" s="1"/>
  <c r="D3" i="19" s="1"/>
  <c r="K7" i="3"/>
  <c r="L7" i="3" s="1"/>
  <c r="G11" i="3"/>
  <c r="K11" i="3"/>
  <c r="L11" i="3" s="1"/>
  <c r="K109" i="16" s="1"/>
  <c r="F5" i="9"/>
  <c r="G5" i="9"/>
  <c r="G46" i="14"/>
  <c r="H46" i="14" s="1"/>
  <c r="I28" i="13"/>
  <c r="I27" i="14"/>
  <c r="I60" i="14"/>
  <c r="F20" i="9"/>
  <c r="G20" i="9"/>
  <c r="G28" i="13"/>
  <c r="H28" i="13" s="1"/>
  <c r="G27" i="14"/>
  <c r="H27" i="14" s="1"/>
  <c r="G60" i="14"/>
  <c r="H60" i="14" s="1"/>
  <c r="F22" i="9"/>
  <c r="G22" i="9"/>
  <c r="G69" i="14"/>
  <c r="H69" i="14" s="1"/>
  <c r="E23" i="9"/>
  <c r="G150" i="14" s="1"/>
  <c r="H150" i="14" s="1"/>
  <c r="F21" i="9"/>
  <c r="G21" i="9"/>
  <c r="E21" i="6"/>
  <c r="H21" i="6"/>
  <c r="L77" i="15"/>
  <c r="L76" i="15" s="1"/>
  <c r="I55" i="3"/>
  <c r="I52" i="3"/>
  <c r="I50" i="3"/>
  <c r="M50" i="3" s="1"/>
  <c r="I53" i="3"/>
  <c r="I58" i="3"/>
  <c r="I51" i="3"/>
  <c r="I56" i="3"/>
  <c r="I54" i="3"/>
  <c r="I57" i="3"/>
  <c r="I59" i="3"/>
  <c r="K101" i="15"/>
  <c r="L101" i="15" s="1"/>
  <c r="K100" i="15"/>
  <c r="L100" i="15" s="1"/>
  <c r="I6" i="3"/>
  <c r="J6" i="3" s="1"/>
  <c r="I7" i="3"/>
  <c r="I36" i="3"/>
  <c r="I37" i="3"/>
  <c r="I38" i="3"/>
  <c r="I39" i="3"/>
  <c r="I40" i="3"/>
  <c r="I41" i="3"/>
  <c r="I42" i="3"/>
  <c r="I43" i="3"/>
  <c r="I35" i="3"/>
  <c r="M35" i="3" s="1"/>
  <c r="I44" i="3"/>
  <c r="L78" i="4"/>
  <c r="L18" i="8"/>
  <c r="L49" i="8"/>
  <c r="K47" i="8"/>
  <c r="K41" i="8"/>
  <c r="L41" i="8" s="1"/>
  <c r="L57" i="8" s="1"/>
  <c r="E20" i="6"/>
  <c r="G23" i="4" s="1"/>
  <c r="J20" i="6"/>
  <c r="F44" i="3"/>
  <c r="F38" i="3"/>
  <c r="F37" i="3"/>
  <c r="F39" i="3"/>
  <c r="F42" i="3"/>
  <c r="F36" i="3"/>
  <c r="F35" i="3"/>
  <c r="K35" i="3" s="1"/>
  <c r="F40" i="3"/>
  <c r="F43" i="3"/>
  <c r="F41" i="3"/>
  <c r="D32" i="1"/>
  <c r="E32" i="1"/>
  <c r="F5" i="3"/>
  <c r="C60" i="1"/>
  <c r="C32" i="1"/>
  <c r="H49" i="3"/>
  <c r="D70" i="1"/>
  <c r="H83" i="3"/>
  <c r="H80" i="3"/>
  <c r="H78" i="3"/>
  <c r="H81" i="3"/>
  <c r="D68" i="1"/>
  <c r="D65" i="1"/>
  <c r="H76" i="3"/>
  <c r="D62" i="1"/>
  <c r="H75" i="3"/>
  <c r="D66" i="1"/>
  <c r="H79" i="3"/>
  <c r="H82" i="3"/>
  <c r="D69" i="1"/>
  <c r="D64" i="1"/>
  <c r="H77" i="3"/>
  <c r="D61" i="1"/>
  <c r="H74" i="3"/>
  <c r="H73" i="3" s="1"/>
  <c r="D63" i="1"/>
  <c r="D67" i="1"/>
  <c r="H11" i="3"/>
  <c r="D14" i="1"/>
  <c r="H10" i="3"/>
  <c r="D13" i="1"/>
  <c r="H9" i="3"/>
  <c r="D12" i="1"/>
  <c r="D53" i="1"/>
  <c r="D52" i="1"/>
  <c r="D54" i="1"/>
  <c r="D49" i="1"/>
  <c r="D51" i="1"/>
  <c r="D56" i="1"/>
  <c r="D55" i="1"/>
  <c r="D48" i="1"/>
  <c r="D50" i="1"/>
  <c r="D57" i="1"/>
  <c r="D10" i="1"/>
  <c r="E7" i="1" s="1"/>
  <c r="H7" i="3"/>
  <c r="H6" i="3"/>
  <c r="D9" i="1"/>
  <c r="D7" i="1" s="1"/>
  <c r="G64" i="23" l="1"/>
  <c r="G65" i="23"/>
  <c r="G66" i="23"/>
  <c r="G67" i="23"/>
  <c r="G68" i="23"/>
  <c r="G69" i="23"/>
  <c r="G29" i="23"/>
  <c r="G30" i="23"/>
  <c r="G31" i="23"/>
  <c r="G32" i="23"/>
  <c r="G33" i="23"/>
  <c r="I71" i="22"/>
  <c r="I72" i="23"/>
  <c r="L72" i="23" s="1"/>
  <c r="I145" i="23"/>
  <c r="L145" i="23" s="1"/>
  <c r="P63" i="23"/>
  <c r="R63" i="23" s="1"/>
  <c r="P28" i="23"/>
  <c r="R28" i="23" s="1"/>
  <c r="M63" i="23"/>
  <c r="O63" i="23" s="1"/>
  <c r="M28" i="23"/>
  <c r="O28" i="23" s="1"/>
  <c r="S28" i="23" s="1"/>
  <c r="P71" i="22"/>
  <c r="R71" i="22" s="1"/>
  <c r="P72" i="23"/>
  <c r="R72" i="23" s="1"/>
  <c r="M71" i="22"/>
  <c r="O71" i="22" s="1"/>
  <c r="M72" i="23"/>
  <c r="O72" i="23" s="1"/>
  <c r="P145" i="23"/>
  <c r="R145" i="23" s="1"/>
  <c r="M145" i="23"/>
  <c r="O145" i="23" s="1"/>
  <c r="K99" i="22"/>
  <c r="L99" i="22" s="1"/>
  <c r="K100" i="23"/>
  <c r="L100" i="23" s="1"/>
  <c r="G29" i="22"/>
  <c r="L44" i="22"/>
  <c r="L45" i="22" s="1"/>
  <c r="D138" i="13"/>
  <c r="F138" i="13" s="1"/>
  <c r="C138" i="13" s="1"/>
  <c r="K118" i="22"/>
  <c r="L118" i="22" s="1"/>
  <c r="D5" i="18"/>
  <c r="L88" i="3"/>
  <c r="D20" i="17" s="1"/>
  <c r="K68" i="16"/>
  <c r="L68" i="16" s="1"/>
  <c r="K25" i="16"/>
  <c r="L25" i="16" s="1"/>
  <c r="L12" i="3"/>
  <c r="K53" i="16"/>
  <c r="L53" i="16" s="1"/>
  <c r="M6" i="3"/>
  <c r="L120" i="13"/>
  <c r="G63" i="22"/>
  <c r="G64" i="22"/>
  <c r="G65" i="22"/>
  <c r="G66" i="22"/>
  <c r="G67" i="22"/>
  <c r="G68" i="22"/>
  <c r="G30" i="22"/>
  <c r="G31" i="22"/>
  <c r="G32" i="22"/>
  <c r="G33" i="22"/>
  <c r="G34" i="22"/>
  <c r="I144" i="22"/>
  <c r="L144" i="22" s="1"/>
  <c r="L71" i="22"/>
  <c r="P62" i="22"/>
  <c r="R62" i="22" s="1"/>
  <c r="P28" i="22"/>
  <c r="R28" i="22" s="1"/>
  <c r="M62" i="22"/>
  <c r="O62" i="22" s="1"/>
  <c r="M28" i="22"/>
  <c r="O28" i="22" s="1"/>
  <c r="S28" i="22" s="1"/>
  <c r="R72" i="22"/>
  <c r="R73" i="22"/>
  <c r="R74" i="22"/>
  <c r="R75" i="22"/>
  <c r="R76" i="22"/>
  <c r="O72" i="22"/>
  <c r="O73" i="22"/>
  <c r="O74" i="22"/>
  <c r="O75" i="22"/>
  <c r="O76" i="22"/>
  <c r="O77" i="22"/>
  <c r="P144" i="22"/>
  <c r="R144" i="22" s="1"/>
  <c r="M144" i="22"/>
  <c r="O144" i="22" s="1"/>
  <c r="F114" i="3"/>
  <c r="F123" i="3"/>
  <c r="F108" i="3"/>
  <c r="F109" i="3"/>
  <c r="F113" i="3"/>
  <c r="F111" i="3"/>
  <c r="F110" i="3"/>
  <c r="F112" i="3"/>
  <c r="F107" i="3"/>
  <c r="F116" i="3"/>
  <c r="F118" i="3"/>
  <c r="F122" i="3"/>
  <c r="F117" i="3"/>
  <c r="F120" i="3"/>
  <c r="F119" i="3"/>
  <c r="F121" i="3"/>
  <c r="E5" i="6"/>
  <c r="H5" i="6" s="1"/>
  <c r="J5" i="6"/>
  <c r="E16" i="19"/>
  <c r="H16" i="19" s="1"/>
  <c r="J17" i="19"/>
  <c r="E17" i="19"/>
  <c r="O8" i="3"/>
  <c r="P9" i="3"/>
  <c r="K10" i="3"/>
  <c r="L10" i="3" s="1"/>
  <c r="K108" i="16" s="1"/>
  <c r="L108" i="16" s="1"/>
  <c r="P10" i="3"/>
  <c r="O34" i="3"/>
  <c r="P35" i="3"/>
  <c r="P34" i="3" s="1"/>
  <c r="D11" i="19" s="1"/>
  <c r="O49" i="3"/>
  <c r="P50" i="3"/>
  <c r="P49" i="3" s="1"/>
  <c r="D14" i="19" s="1"/>
  <c r="I49" i="13"/>
  <c r="I49" i="20"/>
  <c r="L49" i="20" s="1"/>
  <c r="I46" i="14"/>
  <c r="L46" i="14" s="1"/>
  <c r="I63" i="13"/>
  <c r="L63" i="13" s="1"/>
  <c r="I28" i="20"/>
  <c r="L28" i="20" s="1"/>
  <c r="I63" i="20"/>
  <c r="L63" i="20" s="1"/>
  <c r="I72" i="13"/>
  <c r="L72" i="13" s="1"/>
  <c r="I72" i="20"/>
  <c r="I69" i="14"/>
  <c r="L69" i="14" s="1"/>
  <c r="K125" i="4"/>
  <c r="L125" i="4" s="1"/>
  <c r="L148" i="4" s="1"/>
  <c r="K124" i="4"/>
  <c r="L124" i="4" s="1"/>
  <c r="M46" i="14"/>
  <c r="M49" i="20"/>
  <c r="O49" i="20" s="1"/>
  <c r="M49" i="13"/>
  <c r="P46" i="14"/>
  <c r="P49" i="20"/>
  <c r="R49" i="20" s="1"/>
  <c r="P49" i="13"/>
  <c r="M63" i="20"/>
  <c r="O63" i="20" s="1"/>
  <c r="M28" i="20"/>
  <c r="O28" i="20" s="1"/>
  <c r="M63" i="13"/>
  <c r="O63" i="13" s="1"/>
  <c r="P63" i="20"/>
  <c r="R63" i="20" s="1"/>
  <c r="P28" i="20"/>
  <c r="R28" i="20" s="1"/>
  <c r="P63" i="13"/>
  <c r="R63" i="13" s="1"/>
  <c r="M69" i="14"/>
  <c r="M72" i="20"/>
  <c r="M72" i="13"/>
  <c r="O72" i="13" s="1"/>
  <c r="P69" i="14"/>
  <c r="P72" i="20"/>
  <c r="P72" i="13"/>
  <c r="R72" i="13" s="1"/>
  <c r="H23" i="9"/>
  <c r="I150" i="14" s="1"/>
  <c r="L150" i="14" s="1"/>
  <c r="G182" i="20"/>
  <c r="H182" i="20" s="1"/>
  <c r="G150" i="13"/>
  <c r="H150" i="13" s="1"/>
  <c r="G193" i="13"/>
  <c r="H193" i="13" s="1"/>
  <c r="G189" i="14"/>
  <c r="H189" i="14" s="1"/>
  <c r="J20" i="17"/>
  <c r="E20" i="17"/>
  <c r="H20" i="17"/>
  <c r="E21" i="17"/>
  <c r="H21" i="17"/>
  <c r="E3" i="19"/>
  <c r="H3" i="19" s="1"/>
  <c r="J3" i="19"/>
  <c r="D3" i="6"/>
  <c r="J3" i="6" s="1"/>
  <c r="L12" i="8"/>
  <c r="L36" i="8" s="1"/>
  <c r="L35" i="8" s="1"/>
  <c r="K5" i="3"/>
  <c r="L5" i="3"/>
  <c r="D3" i="17" s="1"/>
  <c r="L109" i="16"/>
  <c r="J55" i="3"/>
  <c r="M55" i="3"/>
  <c r="N55" i="3" s="1"/>
  <c r="J52" i="3"/>
  <c r="M52" i="3"/>
  <c r="N52" i="3" s="1"/>
  <c r="N50" i="3"/>
  <c r="J53" i="3"/>
  <c r="M53" i="3"/>
  <c r="N53" i="3" s="1"/>
  <c r="J58" i="3"/>
  <c r="M58" i="3"/>
  <c r="N58" i="3" s="1"/>
  <c r="J51" i="3"/>
  <c r="M51" i="3"/>
  <c r="J56" i="3"/>
  <c r="M56" i="3"/>
  <c r="N56" i="3" s="1"/>
  <c r="J54" i="3"/>
  <c r="M54" i="3"/>
  <c r="N54" i="3" s="1"/>
  <c r="J57" i="3"/>
  <c r="M57" i="3"/>
  <c r="N57" i="3" s="1"/>
  <c r="J59" i="3"/>
  <c r="M59" i="3"/>
  <c r="N59" i="3" s="1"/>
  <c r="J7" i="3"/>
  <c r="K12" i="13" s="1"/>
  <c r="M7" i="3"/>
  <c r="N7" i="3" s="1"/>
  <c r="J36" i="3"/>
  <c r="M36" i="3"/>
  <c r="N36" i="3" s="1"/>
  <c r="J37" i="3"/>
  <c r="M37" i="3"/>
  <c r="N37" i="3" s="1"/>
  <c r="J38" i="3"/>
  <c r="M38" i="3"/>
  <c r="N38" i="3" s="1"/>
  <c r="J39" i="3"/>
  <c r="M39" i="3"/>
  <c r="N39" i="3" s="1"/>
  <c r="J40" i="3"/>
  <c r="M40" i="3"/>
  <c r="N40" i="3" s="1"/>
  <c r="J41" i="3"/>
  <c r="M41" i="3"/>
  <c r="N41" i="3" s="1"/>
  <c r="J42" i="3"/>
  <c r="M42" i="3"/>
  <c r="N42" i="3" s="1"/>
  <c r="J43" i="3"/>
  <c r="M43" i="3"/>
  <c r="N43" i="3" s="1"/>
  <c r="N35" i="3"/>
  <c r="J44" i="3"/>
  <c r="M44" i="3"/>
  <c r="K9" i="3"/>
  <c r="G44" i="3"/>
  <c r="K44" i="3"/>
  <c r="L44" i="3" s="1"/>
  <c r="K148" i="16" s="1"/>
  <c r="G38" i="3"/>
  <c r="K38" i="3"/>
  <c r="L38" i="3" s="1"/>
  <c r="K142" i="16" s="1"/>
  <c r="G37" i="3"/>
  <c r="K37" i="3"/>
  <c r="L37" i="3" s="1"/>
  <c r="K141" i="16" s="1"/>
  <c r="G39" i="3"/>
  <c r="K39" i="3"/>
  <c r="L39" i="3" s="1"/>
  <c r="K143" i="16" s="1"/>
  <c r="G42" i="3"/>
  <c r="K42" i="3"/>
  <c r="L42" i="3" s="1"/>
  <c r="K146" i="16" s="1"/>
  <c r="G36" i="3"/>
  <c r="K36" i="3"/>
  <c r="L36" i="3" s="1"/>
  <c r="K140" i="16" s="1"/>
  <c r="L35" i="3"/>
  <c r="K139" i="16" s="1"/>
  <c r="L139" i="16" s="1"/>
  <c r="G40" i="3"/>
  <c r="K40" i="3"/>
  <c r="G43" i="3"/>
  <c r="K43" i="3"/>
  <c r="L43" i="3" s="1"/>
  <c r="K147" i="16" s="1"/>
  <c r="G41" i="3"/>
  <c r="K41" i="3"/>
  <c r="L41" i="3" s="1"/>
  <c r="K145" i="16" s="1"/>
  <c r="M28" i="13"/>
  <c r="O28" i="13" s="1"/>
  <c r="O29" i="13" s="1"/>
  <c r="M27" i="14"/>
  <c r="O27" i="14" s="1"/>
  <c r="M60" i="14"/>
  <c r="O60" i="14" s="1"/>
  <c r="P28" i="13"/>
  <c r="R28" i="13" s="1"/>
  <c r="P27" i="14"/>
  <c r="R27" i="14" s="1"/>
  <c r="P60" i="14"/>
  <c r="R60" i="14" s="1"/>
  <c r="F23" i="9"/>
  <c r="M150" i="14" s="1"/>
  <c r="O150" i="14" s="1"/>
  <c r="O156" i="14" s="1"/>
  <c r="G23" i="9"/>
  <c r="P150" i="14" s="1"/>
  <c r="R150" i="14" s="1"/>
  <c r="F21" i="6"/>
  <c r="G21" i="6"/>
  <c r="J50" i="3"/>
  <c r="I49" i="3"/>
  <c r="O46" i="14"/>
  <c r="R46" i="14"/>
  <c r="L28" i="13"/>
  <c r="L27" i="14"/>
  <c r="L60" i="14"/>
  <c r="O69" i="14"/>
  <c r="R69" i="14"/>
  <c r="G57" i="15"/>
  <c r="H57" i="15" s="1"/>
  <c r="G23" i="15"/>
  <c r="H23" i="15" s="1"/>
  <c r="K98" i="15"/>
  <c r="L98" i="15" s="1"/>
  <c r="H49" i="13"/>
  <c r="H48" i="13" s="1"/>
  <c r="G43" i="15"/>
  <c r="H43" i="15" s="1"/>
  <c r="I34" i="3"/>
  <c r="J35" i="3"/>
  <c r="K165" i="4"/>
  <c r="L165" i="4" s="1"/>
  <c r="L193" i="4" s="1"/>
  <c r="K159" i="4"/>
  <c r="L159" i="4" s="1"/>
  <c r="L187" i="4" s="1"/>
  <c r="K158" i="4"/>
  <c r="L158" i="4" s="1"/>
  <c r="K160" i="4"/>
  <c r="L160" i="4" s="1"/>
  <c r="K163" i="4"/>
  <c r="L163" i="4" s="1"/>
  <c r="L191" i="4" s="1"/>
  <c r="K157" i="4"/>
  <c r="L157" i="4" s="1"/>
  <c r="K161" i="4"/>
  <c r="L161" i="4" s="1"/>
  <c r="K164" i="4"/>
  <c r="L164" i="4" s="1"/>
  <c r="K162" i="4"/>
  <c r="L162" i="4" s="1"/>
  <c r="L190" i="4" s="1"/>
  <c r="F64" i="3"/>
  <c r="F65" i="3"/>
  <c r="F66" i="3"/>
  <c r="F67" i="3"/>
  <c r="F68" i="3"/>
  <c r="F69" i="3"/>
  <c r="F70" i="3"/>
  <c r="F71" i="3"/>
  <c r="F72" i="3"/>
  <c r="F63" i="3"/>
  <c r="K63" i="3" s="1"/>
  <c r="H20" i="6"/>
  <c r="I59" i="4" s="1"/>
  <c r="G59" i="4"/>
  <c r="H59" i="4" s="1"/>
  <c r="H23" i="4"/>
  <c r="G45" i="4"/>
  <c r="H45" i="4" s="1"/>
  <c r="G40" i="8"/>
  <c r="H40" i="8" s="1"/>
  <c r="G8" i="3"/>
  <c r="D4" i="6" s="1"/>
  <c r="K122" i="4"/>
  <c r="L122" i="4" s="1"/>
  <c r="I11" i="3"/>
  <c r="I10" i="3"/>
  <c r="J10" i="3" s="1"/>
  <c r="I9" i="3"/>
  <c r="J9" i="3" s="1"/>
  <c r="L56" i="8"/>
  <c r="I18" i="8"/>
  <c r="G20" i="6"/>
  <c r="F20" i="6"/>
  <c r="G18" i="8"/>
  <c r="G47" i="8"/>
  <c r="H47" i="8" s="1"/>
  <c r="F5" i="6"/>
  <c r="G5" i="6"/>
  <c r="F34" i="3"/>
  <c r="G35" i="3"/>
  <c r="D60" i="1"/>
  <c r="E60" i="1"/>
  <c r="D11" i="1"/>
  <c r="E11" i="1"/>
  <c r="N11" i="1" s="1"/>
  <c r="E47" i="1"/>
  <c r="D47" i="1"/>
  <c r="N7" i="1"/>
  <c r="I7" i="1"/>
  <c r="F8" i="3"/>
  <c r="L192" i="4" l="1"/>
  <c r="S72" i="23"/>
  <c r="G73" i="23"/>
  <c r="G74" i="23"/>
  <c r="G75" i="23"/>
  <c r="G76" i="23"/>
  <c r="G77" i="23"/>
  <c r="G78" i="23"/>
  <c r="S145" i="23"/>
  <c r="G146" i="23"/>
  <c r="G147" i="23"/>
  <c r="G148" i="23"/>
  <c r="G149" i="23"/>
  <c r="G150" i="23"/>
  <c r="S63" i="23"/>
  <c r="R64" i="23"/>
  <c r="R65" i="23"/>
  <c r="R66" i="23"/>
  <c r="R67" i="23"/>
  <c r="R68" i="23"/>
  <c r="R29" i="23"/>
  <c r="R30" i="23"/>
  <c r="R31" i="23"/>
  <c r="R32" i="23"/>
  <c r="R33" i="23"/>
  <c r="O64" i="23"/>
  <c r="O65" i="23"/>
  <c r="O66" i="23"/>
  <c r="O67" i="23"/>
  <c r="O68" i="23"/>
  <c r="O69" i="23"/>
  <c r="O29" i="23"/>
  <c r="O30" i="23"/>
  <c r="O31" i="23"/>
  <c r="O32" i="23"/>
  <c r="O33" i="23"/>
  <c r="O34" i="23"/>
  <c r="R73" i="23"/>
  <c r="R74" i="23"/>
  <c r="R75" i="23"/>
  <c r="R76" i="23"/>
  <c r="R77" i="23"/>
  <c r="O73" i="23"/>
  <c r="O74" i="23"/>
  <c r="O75" i="23"/>
  <c r="O76" i="23"/>
  <c r="O77" i="23"/>
  <c r="O78" i="23"/>
  <c r="R146" i="23"/>
  <c r="R147" i="23"/>
  <c r="R148" i="23"/>
  <c r="R149" i="23"/>
  <c r="R150" i="23"/>
  <c r="O146" i="23"/>
  <c r="O147" i="23"/>
  <c r="O148" i="23"/>
  <c r="O149" i="23"/>
  <c r="O150" i="23"/>
  <c r="O151" i="23"/>
  <c r="G70" i="23"/>
  <c r="G34" i="23"/>
  <c r="K106" i="22"/>
  <c r="L106" i="22" s="1"/>
  <c r="K107" i="23"/>
  <c r="L107" i="23" s="1"/>
  <c r="K103" i="22"/>
  <c r="L103" i="22" s="1"/>
  <c r="K104" i="23"/>
  <c r="L104" i="23" s="1"/>
  <c r="K101" i="22"/>
  <c r="L101" i="22" s="1"/>
  <c r="K102" i="23"/>
  <c r="L102" i="23" s="1"/>
  <c r="K104" i="22"/>
  <c r="L104" i="22" s="1"/>
  <c r="K105" i="23"/>
  <c r="L105" i="23" s="1"/>
  <c r="K109" i="22"/>
  <c r="L109" i="22" s="1"/>
  <c r="K110" i="23"/>
  <c r="L110" i="23" s="1"/>
  <c r="K107" i="22"/>
  <c r="L107" i="22" s="1"/>
  <c r="K108" i="23"/>
  <c r="L108" i="23" s="1"/>
  <c r="K105" i="22"/>
  <c r="L105" i="22" s="1"/>
  <c r="K106" i="23"/>
  <c r="L106" i="23" s="1"/>
  <c r="K108" i="22"/>
  <c r="L108" i="22" s="1"/>
  <c r="K109" i="23"/>
  <c r="L109" i="23" s="1"/>
  <c r="K110" i="22"/>
  <c r="L110" i="22" s="1"/>
  <c r="K111" i="23"/>
  <c r="L111" i="23" s="1"/>
  <c r="K12" i="23"/>
  <c r="L12" i="23" s="1"/>
  <c r="L45" i="23" s="1"/>
  <c r="K11" i="23"/>
  <c r="L11" i="23" s="1"/>
  <c r="K12" i="22"/>
  <c r="L12" i="22" s="1"/>
  <c r="K11" i="22"/>
  <c r="L11" i="22" s="1"/>
  <c r="K157" i="22"/>
  <c r="L157" i="22" s="1"/>
  <c r="K159" i="23"/>
  <c r="L159" i="23" s="1"/>
  <c r="K158" i="22"/>
  <c r="L158" i="22" s="1"/>
  <c r="K160" i="23"/>
  <c r="L160" i="23" s="1"/>
  <c r="K159" i="22"/>
  <c r="L159" i="22" s="1"/>
  <c r="K161" i="23"/>
  <c r="L161" i="23" s="1"/>
  <c r="K160" i="22"/>
  <c r="L160" i="22" s="1"/>
  <c r="K162" i="23"/>
  <c r="L162" i="23" s="1"/>
  <c r="K161" i="22"/>
  <c r="L161" i="22" s="1"/>
  <c r="K163" i="23"/>
  <c r="L163" i="23" s="1"/>
  <c r="K162" i="22"/>
  <c r="L162" i="22" s="1"/>
  <c r="K164" i="23"/>
  <c r="L164" i="23" s="1"/>
  <c r="K163" i="22"/>
  <c r="L163" i="22" s="1"/>
  <c r="K165" i="23"/>
  <c r="L165" i="23" s="1"/>
  <c r="K164" i="22"/>
  <c r="L164" i="22" s="1"/>
  <c r="K166" i="23"/>
  <c r="L166" i="23" s="1"/>
  <c r="K156" i="22"/>
  <c r="L156" i="22" s="1"/>
  <c r="K158" i="23"/>
  <c r="L158" i="23" s="1"/>
  <c r="E5" i="18"/>
  <c r="G49" i="23" s="1"/>
  <c r="H49" i="23" s="1"/>
  <c r="J5" i="18"/>
  <c r="K110" i="16"/>
  <c r="L110" i="16" s="1"/>
  <c r="D5" i="17"/>
  <c r="H152" i="14"/>
  <c r="H155" i="14"/>
  <c r="H154" i="14"/>
  <c r="H153" i="14"/>
  <c r="H151" i="14"/>
  <c r="H156" i="14"/>
  <c r="O151" i="14"/>
  <c r="O155" i="14"/>
  <c r="O154" i="14"/>
  <c r="O153" i="14"/>
  <c r="O152" i="14"/>
  <c r="R151" i="14"/>
  <c r="R155" i="14"/>
  <c r="R154" i="14"/>
  <c r="R153" i="14"/>
  <c r="R152" i="14"/>
  <c r="G51" i="20"/>
  <c r="G50" i="20"/>
  <c r="H30" i="20"/>
  <c r="H29" i="20"/>
  <c r="H32" i="20"/>
  <c r="H33" i="20"/>
  <c r="H31" i="20"/>
  <c r="G69" i="20"/>
  <c r="G65" i="20"/>
  <c r="G64" i="20"/>
  <c r="G67" i="20"/>
  <c r="G68" i="20"/>
  <c r="G66" i="20"/>
  <c r="G69" i="22"/>
  <c r="S144" i="22"/>
  <c r="G145" i="22"/>
  <c r="G146" i="22"/>
  <c r="G147" i="22"/>
  <c r="G148" i="22"/>
  <c r="G149" i="22"/>
  <c r="G77" i="22"/>
  <c r="G76" i="22"/>
  <c r="G75" i="22"/>
  <c r="G74" i="22"/>
  <c r="G73" i="22"/>
  <c r="G72" i="22"/>
  <c r="G78" i="22" s="1"/>
  <c r="S71" i="22"/>
  <c r="S62" i="22"/>
  <c r="R63" i="22"/>
  <c r="R64" i="22"/>
  <c r="R65" i="22"/>
  <c r="R66" i="22"/>
  <c r="R67" i="22"/>
  <c r="R29" i="22"/>
  <c r="R30" i="22"/>
  <c r="R31" i="22"/>
  <c r="R32" i="22"/>
  <c r="R33" i="22"/>
  <c r="O63" i="22"/>
  <c r="O64" i="22"/>
  <c r="O65" i="22"/>
  <c r="O66" i="22"/>
  <c r="O67" i="22"/>
  <c r="O68" i="22"/>
  <c r="O29" i="22"/>
  <c r="O30" i="22"/>
  <c r="O31" i="22"/>
  <c r="O32" i="22"/>
  <c r="O33" i="22"/>
  <c r="O34" i="22"/>
  <c r="R145" i="22"/>
  <c r="R146" i="22"/>
  <c r="R147" i="22"/>
  <c r="R148" i="22"/>
  <c r="R149" i="22"/>
  <c r="O145" i="22"/>
  <c r="O146" i="22"/>
  <c r="O147" i="22"/>
  <c r="O148" i="22"/>
  <c r="O149" i="22"/>
  <c r="O150" i="22"/>
  <c r="G114" i="3"/>
  <c r="K114" i="3"/>
  <c r="L114" i="3" s="1"/>
  <c r="K83" i="16" s="1"/>
  <c r="L83" i="16" s="1"/>
  <c r="L90" i="16" s="1"/>
  <c r="G123" i="3"/>
  <c r="K123" i="3"/>
  <c r="L123" i="3" s="1"/>
  <c r="K108" i="3"/>
  <c r="L108" i="3" s="1"/>
  <c r="K77" i="16" s="1"/>
  <c r="L77" i="16" s="1"/>
  <c r="G108" i="3"/>
  <c r="K109" i="3"/>
  <c r="L109" i="3" s="1"/>
  <c r="K78" i="16" s="1"/>
  <c r="L78" i="16" s="1"/>
  <c r="L89" i="16" s="1"/>
  <c r="G109" i="3"/>
  <c r="K113" i="3"/>
  <c r="L113" i="3" s="1"/>
  <c r="K82" i="16" s="1"/>
  <c r="L82" i="16" s="1"/>
  <c r="L88" i="16" s="1"/>
  <c r="G113" i="3"/>
  <c r="K111" i="3"/>
  <c r="L111" i="3" s="1"/>
  <c r="K80" i="16" s="1"/>
  <c r="L80" i="16" s="1"/>
  <c r="G111" i="3"/>
  <c r="K110" i="3"/>
  <c r="L110" i="3" s="1"/>
  <c r="K79" i="16" s="1"/>
  <c r="L79" i="16" s="1"/>
  <c r="G110" i="3"/>
  <c r="K112" i="3"/>
  <c r="L112" i="3" s="1"/>
  <c r="K81" i="16" s="1"/>
  <c r="L81" i="16" s="1"/>
  <c r="L87" i="16" s="1"/>
  <c r="G112" i="3"/>
  <c r="K107" i="3"/>
  <c r="G107" i="3"/>
  <c r="G106" i="3" s="1"/>
  <c r="D22" i="6" s="1"/>
  <c r="G116" i="3"/>
  <c r="F115" i="3"/>
  <c r="K116" i="3"/>
  <c r="K118" i="3"/>
  <c r="L118" i="3" s="1"/>
  <c r="G118" i="3"/>
  <c r="K122" i="3"/>
  <c r="L122" i="3" s="1"/>
  <c r="G122" i="3"/>
  <c r="K117" i="3"/>
  <c r="L117" i="3" s="1"/>
  <c r="G117" i="3"/>
  <c r="K120" i="3"/>
  <c r="L120" i="3" s="1"/>
  <c r="G120" i="3"/>
  <c r="K119" i="3"/>
  <c r="L119" i="3" s="1"/>
  <c r="G119" i="3"/>
  <c r="K121" i="3"/>
  <c r="L121" i="3" s="1"/>
  <c r="G121" i="3"/>
  <c r="G47" i="14"/>
  <c r="G48" i="14"/>
  <c r="G70" i="14"/>
  <c r="G72" i="14"/>
  <c r="G71" i="14"/>
  <c r="G74" i="14"/>
  <c r="G73" i="14"/>
  <c r="S27" i="14"/>
  <c r="G33" i="14"/>
  <c r="G31" i="14"/>
  <c r="G32" i="14"/>
  <c r="G29" i="14"/>
  <c r="G30" i="14"/>
  <c r="G28" i="14"/>
  <c r="G34" i="14" s="1"/>
  <c r="G65" i="14"/>
  <c r="G62" i="14"/>
  <c r="G63" i="14"/>
  <c r="G64" i="14"/>
  <c r="G61" i="14"/>
  <c r="G67" i="14" s="1"/>
  <c r="G65" i="13"/>
  <c r="G67" i="13"/>
  <c r="G64" i="13"/>
  <c r="G68" i="13"/>
  <c r="G66" i="13"/>
  <c r="G76" i="13"/>
  <c r="G73" i="13"/>
  <c r="G77" i="13"/>
  <c r="G75" i="13"/>
  <c r="G74" i="13"/>
  <c r="G34" i="13"/>
  <c r="G35" i="13"/>
  <c r="G31" i="13"/>
  <c r="G32" i="13"/>
  <c r="G33" i="13"/>
  <c r="G29" i="13"/>
  <c r="G30" i="13"/>
  <c r="H39" i="8"/>
  <c r="L37" i="8"/>
  <c r="F59" i="3"/>
  <c r="C56" i="1"/>
  <c r="C55" i="1"/>
  <c r="C48" i="1"/>
  <c r="C51" i="1"/>
  <c r="C53" i="1"/>
  <c r="C49" i="1"/>
  <c r="C50" i="1"/>
  <c r="C57" i="1"/>
  <c r="C54" i="1"/>
  <c r="C52" i="1"/>
  <c r="G16" i="19"/>
  <c r="F16" i="19"/>
  <c r="F17" i="19"/>
  <c r="G17" i="19"/>
  <c r="H17" i="19"/>
  <c r="J11" i="19"/>
  <c r="E11" i="19"/>
  <c r="J14" i="19"/>
  <c r="E14" i="19"/>
  <c r="S28" i="20"/>
  <c r="O50" i="20"/>
  <c r="O51" i="20"/>
  <c r="O52" i="20"/>
  <c r="O53" i="20"/>
  <c r="O54" i="20"/>
  <c r="O55" i="20"/>
  <c r="S49" i="20"/>
  <c r="R50" i="20"/>
  <c r="R51" i="20"/>
  <c r="R52" i="20"/>
  <c r="R53" i="20"/>
  <c r="R54" i="20"/>
  <c r="O64" i="20"/>
  <c r="O65" i="20"/>
  <c r="O66" i="20"/>
  <c r="O67" i="20"/>
  <c r="O68" i="20"/>
  <c r="O69" i="20"/>
  <c r="O29" i="20"/>
  <c r="O30" i="20"/>
  <c r="O31" i="20"/>
  <c r="O32" i="20"/>
  <c r="O33" i="20"/>
  <c r="O34" i="20"/>
  <c r="R64" i="20"/>
  <c r="R65" i="20"/>
  <c r="R66" i="20"/>
  <c r="R67" i="20"/>
  <c r="R68" i="20"/>
  <c r="R29" i="20"/>
  <c r="R30" i="20"/>
  <c r="R31" i="20"/>
  <c r="R32" i="20"/>
  <c r="R33" i="20"/>
  <c r="I193" i="13"/>
  <c r="L193" i="13" s="1"/>
  <c r="G194" i="13" s="1"/>
  <c r="I150" i="13"/>
  <c r="L150" i="13" s="1"/>
  <c r="I182" i="20"/>
  <c r="L182" i="20" s="1"/>
  <c r="I189" i="14"/>
  <c r="L189" i="14" s="1"/>
  <c r="P8" i="3"/>
  <c r="D4" i="19" s="1"/>
  <c r="S63" i="13"/>
  <c r="S63" i="20"/>
  <c r="S72" i="13"/>
  <c r="G66" i="16"/>
  <c r="H66" i="16" s="1"/>
  <c r="G23" i="16"/>
  <c r="H23" i="16" s="1"/>
  <c r="I66" i="16"/>
  <c r="I23" i="16"/>
  <c r="L23" i="16" s="1"/>
  <c r="K104" i="14"/>
  <c r="L104" i="14" s="1"/>
  <c r="K107" i="13"/>
  <c r="L107" i="13" s="1"/>
  <c r="K107" i="20"/>
  <c r="L107" i="20" s="1"/>
  <c r="K101" i="14"/>
  <c r="L101" i="14" s="1"/>
  <c r="K104" i="13"/>
  <c r="L104" i="13" s="1"/>
  <c r="K104" i="20"/>
  <c r="L104" i="20" s="1"/>
  <c r="K102" i="14"/>
  <c r="L102" i="14" s="1"/>
  <c r="K105" i="13"/>
  <c r="L105" i="13" s="1"/>
  <c r="K105" i="20"/>
  <c r="L105" i="20" s="1"/>
  <c r="K107" i="14"/>
  <c r="L107" i="14" s="1"/>
  <c r="K110" i="13"/>
  <c r="L110" i="13" s="1"/>
  <c r="K110" i="20"/>
  <c r="L110" i="20" s="1"/>
  <c r="K100" i="14"/>
  <c r="L100" i="14" s="1"/>
  <c r="K103" i="13"/>
  <c r="L103" i="13" s="1"/>
  <c r="K103" i="20"/>
  <c r="L103" i="20" s="1"/>
  <c r="K105" i="14"/>
  <c r="L105" i="14" s="1"/>
  <c r="K108" i="13"/>
  <c r="L108" i="13" s="1"/>
  <c r="K108" i="20"/>
  <c r="L108" i="20" s="1"/>
  <c r="K103" i="14"/>
  <c r="L103" i="14" s="1"/>
  <c r="K106" i="13"/>
  <c r="L106" i="13" s="1"/>
  <c r="K106" i="20"/>
  <c r="L106" i="20" s="1"/>
  <c r="K106" i="14"/>
  <c r="L106" i="14" s="1"/>
  <c r="K109" i="13"/>
  <c r="L109" i="13" s="1"/>
  <c r="K109" i="20"/>
  <c r="L109" i="20" s="1"/>
  <c r="K108" i="14"/>
  <c r="L108" i="14" s="1"/>
  <c r="K111" i="13"/>
  <c r="L111" i="13" s="1"/>
  <c r="K111" i="20"/>
  <c r="L111" i="20" s="1"/>
  <c r="K10" i="13"/>
  <c r="K10" i="20"/>
  <c r="J5" i="3"/>
  <c r="D3" i="9" s="1"/>
  <c r="K11" i="13"/>
  <c r="K12" i="20"/>
  <c r="K11" i="20"/>
  <c r="K172" i="14"/>
  <c r="L172" i="14" s="1"/>
  <c r="K166" i="20"/>
  <c r="K176" i="13"/>
  <c r="L176" i="13" s="1"/>
  <c r="K173" i="14"/>
  <c r="L173" i="14" s="1"/>
  <c r="K177" i="13"/>
  <c r="L177" i="13" s="1"/>
  <c r="K167" i="20"/>
  <c r="K174" i="14"/>
  <c r="L174" i="14" s="1"/>
  <c r="L200" i="14" s="1"/>
  <c r="K168" i="20"/>
  <c r="K178" i="13"/>
  <c r="L178" i="13" s="1"/>
  <c r="L205" i="13" s="1"/>
  <c r="K175" i="14"/>
  <c r="L175" i="14" s="1"/>
  <c r="K169" i="20"/>
  <c r="K179" i="13"/>
  <c r="L179" i="13" s="1"/>
  <c r="K176" i="14"/>
  <c r="L176" i="14" s="1"/>
  <c r="K170" i="20"/>
  <c r="K180" i="13"/>
  <c r="L180" i="13" s="1"/>
  <c r="K177" i="14"/>
  <c r="L177" i="14" s="1"/>
  <c r="L202" i="14" s="1"/>
  <c r="K171" i="20"/>
  <c r="K181" i="13"/>
  <c r="L181" i="13" s="1"/>
  <c r="L207" i="13" s="1"/>
  <c r="K178" i="14"/>
  <c r="L178" i="14" s="1"/>
  <c r="L203" i="14" s="1"/>
  <c r="K172" i="20"/>
  <c r="K182" i="13"/>
  <c r="L182" i="13" s="1"/>
  <c r="L208" i="13" s="1"/>
  <c r="K179" i="14"/>
  <c r="L179" i="14" s="1"/>
  <c r="L204" i="14" s="1"/>
  <c r="K173" i="20"/>
  <c r="K183" i="13"/>
  <c r="L183" i="13" s="1"/>
  <c r="K180" i="14"/>
  <c r="L180" i="14" s="1"/>
  <c r="K174" i="20"/>
  <c r="K184" i="13"/>
  <c r="L184" i="13" s="1"/>
  <c r="L210" i="13" s="1"/>
  <c r="M189" i="14"/>
  <c r="M182" i="20"/>
  <c r="O182" i="20" s="1"/>
  <c r="M150" i="13"/>
  <c r="O150" i="13" s="1"/>
  <c r="M193" i="13"/>
  <c r="O193" i="13" s="1"/>
  <c r="O194" i="13" s="1"/>
  <c r="P189" i="14"/>
  <c r="P182" i="20"/>
  <c r="R182" i="20" s="1"/>
  <c r="P150" i="13"/>
  <c r="R150" i="13" s="1"/>
  <c r="P193" i="13"/>
  <c r="R193" i="13" s="1"/>
  <c r="S193" i="13" s="1"/>
  <c r="K102" i="20"/>
  <c r="L102" i="20" s="1"/>
  <c r="K102" i="13"/>
  <c r="L102" i="13" s="1"/>
  <c r="K165" i="20"/>
  <c r="K175" i="13"/>
  <c r="S28" i="13"/>
  <c r="G20" i="17"/>
  <c r="F20" i="17"/>
  <c r="G21" i="17"/>
  <c r="F21" i="17"/>
  <c r="G3" i="19"/>
  <c r="F3" i="19"/>
  <c r="E3" i="6"/>
  <c r="E3" i="17"/>
  <c r="J3" i="17"/>
  <c r="N6" i="3"/>
  <c r="M5" i="3"/>
  <c r="E3" i="9"/>
  <c r="G9" i="13" s="1"/>
  <c r="J3" i="9"/>
  <c r="L9" i="3"/>
  <c r="K8" i="3"/>
  <c r="L148" i="16"/>
  <c r="K140" i="15"/>
  <c r="L140" i="15" s="1"/>
  <c r="L142" i="16"/>
  <c r="K134" i="15"/>
  <c r="L134" i="15" s="1"/>
  <c r="L141" i="16"/>
  <c r="K133" i="15"/>
  <c r="L133" i="15" s="1"/>
  <c r="L143" i="16"/>
  <c r="K135" i="15"/>
  <c r="L135" i="15" s="1"/>
  <c r="L146" i="16"/>
  <c r="K138" i="15"/>
  <c r="L138" i="15" s="1"/>
  <c r="L140" i="16"/>
  <c r="K132" i="15"/>
  <c r="L132" i="15" s="1"/>
  <c r="K136" i="15"/>
  <c r="L136" i="15" s="1"/>
  <c r="L147" i="16"/>
  <c r="K139" i="15"/>
  <c r="L139" i="15" s="1"/>
  <c r="L145" i="16"/>
  <c r="K137" i="15"/>
  <c r="L137" i="15" s="1"/>
  <c r="N51" i="3"/>
  <c r="K103" i="23" s="1"/>
  <c r="L103" i="23" s="1"/>
  <c r="L112" i="23" s="1"/>
  <c r="M49" i="3"/>
  <c r="N44" i="3"/>
  <c r="K167" i="23" s="1"/>
  <c r="L167" i="23" s="1"/>
  <c r="M34" i="3"/>
  <c r="L40" i="3"/>
  <c r="K34" i="3"/>
  <c r="G64" i="3"/>
  <c r="K64" i="3"/>
  <c r="L64" i="3" s="1"/>
  <c r="G65" i="3"/>
  <c r="K65" i="3"/>
  <c r="L65" i="3" s="1"/>
  <c r="G66" i="3"/>
  <c r="K66" i="3"/>
  <c r="L66" i="3" s="1"/>
  <c r="G67" i="3"/>
  <c r="K67" i="3"/>
  <c r="L67" i="3" s="1"/>
  <c r="G68" i="3"/>
  <c r="K68" i="3"/>
  <c r="L68" i="3" s="1"/>
  <c r="G69" i="3"/>
  <c r="K69" i="3"/>
  <c r="L69" i="3" s="1"/>
  <c r="G70" i="3"/>
  <c r="K70" i="3"/>
  <c r="L70" i="3" s="1"/>
  <c r="G71" i="3"/>
  <c r="K71" i="3"/>
  <c r="L71" i="3" s="1"/>
  <c r="G72" i="3"/>
  <c r="K72" i="3"/>
  <c r="L72" i="3" s="1"/>
  <c r="L63" i="3"/>
  <c r="L62" i="3" s="1"/>
  <c r="D16" i="17" s="1"/>
  <c r="K62" i="3"/>
  <c r="L66" i="16"/>
  <c r="J11" i="3"/>
  <c r="J8" i="3" s="1"/>
  <c r="M11" i="3"/>
  <c r="N11" i="3" s="1"/>
  <c r="M10" i="3"/>
  <c r="N10" i="3" s="1"/>
  <c r="M9" i="3"/>
  <c r="K131" i="15"/>
  <c r="L131" i="15" s="1"/>
  <c r="K10" i="15"/>
  <c r="K10" i="16"/>
  <c r="O34" i="13"/>
  <c r="O33" i="13"/>
  <c r="O32" i="13"/>
  <c r="O31" i="13"/>
  <c r="O30" i="13"/>
  <c r="O33" i="14"/>
  <c r="O32" i="14"/>
  <c r="O31" i="14"/>
  <c r="O30" i="14"/>
  <c r="O29" i="14"/>
  <c r="O28" i="14"/>
  <c r="O66" i="14"/>
  <c r="O65" i="14"/>
  <c r="O64" i="14"/>
  <c r="O63" i="14"/>
  <c r="O62" i="14"/>
  <c r="O61" i="14"/>
  <c r="R33" i="13"/>
  <c r="R32" i="13"/>
  <c r="R31" i="13"/>
  <c r="R30" i="13"/>
  <c r="R29" i="13"/>
  <c r="R32" i="14"/>
  <c r="R31" i="14"/>
  <c r="R30" i="14"/>
  <c r="R29" i="14"/>
  <c r="R28" i="14"/>
  <c r="R65" i="14"/>
  <c r="R64" i="14"/>
  <c r="R63" i="14"/>
  <c r="R62" i="14"/>
  <c r="R61" i="14"/>
  <c r="R73" i="13"/>
  <c r="R74" i="13"/>
  <c r="R75" i="13"/>
  <c r="R76" i="13"/>
  <c r="R77" i="13"/>
  <c r="O73" i="13"/>
  <c r="O74" i="13"/>
  <c r="O75" i="13"/>
  <c r="O76" i="13"/>
  <c r="O77" i="13"/>
  <c r="O78" i="13"/>
  <c r="K99" i="14"/>
  <c r="L99" i="14" s="1"/>
  <c r="J49" i="3"/>
  <c r="D14" i="9" s="1"/>
  <c r="O47" i="14"/>
  <c r="O48" i="14"/>
  <c r="O49" i="14"/>
  <c r="O50" i="14"/>
  <c r="O51" i="14"/>
  <c r="O52" i="14"/>
  <c r="O45" i="14"/>
  <c r="S46" i="14"/>
  <c r="R47" i="14"/>
  <c r="R48" i="14"/>
  <c r="R49" i="14"/>
  <c r="R50" i="14"/>
  <c r="R51" i="14"/>
  <c r="R45" i="14"/>
  <c r="L45" i="14"/>
  <c r="S60" i="14"/>
  <c r="O70" i="14"/>
  <c r="O71" i="14"/>
  <c r="O72" i="14"/>
  <c r="O73" i="14"/>
  <c r="O74" i="14"/>
  <c r="O75" i="14"/>
  <c r="S69" i="14"/>
  <c r="R70" i="14"/>
  <c r="R71" i="14"/>
  <c r="R72" i="14"/>
  <c r="R73" i="14"/>
  <c r="R74" i="14"/>
  <c r="O189" i="14"/>
  <c r="R189" i="14"/>
  <c r="I57" i="15"/>
  <c r="L57" i="15" s="1"/>
  <c r="I23" i="15"/>
  <c r="L23" i="15" s="1"/>
  <c r="P57" i="15"/>
  <c r="R57" i="15" s="1"/>
  <c r="P23" i="15"/>
  <c r="R23" i="15" s="1"/>
  <c r="M57" i="15"/>
  <c r="O57" i="15" s="1"/>
  <c r="M23" i="15"/>
  <c r="O23" i="15" s="1"/>
  <c r="O49" i="13"/>
  <c r="M43" i="15"/>
  <c r="O43" i="15" s="1"/>
  <c r="R49" i="13"/>
  <c r="P43" i="15"/>
  <c r="R43" i="15" s="1"/>
  <c r="L49" i="13"/>
  <c r="I43" i="15"/>
  <c r="L43" i="15" s="1"/>
  <c r="K171" i="14"/>
  <c r="L171" i="14" s="1"/>
  <c r="L201" i="14" s="1"/>
  <c r="J34" i="3"/>
  <c r="D11" i="9" s="1"/>
  <c r="I8" i="3"/>
  <c r="R64" i="13"/>
  <c r="R65" i="13"/>
  <c r="R66" i="13"/>
  <c r="R67" i="13"/>
  <c r="R68" i="13"/>
  <c r="O64" i="13"/>
  <c r="O65" i="13"/>
  <c r="O66" i="13"/>
  <c r="O67" i="13"/>
  <c r="O68" i="13"/>
  <c r="O69" i="13"/>
  <c r="O50" i="13"/>
  <c r="O83" i="13" s="1"/>
  <c r="O51" i="13"/>
  <c r="O84" i="13" s="1"/>
  <c r="O52" i="13"/>
  <c r="O85" i="13" s="1"/>
  <c r="O53" i="13"/>
  <c r="O86" i="13" s="1"/>
  <c r="O54" i="13"/>
  <c r="O87" i="13" s="1"/>
  <c r="O55" i="13"/>
  <c r="O88" i="13" s="1"/>
  <c r="O48" i="13"/>
  <c r="S49" i="13"/>
  <c r="R50" i="13"/>
  <c r="R83" i="13" s="1"/>
  <c r="S83" i="13" s="1"/>
  <c r="R51" i="13"/>
  <c r="R84" i="13" s="1"/>
  <c r="S84" i="13" s="1"/>
  <c r="R52" i="13"/>
  <c r="R85" i="13" s="1"/>
  <c r="S85" i="13" s="1"/>
  <c r="R53" i="13"/>
  <c r="R86" i="13" s="1"/>
  <c r="S86" i="13" s="1"/>
  <c r="R54" i="13"/>
  <c r="R87" i="13" s="1"/>
  <c r="S87" i="13" s="1"/>
  <c r="R48" i="13"/>
  <c r="G34" i="3"/>
  <c r="D11" i="6" s="1"/>
  <c r="L175" i="13"/>
  <c r="L206" i="13" s="1"/>
  <c r="K156" i="4"/>
  <c r="L156" i="4" s="1"/>
  <c r="L188" i="4" s="1"/>
  <c r="L186" i="4" s="1"/>
  <c r="G63" i="3"/>
  <c r="G62" i="3" s="1"/>
  <c r="D16" i="6" s="1"/>
  <c r="E16" i="6" s="1"/>
  <c r="F62" i="3"/>
  <c r="I23" i="4"/>
  <c r="L23" i="4" s="1"/>
  <c r="G25" i="4" s="1"/>
  <c r="L59" i="4"/>
  <c r="I47" i="8"/>
  <c r="E4" i="6"/>
  <c r="J4" i="6"/>
  <c r="P18" i="8"/>
  <c r="P59" i="4"/>
  <c r="R59" i="4" s="1"/>
  <c r="P23" i="4"/>
  <c r="R23" i="4" s="1"/>
  <c r="P47" i="8"/>
  <c r="R47" i="8" s="1"/>
  <c r="M59" i="4"/>
  <c r="O59" i="4" s="1"/>
  <c r="M23" i="4"/>
  <c r="O23" i="4" s="1"/>
  <c r="M18" i="8"/>
  <c r="M47" i="8"/>
  <c r="H18" i="8"/>
  <c r="M45" i="4"/>
  <c r="O45" i="4" s="1"/>
  <c r="M40" i="8"/>
  <c r="O40" i="8" s="1"/>
  <c r="P45" i="4"/>
  <c r="R45" i="4" s="1"/>
  <c r="P40" i="8"/>
  <c r="I45" i="4"/>
  <c r="L45" i="4" s="1"/>
  <c r="I40" i="8"/>
  <c r="L40" i="8" s="1"/>
  <c r="R18" i="8"/>
  <c r="R19" i="8"/>
  <c r="R23" i="8"/>
  <c r="R22" i="8"/>
  <c r="R21" i="8"/>
  <c r="R20" i="8"/>
  <c r="R49" i="8"/>
  <c r="R50" i="8"/>
  <c r="R51" i="8"/>
  <c r="R52" i="8"/>
  <c r="R48" i="8"/>
  <c r="R53" i="8" s="1"/>
  <c r="O42" i="8"/>
  <c r="O43" i="8"/>
  <c r="O44" i="8"/>
  <c r="O45" i="8"/>
  <c r="O46" i="8"/>
  <c r="O41" i="8"/>
  <c r="L47" i="8"/>
  <c r="O47" i="8"/>
  <c r="R40" i="8"/>
  <c r="E11" i="6"/>
  <c r="J11" i="6"/>
  <c r="K11" i="1"/>
  <c r="M11" i="1"/>
  <c r="I11" i="1"/>
  <c r="M7" i="1"/>
  <c r="K7" i="1"/>
  <c r="O18" i="8"/>
  <c r="F83" i="3"/>
  <c r="F82" i="3"/>
  <c r="F77" i="3"/>
  <c r="F81" i="3"/>
  <c r="F75" i="3"/>
  <c r="F74" i="3"/>
  <c r="K74" i="3" s="1"/>
  <c r="F79" i="3"/>
  <c r="F78" i="3"/>
  <c r="F80" i="3"/>
  <c r="F76" i="3"/>
  <c r="L209" i="13" l="1"/>
  <c r="L204" i="13"/>
  <c r="G79" i="23"/>
  <c r="G151" i="23"/>
  <c r="N5" i="3"/>
  <c r="D3" i="18" s="1"/>
  <c r="K10" i="23"/>
  <c r="L10" i="23" s="1"/>
  <c r="K10" i="22"/>
  <c r="L10" i="22" s="1"/>
  <c r="L15" i="22" s="1"/>
  <c r="K117" i="22"/>
  <c r="L117" i="22" s="1"/>
  <c r="K118" i="23"/>
  <c r="L118" i="23" s="1"/>
  <c r="K116" i="22"/>
  <c r="L116" i="22" s="1"/>
  <c r="K117" i="23"/>
  <c r="L117" i="23" s="1"/>
  <c r="F5" i="18"/>
  <c r="G5" i="18"/>
  <c r="G48" i="22"/>
  <c r="H48" i="22" s="1"/>
  <c r="H5" i="18"/>
  <c r="E5" i="17"/>
  <c r="J5" i="17"/>
  <c r="H157" i="14"/>
  <c r="O159" i="14"/>
  <c r="R159" i="14"/>
  <c r="K133" i="16"/>
  <c r="K40" i="16"/>
  <c r="K128" i="16"/>
  <c r="K35" i="16"/>
  <c r="K132" i="16"/>
  <c r="K39" i="16"/>
  <c r="K127" i="16"/>
  <c r="K34" i="16"/>
  <c r="K130" i="16"/>
  <c r="K37" i="16"/>
  <c r="K129" i="16"/>
  <c r="K36" i="16"/>
  <c r="K131" i="16"/>
  <c r="K38" i="16"/>
  <c r="G24" i="16"/>
  <c r="G25" i="16"/>
  <c r="G28" i="16"/>
  <c r="G27" i="16"/>
  <c r="G26" i="16"/>
  <c r="L8" i="3"/>
  <c r="D4" i="17" s="1"/>
  <c r="K107" i="16"/>
  <c r="L107" i="16" s="1"/>
  <c r="N49" i="3"/>
  <c r="D14" i="18" s="1"/>
  <c r="K102" i="22"/>
  <c r="L102" i="22" s="1"/>
  <c r="L111" i="22" s="1"/>
  <c r="N34" i="3"/>
  <c r="D11" i="18" s="1"/>
  <c r="K165" i="22"/>
  <c r="L165" i="22" s="1"/>
  <c r="L34" i="3"/>
  <c r="D11" i="17" s="1"/>
  <c r="K144" i="16"/>
  <c r="L144" i="16" s="1"/>
  <c r="G72" i="16"/>
  <c r="G69" i="16"/>
  <c r="G71" i="16"/>
  <c r="G68" i="16"/>
  <c r="G67" i="16"/>
  <c r="G70" i="16"/>
  <c r="G62" i="15"/>
  <c r="G59" i="15"/>
  <c r="G60" i="15"/>
  <c r="G61" i="15"/>
  <c r="G63" i="15"/>
  <c r="G58" i="15"/>
  <c r="G64" i="15" s="1"/>
  <c r="G25" i="15"/>
  <c r="G26" i="15"/>
  <c r="G27" i="15"/>
  <c r="G28" i="15"/>
  <c r="G24" i="15"/>
  <c r="G29" i="15" s="1"/>
  <c r="G44" i="15"/>
  <c r="G45" i="15"/>
  <c r="H35" i="20"/>
  <c r="G70" i="20"/>
  <c r="H188" i="20"/>
  <c r="H183" i="20"/>
  <c r="H184" i="20"/>
  <c r="H187" i="20"/>
  <c r="H186" i="20"/>
  <c r="H185" i="20"/>
  <c r="L116" i="20"/>
  <c r="L117" i="20"/>
  <c r="L119" i="20"/>
  <c r="G150" i="22"/>
  <c r="G36" i="13"/>
  <c r="G78" i="13"/>
  <c r="L116" i="13"/>
  <c r="L117" i="13"/>
  <c r="L119" i="13"/>
  <c r="L133" i="16"/>
  <c r="L40" i="16"/>
  <c r="L47" i="16" s="1"/>
  <c r="K124" i="15"/>
  <c r="L124" i="15" s="1"/>
  <c r="K106" i="3"/>
  <c r="L107" i="3"/>
  <c r="E22" i="6"/>
  <c r="H22" i="6" s="1"/>
  <c r="J22" i="6"/>
  <c r="G115" i="3"/>
  <c r="D23" i="6" s="1"/>
  <c r="K117" i="15"/>
  <c r="L117" i="15" s="1"/>
  <c r="K115" i="3"/>
  <c r="L116" i="3"/>
  <c r="L128" i="16"/>
  <c r="L35" i="16"/>
  <c r="L46" i="16" s="1"/>
  <c r="K119" i="15"/>
  <c r="L119" i="15" s="1"/>
  <c r="L132" i="16"/>
  <c r="L39" i="16"/>
  <c r="L45" i="16" s="1"/>
  <c r="K123" i="15"/>
  <c r="L123" i="15" s="1"/>
  <c r="L127" i="16"/>
  <c r="L34" i="16"/>
  <c r="K118" i="15"/>
  <c r="L118" i="15" s="1"/>
  <c r="L130" i="16"/>
  <c r="L37" i="16"/>
  <c r="K121" i="15"/>
  <c r="L121" i="15" s="1"/>
  <c r="L129" i="16"/>
  <c r="L36" i="16"/>
  <c r="K120" i="15"/>
  <c r="L120" i="15" s="1"/>
  <c r="L131" i="16"/>
  <c r="L38" i="16"/>
  <c r="L44" i="16" s="1"/>
  <c r="K122" i="15"/>
  <c r="L122" i="15" s="1"/>
  <c r="G76" i="14"/>
  <c r="G190" i="14"/>
  <c r="G194" i="14"/>
  <c r="G193" i="14"/>
  <c r="G192" i="14"/>
  <c r="G191" i="14"/>
  <c r="L115" i="14"/>
  <c r="L116" i="14"/>
  <c r="L117" i="14"/>
  <c r="L109" i="14"/>
  <c r="G63" i="4"/>
  <c r="G61" i="4"/>
  <c r="G64" i="4"/>
  <c r="G62" i="4"/>
  <c r="G60" i="4"/>
  <c r="G65" i="4" s="1"/>
  <c r="G47" i="4"/>
  <c r="G46" i="4"/>
  <c r="G69" i="13"/>
  <c r="G199" i="13"/>
  <c r="G200" i="13"/>
  <c r="G198" i="13"/>
  <c r="G197" i="13"/>
  <c r="G196" i="13"/>
  <c r="G195" i="13"/>
  <c r="L48" i="13"/>
  <c r="G51" i="13"/>
  <c r="G50" i="13"/>
  <c r="D164" i="20"/>
  <c r="H3" i="6"/>
  <c r="G26" i="4"/>
  <c r="G28" i="4"/>
  <c r="G27" i="4"/>
  <c r="S82" i="13"/>
  <c r="F56" i="3"/>
  <c r="F51" i="3"/>
  <c r="F52" i="3"/>
  <c r="F58" i="3"/>
  <c r="F53" i="3"/>
  <c r="F50" i="3"/>
  <c r="F55" i="3"/>
  <c r="F57" i="3"/>
  <c r="F54" i="3"/>
  <c r="K59" i="3"/>
  <c r="L59" i="3" s="1"/>
  <c r="G59" i="3"/>
  <c r="C47" i="1"/>
  <c r="F11" i="19"/>
  <c r="G11" i="19"/>
  <c r="H11" i="19"/>
  <c r="F14" i="19"/>
  <c r="G14" i="19"/>
  <c r="H14" i="19"/>
  <c r="E4" i="19"/>
  <c r="J4" i="19"/>
  <c r="O183" i="20"/>
  <c r="O184" i="20"/>
  <c r="O185" i="20"/>
  <c r="O186" i="20"/>
  <c r="O187" i="20"/>
  <c r="O188" i="20"/>
  <c r="O152" i="13"/>
  <c r="O153" i="13"/>
  <c r="O154" i="13"/>
  <c r="O155" i="13"/>
  <c r="O156" i="13"/>
  <c r="O151" i="13"/>
  <c r="O159" i="13" s="1"/>
  <c r="S182" i="20"/>
  <c r="R183" i="20"/>
  <c r="R184" i="20"/>
  <c r="R185" i="20"/>
  <c r="R186" i="20"/>
  <c r="R187" i="20"/>
  <c r="R152" i="13"/>
  <c r="R153" i="13"/>
  <c r="R154" i="13"/>
  <c r="R155" i="13"/>
  <c r="R151" i="13"/>
  <c r="R159" i="13" s="1"/>
  <c r="P66" i="16"/>
  <c r="R66" i="16" s="1"/>
  <c r="P23" i="16"/>
  <c r="R23" i="16" s="1"/>
  <c r="M66" i="16"/>
  <c r="O66" i="16" s="1"/>
  <c r="M23" i="16"/>
  <c r="O23" i="16" s="1"/>
  <c r="H3" i="9"/>
  <c r="I9" i="20" s="1"/>
  <c r="G9" i="20"/>
  <c r="K126" i="14"/>
  <c r="K128" i="20"/>
  <c r="K127" i="20"/>
  <c r="K128" i="13"/>
  <c r="L128" i="13" s="1"/>
  <c r="K127" i="13"/>
  <c r="L127" i="13" s="1"/>
  <c r="K125" i="14"/>
  <c r="L125" i="14" s="1"/>
  <c r="K126" i="20"/>
  <c r="K126" i="13"/>
  <c r="L126" i="13" s="1"/>
  <c r="K125" i="20"/>
  <c r="K125" i="13"/>
  <c r="L125" i="13" s="1"/>
  <c r="L203" i="13"/>
  <c r="H3" i="17"/>
  <c r="I16" i="16" s="1"/>
  <c r="G16" i="16"/>
  <c r="I16" i="4"/>
  <c r="I16" i="15"/>
  <c r="G3" i="6"/>
  <c r="F3" i="6"/>
  <c r="G16" i="15"/>
  <c r="H16" i="15" s="1"/>
  <c r="H16" i="16"/>
  <c r="G16" i="4"/>
  <c r="H16" i="4" s="1"/>
  <c r="H8" i="4" s="1"/>
  <c r="G3" i="17"/>
  <c r="P16" i="16" s="1"/>
  <c r="F3" i="17"/>
  <c r="M16" i="16" s="1"/>
  <c r="E3" i="18"/>
  <c r="G9" i="23" s="1"/>
  <c r="H9" i="23" s="1"/>
  <c r="J3" i="18"/>
  <c r="I9" i="13"/>
  <c r="I9" i="14"/>
  <c r="F3" i="9"/>
  <c r="M9" i="20" s="1"/>
  <c r="G3" i="9"/>
  <c r="P9" i="20" s="1"/>
  <c r="G9" i="14"/>
  <c r="E4" i="17"/>
  <c r="J4" i="17"/>
  <c r="J14" i="18"/>
  <c r="E14" i="18"/>
  <c r="H14" i="18"/>
  <c r="J11" i="18"/>
  <c r="E11" i="18"/>
  <c r="H11" i="18"/>
  <c r="J11" i="17"/>
  <c r="E11" i="17"/>
  <c r="G138" i="16" s="1"/>
  <c r="H138" i="16" s="1"/>
  <c r="H11" i="17"/>
  <c r="I138" i="16" s="1"/>
  <c r="E16" i="17"/>
  <c r="N9" i="3"/>
  <c r="K116" i="23" s="1"/>
  <c r="L116" i="23" s="1"/>
  <c r="M8" i="3"/>
  <c r="S66" i="16"/>
  <c r="R67" i="16"/>
  <c r="R68" i="16"/>
  <c r="R69" i="16"/>
  <c r="R70" i="16"/>
  <c r="R71" i="16"/>
  <c r="R24" i="16"/>
  <c r="R25" i="16"/>
  <c r="R26" i="16"/>
  <c r="R27" i="16"/>
  <c r="R28" i="16"/>
  <c r="O24" i="16"/>
  <c r="O25" i="16"/>
  <c r="O26" i="16"/>
  <c r="O27" i="16"/>
  <c r="O28" i="16"/>
  <c r="O29" i="16"/>
  <c r="O67" i="16"/>
  <c r="O68" i="16"/>
  <c r="O69" i="16"/>
  <c r="O70" i="16"/>
  <c r="O71" i="16"/>
  <c r="O72" i="16"/>
  <c r="S23" i="16"/>
  <c r="G97" i="15"/>
  <c r="H97" i="15" s="1"/>
  <c r="G130" i="15"/>
  <c r="H130" i="15" s="1"/>
  <c r="G83" i="3"/>
  <c r="K83" i="3"/>
  <c r="L83" i="3" s="1"/>
  <c r="K123" i="16" s="1"/>
  <c r="G82" i="3"/>
  <c r="K82" i="3"/>
  <c r="L82" i="3" s="1"/>
  <c r="K122" i="16" s="1"/>
  <c r="G77" i="3"/>
  <c r="K77" i="3"/>
  <c r="L77" i="3" s="1"/>
  <c r="K117" i="16" s="1"/>
  <c r="G81" i="3"/>
  <c r="K81" i="3"/>
  <c r="L81" i="3" s="1"/>
  <c r="K121" i="16" s="1"/>
  <c r="G75" i="3"/>
  <c r="K75" i="3"/>
  <c r="L75" i="3" s="1"/>
  <c r="K115" i="16" s="1"/>
  <c r="L74" i="3"/>
  <c r="K114" i="16" s="1"/>
  <c r="G79" i="3"/>
  <c r="K79" i="3"/>
  <c r="L79" i="3" s="1"/>
  <c r="K119" i="16" s="1"/>
  <c r="G78" i="3"/>
  <c r="K78" i="3"/>
  <c r="L78" i="3" s="1"/>
  <c r="K118" i="16" s="1"/>
  <c r="G80" i="3"/>
  <c r="K80" i="3"/>
  <c r="L80" i="3" s="1"/>
  <c r="K120" i="16" s="1"/>
  <c r="G76" i="3"/>
  <c r="K76" i="3"/>
  <c r="J14" i="9"/>
  <c r="E14" i="9"/>
  <c r="O190" i="14"/>
  <c r="O191" i="14"/>
  <c r="O192" i="14"/>
  <c r="O193" i="14"/>
  <c r="O194" i="14"/>
  <c r="O195" i="14"/>
  <c r="S189" i="14"/>
  <c r="R190" i="14"/>
  <c r="R191" i="14"/>
  <c r="R192" i="14"/>
  <c r="R193" i="14"/>
  <c r="R194" i="14"/>
  <c r="S23" i="15"/>
  <c r="R62" i="15"/>
  <c r="R61" i="15"/>
  <c r="R60" i="15"/>
  <c r="R59" i="15"/>
  <c r="R58" i="15"/>
  <c r="S57" i="15"/>
  <c r="R28" i="15"/>
  <c r="R27" i="15"/>
  <c r="R26" i="15"/>
  <c r="R25" i="15"/>
  <c r="R24" i="15"/>
  <c r="O63" i="15"/>
  <c r="O62" i="15"/>
  <c r="O61" i="15"/>
  <c r="O60" i="15"/>
  <c r="O59" i="15"/>
  <c r="O58" i="15"/>
  <c r="O29" i="15"/>
  <c r="O28" i="15"/>
  <c r="O27" i="15"/>
  <c r="O26" i="15"/>
  <c r="O25" i="15"/>
  <c r="O24" i="15"/>
  <c r="O80" i="14"/>
  <c r="O81" i="14"/>
  <c r="O82" i="14"/>
  <c r="O83" i="14"/>
  <c r="O84" i="14"/>
  <c r="O85" i="14"/>
  <c r="R80" i="14"/>
  <c r="R81" i="14"/>
  <c r="R82" i="14"/>
  <c r="R83" i="14"/>
  <c r="R84" i="14"/>
  <c r="O44" i="15"/>
  <c r="O45" i="15"/>
  <c r="O46" i="15"/>
  <c r="O47" i="15"/>
  <c r="O48" i="15"/>
  <c r="O49" i="15"/>
  <c r="S43" i="15"/>
  <c r="R44" i="15"/>
  <c r="R45" i="15"/>
  <c r="R46" i="15"/>
  <c r="R47" i="15"/>
  <c r="R48" i="15"/>
  <c r="J11" i="9"/>
  <c r="E11" i="9"/>
  <c r="D4" i="9"/>
  <c r="K124" i="14"/>
  <c r="L124" i="14" s="1"/>
  <c r="O195" i="13"/>
  <c r="O196" i="13"/>
  <c r="O197" i="13"/>
  <c r="O198" i="13"/>
  <c r="O199" i="13"/>
  <c r="R194" i="13"/>
  <c r="R195" i="13"/>
  <c r="R196" i="13"/>
  <c r="R197" i="13"/>
  <c r="R198" i="13"/>
  <c r="O82" i="13"/>
  <c r="R82" i="13"/>
  <c r="G155" i="4"/>
  <c r="H155" i="4" s="1"/>
  <c r="H16" i="6"/>
  <c r="K138" i="4"/>
  <c r="L138" i="4" s="1"/>
  <c r="L149" i="4" s="1"/>
  <c r="K137" i="4"/>
  <c r="L137" i="4" s="1"/>
  <c r="K132" i="4"/>
  <c r="L132" i="4" s="1"/>
  <c r="L143" i="4" s="1"/>
  <c r="K136" i="4"/>
  <c r="L136" i="4" s="1"/>
  <c r="L146" i="4" s="1"/>
  <c r="K130" i="4"/>
  <c r="L130" i="4" s="1"/>
  <c r="K134" i="4"/>
  <c r="L134" i="4" s="1"/>
  <c r="K133" i="4"/>
  <c r="L133" i="4" s="1"/>
  <c r="K135" i="4"/>
  <c r="L135" i="4" s="1"/>
  <c r="L145" i="4" s="1"/>
  <c r="K131" i="4"/>
  <c r="L131" i="4" s="1"/>
  <c r="L147" i="4" s="1"/>
  <c r="H4" i="6"/>
  <c r="S23" i="4"/>
  <c r="G4" i="6"/>
  <c r="F4" i="6"/>
  <c r="G121" i="4"/>
  <c r="H121" i="4" s="1"/>
  <c r="S59" i="4"/>
  <c r="R60" i="4"/>
  <c r="R64" i="4"/>
  <c r="R63" i="4"/>
  <c r="R62" i="4"/>
  <c r="R61" i="4"/>
  <c r="R24" i="4"/>
  <c r="R28" i="4"/>
  <c r="R27" i="4"/>
  <c r="R26" i="4"/>
  <c r="R25" i="4"/>
  <c r="O60" i="4"/>
  <c r="O64" i="4"/>
  <c r="O63" i="4"/>
  <c r="O62" i="4"/>
  <c r="O61" i="4"/>
  <c r="O65" i="4"/>
  <c r="O25" i="4"/>
  <c r="O26" i="4"/>
  <c r="O27" i="4"/>
  <c r="O28" i="4"/>
  <c r="O29" i="4"/>
  <c r="O24" i="4"/>
  <c r="O46" i="4"/>
  <c r="O51" i="4"/>
  <c r="O50" i="4"/>
  <c r="O49" i="4"/>
  <c r="O48" i="4"/>
  <c r="O47" i="4"/>
  <c r="R46" i="4"/>
  <c r="R50" i="4"/>
  <c r="R49" i="4"/>
  <c r="R48" i="4"/>
  <c r="R47" i="4"/>
  <c r="S45" i="4"/>
  <c r="R24" i="8"/>
  <c r="S47" i="8"/>
  <c r="L39" i="8"/>
  <c r="O56" i="8"/>
  <c r="O39" i="8"/>
  <c r="S40" i="8"/>
  <c r="R39" i="8"/>
  <c r="R42" i="8"/>
  <c r="R58" i="8" s="1"/>
  <c r="R43" i="8"/>
  <c r="R59" i="8" s="1"/>
  <c r="R44" i="8"/>
  <c r="R60" i="8" s="1"/>
  <c r="R45" i="8"/>
  <c r="R61" i="8" s="1"/>
  <c r="R41" i="8"/>
  <c r="S18" i="8"/>
  <c r="O20" i="8"/>
  <c r="O21" i="8"/>
  <c r="O22" i="8"/>
  <c r="O23" i="8"/>
  <c r="O24" i="8"/>
  <c r="O19" i="8"/>
  <c r="O49" i="8"/>
  <c r="O58" i="8" s="1"/>
  <c r="O50" i="8"/>
  <c r="O59" i="8" s="1"/>
  <c r="O51" i="8"/>
  <c r="O60" i="8" s="1"/>
  <c r="O52" i="8"/>
  <c r="O61" i="8" s="1"/>
  <c r="O53" i="8"/>
  <c r="O48" i="8"/>
  <c r="F11" i="6"/>
  <c r="G11" i="6"/>
  <c r="H11" i="6"/>
  <c r="F73" i="3"/>
  <c r="G74" i="3"/>
  <c r="L15" i="23" l="1"/>
  <c r="M48" i="22"/>
  <c r="M49" i="23"/>
  <c r="O49" i="23" s="1"/>
  <c r="P48" i="22"/>
  <c r="P49" i="23"/>
  <c r="R49" i="23" s="1"/>
  <c r="I48" i="22"/>
  <c r="L48" i="22" s="1"/>
  <c r="I49" i="23"/>
  <c r="L49" i="23" s="1"/>
  <c r="G100" i="22"/>
  <c r="H100" i="22" s="1"/>
  <c r="G101" i="23"/>
  <c r="H101" i="23" s="1"/>
  <c r="I100" i="22"/>
  <c r="L100" i="22" s="1"/>
  <c r="I101" i="23"/>
  <c r="L101" i="23" s="1"/>
  <c r="G155" i="22"/>
  <c r="H155" i="22" s="1"/>
  <c r="G157" i="23"/>
  <c r="H157" i="23" s="1"/>
  <c r="I155" i="22"/>
  <c r="L155" i="22" s="1"/>
  <c r="G156" i="22" s="1"/>
  <c r="I157" i="23"/>
  <c r="L157" i="23" s="1"/>
  <c r="L156" i="23" s="1"/>
  <c r="F5" i="17"/>
  <c r="M52" i="16" s="1"/>
  <c r="G5" i="17"/>
  <c r="P52" i="16" s="1"/>
  <c r="G52" i="16"/>
  <c r="H52" i="16" s="1"/>
  <c r="H5" i="17"/>
  <c r="I52" i="16" s="1"/>
  <c r="L52" i="16" s="1"/>
  <c r="O48" i="22"/>
  <c r="R48" i="22"/>
  <c r="G29" i="16"/>
  <c r="G73" i="16"/>
  <c r="L106" i="3"/>
  <c r="D22" i="17" s="1"/>
  <c r="K76" i="16"/>
  <c r="L76" i="16" s="1"/>
  <c r="L86" i="16" s="1"/>
  <c r="L85" i="16" s="1"/>
  <c r="L115" i="3"/>
  <c r="D23" i="17" s="1"/>
  <c r="E23" i="17" s="1"/>
  <c r="K126" i="16"/>
  <c r="L126" i="16" s="1"/>
  <c r="K33" i="16"/>
  <c r="L33" i="16" s="1"/>
  <c r="G54" i="16"/>
  <c r="G53" i="16"/>
  <c r="G106" i="22"/>
  <c r="G107" i="22"/>
  <c r="G108" i="22" s="1"/>
  <c r="G105" i="22"/>
  <c r="G104" i="22"/>
  <c r="G103" i="22"/>
  <c r="G102" i="22"/>
  <c r="G101" i="22"/>
  <c r="G109" i="22" s="1"/>
  <c r="H16" i="17"/>
  <c r="F16" i="17"/>
  <c r="N8" i="3"/>
  <c r="D4" i="18" s="1"/>
  <c r="K115" i="22"/>
  <c r="L115" i="22" s="1"/>
  <c r="H189" i="20"/>
  <c r="L169" i="13"/>
  <c r="L130" i="13"/>
  <c r="H3" i="18"/>
  <c r="G9" i="22"/>
  <c r="H9" i="22" s="1"/>
  <c r="F3" i="18"/>
  <c r="G157" i="22"/>
  <c r="G158" i="22"/>
  <c r="G159" i="22"/>
  <c r="G160" i="22"/>
  <c r="G161" i="22"/>
  <c r="G162" i="22"/>
  <c r="L38" i="4"/>
  <c r="J22" i="17"/>
  <c r="I66" i="15"/>
  <c r="I68" i="4"/>
  <c r="G66" i="15"/>
  <c r="H66" i="15" s="1"/>
  <c r="F22" i="6"/>
  <c r="G22" i="6"/>
  <c r="G68" i="4"/>
  <c r="H68" i="4" s="1"/>
  <c r="H44" i="4" s="1"/>
  <c r="E23" i="6"/>
  <c r="H23" i="6" s="1"/>
  <c r="J23" i="6"/>
  <c r="L37" i="4"/>
  <c r="L36" i="4"/>
  <c r="L35" i="4"/>
  <c r="L32" i="4" s="1"/>
  <c r="L43" i="16"/>
  <c r="G195" i="14"/>
  <c r="G201" i="13"/>
  <c r="F164" i="20"/>
  <c r="C164" i="20" s="1"/>
  <c r="C163" i="20" s="1"/>
  <c r="D124" i="20"/>
  <c r="D123" i="20" s="1"/>
  <c r="K56" i="3"/>
  <c r="L56" i="3" s="1"/>
  <c r="G56" i="3"/>
  <c r="K51" i="3"/>
  <c r="L51" i="3" s="1"/>
  <c r="G51" i="3"/>
  <c r="K52" i="3"/>
  <c r="L52" i="3" s="1"/>
  <c r="G52" i="3"/>
  <c r="K58" i="3"/>
  <c r="L58" i="3" s="1"/>
  <c r="G58" i="3"/>
  <c r="K53" i="3"/>
  <c r="L53" i="3" s="1"/>
  <c r="G53" i="3"/>
  <c r="G50" i="3"/>
  <c r="F49" i="3"/>
  <c r="K50" i="3"/>
  <c r="K55" i="3"/>
  <c r="L55" i="3" s="1"/>
  <c r="G55" i="3"/>
  <c r="K57" i="3"/>
  <c r="L57" i="3" s="1"/>
  <c r="G57" i="3"/>
  <c r="K54" i="3"/>
  <c r="L54" i="3" s="1"/>
  <c r="G54" i="3"/>
  <c r="L16" i="4"/>
  <c r="L8" i="4" s="1"/>
  <c r="L126" i="14"/>
  <c r="K127" i="14"/>
  <c r="L127" i="14" s="1"/>
  <c r="F4" i="19"/>
  <c r="G4" i="19"/>
  <c r="H4" i="19"/>
  <c r="H14" i="9"/>
  <c r="G101" i="20"/>
  <c r="H101" i="20" s="1"/>
  <c r="G101" i="13"/>
  <c r="H101" i="13" s="1"/>
  <c r="H11" i="9"/>
  <c r="G164" i="20"/>
  <c r="H164" i="20" s="1"/>
  <c r="G174" i="13"/>
  <c r="H174" i="13" s="1"/>
  <c r="H4" i="17"/>
  <c r="I106" i="16" s="1"/>
  <c r="G106" i="16"/>
  <c r="H106" i="16" s="1"/>
  <c r="P16" i="4"/>
  <c r="R16" i="4" s="1"/>
  <c r="R16" i="16"/>
  <c r="P16" i="15"/>
  <c r="R16" i="15" s="1"/>
  <c r="R8" i="15" s="1"/>
  <c r="M16" i="4"/>
  <c r="O16" i="4" s="1"/>
  <c r="O16" i="16"/>
  <c r="M16" i="15"/>
  <c r="O16" i="15" s="1"/>
  <c r="O8" i="15" s="1"/>
  <c r="H11" i="8"/>
  <c r="G3" i="18"/>
  <c r="M9" i="13"/>
  <c r="M9" i="14"/>
  <c r="P9" i="13"/>
  <c r="P9" i="14"/>
  <c r="G4" i="17"/>
  <c r="P106" i="16" s="1"/>
  <c r="R106" i="16" s="1"/>
  <c r="F4" i="17"/>
  <c r="M106" i="16" s="1"/>
  <c r="O106" i="16" s="1"/>
  <c r="G14" i="18"/>
  <c r="F14" i="18"/>
  <c r="G11" i="18"/>
  <c r="F11" i="18"/>
  <c r="G11" i="17"/>
  <c r="P138" i="16" s="1"/>
  <c r="R138" i="16" s="1"/>
  <c r="F11" i="17"/>
  <c r="M138" i="16" s="1"/>
  <c r="O138" i="16" s="1"/>
  <c r="G16" i="17"/>
  <c r="E4" i="18"/>
  <c r="G115" i="23" s="1"/>
  <c r="H115" i="23" s="1"/>
  <c r="J4" i="18"/>
  <c r="L123" i="16"/>
  <c r="K114" i="15"/>
  <c r="L114" i="15" s="1"/>
  <c r="L122" i="16"/>
  <c r="K113" i="15"/>
  <c r="L113" i="15" s="1"/>
  <c r="L117" i="16"/>
  <c r="K108" i="15"/>
  <c r="L108" i="15" s="1"/>
  <c r="L121" i="16"/>
  <c r="K112" i="15"/>
  <c r="L112" i="15" s="1"/>
  <c r="L115" i="16"/>
  <c r="K106" i="15"/>
  <c r="L106" i="15" s="1"/>
  <c r="L119" i="16"/>
  <c r="K110" i="15"/>
  <c r="L110" i="15" s="1"/>
  <c r="L118" i="16"/>
  <c r="K109" i="15"/>
  <c r="L109" i="15" s="1"/>
  <c r="L120" i="16"/>
  <c r="K111" i="15"/>
  <c r="L111" i="15" s="1"/>
  <c r="K107" i="15"/>
  <c r="L107" i="15" s="1"/>
  <c r="L16" i="16"/>
  <c r="L16" i="15"/>
  <c r="L8" i="15" s="1"/>
  <c r="L76" i="3"/>
  <c r="K73" i="3"/>
  <c r="I97" i="15"/>
  <c r="L97" i="15" s="1"/>
  <c r="L106" i="16"/>
  <c r="P97" i="15"/>
  <c r="R97" i="15" s="1"/>
  <c r="M97" i="15"/>
  <c r="O97" i="15" s="1"/>
  <c r="M130" i="15"/>
  <c r="O130" i="15" s="1"/>
  <c r="P130" i="15"/>
  <c r="R130" i="15" s="1"/>
  <c r="I130" i="15"/>
  <c r="L130" i="15" s="1"/>
  <c r="L138" i="16"/>
  <c r="K105" i="15"/>
  <c r="L105" i="15" s="1"/>
  <c r="L115" i="15" s="1"/>
  <c r="L114" i="16"/>
  <c r="F14" i="9"/>
  <c r="G14" i="9"/>
  <c r="G98" i="14"/>
  <c r="H98" i="14" s="1"/>
  <c r="D9" i="14"/>
  <c r="D8" i="14" s="1"/>
  <c r="O79" i="14"/>
  <c r="R79" i="14"/>
  <c r="O136" i="15"/>
  <c r="O135" i="15"/>
  <c r="O134" i="15"/>
  <c r="O133" i="15"/>
  <c r="O132" i="15"/>
  <c r="O131" i="15"/>
  <c r="R135" i="15"/>
  <c r="R134" i="15"/>
  <c r="R133" i="15"/>
  <c r="R132" i="15"/>
  <c r="R131" i="15"/>
  <c r="R102" i="15"/>
  <c r="R101" i="15"/>
  <c r="R100" i="15"/>
  <c r="R99" i="15"/>
  <c r="R98" i="15"/>
  <c r="O103" i="15"/>
  <c r="O102" i="15"/>
  <c r="O101" i="15"/>
  <c r="O100" i="15"/>
  <c r="O99" i="15"/>
  <c r="O98" i="15"/>
  <c r="S97" i="15"/>
  <c r="O62" i="8"/>
  <c r="O57" i="8"/>
  <c r="F11" i="9"/>
  <c r="G11" i="9"/>
  <c r="G170" i="14"/>
  <c r="H170" i="14" s="1"/>
  <c r="J4" i="9"/>
  <c r="E4" i="9"/>
  <c r="G124" i="20" s="1"/>
  <c r="M155" i="4"/>
  <c r="O155" i="4" s="1"/>
  <c r="O154" i="4" s="1"/>
  <c r="P155" i="4"/>
  <c r="R155" i="4" s="1"/>
  <c r="R154" i="4" s="1"/>
  <c r="I155" i="4"/>
  <c r="L155" i="4" s="1"/>
  <c r="H156" i="4" s="1"/>
  <c r="F16" i="6"/>
  <c r="G16" i="6"/>
  <c r="I64" i="3"/>
  <c r="I65" i="3"/>
  <c r="I66" i="3"/>
  <c r="J66" i="3" s="1"/>
  <c r="I67" i="3"/>
  <c r="I68" i="3"/>
  <c r="I69" i="3"/>
  <c r="I70" i="3"/>
  <c r="I71" i="3"/>
  <c r="I72" i="3"/>
  <c r="I63" i="3"/>
  <c r="M63" i="3" s="1"/>
  <c r="N63" i="3" s="1"/>
  <c r="K17" i="23" s="1"/>
  <c r="L17" i="23" s="1"/>
  <c r="G73" i="3"/>
  <c r="D17" i="6" s="1"/>
  <c r="K129" i="4"/>
  <c r="L129" i="4" s="1"/>
  <c r="L144" i="4" s="1"/>
  <c r="L142" i="4" s="1"/>
  <c r="I121" i="4"/>
  <c r="L121" i="4" s="1"/>
  <c r="P121" i="4"/>
  <c r="M121" i="4"/>
  <c r="I75" i="3"/>
  <c r="I76" i="3"/>
  <c r="I77" i="3"/>
  <c r="I78" i="3"/>
  <c r="I79" i="3"/>
  <c r="I80" i="3"/>
  <c r="I81" i="3"/>
  <c r="I82" i="3"/>
  <c r="I83" i="3"/>
  <c r="I74" i="3"/>
  <c r="M74" i="3" s="1"/>
  <c r="R121" i="4"/>
  <c r="O121" i="4"/>
  <c r="R46" i="8"/>
  <c r="R57" i="8"/>
  <c r="G49" i="22" l="1"/>
  <c r="L47" i="22"/>
  <c r="G50" i="22"/>
  <c r="O50" i="23"/>
  <c r="O83" i="23" s="1"/>
  <c r="O51" i="23"/>
  <c r="O84" i="23" s="1"/>
  <c r="O52" i="23"/>
  <c r="O85" i="23" s="1"/>
  <c r="O53" i="23"/>
  <c r="O86" i="23" s="1"/>
  <c r="O54" i="23"/>
  <c r="O87" i="23" s="1"/>
  <c r="O55" i="23"/>
  <c r="O88" i="23" s="1"/>
  <c r="O48" i="23"/>
  <c r="S49" i="23"/>
  <c r="R50" i="23"/>
  <c r="R83" i="23" s="1"/>
  <c r="R51" i="23"/>
  <c r="R84" i="23" s="1"/>
  <c r="R52" i="23"/>
  <c r="R85" i="23" s="1"/>
  <c r="R53" i="23"/>
  <c r="R86" i="23" s="1"/>
  <c r="R54" i="23"/>
  <c r="R87" i="23" s="1"/>
  <c r="R48" i="23"/>
  <c r="G50" i="23"/>
  <c r="G51" i="23"/>
  <c r="L48" i="23"/>
  <c r="G102" i="23"/>
  <c r="G103" i="23"/>
  <c r="G104" i="23"/>
  <c r="G105" i="23"/>
  <c r="G106" i="23"/>
  <c r="G107" i="23"/>
  <c r="G108" i="23"/>
  <c r="G109" i="23" s="1"/>
  <c r="G162" i="23"/>
  <c r="G161" i="23"/>
  <c r="G160" i="23"/>
  <c r="G159" i="23"/>
  <c r="G158" i="23"/>
  <c r="G164" i="23"/>
  <c r="G163" i="23"/>
  <c r="I9" i="22"/>
  <c r="I9" i="23"/>
  <c r="L9" i="23" s="1"/>
  <c r="M9" i="22"/>
  <c r="O9" i="22" s="1"/>
  <c r="M9" i="23"/>
  <c r="O9" i="23" s="1"/>
  <c r="P9" i="22"/>
  <c r="R9" i="22" s="1"/>
  <c r="P9" i="23"/>
  <c r="R9" i="23" s="1"/>
  <c r="P100" i="22"/>
  <c r="R100" i="22" s="1"/>
  <c r="P101" i="23"/>
  <c r="R101" i="23" s="1"/>
  <c r="M100" i="22"/>
  <c r="O100" i="22" s="1"/>
  <c r="M101" i="23"/>
  <c r="O101" i="23" s="1"/>
  <c r="P155" i="22"/>
  <c r="R155" i="22" s="1"/>
  <c r="P157" i="23"/>
  <c r="R157" i="23" s="1"/>
  <c r="R156" i="23" s="1"/>
  <c r="M155" i="22"/>
  <c r="O155" i="22" s="1"/>
  <c r="M157" i="23"/>
  <c r="O157" i="23" s="1"/>
  <c r="O156" i="23" s="1"/>
  <c r="O15" i="22"/>
  <c r="O14" i="22"/>
  <c r="O13" i="22"/>
  <c r="O12" i="22"/>
  <c r="O11" i="22"/>
  <c r="O10" i="22"/>
  <c r="R14" i="22"/>
  <c r="R13" i="22"/>
  <c r="R12" i="22"/>
  <c r="R11" i="22"/>
  <c r="R10" i="22"/>
  <c r="O49" i="22"/>
  <c r="O82" i="22" s="1"/>
  <c r="O50" i="22"/>
  <c r="O83" i="22" s="1"/>
  <c r="O51" i="22"/>
  <c r="O84" i="22" s="1"/>
  <c r="O52" i="22"/>
  <c r="O85" i="22" s="1"/>
  <c r="O53" i="22"/>
  <c r="O86" i="22" s="1"/>
  <c r="O54" i="22"/>
  <c r="O87" i="22" s="1"/>
  <c r="O47" i="22"/>
  <c r="S48" i="22"/>
  <c r="R49" i="22"/>
  <c r="R82" i="22" s="1"/>
  <c r="R50" i="22"/>
  <c r="R83" i="22" s="1"/>
  <c r="R51" i="22"/>
  <c r="R84" i="22" s="1"/>
  <c r="R52" i="22"/>
  <c r="R85" i="22" s="1"/>
  <c r="R53" i="22"/>
  <c r="R86" i="22" s="1"/>
  <c r="R47" i="22"/>
  <c r="O52" i="16"/>
  <c r="R52" i="16"/>
  <c r="G125" i="16"/>
  <c r="H125" i="16" s="1"/>
  <c r="G32" i="16"/>
  <c r="H32" i="16" s="1"/>
  <c r="G23" i="17"/>
  <c r="F23" i="17"/>
  <c r="H23" i="17"/>
  <c r="E22" i="17"/>
  <c r="F22" i="17" s="1"/>
  <c r="H22" i="17"/>
  <c r="I75" i="16" s="1"/>
  <c r="L73" i="3"/>
  <c r="D17" i="17" s="1"/>
  <c r="K116" i="16"/>
  <c r="L116" i="16" s="1"/>
  <c r="G100" i="15"/>
  <c r="G98" i="15"/>
  <c r="G99" i="15"/>
  <c r="G107" i="16"/>
  <c r="G108" i="16"/>
  <c r="G109" i="16"/>
  <c r="G132" i="15"/>
  <c r="G133" i="15"/>
  <c r="G134" i="15"/>
  <c r="G135" i="15"/>
  <c r="G136" i="15"/>
  <c r="G131" i="15"/>
  <c r="G137" i="15" s="1"/>
  <c r="G139" i="16"/>
  <c r="G145" i="16"/>
  <c r="G143" i="16"/>
  <c r="G144" i="16"/>
  <c r="G142" i="16"/>
  <c r="G141" i="16"/>
  <c r="G140" i="16"/>
  <c r="G146" i="16" s="1"/>
  <c r="L154" i="4"/>
  <c r="H162" i="4"/>
  <c r="H163" i="4" s="1"/>
  <c r="H157" i="4"/>
  <c r="H158" i="4"/>
  <c r="H159" i="4"/>
  <c r="H160" i="4"/>
  <c r="H161" i="4"/>
  <c r="H164" i="4"/>
  <c r="K17" i="22"/>
  <c r="L17" i="22" s="1"/>
  <c r="C123" i="4"/>
  <c r="H123" i="4"/>
  <c r="H125" i="4" s="1"/>
  <c r="H124" i="4"/>
  <c r="H122" i="4"/>
  <c r="G163" i="22"/>
  <c r="D6" i="14"/>
  <c r="O39" i="22"/>
  <c r="O38" i="22" s="1"/>
  <c r="O40" i="22"/>
  <c r="O41" i="22"/>
  <c r="O42" i="22"/>
  <c r="O43" i="22"/>
  <c r="O44" i="22"/>
  <c r="L9" i="22"/>
  <c r="G10" i="22" s="1"/>
  <c r="R39" i="22"/>
  <c r="R38" i="22" s="1"/>
  <c r="R40" i="22"/>
  <c r="R41" i="22"/>
  <c r="R42" i="22"/>
  <c r="R43" i="22"/>
  <c r="R156" i="22"/>
  <c r="R157" i="22"/>
  <c r="R158" i="22"/>
  <c r="R159" i="22"/>
  <c r="R160" i="22"/>
  <c r="O156" i="22"/>
  <c r="O157" i="22"/>
  <c r="O158" i="22"/>
  <c r="O159" i="22"/>
  <c r="O160" i="22"/>
  <c r="O161" i="22"/>
  <c r="H4" i="18"/>
  <c r="G114" i="22"/>
  <c r="H114" i="22" s="1"/>
  <c r="G75" i="16"/>
  <c r="H75" i="16" s="1"/>
  <c r="L75" i="16" s="1"/>
  <c r="G76" i="16" s="1"/>
  <c r="M75" i="16"/>
  <c r="G22" i="17"/>
  <c r="P75" i="16" s="1"/>
  <c r="M66" i="15"/>
  <c r="O66" i="15" s="1"/>
  <c r="M68" i="4"/>
  <c r="P66" i="15"/>
  <c r="R66" i="15" s="1"/>
  <c r="P68" i="4"/>
  <c r="I116" i="15"/>
  <c r="G23" i="6"/>
  <c r="F23" i="6"/>
  <c r="G116" i="15"/>
  <c r="H116" i="15" s="1"/>
  <c r="M32" i="16"/>
  <c r="O32" i="16" s="1"/>
  <c r="M125" i="16"/>
  <c r="O125" i="16" s="1"/>
  <c r="P32" i="16"/>
  <c r="R32" i="16" s="1"/>
  <c r="P125" i="16"/>
  <c r="R125" i="16" s="1"/>
  <c r="L66" i="15"/>
  <c r="L68" i="4"/>
  <c r="L166" i="14"/>
  <c r="L165" i="20"/>
  <c r="L195" i="20" s="1"/>
  <c r="L174" i="20"/>
  <c r="L199" i="20" s="1"/>
  <c r="L173" i="20"/>
  <c r="L172" i="20"/>
  <c r="L197" i="20" s="1"/>
  <c r="L171" i="20"/>
  <c r="L196" i="20" s="1"/>
  <c r="L170" i="20"/>
  <c r="L169" i="20"/>
  <c r="L168" i="20"/>
  <c r="L194" i="20" s="1"/>
  <c r="L167" i="20"/>
  <c r="L166" i="20"/>
  <c r="F124" i="20"/>
  <c r="L11" i="8"/>
  <c r="H3" i="8"/>
  <c r="K49" i="3"/>
  <c r="L50" i="3"/>
  <c r="L49" i="3" s="1"/>
  <c r="D14" i="17" s="1"/>
  <c r="G49" i="3"/>
  <c r="D14" i="6" s="1"/>
  <c r="I101" i="13"/>
  <c r="L101" i="13" s="1"/>
  <c r="I101" i="20"/>
  <c r="L101" i="20" s="1"/>
  <c r="I98" i="14"/>
  <c r="L98" i="14" s="1"/>
  <c r="I174" i="13"/>
  <c r="L174" i="13" s="1"/>
  <c r="I164" i="20"/>
  <c r="L164" i="20" s="1"/>
  <c r="I170" i="14"/>
  <c r="L170" i="14" s="1"/>
  <c r="M98" i="14"/>
  <c r="M101" i="20"/>
  <c r="M101" i="13"/>
  <c r="P98" i="14"/>
  <c r="P101" i="20"/>
  <c r="R119" i="20" s="1"/>
  <c r="P101" i="13"/>
  <c r="R119" i="13" s="1"/>
  <c r="M170" i="14"/>
  <c r="M164" i="20"/>
  <c r="O164" i="20" s="1"/>
  <c r="O163" i="20" s="1"/>
  <c r="M174" i="13"/>
  <c r="O174" i="13" s="1"/>
  <c r="O173" i="13" s="1"/>
  <c r="P170" i="14"/>
  <c r="P164" i="20"/>
  <c r="R164" i="20" s="1"/>
  <c r="R163" i="20" s="1"/>
  <c r="P174" i="13"/>
  <c r="R174" i="13" s="1"/>
  <c r="R173" i="13" s="1"/>
  <c r="H4" i="9"/>
  <c r="H124" i="20"/>
  <c r="G124" i="13"/>
  <c r="H124" i="13" s="1"/>
  <c r="K20" i="13"/>
  <c r="L20" i="13" s="1"/>
  <c r="L42" i="13" s="1"/>
  <c r="K20" i="20"/>
  <c r="L20" i="20" s="1"/>
  <c r="O175" i="13"/>
  <c r="O204" i="13" s="1"/>
  <c r="R175" i="13"/>
  <c r="R204" i="13" s="1"/>
  <c r="L139" i="4"/>
  <c r="R17" i="4"/>
  <c r="R18" i="4"/>
  <c r="R19" i="4"/>
  <c r="R20" i="4"/>
  <c r="R21" i="4"/>
  <c r="R8" i="16"/>
  <c r="R17" i="16"/>
  <c r="R18" i="16"/>
  <c r="R19" i="16"/>
  <c r="R20" i="16"/>
  <c r="R21" i="16"/>
  <c r="R21" i="15"/>
  <c r="R38" i="15" s="1"/>
  <c r="R20" i="15"/>
  <c r="R37" i="15" s="1"/>
  <c r="R19" i="15"/>
  <c r="R36" i="15" s="1"/>
  <c r="R18" i="15"/>
  <c r="R35" i="15" s="1"/>
  <c r="R17" i="15"/>
  <c r="R34" i="15" s="1"/>
  <c r="O18" i="4"/>
  <c r="O19" i="4"/>
  <c r="O20" i="4"/>
  <c r="O21" i="4"/>
  <c r="O22" i="4"/>
  <c r="O17" i="4"/>
  <c r="O8" i="16"/>
  <c r="O17" i="16"/>
  <c r="O18" i="16"/>
  <c r="O19" i="16"/>
  <c r="O20" i="16"/>
  <c r="O21" i="16"/>
  <c r="O22" i="16"/>
  <c r="O22" i="15"/>
  <c r="O39" i="15" s="1"/>
  <c r="O21" i="15"/>
  <c r="O38" i="15" s="1"/>
  <c r="O20" i="15"/>
  <c r="O37" i="15" s="1"/>
  <c r="O19" i="15"/>
  <c r="O36" i="15" s="1"/>
  <c r="O18" i="15"/>
  <c r="O35" i="15" s="1"/>
  <c r="O17" i="15"/>
  <c r="O34" i="15" s="1"/>
  <c r="L3" i="8"/>
  <c r="G4" i="18"/>
  <c r="F4" i="18"/>
  <c r="S16" i="4"/>
  <c r="L17" i="16"/>
  <c r="L49" i="16" s="1"/>
  <c r="S16" i="16"/>
  <c r="S16" i="15"/>
  <c r="L17" i="15"/>
  <c r="L40" i="15" s="1"/>
  <c r="J17" i="17"/>
  <c r="E17" i="17"/>
  <c r="G113" i="16" s="1"/>
  <c r="H17" i="17"/>
  <c r="I113" i="16" s="1"/>
  <c r="R107" i="16"/>
  <c r="R108" i="16"/>
  <c r="R109" i="16"/>
  <c r="R110" i="16"/>
  <c r="R111" i="16"/>
  <c r="O107" i="16"/>
  <c r="O108" i="16"/>
  <c r="O109" i="16"/>
  <c r="O110" i="16"/>
  <c r="O111" i="16"/>
  <c r="O112" i="16"/>
  <c r="O139" i="16"/>
  <c r="O140" i="16"/>
  <c r="O141" i="16"/>
  <c r="O142" i="16"/>
  <c r="O143" i="16"/>
  <c r="O144" i="16"/>
  <c r="R139" i="16"/>
  <c r="R140" i="16"/>
  <c r="R141" i="16"/>
  <c r="R142" i="16"/>
  <c r="R143" i="16"/>
  <c r="R11" i="8"/>
  <c r="O11" i="8"/>
  <c r="S11" i="8" s="1"/>
  <c r="S28" i="8" s="1"/>
  <c r="S106" i="16"/>
  <c r="J64" i="3"/>
  <c r="K18" i="20" s="1"/>
  <c r="L18" i="20" s="1"/>
  <c r="M64" i="3"/>
  <c r="N64" i="3" s="1"/>
  <c r="K18" i="23" s="1"/>
  <c r="L18" i="23" s="1"/>
  <c r="J65" i="3"/>
  <c r="K19" i="20" s="1"/>
  <c r="L19" i="20" s="1"/>
  <c r="M65" i="3"/>
  <c r="N65" i="3" s="1"/>
  <c r="K20" i="14"/>
  <c r="L20" i="14" s="1"/>
  <c r="M66" i="3"/>
  <c r="N66" i="3" s="1"/>
  <c r="J67" i="3"/>
  <c r="K21" i="20" s="1"/>
  <c r="L21" i="20" s="1"/>
  <c r="M67" i="3"/>
  <c r="N67" i="3" s="1"/>
  <c r="J68" i="3"/>
  <c r="K22" i="20" s="1"/>
  <c r="L22" i="20" s="1"/>
  <c r="M68" i="3"/>
  <c r="N68" i="3" s="1"/>
  <c r="J69" i="3"/>
  <c r="K23" i="20" s="1"/>
  <c r="L23" i="20" s="1"/>
  <c r="M69" i="3"/>
  <c r="N69" i="3" s="1"/>
  <c r="J70" i="3"/>
  <c r="K24" i="20" s="1"/>
  <c r="L24" i="20" s="1"/>
  <c r="M70" i="3"/>
  <c r="N70" i="3" s="1"/>
  <c r="J71" i="3"/>
  <c r="K25" i="20" s="1"/>
  <c r="L25" i="20" s="1"/>
  <c r="M71" i="3"/>
  <c r="N71" i="3" s="1"/>
  <c r="J72" i="3"/>
  <c r="K26" i="20" s="1"/>
  <c r="L26" i="20" s="1"/>
  <c r="M72" i="3"/>
  <c r="N72" i="3" s="1"/>
  <c r="J75" i="3"/>
  <c r="K140" i="20" s="1"/>
  <c r="L140" i="20" s="1"/>
  <c r="M75" i="3"/>
  <c r="N75" i="3" s="1"/>
  <c r="J76" i="3"/>
  <c r="K141" i="20" s="1"/>
  <c r="L141" i="20" s="1"/>
  <c r="M76" i="3"/>
  <c r="N76" i="3" s="1"/>
  <c r="J77" i="3"/>
  <c r="K142" i="20" s="1"/>
  <c r="L142" i="20" s="1"/>
  <c r="M77" i="3"/>
  <c r="N77" i="3" s="1"/>
  <c r="J78" i="3"/>
  <c r="K143" i="20" s="1"/>
  <c r="L143" i="20" s="1"/>
  <c r="M78" i="3"/>
  <c r="N78" i="3" s="1"/>
  <c r="J79" i="3"/>
  <c r="K144" i="20" s="1"/>
  <c r="L144" i="20" s="1"/>
  <c r="M79" i="3"/>
  <c r="N79" i="3" s="1"/>
  <c r="J80" i="3"/>
  <c r="K145" i="20" s="1"/>
  <c r="L145" i="20" s="1"/>
  <c r="M80" i="3"/>
  <c r="N80" i="3" s="1"/>
  <c r="J81" i="3"/>
  <c r="K146" i="20" s="1"/>
  <c r="L146" i="20" s="1"/>
  <c r="M81" i="3"/>
  <c r="N81" i="3" s="1"/>
  <c r="J82" i="3"/>
  <c r="K147" i="20" s="1"/>
  <c r="L147" i="20" s="1"/>
  <c r="M82" i="3"/>
  <c r="N82" i="3" s="1"/>
  <c r="J83" i="3"/>
  <c r="K148" i="20" s="1"/>
  <c r="L148" i="20" s="1"/>
  <c r="M83" i="3"/>
  <c r="N83" i="3" s="1"/>
  <c r="N74" i="3"/>
  <c r="K134" i="23" s="1"/>
  <c r="L134" i="23" s="1"/>
  <c r="M73" i="3"/>
  <c r="F9" i="14"/>
  <c r="O98" i="14"/>
  <c r="R98" i="14"/>
  <c r="O170" i="14"/>
  <c r="R170" i="14"/>
  <c r="G4" i="9"/>
  <c r="F4" i="9"/>
  <c r="G123" i="14"/>
  <c r="H123" i="14" s="1"/>
  <c r="O176" i="13"/>
  <c r="O205" i="13" s="1"/>
  <c r="O177" i="13"/>
  <c r="O206" i="13" s="1"/>
  <c r="O178" i="13"/>
  <c r="O207" i="13" s="1"/>
  <c r="O179" i="13"/>
  <c r="O208" i="13" s="1"/>
  <c r="O180" i="13"/>
  <c r="O209" i="13" s="1"/>
  <c r="O156" i="4"/>
  <c r="O187" i="4" s="1"/>
  <c r="O161" i="4"/>
  <c r="O192" i="4" s="1"/>
  <c r="O160" i="4"/>
  <c r="O191" i="4" s="1"/>
  <c r="O159" i="4"/>
  <c r="O190" i="4" s="1"/>
  <c r="O158" i="4"/>
  <c r="O189" i="4" s="1"/>
  <c r="O157" i="4"/>
  <c r="O188" i="4" s="1"/>
  <c r="R176" i="13"/>
  <c r="R205" i="13" s="1"/>
  <c r="R177" i="13"/>
  <c r="R206" i="13" s="1"/>
  <c r="R178" i="13"/>
  <c r="R207" i="13" s="1"/>
  <c r="R179" i="13"/>
  <c r="R208" i="13" s="1"/>
  <c r="R156" i="4"/>
  <c r="R187" i="4" s="1"/>
  <c r="R160" i="4"/>
  <c r="R191" i="4" s="1"/>
  <c r="R159" i="4"/>
  <c r="R190" i="4" s="1"/>
  <c r="R158" i="4"/>
  <c r="R189" i="4" s="1"/>
  <c r="R157" i="4"/>
  <c r="R188" i="4" s="1"/>
  <c r="J17" i="6"/>
  <c r="E17" i="6"/>
  <c r="J63" i="3"/>
  <c r="I62" i="3"/>
  <c r="M62" i="3" s="1"/>
  <c r="J74" i="3"/>
  <c r="I73" i="3"/>
  <c r="R122" i="4"/>
  <c r="R126" i="4"/>
  <c r="R125" i="4"/>
  <c r="R124" i="4"/>
  <c r="R123" i="4"/>
  <c r="O122" i="4"/>
  <c r="O127" i="4"/>
  <c r="O126" i="4"/>
  <c r="O125" i="4"/>
  <c r="O124" i="4"/>
  <c r="O123" i="4"/>
  <c r="S121" i="4"/>
  <c r="R56" i="8"/>
  <c r="C9" i="14" l="1"/>
  <c r="C8" i="14" s="1"/>
  <c r="F8" i="14"/>
  <c r="L198" i="20"/>
  <c r="L193" i="20"/>
  <c r="O186" i="4"/>
  <c r="R186" i="4"/>
  <c r="G10" i="23"/>
  <c r="G11" i="23"/>
  <c r="G13" i="23" s="1"/>
  <c r="G12" i="23"/>
  <c r="S9" i="23"/>
  <c r="O10" i="23"/>
  <c r="O15" i="23"/>
  <c r="O14" i="23"/>
  <c r="O13" i="23"/>
  <c r="O12" i="23"/>
  <c r="O11" i="23"/>
  <c r="R13" i="23"/>
  <c r="R14" i="23"/>
  <c r="R162" i="23"/>
  <c r="R161" i="23"/>
  <c r="R160" i="23"/>
  <c r="R159" i="23"/>
  <c r="R158" i="23"/>
  <c r="O163" i="23"/>
  <c r="O162" i="23"/>
  <c r="O161" i="23"/>
  <c r="O160" i="23"/>
  <c r="O159" i="23"/>
  <c r="O158" i="23"/>
  <c r="O82" i="23"/>
  <c r="R82" i="23"/>
  <c r="G110" i="23"/>
  <c r="G165" i="23"/>
  <c r="I114" i="22"/>
  <c r="I115" i="23"/>
  <c r="L115" i="23" s="1"/>
  <c r="P114" i="22"/>
  <c r="R114" i="22" s="1"/>
  <c r="P115" i="23"/>
  <c r="R115" i="23" s="1"/>
  <c r="M114" i="22"/>
  <c r="O114" i="22" s="1"/>
  <c r="M115" i="23"/>
  <c r="O115" i="23" s="1"/>
  <c r="K19" i="22"/>
  <c r="L19" i="22" s="1"/>
  <c r="K19" i="23"/>
  <c r="L19" i="23" s="1"/>
  <c r="K20" i="22"/>
  <c r="L20" i="22" s="1"/>
  <c r="K20" i="23"/>
  <c r="L20" i="23" s="1"/>
  <c r="L42" i="23" s="1"/>
  <c r="K21" i="22"/>
  <c r="L21" i="22" s="1"/>
  <c r="K21" i="23"/>
  <c r="L21" i="23" s="1"/>
  <c r="K22" i="22"/>
  <c r="L22" i="22" s="1"/>
  <c r="L42" i="22" s="1"/>
  <c r="K22" i="23"/>
  <c r="L22" i="23" s="1"/>
  <c r="K23" i="22"/>
  <c r="L23" i="22" s="1"/>
  <c r="K23" i="23"/>
  <c r="L23" i="23" s="1"/>
  <c r="L40" i="23" s="1"/>
  <c r="K24" i="22"/>
  <c r="L24" i="22" s="1"/>
  <c r="K24" i="23"/>
  <c r="L24" i="23" s="1"/>
  <c r="L41" i="23" s="1"/>
  <c r="K25" i="22"/>
  <c r="L25" i="22" s="1"/>
  <c r="L40" i="22" s="1"/>
  <c r="K25" i="23"/>
  <c r="L25" i="23" s="1"/>
  <c r="K26" i="22"/>
  <c r="L26" i="22" s="1"/>
  <c r="L41" i="22" s="1"/>
  <c r="K26" i="23"/>
  <c r="L26" i="23" s="1"/>
  <c r="L44" i="23" s="1"/>
  <c r="K134" i="22"/>
  <c r="L134" i="22" s="1"/>
  <c r="K135" i="23"/>
  <c r="L135" i="23" s="1"/>
  <c r="K135" i="22"/>
  <c r="L135" i="22" s="1"/>
  <c r="K136" i="23"/>
  <c r="L136" i="23" s="1"/>
  <c r="K136" i="22"/>
  <c r="L136" i="22" s="1"/>
  <c r="K137" i="23"/>
  <c r="L137" i="23" s="1"/>
  <c r="K137" i="22"/>
  <c r="L137" i="22" s="1"/>
  <c r="K138" i="23"/>
  <c r="L138" i="23" s="1"/>
  <c r="K138" i="22"/>
  <c r="L138" i="22" s="1"/>
  <c r="K139" i="23"/>
  <c r="L139" i="23" s="1"/>
  <c r="K139" i="22"/>
  <c r="L139" i="22" s="1"/>
  <c r="K140" i="23"/>
  <c r="L140" i="23" s="1"/>
  <c r="K140" i="22"/>
  <c r="L140" i="22" s="1"/>
  <c r="K141" i="23"/>
  <c r="L141" i="23" s="1"/>
  <c r="K141" i="22"/>
  <c r="L141" i="22" s="1"/>
  <c r="K142" i="23"/>
  <c r="L142" i="23" s="1"/>
  <c r="K142" i="22"/>
  <c r="L142" i="22" s="1"/>
  <c r="K143" i="23"/>
  <c r="L143" i="23" s="1"/>
  <c r="L39" i="22"/>
  <c r="G12" i="22"/>
  <c r="G11" i="22"/>
  <c r="G13" i="22" s="1"/>
  <c r="G14" i="22" s="1"/>
  <c r="O58" i="16"/>
  <c r="O57" i="16"/>
  <c r="O56" i="16"/>
  <c r="O55" i="16"/>
  <c r="O54" i="16"/>
  <c r="O53" i="16"/>
  <c r="R57" i="16"/>
  <c r="R56" i="16"/>
  <c r="R55" i="16"/>
  <c r="R54" i="16"/>
  <c r="R53" i="16"/>
  <c r="S52" i="16"/>
  <c r="I125" i="16"/>
  <c r="L125" i="16" s="1"/>
  <c r="I32" i="16"/>
  <c r="L32" i="16" s="1"/>
  <c r="O81" i="22"/>
  <c r="R81" i="22"/>
  <c r="L124" i="16"/>
  <c r="G101" i="15"/>
  <c r="S125" i="16"/>
  <c r="G126" i="16"/>
  <c r="G129" i="16"/>
  <c r="G130" i="16"/>
  <c r="G128" i="16"/>
  <c r="G127" i="16"/>
  <c r="N62" i="3"/>
  <c r="D16" i="18" s="1"/>
  <c r="K18" i="22"/>
  <c r="L18" i="22" s="1"/>
  <c r="L27" i="22" s="1"/>
  <c r="N73" i="3"/>
  <c r="D17" i="18" s="1"/>
  <c r="K133" i="22"/>
  <c r="L133" i="22" s="1"/>
  <c r="L143" i="22" s="1"/>
  <c r="H167" i="20"/>
  <c r="H165" i="20"/>
  <c r="H170" i="20"/>
  <c r="H169" i="20"/>
  <c r="H168" i="20"/>
  <c r="H166" i="20"/>
  <c r="H171" i="20" s="1"/>
  <c r="H102" i="20"/>
  <c r="H103" i="20"/>
  <c r="H104" i="20"/>
  <c r="H105" i="20"/>
  <c r="H106" i="20"/>
  <c r="H107" i="20"/>
  <c r="L153" i="20"/>
  <c r="L155" i="20"/>
  <c r="L156" i="20"/>
  <c r="H175" i="14"/>
  <c r="H176" i="14"/>
  <c r="H177" i="14" s="1"/>
  <c r="H171" i="14"/>
  <c r="H173" i="14"/>
  <c r="H174" i="14"/>
  <c r="H172" i="14"/>
  <c r="G106" i="13"/>
  <c r="G102" i="13"/>
  <c r="G103" i="13"/>
  <c r="G104" i="13"/>
  <c r="G105" i="13"/>
  <c r="G107" i="13"/>
  <c r="G108" i="13" s="1"/>
  <c r="G179" i="13"/>
  <c r="G175" i="13"/>
  <c r="G177" i="13"/>
  <c r="G178" i="13"/>
  <c r="G180" i="13"/>
  <c r="G181" i="13" s="1"/>
  <c r="G176" i="13"/>
  <c r="S9" i="22"/>
  <c r="L114" i="22"/>
  <c r="G115" i="22" s="1"/>
  <c r="R115" i="22"/>
  <c r="R116" i="22"/>
  <c r="R117" i="22"/>
  <c r="R118" i="22"/>
  <c r="R119" i="22"/>
  <c r="O115" i="22"/>
  <c r="O116" i="22"/>
  <c r="O117" i="22"/>
  <c r="O118" i="22"/>
  <c r="O119" i="22"/>
  <c r="O120" i="22"/>
  <c r="L51" i="16"/>
  <c r="O42" i="15"/>
  <c r="O67" i="15"/>
  <c r="O77" i="15" s="1"/>
  <c r="O68" i="15"/>
  <c r="O78" i="15" s="1"/>
  <c r="O69" i="15"/>
  <c r="O79" i="15" s="1"/>
  <c r="O70" i="15"/>
  <c r="O80" i="15" s="1"/>
  <c r="O71" i="15"/>
  <c r="O81" i="15" s="1"/>
  <c r="O72" i="15"/>
  <c r="O82" i="15" s="1"/>
  <c r="O68" i="4"/>
  <c r="R42" i="15"/>
  <c r="R67" i="15"/>
  <c r="R77" i="15" s="1"/>
  <c r="R68" i="15"/>
  <c r="R78" i="15" s="1"/>
  <c r="R69" i="15"/>
  <c r="R79" i="15" s="1"/>
  <c r="R70" i="15"/>
  <c r="R80" i="15" s="1"/>
  <c r="R71" i="15"/>
  <c r="R81" i="15" s="1"/>
  <c r="R68" i="4"/>
  <c r="P116" i="15"/>
  <c r="R116" i="15" s="1"/>
  <c r="M116" i="15"/>
  <c r="O116" i="15" s="1"/>
  <c r="O33" i="16"/>
  <c r="O43" i="16" s="1"/>
  <c r="O34" i="16"/>
  <c r="O44" i="16" s="1"/>
  <c r="O35" i="16"/>
  <c r="O45" i="16" s="1"/>
  <c r="O36" i="16"/>
  <c r="O46" i="16" s="1"/>
  <c r="O37" i="16"/>
  <c r="O47" i="16" s="1"/>
  <c r="O38" i="16"/>
  <c r="O48" i="16" s="1"/>
  <c r="O131" i="16"/>
  <c r="O130" i="16"/>
  <c r="O129" i="16"/>
  <c r="O128" i="16"/>
  <c r="O127" i="16"/>
  <c r="O126" i="16"/>
  <c r="S32" i="16"/>
  <c r="R33" i="16"/>
  <c r="R43" i="16" s="1"/>
  <c r="R34" i="16"/>
  <c r="R44" i="16" s="1"/>
  <c r="R35" i="16"/>
  <c r="R45" i="16" s="1"/>
  <c r="R36" i="16"/>
  <c r="R46" i="16" s="1"/>
  <c r="R37" i="16"/>
  <c r="R47" i="16" s="1"/>
  <c r="R130" i="16"/>
  <c r="R129" i="16"/>
  <c r="R128" i="16"/>
  <c r="R127" i="16"/>
  <c r="R126" i="16"/>
  <c r="G68" i="15"/>
  <c r="G69" i="15"/>
  <c r="G70" i="15"/>
  <c r="G71" i="15"/>
  <c r="G72" i="15"/>
  <c r="G67" i="15"/>
  <c r="G73" i="15" s="1"/>
  <c r="S66" i="15"/>
  <c r="L42" i="15"/>
  <c r="G72" i="4"/>
  <c r="G70" i="4"/>
  <c r="G73" i="4"/>
  <c r="G71" i="4"/>
  <c r="G69" i="4"/>
  <c r="G74" i="4" s="1"/>
  <c r="S68" i="4"/>
  <c r="L44" i="4"/>
  <c r="O75" i="16"/>
  <c r="R75" i="16"/>
  <c r="L116" i="15"/>
  <c r="H104" i="14"/>
  <c r="H100" i="14"/>
  <c r="H101" i="14"/>
  <c r="H102" i="14"/>
  <c r="H103" i="14"/>
  <c r="H105" i="14"/>
  <c r="H106" i="14" s="1"/>
  <c r="H99" i="14"/>
  <c r="H107" i="14" s="1"/>
  <c r="C10" i="14"/>
  <c r="L125" i="20"/>
  <c r="L126" i="20"/>
  <c r="L127" i="20"/>
  <c r="L128" i="20"/>
  <c r="C124" i="20"/>
  <c r="C123" i="20" s="1"/>
  <c r="J14" i="17"/>
  <c r="E14" i="17"/>
  <c r="H14" i="17"/>
  <c r="J14" i="6"/>
  <c r="E14" i="6"/>
  <c r="H14" i="6"/>
  <c r="D227" i="14"/>
  <c r="O101" i="20"/>
  <c r="O120" i="20"/>
  <c r="O101" i="13"/>
  <c r="O120" i="13"/>
  <c r="O165" i="20"/>
  <c r="O193" i="20" s="1"/>
  <c r="O166" i="20"/>
  <c r="O194" i="20" s="1"/>
  <c r="O167" i="20"/>
  <c r="O195" i="20" s="1"/>
  <c r="O168" i="20"/>
  <c r="O196" i="20" s="1"/>
  <c r="O169" i="20"/>
  <c r="O197" i="20" s="1"/>
  <c r="O170" i="20"/>
  <c r="O198" i="20" s="1"/>
  <c r="R165" i="20"/>
  <c r="R193" i="20" s="1"/>
  <c r="R166" i="20"/>
  <c r="R194" i="20" s="1"/>
  <c r="R167" i="20"/>
  <c r="R195" i="20" s="1"/>
  <c r="R168" i="20"/>
  <c r="R196" i="20" s="1"/>
  <c r="R169" i="20"/>
  <c r="R197" i="20" s="1"/>
  <c r="I124" i="13"/>
  <c r="L124" i="13" s="1"/>
  <c r="I124" i="20"/>
  <c r="L124" i="20" s="1"/>
  <c r="I123" i="14"/>
  <c r="L123" i="14" s="1"/>
  <c r="L152" i="20"/>
  <c r="L157" i="20"/>
  <c r="P123" i="14"/>
  <c r="P124" i="20"/>
  <c r="R124" i="20" s="1"/>
  <c r="P124" i="13"/>
  <c r="R124" i="13" s="1"/>
  <c r="M123" i="14"/>
  <c r="M124" i="20"/>
  <c r="O124" i="20" s="1"/>
  <c r="M124" i="13"/>
  <c r="O124" i="13" s="1"/>
  <c r="K17" i="13"/>
  <c r="L17" i="13" s="1"/>
  <c r="K17" i="20"/>
  <c r="L17" i="20" s="1"/>
  <c r="K139" i="13"/>
  <c r="L139" i="13" s="1"/>
  <c r="K139" i="20"/>
  <c r="L139" i="20" s="1"/>
  <c r="K18" i="14"/>
  <c r="L18" i="14" s="1"/>
  <c r="K18" i="13"/>
  <c r="L18" i="13" s="1"/>
  <c r="K19" i="14"/>
  <c r="L19" i="14" s="1"/>
  <c r="K19" i="13"/>
  <c r="L19" i="13" s="1"/>
  <c r="L43" i="13" s="1"/>
  <c r="K21" i="14"/>
  <c r="L21" i="14" s="1"/>
  <c r="K21" i="13"/>
  <c r="L21" i="13" s="1"/>
  <c r="K22" i="14"/>
  <c r="L22" i="14" s="1"/>
  <c r="K22" i="13"/>
  <c r="L22" i="13" s="1"/>
  <c r="K23" i="14"/>
  <c r="L23" i="14" s="1"/>
  <c r="K23" i="13"/>
  <c r="L23" i="13" s="1"/>
  <c r="L40" i="13" s="1"/>
  <c r="K24" i="14"/>
  <c r="L24" i="14" s="1"/>
  <c r="K24" i="13"/>
  <c r="L24" i="13" s="1"/>
  <c r="L41" i="13" s="1"/>
  <c r="K25" i="14"/>
  <c r="L25" i="14" s="1"/>
  <c r="K25" i="13"/>
  <c r="L25" i="13" s="1"/>
  <c r="K26" i="14"/>
  <c r="L26" i="14" s="1"/>
  <c r="K26" i="13"/>
  <c r="L26" i="13" s="1"/>
  <c r="K139" i="14"/>
  <c r="L139" i="14" s="1"/>
  <c r="K140" i="13"/>
  <c r="L140" i="13" s="1"/>
  <c r="K140" i="14"/>
  <c r="L140" i="14" s="1"/>
  <c r="K141" i="13"/>
  <c r="L141" i="13" s="1"/>
  <c r="K141" i="14"/>
  <c r="L141" i="14" s="1"/>
  <c r="K142" i="13"/>
  <c r="L142" i="13" s="1"/>
  <c r="K142" i="14"/>
  <c r="L142" i="14" s="1"/>
  <c r="K143" i="13"/>
  <c r="L143" i="13" s="1"/>
  <c r="K143" i="14"/>
  <c r="L143" i="14" s="1"/>
  <c r="K144" i="13"/>
  <c r="L144" i="13" s="1"/>
  <c r="K144" i="14"/>
  <c r="L144" i="14" s="1"/>
  <c r="K145" i="13"/>
  <c r="L145" i="13" s="1"/>
  <c r="K145" i="14"/>
  <c r="L145" i="14" s="1"/>
  <c r="K146" i="13"/>
  <c r="L146" i="13" s="1"/>
  <c r="K146" i="14"/>
  <c r="L146" i="14" s="1"/>
  <c r="K147" i="13"/>
  <c r="L147" i="13" s="1"/>
  <c r="K147" i="14"/>
  <c r="L147" i="14" s="1"/>
  <c r="K148" i="13"/>
  <c r="L148" i="13" s="1"/>
  <c r="G17" i="17"/>
  <c r="P113" i="16" s="1"/>
  <c r="F17" i="17"/>
  <c r="M113" i="16" s="1"/>
  <c r="R13" i="8"/>
  <c r="R30" i="8" s="1"/>
  <c r="R14" i="8"/>
  <c r="R31" i="8" s="1"/>
  <c r="R15" i="8"/>
  <c r="R32" i="8" s="1"/>
  <c r="R16" i="8"/>
  <c r="R33" i="8" s="1"/>
  <c r="R12" i="8"/>
  <c r="R3" i="8"/>
  <c r="O12" i="8"/>
  <c r="O29" i="8" s="1"/>
  <c r="O17" i="8"/>
  <c r="O34" i="8" s="1"/>
  <c r="O16" i="8"/>
  <c r="O33" i="8" s="1"/>
  <c r="O15" i="8"/>
  <c r="O32" i="8" s="1"/>
  <c r="O14" i="8"/>
  <c r="O31" i="8" s="1"/>
  <c r="O13" i="8"/>
  <c r="O30" i="8" s="1"/>
  <c r="O3" i="8"/>
  <c r="E17" i="18"/>
  <c r="G133" i="23" s="1"/>
  <c r="H133" i="23" s="1"/>
  <c r="J17" i="18"/>
  <c r="R42" i="16"/>
  <c r="O42" i="16"/>
  <c r="G104" i="15"/>
  <c r="H104" i="15" s="1"/>
  <c r="H113" i="16"/>
  <c r="E16" i="18"/>
  <c r="G16" i="23" s="1"/>
  <c r="H16" i="23" s="1"/>
  <c r="H9" i="14"/>
  <c r="O99" i="14"/>
  <c r="O104" i="14"/>
  <c r="O103" i="14"/>
  <c r="O102" i="14"/>
  <c r="O101" i="14"/>
  <c r="O100" i="14"/>
  <c r="R99" i="14"/>
  <c r="R103" i="14"/>
  <c r="R102" i="14"/>
  <c r="R101" i="14"/>
  <c r="R100" i="14"/>
  <c r="O171" i="14"/>
  <c r="O172" i="14"/>
  <c r="O173" i="14"/>
  <c r="O174" i="14"/>
  <c r="O175" i="14"/>
  <c r="O176" i="14"/>
  <c r="R171" i="14"/>
  <c r="R172" i="14"/>
  <c r="R173" i="14"/>
  <c r="R174" i="14"/>
  <c r="R175" i="14"/>
  <c r="R123" i="14"/>
  <c r="O123" i="14"/>
  <c r="J62" i="3"/>
  <c r="D16" i="9" s="1"/>
  <c r="K17" i="14"/>
  <c r="L17" i="14" s="1"/>
  <c r="J73" i="3"/>
  <c r="D17" i="9" s="1"/>
  <c r="K138" i="14"/>
  <c r="L138" i="14" s="1"/>
  <c r="H17" i="6"/>
  <c r="G17" i="6"/>
  <c r="F17" i="6"/>
  <c r="G128" i="4"/>
  <c r="H128" i="4" s="1"/>
  <c r="E17" i="9"/>
  <c r="J17" i="9"/>
  <c r="R178" i="4" l="1"/>
  <c r="R177" i="4"/>
  <c r="R176" i="4"/>
  <c r="R175" i="4"/>
  <c r="R174" i="4"/>
  <c r="O179" i="4"/>
  <c r="O178" i="4"/>
  <c r="O177" i="4"/>
  <c r="O176" i="4"/>
  <c r="O175" i="4"/>
  <c r="O174" i="4"/>
  <c r="L27" i="23"/>
  <c r="L39" i="23"/>
  <c r="S115" i="23"/>
  <c r="G116" i="23"/>
  <c r="G117" i="23"/>
  <c r="G118" i="23"/>
  <c r="R116" i="23"/>
  <c r="R117" i="23"/>
  <c r="R118" i="23"/>
  <c r="R119" i="23"/>
  <c r="R120" i="23"/>
  <c r="O116" i="23"/>
  <c r="O117" i="23"/>
  <c r="O118" i="23"/>
  <c r="O119" i="23"/>
  <c r="O120" i="23"/>
  <c r="O121" i="23"/>
  <c r="G14" i="23"/>
  <c r="L43" i="23"/>
  <c r="L38" i="23" s="1"/>
  <c r="L144" i="23"/>
  <c r="L8" i="16"/>
  <c r="G34" i="16"/>
  <c r="G35" i="16"/>
  <c r="G36" i="16"/>
  <c r="G37" i="16"/>
  <c r="G33" i="16"/>
  <c r="G38" i="16" s="1"/>
  <c r="G131" i="16"/>
  <c r="H109" i="20"/>
  <c r="L130" i="20"/>
  <c r="H125" i="20"/>
  <c r="L158" i="20"/>
  <c r="H126" i="20"/>
  <c r="L159" i="20"/>
  <c r="H127" i="20"/>
  <c r="L27" i="20"/>
  <c r="H16" i="18"/>
  <c r="G16" i="22"/>
  <c r="H16" i="22" s="1"/>
  <c r="H178" i="14"/>
  <c r="G109" i="13"/>
  <c r="G182" i="13"/>
  <c r="G126" i="13"/>
  <c r="G127" i="13"/>
  <c r="G125" i="13"/>
  <c r="L163" i="13"/>
  <c r="L165" i="13"/>
  <c r="L166" i="13"/>
  <c r="L168" i="13"/>
  <c r="G117" i="22"/>
  <c r="G116" i="22"/>
  <c r="S114" i="22"/>
  <c r="H17" i="18"/>
  <c r="G132" i="22"/>
  <c r="H132" i="22" s="1"/>
  <c r="G81" i="16"/>
  <c r="G78" i="16"/>
  <c r="G79" i="16"/>
  <c r="G80" i="16"/>
  <c r="G77" i="16"/>
  <c r="G82" i="16" s="1"/>
  <c r="S75" i="16"/>
  <c r="O44" i="4"/>
  <c r="O70" i="4"/>
  <c r="O80" i="4" s="1"/>
  <c r="O71" i="4"/>
  <c r="O81" i="4" s="1"/>
  <c r="O72" i="4"/>
  <c r="O82" i="4" s="1"/>
  <c r="O73" i="4"/>
  <c r="O83" i="4" s="1"/>
  <c r="O74" i="4"/>
  <c r="O84" i="4" s="1"/>
  <c r="O69" i="4"/>
  <c r="O79" i="4" s="1"/>
  <c r="O78" i="4" s="1"/>
  <c r="R44" i="4"/>
  <c r="R70" i="4"/>
  <c r="R80" i="4" s="1"/>
  <c r="S80" i="4" s="1"/>
  <c r="R71" i="4"/>
  <c r="R81" i="4" s="1"/>
  <c r="S81" i="4" s="1"/>
  <c r="R72" i="4"/>
  <c r="R82" i="4" s="1"/>
  <c r="S82" i="4" s="1"/>
  <c r="R73" i="4"/>
  <c r="R83" i="4" s="1"/>
  <c r="S83" i="4" s="1"/>
  <c r="R69" i="4"/>
  <c r="R79" i="4" s="1"/>
  <c r="R8" i="4"/>
  <c r="R34" i="4"/>
  <c r="R38" i="4"/>
  <c r="S38" i="4" s="1"/>
  <c r="R37" i="4"/>
  <c r="S37" i="4" s="1"/>
  <c r="R36" i="4"/>
  <c r="S36" i="4" s="1"/>
  <c r="R35" i="4"/>
  <c r="S35" i="4" s="1"/>
  <c r="R118" i="15"/>
  <c r="R119" i="15"/>
  <c r="R120" i="15"/>
  <c r="R121" i="15"/>
  <c r="R117" i="15"/>
  <c r="O8" i="4"/>
  <c r="O35" i="4"/>
  <c r="O36" i="4"/>
  <c r="O37" i="4"/>
  <c r="O38" i="4"/>
  <c r="O39" i="4"/>
  <c r="O34" i="4"/>
  <c r="O33" i="4" s="1"/>
  <c r="O118" i="15"/>
  <c r="O119" i="15"/>
  <c r="O120" i="15"/>
  <c r="O121" i="15"/>
  <c r="O122" i="15"/>
  <c r="O117" i="15"/>
  <c r="O81" i="16"/>
  <c r="O91" i="16" s="1"/>
  <c r="O80" i="16"/>
  <c r="O90" i="16" s="1"/>
  <c r="O79" i="16"/>
  <c r="O89" i="16" s="1"/>
  <c r="O78" i="16"/>
  <c r="O88" i="16" s="1"/>
  <c r="O77" i="16"/>
  <c r="O87" i="16" s="1"/>
  <c r="O76" i="16"/>
  <c r="O86" i="16" s="1"/>
  <c r="O85" i="16" s="1"/>
  <c r="O51" i="16"/>
  <c r="R80" i="16"/>
  <c r="R90" i="16" s="1"/>
  <c r="R79" i="16"/>
  <c r="R89" i="16" s="1"/>
  <c r="R78" i="16"/>
  <c r="R88" i="16" s="1"/>
  <c r="R77" i="16"/>
  <c r="R87" i="16" s="1"/>
  <c r="R76" i="16"/>
  <c r="R86" i="16" s="1"/>
  <c r="R85" i="16" s="1"/>
  <c r="R51" i="16"/>
  <c r="G120" i="15"/>
  <c r="G121" i="15"/>
  <c r="G119" i="15"/>
  <c r="G118" i="15"/>
  <c r="S116" i="15"/>
  <c r="G117" i="15"/>
  <c r="G122" i="15" s="1"/>
  <c r="O76" i="15"/>
  <c r="R76" i="15"/>
  <c r="C190" i="14"/>
  <c r="C28" i="14"/>
  <c r="C17" i="14"/>
  <c r="H124" i="14"/>
  <c r="H126" i="14"/>
  <c r="H125" i="14"/>
  <c r="H127" i="14" s="1"/>
  <c r="L161" i="14"/>
  <c r="L163" i="14"/>
  <c r="L164" i="14"/>
  <c r="L165" i="14"/>
  <c r="D72" i="20"/>
  <c r="D48" i="20" s="1"/>
  <c r="F14" i="17"/>
  <c r="G14" i="17"/>
  <c r="G14" i="6"/>
  <c r="F14" i="6"/>
  <c r="D9" i="13"/>
  <c r="O102" i="20"/>
  <c r="O103" i="20"/>
  <c r="O104" i="20"/>
  <c r="O105" i="20"/>
  <c r="O106" i="20"/>
  <c r="O107" i="20"/>
  <c r="O102" i="13"/>
  <c r="O107" i="13"/>
  <c r="O106" i="13"/>
  <c r="O105" i="13"/>
  <c r="O104" i="13"/>
  <c r="O103" i="13"/>
  <c r="S124" i="20"/>
  <c r="R125" i="20"/>
  <c r="R126" i="20"/>
  <c r="R127" i="20"/>
  <c r="R128" i="20"/>
  <c r="R129" i="20"/>
  <c r="R129" i="13"/>
  <c r="R128" i="13"/>
  <c r="R127" i="13"/>
  <c r="R126" i="13"/>
  <c r="R125" i="13"/>
  <c r="O125" i="20"/>
  <c r="O126" i="20"/>
  <c r="O127" i="20"/>
  <c r="O128" i="20"/>
  <c r="O129" i="20"/>
  <c r="O130" i="20"/>
  <c r="O130" i="13"/>
  <c r="O129" i="13"/>
  <c r="O128" i="13"/>
  <c r="O127" i="13"/>
  <c r="O126" i="13"/>
  <c r="O125" i="13"/>
  <c r="L154" i="20"/>
  <c r="L151" i="20" s="1"/>
  <c r="L149" i="20"/>
  <c r="S124" i="13"/>
  <c r="G138" i="13"/>
  <c r="H138" i="13" s="1"/>
  <c r="G138" i="20"/>
  <c r="H138" i="20" s="1"/>
  <c r="O229" i="13"/>
  <c r="O203" i="13"/>
  <c r="R229" i="13"/>
  <c r="R203" i="13"/>
  <c r="L164" i="13"/>
  <c r="L167" i="13"/>
  <c r="L162" i="13"/>
  <c r="L27" i="13"/>
  <c r="L160" i="14"/>
  <c r="L149" i="13"/>
  <c r="R29" i="8"/>
  <c r="R17" i="8"/>
  <c r="G17" i="18"/>
  <c r="F17" i="18"/>
  <c r="G16" i="18"/>
  <c r="F16" i="18"/>
  <c r="O28" i="8"/>
  <c r="I104" i="15"/>
  <c r="L104" i="15" s="1"/>
  <c r="L113" i="16"/>
  <c r="P104" i="15"/>
  <c r="R104" i="15" s="1"/>
  <c r="R113" i="16"/>
  <c r="M104" i="15"/>
  <c r="O104" i="15" s="1"/>
  <c r="O113" i="16"/>
  <c r="R9" i="14"/>
  <c r="O9" i="14"/>
  <c r="L9" i="14"/>
  <c r="O105" i="14"/>
  <c r="R105" i="14"/>
  <c r="R105" i="15"/>
  <c r="R106" i="15"/>
  <c r="R107" i="15"/>
  <c r="R108" i="15"/>
  <c r="R109" i="15"/>
  <c r="O105" i="15"/>
  <c r="O106" i="15"/>
  <c r="O107" i="15"/>
  <c r="O108" i="15"/>
  <c r="O109" i="15"/>
  <c r="O110" i="15"/>
  <c r="R124" i="14"/>
  <c r="R125" i="14"/>
  <c r="R126" i="14"/>
  <c r="R127" i="14"/>
  <c r="R128" i="14"/>
  <c r="O124" i="14"/>
  <c r="O125" i="14"/>
  <c r="O126" i="14"/>
  <c r="O127" i="14"/>
  <c r="O128" i="14"/>
  <c r="O129" i="14"/>
  <c r="S123" i="14"/>
  <c r="E16" i="9"/>
  <c r="G16" i="20" s="1"/>
  <c r="H16" i="20" s="1"/>
  <c r="L148" i="14"/>
  <c r="L122" i="14"/>
  <c r="L162" i="14"/>
  <c r="L167" i="14" s="1"/>
  <c r="G137" i="14"/>
  <c r="H137" i="14" s="1"/>
  <c r="H17" i="9"/>
  <c r="I128" i="4"/>
  <c r="L128" i="4" s="1"/>
  <c r="P128" i="4"/>
  <c r="M128" i="4"/>
  <c r="F17" i="9"/>
  <c r="M138" i="20" s="1"/>
  <c r="G17" i="9"/>
  <c r="P138" i="20" s="1"/>
  <c r="D8" i="13" l="1"/>
  <c r="I16" i="22"/>
  <c r="I16" i="23"/>
  <c r="L16" i="23" s="1"/>
  <c r="L8" i="23" s="1"/>
  <c r="I132" i="22"/>
  <c r="I133" i="23"/>
  <c r="L133" i="23" s="1"/>
  <c r="P132" i="22"/>
  <c r="R132" i="22" s="1"/>
  <c r="P133" i="23"/>
  <c r="R133" i="23" s="1"/>
  <c r="M132" i="22"/>
  <c r="O132" i="22" s="1"/>
  <c r="M133" i="23"/>
  <c r="O133" i="23" s="1"/>
  <c r="P16" i="22"/>
  <c r="P16" i="23"/>
  <c r="M16" i="22"/>
  <c r="M16" i="23"/>
  <c r="G106" i="15"/>
  <c r="G107" i="15"/>
  <c r="G108" i="15"/>
  <c r="G109" i="15"/>
  <c r="G110" i="15"/>
  <c r="G105" i="15"/>
  <c r="G111" i="15" s="1"/>
  <c r="G114" i="16"/>
  <c r="G118" i="16"/>
  <c r="G120" i="16" s="1"/>
  <c r="G119" i="16"/>
  <c r="G116" i="16"/>
  <c r="G115" i="16"/>
  <c r="G117" i="16"/>
  <c r="I138" i="20"/>
  <c r="L138" i="20" s="1"/>
  <c r="I137" i="14"/>
  <c r="L120" i="4"/>
  <c r="H135" i="4"/>
  <c r="H136" i="4" s="1"/>
  <c r="H130" i="4"/>
  <c r="H131" i="4"/>
  <c r="H132" i="4"/>
  <c r="H133" i="4"/>
  <c r="H134" i="4"/>
  <c r="H129" i="4"/>
  <c r="H137" i="4" s="1"/>
  <c r="H128" i="20"/>
  <c r="H139" i="20"/>
  <c r="H144" i="20"/>
  <c r="H140" i="20"/>
  <c r="H142" i="20"/>
  <c r="H143" i="20"/>
  <c r="L123" i="20"/>
  <c r="H141" i="20"/>
  <c r="R16" i="22"/>
  <c r="R8" i="22" s="1"/>
  <c r="O16" i="22"/>
  <c r="O8" i="22" s="1"/>
  <c r="L16" i="22"/>
  <c r="H128" i="14"/>
  <c r="L132" i="22"/>
  <c r="G133" i="22" s="1"/>
  <c r="R133" i="22"/>
  <c r="R134" i="22"/>
  <c r="R135" i="22"/>
  <c r="R136" i="22"/>
  <c r="R137" i="22"/>
  <c r="O133" i="22"/>
  <c r="O134" i="22"/>
  <c r="O135" i="22"/>
  <c r="O136" i="22"/>
  <c r="O137" i="22"/>
  <c r="O138" i="22"/>
  <c r="S79" i="4"/>
  <c r="S78" i="4" s="1"/>
  <c r="T78" i="4" s="1"/>
  <c r="R78" i="4"/>
  <c r="R33" i="4"/>
  <c r="T35" i="4" s="1"/>
  <c r="S34" i="4"/>
  <c r="S32" i="4" s="1"/>
  <c r="R33" i="15"/>
  <c r="O33" i="15"/>
  <c r="F72" i="20"/>
  <c r="C72" i="20" s="1"/>
  <c r="C48" i="20" s="1"/>
  <c r="C50" i="20" s="1"/>
  <c r="R28" i="8"/>
  <c r="M37" i="8" s="1"/>
  <c r="N37" i="8" s="1"/>
  <c r="F9" i="13"/>
  <c r="F9" i="20"/>
  <c r="F8" i="20" s="1"/>
  <c r="O138" i="20"/>
  <c r="O123" i="20" s="1"/>
  <c r="R138" i="20"/>
  <c r="R123" i="20" s="1"/>
  <c r="R128" i="4"/>
  <c r="R120" i="4" s="1"/>
  <c r="O128" i="4"/>
  <c r="O120" i="4" s="1"/>
  <c r="G16" i="13"/>
  <c r="H16" i="13" s="1"/>
  <c r="H16" i="9"/>
  <c r="I16" i="20" s="1"/>
  <c r="L16" i="20" s="1"/>
  <c r="L137" i="14"/>
  <c r="H139" i="14" s="1"/>
  <c r="I138" i="13"/>
  <c r="L138" i="13" s="1"/>
  <c r="M137" i="14"/>
  <c r="O137" i="14" s="1"/>
  <c r="M138" i="13"/>
  <c r="P137" i="14"/>
  <c r="R137" i="14" s="1"/>
  <c r="P138" i="13"/>
  <c r="R114" i="16"/>
  <c r="R115" i="16"/>
  <c r="R116" i="16"/>
  <c r="R117" i="16"/>
  <c r="R118" i="16"/>
  <c r="O114" i="16"/>
  <c r="O115" i="16"/>
  <c r="O116" i="16"/>
  <c r="O117" i="16"/>
  <c r="O118" i="16"/>
  <c r="O119" i="16"/>
  <c r="R10" i="14"/>
  <c r="R11" i="14"/>
  <c r="R12" i="14"/>
  <c r="R13" i="14"/>
  <c r="R14" i="14"/>
  <c r="O10" i="14"/>
  <c r="O11" i="14"/>
  <c r="O12" i="14"/>
  <c r="O13" i="14"/>
  <c r="O14" i="14"/>
  <c r="O15" i="14"/>
  <c r="S9" i="14"/>
  <c r="L10" i="14"/>
  <c r="G16" i="14"/>
  <c r="H16" i="14" s="1"/>
  <c r="G16" i="9"/>
  <c r="P16" i="20" s="1"/>
  <c r="R16" i="20" s="1"/>
  <c r="F16" i="9"/>
  <c r="M16" i="20" s="1"/>
  <c r="O16" i="20" s="1"/>
  <c r="O143" i="14"/>
  <c r="O165" i="14" s="1"/>
  <c r="O142" i="14"/>
  <c r="O164" i="14" s="1"/>
  <c r="O141" i="14"/>
  <c r="O163" i="14" s="1"/>
  <c r="O140" i="14"/>
  <c r="O162" i="14" s="1"/>
  <c r="O139" i="14"/>
  <c r="O161" i="14" s="1"/>
  <c r="O138" i="14"/>
  <c r="S137" i="14"/>
  <c r="R142" i="14"/>
  <c r="R164" i="14" s="1"/>
  <c r="R141" i="14"/>
  <c r="R163" i="14" s="1"/>
  <c r="R140" i="14"/>
  <c r="R162" i="14" s="1"/>
  <c r="R139" i="14"/>
  <c r="R161" i="14" s="1"/>
  <c r="R138" i="14"/>
  <c r="R130" i="4"/>
  <c r="R144" i="4" s="1"/>
  <c r="R131" i="4"/>
  <c r="R145" i="4" s="1"/>
  <c r="R132" i="4"/>
  <c r="R146" i="4" s="1"/>
  <c r="R133" i="4"/>
  <c r="R147" i="4" s="1"/>
  <c r="R129" i="4"/>
  <c r="R143" i="4" s="1"/>
  <c r="R142" i="4" s="1"/>
  <c r="O130" i="4"/>
  <c r="O144" i="4" s="1"/>
  <c r="O131" i="4"/>
  <c r="O145" i="4" s="1"/>
  <c r="O132" i="4"/>
  <c r="O146" i="4" s="1"/>
  <c r="O133" i="4"/>
  <c r="O147" i="4" s="1"/>
  <c r="O134" i="4"/>
  <c r="O148" i="4" s="1"/>
  <c r="O129" i="4"/>
  <c r="O143" i="4" s="1"/>
  <c r="O142" i="4" s="1"/>
  <c r="C9" i="13" l="1"/>
  <c r="C8" i="13" s="1"/>
  <c r="F8" i="13"/>
  <c r="R16" i="23"/>
  <c r="G17" i="23"/>
  <c r="G18" i="23"/>
  <c r="G19" i="23"/>
  <c r="G20" i="23"/>
  <c r="G21" i="23"/>
  <c r="G22" i="23"/>
  <c r="G23" i="23" s="1"/>
  <c r="G134" i="23"/>
  <c r="G135" i="23"/>
  <c r="G136" i="23"/>
  <c r="G137" i="23"/>
  <c r="G138" i="23"/>
  <c r="G140" i="23" s="1"/>
  <c r="G139" i="23"/>
  <c r="R134" i="23"/>
  <c r="R135" i="23"/>
  <c r="R136" i="23"/>
  <c r="R137" i="23"/>
  <c r="R138" i="23"/>
  <c r="O134" i="23"/>
  <c r="O135" i="23"/>
  <c r="O136" i="23"/>
  <c r="O137" i="23"/>
  <c r="O138" i="23"/>
  <c r="O139" i="23"/>
  <c r="R8" i="23"/>
  <c r="R17" i="23"/>
  <c r="R39" i="23" s="1"/>
  <c r="R18" i="23"/>
  <c r="R40" i="23" s="1"/>
  <c r="R19" i="23"/>
  <c r="R41" i="23" s="1"/>
  <c r="R20" i="23"/>
  <c r="R42" i="23" s="1"/>
  <c r="R21" i="23"/>
  <c r="R43" i="23" s="1"/>
  <c r="O16" i="23"/>
  <c r="G17" i="22"/>
  <c r="L8" i="22"/>
  <c r="S16" i="22"/>
  <c r="G121" i="16"/>
  <c r="H145" i="20"/>
  <c r="C9" i="20"/>
  <c r="L10" i="20"/>
  <c r="H17" i="20"/>
  <c r="H22" i="20"/>
  <c r="H18" i="20"/>
  <c r="H20" i="20"/>
  <c r="H21" i="20"/>
  <c r="H19" i="20"/>
  <c r="R17" i="22"/>
  <c r="R18" i="22"/>
  <c r="R19" i="22"/>
  <c r="R20" i="22"/>
  <c r="R21" i="22"/>
  <c r="O17" i="22"/>
  <c r="O18" i="22"/>
  <c r="O19" i="22"/>
  <c r="O20" i="22"/>
  <c r="O21" i="22"/>
  <c r="O22" i="22"/>
  <c r="G18" i="22"/>
  <c r="G19" i="22"/>
  <c r="G20" i="22"/>
  <c r="G21" i="22"/>
  <c r="G22" i="22"/>
  <c r="G23" i="22" s="1"/>
  <c r="G140" i="13"/>
  <c r="G143" i="13"/>
  <c r="G139" i="13"/>
  <c r="G141" i="13"/>
  <c r="G142" i="13"/>
  <c r="G144" i="13"/>
  <c r="G145" i="13" s="1"/>
  <c r="G138" i="22"/>
  <c r="G137" i="22"/>
  <c r="G139" i="22" s="1"/>
  <c r="G136" i="22"/>
  <c r="G135" i="22"/>
  <c r="G134" i="22"/>
  <c r="G140" i="22"/>
  <c r="H138" i="14"/>
  <c r="H140" i="14"/>
  <c r="H141" i="14"/>
  <c r="H142" i="14"/>
  <c r="H143" i="14"/>
  <c r="H144" i="14" s="1"/>
  <c r="C10" i="13"/>
  <c r="H72" i="20"/>
  <c r="L73" i="20"/>
  <c r="L78" i="20"/>
  <c r="L76" i="20"/>
  <c r="L77" i="20"/>
  <c r="L74" i="20"/>
  <c r="L79" i="20"/>
  <c r="L75" i="20"/>
  <c r="L80" i="20"/>
  <c r="F48" i="20"/>
  <c r="H9" i="13"/>
  <c r="H8" i="13" s="1"/>
  <c r="L11" i="13"/>
  <c r="L44" i="13" s="1"/>
  <c r="L12" i="13"/>
  <c r="L45" i="13" s="1"/>
  <c r="L10" i="13"/>
  <c r="L39" i="13" s="1"/>
  <c r="L46" i="13" s="1"/>
  <c r="H9" i="20"/>
  <c r="H8" i="20" s="1"/>
  <c r="L11" i="20"/>
  <c r="L12" i="20"/>
  <c r="O139" i="20"/>
  <c r="O152" i="20" s="1"/>
  <c r="O140" i="20"/>
  <c r="O153" i="20" s="1"/>
  <c r="O141" i="20"/>
  <c r="O154" i="20" s="1"/>
  <c r="O142" i="20"/>
  <c r="O155" i="20" s="1"/>
  <c r="O143" i="20"/>
  <c r="O156" i="20" s="1"/>
  <c r="O144" i="20"/>
  <c r="O157" i="20" s="1"/>
  <c r="R139" i="20"/>
  <c r="R152" i="20" s="1"/>
  <c r="R140" i="20"/>
  <c r="R153" i="20" s="1"/>
  <c r="R141" i="20"/>
  <c r="R154" i="20" s="1"/>
  <c r="R142" i="20"/>
  <c r="R155" i="20" s="1"/>
  <c r="R143" i="20"/>
  <c r="R156" i="20" s="1"/>
  <c r="R17" i="20"/>
  <c r="R18" i="20"/>
  <c r="R19" i="20"/>
  <c r="R20" i="20"/>
  <c r="R21" i="20"/>
  <c r="O17" i="20"/>
  <c r="O18" i="20"/>
  <c r="O19" i="20"/>
  <c r="O20" i="20"/>
  <c r="O21" i="20"/>
  <c r="O22" i="20"/>
  <c r="S16" i="20"/>
  <c r="O138" i="13"/>
  <c r="R138" i="13"/>
  <c r="I16" i="14"/>
  <c r="L16" i="14" s="1"/>
  <c r="L8" i="14" s="1"/>
  <c r="I16" i="13"/>
  <c r="L16" i="13" s="1"/>
  <c r="G22" i="13" s="1"/>
  <c r="G24" i="13" s="1"/>
  <c r="P16" i="14"/>
  <c r="R16" i="14" s="1"/>
  <c r="R8" i="14" s="1"/>
  <c r="P16" i="13"/>
  <c r="M16" i="14"/>
  <c r="O16" i="14" s="1"/>
  <c r="O8" i="14" s="1"/>
  <c r="M16" i="13"/>
  <c r="S16" i="14"/>
  <c r="R17" i="14"/>
  <c r="R37" i="14" s="1"/>
  <c r="R21" i="14"/>
  <c r="R41" i="14" s="1"/>
  <c r="R20" i="14"/>
  <c r="R40" i="14" s="1"/>
  <c r="R19" i="14"/>
  <c r="R39" i="14" s="1"/>
  <c r="R18" i="14"/>
  <c r="R38" i="14" s="1"/>
  <c r="O17" i="14"/>
  <c r="O37" i="14" s="1"/>
  <c r="O22" i="14"/>
  <c r="O42" i="14" s="1"/>
  <c r="O21" i="14"/>
  <c r="O41" i="14" s="1"/>
  <c r="O20" i="14"/>
  <c r="O40" i="14" s="1"/>
  <c r="O19" i="14"/>
  <c r="O39" i="14" s="1"/>
  <c r="O18" i="14"/>
  <c r="O38" i="14" s="1"/>
  <c r="O122" i="14"/>
  <c r="O160" i="14"/>
  <c r="O167" i="14" s="1"/>
  <c r="R122" i="14"/>
  <c r="R160" i="14"/>
  <c r="R167" i="14" s="1"/>
  <c r="S16" i="23" l="1"/>
  <c r="O8" i="23"/>
  <c r="R38" i="23"/>
  <c r="S138" i="13"/>
  <c r="O17" i="23"/>
  <c r="O39" i="23" s="1"/>
  <c r="O18" i="23"/>
  <c r="O40" i="23" s="1"/>
  <c r="O19" i="23"/>
  <c r="O41" i="23" s="1"/>
  <c r="O20" i="23"/>
  <c r="O42" i="23" s="1"/>
  <c r="O21" i="23"/>
  <c r="O43" i="23" s="1"/>
  <c r="O22" i="23"/>
  <c r="O44" i="23" s="1"/>
  <c r="G24" i="23"/>
  <c r="G141" i="23"/>
  <c r="R27" i="23"/>
  <c r="H23" i="20"/>
  <c r="L84" i="20"/>
  <c r="L85" i="20"/>
  <c r="L86" i="20"/>
  <c r="L87" i="20"/>
  <c r="G24" i="22"/>
  <c r="G146" i="13"/>
  <c r="H145" i="14"/>
  <c r="H20" i="14"/>
  <c r="H21" i="14"/>
  <c r="H18" i="14"/>
  <c r="H19" i="14"/>
  <c r="H22" i="14"/>
  <c r="H23" i="14" s="1"/>
  <c r="H17" i="14"/>
  <c r="H24" i="14" s="1"/>
  <c r="B8" i="13"/>
  <c r="C17" i="13"/>
  <c r="C194" i="13"/>
  <c r="C29" i="13"/>
  <c r="G23" i="13"/>
  <c r="G20" i="13"/>
  <c r="G17" i="13"/>
  <c r="G21" i="13"/>
  <c r="G18" i="13"/>
  <c r="G19" i="13"/>
  <c r="R72" i="20"/>
  <c r="O72" i="20"/>
  <c r="L72" i="20"/>
  <c r="L83" i="20"/>
  <c r="L82" i="20" s="1"/>
  <c r="R9" i="13"/>
  <c r="R8" i="13" s="1"/>
  <c r="O9" i="13"/>
  <c r="O8" i="13" s="1"/>
  <c r="L9" i="13"/>
  <c r="L8" i="13" s="1"/>
  <c r="L15" i="13"/>
  <c r="L9" i="20"/>
  <c r="L8" i="20" s="1"/>
  <c r="R9" i="20"/>
  <c r="R8" i="20" s="1"/>
  <c r="O9" i="20"/>
  <c r="O8" i="20" s="1"/>
  <c r="L15" i="20"/>
  <c r="O151" i="20"/>
  <c r="R151" i="20"/>
  <c r="O144" i="13"/>
  <c r="O143" i="13"/>
  <c r="O142" i="13"/>
  <c r="O141" i="13"/>
  <c r="O140" i="13"/>
  <c r="O139" i="13"/>
  <c r="R143" i="13"/>
  <c r="R142" i="13"/>
  <c r="R141" i="13"/>
  <c r="R140" i="13"/>
  <c r="R139" i="13"/>
  <c r="R16" i="13"/>
  <c r="O16" i="13"/>
  <c r="S16" i="13"/>
  <c r="R17" i="13"/>
  <c r="R21" i="13"/>
  <c r="R20" i="13"/>
  <c r="R19" i="13"/>
  <c r="R18" i="13"/>
  <c r="O17" i="13"/>
  <c r="O22" i="13"/>
  <c r="O21" i="13"/>
  <c r="O20" i="13"/>
  <c r="O19" i="13"/>
  <c r="O18" i="13"/>
  <c r="R36" i="14"/>
  <c r="O36" i="14"/>
  <c r="O38" i="23" l="1"/>
  <c r="G76" i="20"/>
  <c r="G77" i="20"/>
  <c r="G74" i="20"/>
  <c r="G73" i="20"/>
  <c r="G78" i="20"/>
  <c r="G75" i="20"/>
  <c r="H11" i="20"/>
  <c r="H12" i="20"/>
  <c r="H10" i="20"/>
  <c r="G25" i="13"/>
  <c r="G11" i="13"/>
  <c r="G13" i="13" s="1"/>
  <c r="G12" i="13"/>
  <c r="G10" i="13"/>
  <c r="G14" i="13" s="1"/>
  <c r="R77" i="20"/>
  <c r="R87" i="20" s="1"/>
  <c r="R76" i="20"/>
  <c r="R86" i="20" s="1"/>
  <c r="R75" i="20"/>
  <c r="R85" i="20" s="1"/>
  <c r="R74" i="20"/>
  <c r="R84" i="20" s="1"/>
  <c r="R73" i="20"/>
  <c r="R83" i="20" s="1"/>
  <c r="R82" i="20" s="1"/>
  <c r="R48" i="20"/>
  <c r="O78" i="20"/>
  <c r="O88" i="20" s="1"/>
  <c r="O77" i="20"/>
  <c r="O87" i="20" s="1"/>
  <c r="O76" i="20"/>
  <c r="O86" i="20" s="1"/>
  <c r="O75" i="20"/>
  <c r="O85" i="20" s="1"/>
  <c r="O74" i="20"/>
  <c r="O84" i="20" s="1"/>
  <c r="O73" i="20"/>
  <c r="O83" i="20" s="1"/>
  <c r="O82" i="20" s="1"/>
  <c r="O48" i="20"/>
  <c r="S72" i="20"/>
  <c r="L48" i="20"/>
  <c r="R10" i="13"/>
  <c r="R39" i="13" s="1"/>
  <c r="R11" i="13"/>
  <c r="R40" i="13" s="1"/>
  <c r="R12" i="13"/>
  <c r="R41" i="13" s="1"/>
  <c r="R13" i="13"/>
  <c r="R42" i="13" s="1"/>
  <c r="R14" i="13"/>
  <c r="R43" i="13" s="1"/>
  <c r="O11" i="13"/>
  <c r="O40" i="13" s="1"/>
  <c r="O12" i="13"/>
  <c r="O41" i="13" s="1"/>
  <c r="O13" i="13"/>
  <c r="O42" i="13" s="1"/>
  <c r="O14" i="13"/>
  <c r="O43" i="13" s="1"/>
  <c r="O15" i="13"/>
  <c r="O44" i="13" s="1"/>
  <c r="O10" i="13"/>
  <c r="O39" i="13" s="1"/>
  <c r="S9" i="13"/>
  <c r="S9" i="20"/>
  <c r="R14" i="20"/>
  <c r="R13" i="20"/>
  <c r="R12" i="20"/>
  <c r="R11" i="20"/>
  <c r="R10" i="20"/>
  <c r="O15" i="20"/>
  <c r="O14" i="20"/>
  <c r="O13" i="20"/>
  <c r="O12" i="20"/>
  <c r="O11" i="20"/>
  <c r="O10" i="20"/>
  <c r="G91" i="8"/>
  <c r="G79" i="20" l="1"/>
  <c r="H91" i="8"/>
  <c r="H83" i="8" s="1"/>
  <c r="L91" i="8"/>
  <c r="L83" i="8" s="1"/>
  <c r="L92" i="8"/>
  <c r="L94" i="8"/>
  <c r="L93" i="8"/>
  <c r="L109" i="8" s="1"/>
  <c r="O91" i="8"/>
  <c r="O83" i="8" s="1"/>
  <c r="R91" i="8"/>
  <c r="R83" i="8" s="1"/>
  <c r="L106" i="8" l="1"/>
  <c r="L111" i="8"/>
  <c r="L95" i="8"/>
  <c r="O93" i="8"/>
  <c r="O107" i="8" s="1"/>
  <c r="O94" i="8"/>
  <c r="O108" i="8" s="1"/>
  <c r="O95" i="8"/>
  <c r="O109" i="8" s="1"/>
  <c r="O96" i="8"/>
  <c r="O110" i="8" s="1"/>
  <c r="O92" i="8"/>
  <c r="O106" i="8" s="1"/>
  <c r="R93" i="8"/>
  <c r="R107" i="8" s="1"/>
  <c r="R94" i="8"/>
  <c r="R108" i="8" s="1"/>
  <c r="R95" i="8"/>
  <c r="R109" i="8" s="1"/>
  <c r="R96" i="8"/>
  <c r="R110" i="8" s="1"/>
  <c r="R97" i="8"/>
  <c r="R111" i="8" s="1"/>
  <c r="R92" i="8"/>
  <c r="R106" i="8" s="1"/>
  <c r="O105" i="8" l="1"/>
  <c r="R105" i="8"/>
  <c r="H12" i="9" l="1"/>
  <c r="I181" i="14" l="1"/>
  <c r="I175" i="20"/>
  <c r="L175" i="20" s="1"/>
  <c r="L163" i="20" s="1"/>
  <c r="I185" i="13"/>
  <c r="L185" i="13" s="1"/>
  <c r="L173" i="13" s="1"/>
  <c r="L181" i="14"/>
  <c r="L182" i="14" s="1"/>
  <c r="L205" i="14" s="1"/>
  <c r="S181" i="14"/>
  <c r="L176" i="20" l="1"/>
  <c r="L186" i="13"/>
  <c r="D131" i="13" l="1"/>
  <c r="F131" i="13"/>
  <c r="C131" i="13"/>
  <c r="C123" i="13" s="1"/>
  <c r="B123" i="13" s="1"/>
  <c r="D283" i="13"/>
  <c r="D282" i="13" s="1"/>
  <c r="D237" i="13" s="1"/>
  <c r="F283" i="13"/>
  <c r="C283" i="13"/>
  <c r="B282" i="13"/>
  <c r="D123" i="13"/>
  <c r="H283" i="13"/>
  <c r="L283" i="13"/>
  <c r="R283" i="13"/>
  <c r="O283" i="13"/>
  <c r="S283" i="13"/>
  <c r="D6" i="13" l="1"/>
  <c r="L286" i="13"/>
  <c r="L285" i="13"/>
  <c r="L284" i="13"/>
  <c r="L287" i="13" s="1"/>
  <c r="F123" i="13"/>
  <c r="H131" i="13"/>
  <c r="H123" i="13" l="1"/>
  <c r="O131" i="13"/>
  <c r="R131" i="13"/>
  <c r="L131" i="13"/>
  <c r="D91" i="20"/>
  <c r="D90" i="20" s="1"/>
  <c r="D6" i="20" s="1"/>
  <c r="O123" i="13" l="1"/>
  <c r="O133" i="13"/>
  <c r="O163" i="13" s="1"/>
  <c r="O134" i="13"/>
  <c r="O164" i="13" s="1"/>
  <c r="O135" i="13"/>
  <c r="O165" i="13" s="1"/>
  <c r="O136" i="13"/>
  <c r="O166" i="13" s="1"/>
  <c r="O137" i="13"/>
  <c r="O167" i="13" s="1"/>
  <c r="O132" i="13"/>
  <c r="O162" i="13" s="1"/>
  <c r="O161" i="13" s="1"/>
  <c r="R123" i="13"/>
  <c r="R133" i="13"/>
  <c r="R163" i="13" s="1"/>
  <c r="R134" i="13"/>
  <c r="R164" i="13" s="1"/>
  <c r="R135" i="13"/>
  <c r="R165" i="13" s="1"/>
  <c r="R136" i="13"/>
  <c r="R166" i="13" s="1"/>
  <c r="R132" i="13"/>
  <c r="R162" i="13" s="1"/>
  <c r="R161" i="13" s="1"/>
  <c r="L123" i="13"/>
  <c r="L132" i="13"/>
  <c r="L170" i="13" s="1"/>
  <c r="L161" i="13" s="1"/>
  <c r="S131" i="13"/>
  <c r="F91" i="20"/>
  <c r="C91" i="20" l="1"/>
  <c r="C90" i="20" s="1"/>
  <c r="L100" i="20"/>
  <c r="D31" i="10" l="1"/>
  <c r="E31" i="10" s="1"/>
  <c r="C31" i="3"/>
  <c r="D31" i="3" s="1"/>
  <c r="C32" i="3"/>
  <c r="D32" i="3" s="1"/>
  <c r="D34" i="10"/>
  <c r="E34" i="10" s="1"/>
  <c r="L120" i="20"/>
  <c r="D262" i="20"/>
  <c r="F262" i="20" s="1"/>
  <c r="H262" i="20" l="1"/>
  <c r="C262" i="20"/>
  <c r="P31" i="3"/>
  <c r="N31" i="3"/>
  <c r="L31" i="3"/>
  <c r="K101" i="16" s="1"/>
  <c r="L101" i="16" s="1"/>
  <c r="G31" i="3"/>
  <c r="J31" i="3"/>
  <c r="P32" i="3"/>
  <c r="N32" i="3"/>
  <c r="L32" i="3"/>
  <c r="K102" i="16" s="1"/>
  <c r="L102" i="16" s="1"/>
  <c r="J32" i="3"/>
  <c r="G32" i="3"/>
  <c r="D25" i="10"/>
  <c r="E25" i="10" s="1"/>
  <c r="C25" i="3"/>
  <c r="D25" i="3" s="1"/>
  <c r="D28" i="10"/>
  <c r="E28" i="10" s="1"/>
  <c r="C28" i="3"/>
  <c r="D28" i="3" s="1"/>
  <c r="D29" i="10"/>
  <c r="E29" i="10" s="1"/>
  <c r="C29" i="3"/>
  <c r="D29" i="3" s="1"/>
  <c r="D27" i="10"/>
  <c r="E27" i="10" s="1"/>
  <c r="C27" i="3"/>
  <c r="D27" i="3" s="1"/>
  <c r="D26" i="10"/>
  <c r="E26" i="10" s="1"/>
  <c r="C26" i="3"/>
  <c r="D26" i="3" s="1"/>
  <c r="D30" i="10"/>
  <c r="E30" i="10" s="1"/>
  <c r="C30" i="3"/>
  <c r="D30" i="3" s="1"/>
  <c r="K98" i="23" l="1"/>
  <c r="L98" i="23" s="1"/>
  <c r="K97" i="22"/>
  <c r="L97" i="22" s="1"/>
  <c r="K92" i="15"/>
  <c r="L92" i="15" s="1"/>
  <c r="K72" i="8"/>
  <c r="L72" i="8" s="1"/>
  <c r="K94" i="4"/>
  <c r="L94" i="4" s="1"/>
  <c r="K98" i="13"/>
  <c r="L98" i="13" s="1"/>
  <c r="K98" i="20"/>
  <c r="L98" i="20" s="1"/>
  <c r="K95" i="14"/>
  <c r="L95" i="14" s="1"/>
  <c r="K99" i="23"/>
  <c r="L99" i="23" s="1"/>
  <c r="K98" i="22"/>
  <c r="L98" i="22" s="1"/>
  <c r="K99" i="13"/>
  <c r="L99" i="13" s="1"/>
  <c r="K99" i="20"/>
  <c r="L99" i="20" s="1"/>
  <c r="K96" i="14"/>
  <c r="L96" i="14" s="1"/>
  <c r="K93" i="15"/>
  <c r="L93" i="15" s="1"/>
  <c r="K95" i="4"/>
  <c r="L95" i="4" s="1"/>
  <c r="K73" i="8"/>
  <c r="L73" i="8" s="1"/>
  <c r="P25" i="3"/>
  <c r="N25" i="3"/>
  <c r="L25" i="3"/>
  <c r="J25" i="3"/>
  <c r="G25" i="3"/>
  <c r="P28" i="3"/>
  <c r="N28" i="3"/>
  <c r="L28" i="3"/>
  <c r="K98" i="16" s="1"/>
  <c r="L98" i="16" s="1"/>
  <c r="G28" i="3"/>
  <c r="J28" i="3"/>
  <c r="P29" i="3"/>
  <c r="N29" i="3"/>
  <c r="L29" i="3"/>
  <c r="K99" i="16" s="1"/>
  <c r="L99" i="16" s="1"/>
  <c r="G29" i="3"/>
  <c r="J29" i="3"/>
  <c r="P27" i="3"/>
  <c r="N27" i="3"/>
  <c r="L27" i="3"/>
  <c r="K97" i="16" s="1"/>
  <c r="L97" i="16" s="1"/>
  <c r="G27" i="3"/>
  <c r="J27" i="3"/>
  <c r="P26" i="3"/>
  <c r="N26" i="3"/>
  <c r="L26" i="3"/>
  <c r="K96" i="16" s="1"/>
  <c r="L96" i="16" s="1"/>
  <c r="G26" i="3"/>
  <c r="J26" i="3"/>
  <c r="P30" i="3"/>
  <c r="N30" i="3"/>
  <c r="L30" i="3"/>
  <c r="K100" i="16" s="1"/>
  <c r="L100" i="16" s="1"/>
  <c r="G30" i="3"/>
  <c r="J30" i="3"/>
  <c r="L43" i="22"/>
  <c r="L114" i="4" l="1"/>
  <c r="L118" i="13"/>
  <c r="L118" i="20"/>
  <c r="L113" i="14"/>
  <c r="N24" i="3"/>
  <c r="K92" i="23"/>
  <c r="L92" i="23" s="1"/>
  <c r="K91" i="22"/>
  <c r="L91" i="22" s="1"/>
  <c r="K95" i="16"/>
  <c r="L95" i="16" s="1"/>
  <c r="L24" i="3"/>
  <c r="J24" i="3"/>
  <c r="K89" i="14"/>
  <c r="L89" i="14" s="1"/>
  <c r="K92" i="13"/>
  <c r="L92" i="13" s="1"/>
  <c r="K92" i="20"/>
  <c r="L92" i="20" s="1"/>
  <c r="K86" i="15"/>
  <c r="L86" i="15" s="1"/>
  <c r="G24" i="3"/>
  <c r="K88" i="4"/>
  <c r="L88" i="4" s="1"/>
  <c r="K66" i="8"/>
  <c r="L66" i="8" s="1"/>
  <c r="K95" i="23"/>
  <c r="L95" i="23" s="1"/>
  <c r="K94" i="22"/>
  <c r="L94" i="22" s="1"/>
  <c r="K89" i="15"/>
  <c r="L89" i="15" s="1"/>
  <c r="K69" i="8"/>
  <c r="L69" i="8" s="1"/>
  <c r="L79" i="8" s="1"/>
  <c r="K91" i="4"/>
  <c r="L91" i="4" s="1"/>
  <c r="K95" i="13"/>
  <c r="L95" i="13" s="1"/>
  <c r="K95" i="20"/>
  <c r="L95" i="20" s="1"/>
  <c r="K92" i="14"/>
  <c r="L92" i="14" s="1"/>
  <c r="K96" i="23"/>
  <c r="L96" i="23" s="1"/>
  <c r="K95" i="22"/>
  <c r="L95" i="22" s="1"/>
  <c r="K90" i="15"/>
  <c r="L90" i="15" s="1"/>
  <c r="K70" i="8"/>
  <c r="L70" i="8" s="1"/>
  <c r="K92" i="4"/>
  <c r="L92" i="4" s="1"/>
  <c r="K96" i="13"/>
  <c r="L96" i="13" s="1"/>
  <c r="K96" i="20"/>
  <c r="L96" i="20" s="1"/>
  <c r="K93" i="14"/>
  <c r="L93" i="14" s="1"/>
  <c r="K94" i="23"/>
  <c r="L94" i="23" s="1"/>
  <c r="K93" i="22"/>
  <c r="L93" i="22" s="1"/>
  <c r="K88" i="15"/>
  <c r="L88" i="15" s="1"/>
  <c r="K68" i="8"/>
  <c r="L68" i="8" s="1"/>
  <c r="K90" i="4"/>
  <c r="L90" i="4" s="1"/>
  <c r="K94" i="13"/>
  <c r="L94" i="13" s="1"/>
  <c r="K94" i="20"/>
  <c r="L94" i="20" s="1"/>
  <c r="K91" i="14"/>
  <c r="L91" i="14" s="1"/>
  <c r="K93" i="23"/>
  <c r="L93" i="23" s="1"/>
  <c r="K92" i="22"/>
  <c r="L92" i="22" s="1"/>
  <c r="K87" i="15"/>
  <c r="L87" i="15" s="1"/>
  <c r="K67" i="8"/>
  <c r="L67" i="8" s="1"/>
  <c r="K89" i="4"/>
  <c r="L89" i="4" s="1"/>
  <c r="K93" i="13"/>
  <c r="L93" i="13" s="1"/>
  <c r="K93" i="20"/>
  <c r="L93" i="20" s="1"/>
  <c r="K90" i="14"/>
  <c r="L90" i="14" s="1"/>
  <c r="K97" i="23"/>
  <c r="L97" i="23" s="1"/>
  <c r="K96" i="22"/>
  <c r="L96" i="22" s="1"/>
  <c r="K91" i="15"/>
  <c r="L91" i="15" s="1"/>
  <c r="K71" i="8"/>
  <c r="L71" i="8" s="1"/>
  <c r="K93" i="4"/>
  <c r="L93" i="4" s="1"/>
  <c r="K97" i="13"/>
  <c r="L97" i="13" s="1"/>
  <c r="K97" i="20"/>
  <c r="L97" i="20" s="1"/>
  <c r="K94" i="14"/>
  <c r="L94" i="14" s="1"/>
  <c r="L80" i="8"/>
  <c r="P24" i="3"/>
  <c r="D8" i="18" l="1"/>
  <c r="D9" i="18"/>
  <c r="D8" i="17"/>
  <c r="D9" i="17"/>
  <c r="D8" i="9"/>
  <c r="D9" i="9"/>
  <c r="L112" i="14"/>
  <c r="L115" i="13"/>
  <c r="L115" i="20"/>
  <c r="D9" i="6"/>
  <c r="D8" i="6"/>
  <c r="L113" i="4"/>
  <c r="L111" i="4"/>
  <c r="L114" i="13"/>
  <c r="L113" i="13" s="1"/>
  <c r="L114" i="20"/>
  <c r="L113" i="20" s="1"/>
  <c r="L114" i="14"/>
  <c r="D9" i="19"/>
  <c r="D8" i="19"/>
  <c r="L76" i="8"/>
  <c r="E8" i="18" l="1"/>
  <c r="H8" i="18" s="1"/>
  <c r="J8" i="18"/>
  <c r="E9" i="18"/>
  <c r="H9" i="18" s="1"/>
  <c r="J9" i="18"/>
  <c r="D10" i="18"/>
  <c r="E8" i="17"/>
  <c r="H8" i="17" s="1"/>
  <c r="J8" i="17"/>
  <c r="E9" i="17"/>
  <c r="H9" i="17" s="1"/>
  <c r="J9" i="17"/>
  <c r="D10" i="17"/>
  <c r="E8" i="9"/>
  <c r="H8" i="9" s="1"/>
  <c r="J8" i="9"/>
  <c r="J9" i="9"/>
  <c r="E9" i="9"/>
  <c r="H9" i="9" s="1"/>
  <c r="D10" i="9"/>
  <c r="J9" i="6"/>
  <c r="E9" i="6"/>
  <c r="H9" i="6" s="1"/>
  <c r="D10" i="6"/>
  <c r="E10" i="6" s="1"/>
  <c r="J8" i="6"/>
  <c r="J10" i="6" s="1"/>
  <c r="E8" i="6"/>
  <c r="H8" i="6" s="1"/>
  <c r="E9" i="19"/>
  <c r="H9" i="19" s="1"/>
  <c r="J9" i="19"/>
  <c r="D10" i="19"/>
  <c r="E8" i="19"/>
  <c r="H8" i="19" s="1"/>
  <c r="J8" i="19"/>
  <c r="J10" i="19" s="1"/>
  <c r="L81" i="8"/>
  <c r="L75" i="8"/>
  <c r="L119" i="14"/>
  <c r="F8" i="18" l="1"/>
  <c r="G8" i="18"/>
  <c r="F9" i="18"/>
  <c r="G9" i="18"/>
  <c r="E10" i="18"/>
  <c r="H10" i="18" s="1"/>
  <c r="F8" i="17"/>
  <c r="G8" i="17"/>
  <c r="F9" i="17"/>
  <c r="G9" i="17"/>
  <c r="E10" i="17"/>
  <c r="H10" i="17" s="1"/>
  <c r="I94" i="16" s="1"/>
  <c r="F8" i="9"/>
  <c r="G8" i="9"/>
  <c r="G9" i="9"/>
  <c r="F9" i="9"/>
  <c r="E10" i="9"/>
  <c r="H10" i="9" s="1"/>
  <c r="G9" i="6"/>
  <c r="F9" i="6"/>
  <c r="G85" i="15"/>
  <c r="H85" i="15" s="1"/>
  <c r="G87" i="4"/>
  <c r="H87" i="4" s="1"/>
  <c r="G65" i="8"/>
  <c r="H65" i="8" s="1"/>
  <c r="H64" i="8" s="1"/>
  <c r="F10" i="6"/>
  <c r="G10" i="6"/>
  <c r="H10" i="6"/>
  <c r="F8" i="6"/>
  <c r="G8" i="6"/>
  <c r="F9" i="19"/>
  <c r="G9" i="19"/>
  <c r="E10" i="19"/>
  <c r="H10" i="19" s="1"/>
  <c r="F8" i="19"/>
  <c r="G8" i="19"/>
  <c r="J10" i="18"/>
  <c r="J10" i="17"/>
  <c r="J10" i="9"/>
  <c r="I90" i="22" l="1"/>
  <c r="I91" i="23"/>
  <c r="F10" i="18"/>
  <c r="G10" i="18"/>
  <c r="G91" i="23"/>
  <c r="H91" i="23" s="1"/>
  <c r="G90" i="22"/>
  <c r="H90" i="22" s="1"/>
  <c r="L90" i="22" s="1"/>
  <c r="F10" i="17"/>
  <c r="M94" i="16" s="1"/>
  <c r="G10" i="17"/>
  <c r="P94" i="16" s="1"/>
  <c r="G94" i="16"/>
  <c r="H94" i="16" s="1"/>
  <c r="L94" i="16" s="1"/>
  <c r="I91" i="13"/>
  <c r="I91" i="20"/>
  <c r="I88" i="14"/>
  <c r="G10" i="9"/>
  <c r="F10" i="9"/>
  <c r="G88" i="14"/>
  <c r="H88" i="14" s="1"/>
  <c r="G91" i="13"/>
  <c r="H91" i="13" s="1"/>
  <c r="G91" i="20"/>
  <c r="H91" i="20" s="1"/>
  <c r="M85" i="15"/>
  <c r="O85" i="15" s="1"/>
  <c r="M87" i="4"/>
  <c r="O87" i="4" s="1"/>
  <c r="M65" i="8"/>
  <c r="O65" i="8" s="1"/>
  <c r="P85" i="15"/>
  <c r="R85" i="15" s="1"/>
  <c r="P87" i="4"/>
  <c r="R87" i="4" s="1"/>
  <c r="P65" i="8"/>
  <c r="R65" i="8" s="1"/>
  <c r="I65" i="8"/>
  <c r="L65" i="8" s="1"/>
  <c r="S65" i="8" s="1"/>
  <c r="I87" i="4"/>
  <c r="L87" i="4" s="1"/>
  <c r="I85" i="15"/>
  <c r="L85" i="15" s="1"/>
  <c r="F10" i="19"/>
  <c r="G10" i="19"/>
  <c r="M91" i="23" l="1"/>
  <c r="O91" i="23" s="1"/>
  <c r="M90" i="22"/>
  <c r="O90" i="22" s="1"/>
  <c r="P91" i="23"/>
  <c r="R91" i="23" s="1"/>
  <c r="P90" i="22"/>
  <c r="R90" i="22" s="1"/>
  <c r="G94" i="22"/>
  <c r="G91" i="22"/>
  <c r="G93" i="22"/>
  <c r="S90" i="22"/>
  <c r="G92" i="22"/>
  <c r="G96" i="16"/>
  <c r="G97" i="16"/>
  <c r="G95" i="16"/>
  <c r="G98" i="16"/>
  <c r="P91" i="13"/>
  <c r="R91" i="13" s="1"/>
  <c r="P91" i="20"/>
  <c r="R91" i="20" s="1"/>
  <c r="P88" i="14"/>
  <c r="R88" i="14" s="1"/>
  <c r="M91" i="13"/>
  <c r="O91" i="13" s="1"/>
  <c r="M91" i="20"/>
  <c r="O91" i="20" s="1"/>
  <c r="M88" i="14"/>
  <c r="O88" i="14" s="1"/>
  <c r="O91" i="15"/>
  <c r="O90" i="15"/>
  <c r="O89" i="15"/>
  <c r="O88" i="15"/>
  <c r="O87" i="15"/>
  <c r="O86" i="15"/>
  <c r="O88" i="4"/>
  <c r="O93" i="4"/>
  <c r="O117" i="4" s="1"/>
  <c r="O92" i="4"/>
  <c r="O116" i="4" s="1"/>
  <c r="O91" i="4"/>
  <c r="O115" i="4" s="1"/>
  <c r="O90" i="4"/>
  <c r="O114" i="4" s="1"/>
  <c r="O89" i="4"/>
  <c r="O113" i="4" s="1"/>
  <c r="O71" i="8"/>
  <c r="O81" i="8" s="1"/>
  <c r="O70" i="8"/>
  <c r="O80" i="8" s="1"/>
  <c r="O69" i="8"/>
  <c r="O79" i="8" s="1"/>
  <c r="O68" i="8"/>
  <c r="O78" i="8" s="1"/>
  <c r="O67" i="8"/>
  <c r="O77" i="8" s="1"/>
  <c r="O66" i="8"/>
  <c r="O75" i="8"/>
  <c r="R90" i="15"/>
  <c r="R89" i="15"/>
  <c r="R88" i="15"/>
  <c r="R87" i="15"/>
  <c r="R86" i="15"/>
  <c r="R88" i="4"/>
  <c r="R112" i="4" s="1"/>
  <c r="R92" i="4"/>
  <c r="R116" i="4" s="1"/>
  <c r="R91" i="4"/>
  <c r="R115" i="4" s="1"/>
  <c r="R90" i="4"/>
  <c r="R114" i="4" s="1"/>
  <c r="R89" i="4"/>
  <c r="R113" i="4" s="1"/>
  <c r="R75" i="8"/>
  <c r="R66" i="8"/>
  <c r="R76" i="8" s="1"/>
  <c r="R70" i="8"/>
  <c r="R80" i="8" s="1"/>
  <c r="R69" i="8"/>
  <c r="R79" i="8" s="1"/>
  <c r="R68" i="8"/>
  <c r="R78" i="8" s="1"/>
  <c r="R67" i="8"/>
  <c r="R77" i="8" s="1"/>
  <c r="R71" i="8"/>
  <c r="H88" i="4"/>
  <c r="H89" i="4"/>
  <c r="H90" i="4"/>
  <c r="H91" i="4"/>
  <c r="S87" i="4"/>
  <c r="H92" i="4"/>
  <c r="G87" i="15"/>
  <c r="G88" i="15"/>
  <c r="G86" i="15"/>
  <c r="S85" i="15"/>
  <c r="L91" i="23"/>
  <c r="O94" i="16"/>
  <c r="R94" i="16"/>
  <c r="L91" i="13"/>
  <c r="L91" i="20"/>
  <c r="L88" i="14"/>
  <c r="S94" i="16" l="1"/>
  <c r="O97" i="23"/>
  <c r="O96" i="23"/>
  <c r="O95" i="23"/>
  <c r="O94" i="23"/>
  <c r="O93" i="23"/>
  <c r="O92" i="23"/>
  <c r="O96" i="22"/>
  <c r="O95" i="22"/>
  <c r="O94" i="22"/>
  <c r="O93" i="22"/>
  <c r="O92" i="22"/>
  <c r="O91" i="22"/>
  <c r="R96" i="23"/>
  <c r="R95" i="23"/>
  <c r="R94" i="23"/>
  <c r="R93" i="23"/>
  <c r="R92" i="23"/>
  <c r="R95" i="22"/>
  <c r="R94" i="22"/>
  <c r="R93" i="22"/>
  <c r="R92" i="22"/>
  <c r="R91" i="22"/>
  <c r="R96" i="13"/>
  <c r="R118" i="13" s="1"/>
  <c r="R95" i="13"/>
  <c r="R117" i="13" s="1"/>
  <c r="R94" i="13"/>
  <c r="R116" i="13" s="1"/>
  <c r="R93" i="13"/>
  <c r="R115" i="13" s="1"/>
  <c r="R92" i="13"/>
  <c r="R114" i="13" s="1"/>
  <c r="R113" i="13" s="1"/>
  <c r="R90" i="13"/>
  <c r="R92" i="20"/>
  <c r="R114" i="20" s="1"/>
  <c r="R93" i="20"/>
  <c r="R115" i="20" s="1"/>
  <c r="R94" i="20"/>
  <c r="R116" i="20" s="1"/>
  <c r="R95" i="20"/>
  <c r="R117" i="20" s="1"/>
  <c r="R96" i="20"/>
  <c r="R118" i="20" s="1"/>
  <c r="R90" i="20"/>
  <c r="R87" i="14"/>
  <c r="R89" i="14"/>
  <c r="R112" i="14" s="1"/>
  <c r="R90" i="14"/>
  <c r="R113" i="14" s="1"/>
  <c r="R91" i="14"/>
  <c r="R114" i="14" s="1"/>
  <c r="R92" i="14"/>
  <c r="R115" i="14" s="1"/>
  <c r="R93" i="14"/>
  <c r="R116" i="14" s="1"/>
  <c r="O97" i="13"/>
  <c r="O119" i="13" s="1"/>
  <c r="O96" i="13"/>
  <c r="O118" i="13" s="1"/>
  <c r="O95" i="13"/>
  <c r="O117" i="13" s="1"/>
  <c r="O94" i="13"/>
  <c r="O116" i="13" s="1"/>
  <c r="O93" i="13"/>
  <c r="O115" i="13" s="1"/>
  <c r="O92" i="13"/>
  <c r="O114" i="13" s="1"/>
  <c r="O113" i="13" s="1"/>
  <c r="O90" i="13"/>
  <c r="O92" i="20"/>
  <c r="O114" i="20" s="1"/>
  <c r="O93" i="20"/>
  <c r="O115" i="20" s="1"/>
  <c r="O94" i="20"/>
  <c r="O116" i="20" s="1"/>
  <c r="O95" i="20"/>
  <c r="O117" i="20" s="1"/>
  <c r="O96" i="20"/>
  <c r="O118" i="20" s="1"/>
  <c r="O97" i="20"/>
  <c r="O119" i="20" s="1"/>
  <c r="O90" i="20"/>
  <c r="O89" i="14"/>
  <c r="O112" i="14" s="1"/>
  <c r="O90" i="14"/>
  <c r="O113" i="14" s="1"/>
  <c r="O91" i="14"/>
  <c r="O114" i="14" s="1"/>
  <c r="O92" i="14"/>
  <c r="O115" i="14" s="1"/>
  <c r="O93" i="14"/>
  <c r="O116" i="14" s="1"/>
  <c r="O94" i="14"/>
  <c r="O117" i="14" s="1"/>
  <c r="O87" i="14"/>
  <c r="O94" i="4"/>
  <c r="O112" i="4"/>
  <c r="O111" i="4" s="1"/>
  <c r="O76" i="8"/>
  <c r="O72" i="8"/>
  <c r="S91" i="23"/>
  <c r="G93" i="23"/>
  <c r="G94" i="23"/>
  <c r="G92" i="23"/>
  <c r="G95" i="23"/>
  <c r="O95" i="16"/>
  <c r="O96" i="16"/>
  <c r="O97" i="16"/>
  <c r="O98" i="16"/>
  <c r="O99" i="16"/>
  <c r="O100" i="16"/>
  <c r="R95" i="16"/>
  <c r="R96" i="16"/>
  <c r="R97" i="16"/>
  <c r="R98" i="16"/>
  <c r="R99" i="16"/>
  <c r="L90" i="13"/>
  <c r="S91" i="13"/>
  <c r="G94" i="13"/>
  <c r="G95" i="13"/>
  <c r="G93" i="13"/>
  <c r="G92" i="13"/>
  <c r="G96" i="13" s="1"/>
  <c r="S91" i="20"/>
  <c r="L90" i="20"/>
  <c r="H95" i="20"/>
  <c r="H94" i="20"/>
  <c r="H93" i="20"/>
  <c r="H92" i="20"/>
  <c r="H96" i="20" s="1"/>
  <c r="S88" i="14"/>
  <c r="L87" i="14"/>
  <c r="H94" i="14"/>
  <c r="H95" i="14"/>
  <c r="H93" i="14"/>
  <c r="H92" i="14"/>
  <c r="H90" i="14"/>
  <c r="H89" i="14"/>
  <c r="H91" i="14"/>
  <c r="G95" i="22"/>
  <c r="G99" i="16"/>
  <c r="R111" i="4"/>
  <c r="H93" i="4"/>
  <c r="R113" i="20" l="1"/>
  <c r="R118" i="14"/>
  <c r="O113" i="20"/>
  <c r="O118" i="14"/>
  <c r="G96" i="23"/>
  <c r="H96" i="14"/>
  <c r="O38" i="13" l="1"/>
  <c r="S39" i="13"/>
  <c r="S40" i="13"/>
  <c r="S41" i="13"/>
  <c r="S42" i="13"/>
  <c r="S43" i="13"/>
  <c r="R38" i="13"/>
  <c r="S38" i="13"/>
  <c r="R101" i="4"/>
  <c r="O101" i="4"/>
  <c r="R100" i="4"/>
  <c r="O100" i="4"/>
  <c r="R99" i="4"/>
  <c r="O99" i="4"/>
  <c r="R98" i="4"/>
  <c r="O98" i="4"/>
  <c r="O103" i="4"/>
  <c r="R102" i="4"/>
  <c r="O102" i="4"/>
  <c r="L42" i="20"/>
  <c r="L40" i="20"/>
  <c r="L41" i="20"/>
  <c r="L43" i="20"/>
  <c r="L39" i="20"/>
  <c r="L44" i="20"/>
  <c r="L45" i="20"/>
  <c r="L46" i="20"/>
  <c r="R43" i="20"/>
  <c r="R42" i="20"/>
  <c r="R41" i="20"/>
  <c r="R40" i="20"/>
  <c r="R39" i="20"/>
  <c r="R38" i="20"/>
  <c r="O44" i="20"/>
  <c r="O43" i="20"/>
  <c r="O42" i="20"/>
  <c r="O41" i="20"/>
  <c r="O40" i="20"/>
  <c r="O39" i="20"/>
  <c r="O38"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tc={2BDE14E4-3FFB-4CAC-BE3D-F09A1CCBDA86}</author>
    <author>tc={749DF298-3BAE-4218-9F5C-B407E01BD859}</author>
    <author>tc={6BB6D71C-876E-4AC1-B3D4-C8EC4EF7447C}</author>
    <author>tc={0641B48C-1C2E-451D-B038-C8905E93DEBF}</author>
    <author>tc={D2BAAC56-4CC2-48C6-B87A-6E4A714A4DC4}</author>
    <author>tc={2EE79CC8-7DB4-40E7-9C5C-0CF6A83C93D3}</author>
    <author>tc={39C073FB-1DE4-492E-A48A-BFEFDF685185}</author>
    <author>tc={CAA6746D-9F9C-4C7E-A5C7-C3DC2E1772CF}</author>
    <author>tc={63BE232C-8257-40CB-A854-8EEEE5D046C6}</author>
    <author>tc={EFF544C3-280E-463F-872F-2969E46F178B}</author>
    <author>tc={85047F7D-F8D5-471B-A8D3-394D1DA3F27F}</author>
    <author>tc={1F1D4C1E-F310-4986-A721-4E625752DF11}</author>
    <author>tc={4AA83F66-2551-44B1-8A82-8E41A3C66DBD}</author>
    <author>tc={6E9D4E67-23E2-43C2-B3EF-8D64F92CF5BE}</author>
    <author>tc={0EBA3DE9-C51E-4D26-975A-C8966C8DB4DA}</author>
    <author>tc={0E7B8B5E-75D0-4D1B-B201-7FBD183D3816}</author>
    <author>tc={A42FE59B-99E4-4B07-BCEC-FF9F9EEB1295}</author>
    <author>tc={B8E32453-DF1E-4C76-BB44-072E6BCE9A26}</author>
  </authors>
  <commentList>
    <comment ref="J5" authorId="0" shapeId="0" xr:uid="{2BDE14E4-3FFB-4CAC-BE3D-F09A1CCBDA8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 </t>
      </text>
    </comment>
    <comment ref="L5" authorId="1" shapeId="0" xr:uid="{749DF298-3BAE-4218-9F5C-B407E01BD8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N5" authorId="2" shapeId="0" xr:uid="{6BB6D71C-876E-4AC1-B3D4-C8EC4EF7447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Check, probably not rigth</t>
      </text>
    </comment>
    <comment ref="E6" authorId="3" shapeId="0" xr:uid="{0641B48C-1C2E-451D-B038-C8905E93DEB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250€/t from farmer to aggregator, the 520 is the price when deliuivered to refinery</t>
      </text>
    </comment>
    <comment ref="J7" authorId="4" shapeId="0" xr:uid="{D2BAAC56-4CC2-48C6-B87A-6E4A714A4D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L7" authorId="5" shapeId="0" xr:uid="{2EE79CC8-7DB4-40E7-9C5C-0CF6A83C93D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E10" authorId="6" shapeId="0" xr:uid="{39C073FB-1DE4-492E-A48A-BFEFDF68518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J11" authorId="7" shapeId="0" xr:uid="{CAA6746D-9F9C-4C7E-A5C7-C3DC2E1772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L11" authorId="8" shapeId="0" xr:uid="{63BE232C-8257-40CB-A854-8EEEE5D046C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E14" authorId="9" shapeId="0" xr:uid="{EFF544C3-280E-463F-872F-2969E46F178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16" authorId="10" shapeId="0" xr:uid="{85047F7D-F8D5-471B-A8D3-394D1DA3F27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E21" authorId="11" shapeId="0" xr:uid="{1F1D4C1E-F310-4986-A721-4E625752DF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23" authorId="12" shapeId="0" xr:uid="{4AA83F66-2551-44B1-8A82-8E41A3C66D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asumed it to be the same as for agroprocessing</t>
      </text>
    </comment>
    <comment ref="E31" authorId="13" shapeId="0" xr:uid="{6E9D4E67-23E2-43C2-B3EF-8D64F92CF5B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57" authorId="14" shapeId="0" xr:uid="{0EBA3DE9-C51E-4D26-975A-C8966C8DB4D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59" authorId="15" shapeId="0" xr:uid="{0E7B8B5E-75D0-4D1B-B201-7FBD183D381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70" authorId="16" shapeId="0" xr:uid="{A42FE59B-99E4-4B07-BCEC-FF9F9EEB12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72" authorId="17" shapeId="0" xr:uid="{B8E32453-DF1E-4C76-BB44-072E6BCE9A2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tc={A77A5799-89FE-491F-8766-25D60FD4565B}</author>
    <author>tc={6DAB5E6E-D0B7-43ED-9647-37D38E0A8E78}</author>
    <author>tc={32CBDEC2-176C-4B0F-A623-5BD86D2D25BE}</author>
    <author>tc={B4CA926F-65E4-4871-9272-CDCF2A86801E}</author>
    <author>tc={62DE1E61-0033-4005-9F9C-E930BE32F7F3}</author>
  </authors>
  <commentList>
    <comment ref="G5" authorId="0" shapeId="0" xr:uid="{A77A5799-89FE-491F-8766-25D60FD4565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G11" authorId="1" shapeId="0" xr:uid="{6DAB5E6E-D0B7-43ED-9647-37D38E0A8E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plants using non-standard oils from cover crops or marginal lands require more robust pre-treatment and purification units to handle feedstock variability compared to plants using refined food-grade oils
--&gt; therefore slightly higher share than IVC above</t>
      </text>
    </comment>
    <comment ref="D18" authorId="2" shapeId="0" xr:uid="{32CBDEC2-176C-4B0F-A623-5BD86D2D25B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5 Study 2, p. 13: 66.18% UCO and 33.82% Animal Fat </t>
      </text>
    </comment>
    <comment ref="N18" authorId="3" shapeId="0" xr:uid="{B4CA926F-65E4-4871-9272-CDCF2A86801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Study 2, page 111</t>
      </text>
    </comment>
    <comment ref="G25" authorId="4" shapeId="0" xr:uid="{62DE1E61-0033-4005-9F9C-E930BE32F7F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tc={0E6581DC-125A-4B5D-B1EC-315EC5ED65A4}</author>
    <author>tc={791FF8A9-5C90-4745-991A-C8BB0DD269AA}</author>
    <author>tc={14F10201-8CFB-41D8-A4A3-AFABE0F8583F}</author>
    <author>tc={04B8099F-9F46-4279-A631-A0EE3B9FFE36}</author>
    <author>tc={EDB183A3-BBBD-4B95-AF65-B3F57C1812D1}</author>
  </authors>
  <commentList>
    <comment ref="K41" authorId="0" shapeId="0" xr:uid="{0E6581DC-125A-4B5D-B1EC-315EC5ED65A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G84" authorId="1" shapeId="0" xr:uid="{791FF8A9-5C90-4745-991A-C8BB0DD269A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N86" authorId="2" shapeId="0" xr:uid="{14F10201-8CFB-41D8-A4A3-AFABE0F8583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P97" authorId="3" shapeId="0" xr:uid="{04B8099F-9F46-4279-A631-A0EE3B9FFE3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Because of the feedstock being UCO: CETO report „SMEs also manage the logistics of the decentralised collection and processing of dispersed feedstocks, such as used cooking oil (UCO).“ (p. 52)
Antwort:
    Or p. 7 CETO: „Small and medium-sized enterprises (SMEs) are innovators for Annex IX Part A feedstocks of the RED II and for managing decentralised feedstock collection logistics. „</t>
      </text>
    </comment>
    <comment ref="N99" authorId="4" shapeId="0" xr:uid="{EDB183A3-BBBD-4B95-AF65-B3F57C1812D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tc={CBFC78C2-E2A6-42FB-9405-E624C600C855}</author>
    <author>tc={615B2508-73C0-49D2-B04B-B5B8C1E93B00}</author>
    <author>tc={B92AF685-EA33-457E-9D73-E8C6B37F2CCA}</author>
    <author>tc={C67FFAEE-B71C-4525-9BAA-00FF76799D59}</author>
    <author>tc={639AD20E-E983-4316-9ACA-074BEE69CCD9}</author>
    <author>tc={434814F4-DB7F-4BCC-96B8-C2E1AA1C11FA}</author>
    <author>tc={E3A804DE-968D-4E5F-B5B5-A6CCBB403F93}</author>
    <author>tc={7574952B-ECF1-48F0-AD44-54FAC23173B3}</author>
    <author>tc={C568C5AD-1395-40D9-B997-EC3F725614DB}</author>
    <author>tc={2AA4F211-22E1-43B4-8BF5-D4A763DD0995}</author>
    <author>tc={43198721-C0F1-4937-B9B3-5D0897D380C9}</author>
    <author>tc={3D080233-ECE2-48E5-947C-39A5F551D115}</author>
  </authors>
  <commentList>
    <comment ref="D16" authorId="0" shapeId="0" xr:uid="{CBFC78C2-E2A6-42FB-9405-E624C600C85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Includes the diesel going to shipping</t>
      </text>
    </comment>
    <comment ref="B68" authorId="1" shapeId="0" xr:uid="{615B2508-73C0-49D2-B04B-B5B8C1E93B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88" authorId="2" shapeId="0" xr:uid="{B92AF685-EA33-457E-9D73-E8C6B37F2C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226" authorId="3" shapeId="0" xr:uid="{C67FFAEE-B71C-4525-9BAA-00FF76799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27" authorId="4" shapeId="0" xr:uid="{639AD20E-E983-4316-9ACA-074BEE69CCD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28" authorId="5" shapeId="0" xr:uid="{434814F4-DB7F-4BCC-96B8-C2E1AA1C11F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35" authorId="6" shapeId="0" xr:uid="{E3A804DE-968D-4E5F-B5B5-A6CCBB403F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43" authorId="7" shapeId="0" xr:uid="{7574952B-ECF1-48F0-AD44-54FAC23173B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50" authorId="8" shapeId="0" xr:uid="{C568C5AD-1395-40D9-B997-EC3F725614D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59" authorId="9" shapeId="0" xr:uid="{2AA4F211-22E1-43B4-8BF5-D4A763DD09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65" authorId="10" shapeId="0" xr:uid="{43198721-C0F1-4937-B9B3-5D0897D380C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85" authorId="11" shapeId="0" xr:uid="{3D080233-ECE2-48E5-947C-39A5F551D1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tc={14198BF4-FC5E-4F69-8DB0-BA1418358D1D}</author>
    <author>tc={2127DB78-DF01-45A7-B9B5-7C63AB36B015}</author>
    <author>tc={18F44418-585B-4D59-A9D3-4A6003FE035E}</author>
    <author>tc={E9E9FE62-A907-41F0-B852-183A1794076B}</author>
    <author>tc={0CCD31A9-EB72-46DF-B492-C9E90BCA9B41}</author>
    <author>tc={3DD45E12-CA73-490B-B97B-2DB99D2C2309}</author>
    <author>tc={EA6E58E6-3E93-4AA8-90F7-2611E860ED0A}</author>
    <author>tc={CD945056-963B-4CBB-892F-B9A7847DDFDE}</author>
    <author>tc={47152EBA-AB68-4B91-9FBF-6CC8157C8795}</author>
    <author>tc={7CEF01E4-3DD3-49B8-B576-7AB5DCC62C64}</author>
    <author>tc={49113B1F-545B-4005-BD88-DDA1B4B67027}</author>
    <author>tc={EE5E435E-B0DD-4F27-9EAC-D58AFBF34CAC}</author>
    <author>tc={F614B8A6-96FC-41E5-9D61-C283E539D32C}</author>
  </authors>
  <commentList>
    <comment ref="D9" authorId="0" shapeId="0" xr:uid="{14198BF4-FC5E-4F69-8DB0-BA1418358D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Includes the diesel going to shipping</t>
      </text>
    </comment>
    <comment ref="B72" authorId="1" shapeId="0" xr:uid="{2127DB78-DF01-45A7-B9B5-7C63AB36B0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92" authorId="2" shapeId="0" xr:uid="{18F44418-585B-4D59-A9D3-4A6003FE035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B150" authorId="3" shapeId="0" xr:uid="{E9E9FE62-A907-41F0-B852-183A179407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Took the same price as for the other because  makes more snese than taking the road 13b market price when sold as SAF no?</t>
      </text>
    </comment>
    <comment ref="G241" authorId="4" shapeId="0" xr:uid="{0CCD31A9-EB72-46DF-B492-C9E90BCA9B4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42" authorId="5" shapeId="0" xr:uid="{3DD45E12-CA73-490B-B97B-2DB99D2C230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43" authorId="6" shapeId="0" xr:uid="{EA6E58E6-3E93-4AA8-90F7-2611E860ED0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K250" authorId="7" shapeId="0" xr:uid="{CD945056-963B-4CBB-892F-B9A7847DDFD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50" authorId="8" shapeId="0" xr:uid="{47152EBA-AB68-4B91-9FBF-6CC8157C87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58" authorId="9" shapeId="0" xr:uid="{7CEF01E4-3DD3-49B8-B576-7AB5DCC62C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65" authorId="10" shapeId="0" xr:uid="{49113B1F-545B-4005-BD88-DDA1B4B6702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84" authorId="11" shapeId="0" xr:uid="{EE5E435E-B0DD-4F27-9EAC-D58AFBF34C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E286" authorId="12" shapeId="0" xr:uid="{F614B8A6-96FC-41E5-9D61-C283E539D3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am making averages for the conversion factor, based on what I knwo form domestic production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tc={47B0E686-8E2D-420B-9125-6A38C109AF84}</author>
    <author>Lucie Catalina Cherpin</author>
    <author>tc={8AD0E3AA-FDBB-4B63-83EB-419CA97A29F2}</author>
    <author>tc={4939E957-CC9C-47BB-80D7-6B4E49E03ACC}</author>
    <author>tc={AD5EE79F-7363-4994-AE8C-280FCA669394}</author>
    <author>tc={DEFBC9A1-0EC8-4E5A-938B-7BE93708B863}</author>
    <author>tc={35290D83-15FE-48A8-8B81-97B23D28E911}</author>
    <author>tc={B3B8BCFF-5A31-4B7D-ABFC-C8ABA2CDA76B}</author>
    <author>tc={86F36409-51CA-45E4-B2ED-85618D4EEC7D}</author>
    <author>tc={C9199DE8-8969-4E74-B5AC-FF40F118A782}</author>
  </authors>
  <commentList>
    <comment ref="D9" authorId="0" shapeId="0" xr:uid="{47B0E686-8E2D-420B-9125-6A38C109AF8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Includes the diesel going to shipping</t>
      </text>
    </comment>
    <comment ref="B182" authorId="1" shapeId="0" xr:uid="{24B7BDAA-8DDD-4E83-9E50-12E8FB497EDF}">
      <text>
        <r>
          <rPr>
            <b/>
            <sz val="9"/>
            <color indexed="81"/>
            <rFont val="Segoe UI"/>
            <charset val="1"/>
          </rPr>
          <t>Lucie Catalina Cherpin:</t>
        </r>
        <r>
          <rPr>
            <sz val="9"/>
            <color indexed="81"/>
            <rFont val="Segoe UI"/>
            <charset val="1"/>
          </rPr>
          <t xml:space="preserve">
Source: 2035 costs Sc 1 | Ref: B149 | Notes: Marktpreis IVC 13b (maritime) an 2035 Sc 1 angepasst; Produktionskosten und übrige Verknüpfungen unverändert.</t>
        </r>
      </text>
    </comment>
    <comment ref="G230" authorId="2" shapeId="0" xr:uid="{8AD0E3AA-FDBB-4B63-83EB-419CA97A29F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31" authorId="3" shapeId="0" xr:uid="{4939E957-CC9C-47BB-80D7-6B4E49E03A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2" authorId="4" shapeId="0" xr:uid="{AD5EE79F-7363-4994-AE8C-280FCA6693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K239" authorId="5" shapeId="0" xr:uid="{DEFBC9A1-0EC8-4E5A-938B-7BE93708B86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9" authorId="6" shapeId="0" xr:uid="{35290D83-15FE-48A8-8B81-97B23D28E9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47" authorId="7" shapeId="0" xr:uid="{B3B8BCFF-5A31-4B7D-ABFC-C8ABA2CDA7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54" authorId="8" shapeId="0" xr:uid="{86F36409-51CA-45E4-B2ED-85618D4EEC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D262" authorId="9" shapeId="0" xr:uid="{C9199DE8-8969-4E74-B5AC-FF40F118A7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 limit advanced biofuel consumption to 18,4 target</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tc={BA5CFD50-A063-4F47-A583-84806370223C}</author>
    <author>tc={CB48DB25-90EE-4C55-865B-376DD8B48D3C}</author>
    <author>tc={BEF3AECA-2AC5-409E-B977-8BE8C02DFDF8}</author>
    <author>tc={D95B37BE-F6CD-4A0A-AF40-E3337296E39B}</author>
    <author>tc={F49F948D-1D2F-4352-B901-7FDE6DF6EA62}</author>
    <author>tc={B5C3B8BC-DFDC-4AB8-9F8B-86DAC7DCB8D3}</author>
    <author>tc={C1B8A317-5A5F-4C5C-8A91-092D5976EA2C}</author>
  </authors>
  <commentList>
    <comment ref="B66" authorId="0" shapeId="0" xr:uid="{BA5CFD50-A063-4F47-A583-8480637022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86" authorId="1" shapeId="0" xr:uid="{CB48DB25-90EE-4C55-865B-376DD8B48D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181" authorId="2" shapeId="0" xr:uid="{BEF3AECA-2AC5-409E-B977-8BE8C02DFDF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182" authorId="3" shapeId="0" xr:uid="{D95B37BE-F6CD-4A0A-AF40-E3337296E39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183" authorId="4" shapeId="0" xr:uid="{F49F948D-1D2F-4352-B901-7FDE6DF6EA6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190" authorId="5" shapeId="0" xr:uid="{B5C3B8BC-DFDC-4AB8-9F8B-86DAC7DCB8D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05" authorId="6" shapeId="0" xr:uid="{C1B8A317-5A5F-4C5C-8A91-092D5976EA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tc={08CB4448-20B1-4271-85DD-FE79A99AA064}</author>
    <author>tc={F7A678F1-2B55-48E1-A9B0-2B40C4617D06}</author>
    <author>tc={6A0D7073-00FB-4531-8AC2-053A427F8312}</author>
    <author>tc={4431C100-1E29-43CB-879C-EDF60CAF3108}</author>
    <author>tc={E2113A07-9C54-4E91-832F-96BDB51C2867}</author>
    <author>tc={3CF01E95-DD57-4CC1-A05A-3E923E0E39B0}</author>
    <author>tc={3DEE084E-263F-4B5C-B7E0-C75C213ED08D}</author>
    <author>tc={031B011B-16CA-4414-BCDE-5FA2DA7AF5E0}</author>
  </authors>
  <commentList>
    <comment ref="D9" authorId="0" shapeId="0" xr:uid="{08CB4448-20B1-4271-85DD-FE79A99AA0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Includes the diesel going to shipping</t>
      </text>
    </comment>
    <comment ref="B69" authorId="1" shapeId="0" xr:uid="{F7A678F1-2B55-48E1-A9B0-2B40C4617D0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89" authorId="2" shapeId="0" xr:uid="{6A0D7073-00FB-4531-8AC2-053A427F831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B150" authorId="3" shapeId="0" xr:uid="{4431C100-1E29-43CB-879C-EDF60CAF310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Took the same price as for the other because  makes more snese than taking the road 13b market price when sold as SAF no?</t>
      </text>
    </comment>
    <comment ref="G228" authorId="4" shapeId="0" xr:uid="{E2113A07-9C54-4E91-832F-96BDB51C286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29" authorId="5" shapeId="0" xr:uid="{3CF01E95-DD57-4CC1-A05A-3E923E0E39B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0" authorId="6" shapeId="0" xr:uid="{3DEE084E-263F-4B5C-B7E0-C75C213ED0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36" authorId="7" shapeId="0" xr:uid="{031B011B-16CA-4414-BCDE-5FA2DA7AF5E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tc={46D3CB7A-96A0-41F9-B7C0-7C2B49760ADC}</author>
    <author>tc={DDB4FEC7-F4C9-4BE3-9D76-1B52DB9BB37D}</author>
    <author>tc={B11BC8FD-40A1-4792-8225-24F707D8E5BF}</author>
    <author>tc={42AD5623-6D2B-4317-B9D7-91690B9C798A}</author>
    <author>tc={BFF5015B-314D-47A3-A3D9-4AF07E229A95}</author>
  </authors>
  <commentList>
    <comment ref="A95" authorId="0" shapeId="0" xr:uid="{46D3CB7A-96A0-41F9-B7C0-7C2B49760AD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161" authorId="1" shapeId="0" xr:uid="{DDB4FEC7-F4C9-4BE3-9D76-1B52DB9BB3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162" authorId="2" shapeId="0" xr:uid="{B11BC8FD-40A1-4792-8225-24F707D8E5B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163" authorId="3" shapeId="0" xr:uid="{42AD5623-6D2B-4317-B9D7-91690B9C798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170" authorId="4" shapeId="0" xr:uid="{BFF5015B-314D-47A3-A3D9-4AF07E229A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tc={3E15BB33-EB32-41AE-83B2-1F4203AC79D6}</author>
    <author>tc={DF922620-26C5-4945-861C-932F0FAC1483}</author>
    <author>tc={6E0A6A57-B4BE-400E-82DE-A3D0CDD504CF}</author>
    <author>tc={886FA849-CB0F-450A-A386-4C737510F587}</author>
    <author>tc={23EA7D67-005A-4466-98C0-E0138073C189}</author>
  </authors>
  <commentList>
    <comment ref="A91" authorId="0" shapeId="0" xr:uid="{3E15BB33-EB32-41AE-83B2-1F4203AC79D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201" authorId="1" shapeId="0" xr:uid="{DF922620-26C5-4945-861C-932F0FAC148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02" authorId="2" shapeId="0" xr:uid="{6E0A6A57-B4BE-400E-82DE-A3D0CDD504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03" authorId="3" shapeId="0" xr:uid="{886FA849-CB0F-450A-A386-4C737510F58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10" authorId="4" shapeId="0" xr:uid="{23EA7D67-005A-4466-98C0-E0138073C18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tc={6C8D289A-060B-47C6-B18D-8F8D21F01275}</author>
    <author>Lucie Catalina Cherpin</author>
    <author>tc={0FAD2E99-70A7-4130-BF22-BD6D03CA7CD0}</author>
    <author>tc={D9DE8452-14AB-4455-8429-8E3804B5A014}</author>
    <author>tc={FC0A1C31-412B-4E31-B10E-07C35EC32800}</author>
    <author>tc={6623277C-83DF-454E-A007-C15F5A288E9F}</author>
  </authors>
  <commentList>
    <comment ref="A92" authorId="0" shapeId="0" xr:uid="{6C8D289A-060B-47C6-B18D-8F8D21F0127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D187" authorId="1" shapeId="0" xr:uid="{E0B09A75-199B-45F3-8FA4-D1E81B3D7C82}">
      <text>
        <r>
          <rPr>
            <b/>
            <sz val="9"/>
            <color indexed="81"/>
            <rFont val="Segoe UI"/>
            <charset val="1"/>
          </rPr>
          <t>Lucie Catalina Cherpin:</t>
        </r>
        <r>
          <rPr>
            <sz val="9"/>
            <color indexed="81"/>
            <rFont val="Segoe UI"/>
            <charset val="1"/>
          </rPr>
          <t xml:space="preserve">
Input: Produktionsmenge für IVC 8c im 2040 Scenario 3. Alle Kosten- und Summenformeln aktualisieren sich automatisch.</t>
        </r>
      </text>
    </comment>
    <comment ref="D194" authorId="1" shapeId="0" xr:uid="{FD7E3821-3373-45CC-9FCD-B3643C4C835A}">
      <text>
        <r>
          <rPr>
            <b/>
            <sz val="9"/>
            <color indexed="81"/>
            <rFont val="Segoe UI"/>
            <charset val="1"/>
          </rPr>
          <t>Lucie Catalina Cherpin:</t>
        </r>
        <r>
          <rPr>
            <sz val="9"/>
            <color indexed="81"/>
            <rFont val="Segoe UI"/>
            <charset val="1"/>
          </rPr>
          <t xml:space="preserve">
Input: Produktionsmenge für IVC 9b im 2040 Scenario 3. Alle Kosten- und Summenformeln aktualisieren sich automatisch.</t>
        </r>
      </text>
    </comment>
    <comment ref="G214" authorId="2" shapeId="0" xr:uid="{0FAD2E99-70A7-4130-BF22-BD6D03CA7C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15" authorId="3" shapeId="0" xr:uid="{D9DE8452-14AB-4455-8429-8E3804B5A01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16" authorId="4" shapeId="0" xr:uid="{FC0A1C31-412B-4E31-B10E-07C35EC328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23" authorId="5" shapeId="0" xr:uid="{6623277C-83DF-454E-A007-C15F5A288E9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tc={94A3501F-B153-4C95-ACE4-2891DBAE222D}</author>
  </authors>
  <commentList>
    <comment ref="I1" authorId="0" shapeId="0" xr:uid="{94A3501F-B153-4C95-ACE4-2891DBAE222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tc={261700E8-1133-4883-A1CC-1B8EC3BC50D2}</author>
  </authors>
  <commentList>
    <comment ref="I1" authorId="0" shapeId="0" xr:uid="{261700E8-1133-4883-A1CC-1B8EC3BC50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tc={5DAAA79C-A9C3-4CE6-8EAE-6F702CBCE1BD}</author>
    <author>tc={077E58AE-9EBD-4337-89EC-EE582F91C73B}</author>
  </authors>
  <commentList>
    <comment ref="E1" authorId="0" shapeId="0" xr:uid="{5DAAA79C-A9C3-4CE6-8EAE-6F702CBCE1B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considering the selling of co-products
</t>
      </text>
    </comment>
    <comment ref="I1" authorId="1" shapeId="0" xr:uid="{077E58AE-9EBD-4337-89EC-EE582F91C73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tc={098CFD09-AA28-4D55-A0DA-993DD6BC1FB3}</author>
    <author>tc={37D92A2E-7963-41CB-B1BB-353A58920241}</author>
    <author>tc={E7B77361-C619-4A9F-8633-C09C35E32050}</author>
    <author>tc={131713EB-C766-423B-8B7A-20B5184EFDD2}</author>
    <author>tc={03E61EF3-85EC-405A-8E26-783B445896AA}</author>
    <author>tc={A56D671B-3F0B-4B8C-9F29-97C0B377CE4C}</author>
    <author>tc={29F1F77F-2370-414E-AC7F-687FF344681C}</author>
    <author>tc={65368FFD-05A4-4EF5-9062-EDFAA8A72A15}</author>
    <author>tc={5B94E806-81C9-403A-B589-8D3744FC3624}</author>
    <author>tc={2CCBD507-4FEF-4E99-98A8-1DEC1DCE6F5B}</author>
    <author>tc={F2302E30-98A9-418C-9E98-59A76A17F3B8}</author>
    <author>tc={C2CED732-7063-4FA8-9B5D-321BD1B4E3E6}</author>
    <author>tc={240DC0F3-D805-4BA3-9F66-49A4D93AD340}</author>
    <author>tc={91EDF737-C1D8-4EE2-805E-EB0C3DA01538}</author>
    <author>tc={F2652C68-4A32-4F60-BA00-6480064B88B7}</author>
    <author>tc={EB10A72D-876F-4E0C-97CD-4D799F08C403}</author>
    <author>tc={22D1EB81-D3D4-44F4-B990-0ACF78EACF1D}</author>
    <author>tc={31658BBE-2524-44A4-8B43-E4206237A0A1}</author>
    <author>tc={2FC19962-CEC6-426B-9668-833339EC020C}</author>
    <author>tc={BA1D06DB-2DD3-4CB6-9D9C-FF45F867FA19}</author>
    <author>tc={2C43D925-29D2-4E81-B904-3919419ED35D}</author>
    <author>tc={D75F1856-C481-4EF6-8FA2-D1A518C74CC9}</author>
    <author>tc={CD82FF60-0CAD-4AF4-8FE2-0B42AF65E645}</author>
  </authors>
  <commentList>
    <comment ref="G5" authorId="0" shapeId="0" xr:uid="{098CFD09-AA28-4D55-A0DA-993DD6BC1FB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Since  no data available on tall oil price, the price of this feedstock mix is now entirely determined by FPBO price</t>
      </text>
    </comment>
    <comment ref="J5" authorId="1" shapeId="0" xr:uid="{37D92A2E-7963-41CB-B1BB-353A5892024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Since  no data available on tall oil price, the price of this feedstock mix is now entirely determined by FPBO price</t>
      </text>
    </comment>
    <comment ref="B7" authorId="2" shapeId="0" xr:uid="{E7B77361-C619-4A9F-8633-C09C35E3205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G8" authorId="3" shapeId="0" xr:uid="{131713EB-C766-423B-8B7A-20B5184EFD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here: to exclude tall oil from price determination, I approximated to 20% oil crops abandoned and 80% FPBO</t>
      </text>
    </comment>
    <comment ref="B11" authorId="4" shapeId="0" xr:uid="{03E61EF3-85EC-405A-8E26-783B445896A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13" authorId="5" shapeId="0" xr:uid="{A56D671B-3F0B-4B8C-9F29-97C0B377CE4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B18" authorId="6" shapeId="0" xr:uid="{29F1F77F-2370-414E-AC7F-687FF344681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B23" authorId="7" shapeId="0" xr:uid="{65368FFD-05A4-4EF5-9062-EDFAA8A72A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25" authorId="8" shapeId="0" xr:uid="{5B94E806-81C9-403A-B589-8D3744FC362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asumed it to be the same as for agroprocessing</t>
      </text>
    </comment>
    <comment ref="B33" authorId="9" shapeId="0" xr:uid="{2CCBD507-4FEF-4E99-98A8-1DEC1DCE6F5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33" authorId="10" shapeId="0" xr:uid="{F2302E30-98A9-418C-9E98-59A76A17F3B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just picked any number for now, but value is still missing</t>
      </text>
    </comment>
    <comment ref="B44" authorId="11" shapeId="0" xr:uid="{C2CED732-7063-4FA8-9B5D-321BD1B4E3E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44" authorId="12" shapeId="0" xr:uid="{240DC0F3-D805-4BA3-9F66-49A4D93AD34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Check!</t>
      </text>
    </comment>
    <comment ref="B46" authorId="13" shapeId="0" xr:uid="{91EDF737-C1D8-4EE2-805E-EB0C3DA0153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P47" authorId="14" shapeId="0" xr:uid="{F2652C68-4A32-4F60-BA00-6480064B88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48" authorId="15" shapeId="0" xr:uid="{EB10A72D-876F-4E0C-97CD-4D799F08C4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P48" authorId="16" shapeId="0" xr:uid="{22D1EB81-D3D4-44F4-B990-0ACF78EACF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59" authorId="17" shapeId="0" xr:uid="{31658BBE-2524-44A4-8B43-E4206237A0A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61" authorId="18" shapeId="0" xr:uid="{2FC19962-CEC6-426B-9668-833339EC020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72" authorId="19" shapeId="0" xr:uid="{BA1D06DB-2DD3-4CB6-9D9C-FF45F867FA1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83" authorId="20" shapeId="0" xr:uid="{2C43D925-29D2-4E81-B904-3919419ED35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85" authorId="21" shapeId="0" xr:uid="{D75F1856-C481-4EF6-8FA2-D1A518C74CC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87" authorId="22" shapeId="0" xr:uid="{CD82FF60-0CAD-4AF4-8FE2-0B42AF65E64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tc={D2893936-2C35-4D69-932F-08605DA8AF4D}</author>
  </authors>
  <commentList>
    <comment ref="I1" authorId="0" shapeId="0" xr:uid="{D2893936-2C35-4D69-932F-08605DA8AF4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tc={C33FB081-41AD-490E-8487-CE17E9A595A6}</author>
  </authors>
  <commentList>
    <comment ref="I1" authorId="0" shapeId="0" xr:uid="{C33FB081-41AD-490E-8487-CE17E9A595A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tc={21777A9E-C4D6-4BCE-BFF2-14BA76F7B0A1}</author>
    <author>tc={3F6780FE-8283-4321-B855-6B77DB777DF5}</author>
    <author>tc={F2DAB838-1E58-4473-9EFE-8779F98D24C5}</author>
  </authors>
  <commentList>
    <comment ref="F4" authorId="0" shapeId="0" xr:uid="{21777A9E-C4D6-4BCE-BFF2-14BA76F7B0A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absolute jährliche Menge des produzierten FAME blieb in der EU seit 2016 nahezu konstant und lag zwischen 12,9 und 13,9 Mio. t, wofür 13,7 bis 14,7 Mio. t Pflanzenöl oder UCO benötigt werden „ source: DBFZ Bericht von Doris, p. 329</t>
      </text>
    </comment>
    <comment ref="H16" authorId="1" shapeId="0" xr:uid="{3F6780FE-8283-4321-B855-6B77DB777DF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5 Study 2, p. 13: 66.18% UCO and 33.82% Animal Fat </t>
      </text>
    </comment>
    <comment ref="F23" authorId="2" shapeId="0" xr:uid="{F2DAB838-1E58-4473-9EFE-8779F98D24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absolute jährliche Menge des produzierten FAME blieb in der EU seit 2016 nahezu konstant und lag zwischen 12,9 und 13,9 Mio. t, wofür 13,7 bis 14,7 Mio. t Pflanzenöl oder UCO benötigt werden „ source: DBFZ Bericht von Doris, p. 329</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tc={1844D9B9-D753-43CD-996F-3A1CD47F2749}</author>
    <author>tc={0574B273-E958-4321-9021-1C2FD2D0B449}</author>
    <author>tc={987ADBBE-A7FE-480F-B073-F6F93939DAF1}</author>
    <author>tc={9C3F8F20-850C-444A-A52A-F5FA31FB9D84}</author>
    <author>tc={CA522FD6-A7F3-4FC1-9237-C92C68A39A6F}</author>
    <author>tc={3BEEB3B5-224D-40DB-BEF2-1772702DBB29}</author>
    <author>tc={D535E9BC-B234-477A-8784-A426DC8E5046}</author>
    <author>tc={22A898D0-2709-48CC-839D-2523F996E098}</author>
    <author>tc={493F74AF-2A09-4E74-B4C9-6BB1E82C433D}</author>
    <author>tc={A509A000-97C5-477C-8BFB-C3D038D9F7EB}</author>
    <author>tc={002BC00E-A464-44A6-AD75-F4332DDBA79D}</author>
    <author>tc={971AC4B3-2A62-4BC1-901B-F5C8F408B28E}</author>
    <author>tc={6180C6CB-4897-49D4-AED6-84DBCEAA8995}</author>
    <author>tc={6A34C358-8E12-40C5-8EC8-02E8B1C36964}</author>
    <author>tc={462E3CEB-7D13-4DAD-84D3-52C00F425A4C}</author>
    <author>tc={7EE4E5C2-9D0E-47F1-A684-062CE4E29991}</author>
  </authors>
  <commentList>
    <comment ref="C7" authorId="0" shapeId="0" xr:uid="{1844D9B9-D753-43CD-996F-3A1CD47F274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11" authorId="1" shapeId="0" xr:uid="{0574B273-E958-4321-9021-1C2FD2D0B44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13" authorId="2" shapeId="0" xr:uid="{987ADBBE-A7FE-480F-B073-F6F93939DAF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C18" authorId="3" shapeId="0" xr:uid="{9C3F8F20-850C-444A-A52A-F5FA31FB9D8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C23" authorId="4" shapeId="0" xr:uid="{CA522FD6-A7F3-4FC1-9237-C92C68A39A6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25" authorId="5" shapeId="0" xr:uid="{3BEEB3B5-224D-40DB-BEF2-1772702DBB2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asumed it to be the same as for agroprocessing</t>
      </text>
    </comment>
    <comment ref="C32" authorId="6" shapeId="0" xr:uid="{D535E9BC-B234-477A-8784-A426DC8E504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D32" authorId="7" shapeId="0" xr:uid="{22A898D0-2709-48CC-839D-2523F996E09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just picked any number for now, but value is still missing</t>
      </text>
    </comment>
    <comment ref="C45" authorId="8" shapeId="0" xr:uid="{493F74AF-2A09-4E74-B4C9-6BB1E82C433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D45" authorId="9" shapeId="0" xr:uid="{A509A000-97C5-477C-8BFB-C3D038D9F7E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Check!</t>
      </text>
    </comment>
    <comment ref="C47" authorId="10" shapeId="0" xr:uid="{002BC00E-A464-44A6-AD75-F4332DDBA79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49" authorId="11" shapeId="0" xr:uid="{971AC4B3-2A62-4BC1-901B-F5C8F408B2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60" authorId="12" shapeId="0" xr:uid="{6180C6CB-4897-49D4-AED6-84DBCEAA89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62" authorId="13" shapeId="0" xr:uid="{6A34C358-8E12-40C5-8EC8-02E8B1C369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73" authorId="14" shapeId="0" xr:uid="{462E3CEB-7D13-4DAD-84D3-52C00F425A4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75" authorId="15" shapeId="0" xr:uid="{7EE4E5C2-9D0E-47F1-A684-062CE4E2999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tc={709ABB52-4FDF-4900-AB8C-356FC45B5524}</author>
    <author>tc={CBD50B0B-E4AF-4A07-B3DC-4DDD7CC8BF01}</author>
    <author>tc={16E3288C-F0E7-4D2D-996C-2D5FCEA16577}</author>
    <author>tc={C458FFF9-54D8-4E68-9FAF-07FAB4E553D0}</author>
    <author>tc={9C551C7F-D85A-41A2-9AEE-19E98504B18C}</author>
    <author>tc={39C4A11F-E8DF-4DDC-89FF-1E2209BDFA9F}</author>
  </authors>
  <commentList>
    <comment ref="E2" authorId="0" shapeId="0" xr:uid="{709ABB52-4FDF-4900-AB8C-356FC45B552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Note: In Annex 4 of Study 2: 20 years lifetime; but from that I deducted the  construction and ramp-up time (usually 4 years together)</t>
      </text>
    </comment>
    <comment ref="F2" authorId="1" shapeId="0" xr:uid="{CBD50B0B-E4AF-4A07-B3DC-4DDD7CC8BF0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4 of Study 2
</t>
      </text>
    </comment>
    <comment ref="E3" authorId="2" shapeId="0" xr:uid="{16E3288C-F0E7-4D2D-996C-2D5FCEA1657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Annex 4, p. 23</t>
      </text>
    </comment>
    <comment ref="D8" authorId="3" shapeId="0" xr:uid="{C458FFF9-54D8-4E68-9FAF-07FAB4E553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There are two different IVCs for 6, took the middle of both</t>
      </text>
    </comment>
    <comment ref="A9" authorId="4" shapeId="0" xr:uid="{9C551C7F-D85A-41A2-9AEE-19E98504B18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Municipal solid waste</t>
      </text>
    </comment>
    <comment ref="A10" authorId="5" shapeId="0" xr:uid="{39C4A11F-E8DF-4DDC-89FF-1E2209BDFA9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Manure, agro-residues,sequential crops </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tc={C30ED3D0-0E0F-47D3-8638-B93DB9B07984}</author>
    <author>tc={1F21DFED-FAB1-4B02-8788-4D21CA442E02}</author>
    <author>tc={AF3D5C21-FDA3-444B-AD33-12C70BA18166}</author>
  </authors>
  <commentList>
    <comment ref="D13" authorId="0" shapeId="0" xr:uid="{C30ED3D0-0E0F-47D3-8638-B93DB9B0798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Annex 4 Study 2, p. 74</t>
      </text>
    </comment>
    <comment ref="D18" authorId="1" shapeId="0" xr:uid="{1F21DFED-FAB1-4B02-8788-4D21CA442E0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4 Study 2, p. 83</t>
      </text>
    </comment>
    <comment ref="D29" authorId="2" shapeId="0" xr:uid="{AF3D5C21-FDA3-444B-AD33-12C70BA1816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4 Study 2, p. 83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<sst xmlns="http://schemas.openxmlformats.org/spreadsheetml/2006/main" count="6717" uniqueCount="442">
  <si>
    <t>IVC 1</t>
  </si>
  <si>
    <t>IVC 2</t>
  </si>
  <si>
    <t>Oil crops abandoned, degraded, intercropping</t>
  </si>
  <si>
    <t>Source</t>
  </si>
  <si>
    <t>IVC13a</t>
  </si>
  <si>
    <t>Straw</t>
  </si>
  <si>
    <t>Prunings &amp; damaged crops</t>
  </si>
  <si>
    <t>Agroprocessing residues - maize cobs</t>
  </si>
  <si>
    <t>Lignocrops abandoned degraded</t>
  </si>
  <si>
    <t>Lignocrops inter &amp; cover cropping</t>
  </si>
  <si>
    <t>Primary forestry residues</t>
  </si>
  <si>
    <t>Secondary forest residues</t>
  </si>
  <si>
    <t>Biowastes - Post consumer wood</t>
  </si>
  <si>
    <t>Study 2, p. 124</t>
  </si>
  <si>
    <t>Price estimate [€/t]</t>
  </si>
  <si>
    <t>520 €/t</t>
  </si>
  <si>
    <t>IVC 5</t>
  </si>
  <si>
    <t>Intermediate Bioenergy carrier (ethanol, methanol)</t>
  </si>
  <si>
    <t>IVC 6</t>
  </si>
  <si>
    <t xml:space="preserve">IVC 7 </t>
  </si>
  <si>
    <t>Prunings &amp; damaged crops (olive stones excluded)</t>
  </si>
  <si>
    <t>Agroprocessing residues</t>
  </si>
  <si>
    <t xml:space="preserve">Manure </t>
  </si>
  <si>
    <t>Sewage sludge</t>
  </si>
  <si>
    <t>Biowastes (post consumer woods excluded)</t>
  </si>
  <si>
    <t>Intermediate Bioenergy carrier (crude glycerine)</t>
  </si>
  <si>
    <t>Intermediate Bioenergy carrier (FPBO with lower quality)</t>
  </si>
  <si>
    <t>IVC 8a</t>
  </si>
  <si>
    <t>IVC 8b</t>
  </si>
  <si>
    <t>Intermediate Bioenergy carrier (biomethane)</t>
  </si>
  <si>
    <t>IVC 8c</t>
  </si>
  <si>
    <t>e-biofuel feedstocks (biogenic CO2 and hydrogen from electrolysis)</t>
  </si>
  <si>
    <t xml:space="preserve">IVC 9a </t>
  </si>
  <si>
    <t>Intermediate Bioenergy carriers (FPBO with lower quality )</t>
  </si>
  <si>
    <t>IVC 9b</t>
  </si>
  <si>
    <t>IVC 11a</t>
  </si>
  <si>
    <t>IVC 12</t>
  </si>
  <si>
    <t>Intermediate Bioenergy carriers (Syngas)</t>
  </si>
  <si>
    <t>Study 2, p. 97</t>
  </si>
  <si>
    <t>Study 2, p. 111</t>
  </si>
  <si>
    <t>Study 2, p. 193</t>
  </si>
  <si>
    <t>Eurostat sector</t>
  </si>
  <si>
    <t>A01: Products of agriculture, hunting and related services</t>
  </si>
  <si>
    <t>C20: Chemicals and chemical products</t>
  </si>
  <si>
    <t>A02: Products of forestry, logging and related services (en)</t>
  </si>
  <si>
    <t>E WATER SUPPLY; SEWERAGE, WASTE MANAGEMENT AND REMEDIATION SERVICES (en)</t>
  </si>
  <si>
    <t>E: WATER SUPPLY; SEWERAGE, WASTE MANAGEMENT AND REMEDIATION SERVICES (en); E37: Sewage services, sewage sludge</t>
  </si>
  <si>
    <t>A01: Products of agriculture, hunting and related services; A01.4: Live animals and animal products</t>
  </si>
  <si>
    <t>A01: Products of agriculture, hunting and related services (en); A01.1: non-perennial crops</t>
  </si>
  <si>
    <t>CPA_C10-12 (Food, beverages and tobacco products)</t>
  </si>
  <si>
    <t xml:space="preserve">CETO 2026, p. 29 </t>
  </si>
  <si>
    <t>share CAPEX</t>
  </si>
  <si>
    <t>share OPEX</t>
  </si>
  <si>
    <t>share feedstock costs</t>
  </si>
  <si>
    <t>OPEX [€/t]</t>
  </si>
  <si>
    <t>OVERALL costs</t>
  </si>
  <si>
    <t>CAPEX [€/t]</t>
  </si>
  <si>
    <t>IVC 2 - HVO</t>
  </si>
  <si>
    <t>IVC 2 - HEFA</t>
  </si>
  <si>
    <t>IVC 7</t>
  </si>
  <si>
    <t>IVC 9a</t>
  </si>
  <si>
    <t>IVC 11</t>
  </si>
  <si>
    <t>IVC 13a</t>
  </si>
  <si>
    <t>IVC 13b</t>
  </si>
  <si>
    <t>Natural gas</t>
  </si>
  <si>
    <t>Electricity</t>
  </si>
  <si>
    <t>Methanol</t>
  </si>
  <si>
    <t>Quantities</t>
  </si>
  <si>
    <t>0,014 MJ/MJ [FAME]</t>
  </si>
  <si>
    <t>0,0013 MJ/MJ[FAME]</t>
  </si>
  <si>
    <t>0,1 t/t[FAME]</t>
  </si>
  <si>
    <t>Coproducts</t>
  </si>
  <si>
    <t>Glycerol</t>
  </si>
  <si>
    <t>IVC 1 FAME</t>
  </si>
  <si>
    <t>IVC 2 HVO</t>
  </si>
  <si>
    <t>Intermediate Bioenergy carriers (biocrude, FPBO)</t>
  </si>
  <si>
    <t>B06: Crude petroleum and natural gas</t>
  </si>
  <si>
    <t>D35 Electricity, gas, steam and air conditioning supply</t>
  </si>
  <si>
    <t>Hydrogen</t>
  </si>
  <si>
    <t>0,037-0,176 MJ/MJ[HVO]</t>
  </si>
  <si>
    <t>0,03-0,095 MJ/MJ[HVO]</t>
  </si>
  <si>
    <t>bio-naphta, bio-LPG</t>
  </si>
  <si>
    <t>Converison factor [t product/ t feedstock]</t>
  </si>
  <si>
    <t>Oil crops abandoned</t>
  </si>
  <si>
    <t xml:space="preserve">Share distribution of feedstocks within IVC  2030 </t>
  </si>
  <si>
    <t xml:space="preserve">Share distribution of feedstocks within IVC  2050 </t>
  </si>
  <si>
    <t>Feestock cost to produce 1t of fuel</t>
  </si>
  <si>
    <t>C MANUFACTURED PRODUCTS, C17: Paper and paper products (en)</t>
  </si>
  <si>
    <t>C17 Paper and paper products (en)</t>
  </si>
  <si>
    <t>CHECK</t>
  </si>
  <si>
    <t xml:space="preserve">CHECK </t>
  </si>
  <si>
    <t>IVC 2 HEFA</t>
  </si>
  <si>
    <t>IVC 5 Advanced Ethanol</t>
  </si>
  <si>
    <t>IVC 5  ATJ-SPK</t>
  </si>
  <si>
    <t>Study 2, annex 4, page 40</t>
  </si>
  <si>
    <t>Lignin</t>
  </si>
  <si>
    <t>Biogenic CO2</t>
  </si>
  <si>
    <t>Vinasse</t>
  </si>
  <si>
    <t>OPEX [Mio€/y]</t>
  </si>
  <si>
    <t>OPEX/ CAPEX share [%]</t>
  </si>
  <si>
    <t>CAPEX [Mio€]</t>
  </si>
  <si>
    <t>Gasoline, Diesel</t>
  </si>
  <si>
    <t>Water from methanol synthesus</t>
  </si>
  <si>
    <t>biochar from gasification</t>
  </si>
  <si>
    <t>Advanced biodiesel</t>
  </si>
  <si>
    <t>Advanced biogasoline</t>
  </si>
  <si>
    <t>Advanced biogas</t>
  </si>
  <si>
    <t>Advanced bio-kerosene</t>
  </si>
  <si>
    <t>Advanced bio-HFO</t>
  </si>
  <si>
    <t xml:space="preserve">wird hier das Minuszeichen richtig in die Formel übernommen? </t>
  </si>
  <si>
    <t>Price of 1t of feedstock</t>
  </si>
  <si>
    <t>This sheet is mostly redundant since the price data is in th "feedstock MIX price per IVC " sheet. But references and Eurostat mapping in here</t>
  </si>
  <si>
    <t>NOTES</t>
  </si>
  <si>
    <t>Total Capex [M€]</t>
  </si>
  <si>
    <t>Capital Recovery factor</t>
  </si>
  <si>
    <t>IVC  5 (SAF)</t>
  </si>
  <si>
    <t xml:space="preserve">IVC 6 </t>
  </si>
  <si>
    <t>Energy and material inputs (OPEX?)</t>
  </si>
  <si>
    <t>Discount rate</t>
  </si>
  <si>
    <t>Specific Capex [€/kW]</t>
  </si>
  <si>
    <t>IVC 5 (adv eth)</t>
  </si>
  <si>
    <t>IVC 7 (MSW)</t>
  </si>
  <si>
    <t>IVC 7 (MCR)</t>
  </si>
  <si>
    <t>CAPEX Costs per IVC (marked in red = average value of stakeholder &amp; lit-based value taken)</t>
  </si>
  <si>
    <t>Average Plant size [MW]</t>
  </si>
  <si>
    <t>??</t>
  </si>
  <si>
    <t>Annual production of main output [t/yr]</t>
  </si>
  <si>
    <t>Annualized investment [€/ yr]</t>
  </si>
  <si>
    <t xml:space="preserve">IVC </t>
  </si>
  <si>
    <t>CAPEX share (€/t)</t>
  </si>
  <si>
    <t>2 (HEFA)</t>
  </si>
  <si>
    <t>2(HVO)</t>
  </si>
  <si>
    <t>5 (ethanol)</t>
  </si>
  <si>
    <t>5 (SAF)</t>
  </si>
  <si>
    <t>8a</t>
  </si>
  <si>
    <t xml:space="preserve">8b </t>
  </si>
  <si>
    <t>8c</t>
  </si>
  <si>
    <t>9a</t>
  </si>
  <si>
    <t>9b</t>
  </si>
  <si>
    <t>11a</t>
  </si>
  <si>
    <t>13a</t>
  </si>
  <si>
    <t>13b</t>
  </si>
  <si>
    <t>7 (MSW)</t>
  </si>
  <si>
    <t>7 (MCR)</t>
  </si>
  <si>
    <t>?</t>
  </si>
  <si>
    <t>value of Co-products [€)</t>
  </si>
  <si>
    <t>n.d.</t>
  </si>
  <si>
    <t xml:space="preserve">Average lifetime of production plant  [years] </t>
  </si>
  <si>
    <t>IVC</t>
  </si>
  <si>
    <t>Annual OPEX (M€/yr]</t>
  </si>
  <si>
    <t>Annual production [kt/yr]</t>
  </si>
  <si>
    <t>Note: values in red = medium value between lit-based and stakeholder-based values</t>
  </si>
  <si>
    <t>Problem: Annual OPEX costs do NOT include energy and material consumption costs, so these numbers are not really telling</t>
  </si>
  <si>
    <t xml:space="preserve">OPEX share (€/t) (only fixed) </t>
  </si>
  <si>
    <t>OPEX according to table 3-3 Study 2 [€/t]</t>
  </si>
  <si>
    <t>Question: zwo different  13b pathways, which one is the right?</t>
  </si>
  <si>
    <t>which IVC 6? Two possibilitoes</t>
  </si>
  <si>
    <t xml:space="preserve">Difference (= energy and mateiral consumption costs) </t>
  </si>
  <si>
    <t>what accounts for the extra OPEX</t>
  </si>
  <si>
    <t>green hydrogen</t>
  </si>
  <si>
    <t>Tall Oil</t>
  </si>
  <si>
    <t>FPBO, biocrude</t>
  </si>
  <si>
    <t>Tall oil</t>
  </si>
  <si>
    <t xml:space="preserve">Share per feedstock of overall feedstock mix (2030 high) </t>
  </si>
  <si>
    <t>Share per feedstock of overall feedstock mix (2030 medium)</t>
  </si>
  <si>
    <t>Share of feedstock  2030 medium</t>
  </si>
  <si>
    <t>IVC 7  (MCR)</t>
  </si>
  <si>
    <t>LCoP 2030 medium [€/t]</t>
  </si>
  <si>
    <t>LCoP 2030 high [€/t]</t>
  </si>
  <si>
    <t xml:space="preserve">12 (aviation) </t>
  </si>
  <si>
    <t>12 (road)</t>
  </si>
  <si>
    <t>IVC 12 (road)</t>
  </si>
  <si>
    <t xml:space="preserve">IVC 12 (aviation) </t>
  </si>
  <si>
    <t>For comparison: values from study 2 table 3-3</t>
  </si>
  <si>
    <t>IVC 2 (HVO)</t>
  </si>
  <si>
    <t>IVC (HEFA)</t>
  </si>
  <si>
    <t>obwohl die stakeholder values höher waren</t>
  </si>
  <si>
    <t>this makes sense since stakeholder values are higher than lit-based ones</t>
  </si>
  <si>
    <t>idea: split construction time and ramp up time</t>
  </si>
  <si>
    <t>Avergae plant size had different values in figure 3-4; took the value from table 3-2 instead</t>
  </si>
  <si>
    <t>12 road</t>
  </si>
  <si>
    <t>12 aviation</t>
  </si>
  <si>
    <t>7 all</t>
  </si>
  <si>
    <t>assumption: 10% of IVC 7 is made with MSW and 90% with MCR</t>
  </si>
  <si>
    <t>revise whether this very low feedstock price is reasonable --&gt; makes the LCoP much lower than in Study 2</t>
  </si>
  <si>
    <t>Feedstock</t>
  </si>
  <si>
    <t>of which IVC 1</t>
  </si>
  <si>
    <t>of which  IVC 2</t>
  </si>
  <si>
    <t>of which IVC 13a</t>
  </si>
  <si>
    <t>TOTAL</t>
  </si>
  <si>
    <t>in t</t>
  </si>
  <si>
    <t>in Mtoe</t>
  </si>
  <si>
    <t>Capex share</t>
  </si>
  <si>
    <t>CAPEX  (€/t)</t>
  </si>
  <si>
    <t>OPEX  (€/t)</t>
  </si>
  <si>
    <t xml:space="preserve">Feedstock mix  (€/t) (in 2030 high) </t>
  </si>
  <si>
    <t>OPEX share</t>
  </si>
  <si>
    <t>Feedstock share</t>
  </si>
  <si>
    <t xml:space="preserve">Costs of production </t>
  </si>
  <si>
    <t>Cost of production</t>
  </si>
  <si>
    <t xml:space="preserve">Feedstock mix  (€/t) (in 2030 medium) </t>
  </si>
  <si>
    <t>CAPEX  share</t>
  </si>
  <si>
    <t>Feedstock share of costs</t>
  </si>
  <si>
    <t>CAPEX share of costs</t>
  </si>
  <si>
    <t>OPEX share of costs</t>
  </si>
  <si>
    <t>Absolute OPEX</t>
  </si>
  <si>
    <t>of which IVC 5</t>
  </si>
  <si>
    <t xml:space="preserve">Cost spent per IVC </t>
  </si>
  <si>
    <t>of which</t>
  </si>
  <si>
    <t>Paper and paper products</t>
  </si>
  <si>
    <t>Chemicals and chemical products</t>
  </si>
  <si>
    <t>Food, beverages and tobacco products</t>
  </si>
  <si>
    <t>Products of agriculture, hunting and related services</t>
  </si>
  <si>
    <t>Sewerage services; sewage sludge; waste collection, treatment and disposal services; materials recovery services; remediation services and other waste management services</t>
  </si>
  <si>
    <t>TOTALS</t>
  </si>
  <si>
    <t>Prices of feedstocks</t>
  </si>
  <si>
    <t xml:space="preserve">(Old) Share of feedstock  2030 medium (NOT taking into account feedstock split) </t>
  </si>
  <si>
    <t>money [€] spent on each feedtsock when producing 1t of product (and weighted feedstock mix cost)</t>
  </si>
  <si>
    <t xml:space="preserve">(old) Share per feedstock 2030 high </t>
  </si>
  <si>
    <r>
      <t xml:space="preserve">NEW share of feedstock mix 2030 </t>
    </r>
    <r>
      <rPr>
        <b/>
        <i/>
        <u/>
        <sz val="11"/>
        <color theme="1"/>
        <rFont val="Aptos Narrow"/>
        <family val="2"/>
        <scheme val="minor"/>
      </rPr>
      <t>medium</t>
    </r>
    <r>
      <rPr>
        <b/>
        <sz val="11"/>
        <color theme="1"/>
        <rFont val="Aptos Narrow"/>
        <family val="2"/>
        <scheme val="minor"/>
      </rPr>
      <t xml:space="preserve"> (taking into account the feedstock split in 2030)</t>
    </r>
  </si>
  <si>
    <r>
      <t xml:space="preserve">NEW share of feedstock mix 2030 </t>
    </r>
    <r>
      <rPr>
        <b/>
        <i/>
        <u/>
        <sz val="11"/>
        <color theme="1"/>
        <rFont val="Aptos Narrow"/>
        <family val="2"/>
        <scheme val="minor"/>
      </rPr>
      <t>high</t>
    </r>
    <r>
      <rPr>
        <b/>
        <sz val="11"/>
        <color theme="1"/>
        <rFont val="Aptos Narrow"/>
        <family val="2"/>
        <scheme val="minor"/>
      </rPr>
      <t xml:space="preserve"> (taking into account the feedstock split in 2030)</t>
    </r>
  </si>
  <si>
    <t>IVC 12 (aviation)</t>
  </si>
  <si>
    <t>2030 medium</t>
  </si>
  <si>
    <t>2030 high</t>
  </si>
  <si>
    <t>I am assuming the feedstock split to be as in 2030 medium</t>
  </si>
  <si>
    <t>money [€] spent on each feedtsock when producing 1t of product</t>
  </si>
  <si>
    <t>IVC13a (road)</t>
  </si>
  <si>
    <t>IVC 13b (road)</t>
  </si>
  <si>
    <t>IVC 13b (aviation/ HFO)</t>
  </si>
  <si>
    <t>IVC13a (aviation/ HFO)</t>
  </si>
  <si>
    <t>13a /road)</t>
  </si>
  <si>
    <t>13a (aviation/ HFO)</t>
  </si>
  <si>
    <t>13a (road)</t>
  </si>
  <si>
    <t>13b (road)</t>
  </si>
  <si>
    <t>13b (aviation)</t>
  </si>
  <si>
    <t>13a (aviation, HFO)</t>
  </si>
  <si>
    <t>13b (aviation, HFO)</t>
  </si>
  <si>
    <t>of which IVC 7</t>
  </si>
  <si>
    <t>Conversion factor [t/toe]</t>
  </si>
  <si>
    <t>Cost of production [€/t]</t>
  </si>
  <si>
    <t>IVC 7  (MCR + MSW)</t>
  </si>
  <si>
    <t>Absolute feedstock costs [€]</t>
  </si>
  <si>
    <t>Absoluet CAPEX [€]</t>
  </si>
  <si>
    <t>Absolute OPEX [€]</t>
  </si>
  <si>
    <t>Machinery and equipment n.e.c.</t>
  </si>
  <si>
    <t>Fabricated metal products</t>
  </si>
  <si>
    <t>Electrical equipment</t>
  </si>
  <si>
    <t>Constructions and construction works</t>
  </si>
  <si>
    <t>Architectural and engineering services; technical testing and analysis services</t>
  </si>
  <si>
    <t>CAPEX distribution</t>
  </si>
  <si>
    <t>Computer, electronic and optical products</t>
  </si>
  <si>
    <t>Electricity, gas, steam and air conditioning</t>
  </si>
  <si>
    <t>Legal and accounting services; services of head offices; management consultancy services</t>
  </si>
  <si>
    <t>Repair and installation services of machinery and equipment</t>
  </si>
  <si>
    <t>Land transport services and transport services via pipelines</t>
  </si>
  <si>
    <t>ENTIRE production costs</t>
  </si>
  <si>
    <t>Products of forestry, logging and related services</t>
  </si>
  <si>
    <t>or does that rather come from a biofuels sector directly?</t>
  </si>
  <si>
    <t>include this as a SELLING product in the IO</t>
  </si>
  <si>
    <t>Conventional biodiesel</t>
  </si>
  <si>
    <t>rapeseed oil</t>
  </si>
  <si>
    <t>soybean oil</t>
  </si>
  <si>
    <t>palm oil</t>
  </si>
  <si>
    <t>sunflower oil</t>
  </si>
  <si>
    <t>Rapeseed oil</t>
  </si>
  <si>
    <t>Soybean oil</t>
  </si>
  <si>
    <t>Sunflower oil</t>
  </si>
  <si>
    <t>Palm oil</t>
  </si>
  <si>
    <t>Share of feedstock CETO report 2026, p. 27)</t>
  </si>
  <si>
    <t>UCO</t>
  </si>
  <si>
    <t>Conventional biogasoline (Ethanol)</t>
  </si>
  <si>
    <t>Wheat kernels</t>
  </si>
  <si>
    <t>corn kernsels</t>
  </si>
  <si>
    <t>triticale</t>
  </si>
  <si>
    <t>Barely Kernels</t>
  </si>
  <si>
    <t>Rye Kernels</t>
  </si>
  <si>
    <t>Sugar Beets</t>
  </si>
  <si>
    <t>source: CETO 2026 report, p. 28</t>
  </si>
  <si>
    <t>Origin</t>
  </si>
  <si>
    <t>primarily EU</t>
  </si>
  <si>
    <t>Price of 1t of feedstock [€/t]</t>
  </si>
  <si>
    <t>transesterification of food/feed crops</t>
  </si>
  <si>
    <t>transesterification of cover crops from marginal lands</t>
  </si>
  <si>
    <t>transesterification of UCO and AF</t>
  </si>
  <si>
    <t>hydrotreatment of cover crops from marginal lands (non-aviation part)</t>
  </si>
  <si>
    <t>hydrotreatment of food/feed crops</t>
  </si>
  <si>
    <t>Absolute feedstock costs [€/t product]</t>
  </si>
  <si>
    <t>CAPEX share</t>
  </si>
  <si>
    <t>Absolute CAPEX</t>
  </si>
  <si>
    <t>60% imported</t>
  </si>
  <si>
    <t>imported</t>
  </si>
  <si>
    <t>Animal fat</t>
  </si>
  <si>
    <t>domestic</t>
  </si>
  <si>
    <t>ethanol fermentation of food/ feed crops</t>
  </si>
  <si>
    <t>TOTAL absolute costs [€/ t product]</t>
  </si>
  <si>
    <t>for now just any number</t>
  </si>
  <si>
    <t>Machinery and equipment</t>
  </si>
  <si>
    <t>Architectural and engineering services</t>
  </si>
  <si>
    <t>Chemical and chemical products</t>
  </si>
  <si>
    <t>Electricity, gas, steam &amp; AC</t>
  </si>
  <si>
    <t>Repair and installation services</t>
  </si>
  <si>
    <t>Waster management services</t>
  </si>
  <si>
    <t>HEFA (aviationn) hydrotreatment of UCO and AF</t>
  </si>
  <si>
    <t>HVO (road) hydrotreatment of UCO and AF</t>
  </si>
  <si>
    <t>POME</t>
  </si>
  <si>
    <t>of which transestification of food/ feed crops</t>
  </si>
  <si>
    <t>of which hydrotreatment of food/ feed crops</t>
  </si>
  <si>
    <t>animal fats</t>
  </si>
  <si>
    <t>UCO domestic</t>
  </si>
  <si>
    <t>UCO imported</t>
  </si>
  <si>
    <t>pirmarily EU</t>
  </si>
  <si>
    <t>Share of feedstock mix</t>
  </si>
  <si>
    <t>Conventional ethnaol</t>
  </si>
  <si>
    <t>cover crops</t>
  </si>
  <si>
    <t>20-145</t>
  </si>
  <si>
    <t xml:space="preserve">40% domestic </t>
  </si>
  <si>
    <t>Total production costs</t>
  </si>
  <si>
    <t>Animal Fat</t>
  </si>
  <si>
    <t>TOTAL:</t>
  </si>
  <si>
    <t xml:space="preserve">Therefore, shares: </t>
  </si>
  <si>
    <t>Share of total costs</t>
  </si>
  <si>
    <t>TOTALS domestic</t>
  </si>
  <si>
    <t>TOTAL imported</t>
  </si>
  <si>
    <t>ALL</t>
  </si>
  <si>
    <t xml:space="preserve">from: </t>
  </si>
  <si>
    <t xml:space="preserve">TOTALS </t>
  </si>
  <si>
    <t xml:space="preserve">Assumptions: </t>
  </si>
  <si>
    <t>technical capacity = cmc</t>
  </si>
  <si>
    <t>feedstock availability: 2030 medium</t>
  </si>
  <si>
    <r>
      <t xml:space="preserve">Contribution of each IVC to final product in Scenario (1) </t>
    </r>
    <r>
      <rPr>
        <b/>
        <sz val="11"/>
        <color theme="1"/>
        <rFont val="Aptos Narrow"/>
        <family val="2"/>
        <scheme val="minor"/>
      </rPr>
      <t>2030</t>
    </r>
  </si>
  <si>
    <t>Money spent on each IVC</t>
  </si>
  <si>
    <t>produced in Mtoe</t>
  </si>
  <si>
    <t xml:space="preserve">produced in t </t>
  </si>
  <si>
    <t>TOTAL production costs</t>
  </si>
  <si>
    <t>of which IVC 2 HVO</t>
  </si>
  <si>
    <t xml:space="preserve">of which 13a (half) </t>
  </si>
  <si>
    <t>of whch IVC 13b (maritime)</t>
  </si>
  <si>
    <t>of which from IVC 5</t>
  </si>
  <si>
    <t xml:space="preserve">of which 13b (road) </t>
  </si>
  <si>
    <t>TOTALS imported</t>
  </si>
  <si>
    <t>Note: in  Scenario 1 in 2030, this is only IVC  7 because IVC 9a is used as input for IVC 12</t>
  </si>
  <si>
    <t xml:space="preserve">FPBO (Intermediate bioenergy carrier) </t>
  </si>
  <si>
    <t>Biocrude (Intermediate Bioenergy carrier)</t>
  </si>
  <si>
    <t>Biogasoline</t>
  </si>
  <si>
    <t>of which 12 (road)</t>
  </si>
  <si>
    <t>of which IVC 11a</t>
  </si>
  <si>
    <t>IVC 11a (SAF)</t>
  </si>
  <si>
    <t>IVC 11a (road, diesel)</t>
  </si>
  <si>
    <t>11a (road)</t>
  </si>
  <si>
    <t>11a (SAF)</t>
  </si>
  <si>
    <t>of which 8a</t>
  </si>
  <si>
    <t>since n.d. on CAPEX and OPEX, I just took the final Lco from  tabel 3-3 and made estimates about the three shares</t>
  </si>
  <si>
    <r>
      <t xml:space="preserve">Contribution of each IVC to final product in Scenario (2) </t>
    </r>
    <r>
      <rPr>
        <b/>
        <sz val="11"/>
        <color theme="1"/>
        <rFont val="Aptos Narrow"/>
        <family val="2"/>
        <scheme val="minor"/>
      </rPr>
      <t>2030</t>
    </r>
  </si>
  <si>
    <r>
      <t xml:space="preserve">feedstock availability: 2030 </t>
    </r>
    <r>
      <rPr>
        <b/>
        <sz val="11"/>
        <color theme="1"/>
        <rFont val="Aptos Narrow"/>
        <family val="2"/>
        <scheme val="minor"/>
      </rPr>
      <t>high</t>
    </r>
  </si>
  <si>
    <r>
      <t xml:space="preserve">technical capacity = </t>
    </r>
    <r>
      <rPr>
        <b/>
        <sz val="11"/>
        <color theme="1"/>
        <rFont val="Aptos Narrow"/>
        <family val="2"/>
        <scheme val="minor"/>
      </rPr>
      <t>tcp</t>
    </r>
  </si>
  <si>
    <r>
      <t xml:space="preserve">Contribution of each IVC to final product in Scenario (2) </t>
    </r>
    <r>
      <rPr>
        <b/>
        <sz val="11"/>
        <color theme="1"/>
        <rFont val="Aptos Narrow"/>
        <family val="2"/>
        <scheme val="minor"/>
      </rPr>
      <t>2035</t>
    </r>
  </si>
  <si>
    <t>of which IVC 11a (road)</t>
  </si>
  <si>
    <t>biocrude (Intermediate Bioenergy carrier)</t>
  </si>
  <si>
    <t>rework</t>
  </si>
  <si>
    <t>of which IVC 11a (SAF)</t>
  </si>
  <si>
    <t>SUM</t>
  </si>
  <si>
    <t>Sum</t>
  </si>
  <si>
    <t>Chemicals</t>
  </si>
  <si>
    <t>Conventional bioodiesel</t>
  </si>
  <si>
    <t>but does this not need imported feedstocks?</t>
  </si>
  <si>
    <t>SUMME ALL advanced</t>
  </si>
  <si>
    <t>Production Conventional</t>
  </si>
  <si>
    <t>hydrotreatment of cover crops from marginal lands (non-aviation part) (road)</t>
  </si>
  <si>
    <t>hydrotreatment of UCO and AF (road)</t>
  </si>
  <si>
    <t>hydrotreatment of UCO and AF (aviation)</t>
  </si>
  <si>
    <t>Bio-Kerosene</t>
  </si>
  <si>
    <t>Conventional biogasoline</t>
  </si>
  <si>
    <t>ethanol fermentation of food/feed crops</t>
  </si>
  <si>
    <t>hydrotreatment of food/ feed crops</t>
  </si>
  <si>
    <t>transestification of UCO and AF (road)</t>
  </si>
  <si>
    <t>Of which IVC 13b</t>
  </si>
  <si>
    <r>
      <t xml:space="preserve">Contribution of each IVC to final product in Scenario (1) </t>
    </r>
    <r>
      <rPr>
        <b/>
        <sz val="11"/>
        <color theme="1"/>
        <rFont val="Aptos Narrow"/>
        <family val="2"/>
        <scheme val="minor"/>
      </rPr>
      <t>2035</t>
    </r>
  </si>
  <si>
    <r>
      <t xml:space="preserve">technical capacity = </t>
    </r>
    <r>
      <rPr>
        <b/>
        <sz val="11"/>
        <color theme="1"/>
        <rFont val="Aptos Narrow"/>
        <family val="2"/>
        <scheme val="minor"/>
      </rPr>
      <t>cmc</t>
    </r>
  </si>
  <si>
    <t>of which 13b (aviation)</t>
  </si>
  <si>
    <t>2050 high</t>
  </si>
  <si>
    <t>2040 with 2030 medium and 2050 high</t>
  </si>
  <si>
    <r>
      <t xml:space="preserve">feedstock availability: 2035 with </t>
    </r>
    <r>
      <rPr>
        <b/>
        <sz val="11"/>
        <color theme="1"/>
        <rFont val="Aptos Narrow"/>
        <family val="2"/>
        <scheme val="minor"/>
      </rPr>
      <t>2030 medium and 2050 high</t>
    </r>
  </si>
  <si>
    <t xml:space="preserve">assuming the feedstock split from 2030 medium </t>
  </si>
  <si>
    <r>
      <t xml:space="preserve">Contribution of each IVC to final product in Scenario (1) </t>
    </r>
    <r>
      <rPr>
        <b/>
        <sz val="11"/>
        <color theme="1"/>
        <rFont val="Aptos Narrow"/>
        <family val="2"/>
        <scheme val="minor"/>
      </rPr>
      <t xml:space="preserve">2040 </t>
    </r>
  </si>
  <si>
    <r>
      <t>feedstock availability:</t>
    </r>
    <r>
      <rPr>
        <b/>
        <sz val="11"/>
        <color theme="1"/>
        <rFont val="Aptos Narrow"/>
        <family val="2"/>
        <scheme val="minor"/>
      </rPr>
      <t xml:space="preserve"> 2030 medium and 2050 high</t>
    </r>
  </si>
  <si>
    <t>of which IVC 13b (maritime)</t>
  </si>
  <si>
    <t>Conventional bio-kerosene</t>
  </si>
  <si>
    <t>Sum ALL advanced</t>
  </si>
  <si>
    <t>Conventional biokerosene</t>
  </si>
  <si>
    <t>hydrotreatment of UCO/ animal fats</t>
  </si>
  <si>
    <t>ALL advanced biofuels</t>
  </si>
  <si>
    <t>ALLL CHECKED AND FINE</t>
  </si>
  <si>
    <t>CHECKED; ALL FINE</t>
  </si>
  <si>
    <t>n-d-</t>
  </si>
  <si>
    <t>Production RFNBOs</t>
  </si>
  <si>
    <t>of which IVC 8c</t>
  </si>
  <si>
    <t>of which IVC 9b</t>
  </si>
  <si>
    <t xml:space="preserve">cover crops from marginal land </t>
  </si>
  <si>
    <r>
      <t xml:space="preserve">technical capacity = </t>
    </r>
    <r>
      <rPr>
        <b/>
        <sz val="11"/>
        <color theme="1"/>
        <rFont val="Aptos Narrow"/>
        <family val="2"/>
        <scheme val="minor"/>
      </rPr>
      <t>no constraints</t>
    </r>
  </si>
  <si>
    <r>
      <t xml:space="preserve">Contribution of each IVC to final product in Scenario (3) </t>
    </r>
    <r>
      <rPr>
        <b/>
        <sz val="11"/>
        <color theme="1"/>
        <rFont val="Aptos Narrow"/>
        <family val="2"/>
        <scheme val="minor"/>
      </rPr>
      <t>2030</t>
    </r>
  </si>
  <si>
    <t>hydrotreatment of cover crops</t>
  </si>
  <si>
    <t>transestification of food/ feed crops</t>
  </si>
  <si>
    <t>market price [€/t]</t>
  </si>
  <si>
    <t>makret value of overall amount produced</t>
  </si>
  <si>
    <t>Market value</t>
  </si>
  <si>
    <t>Makret value of overall amount produced</t>
  </si>
  <si>
    <t>wheat kernels etc</t>
  </si>
  <si>
    <t>marrket price</t>
  </si>
  <si>
    <t>market value asbolute [€/t]</t>
  </si>
  <si>
    <t>IVC 2 (with imported POME)</t>
  </si>
  <si>
    <t>IVC 1 (with imported POME)</t>
  </si>
  <si>
    <t>EU but from imported soybeans</t>
  </si>
  <si>
    <t>NOTE: made of imported soybeans, pick up in discussion</t>
  </si>
  <si>
    <t>Mapping of the co-products</t>
  </si>
  <si>
    <t>Co-products</t>
  </si>
  <si>
    <t>crude glycerol</t>
  </si>
  <si>
    <t xml:space="preserve">chemicals </t>
  </si>
  <si>
    <t>Naphta</t>
  </si>
  <si>
    <t>Value of co-products</t>
  </si>
  <si>
    <t>What co-products</t>
  </si>
  <si>
    <t>Eurostat mapping</t>
  </si>
  <si>
    <t>Market price [€(t]</t>
  </si>
  <si>
    <t xml:space="preserve"> transestification of food/ feed crops</t>
  </si>
  <si>
    <t>2040 with 2030 high and 2050 high</t>
  </si>
  <si>
    <t>Market price</t>
  </si>
  <si>
    <t>Market value of amount produced</t>
  </si>
  <si>
    <t>Advanced  biogasoline</t>
  </si>
  <si>
    <r>
      <t xml:space="preserve">Contribution of each IVC to final product in Scenario (3) </t>
    </r>
    <r>
      <rPr>
        <b/>
        <sz val="11"/>
        <color theme="1"/>
        <rFont val="Aptos Narrow"/>
        <family val="2"/>
        <scheme val="minor"/>
      </rPr>
      <t xml:space="preserve">2040 </t>
    </r>
  </si>
  <si>
    <r>
      <t xml:space="preserve">technical capacity = </t>
    </r>
    <r>
      <rPr>
        <b/>
        <sz val="11"/>
        <color theme="1"/>
        <rFont val="Aptos Narrow"/>
        <family val="2"/>
        <scheme val="minor"/>
      </rPr>
      <t>no limitations</t>
    </r>
  </si>
  <si>
    <r>
      <t>feedstock availability:</t>
    </r>
    <r>
      <rPr>
        <b/>
        <sz val="11"/>
        <color theme="1"/>
        <rFont val="Aptos Narrow"/>
        <family val="2"/>
        <scheme val="minor"/>
      </rPr>
      <t xml:space="preserve"> 2030 high and 2050 high</t>
    </r>
  </si>
  <si>
    <t>RFNBOs</t>
  </si>
  <si>
    <t>check, for now I just took tehIVC 12  (aviation) numbers</t>
  </si>
  <si>
    <t>NONE</t>
  </si>
  <si>
    <t>Imported POME</t>
  </si>
  <si>
    <t>1 (with imported POME)</t>
  </si>
  <si>
    <t>transestification of UCO and AF</t>
  </si>
  <si>
    <t>for cosnumption</t>
  </si>
  <si>
    <t>as feedtsock for IVC 12</t>
  </si>
  <si>
    <t>as feedstock for IVC 8b</t>
  </si>
  <si>
    <t>for consumption</t>
  </si>
  <si>
    <t>(all as feedstock for IVC 12)</t>
  </si>
  <si>
    <t>Market value of ALLL biofule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</si>
</sst>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0.000"/>
    <numFmt numFmtId="165" formatCode="_-* #,##0.000_-;\-* #,##0.000_-;_-* &quot;-&quot;??_-;_-@_-"/>
    <numFmt numFmtId="166" formatCode="0.000000"/>
    <numFmt numFmtId="167" formatCode="_-* #,##0.00\ _€_-;\-* #,##0.00\ _€_-;_-* &quot;-&quot;??\ _€_-;_-@_-"/>
    <numFmt numFmtId="168" formatCode="0.00000"/>
    <numFmt numFmtId="169" formatCode="0.0"/>
    <numFmt numFmtId="170" formatCode="_-* #,##0.00000_-;\-* #,##0.00000_-;_-* &quot;-&quot;??_-;_-@_-"/>
    <numFmt numFmtId="171" formatCode="0.0000"/>
    <numFmt numFmtId="172" formatCode="0.00000%"/>
    <numFmt numFmtId="173" formatCode="_-* #,##0.0000_-;\-* #,##0.0000_-;_-* &quot;-&quot;??_-;_-@_-"/>
    <numFmt numFmtId="174" formatCode="_-* #,##0_-;\-* #,##0_-;_-* &quot;-&quot;??_-;_-@_-"/>
    <numFmt numFmtId="175" formatCode="_-* #,##0.000000_-;\-* #,##0.000000_-;_-* &quot;-&quot;??_-;_-@_-"/>
    <numFmt numFmtId="176" formatCode="_-* #,##0.000000_-;\-* #,##0.000000_-;_-* &quot;-&quot;??????_-;_-@_-"/>
    <numFmt numFmtId="177" formatCode="0.0000%"/>
    <numFmt numFmtId="178" formatCode="_-* #,##0.00000_-;\-* #,##0.00000_-;_-* &quot;-&quot;?????_-;_-@_-"/>
  </numFmts>
  <fonts count="26" x14ac:knownFonts="1">
    <font>
      <sz val="11"/>
      <color theme="1"/>
      <name val="Aptos Narrow"/>
      <family val="2"/>
      <scheme val="minor"/>
    </font>
    <font>
      <sz val="11"/>
      <color theme="1"/>
      <name val="Aptos Narrow"/>
      <family val="2"/>
      <scheme val="minor"/>
    </font>
    <font>
      <sz val="11"/>
      <name val="Aptos Narrow"/>
      <family val="2"/>
      <scheme val="minor"/>
    </font>
    <font>
      <b/>
      <sz val="11"/>
      <color theme="3"/>
      <name val="Aptos Narrow"/>
      <family val="2"/>
      <scheme val="minor"/>
    </font>
    <font>
      <sz val="11"/>
      <color rgb="FFFF0000"/>
      <name val="Aptos Narrow"/>
      <family val="2"/>
      <scheme val="minor"/>
    </font>
    <font>
      <b/>
      <sz val="11"/>
      <color theme="1"/>
      <name val="Aptos Narrow"/>
      <family val="2"/>
      <scheme val="minor"/>
    </font>
    <font>
      <b/>
      <sz val="11"/>
      <color rgb="FF7030A0"/>
      <name val="Aptos Narrow"/>
      <family val="2"/>
      <scheme val="minor"/>
    </font>
    <font>
      <b/>
      <sz val="11"/>
      <color rgb="FF00B0F0"/>
      <name val="Aptos Narrow"/>
      <family val="2"/>
      <scheme val="minor"/>
    </font>
    <font>
      <b/>
      <sz val="11"/>
      <name val="Aptos Narrow"/>
      <family val="2"/>
      <scheme val="minor"/>
    </font>
    <font>
      <sz val="11"/>
      <color rgb="FF212529"/>
      <name val="Calibri"/>
      <family val="2"/>
    </font>
    <font>
      <sz val="11"/>
      <color rgb="FFFF0000"/>
      <name val="Calibri"/>
      <family val="2"/>
    </font>
    <font>
      <sz val="11"/>
      <color theme="0"/>
      <name val="Aptos Narrow"/>
      <family val="2"/>
      <scheme val="minor"/>
    </font>
    <font>
      <sz val="11"/>
      <color theme="0" tint="-0.499984740745262"/>
      <name val="Aptos Narrow"/>
      <family val="2"/>
      <scheme val="minor"/>
    </font>
    <font>
      <b/>
      <sz val="11"/>
      <color theme="0" tint="-0.499984740745262"/>
      <name val="Aptos Narrow"/>
      <family val="2"/>
      <scheme val="minor"/>
    </font>
    <font>
      <sz val="11"/>
      <name val="Calibri"/>
      <family val="2"/>
    </font>
    <font>
      <sz val="11"/>
      <color theme="0" tint="-0.499984740745262"/>
      <name val="Calibri"/>
      <family val="2"/>
    </font>
    <font>
      <b/>
      <i/>
      <u/>
      <sz val="11"/>
      <color theme="1"/>
      <name val="Aptos Narrow"/>
      <family val="2"/>
      <scheme val="minor"/>
    </font>
    <font>
      <sz val="11"/>
      <color rgb="FF7030A0"/>
      <name val="Aptos Narrow"/>
      <family val="2"/>
      <scheme val="minor"/>
    </font>
    <font>
      <b/>
      <sz val="11"/>
      <color rgb="FF212529"/>
      <name val="Calibri"/>
      <family val="2"/>
    </font>
    <font>
      <b/>
      <sz val="9"/>
      <name val="Arial"/>
      <family val="2"/>
    </font>
    <font>
      <b/>
      <sz val="11"/>
      <color rgb="FFFF0000"/>
      <name val="Aptos Narrow"/>
      <family val="2"/>
      <scheme val="minor"/>
    </font>
    <font>
      <sz val="11"/>
      <color rgb="FFFF00FF"/>
      <name val="Aptos Narrow"/>
      <family val="2"/>
      <scheme val="minor"/>
    </font>
    <font>
      <b/>
      <sz val="11"/>
      <color rgb="FFFF00FF"/>
      <name val="Aptos Narrow"/>
      <family val="2"/>
      <scheme val="minor"/>
    </font>
    <font>
      <sz val="9"/>
      <color indexed="81"/>
      <name val="Segoe UI"/>
      <charset val="1"/>
    </font>
    <font>
      <b/>
      <sz val="9"/>
      <color indexed="81"/>
      <name val="Segoe UI"/>
      <charset val="1"/>
    </font>
    <font>
      <sz val="11"/>
      <color rgb="FF0070C0"/>
      <name val="Aptos Narrow"/>
      <family val="2"/>
      <scheme val="minor"/>
    </font>
  </fonts>
  <fills count="34">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5" tint="-0.249977111117893"/>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theme="3" tint="0.249977111117893"/>
        <bgColor indexed="64"/>
      </patternFill>
    </fill>
    <fill>
      <patternFill patternType="solid">
        <fgColor theme="0"/>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s>
  <borders count="7">
    <border>
      <left/>
      <right/>
      <top/>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9.9948118533890809E-2"/>
      </left>
      <right style="hair">
        <color theme="2" tint="-9.9948118533890809E-2"/>
      </right>
      <top style="hair">
        <color theme="2" tint="-9.9948118533890809E-2"/>
      </top>
      <bottom style="hair">
        <color theme="2" tint="-9.9948118533890809E-2"/>
      </bottom>
      <diagonal/>
    </border>
    <border>
      <left style="hair">
        <color theme="2" tint="-0.24994659260841701"/>
      </left>
      <right style="hair">
        <color theme="2" tint="-0.24994659260841701"/>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cellStyleXfs>
  <cellXfs count="316">
    <xf numFmtId="0" fontId="0" fillId="0" borderId="0" xfId="0"/>
    <xf numFmtId="43" fontId="0" fillId="0" borderId="0" xfId="1" applyFont="1"/>
    <xf numFmtId="43" fontId="0" fillId="0" borderId="0" xfId="0" applyNumberFormat="1"/>
    <xf numFmtId="9" fontId="0" fillId="0" borderId="0" xfId="2" applyFont="1"/>
    <xf numFmtId="2" fontId="0" fillId="0" borderId="1" xfId="0" applyNumberFormat="1" applyBorder="1"/>
    <xf numFmtId="0" fontId="0" fillId="0" borderId="1" xfId="0" applyBorder="1" applyAlignment="1">
      <alignment vertical="top"/>
    </xf>
    <xf numFmtId="2" fontId="0" fillId="0" borderId="0" xfId="0" applyNumberFormat="1"/>
    <xf numFmtId="0" fontId="0" fillId="0" borderId="1" xfId="0" applyBorder="1"/>
    <xf numFmtId="0" fontId="6" fillId="0" borderId="1" xfId="0" applyFont="1" applyBorder="1"/>
    <xf numFmtId="2" fontId="0" fillId="2" borderId="0" xfId="0" applyNumberFormat="1" applyFill="1"/>
    <xf numFmtId="0" fontId="0" fillId="2" borderId="0" xfId="0" applyFill="1"/>
    <xf numFmtId="0" fontId="2" fillId="2" borderId="0" xfId="0" applyFont="1" applyFill="1"/>
    <xf numFmtId="0" fontId="2" fillId="0" borderId="1" xfId="0" applyFont="1" applyBorder="1" applyAlignment="1">
      <alignment vertical="top"/>
    </xf>
    <xf numFmtId="0" fontId="6" fillId="0" borderId="1" xfId="0" applyFont="1" applyBorder="1" applyAlignment="1">
      <alignment vertical="top"/>
    </xf>
    <xf numFmtId="0" fontId="6" fillId="0" borderId="0" xfId="0" applyFont="1" applyAlignment="1">
      <alignment vertical="top"/>
    </xf>
    <xf numFmtId="0" fontId="7" fillId="0" borderId="1" xfId="3" applyFont="1" applyFill="1" applyBorder="1" applyAlignment="1">
      <alignment vertical="top"/>
    </xf>
    <xf numFmtId="0" fontId="7" fillId="0" borderId="1" xfId="0" applyFont="1" applyBorder="1" applyAlignment="1">
      <alignment vertical="top"/>
    </xf>
    <xf numFmtId="0" fontId="8" fillId="2" borderId="0" xfId="0" applyFont="1" applyFill="1" applyAlignment="1">
      <alignment vertical="top"/>
    </xf>
    <xf numFmtId="0" fontId="2" fillId="0" borderId="0" xfId="0" applyFont="1"/>
    <xf numFmtId="0" fontId="2" fillId="2" borderId="0" xfId="0" applyFont="1" applyFill="1" applyAlignment="1">
      <alignment vertical="top"/>
    </xf>
    <xf numFmtId="0" fontId="6" fillId="0" borderId="0" xfId="0" applyFont="1"/>
    <xf numFmtId="0" fontId="0" fillId="0" borderId="0" xfId="0" applyAlignment="1">
      <alignment vertical="top"/>
    </xf>
    <xf numFmtId="0" fontId="7" fillId="0" borderId="0" xfId="0" applyFont="1" applyAlignment="1">
      <alignment vertical="top"/>
    </xf>
    <xf numFmtId="9" fontId="0" fillId="0" borderId="0" xfId="2" applyFont="1" applyBorder="1"/>
    <xf numFmtId="0" fontId="4" fillId="0" borderId="0" xfId="0" applyFont="1"/>
    <xf numFmtId="0" fontId="4" fillId="0" borderId="0" xfId="0" applyFont="1" applyAlignment="1">
      <alignment vertical="top"/>
    </xf>
    <xf numFmtId="0" fontId="9" fillId="0" borderId="0" xfId="0" applyFont="1"/>
    <xf numFmtId="0" fontId="0" fillId="3" borderId="0" xfId="0" applyFill="1"/>
    <xf numFmtId="0" fontId="10" fillId="0" borderId="0" xfId="0" applyFont="1"/>
    <xf numFmtId="0" fontId="0" fillId="0" borderId="0" xfId="0" applyAlignment="1">
      <alignment wrapText="1"/>
    </xf>
    <xf numFmtId="9" fontId="0" fillId="2" borderId="0" xfId="2" applyFont="1" applyFill="1"/>
    <xf numFmtId="43" fontId="0" fillId="0" borderId="0" xfId="1" applyFont="1" applyFill="1"/>
    <xf numFmtId="0" fontId="0" fillId="0" borderId="0" xfId="2" applyNumberFormat="1" applyFont="1" applyFill="1"/>
    <xf numFmtId="0" fontId="2" fillId="0" borderId="1" xfId="0" applyFont="1" applyBorder="1"/>
    <xf numFmtId="0" fontId="5" fillId="4" borderId="0" xfId="0" applyFont="1" applyFill="1"/>
    <xf numFmtId="9" fontId="0" fillId="0" borderId="0" xfId="0" applyNumberFormat="1"/>
    <xf numFmtId="0" fontId="6" fillId="0" borderId="2" xfId="0" applyFont="1" applyBorder="1"/>
    <xf numFmtId="9" fontId="6" fillId="0" borderId="0" xfId="2" applyFont="1" applyBorder="1"/>
    <xf numFmtId="2" fontId="4" fillId="0" borderId="0" xfId="0" applyNumberFormat="1" applyFont="1"/>
    <xf numFmtId="0" fontId="0" fillId="5" borderId="0" xfId="0" applyFill="1"/>
    <xf numFmtId="2" fontId="0" fillId="5" borderId="0" xfId="0" applyNumberFormat="1" applyFill="1"/>
    <xf numFmtId="9" fontId="6" fillId="0" borderId="0" xfId="0" applyNumberFormat="1" applyFont="1" applyAlignment="1">
      <alignment vertical="top"/>
    </xf>
    <xf numFmtId="9" fontId="7" fillId="0" borderId="0" xfId="3" applyNumberFormat="1" applyFont="1" applyFill="1" applyBorder="1" applyAlignment="1">
      <alignment vertical="top"/>
    </xf>
    <xf numFmtId="2" fontId="2" fillId="2" borderId="0" xfId="0" applyNumberFormat="1" applyFont="1" applyFill="1"/>
    <xf numFmtId="9" fontId="7" fillId="0" borderId="0" xfId="0" applyNumberFormat="1" applyFont="1" applyAlignment="1">
      <alignment vertical="top"/>
    </xf>
    <xf numFmtId="0" fontId="0" fillId="6" borderId="0" xfId="0" applyFill="1"/>
    <xf numFmtId="2" fontId="0" fillId="6" borderId="0" xfId="0" applyNumberFormat="1" applyFill="1"/>
    <xf numFmtId="0" fontId="11" fillId="7" borderId="0" xfId="0" applyFont="1" applyFill="1"/>
    <xf numFmtId="0" fontId="0" fillId="8" borderId="0" xfId="0" applyFill="1"/>
    <xf numFmtId="0" fontId="0" fillId="9" borderId="0" xfId="0" applyFill="1"/>
    <xf numFmtId="0" fontId="0" fillId="0" borderId="0" xfId="0" applyAlignment="1">
      <alignment horizontal="left"/>
    </xf>
    <xf numFmtId="0" fontId="0" fillId="10" borderId="0" xfId="0" applyFill="1"/>
    <xf numFmtId="0" fontId="12" fillId="0" borderId="0" xfId="0" applyFont="1"/>
    <xf numFmtId="9" fontId="12" fillId="0" borderId="0" xfId="0" applyNumberFormat="1" applyFont="1"/>
    <xf numFmtId="0" fontId="0" fillId="11" borderId="0" xfId="0" applyFill="1"/>
    <xf numFmtId="0" fontId="0" fillId="7" borderId="0" xfId="0" applyFill="1"/>
    <xf numFmtId="2" fontId="0" fillId="0" borderId="0" xfId="0" applyNumberFormat="1" applyAlignment="1">
      <alignment horizontal="right"/>
    </xf>
    <xf numFmtId="10" fontId="11" fillId="7" borderId="0" xfId="0" applyNumberFormat="1" applyFont="1" applyFill="1"/>
    <xf numFmtId="10" fontId="0" fillId="9" borderId="0" xfId="0" applyNumberFormat="1" applyFill="1"/>
    <xf numFmtId="10" fontId="0" fillId="3" borderId="0" xfId="0" applyNumberFormat="1" applyFill="1"/>
    <xf numFmtId="10" fontId="0" fillId="2" borderId="0" xfId="0" applyNumberFormat="1" applyFill="1"/>
    <xf numFmtId="10" fontId="0" fillId="0" borderId="0" xfId="0" applyNumberFormat="1"/>
    <xf numFmtId="10" fontId="6" fillId="0" borderId="0" xfId="0" applyNumberFormat="1" applyFont="1"/>
    <xf numFmtId="10" fontId="2" fillId="0" borderId="0" xfId="0" applyNumberFormat="1" applyFont="1"/>
    <xf numFmtId="10" fontId="10" fillId="0" borderId="0" xfId="0" applyNumberFormat="1" applyFont="1"/>
    <xf numFmtId="10" fontId="9" fillId="0" borderId="0" xfId="0" applyNumberFormat="1" applyFont="1"/>
    <xf numFmtId="10" fontId="0" fillId="0" borderId="0" xfId="0" applyNumberFormat="1" applyAlignment="1">
      <alignment vertical="top"/>
    </xf>
    <xf numFmtId="10" fontId="2" fillId="2" borderId="0" xfId="0" applyNumberFormat="1" applyFont="1" applyFill="1" applyAlignment="1">
      <alignment vertical="top"/>
    </xf>
    <xf numFmtId="10" fontId="4" fillId="0" borderId="0" xfId="0" applyNumberFormat="1" applyFont="1" applyAlignment="1">
      <alignment vertical="top"/>
    </xf>
    <xf numFmtId="10" fontId="8" fillId="2" borderId="0" xfId="0" applyNumberFormat="1" applyFont="1" applyFill="1" applyAlignment="1">
      <alignment vertical="top"/>
    </xf>
    <xf numFmtId="10" fontId="7" fillId="0" borderId="0" xfId="0" applyNumberFormat="1" applyFont="1" applyAlignment="1">
      <alignment vertical="top"/>
    </xf>
    <xf numFmtId="10" fontId="2" fillId="2" borderId="0" xfId="0" applyNumberFormat="1" applyFont="1" applyFill="1"/>
    <xf numFmtId="10" fontId="0" fillId="0" borderId="0" xfId="2" applyNumberFormat="1" applyFont="1" applyBorder="1" applyAlignment="1">
      <alignment vertical="top"/>
    </xf>
    <xf numFmtId="10" fontId="0" fillId="0" borderId="0" xfId="1" applyNumberFormat="1" applyFont="1" applyBorder="1" applyAlignment="1">
      <alignment vertical="top"/>
    </xf>
    <xf numFmtId="10" fontId="2" fillId="0" borderId="0" xfId="2" applyNumberFormat="1" applyFont="1" applyBorder="1" applyAlignment="1">
      <alignment vertical="top"/>
    </xf>
    <xf numFmtId="10" fontId="6" fillId="0" borderId="0" xfId="2" applyNumberFormat="1" applyFont="1" applyBorder="1" applyAlignment="1">
      <alignment vertical="top"/>
    </xf>
    <xf numFmtId="9" fontId="2" fillId="2" borderId="0" xfId="0" applyNumberFormat="1" applyFont="1" applyFill="1" applyAlignment="1">
      <alignment vertical="top"/>
    </xf>
    <xf numFmtId="9" fontId="8" fillId="2" borderId="0" xfId="0" applyNumberFormat="1" applyFont="1" applyFill="1" applyAlignment="1">
      <alignment vertical="top"/>
    </xf>
    <xf numFmtId="9" fontId="2" fillId="2" borderId="0" xfId="0" applyNumberFormat="1" applyFont="1" applyFill="1"/>
    <xf numFmtId="164" fontId="0" fillId="0" borderId="0" xfId="0" applyNumberFormat="1"/>
    <xf numFmtId="0" fontId="5" fillId="0" borderId="0" xfId="0" applyFont="1"/>
    <xf numFmtId="2" fontId="0" fillId="12" borderId="0" xfId="0" applyNumberFormat="1" applyFill="1"/>
    <xf numFmtId="0" fontId="0" fillId="12" borderId="0" xfId="0" applyFill="1"/>
    <xf numFmtId="0" fontId="2" fillId="12" borderId="0" xfId="0" applyFont="1" applyFill="1" applyAlignment="1">
      <alignment vertical="top"/>
    </xf>
    <xf numFmtId="0" fontId="2" fillId="12" borderId="0" xfId="0" applyFont="1" applyFill="1"/>
    <xf numFmtId="9" fontId="0" fillId="12" borderId="0" xfId="2" applyFont="1" applyFill="1"/>
    <xf numFmtId="2" fontId="0" fillId="12" borderId="0" xfId="2" applyNumberFormat="1" applyFont="1" applyFill="1"/>
    <xf numFmtId="0" fontId="0" fillId="12" borderId="3" xfId="0" applyFill="1" applyBorder="1" applyAlignment="1">
      <alignment vertical="top"/>
    </xf>
    <xf numFmtId="10" fontId="0" fillId="12" borderId="0" xfId="0" applyNumberFormat="1" applyFill="1"/>
    <xf numFmtId="0" fontId="12" fillId="0" borderId="0" xfId="0" applyFont="1" applyAlignment="1">
      <alignment horizontal="left"/>
    </xf>
    <xf numFmtId="43" fontId="12" fillId="0" borderId="0" xfId="0" applyNumberFormat="1" applyFont="1"/>
    <xf numFmtId="2" fontId="12" fillId="0" borderId="0" xfId="0" applyNumberFormat="1" applyFont="1"/>
    <xf numFmtId="43" fontId="5" fillId="0" borderId="0" xfId="0" applyNumberFormat="1" applyFont="1"/>
    <xf numFmtId="0" fontId="0" fillId="14" borderId="0" xfId="0" applyFill="1"/>
    <xf numFmtId="43" fontId="0" fillId="14" borderId="0" xfId="0" applyNumberFormat="1" applyFill="1"/>
    <xf numFmtId="165" fontId="5" fillId="0" borderId="0" xfId="0" applyNumberFormat="1" applyFont="1"/>
    <xf numFmtId="2" fontId="0" fillId="14" borderId="0" xfId="0" applyNumberFormat="1" applyFill="1"/>
    <xf numFmtId="0" fontId="0" fillId="6" borderId="0" xfId="0" applyFill="1" applyAlignment="1">
      <alignment horizontal="left"/>
    </xf>
    <xf numFmtId="43" fontId="0" fillId="6" borderId="0" xfId="0" applyNumberFormat="1" applyFill="1"/>
    <xf numFmtId="10" fontId="13" fillId="0" borderId="0" xfId="0" applyNumberFormat="1" applyFont="1"/>
    <xf numFmtId="10" fontId="12" fillId="0" borderId="0" xfId="0" applyNumberFormat="1" applyFont="1"/>
    <xf numFmtId="43" fontId="5" fillId="12" borderId="0" xfId="1" applyFont="1" applyFill="1"/>
    <xf numFmtId="43" fontId="4" fillId="0" borderId="0" xfId="0" applyNumberFormat="1" applyFont="1"/>
    <xf numFmtId="43" fontId="0" fillId="0" borderId="0" xfId="4" applyFont="1"/>
    <xf numFmtId="43" fontId="2" fillId="0" borderId="0" xfId="0" applyNumberFormat="1" applyFont="1"/>
    <xf numFmtId="0" fontId="0" fillId="4" borderId="0" xfId="0" applyFill="1"/>
    <xf numFmtId="0" fontId="13" fillId="0" borderId="0" xfId="0" applyFont="1"/>
    <xf numFmtId="0" fontId="2" fillId="0" borderId="0" xfId="0" applyFont="1" applyAlignment="1">
      <alignment vertical="top"/>
    </xf>
    <xf numFmtId="0" fontId="7" fillId="0" borderId="0" xfId="3" applyFont="1" applyFill="1" applyBorder="1" applyAlignment="1">
      <alignment vertical="top"/>
    </xf>
    <xf numFmtId="0" fontId="0" fillId="12" borderId="0" xfId="0" applyFill="1" applyAlignment="1">
      <alignment vertical="top"/>
    </xf>
    <xf numFmtId="43" fontId="12" fillId="0" borderId="0" xfId="4" applyFont="1"/>
    <xf numFmtId="10" fontId="14" fillId="0" borderId="0" xfId="0" applyNumberFormat="1" applyFont="1"/>
    <xf numFmtId="2" fontId="2" fillId="0" borderId="0" xfId="0" applyNumberFormat="1" applyFont="1"/>
    <xf numFmtId="164" fontId="12" fillId="0" borderId="0" xfId="0" applyNumberFormat="1" applyFont="1"/>
    <xf numFmtId="9" fontId="2" fillId="0" borderId="0" xfId="2" applyFont="1"/>
    <xf numFmtId="0" fontId="8" fillId="0" borderId="0" xfId="0" applyFont="1"/>
    <xf numFmtId="43" fontId="2" fillId="0" borderId="0" xfId="4" applyFont="1"/>
    <xf numFmtId="43" fontId="2" fillId="0" borderId="0" xfId="1" applyFont="1"/>
    <xf numFmtId="43" fontId="12" fillId="0" borderId="0" xfId="0" applyNumberFormat="1" applyFont="1" applyAlignment="1">
      <alignment horizontal="right"/>
    </xf>
    <xf numFmtId="43" fontId="2" fillId="13" borderId="0" xfId="1" applyFont="1" applyFill="1"/>
    <xf numFmtId="43" fontId="2" fillId="8" borderId="0" xfId="4" applyFont="1" applyFill="1"/>
    <xf numFmtId="43" fontId="2" fillId="0" borderId="0" xfId="4" applyFont="1" applyFill="1"/>
    <xf numFmtId="43" fontId="2" fillId="0" borderId="0" xfId="1" applyFont="1" applyFill="1"/>
    <xf numFmtId="9" fontId="2" fillId="0" borderId="0" xfId="0" applyNumberFormat="1" applyFont="1"/>
    <xf numFmtId="43" fontId="2" fillId="0" borderId="0" xfId="2" applyNumberFormat="1" applyFont="1" applyFill="1"/>
    <xf numFmtId="10" fontId="2" fillId="0" borderId="0" xfId="0" applyNumberFormat="1" applyFont="1" applyAlignment="1">
      <alignment vertical="top"/>
    </xf>
    <xf numFmtId="0" fontId="12" fillId="12" borderId="0" xfId="0" applyFont="1" applyFill="1"/>
    <xf numFmtId="2" fontId="12" fillId="12" borderId="0" xfId="0" applyNumberFormat="1" applyFont="1" applyFill="1"/>
    <xf numFmtId="0" fontId="12" fillId="0" borderId="1" xfId="0" applyFont="1" applyBorder="1"/>
    <xf numFmtId="9" fontId="12" fillId="0" borderId="0" xfId="2" applyFont="1" applyBorder="1"/>
    <xf numFmtId="9" fontId="12" fillId="0" borderId="0" xfId="2" applyFont="1"/>
    <xf numFmtId="10" fontId="12" fillId="12" borderId="0" xfId="0" applyNumberFormat="1" applyFont="1" applyFill="1"/>
    <xf numFmtId="10" fontId="15" fillId="0" borderId="0" xfId="0" applyNumberFormat="1" applyFont="1"/>
    <xf numFmtId="10" fontId="12" fillId="0" borderId="0" xfId="0" applyNumberFormat="1" applyFont="1" applyAlignment="1">
      <alignment vertical="top"/>
    </xf>
    <xf numFmtId="10" fontId="13" fillId="0" borderId="0" xfId="0" applyNumberFormat="1" applyFont="1" applyAlignment="1">
      <alignment vertical="top"/>
    </xf>
    <xf numFmtId="9" fontId="13" fillId="0" borderId="0" xfId="2" applyFont="1" applyBorder="1"/>
    <xf numFmtId="10" fontId="12" fillId="0" borderId="0" xfId="1" applyNumberFormat="1" applyFont="1" applyBorder="1" applyAlignment="1">
      <alignment vertical="top"/>
    </xf>
    <xf numFmtId="9" fontId="13" fillId="0" borderId="0" xfId="0" applyNumberFormat="1" applyFont="1" applyAlignment="1">
      <alignment vertical="top"/>
    </xf>
    <xf numFmtId="166" fontId="12" fillId="12" borderId="0" xfId="2" applyNumberFormat="1" applyFont="1" applyFill="1"/>
    <xf numFmtId="43" fontId="2" fillId="6" borderId="0" xfId="0" applyNumberFormat="1" applyFont="1" applyFill="1"/>
    <xf numFmtId="0" fontId="13" fillId="17" borderId="0" xfId="0" applyFont="1" applyFill="1"/>
    <xf numFmtId="0" fontId="5" fillId="17" borderId="0" xfId="0" applyFont="1" applyFill="1"/>
    <xf numFmtId="0" fontId="13" fillId="18" borderId="0" xfId="0" applyFont="1" applyFill="1"/>
    <xf numFmtId="0" fontId="5" fillId="18" borderId="0" xfId="0" applyFont="1" applyFill="1"/>
    <xf numFmtId="2" fontId="2" fillId="12" borderId="0" xfId="0" applyNumberFormat="1" applyFont="1" applyFill="1" applyAlignment="1">
      <alignment vertical="top"/>
    </xf>
    <xf numFmtId="0" fontId="5" fillId="3" borderId="0" xfId="0" applyFont="1" applyFill="1"/>
    <xf numFmtId="43" fontId="5" fillId="0" borderId="0" xfId="4" applyFont="1"/>
    <xf numFmtId="43" fontId="8" fillId="0" borderId="0" xfId="0" applyNumberFormat="1" applyFont="1"/>
    <xf numFmtId="0" fontId="5" fillId="14" borderId="0" xfId="0" applyFont="1" applyFill="1"/>
    <xf numFmtId="0" fontId="17" fillId="0" borderId="0" xfId="0" applyFont="1"/>
    <xf numFmtId="43" fontId="8" fillId="0" borderId="0" xfId="4" applyFont="1"/>
    <xf numFmtId="43" fontId="8" fillId="0" borderId="0" xfId="1" applyFont="1"/>
    <xf numFmtId="0" fontId="8" fillId="0" borderId="0" xfId="0" applyFont="1" applyAlignment="1">
      <alignment vertical="top"/>
    </xf>
    <xf numFmtId="10" fontId="18" fillId="0" borderId="0" xfId="0" applyNumberFormat="1" applyFont="1"/>
    <xf numFmtId="2" fontId="2" fillId="6" borderId="0" xfId="0" applyNumberFormat="1" applyFont="1" applyFill="1"/>
    <xf numFmtId="0" fontId="0" fillId="19" borderId="0" xfId="0" applyFill="1"/>
    <xf numFmtId="0" fontId="2" fillId="19" borderId="0" xfId="0" applyFont="1" applyFill="1" applyAlignment="1">
      <alignment vertical="top"/>
    </xf>
    <xf numFmtId="0" fontId="14" fillId="20" borderId="0" xfId="0" applyFont="1" applyFill="1"/>
    <xf numFmtId="0" fontId="0" fillId="18" borderId="0" xfId="0" applyFill="1"/>
    <xf numFmtId="0" fontId="2" fillId="9" borderId="1" xfId="0" applyFont="1" applyFill="1" applyBorder="1" applyAlignment="1">
      <alignment vertical="top"/>
    </xf>
    <xf numFmtId="43" fontId="2" fillId="21" borderId="0" xfId="4" applyFont="1" applyFill="1"/>
    <xf numFmtId="0" fontId="14" fillId="12" borderId="0" xfId="0" applyFont="1" applyFill="1"/>
    <xf numFmtId="0" fontId="2" fillId="17" borderId="0" xfId="0" applyFont="1" applyFill="1" applyAlignment="1">
      <alignment vertical="top"/>
    </xf>
    <xf numFmtId="0" fontId="2" fillId="22" borderId="1" xfId="0" applyFont="1" applyFill="1" applyBorder="1" applyAlignment="1">
      <alignment vertical="top"/>
    </xf>
    <xf numFmtId="2" fontId="0" fillId="4" borderId="0" xfId="0" applyNumberFormat="1" applyFill="1"/>
    <xf numFmtId="2" fontId="0" fillId="12" borderId="3" xfId="0" applyNumberFormat="1" applyFill="1" applyBorder="1" applyAlignment="1">
      <alignment vertical="top"/>
    </xf>
    <xf numFmtId="2" fontId="2" fillId="12" borderId="0" xfId="0" applyNumberFormat="1" applyFont="1" applyFill="1"/>
    <xf numFmtId="9" fontId="2" fillId="6" borderId="0" xfId="2" applyFont="1" applyFill="1"/>
    <xf numFmtId="43" fontId="5" fillId="14" borderId="0" xfId="0" applyNumberFormat="1" applyFont="1" applyFill="1"/>
    <xf numFmtId="0" fontId="5" fillId="23" borderId="0" xfId="0" applyFont="1" applyFill="1"/>
    <xf numFmtId="0" fontId="0" fillId="23" borderId="0" xfId="0" applyFill="1"/>
    <xf numFmtId="0" fontId="8" fillId="23" borderId="0" xfId="0" applyFont="1" applyFill="1"/>
    <xf numFmtId="0" fontId="19" fillId="6" borderId="4" xfId="0" applyFont="1" applyFill="1" applyBorder="1" applyAlignment="1">
      <alignment horizontal="left" vertical="center"/>
    </xf>
    <xf numFmtId="0" fontId="2" fillId="24" borderId="0" xfId="0" applyFont="1" applyFill="1"/>
    <xf numFmtId="9" fontId="0" fillId="0" borderId="0" xfId="0" applyNumberFormat="1" applyAlignment="1">
      <alignment vertical="top"/>
    </xf>
    <xf numFmtId="9" fontId="0" fillId="0" borderId="0" xfId="1" applyNumberFormat="1" applyFont="1"/>
    <xf numFmtId="43" fontId="0" fillId="14" borderId="0" xfId="1" applyFont="1" applyFill="1"/>
    <xf numFmtId="10" fontId="8" fillId="23" borderId="0" xfId="0" applyNumberFormat="1" applyFont="1" applyFill="1"/>
    <xf numFmtId="2" fontId="2" fillId="25" borderId="0" xfId="0" applyNumberFormat="1" applyFont="1" applyFill="1"/>
    <xf numFmtId="0" fontId="0" fillId="26" borderId="0" xfId="0" applyFill="1"/>
    <xf numFmtId="0" fontId="5" fillId="26" borderId="0" xfId="0" applyFont="1" applyFill="1"/>
    <xf numFmtId="164" fontId="2" fillId="0" borderId="0" xfId="0" applyNumberFormat="1" applyFont="1"/>
    <xf numFmtId="167" fontId="2" fillId="0" borderId="0" xfId="0" applyNumberFormat="1" applyFont="1"/>
    <xf numFmtId="0" fontId="5" fillId="4" borderId="5" xfId="0" applyFont="1" applyFill="1" applyBorder="1"/>
    <xf numFmtId="0" fontId="5" fillId="18" borderId="5" xfId="0" applyFont="1" applyFill="1" applyBorder="1"/>
    <xf numFmtId="9" fontId="0" fillId="12" borderId="0" xfId="0" applyNumberFormat="1" applyFill="1"/>
    <xf numFmtId="0" fontId="5" fillId="8" borderId="5" xfId="0" applyFont="1" applyFill="1" applyBorder="1"/>
    <xf numFmtId="0" fontId="0" fillId="25" borderId="0" xfId="0" applyFill="1"/>
    <xf numFmtId="2" fontId="0" fillId="25" borderId="0" xfId="0" applyNumberFormat="1" applyFill="1"/>
    <xf numFmtId="10" fontId="2" fillId="25" borderId="0" xfId="0" applyNumberFormat="1" applyFont="1" applyFill="1"/>
    <xf numFmtId="10" fontId="0" fillId="25" borderId="0" xfId="0" applyNumberFormat="1" applyFill="1"/>
    <xf numFmtId="2" fontId="0" fillId="18" borderId="0" xfId="0" applyNumberFormat="1" applyFill="1"/>
    <xf numFmtId="10" fontId="2" fillId="18" borderId="0" xfId="0" applyNumberFormat="1" applyFont="1" applyFill="1"/>
    <xf numFmtId="2" fontId="2" fillId="18" borderId="0" xfId="0" applyNumberFormat="1" applyFont="1" applyFill="1"/>
    <xf numFmtId="10" fontId="0" fillId="18" borderId="0" xfId="0" applyNumberFormat="1" applyFill="1"/>
    <xf numFmtId="9" fontId="0" fillId="18" borderId="0" xfId="0" applyNumberFormat="1" applyFill="1"/>
    <xf numFmtId="0" fontId="5" fillId="17" borderId="6" xfId="0" applyFont="1" applyFill="1" applyBorder="1"/>
    <xf numFmtId="0" fontId="5" fillId="8" borderId="6" xfId="0" applyFont="1" applyFill="1" applyBorder="1"/>
    <xf numFmtId="0" fontId="5" fillId="8" borderId="0" xfId="0" applyFont="1" applyFill="1"/>
    <xf numFmtId="0" fontId="5" fillId="15" borderId="0" xfId="0" applyFont="1" applyFill="1"/>
    <xf numFmtId="0" fontId="5" fillId="25" borderId="0" xfId="0" applyFont="1" applyFill="1"/>
    <xf numFmtId="0" fontId="20" fillId="8" borderId="0" xfId="0" applyFont="1" applyFill="1"/>
    <xf numFmtId="10" fontId="5" fillId="25" borderId="0" xfId="0" applyNumberFormat="1" applyFont="1" applyFill="1"/>
    <xf numFmtId="10" fontId="5" fillId="8" borderId="0" xfId="0" applyNumberFormat="1" applyFont="1" applyFill="1"/>
    <xf numFmtId="10" fontId="5" fillId="17" borderId="0" xfId="0" applyNumberFormat="1" applyFont="1" applyFill="1"/>
    <xf numFmtId="43" fontId="12" fillId="0" borderId="0" xfId="2" applyNumberFormat="1" applyFont="1" applyFill="1"/>
    <xf numFmtId="0" fontId="8" fillId="26" borderId="0" xfId="0" applyFont="1" applyFill="1"/>
    <xf numFmtId="0" fontId="0" fillId="24" borderId="0" xfId="0" applyFill="1"/>
    <xf numFmtId="43" fontId="11" fillId="28" borderId="0" xfId="0" applyNumberFormat="1" applyFont="1" applyFill="1"/>
    <xf numFmtId="43" fontId="11" fillId="25" borderId="0" xfId="1" applyFont="1" applyFill="1"/>
    <xf numFmtId="169" fontId="0" fillId="0" borderId="0" xfId="0" applyNumberFormat="1"/>
    <xf numFmtId="0" fontId="5" fillId="9" borderId="0" xfId="0" applyFont="1" applyFill="1"/>
    <xf numFmtId="2" fontId="0" fillId="24" borderId="0" xfId="0" applyNumberFormat="1" applyFill="1"/>
    <xf numFmtId="2" fontId="8" fillId="0" borderId="0" xfId="0" applyNumberFormat="1" applyFont="1"/>
    <xf numFmtId="43" fontId="8" fillId="0" borderId="0" xfId="1" applyFont="1" applyFill="1"/>
    <xf numFmtId="43" fontId="0" fillId="24" borderId="0" xfId="1" applyFont="1" applyFill="1"/>
    <xf numFmtId="0" fontId="2" fillId="0" borderId="0" xfId="0" applyFont="1" applyAlignment="1">
      <alignment horizontal="left"/>
    </xf>
    <xf numFmtId="0" fontId="0" fillId="29" borderId="0" xfId="0" applyFill="1"/>
    <xf numFmtId="0" fontId="0" fillId="27" borderId="0" xfId="0" applyFill="1"/>
    <xf numFmtId="43" fontId="0" fillId="27" borderId="0" xfId="1" applyFont="1" applyFill="1"/>
    <xf numFmtId="43" fontId="0" fillId="27" borderId="0" xfId="0" applyNumberFormat="1" applyFill="1"/>
    <xf numFmtId="43" fontId="0" fillId="29" borderId="0" xfId="0" applyNumberFormat="1" applyFill="1"/>
    <xf numFmtId="0" fontId="11" fillId="30" borderId="0" xfId="0" applyFont="1" applyFill="1"/>
    <xf numFmtId="9" fontId="0" fillId="27" borderId="0" xfId="0" applyNumberFormat="1" applyFill="1"/>
    <xf numFmtId="43" fontId="0" fillId="29" borderId="0" xfId="1" applyFont="1" applyFill="1"/>
    <xf numFmtId="2" fontId="0" fillId="27" borderId="0" xfId="0" applyNumberFormat="1" applyFill="1"/>
    <xf numFmtId="9" fontId="0" fillId="27" borderId="0" xfId="1" applyNumberFormat="1" applyFont="1" applyFill="1"/>
    <xf numFmtId="164" fontId="0" fillId="27" borderId="0" xfId="0" applyNumberFormat="1" applyFill="1"/>
    <xf numFmtId="168" fontId="0" fillId="27" borderId="0" xfId="0" applyNumberFormat="1" applyFill="1"/>
    <xf numFmtId="2" fontId="5" fillId="0" borderId="0" xfId="0" applyNumberFormat="1" applyFont="1"/>
    <xf numFmtId="43" fontId="5" fillId="0" borderId="0" xfId="1" applyFont="1"/>
    <xf numFmtId="0" fontId="4" fillId="14" borderId="0" xfId="0" applyFont="1" applyFill="1"/>
    <xf numFmtId="2" fontId="2" fillId="0" borderId="1" xfId="0" applyNumberFormat="1" applyFont="1" applyBorder="1"/>
    <xf numFmtId="2" fontId="21" fillId="0" borderId="1" xfId="0" applyNumberFormat="1" applyFont="1" applyBorder="1"/>
    <xf numFmtId="0" fontId="21" fillId="0" borderId="1" xfId="0" applyFont="1" applyBorder="1"/>
    <xf numFmtId="0" fontId="0" fillId="29" borderId="0" xfId="1" applyNumberFormat="1" applyFont="1" applyFill="1"/>
    <xf numFmtId="9" fontId="0" fillId="27" borderId="0" xfId="2" applyFont="1" applyFill="1"/>
    <xf numFmtId="43" fontId="5" fillId="0" borderId="0" xfId="1" applyFont="1" applyFill="1"/>
    <xf numFmtId="2" fontId="2" fillId="5" borderId="0" xfId="0" applyNumberFormat="1" applyFont="1" applyFill="1"/>
    <xf numFmtId="10" fontId="0" fillId="27" borderId="0" xfId="1" applyNumberFormat="1" applyFont="1" applyFill="1"/>
    <xf numFmtId="9" fontId="0" fillId="5" borderId="0" xfId="0" applyNumberFormat="1" applyFill="1"/>
    <xf numFmtId="43" fontId="0" fillId="8" borderId="0" xfId="1" applyFont="1" applyFill="1"/>
    <xf numFmtId="43" fontId="0" fillId="9" borderId="0" xfId="1" applyFont="1" applyFill="1"/>
    <xf numFmtId="43" fontId="0" fillId="27" borderId="0" xfId="2" applyNumberFormat="1" applyFont="1" applyFill="1"/>
    <xf numFmtId="43" fontId="0" fillId="4" borderId="0" xfId="1" applyFont="1" applyFill="1"/>
    <xf numFmtId="43" fontId="0" fillId="24" borderId="0" xfId="0" applyNumberFormat="1" applyFill="1"/>
    <xf numFmtId="0" fontId="5" fillId="24" borderId="0" xfId="0" applyFont="1" applyFill="1"/>
    <xf numFmtId="43" fontId="0" fillId="18" borderId="0" xfId="1" applyFont="1" applyFill="1"/>
    <xf numFmtId="43" fontId="0" fillId="5" borderId="0" xfId="1" applyFont="1" applyFill="1"/>
    <xf numFmtId="9" fontId="9" fillId="0" borderId="0" xfId="0" applyNumberFormat="1" applyFont="1"/>
    <xf numFmtId="0" fontId="5" fillId="16" borderId="0" xfId="0" applyFont="1" applyFill="1"/>
    <xf numFmtId="43" fontId="0" fillId="25" borderId="0" xfId="1" applyFont="1" applyFill="1"/>
    <xf numFmtId="43" fontId="0" fillId="25" borderId="0" xfId="0" applyNumberFormat="1" applyFill="1"/>
    <xf numFmtId="0" fontId="22" fillId="0" borderId="1" xfId="0" applyFont="1" applyBorder="1" applyAlignment="1">
      <alignment vertical="top"/>
    </xf>
    <xf numFmtId="10" fontId="0" fillId="4" borderId="0" xfId="1" applyNumberFormat="1" applyFont="1" applyFill="1"/>
    <xf numFmtId="0" fontId="5" fillId="2" borderId="0" xfId="0" applyFont="1" applyFill="1"/>
    <xf numFmtId="0" fontId="2" fillId="9" borderId="0" xfId="0" applyFont="1" applyFill="1" applyAlignment="1">
      <alignment vertical="top"/>
    </xf>
    <xf numFmtId="43" fontId="11" fillId="0" borderId="0" xfId="1" applyFont="1" applyFill="1"/>
    <xf numFmtId="0" fontId="0" fillId="31" borderId="0" xfId="0" applyFill="1"/>
    <xf numFmtId="0" fontId="2" fillId="31" borderId="0" xfId="0" applyFont="1" applyFill="1"/>
    <xf numFmtId="0" fontId="0" fillId="32" borderId="0" xfId="0" applyFill="1"/>
    <xf numFmtId="0" fontId="2" fillId="33" borderId="0" xfId="0" applyFont="1" applyFill="1"/>
    <xf numFmtId="170" fontId="0" fillId="0" borderId="0" xfId="0" applyNumberFormat="1"/>
    <xf numFmtId="172" fontId="2" fillId="0" borderId="0" xfId="0" applyNumberFormat="1" applyFont="1"/>
    <xf numFmtId="172" fontId="12" fillId="0" borderId="0" xfId="0" applyNumberFormat="1" applyFont="1"/>
    <xf numFmtId="172" fontId="2" fillId="6" borderId="0" xfId="0" applyNumberFormat="1" applyFont="1" applyFill="1"/>
    <xf numFmtId="43" fontId="0" fillId="3" borderId="0" xfId="0" applyNumberFormat="1" applyFill="1"/>
    <xf numFmtId="10" fontId="5" fillId="0" borderId="0" xfId="0" applyNumberFormat="1" applyFont="1"/>
    <xf numFmtId="43" fontId="4" fillId="0" borderId="0" xfId="4" applyFont="1"/>
    <xf numFmtId="173" fontId="0" fillId="0" borderId="0" xfId="1" applyNumberFormat="1" applyFont="1" applyFill="1"/>
    <xf numFmtId="174" fontId="0" fillId="27" borderId="0" xfId="1" applyNumberFormat="1" applyFont="1" applyFill="1"/>
    <xf numFmtId="9" fontId="0" fillId="0" borderId="0" xfId="2" applyFont="1" applyFill="1"/>
    <xf numFmtId="170" fontId="0" fillId="0" borderId="0" xfId="1" applyNumberFormat="1" applyFont="1" applyFill="1"/>
    <xf numFmtId="173" fontId="0" fillId="27" borderId="0" xfId="1" applyNumberFormat="1" applyFont="1" applyFill="1"/>
    <xf numFmtId="175" fontId="0" fillId="27" borderId="0" xfId="1" applyNumberFormat="1" applyFont="1" applyFill="1"/>
    <xf numFmtId="176" fontId="0" fillId="0" borderId="0" xfId="0" applyNumberFormat="1"/>
    <xf numFmtId="0" fontId="0" fillId="27" borderId="0" xfId="1" applyNumberFormat="1" applyFont="1" applyFill="1"/>
    <xf numFmtId="0" fontId="0" fillId="27" borderId="0" xfId="2" applyNumberFormat="1" applyFont="1" applyFill="1"/>
    <xf numFmtId="164" fontId="0" fillId="0" borderId="0" xfId="0" applyNumberFormat="1" applyAlignment="1">
      <alignment vertical="top"/>
    </xf>
    <xf numFmtId="164" fontId="0" fillId="27" borderId="0" xfId="1" applyNumberFormat="1" applyFont="1" applyFill="1"/>
    <xf numFmtId="164" fontId="0" fillId="27" borderId="0" xfId="2" applyNumberFormat="1" applyFont="1" applyFill="1"/>
    <xf numFmtId="164" fontId="0" fillId="5" borderId="0" xfId="0" applyNumberFormat="1" applyFill="1"/>
    <xf numFmtId="171" fontId="0" fillId="0" borderId="0" xfId="0" applyNumberFormat="1"/>
    <xf numFmtId="171" fontId="0" fillId="5" borderId="0" xfId="0" applyNumberFormat="1" applyFill="1"/>
    <xf numFmtId="166" fontId="0" fillId="0" borderId="0" xfId="0" applyNumberFormat="1"/>
    <xf numFmtId="171" fontId="2" fillId="0" borderId="0" xfId="0" applyNumberFormat="1" applyFont="1"/>
    <xf numFmtId="171" fontId="0" fillId="0" borderId="0" xfId="0" applyNumberFormat="1" applyAlignment="1">
      <alignment vertical="top"/>
    </xf>
    <xf numFmtId="171" fontId="0" fillId="27" borderId="0" xfId="0" applyNumberFormat="1" applyFill="1"/>
    <xf numFmtId="171" fontId="0" fillId="27" borderId="0" xfId="2" applyNumberFormat="1" applyFont="1" applyFill="1"/>
    <xf numFmtId="172" fontId="2" fillId="0" borderId="0" xfId="2" applyNumberFormat="1" applyFont="1"/>
    <xf numFmtId="172" fontId="12" fillId="0" borderId="0" xfId="2" applyNumberFormat="1" applyFont="1"/>
    <xf numFmtId="173" fontId="2" fillId="13" borderId="0" xfId="1" applyNumberFormat="1" applyFont="1" applyFill="1"/>
    <xf numFmtId="167" fontId="4" fillId="0" borderId="0" xfId="0" applyNumberFormat="1" applyFont="1"/>
    <xf numFmtId="0" fontId="17" fillId="0" borderId="0" xfId="0" applyFont="1" applyAlignment="1">
      <alignment horizontal="left"/>
    </xf>
    <xf numFmtId="43" fontId="17" fillId="0" borderId="0" xfId="0" applyNumberFormat="1" applyFont="1"/>
    <xf numFmtId="2" fontId="17" fillId="0" borderId="0" xfId="0" applyNumberFormat="1" applyFont="1"/>
    <xf numFmtId="172" fontId="17" fillId="0" borderId="0" xfId="2" applyNumberFormat="1" applyFont="1" applyFill="1"/>
    <xf numFmtId="173" fontId="0" fillId="24" borderId="0" xfId="0" applyNumberFormat="1" applyFill="1"/>
    <xf numFmtId="168" fontId="0" fillId="0" borderId="0" xfId="0" applyNumberFormat="1"/>
    <xf numFmtId="173" fontId="0" fillId="0" borderId="0" xfId="0" applyNumberFormat="1"/>
    <xf numFmtId="173" fontId="0" fillId="27" borderId="0" xfId="0" applyNumberFormat="1" applyFill="1"/>
    <xf numFmtId="177" fontId="2" fillId="0" borderId="0" xfId="2" applyNumberFormat="1" applyFont="1"/>
    <xf numFmtId="177" fontId="12" fillId="0" borderId="0" xfId="2" applyNumberFormat="1" applyFont="1"/>
    <xf numFmtId="177" fontId="2" fillId="6" borderId="0" xfId="2" applyNumberFormat="1" applyFont="1" applyFill="1"/>
    <xf numFmtId="171" fontId="2" fillId="13" borderId="0" xfId="1" applyNumberFormat="1" applyFont="1" applyFill="1"/>
    <xf numFmtId="171" fontId="2" fillId="0" borderId="0" xfId="1" applyNumberFormat="1" applyFont="1" applyFill="1"/>
    <xf numFmtId="43" fontId="0" fillId="24" borderId="0" xfId="0" applyNumberFormat="1" applyFill="1" applyAlignment="1">
      <alignment horizontal="left"/>
    </xf>
    <xf numFmtId="178" fontId="0" fillId="24" borderId="0" xfId="0" applyNumberFormat="1" applyFill="1"/>
    <xf numFmtId="43" fontId="25" fillId="27" borderId="0" xfId="1" applyFont="1" applyFill="1"/>
    <xf numFmtId="0" fontId="4" fillId="0" borderId="0" xfId="0" applyFont="1" applyFill="1"/>
    <xf numFmtId="0" fontId="0" fillId="0" borderId="0" xfId="0" applyFill="1"/>
    <xf numFmtId="2" fontId="0" fillId="0" borderId="0" xfId="0" applyNumberFormat="1" applyFill="1"/>
    <xf numFmtId="2" fontId="0" fillId="0" borderId="0" xfId="0" applyNumberFormat="1" applyFont="1"/>
    <xf numFmtId="0" fontId="0" fillId="0" borderId="0" xfId="0" applyBorder="1" applyAlignment="1">
      <alignment vertical="top"/>
    </xf>
    <xf numFmtId="0" fontId="2" fillId="9" borderId="0" xfId="0" applyFont="1" applyFill="1" applyBorder="1" applyAlignment="1">
      <alignment vertical="top"/>
    </xf>
    <xf numFmtId="173" fontId="7" fillId="0" borderId="1" xfId="3" applyNumberFormat="1" applyFont="1" applyFill="1" applyBorder="1" applyAlignment="1">
      <alignment vertical="top"/>
    </xf>
  </cellXfs>
  <cellStyles count="5">
    <cellStyle name="Komma" xfId="1" builtinId="3"/>
    <cellStyle name="Komma 2" xfId="4" xr:uid="{8CAA8C39-FAB6-4C0D-84BA-61EF650C8634}"/>
    <cellStyle name="Prozent" xfId="2" builtinId="5"/>
    <cellStyle name="Standard" xfId="0" builtinId="0"/>
    <cellStyle name="Überschrift 4" xfId="3" builtinId="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Projekte\Standort%20WB\N-31-535-0-ETIP-B_2026-2028\Daten\WP3%20Sector%20Monitoring%20and%20Analysis\Task%203.2%20Assessment%20of%20building%20capacity\Scenario%201%20-%20Lucie.xlsx" TargetMode="External"/><Relationship Id="rId1" Type="http://schemas.openxmlformats.org/officeDocument/2006/relationships/externalLinkPath" Target="Scenario%201%20-%20Luci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Projekte\Standort%20WB\N-31-535-0-ETIP-B_2026-2028\Daten\WP3%20Sector%20Monitoring%20and%20Analysis\Task%203.2%20Assessment%20of%20building%20capacity\MAIN%20working%20sheet%20Lucie.xlsx" TargetMode="External"/><Relationship Id="rId1" Type="http://schemas.openxmlformats.org/officeDocument/2006/relationships/externalLinkPath" Target="MAIN%20working%20sheet%20Luci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estresearcheu-my.sharepoint.com/personal/cherpinl_best-research_eu/Documents/Scenarios%202040.xlsx" TargetMode="External"/><Relationship Id="rId1" Type="http://schemas.openxmlformats.org/officeDocument/2006/relationships/externalLinkPath" Target="https://bestresearcheu-my.sharepoint.com/personal/cherpinl_best-research_eu/Documents/Scenarios%2020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AP analysis Sc. 1"/>
      <sheetName val="GAP analysis Sc. 2"/>
      <sheetName val="GAP analysis Sc. 3"/>
      <sheetName val="DEMAND in FF55_RED"/>
      <sheetName val="Production 2030"/>
      <sheetName val="cmc-5_matching IVCs"/>
      <sheetName val="cmc-4_calculated sums"/>
      <sheetName val="cmc-3_conventional-capped"/>
      <sheetName val="cmc-2_cover crops"/>
      <sheetName val="cmc-1_biomethane"/>
      <sheetName val="current market conditions-0"/>
      <sheetName val="changes made"/>
    </sheetNames>
    <sheetDataSet>
      <sheetData sheetId="0">
        <row r="13">
          <cell r="K13">
            <v>0.14939810834049866</v>
          </cell>
        </row>
        <row r="18">
          <cell r="G18">
            <v>4.5953950511130213</v>
          </cell>
          <cell r="H18">
            <v>3.5911858774227325</v>
          </cell>
          <cell r="J18">
            <v>0.25628164708130313</v>
          </cell>
          <cell r="S18">
            <v>3.3132335769261889</v>
          </cell>
          <cell r="T18">
            <v>2.7789996293483421</v>
          </cell>
        </row>
        <row r="19">
          <cell r="H19">
            <v>3.9442817119799067</v>
          </cell>
          <cell r="S19">
            <v>3.0083331306763323</v>
          </cell>
          <cell r="T19">
            <v>2.0723845493727584</v>
          </cell>
        </row>
        <row r="20">
          <cell r="G20">
            <v>3.1599312123817707</v>
          </cell>
          <cell r="H20">
            <v>2.8076114368002423</v>
          </cell>
          <cell r="T20">
            <v>2.304297471683773</v>
          </cell>
        </row>
        <row r="21">
          <cell r="K21">
            <v>2.8279354160695518</v>
          </cell>
          <cell r="S21">
            <v>4.8478892846906607</v>
          </cell>
          <cell r="T21">
            <v>6.8678431533117692</v>
          </cell>
        </row>
        <row r="22">
          <cell r="K22">
            <v>1.6919843317091812</v>
          </cell>
          <cell r="S22">
            <v>2.9005445686443103</v>
          </cell>
          <cell r="T22">
            <v>4.1091048055794399</v>
          </cell>
        </row>
        <row r="23">
          <cell r="G23">
            <v>3.0930543613260721</v>
          </cell>
          <cell r="H23">
            <v>2.0988583166141201</v>
          </cell>
          <cell r="J23">
            <v>0.11046622719021687</v>
          </cell>
        </row>
        <row r="24">
          <cell r="H24">
            <v>0.94582975064488384</v>
          </cell>
          <cell r="I24">
            <v>0.47291487532244192</v>
          </cell>
          <cell r="J24">
            <v>0.15763829177414734</v>
          </cell>
        </row>
        <row r="55">
          <cell r="P55">
            <v>1.4272236552976001</v>
          </cell>
        </row>
        <row r="56">
          <cell r="P56">
            <v>0.25222126683863599</v>
          </cell>
        </row>
        <row r="57">
          <cell r="P57">
            <v>6.0905703640011424E-2</v>
          </cell>
        </row>
        <row r="59">
          <cell r="P59">
            <v>0.16122098022356002</v>
          </cell>
        </row>
        <row r="60">
          <cell r="P60">
            <v>0.15209526436184867</v>
          </cell>
        </row>
        <row r="61">
          <cell r="P61">
            <v>6.0905703640011424E-2</v>
          </cell>
        </row>
        <row r="62">
          <cell r="P62">
            <v>2.030190121333714E-2</v>
          </cell>
        </row>
        <row r="64">
          <cell r="C64">
            <v>1.7608156246161375</v>
          </cell>
          <cell r="P64">
            <v>1.125</v>
          </cell>
        </row>
        <row r="65">
          <cell r="C65">
            <v>0.62304658177401118</v>
          </cell>
        </row>
        <row r="66">
          <cell r="C66">
            <v>8.9908419659064473E-2</v>
          </cell>
        </row>
        <row r="67">
          <cell r="F67">
            <v>2.5559544542420078</v>
          </cell>
        </row>
        <row r="68">
          <cell r="C68">
            <v>0.23031568603365718</v>
          </cell>
          <cell r="P68">
            <v>7.5117034489347506E-2</v>
          </cell>
        </row>
        <row r="69">
          <cell r="C69">
            <v>0.26073473890602628</v>
          </cell>
          <cell r="P69">
            <v>4.20368778064392E-2</v>
          </cell>
        </row>
        <row r="70">
          <cell r="C70">
            <v>8.9908419659064473E-2</v>
          </cell>
          <cell r="P70">
            <v>4.0603802426674281E-2</v>
          </cell>
        </row>
        <row r="71">
          <cell r="C71">
            <v>1.5661466650288652E-2</v>
          </cell>
        </row>
        <row r="72">
          <cell r="P72">
            <v>0.21496130696474633</v>
          </cell>
        </row>
        <row r="73">
          <cell r="C73">
            <v>1.1328180853408081</v>
          </cell>
          <cell r="P73">
            <v>0.21496130696474633</v>
          </cell>
        </row>
        <row r="75">
          <cell r="P75">
            <v>2.625</v>
          </cell>
        </row>
        <row r="77">
          <cell r="C77">
            <v>3.654342218400685E-2</v>
          </cell>
        </row>
        <row r="78">
          <cell r="P78">
            <v>0.85124677558039541</v>
          </cell>
        </row>
        <row r="79">
          <cell r="C79">
            <v>0.36830037259959869</v>
          </cell>
          <cell r="P79">
            <v>5.2546097258049103E-2</v>
          </cell>
        </row>
        <row r="80">
          <cell r="C80">
            <v>0.36830037259959869</v>
          </cell>
        </row>
        <row r="82">
          <cell r="C82">
            <v>0.85468408298424914</v>
          </cell>
        </row>
        <row r="84">
          <cell r="P84">
            <v>3.7349527085124651E-2</v>
          </cell>
        </row>
        <row r="85">
          <cell r="C85">
            <v>1.24309052941899</v>
          </cell>
        </row>
        <row r="86">
          <cell r="P86">
            <v>8.2429939268880453E-2</v>
          </cell>
        </row>
        <row r="87">
          <cell r="C87">
            <v>9.0079023870941327E-2</v>
          </cell>
        </row>
        <row r="88">
          <cell r="C88">
            <v>5.2204888834295506E-2</v>
          </cell>
        </row>
        <row r="92">
          <cell r="P92">
            <v>2.0192905594453272</v>
          </cell>
        </row>
        <row r="93">
          <cell r="P93">
            <v>0.82572438548362936</v>
          </cell>
        </row>
        <row r="94">
          <cell r="P94">
            <v>0.11891113567811754</v>
          </cell>
        </row>
        <row r="96">
          <cell r="P96">
            <v>0.29941039184375434</v>
          </cell>
        </row>
        <row r="97">
          <cell r="P97">
            <v>0.36502863446843681</v>
          </cell>
        </row>
        <row r="98">
          <cell r="P98">
            <v>0.11891113567811754</v>
          </cell>
        </row>
        <row r="99">
          <cell r="P99">
            <v>2.2187077754575586E-2</v>
          </cell>
        </row>
        <row r="101">
          <cell r="P101">
            <v>1.0506417248487399</v>
          </cell>
        </row>
        <row r="105">
          <cell r="P105">
            <v>5.1769848094009703E-2</v>
          </cell>
        </row>
        <row r="107">
          <cell r="P107">
            <v>0.52163943823445114</v>
          </cell>
        </row>
        <row r="108">
          <cell r="P108">
            <v>0.52163943823445114</v>
          </cell>
        </row>
        <row r="110">
          <cell r="P110">
            <v>2.0972075484745103</v>
          </cell>
        </row>
        <row r="113">
          <cell r="P113">
            <v>1.7610449166769027</v>
          </cell>
        </row>
        <row r="115">
          <cell r="P115">
            <v>0.12761195048383353</v>
          </cell>
        </row>
        <row r="116">
          <cell r="P116">
            <v>7.3956925848585292E-2</v>
          </cell>
        </row>
      </sheetData>
      <sheetData sheetId="1">
        <row r="20">
          <cell r="I20">
            <v>2.4328447263976689</v>
          </cell>
          <cell r="K20">
            <v>3.2135569708726672</v>
          </cell>
        </row>
        <row r="21">
          <cell r="I21">
            <v>3.9873984807654104</v>
          </cell>
          <cell r="K21">
            <v>4.513482447113156</v>
          </cell>
        </row>
        <row r="23">
          <cell r="I23">
            <v>0.70095472031371264</v>
          </cell>
          <cell r="K23">
            <v>0.4088902535163324</v>
          </cell>
        </row>
        <row r="24">
          <cell r="K24">
            <v>4.6775039059741133</v>
          </cell>
        </row>
        <row r="122">
          <cell r="E122">
            <v>12.866573207234707</v>
          </cell>
        </row>
        <row r="123">
          <cell r="C123">
            <v>0.43745546783658662</v>
          </cell>
          <cell r="N123">
            <v>0.3120573562380089</v>
          </cell>
        </row>
        <row r="124">
          <cell r="C124">
            <v>7.4</v>
          </cell>
          <cell r="N124">
            <v>4.0897500000000004</v>
          </cell>
        </row>
        <row r="125">
          <cell r="C125">
            <v>2.2948744637849563</v>
          </cell>
          <cell r="N125">
            <v>1.2684375000000001</v>
          </cell>
        </row>
        <row r="126">
          <cell r="Q126">
            <v>5.034968904341941E-2</v>
          </cell>
        </row>
        <row r="127">
          <cell r="C127">
            <v>1.2168491132182206</v>
          </cell>
          <cell r="N127">
            <v>2.3464249181570365</v>
          </cell>
        </row>
        <row r="128">
          <cell r="C128">
            <v>1.2168491132182206</v>
          </cell>
          <cell r="N128">
            <v>2.3464249181570365</v>
          </cell>
        </row>
        <row r="129">
          <cell r="C129">
            <v>2.1148744637849561</v>
          </cell>
        </row>
        <row r="130">
          <cell r="C130">
            <v>0.68846233913548682</v>
          </cell>
          <cell r="N130">
            <v>0.84562500000000007</v>
          </cell>
        </row>
        <row r="132">
          <cell r="C132">
            <v>0.56640904267040404</v>
          </cell>
          <cell r="M132">
            <v>10.092329563971216</v>
          </cell>
          <cell r="N132">
            <v>1.083748797669112</v>
          </cell>
        </row>
        <row r="133">
          <cell r="C133">
            <v>0.56640904267040404</v>
          </cell>
        </row>
        <row r="135">
          <cell r="N135">
            <v>0.48601379959576846</v>
          </cell>
        </row>
        <row r="136">
          <cell r="C136">
            <v>1.6064121246494694</v>
          </cell>
        </row>
        <row r="138">
          <cell r="C138">
            <v>1.1166998860872441</v>
          </cell>
          <cell r="N138">
            <v>1.6912500000000001</v>
          </cell>
        </row>
        <row r="139">
          <cell r="C139">
            <v>1.1166998860872441</v>
          </cell>
        </row>
        <row r="140">
          <cell r="N140">
            <v>0.39684680661811123</v>
          </cell>
        </row>
        <row r="141">
          <cell r="C141">
            <v>0.42734204149212457</v>
          </cell>
          <cell r="N141">
            <v>0.39684680661811123</v>
          </cell>
        </row>
        <row r="142">
          <cell r="C142">
            <v>0.42734204149212457</v>
          </cell>
        </row>
        <row r="143">
          <cell r="E143">
            <v>2.9839751290126495</v>
          </cell>
        </row>
        <row r="144">
          <cell r="C144">
            <v>0.70095472031371353</v>
          </cell>
          <cell r="M144">
            <v>14.946</v>
          </cell>
          <cell r="N144">
            <v>0.36997008308772433</v>
          </cell>
        </row>
        <row r="145">
          <cell r="C145">
            <v>0.2</v>
          </cell>
          <cell r="N145">
            <v>8.2429939268880453E-2</v>
          </cell>
        </row>
        <row r="146">
          <cell r="C146">
            <v>0.3</v>
          </cell>
        </row>
        <row r="147">
          <cell r="C147">
            <v>2.2948744637849563</v>
          </cell>
          <cell r="Q147">
            <v>0</v>
          </cell>
        </row>
        <row r="148">
          <cell r="N148">
            <v>0.4088902535163329</v>
          </cell>
        </row>
        <row r="149">
          <cell r="N149">
            <v>0.59086514057830319</v>
          </cell>
        </row>
        <row r="150">
          <cell r="N150">
            <v>1.1747263597502395</v>
          </cell>
        </row>
      </sheetData>
      <sheetData sheetId="2">
        <row r="27">
          <cell r="J27">
            <v>0.4712049436871445</v>
          </cell>
        </row>
        <row r="28">
          <cell r="J28">
            <v>5.8462852609877034</v>
          </cell>
        </row>
        <row r="29">
          <cell r="J29">
            <v>3.7043463206270619</v>
          </cell>
        </row>
        <row r="30">
          <cell r="K30">
            <v>4.550112368247337</v>
          </cell>
        </row>
        <row r="31">
          <cell r="J31">
            <v>5.0935109436753994</v>
          </cell>
        </row>
        <row r="32">
          <cell r="J32">
            <v>9.5773609901783718</v>
          </cell>
        </row>
        <row r="33">
          <cell r="J33">
            <v>3.7043463206270619</v>
          </cell>
        </row>
        <row r="34">
          <cell r="J34">
            <v>7.562983611860628</v>
          </cell>
        </row>
        <row r="36">
          <cell r="J36">
            <v>38.978887293951807</v>
          </cell>
        </row>
        <row r="37">
          <cell r="J37">
            <v>9.4454232651776859</v>
          </cell>
        </row>
        <row r="39">
          <cell r="J39">
            <v>0.98727861419515794</v>
          </cell>
        </row>
        <row r="41">
          <cell r="J41">
            <v>1.5690429721884687</v>
          </cell>
        </row>
        <row r="43">
          <cell r="J43">
            <v>12.904199625122519</v>
          </cell>
        </row>
        <row r="44">
          <cell r="J44">
            <v>0</v>
          </cell>
        </row>
        <row r="45">
          <cell r="J45">
            <v>2.5305438957411668</v>
          </cell>
        </row>
        <row r="48">
          <cell r="J48">
            <v>5.2287999999999997</v>
          </cell>
        </row>
        <row r="49">
          <cell r="J49">
            <v>7.0262000000000002</v>
          </cell>
        </row>
      </sheetData>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version factors"/>
      <sheetName val="Conversion factors selected IV "/>
      <sheetName val="Availabilities EU Austria"/>
      <sheetName val="IVCs relevant in 2030"/>
      <sheetName val="IVCs relevant 2040-2050"/>
      <sheetName val="Gap analysis EU"/>
      <sheetName val="Gap Analysis AUSTRIA"/>
      <sheetName val="EU Energiebedarf Verkehr"/>
      <sheetName val="EU-27_High_2030-2050"/>
      <sheetName val="AUSTRIA Energiebedarf Verkehr"/>
      <sheetName val="Austria_High_2030_2050"/>
      <sheetName val="EU-27_Medium_2030"/>
      <sheetName val="Austria Medium 2030"/>
      <sheetName val="2025-2030_KPIs"/>
      <sheetName val="2025-2030_Heatmap"/>
      <sheetName val="Overview"/>
      <sheetName val="2030-2040_essential IVCs"/>
      <sheetName val="2030-2040_Heatmap"/>
      <sheetName val="2040-2050_Heatmap"/>
      <sheetName val="TRL"/>
      <sheetName val="conv.f. additional"/>
      <sheetName val="3"/>
      <sheetName val="6"/>
      <sheetName val="8b"/>
      <sheetName val="8d"/>
      <sheetName val="11b"/>
      <sheetName val="12"/>
      <sheetName val="CO2"/>
      <sheetName val="t-toe"/>
      <sheetName val="Demand"/>
      <sheetName val="Market readiness"/>
    </sheetNames>
    <sheetDataSet>
      <sheetData sheetId="0"/>
      <sheetData sheetId="1">
        <row r="4">
          <cell r="O4">
            <v>1.1315675675675676</v>
          </cell>
        </row>
        <row r="5">
          <cell r="G5">
            <v>0.95978351434331599</v>
          </cell>
        </row>
        <row r="7">
          <cell r="O7">
            <v>0.95154545454545458</v>
          </cell>
        </row>
        <row r="9">
          <cell r="O9">
            <v>0.95154545454545458</v>
          </cell>
        </row>
        <row r="10">
          <cell r="G10">
            <v>0.15387272727272727</v>
          </cell>
        </row>
        <row r="12">
          <cell r="G12">
            <v>0.42350471353132874</v>
          </cell>
          <cell r="O12">
            <v>0.97367441860465131</v>
          </cell>
        </row>
        <row r="14">
          <cell r="O14">
            <v>0.97367441860465131</v>
          </cell>
        </row>
        <row r="15">
          <cell r="G15">
            <v>0.15387272727272727</v>
          </cell>
        </row>
        <row r="17">
          <cell r="G17">
            <v>0.18050496028765164</v>
          </cell>
          <cell r="O17">
            <v>1.5506666666666669</v>
          </cell>
        </row>
        <row r="18">
          <cell r="G18">
            <v>0.18050496028765164</v>
          </cell>
          <cell r="O18">
            <v>1.5506666666666669</v>
          </cell>
        </row>
        <row r="19">
          <cell r="G19">
            <v>0.18050496028765164</v>
          </cell>
        </row>
        <row r="20">
          <cell r="G20">
            <v>0.23616905737803762</v>
          </cell>
        </row>
        <row r="22">
          <cell r="G22">
            <v>5.3146356056851488E-2</v>
          </cell>
          <cell r="O22">
            <v>1.5506666666666669</v>
          </cell>
        </row>
        <row r="23">
          <cell r="G23">
            <v>5.3146356056851488E-2</v>
          </cell>
        </row>
        <row r="24">
          <cell r="G24">
            <v>5.3146356056851488E-2</v>
          </cell>
        </row>
        <row r="25">
          <cell r="G25">
            <v>6.9535622694368845E-2</v>
          </cell>
        </row>
        <row r="27">
          <cell r="G27">
            <v>0.47</v>
          </cell>
          <cell r="O27">
            <v>0.97367441860465131</v>
          </cell>
        </row>
        <row r="29">
          <cell r="G29">
            <v>0.50565325955726736</v>
          </cell>
          <cell r="O29">
            <v>0.83669064748201449</v>
          </cell>
        </row>
        <row r="30">
          <cell r="G30">
            <v>0.50565325955726736</v>
          </cell>
        </row>
        <row r="31">
          <cell r="G31">
            <v>0.50565325955726736</v>
          </cell>
        </row>
        <row r="32">
          <cell r="G32">
            <v>0.50565325955726736</v>
          </cell>
        </row>
        <row r="33">
          <cell r="G33">
            <v>0.50565325955726736</v>
          </cell>
        </row>
        <row r="34">
          <cell r="G34">
            <v>0.11659945531529187</v>
          </cell>
        </row>
        <row r="35">
          <cell r="G35">
            <v>0.11659945531529187</v>
          </cell>
        </row>
        <row r="36">
          <cell r="G36">
            <v>0.18593291119169406</v>
          </cell>
        </row>
        <row r="39">
          <cell r="G39">
            <v>0.44129562342499795</v>
          </cell>
        </row>
        <row r="40">
          <cell r="G40">
            <v>0.44129562342499795</v>
          </cell>
        </row>
        <row r="41">
          <cell r="G41">
            <v>0.30788066750581256</v>
          </cell>
        </row>
        <row r="42">
          <cell r="G42">
            <v>0.44129562342499795</v>
          </cell>
        </row>
        <row r="43">
          <cell r="G43">
            <v>0.44129562342499795</v>
          </cell>
        </row>
        <row r="44">
          <cell r="G44">
            <v>0.44129562342499795</v>
          </cell>
        </row>
        <row r="45">
          <cell r="G45">
            <v>0.48747772355086988</v>
          </cell>
        </row>
        <row r="46">
          <cell r="G46">
            <v>0.48747772355086988</v>
          </cell>
        </row>
        <row r="47">
          <cell r="G47">
            <v>0.41050755667441674</v>
          </cell>
        </row>
        <row r="48">
          <cell r="G48">
            <v>0.79651764705882355</v>
          </cell>
        </row>
        <row r="49">
          <cell r="O49">
            <v>2.0934000000000004</v>
          </cell>
        </row>
        <row r="50">
          <cell r="O50">
            <v>2.0934000000000004</v>
          </cell>
        </row>
        <row r="52">
          <cell r="G52">
            <v>0.24762705465272858</v>
          </cell>
          <cell r="O52">
            <v>0.83669064748201449</v>
          </cell>
        </row>
        <row r="53">
          <cell r="G53">
            <v>0.24762705465272858</v>
          </cell>
        </row>
        <row r="54">
          <cell r="G54">
            <v>0.17276306138562458</v>
          </cell>
        </row>
        <row r="55">
          <cell r="G55">
            <v>0.24762705465272858</v>
          </cell>
        </row>
        <row r="56">
          <cell r="G56">
            <v>0.24762705465272858</v>
          </cell>
        </row>
        <row r="57">
          <cell r="G57">
            <v>0.24762705465272858</v>
          </cell>
        </row>
        <row r="58">
          <cell r="G58">
            <v>0.27354151386057229</v>
          </cell>
        </row>
        <row r="59">
          <cell r="G59">
            <v>0.27354151386057229</v>
          </cell>
        </row>
        <row r="60">
          <cell r="G60">
            <v>0.23035074851416612</v>
          </cell>
        </row>
        <row r="61">
          <cell r="G61">
            <v>0.79651764705882355</v>
          </cell>
        </row>
        <row r="62">
          <cell r="O62">
            <v>0.83669064748201449</v>
          </cell>
        </row>
        <row r="64">
          <cell r="G64">
            <v>0.17998143851508122</v>
          </cell>
          <cell r="O64">
            <v>0.95154545454545658</v>
          </cell>
        </row>
        <row r="65">
          <cell r="G65">
            <v>0.17998143851508122</v>
          </cell>
        </row>
        <row r="66">
          <cell r="G66">
            <v>0.17998143851508122</v>
          </cell>
        </row>
        <row r="67">
          <cell r="G67">
            <v>0.17998143851508122</v>
          </cell>
        </row>
        <row r="68">
          <cell r="G68">
            <v>0.17998143851508122</v>
          </cell>
        </row>
        <row r="69">
          <cell r="G69">
            <v>0.17998143851508122</v>
          </cell>
        </row>
        <row r="70">
          <cell r="G70">
            <v>0.19881670533642692</v>
          </cell>
        </row>
        <row r="71">
          <cell r="G71">
            <v>0.19881670533642692</v>
          </cell>
        </row>
        <row r="72">
          <cell r="G72">
            <v>0.16742459396751741</v>
          </cell>
        </row>
        <row r="73">
          <cell r="G73">
            <v>0.31417169373549886</v>
          </cell>
        </row>
        <row r="75">
          <cell r="G75">
            <v>8.9990719257540611E-2</v>
          </cell>
        </row>
        <row r="76">
          <cell r="G76">
            <v>8.9990719257540611E-2</v>
          </cell>
          <cell r="O76">
            <v>0.97367441860465131</v>
          </cell>
        </row>
        <row r="77">
          <cell r="G77">
            <v>8.9990719257540611E-2</v>
          </cell>
        </row>
        <row r="78">
          <cell r="G78">
            <v>8.9990719257540611E-2</v>
          </cell>
          <cell r="O78">
            <v>0.97367441860465131</v>
          </cell>
        </row>
        <row r="79">
          <cell r="G79">
            <v>8.9990719257540611E-2</v>
          </cell>
        </row>
        <row r="80">
          <cell r="G80">
            <v>8.9990719257540611E-2</v>
          </cell>
        </row>
        <row r="81">
          <cell r="G81">
            <v>9.9408352668213462E-2</v>
          </cell>
        </row>
        <row r="82">
          <cell r="G82">
            <v>9.9408352668213462E-2</v>
          </cell>
        </row>
        <row r="83">
          <cell r="G83">
            <v>8.3712296983758705E-2</v>
          </cell>
        </row>
        <row r="84">
          <cell r="G84">
            <v>0.31417169373549886</v>
          </cell>
        </row>
        <row r="86">
          <cell r="L86">
            <v>0.30419052872369762</v>
          </cell>
          <cell r="O86">
            <v>1.5506666666666669</v>
          </cell>
        </row>
        <row r="87">
          <cell r="G87">
            <v>0.28301886792452824</v>
          </cell>
        </row>
        <row r="89">
          <cell r="G89">
            <v>0.27123986095017383</v>
          </cell>
          <cell r="O89">
            <v>1</v>
          </cell>
        </row>
        <row r="90">
          <cell r="G90">
            <v>0.27123986095017383</v>
          </cell>
        </row>
        <row r="91">
          <cell r="G91">
            <v>0.27123986095017383</v>
          </cell>
        </row>
        <row r="92">
          <cell r="G92">
            <v>0.27123986095017383</v>
          </cell>
        </row>
        <row r="93">
          <cell r="G93">
            <v>0.27123986095017383</v>
          </cell>
        </row>
        <row r="94">
          <cell r="G94">
            <v>0.27123986095017383</v>
          </cell>
        </row>
        <row r="95">
          <cell r="G95">
            <v>0.27123986095017383</v>
          </cell>
        </row>
        <row r="96">
          <cell r="G96">
            <v>0.27123986095017383</v>
          </cell>
        </row>
        <row r="98">
          <cell r="G98">
            <v>0.27123986095017383</v>
          </cell>
          <cell r="O98">
            <v>1</v>
          </cell>
        </row>
        <row r="99">
          <cell r="G99">
            <v>0.27123986095017383</v>
          </cell>
        </row>
        <row r="100">
          <cell r="G100">
            <v>0.27123986095017383</v>
          </cell>
        </row>
        <row r="101">
          <cell r="G101">
            <v>0.27123986095017383</v>
          </cell>
        </row>
        <row r="102">
          <cell r="G102">
            <v>0.27123986095017383</v>
          </cell>
        </row>
        <row r="103">
          <cell r="G103">
            <v>0.27123986095017383</v>
          </cell>
        </row>
        <row r="104">
          <cell r="G104">
            <v>0.27123986095017383</v>
          </cell>
        </row>
        <row r="105">
          <cell r="G105">
            <v>0.27123986095017383</v>
          </cell>
        </row>
        <row r="107">
          <cell r="G107">
            <v>8.2474864655839128E-2</v>
          </cell>
        </row>
        <row r="108">
          <cell r="G108">
            <v>8.2474864655839128E-2</v>
          </cell>
          <cell r="O108">
            <v>1</v>
          </cell>
        </row>
        <row r="109">
          <cell r="G109">
            <v>8.2474864655839128E-2</v>
          </cell>
        </row>
        <row r="110">
          <cell r="G110">
            <v>8.2474864655839128E-2</v>
          </cell>
        </row>
        <row r="111">
          <cell r="G111">
            <v>8.2474864655839128E-2</v>
          </cell>
        </row>
        <row r="112">
          <cell r="G112">
            <v>9.1105955143078107E-2</v>
          </cell>
        </row>
        <row r="113">
          <cell r="G113">
            <v>9.1105955143078107E-2</v>
          </cell>
        </row>
        <row r="114">
          <cell r="G114">
            <v>9.1105955143078107E-2</v>
          </cell>
        </row>
        <row r="116">
          <cell r="G116">
            <v>0.27123986095017383</v>
          </cell>
        </row>
        <row r="117">
          <cell r="G117">
            <v>0.27123986095017383</v>
          </cell>
        </row>
        <row r="118">
          <cell r="G118">
            <v>0.27123986095017383</v>
          </cell>
        </row>
        <row r="119">
          <cell r="G119">
            <v>0.27123986095017383</v>
          </cell>
        </row>
        <row r="120">
          <cell r="G120">
            <v>0.27123986095017383</v>
          </cell>
        </row>
        <row r="121">
          <cell r="G121">
            <v>0.27123986095017383</v>
          </cell>
        </row>
        <row r="122">
          <cell r="G122">
            <v>0.27123986095017383</v>
          </cell>
        </row>
        <row r="123">
          <cell r="G123">
            <v>0.27123986095017383</v>
          </cell>
        </row>
        <row r="125">
          <cell r="G125">
            <v>8.7338247338247313E-2</v>
          </cell>
          <cell r="O125">
            <v>1</v>
          </cell>
        </row>
        <row r="126">
          <cell r="G126">
            <v>8.7338247338247313E-2</v>
          </cell>
        </row>
        <row r="127">
          <cell r="G127">
            <v>8.7338247338247313E-2</v>
          </cell>
        </row>
        <row r="128">
          <cell r="G128">
            <v>8.7338247338247313E-2</v>
          </cell>
        </row>
        <row r="129">
          <cell r="G129">
            <v>8.7338247338247313E-2</v>
          </cell>
        </row>
        <row r="130">
          <cell r="G130">
            <v>9.6478296478296463E-2</v>
          </cell>
        </row>
        <row r="131">
          <cell r="G131">
            <v>9.6478296478296463E-2</v>
          </cell>
        </row>
        <row r="132">
          <cell r="G132">
            <v>9.6478296478296463E-2</v>
          </cell>
        </row>
      </sheetData>
      <sheetData sheetId="2">
        <row r="10">
          <cell r="N10">
            <v>6.3480428594768199</v>
          </cell>
          <cell r="Q10">
            <v>8.9686926412541244</v>
          </cell>
          <cell r="X10">
            <v>14.921232086754733</v>
          </cell>
          <cell r="AB10">
            <v>1.2285053574346025</v>
          </cell>
          <cell r="AC10">
            <v>1.7060865801567653</v>
          </cell>
        </row>
        <row r="13">
          <cell r="N13">
            <v>0.4</v>
          </cell>
          <cell r="Q13">
            <v>0.8</v>
          </cell>
          <cell r="X13">
            <v>1.4</v>
          </cell>
          <cell r="AB13">
            <v>0.2</v>
          </cell>
          <cell r="AC13">
            <v>0.4</v>
          </cell>
        </row>
        <row r="14">
          <cell r="N14">
            <v>5.1880428594768198</v>
          </cell>
          <cell r="Q14">
            <v>7.4086926412541239</v>
          </cell>
          <cell r="X14">
            <v>8.9412320867547326</v>
          </cell>
          <cell r="AB14">
            <v>0.64850535743460247</v>
          </cell>
          <cell r="AC14">
            <v>0.92608658015676548</v>
          </cell>
        </row>
        <row r="15">
          <cell r="N15">
            <v>0.76</v>
          </cell>
          <cell r="Q15">
            <v>0.76</v>
          </cell>
          <cell r="X15">
            <v>4.58</v>
          </cell>
          <cell r="AB15">
            <v>0.38</v>
          </cell>
          <cell r="AC15">
            <v>0.38</v>
          </cell>
        </row>
        <row r="16">
          <cell r="N16">
            <v>6.8437699722118355</v>
          </cell>
          <cell r="Q16">
            <v>10.139010384222962</v>
          </cell>
          <cell r="AB16">
            <v>1.7242324701696183</v>
          </cell>
          <cell r="AC16">
            <v>2.8764043231256027</v>
          </cell>
          <cell r="AD16">
            <v>9.2381744600462667</v>
          </cell>
        </row>
        <row r="21">
          <cell r="N21">
            <v>0.49572711273501602</v>
          </cell>
          <cell r="Q21">
            <v>1.1703177429688374</v>
          </cell>
          <cell r="AB21">
            <v>0.49572711273501602</v>
          </cell>
          <cell r="AC21">
            <v>1.1703177429688374</v>
          </cell>
          <cell r="AD21">
            <v>1.8443972405264524</v>
          </cell>
        </row>
        <row r="23">
          <cell r="N23">
            <v>0.4</v>
          </cell>
          <cell r="Q23">
            <v>0.8</v>
          </cell>
          <cell r="AB23">
            <v>0.2</v>
          </cell>
          <cell r="AC23">
            <v>0.4</v>
          </cell>
          <cell r="AD23">
            <v>1.26</v>
          </cell>
        </row>
        <row r="24">
          <cell r="N24">
            <v>5.1880428594768198</v>
          </cell>
          <cell r="Q24">
            <v>7.4086926412541239</v>
          </cell>
          <cell r="AB24">
            <v>0.64850535743460247</v>
          </cell>
          <cell r="AC24">
            <v>0.92608658015676548</v>
          </cell>
          <cell r="AD24">
            <v>2.0117772195198147</v>
          </cell>
        </row>
        <row r="25">
          <cell r="N25">
            <v>0.75999999999999979</v>
          </cell>
          <cell r="Q25">
            <v>0.75999999999999979</v>
          </cell>
          <cell r="AB25">
            <v>0.37999999999999989</v>
          </cell>
          <cell r="AC25">
            <v>0.37999999999999989</v>
          </cell>
          <cell r="AD25">
            <v>4.121999999999999</v>
          </cell>
        </row>
        <row r="26">
          <cell r="N26">
            <v>177.62992397271947</v>
          </cell>
          <cell r="Q26">
            <v>277.32429753491976</v>
          </cell>
          <cell r="AB26">
            <v>26.310984931318337</v>
          </cell>
          <cell r="AC26">
            <v>40.92816852563805</v>
          </cell>
          <cell r="AD26">
            <v>51.616756389369257</v>
          </cell>
        </row>
        <row r="27">
          <cell r="N27">
            <v>130.89263574041894</v>
          </cell>
          <cell r="Q27">
            <v>207.40944074964315</v>
          </cell>
          <cell r="AB27">
            <v>18.698947962916989</v>
          </cell>
          <cell r="AC27">
            <v>29.629920107091877</v>
          </cell>
          <cell r="AD27">
            <v>29.629920107091877</v>
          </cell>
        </row>
        <row r="28">
          <cell r="N28">
            <v>5.1230865023155641</v>
          </cell>
          <cell r="Q28">
            <v>8.738165736490755</v>
          </cell>
          <cell r="AB28">
            <v>0.73186950033079479</v>
          </cell>
          <cell r="AC28">
            <v>1.2483093909272507</v>
          </cell>
          <cell r="AD28">
            <v>10.204344080083652</v>
          </cell>
        </row>
        <row r="29">
          <cell r="N29">
            <v>2.3323784509315457</v>
          </cell>
          <cell r="Q29">
            <v>6.1393981815063317</v>
          </cell>
          <cell r="AB29">
            <v>0.33319692156164937</v>
          </cell>
          <cell r="AC29">
            <v>0.87705688307233309</v>
          </cell>
          <cell r="AD29">
            <v>2.0142016679260926</v>
          </cell>
        </row>
        <row r="30">
          <cell r="N30">
            <v>39.28182327905342</v>
          </cell>
          <cell r="Q30">
            <v>55.037292867279561</v>
          </cell>
          <cell r="AB30">
            <v>6.546970546508903</v>
          </cell>
          <cell r="AC30">
            <v>9.1728821445465929</v>
          </cell>
          <cell r="AD30">
            <v>9.7682905342676349</v>
          </cell>
        </row>
        <row r="40">
          <cell r="N40">
            <v>277.60808698322893</v>
          </cell>
          <cell r="Q40">
            <v>407.13033666871206</v>
          </cell>
          <cell r="AB40">
            <v>72.665862848744908</v>
          </cell>
          <cell r="AC40">
            <v>99.496921290388656</v>
          </cell>
          <cell r="AD40">
            <v>100.46263682864461</v>
          </cell>
        </row>
        <row r="41">
          <cell r="N41">
            <v>8.4952845259123446</v>
          </cell>
          <cell r="Q41">
            <v>12.256703698099333</v>
          </cell>
          <cell r="AB41">
            <v>0.70794037715936198</v>
          </cell>
          <cell r="AC41">
            <v>1.0213919748416109</v>
          </cell>
          <cell r="AD41">
            <v>0.99479234694094631</v>
          </cell>
        </row>
        <row r="42">
          <cell r="N42">
            <v>5.1230865023155641</v>
          </cell>
          <cell r="Q42">
            <v>8.738165736490755</v>
          </cell>
          <cell r="AB42">
            <v>0.36593475016539739</v>
          </cell>
          <cell r="AC42">
            <v>0.62415469546362534</v>
          </cell>
          <cell r="AD42">
            <v>5.1021720400418262</v>
          </cell>
        </row>
        <row r="43">
          <cell r="N43">
            <v>2.3323784509315457</v>
          </cell>
          <cell r="Q43">
            <v>6.1393981815063317</v>
          </cell>
          <cell r="AB43">
            <v>0.16659846078082469</v>
          </cell>
          <cell r="AC43">
            <v>0.43852844153616655</v>
          </cell>
          <cell r="AD43">
            <v>1.0071008339630463</v>
          </cell>
        </row>
        <row r="44">
          <cell r="N44">
            <v>6.5447342912320421</v>
          </cell>
          <cell r="Q44">
            <v>9.7773868037813845</v>
          </cell>
          <cell r="AB44">
            <v>3.272367145616021</v>
          </cell>
          <cell r="AC44">
            <v>4.8886934018906922</v>
          </cell>
          <cell r="AD44">
            <v>5.3715878821441994</v>
          </cell>
        </row>
        <row r="45">
          <cell r="N45">
            <v>130.89263574041894</v>
          </cell>
          <cell r="Q45">
            <v>207.40944074964315</v>
          </cell>
          <cell r="AB45">
            <v>9.3494739814584946</v>
          </cell>
          <cell r="AC45">
            <v>14.814960053545938</v>
          </cell>
          <cell r="AD45">
            <v>14.814960053545938</v>
          </cell>
        </row>
        <row r="46">
          <cell r="N46">
            <v>96.46686757407214</v>
          </cell>
          <cell r="Q46">
            <v>128.62249009876282</v>
          </cell>
          <cell r="AB46">
            <v>48.23343378703607</v>
          </cell>
          <cell r="AC46">
            <v>64.311245049381412</v>
          </cell>
          <cell r="AD46">
            <v>61.472095202174032</v>
          </cell>
        </row>
        <row r="47">
          <cell r="N47">
            <v>8.8171616070517977</v>
          </cell>
          <cell r="Q47">
            <v>9.854474737293188</v>
          </cell>
          <cell r="AB47">
            <v>1.1021452008814747</v>
          </cell>
          <cell r="AC47">
            <v>1.2318093421616485</v>
          </cell>
          <cell r="AD47">
            <v>1.1450912850727863</v>
          </cell>
        </row>
        <row r="48">
          <cell r="N48">
            <v>18.294938291294546</v>
          </cell>
          <cell r="Q48">
            <v>23.691276663135103</v>
          </cell>
          <cell r="AB48">
            <v>9.147469145647273</v>
          </cell>
          <cell r="AC48">
            <v>11.845638331567551</v>
          </cell>
          <cell r="AD48">
            <v>10.23433718476184</v>
          </cell>
        </row>
        <row r="49">
          <cell r="N49">
            <v>0.64100000000000001</v>
          </cell>
          <cell r="Q49">
            <v>0.64100000000000001</v>
          </cell>
          <cell r="AB49">
            <v>0.32050000000000001</v>
          </cell>
          <cell r="AC49">
            <v>0.32050000000000001</v>
          </cell>
          <cell r="AD49">
            <v>0.32050000000000001</v>
          </cell>
        </row>
        <row r="60">
          <cell r="N60">
            <v>252.76748695189718</v>
          </cell>
          <cell r="Q60">
            <v>365.13131220918297</v>
          </cell>
          <cell r="AB60">
            <v>41.755581599616569</v>
          </cell>
          <cell r="AC60">
            <v>58.944138985804884</v>
          </cell>
        </row>
        <row r="61">
          <cell r="N61">
            <v>130.89263574041894</v>
          </cell>
          <cell r="Q61">
            <v>207.40944074964315</v>
          </cell>
          <cell r="AB61">
            <v>18.698947962916989</v>
          </cell>
          <cell r="AC61">
            <v>29.629920107091877</v>
          </cell>
        </row>
        <row r="62">
          <cell r="N62">
            <v>8.4952845259123446</v>
          </cell>
          <cell r="Q62">
            <v>12.257725308395727</v>
          </cell>
          <cell r="AB62">
            <v>1.415880754318724</v>
          </cell>
          <cell r="AC62">
            <v>2.0429542180659546</v>
          </cell>
        </row>
        <row r="63">
          <cell r="N63">
            <v>8.8171616070517977</v>
          </cell>
          <cell r="Q63">
            <v>9.854474737293188</v>
          </cell>
          <cell r="AB63">
            <v>2.2042904017629494</v>
          </cell>
          <cell r="AC63">
            <v>2.463618684323297</v>
          </cell>
        </row>
        <row r="64">
          <cell r="N64">
            <v>3.4535388863652337</v>
          </cell>
          <cell r="Q64">
            <v>5.1803083295478496</v>
          </cell>
          <cell r="AB64">
            <v>0.69070777727304677</v>
          </cell>
          <cell r="AC64">
            <v>1.0360616659095701</v>
          </cell>
        </row>
        <row r="65">
          <cell r="N65">
            <v>5.1230865023155641</v>
          </cell>
          <cell r="Q65">
            <v>8.738165736490755</v>
          </cell>
          <cell r="AB65">
            <v>0.73186950033079479</v>
          </cell>
          <cell r="AC65">
            <v>1.2483093909272507</v>
          </cell>
        </row>
        <row r="66">
          <cell r="N66">
            <v>2.3323784509315457</v>
          </cell>
          <cell r="Q66">
            <v>6.1393981815063317</v>
          </cell>
          <cell r="AB66">
            <v>0.33319692156164937</v>
          </cell>
          <cell r="AC66">
            <v>0.87705688307233309</v>
          </cell>
        </row>
        <row r="67">
          <cell r="N67">
            <v>37.416699428169103</v>
          </cell>
          <cell r="Q67">
            <v>37.416699428169103</v>
          </cell>
          <cell r="AB67">
            <v>7.4833398856338214</v>
          </cell>
          <cell r="AC67">
            <v>7.4833398856338214</v>
          </cell>
        </row>
        <row r="68">
          <cell r="N68">
            <v>39.28182327905342</v>
          </cell>
          <cell r="Q68">
            <v>55.037292867279561</v>
          </cell>
          <cell r="AB68">
            <v>6.546970546508903</v>
          </cell>
          <cell r="AC68">
            <v>9.1728821445465929</v>
          </cell>
        </row>
        <row r="69">
          <cell r="N69">
            <v>11.766835672202422</v>
          </cell>
          <cell r="Q69">
            <v>15.689114229603229</v>
          </cell>
          <cell r="AB69">
            <v>2.3533671344404845</v>
          </cell>
          <cell r="AC69">
            <v>3.1378228459206459</v>
          </cell>
        </row>
        <row r="70">
          <cell r="N70">
            <v>5.1880428594768198</v>
          </cell>
          <cell r="Q70">
            <v>7.4086926412541239</v>
          </cell>
          <cell r="AB70">
            <v>1.2970107148692049</v>
          </cell>
          <cell r="AC70">
            <v>1.852173160313531</v>
          </cell>
        </row>
        <row r="79">
          <cell r="N79">
            <v>252.76748695189718</v>
          </cell>
          <cell r="Q79">
            <v>365.13131220918297</v>
          </cell>
          <cell r="AB79">
            <v>41.755581599616569</v>
          </cell>
          <cell r="AC79">
            <v>58.944138985804884</v>
          </cell>
          <cell r="AD79">
            <v>68.921336855038206</v>
          </cell>
        </row>
        <row r="80">
          <cell r="N80">
            <v>130.89263574041894</v>
          </cell>
          <cell r="Q80">
            <v>207.40944074964315</v>
          </cell>
          <cell r="AB80">
            <v>18.698947962916989</v>
          </cell>
          <cell r="AC80">
            <v>29.629920107091877</v>
          </cell>
          <cell r="AD80">
            <v>29.629920107091877</v>
          </cell>
        </row>
        <row r="81">
          <cell r="N81">
            <v>8.4952845259123446</v>
          </cell>
          <cell r="Q81">
            <v>12.257725308395727</v>
          </cell>
          <cell r="AB81">
            <v>1.415880754318724</v>
          </cell>
          <cell r="AC81">
            <v>2.0429542180659546</v>
          </cell>
          <cell r="AD81">
            <v>1.9897731868222737</v>
          </cell>
        </row>
        <row r="82">
          <cell r="N82">
            <v>8.8171616070517977</v>
          </cell>
          <cell r="Q82">
            <v>9.854474737293188</v>
          </cell>
          <cell r="AB82">
            <v>2.2042904017629494</v>
          </cell>
          <cell r="AC82">
            <v>2.463618684323297</v>
          </cell>
          <cell r="AD82">
            <v>2.2901825701455727</v>
          </cell>
        </row>
        <row r="83">
          <cell r="N83">
            <v>3.4535388863652337</v>
          </cell>
          <cell r="Q83">
            <v>5.1803083295478496</v>
          </cell>
          <cell r="AB83">
            <v>0.69070777727304677</v>
          </cell>
          <cell r="AC83">
            <v>1.0360616659095701</v>
          </cell>
          <cell r="AD83">
            <v>0.88961112873008164</v>
          </cell>
        </row>
        <row r="84">
          <cell r="N84">
            <v>5.1230865023155641</v>
          </cell>
          <cell r="Q84">
            <v>8.738165736490755</v>
          </cell>
          <cell r="AB84">
            <v>0.73186950033079479</v>
          </cell>
          <cell r="AC84">
            <v>1.2483093909272507</v>
          </cell>
          <cell r="AD84">
            <v>10.204344080083652</v>
          </cell>
        </row>
        <row r="85">
          <cell r="N85">
            <v>2.3323784509315457</v>
          </cell>
          <cell r="Q85">
            <v>6.1393981815063317</v>
          </cell>
          <cell r="AB85">
            <v>0.33319692156164937</v>
          </cell>
          <cell r="AC85">
            <v>0.87705688307233309</v>
          </cell>
          <cell r="AD85">
            <v>2.0142016679260926</v>
          </cell>
        </row>
        <row r="86">
          <cell r="N86">
            <v>37.416699428169103</v>
          </cell>
          <cell r="Q86">
            <v>37.416699428169103</v>
          </cell>
          <cell r="AB86">
            <v>7.4833398856338214</v>
          </cell>
          <cell r="AC86">
            <v>7.4833398856338214</v>
          </cell>
          <cell r="AD86">
            <v>7.6263561572719825</v>
          </cell>
        </row>
        <row r="87">
          <cell r="N87">
            <v>39.28182327905342</v>
          </cell>
          <cell r="Q87">
            <v>55.037292867279561</v>
          </cell>
          <cell r="AB87">
            <v>6.546970546508903</v>
          </cell>
          <cell r="AC87">
            <v>9.1728821445465929</v>
          </cell>
          <cell r="AD87">
            <v>9.7682905342676349</v>
          </cell>
        </row>
        <row r="88">
          <cell r="N88">
            <v>11.766835672202422</v>
          </cell>
          <cell r="Q88">
            <v>15.689114229603229</v>
          </cell>
          <cell r="AB88">
            <v>2.3533671344404845</v>
          </cell>
          <cell r="AC88">
            <v>3.1378228459206459</v>
          </cell>
          <cell r="AD88">
            <v>3.8061026838533483</v>
          </cell>
        </row>
        <row r="89">
          <cell r="N89">
            <v>5.1880428594768198</v>
          </cell>
          <cell r="Q89">
            <v>7.4086926412541239</v>
          </cell>
          <cell r="AB89">
            <v>1.2970107148692049</v>
          </cell>
          <cell r="AC89">
            <v>1.852173160313531</v>
          </cell>
          <cell r="AD89">
            <v>0.70255473884569142</v>
          </cell>
        </row>
        <row r="103">
          <cell r="AB103">
            <v>20.877790799808285</v>
          </cell>
          <cell r="AC103">
            <v>29.472069492902442</v>
          </cell>
          <cell r="AD103">
            <v>36.344699079784938</v>
          </cell>
        </row>
        <row r="104">
          <cell r="AB104">
            <v>9.3494739814584946</v>
          </cell>
          <cell r="AC104">
            <v>14.814960053545938</v>
          </cell>
          <cell r="AD104">
            <v>14.814960053545938</v>
          </cell>
        </row>
        <row r="105">
          <cell r="AB105">
            <v>0.70794037715936198</v>
          </cell>
          <cell r="AC105">
            <v>1.0214771090329773</v>
          </cell>
          <cell r="AD105">
            <v>0.99488659341113683</v>
          </cell>
        </row>
        <row r="106">
          <cell r="AB106">
            <v>1.1021452008814747</v>
          </cell>
          <cell r="AC106">
            <v>1.2318093421616485</v>
          </cell>
          <cell r="AD106">
            <v>1.1450912850727863</v>
          </cell>
        </row>
        <row r="107">
          <cell r="AB107">
            <v>0.34535388863652339</v>
          </cell>
          <cell r="AC107">
            <v>0.51803083295478503</v>
          </cell>
          <cell r="AD107">
            <v>0.44480556436504082</v>
          </cell>
        </row>
        <row r="108">
          <cell r="AB108">
            <v>0.36593475016539739</v>
          </cell>
          <cell r="AC108">
            <v>0.62415469546362534</v>
          </cell>
          <cell r="AD108">
            <v>5.1021720400418262</v>
          </cell>
        </row>
        <row r="109">
          <cell r="AB109">
            <v>0.16659846078082469</v>
          </cell>
          <cell r="AC109">
            <v>0.43852844153616655</v>
          </cell>
          <cell r="AD109">
            <v>1.0071008339630463</v>
          </cell>
        </row>
        <row r="110">
          <cell r="AB110">
            <v>3.7416699428169107</v>
          </cell>
          <cell r="AC110">
            <v>3.7416699428169107</v>
          </cell>
          <cell r="AD110">
            <v>3.8131780786359912</v>
          </cell>
        </row>
        <row r="111">
          <cell r="AB111">
            <v>3.2734852732544515</v>
          </cell>
          <cell r="AC111">
            <v>4.5864410722732964</v>
          </cell>
          <cell r="AD111">
            <v>4.8841452671338175</v>
          </cell>
        </row>
        <row r="112">
          <cell r="AB112">
            <v>1.1766835672202423</v>
          </cell>
          <cell r="AC112">
            <v>1.5689114229603229</v>
          </cell>
          <cell r="AD112">
            <v>1.9030513419266741</v>
          </cell>
        </row>
        <row r="113">
          <cell r="AB113">
            <v>0.64850535743460247</v>
          </cell>
          <cell r="AC113">
            <v>0.92608658015676548</v>
          </cell>
          <cell r="AD113">
            <v>2.2353080216886831</v>
          </cell>
        </row>
        <row r="114">
          <cell r="N114">
            <v>252.76748695189718</v>
          </cell>
          <cell r="Q114">
            <v>365.13131220918297</v>
          </cell>
        </row>
        <row r="115">
          <cell r="N115">
            <v>130.89263574041894</v>
          </cell>
          <cell r="Q115">
            <v>207.40944074964315</v>
          </cell>
        </row>
        <row r="116">
          <cell r="N116">
            <v>8.4952845259123446</v>
          </cell>
          <cell r="Q116">
            <v>12.257725308395727</v>
          </cell>
        </row>
        <row r="117">
          <cell r="N117">
            <v>8.8171616070517977</v>
          </cell>
          <cell r="Q117">
            <v>9.854474737293188</v>
          </cell>
        </row>
        <row r="118">
          <cell r="N118">
            <v>3.4535388863652337</v>
          </cell>
          <cell r="Q118">
            <v>5.1803083295478496</v>
          </cell>
        </row>
        <row r="119">
          <cell r="N119">
            <v>5.1230865023155641</v>
          </cell>
          <cell r="Q119">
            <v>8.738165736490755</v>
          </cell>
        </row>
        <row r="120">
          <cell r="N120">
            <v>2.3323784509315457</v>
          </cell>
          <cell r="Q120">
            <v>6.1393981815063317</v>
          </cell>
        </row>
        <row r="121">
          <cell r="N121">
            <v>37.416699428169103</v>
          </cell>
          <cell r="Q121">
            <v>37.416699428169103</v>
          </cell>
        </row>
        <row r="122">
          <cell r="N122">
            <v>39.28182327905342</v>
          </cell>
          <cell r="Q122">
            <v>55.037292867279561</v>
          </cell>
        </row>
        <row r="123">
          <cell r="N123">
            <v>11.766835672202422</v>
          </cell>
          <cell r="Q123">
            <v>15.689114229603229</v>
          </cell>
        </row>
        <row r="124">
          <cell r="N124">
            <v>5.1880428594768198</v>
          </cell>
          <cell r="Q124">
            <v>7.4086926412541239</v>
          </cell>
        </row>
        <row r="129">
          <cell r="N129">
            <v>238.76228248536859</v>
          </cell>
          <cell r="AB129">
            <v>38.254280482984413</v>
          </cell>
          <cell r="AC129">
            <v>54.628347141168042</v>
          </cell>
          <cell r="AD129">
            <v>65.928599546046954</v>
          </cell>
        </row>
        <row r="130">
          <cell r="N130">
            <v>130.89263574041894</v>
          </cell>
          <cell r="AB130">
            <v>18.698947962916989</v>
          </cell>
          <cell r="AC130">
            <v>29.629920107091877</v>
          </cell>
          <cell r="AD130">
            <v>29.629920107091877</v>
          </cell>
        </row>
        <row r="131">
          <cell r="N131">
            <v>8.4952845259123446</v>
          </cell>
          <cell r="AB131">
            <v>1.415880754318724</v>
          </cell>
          <cell r="AC131">
            <v>2.0429542180659546</v>
          </cell>
          <cell r="AD131">
            <v>1.9897731868222737</v>
          </cell>
        </row>
        <row r="132">
          <cell r="N132">
            <v>3.4535388863652337</v>
          </cell>
          <cell r="AB132">
            <v>0.69070777727304677</v>
          </cell>
          <cell r="AC132">
            <v>1.0360616659095701</v>
          </cell>
          <cell r="AD132">
            <v>0.88961112873008164</v>
          </cell>
        </row>
        <row r="133">
          <cell r="N133">
            <v>5.1230865023155641</v>
          </cell>
          <cell r="AB133">
            <v>0.73186950033079479</v>
          </cell>
          <cell r="AC133">
            <v>1.2483093909272507</v>
          </cell>
          <cell r="AD133">
            <v>10.204344080083652</v>
          </cell>
        </row>
        <row r="134">
          <cell r="N134">
            <v>2.3323784509315457</v>
          </cell>
          <cell r="AB134">
            <v>0.33319692156164937</v>
          </cell>
          <cell r="AC134">
            <v>0.87705688307233309</v>
          </cell>
          <cell r="AD134">
            <v>2.0142016679260926</v>
          </cell>
        </row>
        <row r="135">
          <cell r="N135">
            <v>37.416699428169103</v>
          </cell>
          <cell r="AB135">
            <v>7.4833398856338214</v>
          </cell>
          <cell r="AC135">
            <v>7.4833398856338214</v>
          </cell>
          <cell r="AD135">
            <v>7.6263561572719825</v>
          </cell>
        </row>
        <row r="136">
          <cell r="N136">
            <v>39.28182327905342</v>
          </cell>
          <cell r="AB136">
            <v>6.546970546508903</v>
          </cell>
          <cell r="AC136">
            <v>9.1728821445465929</v>
          </cell>
          <cell r="AD136">
            <v>9.7682905342676349</v>
          </cell>
        </row>
        <row r="137">
          <cell r="N137">
            <v>11.766835672202422</v>
          </cell>
          <cell r="AB137">
            <v>2.3533671344404845</v>
          </cell>
          <cell r="AC137">
            <v>3.1378228459206459</v>
          </cell>
          <cell r="AD137">
            <v>3.8061026838533483</v>
          </cell>
        </row>
        <row r="138">
          <cell r="Q138">
            <v>347.86814483063569</v>
          </cell>
        </row>
        <row r="140">
          <cell r="Q140">
            <v>207.40944074964315</v>
          </cell>
        </row>
        <row r="141">
          <cell r="Q141">
            <v>12.257725308395727</v>
          </cell>
        </row>
        <row r="142">
          <cell r="Q142">
            <v>5.1803083295478496</v>
          </cell>
        </row>
        <row r="143">
          <cell r="Q143">
            <v>8.738165736490755</v>
          </cell>
        </row>
        <row r="144">
          <cell r="Q144">
            <v>6.1393981815063317</v>
          </cell>
        </row>
        <row r="145">
          <cell r="Q145">
            <v>37.416699428169103</v>
          </cell>
        </row>
        <row r="146">
          <cell r="Q146">
            <v>55.037292867279561</v>
          </cell>
        </row>
        <row r="147">
          <cell r="Q147">
            <v>15.689114229603229</v>
          </cell>
        </row>
        <row r="148">
          <cell r="AB148">
            <v>19.493074991657604</v>
          </cell>
          <cell r="AC148">
            <v>27.938328266047645</v>
          </cell>
        </row>
        <row r="149">
          <cell r="AB149">
            <v>9.3494739814584946</v>
          </cell>
          <cell r="AC149">
            <v>14.814960053545938</v>
          </cell>
        </row>
        <row r="150">
          <cell r="AB150">
            <v>0.70794037715936198</v>
          </cell>
          <cell r="AC150">
            <v>1.0214771090329773</v>
          </cell>
        </row>
        <row r="151">
          <cell r="AB151">
            <v>0.34535388863652339</v>
          </cell>
          <cell r="AC151">
            <v>0.51803083295478503</v>
          </cell>
        </row>
        <row r="152">
          <cell r="AB152">
            <v>0.73186950033079479</v>
          </cell>
          <cell r="AC152">
            <v>1.2483093909272507</v>
          </cell>
        </row>
        <row r="153">
          <cell r="AB153">
            <v>0.16659846078082469</v>
          </cell>
          <cell r="AC153">
            <v>0.43852844153616655</v>
          </cell>
        </row>
        <row r="154">
          <cell r="AB154">
            <v>3.7416699428169107</v>
          </cell>
          <cell r="AC154">
            <v>3.7416699428169107</v>
          </cell>
        </row>
        <row r="155">
          <cell r="AB155">
            <v>3.2734852732544515</v>
          </cell>
          <cell r="AC155">
            <v>4.5864410722732964</v>
          </cell>
        </row>
        <row r="156">
          <cell r="AB156">
            <v>1.1766835672202423</v>
          </cell>
          <cell r="AC156">
            <v>1.5689114229603229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enario 2 2040"/>
      <sheetName val="Scenario 3 2030"/>
      <sheetName val="Scenario 3 2035"/>
      <sheetName val="Scenaior 3 2040"/>
    </sheetNames>
    <sheetDataSet>
      <sheetData sheetId="0">
        <row r="4">
          <cell r="G4">
            <v>0.32413219826146089</v>
          </cell>
        </row>
        <row r="5">
          <cell r="G5">
            <v>6.5878977971262422</v>
          </cell>
        </row>
        <row r="6">
          <cell r="G6">
            <v>3.3213114275699125</v>
          </cell>
        </row>
        <row r="8">
          <cell r="G8">
            <v>0.95426797434460386</v>
          </cell>
        </row>
        <row r="9">
          <cell r="G9">
            <v>0.95426797434460386</v>
          </cell>
        </row>
        <row r="10">
          <cell r="G10">
            <v>0.95426797434460386</v>
          </cell>
        </row>
        <row r="11">
          <cell r="G11">
            <v>0.99639342827097366</v>
          </cell>
        </row>
        <row r="13">
          <cell r="G13">
            <v>1.0506417248487399</v>
          </cell>
        </row>
        <row r="21">
          <cell r="G21">
            <v>3.3746889100617676</v>
          </cell>
        </row>
        <row r="22">
          <cell r="G22">
            <v>3.3746889100617676</v>
          </cell>
        </row>
        <row r="25">
          <cell r="G25">
            <v>2.0972075484745103</v>
          </cell>
        </row>
        <row r="30">
          <cell r="G30">
            <v>0.93459388225313333</v>
          </cell>
        </row>
        <row r="31">
          <cell r="G31">
            <v>1.7629855844427276</v>
          </cell>
        </row>
        <row r="32">
          <cell r="G32">
            <v>2.2554319550218098</v>
          </cell>
        </row>
        <row r="33">
          <cell r="G33">
            <v>3.3213114275699125</v>
          </cell>
        </row>
      </sheetData>
      <sheetData sheetId="1"/>
      <sheetData sheetId="2"/>
      <sheetData sheetId="3">
        <row r="4">
          <cell r="E4">
            <v>0.33620704028491294</v>
          </cell>
        </row>
        <row r="5">
          <cell r="E5">
            <v>6.5878977971262422</v>
          </cell>
        </row>
        <row r="6">
          <cell r="E6">
            <v>4.0874811820022146</v>
          </cell>
        </row>
        <row r="8">
          <cell r="E8">
            <v>5.7262987763133202</v>
          </cell>
        </row>
        <row r="9">
          <cell r="E9">
            <v>4.7886804950891859</v>
          </cell>
        </row>
        <row r="10">
          <cell r="E10">
            <v>4.0874811820022146</v>
          </cell>
        </row>
        <row r="11">
          <cell r="E11">
            <v>12.701454756132451</v>
          </cell>
          <cell r="N11">
            <v>7.7656000000000001</v>
          </cell>
        </row>
        <row r="13">
          <cell r="E13">
            <v>26.3017876732807</v>
          </cell>
          <cell r="N13">
            <v>10.435025</v>
          </cell>
        </row>
        <row r="19">
          <cell r="E19">
            <v>2.120602030163758</v>
          </cell>
        </row>
        <row r="21">
          <cell r="E21">
            <v>13.733375285067522</v>
          </cell>
        </row>
        <row r="22">
          <cell r="E22">
            <v>0</v>
          </cell>
        </row>
        <row r="25">
          <cell r="E25">
            <v>19.668067317289303</v>
          </cell>
        </row>
        <row r="26">
          <cell r="E26">
            <v>6.6616106685129566</v>
          </cell>
        </row>
        <row r="31">
          <cell r="E31">
            <v>1.7982523404072637</v>
          </cell>
        </row>
        <row r="32">
          <cell r="E32">
            <v>0</v>
          </cell>
        </row>
        <row r="33">
          <cell r="E33">
            <v>2.4525902612409243</v>
          </cell>
        </row>
        <row r="34">
          <cell r="E34">
            <v>2.120602030163758</v>
          </cell>
        </row>
        <row r="35">
          <cell r="E35">
            <v>6.6616106685129566</v>
          </cell>
        </row>
      </sheetData>
    </sheetDataSet>
  </externalBook>
</externalLink>
</file>

<file path=xl/persons/person.xml><?xml version="1.0" encoding="utf-8"?>
<personList xmlns="http://schemas.microsoft.com/office/spreadsheetml/2018/threadedcomments" xmlns:x="http://schemas.openxmlformats.org/spreadsheetml/2006/main">
  <person displayName="Lucie Catalina Cherpin" id="{3E777230-61F3-43BE-A748-388BDE894DDF}" userId="S::CherpinL@best-research.eu::a927ef08-32c0-4941-96b1-5a6dcfb3d6e8"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5" dT="2026-07-01T08:43:28.94" personId="{3E777230-61F3-43BE-A748-388BDE894DDF}" id="{2BDE14E4-3FFB-4CAC-BE3D-F09A1CCBDA86}">
    <text xml:space="preserve">Source: Study 2, table 3-3, p. 50 </text>
  </threadedComment>
  <threadedComment ref="L5" dT="2026-07-01T08:43:53.76" personId="{3E777230-61F3-43BE-A748-388BDE894DDF}" id="{749DF298-3BAE-4218-9F5C-B407E01BD859}">
    <text>Source: Study 2, table 3-3, p. 50</text>
  </threadedComment>
  <threadedComment ref="N5" dT="2026-07-01T08:44:21.58" personId="{3E777230-61F3-43BE-A748-388BDE894DDF}" id="{6BB6D71C-876E-4AC1-B3D4-C8EC4EF7447C}">
    <text>Check, probably not rigth</text>
  </threadedComment>
  <threadedComment ref="E6" dT="2026-06-30T14:19:10.69" personId="{3E777230-61F3-43BE-A748-388BDE894DDF}" id="{0641B48C-1C2E-451D-B038-C8905E93DEBF}">
    <text>250€/t from farmer to aggregator, the 520 is the price when deliuivered to refinery</text>
  </threadedComment>
  <threadedComment ref="J7" dT="2026-07-01T08:43:38.57" personId="{3E777230-61F3-43BE-A748-388BDE894DDF}" id="{D2BAAC56-4CC2-48C6-B87A-6E4A714A4DC4}">
    <text>Source: Study 2, table 3-3, p. 50</text>
  </threadedComment>
  <threadedComment ref="L7" dT="2026-07-01T08:43:57.50" personId="{3E777230-61F3-43BE-A748-388BDE894DDF}" id="{2EE79CC8-7DB4-40E7-9C5C-0CF6A83C93D3}">
    <text>Source: Study 2, table 3-3, p. 50</text>
  </threadedComment>
  <threadedComment ref="E10" dT="2026-06-30T18:20:54.06" personId="{3E777230-61F3-43BE-A748-388BDE894DDF}" id="{39C073FB-1DE4-492E-A48A-BFEFDF685185}">
    <text>I have the original information of  20 €/MWh</text>
  </threadedComment>
  <threadedComment ref="J11" dT="2026-07-01T08:43:43.77" personId="{3E777230-61F3-43BE-A748-388BDE894DDF}" id="{CAA6746D-9F9C-4C7E-A5C7-C3DC2E1772CF}">
    <text>Source: Study 2, table 3-3, p. 50</text>
  </threadedComment>
  <threadedComment ref="L11" dT="2026-07-01T08:44:02.35" personId="{3E777230-61F3-43BE-A748-388BDE894DDF}" id="{63BE232C-8257-40CB-A854-8EEEE5D046C6}">
    <text>Source: Study 2, table 3-3, p. 50</text>
  </threadedComment>
  <threadedComment ref="E14" dT="2026-06-30T18:20:54.06" personId="{3E777230-61F3-43BE-A748-388BDE894DDF}" id="{EFF544C3-280E-463F-872F-2969E46F178B}">
    <text>I have the original information of  20 €/MWh</text>
  </threadedComment>
  <threadedComment ref="E16" dT="2026-06-30T14:19:30.84" personId="{3E777230-61F3-43BE-A748-388BDE894DDF}" id="{85047F7D-F8D5-471B-A8D3-394D1DA3F27F}">
    <text>German average in 2020, costs  come from a) replenishment of soil nutrient and organic matter, and b) classical collection, storage and transport of the material to farmgate or torrefaction of feedstock usage</text>
  </threadedComment>
  <threadedComment ref="E21" dT="2026-06-30T18:20:54.06" personId="{3E777230-61F3-43BE-A748-388BDE894DDF}" id="{1F1D4C1E-F310-4986-A721-4E625752DF11}">
    <text>I have the original information of  20 €/MWh</text>
  </threadedComment>
  <threadedComment ref="E23" dT="2026-06-30T14:19:44.03" personId="{3E777230-61F3-43BE-A748-388BDE894DDF}" id="{4AA83F66-2551-44B1-8A82-8E41A3C66DBD}">
    <text>I asumed it to be the same as for agroprocessing</text>
  </threadedComment>
  <threadedComment ref="E31" dT="2026-06-30T18:20:54.06" personId="{3E777230-61F3-43BE-A748-388BDE894DDF}" id="{6E9D4E67-23E2-43C2-B3EF-8D64F92CF5BE}">
    <text>I have the original information of  20 €/MWh</text>
  </threadedComment>
  <threadedComment ref="E57" dT="2026-06-30T18:20:54.06" personId="{3E777230-61F3-43BE-A748-388BDE894DDF}" id="{0EBA3DE9-C51E-4D26-975A-C8966C8DB4DA}">
    <text>I have the original information of  20 €/MWh</text>
  </threadedComment>
  <threadedComment ref="E59" dT="2026-06-30T18:20:54.06" personId="{3E777230-61F3-43BE-A748-388BDE894DDF}" id="{0E7B8B5E-75D0-4D1B-B201-7FBD183D3816}">
    <text>I have the original information of  20 €/MWh</text>
  </threadedComment>
  <threadedComment ref="E70" dT="2026-06-30T18:20:54.06" personId="{3E777230-61F3-43BE-A748-388BDE894DDF}" id="{A42FE59B-99E4-4B07-BCEC-FF9F9EEB1295}">
    <text>I have the original information of  20 €/MWh</text>
  </threadedComment>
  <threadedComment ref="E72" dT="2026-06-30T18:20:54.06" personId="{3E777230-61F3-43BE-A748-388BDE894DDF}" id="{B8E32453-DF1E-4C76-BB44-072E6BCE9A26}">
    <text>I have the original information of  20 €/MWh</text>
  </threadedComment>
</ThreadedComments>
</file>

<file path=xl/threadedComments/threadedComment2.xml><?xml version="1.0" encoding="utf-8"?>
<ThreadedComments xmlns="http://schemas.microsoft.com/office/spreadsheetml/2018/threadedcomments" xmlns:x="http://schemas.openxmlformats.org/spreadsheetml/2006/main">
  <threadedComment ref="G5" dT="2026-08-03T13:48:59.84" personId="{3E777230-61F3-43BE-A748-388BDE894DDF}" id="{A77A5799-89FE-491F-8766-25D60FD4565B}">
    <text>In ceto report: intellectual property and engineering expertise contribute an estimated 30% of the wokr involved in manufacturing a European biodiesel plant</text>
  </threadedComment>
  <threadedComment ref="G11" dT="2026-08-03T13:43:46.55" personId="{3E777230-61F3-43BE-A748-388BDE894DDF}" id="{6DAB5E6E-D0B7-43ED-9647-37D38E0A8E78}">
    <text>plants using non-standard oils from cover crops or marginal lands require more robust pre-treatment and purification units to handle feedstock variability compared to plants using refined food-grade oils
--&gt; therefore slightly higher share than IVC above</text>
  </threadedComment>
  <threadedComment ref="D18" dT="2026-08-04T18:27:44.99" personId="{3E777230-61F3-43BE-A748-388BDE894DDF}" id="{32CBDEC2-176C-4B0F-A623-5BD86D2D25BE}">
    <text xml:space="preserve">Annex 5 Study 2, p. 13: 66.18% UCO and 33.82% Animal Fat </text>
  </threadedComment>
  <threadedComment ref="N18" dT="2026-08-03T09:27:41.86" personId="{3E777230-61F3-43BE-A748-388BDE894DDF}" id="{B4CA926F-65E4-4871-9272-CDCF2A86801E}">
    <text>Study 2, page 111</text>
  </threadedComment>
  <threadedComment ref="G25" dT="2026-08-03T13:50:43.32" personId="{3E777230-61F3-43BE-A748-388BDE894DDF}" id="{62DE1E61-0033-4005-9F9C-E930BE32F7F3}">
    <text>Hydrotreatment is technically more complex than tranestification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K41" dT="2026-06-30T14:19:30.84" personId="{3E777230-61F3-43BE-A748-388BDE894DDF}" id="{0E6581DC-125A-4B5D-B1EC-315EC5ED65A4}">
    <text>German average in 2020, costs  come from a) replenishment of soil nutrient and organic matter, and b) classical collection, storage and transport of the material to farmgate or torrefaction of feedstock usage</text>
  </threadedComment>
  <threadedComment ref="G84" dT="2026-08-04T19:38:02.83" personId="{3E777230-61F3-43BE-A748-388BDE894DDF}" id="{791FF8A9-5C90-4745-991A-C8BB0DD269AA}">
    <text>Based on DBFZ report sent by Doris on 04.08. via mail</text>
  </threadedComment>
  <threadedComment ref="N86" dT="2026-08-03T13:48:59.84" personId="{3E777230-61F3-43BE-A748-388BDE894DDF}" id="{14F10201-8CFB-41D8-A4A3-AFABE0F8583F}">
    <text>In ceto report: intellectual property and engineering expertise contribute an estimated 30% of the wokr involved in manufacturing a European biodiesel plant</text>
  </threadedComment>
  <threadedComment ref="P97" dT="2026-08-06T09:50:09.92" personId="{3E777230-61F3-43BE-A748-388BDE894DDF}" id="{04B8099F-9F46-4279-A631-A0EE3B9FFE36}">
    <text>Because of the feedstock being UCO: CETO report „SMEs also manage the logistics of the decentralised collection and processing of dispersed feedstocks, such as used cooking oil (UCO).“ (p. 52)</text>
  </threadedComment>
  <threadedComment ref="P97" dT="2026-08-06T09:51:24.62" personId="{3E777230-61F3-43BE-A748-388BDE894DDF}" id="{1F212AB7-F53C-4C45-8DB0-1316251FB1CA}" parentId="{04B8099F-9F46-4279-A631-A0EE3B9FFE36}">
    <text>Or p. 7 CETO: „Small and medium-sized enterprises (SMEs) are innovators for Annex IX Part A feedstocks of the RED II and for managing decentralised feedstock collection logistics. „</text>
  </threadedComment>
  <threadedComment ref="N99" dT="2026-08-03T13:50:43.32" personId="{3E777230-61F3-43BE-A748-388BDE894DDF}" id="{EDB183A3-BBBD-4B95-AF65-B3F57C1812D1}">
    <text>Hydrotreatment is technically more complex than tranestification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D16" dT="2026-08-06T14:55:45.03" personId="{3E777230-61F3-43BE-A748-388BDE894DDF}" id="{CBFC78C2-E2A6-42FB-9405-E624C600C855}">
    <text>Includes the diesel going to shipping</text>
  </threadedComment>
  <threadedComment ref="B68" dT="2026-08-11T12:51:49.18" personId="{3E777230-61F3-43BE-A748-388BDE894DDF}" id="{615B2508-73C0-49D2-B04B-B5B8C1E93B00}">
    <text>Can I really assum ethe same procie here as when used in shipping?</text>
  </threadedComment>
  <threadedComment ref="A88" dT="2026-07-29T17:57:31.68" personId="{3E777230-61F3-43BE-A748-388BDE894DDF}" id="{B92AF685-EA33-457E-9D73-E8C6B37F2CCA}">
    <text>Taken out, since IVC 7 is sufficient to dover biogas demand and thereby 9a can be used as input for IVC 12</text>
  </threadedComment>
  <threadedComment ref="G226" dT="2026-08-04T19:38:02.83" personId="{3E777230-61F3-43BE-A748-388BDE894DDF}" id="{C67FFAEE-B71C-4525-9BAA-00FF76799D59}">
    <text>Based on DBFZ report sent by Doris on 04.08. via mail</text>
  </threadedComment>
  <threadedComment ref="K227" dT="2026-08-08T09:53:11.28" personId="{3E777230-61F3-43BE-A748-388BDE894DDF}" id="{639AD20E-E983-4316-9ACA-074BEE69CCD9}">
    <text>These are percentages of overall feedstock usage, not as staed above „moey spent on each feedstock for 1t of product“</text>
  </threadedComment>
  <threadedComment ref="N228" dT="2026-08-03T13:48:59.84" personId="{3E777230-61F3-43BE-A748-388BDE894DDF}" id="{434814F4-DB7F-4BCC-96B8-C2E1AA1C11FA}">
    <text>In ceto report: intellectual property and engineering expertise contribute an estimated 30% of the wokr involved in manufacturing a European biodiesel plant</text>
  </threadedComment>
  <threadedComment ref="N235" dT="2026-08-03T13:50:43.32" personId="{3E777230-61F3-43BE-A748-388BDE894DDF}" id="{E3A804DE-968D-4E5F-B5B5-A6CCBB403F93}">
    <text>Hydrotreatment is technically more complex than tranestification</text>
  </threadedComment>
  <threadedComment ref="N243" dT="2026-08-03T13:48:59.84" personId="{3E777230-61F3-43BE-A748-388BDE894DDF}" id="{7574952B-ECF1-48F0-AD44-54FAC23173B3}">
    <text>In ceto report: intellectual property and engineering expertise contribute an estimated 30% of the wokr involved in manufacturing a European biodiesel plant</text>
  </threadedComment>
  <threadedComment ref="N250" dT="2026-08-03T13:50:43.32" personId="{3E777230-61F3-43BE-A748-388BDE894DDF}" id="{C568C5AD-1395-40D9-B997-EC3F725614DB}">
    <text>Hydrotreatment is technically more complex than tranestification</text>
  </threadedComment>
  <threadedComment ref="N259" dT="2026-08-03T13:48:59.84" personId="{3E777230-61F3-43BE-A748-388BDE894DDF}" id="{2AA4F211-22E1-43B4-8BF5-D4A763DD0995}">
    <text>In ceto report: intellectual property and engineering expertise contribute an estimated 30% of the wokr involved in manufacturing a European biodiesel plant</text>
  </threadedComment>
  <threadedComment ref="N265" dT="2026-08-03T13:50:43.32" personId="{3E777230-61F3-43BE-A748-388BDE894DDF}" id="{43198721-C0F1-4937-B9B3-5D0897D380C9}">
    <text>Hydrotreatment is technically more complex than tranestification</text>
  </threadedComment>
  <threadedComment ref="N285" dT="2026-08-03T13:50:43.32" personId="{3E777230-61F3-43BE-A748-388BDE894DDF}" id="{3D080233-ECE2-48E5-947C-39A5F551D115}">
    <text>Hydrotreatment is technically more complex than tranestification</text>
  </threadedComment>
</ThreadedComments>
</file>

<file path=xl/threadedComments/threadedComment5.xml><?xml version="1.0" encoding="utf-8"?>
<ThreadedComments xmlns="http://schemas.microsoft.com/office/spreadsheetml/2018/threadedcomments" xmlns:x="http://schemas.openxmlformats.org/spreadsheetml/2006/main">
  <threadedComment ref="D9" dT="2026-08-06T14:55:45.03" personId="{3E777230-61F3-43BE-A748-388BDE894DDF}" id="{14198BF4-FC5E-4F69-8DB0-BA1418358D1D}">
    <text>Includes the diesel going to shipping</text>
  </threadedComment>
  <threadedComment ref="B72" dT="2026-08-11T12:51:49.18" personId="{3E777230-61F3-43BE-A748-388BDE894DDF}" id="{2127DB78-DF01-45A7-B9B5-7C63AB36B015}">
    <text>Can I really assum ethe same procie here as when used in shipping?</text>
  </threadedComment>
  <threadedComment ref="A92" dT="2026-07-29T17:57:31.68" personId="{3E777230-61F3-43BE-A748-388BDE894DDF}" id="{18F44418-585B-4D59-A9D3-4A6003FE035E}">
    <text>Taken out, since IVC 7 is sufficient to dover biogas demand and thereby 9a can be used as input for IVC 12</text>
  </threadedComment>
  <threadedComment ref="B150" dT="2026-08-12T12:54:57.37" personId="{3E777230-61F3-43BE-A748-388BDE894DDF}" id="{E9E9FE62-A907-41F0-B852-183A1794076B}">
    <text>Took the same price as for the other because  makes more snese than taking the road 13b market price when sold as SAF no?</text>
  </threadedComment>
  <threadedComment ref="G241" dT="2026-08-04T19:38:02.83" personId="{3E777230-61F3-43BE-A748-388BDE894DDF}" id="{0CCD31A9-EB72-46DF-B492-C9E90BCA9B41}">
    <text>Based on DBFZ report sent by Doris on 04.08. via mail</text>
  </threadedComment>
  <threadedComment ref="K242" dT="2026-08-08T09:53:11.28" personId="{3E777230-61F3-43BE-A748-388BDE894DDF}" id="{3DD45E12-CA73-490B-B97B-2DB99D2C2309}">
    <text>These are percentages of overall feedstock usage, not as staed above „moey spent on each feedstock for 1t of product“</text>
  </threadedComment>
  <threadedComment ref="N243" dT="2026-08-03T13:48:59.84" personId="{3E777230-61F3-43BE-A748-388BDE894DDF}" id="{EA6E58E6-3E93-4AA8-90F7-2611E860ED0A}">
    <text>In ceto report: intellectual property and engineering expertise contribute an estimated 30% of the wokr involved in manufacturing a European biodiesel plant</text>
  </threadedComment>
  <threadedComment ref="K250" dT="2026-08-08T09:53:11.28" personId="{3E777230-61F3-43BE-A748-388BDE894DDF}" id="{CD945056-963B-4CBB-892F-B9A7847DDFDE}">
    <text>These are percentages of overall feedstock usage, not as staed above „moey spent on each feedstock for 1t of product“</text>
  </threadedComment>
  <threadedComment ref="N250" dT="2026-08-03T13:50:43.32" personId="{3E777230-61F3-43BE-A748-388BDE894DDF}" id="{47152EBA-AB68-4B91-9FBF-6CC8157C8795}">
    <text>Hydrotreatment is technically more complex than tranestification</text>
  </threadedComment>
  <threadedComment ref="N258" dT="2026-08-03T13:48:59.84" personId="{3E777230-61F3-43BE-A748-388BDE894DDF}" id="{7CEF01E4-3DD3-49B8-B576-7AB5DCC62C64}">
    <text>In ceto report: intellectual property and engineering expertise contribute an estimated 30% of the wokr involved in manufacturing a European biodiesel plant</text>
  </threadedComment>
  <threadedComment ref="N265" dT="2026-08-03T13:50:43.32" personId="{3E777230-61F3-43BE-A748-388BDE894DDF}" id="{49113B1F-545B-4005-BD88-DDA1B4B67027}">
    <text>Hydrotreatment is technically more complex than tranestification</text>
  </threadedComment>
  <threadedComment ref="N284" dT="2026-08-03T13:50:43.32" personId="{3E777230-61F3-43BE-A748-388BDE894DDF}" id="{EE5E435E-B0DD-4F27-9EAC-D58AFBF34CAC}">
    <text>Hydrotreatment is technically more complex than tranestification</text>
  </threadedComment>
  <threadedComment ref="E286" dT="2026-08-09T21:39:43.04" personId="{3E777230-61F3-43BE-A748-388BDE894DDF}" id="{F614B8A6-96FC-41E5-9D61-C283E539D32C}">
    <text>I am making averages for the conversion factor, based on what I knwo form domestic production</text>
  </threadedComment>
</ThreadedComments>
</file>

<file path=xl/threadedComments/threadedComment6.xml><?xml version="1.0" encoding="utf-8"?>
<ThreadedComments xmlns="http://schemas.microsoft.com/office/spreadsheetml/2018/threadedcomments" xmlns:x="http://schemas.openxmlformats.org/spreadsheetml/2006/main">
  <threadedComment ref="D9" dT="2026-08-06T14:55:45.03" personId="{3E777230-61F3-43BE-A748-388BDE894DDF}" id="{47B0E686-8E2D-420B-9125-6A38C109AF84}">
    <text>Includes the diesel going to shipping</text>
  </threadedComment>
  <threadedComment ref="G230" dT="2026-08-04T19:38:02.83" personId="{3E777230-61F3-43BE-A748-388BDE894DDF}" id="{8AD0E3AA-FDBB-4B63-83EB-419CA97A29F2}">
    <text>Based on DBFZ report sent by Doris on 04.08. via mail</text>
  </threadedComment>
  <threadedComment ref="K231" dT="2026-08-08T09:53:11.28" personId="{3E777230-61F3-43BE-A748-388BDE894DDF}" id="{4939E957-CC9C-47BB-80D7-6B4E49E03ACC}">
    <text>These are percentages of overall feedstock usage, not as staed above „moey spent on each feedstock for 1t of product“</text>
  </threadedComment>
  <threadedComment ref="N232" dT="2026-08-03T13:48:59.84" personId="{3E777230-61F3-43BE-A748-388BDE894DDF}" id="{AD5EE79F-7363-4994-AE8C-280FCA669394}">
    <text>In ceto report: intellectual property and engineering expertise contribute an estimated 30% of the wokr involved in manufacturing a European biodiesel plant</text>
  </threadedComment>
  <threadedComment ref="K239" dT="2026-08-08T09:53:11.28" personId="{3E777230-61F3-43BE-A748-388BDE894DDF}" id="{DEFBC9A1-0EC8-4E5A-938B-7BE93708B863}">
    <text>These are percentages of overall feedstock usage, not as staed above „moey spent on each feedstock for 1t of product“</text>
  </threadedComment>
  <threadedComment ref="N239" dT="2026-08-03T13:50:43.32" personId="{3E777230-61F3-43BE-A748-388BDE894DDF}" id="{35290D83-15FE-48A8-8B81-97B23D28E911}">
    <text>Hydrotreatment is technically more complex than tranestification</text>
  </threadedComment>
  <threadedComment ref="N247" dT="2026-08-03T13:48:59.84" personId="{3E777230-61F3-43BE-A748-388BDE894DDF}" id="{B3B8BCFF-5A31-4B7D-ABFC-C8ABA2CDA76B}">
    <text>In ceto report: intellectual property and engineering expertise contribute an estimated 30% of the wokr involved in manufacturing a European biodiesel plant</text>
  </threadedComment>
  <threadedComment ref="N254" dT="2026-08-03T13:50:43.32" personId="{3E777230-61F3-43BE-A748-388BDE894DDF}" id="{86F36409-51CA-45E4-B2ED-85618D4EEC7D}">
    <text>Hydrotreatment is technically more complex than tranestification</text>
  </threadedComment>
  <threadedComment ref="D262" dT="2026-08-10T12:22:58.67" personId="{3E777230-61F3-43BE-A748-388BDE894DDF}" id="{C9199DE8-8969-4E74-B5AC-FF40F118A782}">
    <text>To limit advanced biofuel consumption to 18,4 target</text>
  </threadedComment>
</ThreadedComments>
</file>

<file path=xl/threadedComments/threadedComment7.xml><?xml version="1.0" encoding="utf-8"?>
<ThreadedComments xmlns="http://schemas.microsoft.com/office/spreadsheetml/2018/threadedcomments" xmlns:x="http://schemas.openxmlformats.org/spreadsheetml/2006/main">
  <threadedComment ref="B66" dT="2026-08-11T12:51:49.18" personId="{3E777230-61F3-43BE-A748-388BDE894DDF}" id="{BA5CFD50-A063-4F47-A583-84806370223C}">
    <text>Can I really assum ethe same procie here as when used in shipping?</text>
  </threadedComment>
  <threadedComment ref="A86" dT="2026-07-29T17:57:31.68" personId="{3E777230-61F3-43BE-A748-388BDE894DDF}" id="{CB48DB25-90EE-4C55-865B-376DD8B48D3C}">
    <text>Taken out, since IVC 7 is sufficient to dover biogas demand and thereby 9a can be used as input for IVC 12</text>
  </threadedComment>
  <threadedComment ref="G181" dT="2026-08-04T19:38:02.83" personId="{3E777230-61F3-43BE-A748-388BDE894DDF}" id="{BEF3AECA-2AC5-409E-B977-8BE8C02DFDF8}">
    <text>Based on DBFZ report sent by Doris on 04.08. via mail</text>
  </threadedComment>
  <threadedComment ref="K182" dT="2026-08-08T09:53:11.28" personId="{3E777230-61F3-43BE-A748-388BDE894DDF}" id="{D95B37BE-F6CD-4A0A-AF40-E3337296E39B}">
    <text>These are percentages of overall feedstock usage, not as staed above „moey spent on each feedstock for 1t of product“</text>
  </threadedComment>
  <threadedComment ref="N183" dT="2026-08-03T13:48:59.84" personId="{3E777230-61F3-43BE-A748-388BDE894DDF}" id="{F49F948D-1D2F-4352-B901-7FDE6DF6EA62}">
    <text>In ceto report: intellectual property and engineering expertise contribute an estimated 30% of the wokr involved in manufacturing a European biodiesel plant</text>
  </threadedComment>
  <threadedComment ref="N190" dT="2026-08-03T13:50:43.32" personId="{3E777230-61F3-43BE-A748-388BDE894DDF}" id="{B5C3B8BC-DFDC-4AB8-9F8B-86DAC7DCB8D3}">
    <text>Hydrotreatment is technically more complex than tranestification</text>
  </threadedComment>
  <threadedComment ref="N205" dT="2026-08-03T13:50:43.32" personId="{3E777230-61F3-43BE-A748-388BDE894DDF}" id="{C1B8A317-5A5F-4C5C-8A91-092D5976EA2C}">
    <text>Hydrotreatment is technically more complex than tranestification</text>
  </threadedComment>
</ThreadedComments>
</file>

<file path=xl/threadedComments/threadedComment8.xml><?xml version="1.0" encoding="utf-8"?>
<ThreadedComments xmlns="http://schemas.microsoft.com/office/spreadsheetml/2018/threadedcomments" xmlns:x="http://schemas.openxmlformats.org/spreadsheetml/2006/main">
  <threadedComment ref="D9" dT="2026-08-06T14:55:45.03" personId="{3E777230-61F3-43BE-A748-388BDE894DDF}" id="{08CB4448-20B1-4271-85DD-FE79A99AA064}">
    <text>Includes the diesel going to shipping</text>
  </threadedComment>
  <threadedComment ref="B69" dT="2026-08-11T12:51:49.18" personId="{3E777230-61F3-43BE-A748-388BDE894DDF}" id="{F7A678F1-2B55-48E1-A9B0-2B40C4617D06}">
    <text>Can I really assum ethe same procie here as when used in shipping?</text>
  </threadedComment>
  <threadedComment ref="A89" dT="2026-07-29T17:57:31.68" personId="{3E777230-61F3-43BE-A748-388BDE894DDF}" id="{6A0D7073-00FB-4531-8AC2-053A427F8312}">
    <text>Taken out, since IVC 7 is sufficient to dover biogas demand and thereby 9a can be used as input for IVC 12</text>
  </threadedComment>
  <threadedComment ref="B150" dT="2026-08-12T12:54:57.37" personId="{3E777230-61F3-43BE-A748-388BDE894DDF}" id="{4431C100-1E29-43CB-879C-EDF60CAF3108}">
    <text>Took the same price as for the other because  makes more snese than taking the road 13b market price when sold as SAF no?</text>
  </threadedComment>
  <threadedComment ref="G228" dT="2026-08-04T19:38:02.83" personId="{3E777230-61F3-43BE-A748-388BDE894DDF}" id="{E2113A07-9C54-4E91-832F-96BDB51C2867}">
    <text>Based on DBFZ report sent by Doris on 04.08. via mail</text>
  </threadedComment>
  <threadedComment ref="K229" dT="2026-08-08T09:53:11.28" personId="{3E777230-61F3-43BE-A748-388BDE894DDF}" id="{3CF01E95-DD57-4CC1-A05A-3E923E0E39B0}">
    <text>These are percentages of overall feedstock usage, not as staed above „moey spent on each feedstock for 1t of product“</text>
  </threadedComment>
  <threadedComment ref="N230" dT="2026-08-03T13:48:59.84" personId="{3E777230-61F3-43BE-A748-388BDE894DDF}" id="{3DEE084E-263F-4B5C-B7E0-C75C213ED08D}">
    <text>In ceto report: intellectual property and engineering expertise contribute an estimated 30% of the wokr involved in manufacturing a European biodiesel plant</text>
  </threadedComment>
  <threadedComment ref="N236" dT="2026-08-03T13:50:43.32" personId="{3E777230-61F3-43BE-A748-388BDE894DDF}" id="{031B011B-16CA-4414-BCDE-5FA2DA7AF5E0}">
    <text>Hydrotreatment is technically more complex than tranestification</text>
  </threadedComment>
</ThreadedComments>
</file>

<file path=xl/threadedComments/threadedComment9.xml><?xml version="1.0" encoding="utf-8"?>
<ThreadedComments xmlns="http://schemas.microsoft.com/office/spreadsheetml/2018/threadedcomments" xmlns:x="http://schemas.openxmlformats.org/spreadsheetml/2006/main">
  <threadedComment ref="A95" dT="2026-07-29T17:57:31.68" personId="{3E777230-61F3-43BE-A748-388BDE894DDF}" id="{46D3CB7A-96A0-41F9-B7C0-7C2B49760ADC}">
    <text>Taken out, since IVC 7 is sufficient to dover biogas demand and thereby 9a can be used as input for IVC 12</text>
  </threadedComment>
  <threadedComment ref="G161" dT="2026-08-04T19:38:02.83" personId="{3E777230-61F3-43BE-A748-388BDE894DDF}" id="{DDB4FEC7-F4C9-4BE3-9D76-1B52DB9BB37D}">
    <text>Based on DBFZ report sent by Doris on 04.08. via mail</text>
  </threadedComment>
  <threadedComment ref="K162" dT="2026-08-08T09:53:11.28" personId="{3E777230-61F3-43BE-A748-388BDE894DDF}" id="{B11BC8FD-40A1-4792-8225-24F707D8E5BF}">
    <text>These are percentages of overall feedstock usage, not as staed above „moey spent on each feedstock for 1t of product“</text>
  </threadedComment>
  <threadedComment ref="N163" dT="2026-08-03T13:48:59.84" personId="{3E777230-61F3-43BE-A748-388BDE894DDF}" id="{42AD5623-6D2B-4317-B9D7-91690B9C798A}">
    <text>In ceto report: intellectual property and engineering expertise contribute an estimated 30% of the wokr involved in manufacturing a European biodiesel plant</text>
  </threadedComment>
  <threadedComment ref="N170" dT="2026-08-03T13:50:43.32" personId="{3E777230-61F3-43BE-A748-388BDE894DDF}" id="{BFF5015B-314D-47A3-A3D9-4AF07E229A95}">
    <text>Hydrotreatment is technically more complex than tranestification</text>
  </threadedComment>
</ThreadedComments>
</file>

<file path=xl/threadedComments/threadedComment10.xml><?xml version="1.0" encoding="utf-8"?>
<ThreadedComments xmlns="http://schemas.microsoft.com/office/spreadsheetml/2018/threadedcomments" xmlns:x="http://schemas.openxmlformats.org/spreadsheetml/2006/main">
  <threadedComment ref="A91" dT="2026-07-29T17:57:31.68" personId="{3E777230-61F3-43BE-A748-388BDE894DDF}" id="{3E15BB33-EB32-41AE-83B2-1F4203AC79D6}">
    <text>Taken out, since IVC 7 is sufficient to dover biogas demand and thereby 9a can be used as input for IVC 12</text>
  </threadedComment>
  <threadedComment ref="G201" dT="2026-08-04T19:38:02.83" personId="{3E777230-61F3-43BE-A748-388BDE894DDF}" id="{DF922620-26C5-4945-861C-932F0FAC1483}">
    <text>Based on DBFZ report sent by Doris on 04.08. via mail</text>
  </threadedComment>
  <threadedComment ref="K202" dT="2026-08-08T09:53:11.28" personId="{3E777230-61F3-43BE-A748-388BDE894DDF}" id="{6E0A6A57-B4BE-400E-82DE-A3D0CDD504CF}">
    <text>These are percentages of overall feedstock usage, not as staed above „moey spent on each feedstock for 1t of product“</text>
  </threadedComment>
  <threadedComment ref="N203" dT="2026-08-03T13:48:59.84" personId="{3E777230-61F3-43BE-A748-388BDE894DDF}" id="{886FA849-CB0F-450A-A386-4C737510F587}">
    <text>In ceto report: intellectual property and engineering expertise contribute an estimated 30% of the wokr involved in manufacturing a European biodiesel plant</text>
  </threadedComment>
  <threadedComment ref="N210" dT="2026-08-03T13:50:43.32" personId="{3E777230-61F3-43BE-A748-388BDE894DDF}" id="{23EA7D67-005A-4466-98C0-E0138073C189}">
    <text>Hydrotreatment is technically more complex than tranestification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A92" dT="2026-07-29T17:57:31.68" personId="{3E777230-61F3-43BE-A748-388BDE894DDF}" id="{6C8D289A-060B-47C6-B18D-8F8D21F01275}">
    <text>Taken out, since IVC 7 is sufficient to dover biogas demand and thereby 9a can be used as input for IVC 12</text>
  </threadedComment>
  <threadedComment ref="G214" dT="2026-08-04T19:38:02.83" personId="{3E777230-61F3-43BE-A748-388BDE894DDF}" id="{0FAD2E99-70A7-4130-BF22-BD6D03CA7CD0}">
    <text>Based on DBFZ report sent by Doris on 04.08. via mail</text>
  </threadedComment>
  <threadedComment ref="K215" dT="2026-08-08T09:53:11.28" personId="{3E777230-61F3-43BE-A748-388BDE894DDF}" id="{D9DE8452-14AB-4455-8429-8E3804B5A014}">
    <text>These are percentages of overall feedstock usage, not as staed above „moey spent on each feedstock for 1t of product“</text>
  </threadedComment>
  <threadedComment ref="N216" dT="2026-08-03T13:48:59.84" personId="{3E777230-61F3-43BE-A748-388BDE894DDF}" id="{FC0A1C31-412B-4E31-B10E-07C35EC32800}">
    <text>In ceto report: intellectual property and engineering expertise contribute an estimated 30% of the wokr involved in manufacturing a European biodiesel plant</text>
  </threadedComment>
  <threadedComment ref="N223" dT="2026-08-03T13:50:43.32" personId="{3E777230-61F3-43BE-A748-388BDE894DDF}" id="{6623277C-83DF-454E-A007-C15F5A288E9F}">
    <text>Hydrotreatment is technically more complex than tranestification</text>
  </threadedComment>
</ThreadedComments>
</file>

<file path=xl/threadedComments/threadedComment12.xml><?xml version="1.0" encoding="utf-8"?>
<ThreadedComments xmlns="http://schemas.microsoft.com/office/spreadsheetml/2018/threadedcomments" xmlns:x="http://schemas.openxmlformats.org/spreadsheetml/2006/main">
  <threadedComment ref="I1" dT="2026-07-20T19:29:54.86" personId="{3E777230-61F3-43BE-A748-388BDE894DDF}" id="{94A3501F-B153-4C95-ACE4-2891DBAE222D}">
    <text>Based on study 2, table 3-3: difference between sum of (CAPEX+OPEX+feedstock) and LCoP</text>
  </threadedComment>
</ThreadedComments>
</file>

<file path=xl/threadedComments/threadedComment13.xml><?xml version="1.0" encoding="utf-8"?>
<ThreadedComments xmlns="http://schemas.microsoft.com/office/spreadsheetml/2018/threadedcomments" xmlns:x="http://schemas.openxmlformats.org/spreadsheetml/2006/main">
  <threadedComment ref="I1" dT="2026-07-20T19:29:54.86" personId="{3E777230-61F3-43BE-A748-388BDE894DDF}" id="{261700E8-1133-4883-A1CC-1B8EC3BC50D2}">
    <text>Based on study 2, table 3-3: difference between sum of (CAPEX+OPEX+feedstock) and LCoP</text>
  </threadedComment>
</ThreadedComments>
</file>

<file path=xl/threadedComments/threadedComment14.xml><?xml version="1.0" encoding="utf-8"?>
<ThreadedComments xmlns="http://schemas.microsoft.com/office/spreadsheetml/2018/threadedcomments" xmlns:x="http://schemas.openxmlformats.org/spreadsheetml/2006/main">
  <threadedComment ref="E1" dT="2026-08-01T12:55:51.47" personId="{3E777230-61F3-43BE-A748-388BDE894DDF}" id="{5DAAA79C-A9C3-4CE6-8EAE-6F702CBCE1BD}">
    <text xml:space="preserve">NOT considering the selling of co-products
</text>
  </threadedComment>
  <threadedComment ref="I1" dT="2026-07-20T19:29:54.86" personId="{3E777230-61F3-43BE-A748-388BDE894DDF}" id="{077E58AE-9EBD-4337-89EC-EE582F91C73B}">
    <text>Based on study 2, table 3-3: difference between sum of (CAPEX+OPEX+feedstock) and LCoP</text>
  </threadedComment>
</ThreadedComments>
</file>

<file path=xl/threadedComments/threadedComment15.xml><?xml version="1.0" encoding="utf-8"?>
<ThreadedComments xmlns="http://schemas.microsoft.com/office/spreadsheetml/2018/threadedcomments" xmlns:x="http://schemas.openxmlformats.org/spreadsheetml/2006/main">
  <threadedComment ref="G5" dT="2026-07-29T17:41:43.37" personId="{3E777230-61F3-43BE-A748-388BDE894DDF}" id="{098CFD09-AA28-4D55-A0DA-993DD6BC1FB3}">
    <text>Since  no data available on tall oil price, the price of this feedstock mix is now entirely determined by FPBO price</text>
  </threadedComment>
  <threadedComment ref="J5" dT="2026-07-29T17:41:43.37" personId="{3E777230-61F3-43BE-A748-388BDE894DDF}" id="{37D92A2E-7963-41CB-B1BB-353A58920241}">
    <text>Since  no data available on tall oil price, the price of this feedstock mix is now entirely determined by FPBO price</text>
  </threadedComment>
  <threadedComment ref="B7" dT="2026-06-30T18:20:54.06" personId="{3E777230-61F3-43BE-A748-388BDE894DDF}" id="{E7B77361-C619-4A9F-8633-C09C35E32050}">
    <text>I have the original information of  20 €/MWh</text>
  </threadedComment>
  <threadedComment ref="G8" dT="2026-07-29T17:43:33.81" personId="{3E777230-61F3-43BE-A748-388BDE894DDF}" id="{131713EB-C766-423B-8B7A-20B5184EFDD2}">
    <text>Same here: to exclude tall oil from price determination, I approximated to 20% oil crops abandoned and 80% FPBO</text>
  </threadedComment>
  <threadedComment ref="B11" dT="2026-06-30T18:20:54.06" personId="{3E777230-61F3-43BE-A748-388BDE894DDF}" id="{03E61EF3-85EC-405A-8E26-783B445896AA}">
    <text>I have the original information of  20 €/MWh</text>
  </threadedComment>
  <threadedComment ref="B13" dT="2026-06-30T14:19:30.84" personId="{3E777230-61F3-43BE-A748-388BDE894DDF}" id="{A56D671B-3F0B-4B8C-9F29-97C0B377CE4C}">
    <text>German average in 2020, costs  come from a) replenishment of soil nutrient and organic matter, and b) classical collection, storage and transport of the material to farmgate or torrefaction of feedstock usage</text>
  </threadedComment>
  <threadedComment ref="B18" dT="2026-06-30T14:19:30.84" personId="{3E777230-61F3-43BE-A748-388BDE894DDF}" id="{29F1F77F-2370-414E-AC7F-687FF344681C}">
    <text>German average in 2020, costs  come from a) replenishment of soil nutrient and organic matter, and b) classical collection, storage and transport of the material to farmgate or torrefaction of feedstock usage</text>
  </threadedComment>
  <threadedComment ref="B23" dT="2026-06-30T18:20:54.06" personId="{3E777230-61F3-43BE-A748-388BDE894DDF}" id="{65368FFD-05A4-4EF5-9062-EDFAA8A72A15}">
    <text>I have the original information of  20 €/MWh</text>
  </threadedComment>
  <threadedComment ref="B25" dT="2026-06-30T14:19:44.03" personId="{3E777230-61F3-43BE-A748-388BDE894DDF}" id="{5B94E806-81C9-403A-B589-8D3744FC3624}">
    <text>I asumed it to be the same as for agroprocessing</text>
  </threadedComment>
  <threadedComment ref="B33" dT="2026-06-30T18:20:54.06" personId="{3E777230-61F3-43BE-A748-388BDE894DDF}" id="{2CCBD507-4FEF-4E99-98A8-1DEC1DCE6F5B}">
    <text>I have the original information of  20 €/MWh</text>
  </threadedComment>
  <threadedComment ref="C33" dT="2026-07-01T16:24:15.81" personId="{3E777230-61F3-43BE-A748-388BDE894DDF}" id="{F2302E30-98A9-418C-9E98-59A76A17F3B8}">
    <text>I just picked any number for now, but value is still missing</text>
  </threadedComment>
  <threadedComment ref="B44" dT="2026-06-30T18:20:54.06" personId="{3E777230-61F3-43BE-A748-388BDE894DDF}" id="{C2CED732-7063-4FA8-9B5D-321BD1B4E3E6}">
    <text>I have the original information of  20 €/MWh</text>
  </threadedComment>
  <threadedComment ref="C44" dT="2026-07-01T16:28:18.24" personId="{3E777230-61F3-43BE-A748-388BDE894DDF}" id="{240DC0F3-D805-4BA3-9F66-49A4D93AD340}">
    <text>Check!</text>
  </threadedComment>
  <threadedComment ref="B46" dT="2026-06-30T18:20:54.06" personId="{3E777230-61F3-43BE-A748-388BDE894DDF}" id="{91EDF737-C1D8-4EE2-805E-EB0C3DA01538}">
    <text>I have the original information of  20 €/MWh</text>
  </threadedComment>
  <threadedComment ref="P47" dT="2026-06-30T18:20:54.06" personId="{3E777230-61F3-43BE-A748-388BDE894DDF}" id="{F2652C68-4A32-4F60-BA00-6480064B88B7}">
    <text>I have the original information of  20 €/MWh</text>
  </threadedComment>
  <threadedComment ref="B48" dT="2026-06-30T18:20:54.06" personId="{3E777230-61F3-43BE-A748-388BDE894DDF}" id="{EB10A72D-876F-4E0C-97CD-4D799F08C403}">
    <text>I have the original information of  20 €/MWh</text>
  </threadedComment>
  <threadedComment ref="P48" dT="2026-06-30T18:20:54.06" personId="{3E777230-61F3-43BE-A748-388BDE894DDF}" id="{22D1EB81-D3D4-44F4-B990-0ACF78EACF1D}">
    <text>I have the original information of  20 €/MWh</text>
  </threadedComment>
  <threadedComment ref="B59" dT="2026-06-30T18:20:54.06" personId="{3E777230-61F3-43BE-A748-388BDE894DDF}" id="{31658BBE-2524-44A4-8B43-E4206237A0A1}">
    <text>I have the original information of  20 €/MWh</text>
  </threadedComment>
  <threadedComment ref="B61" dT="2026-06-30T18:20:54.06" personId="{3E777230-61F3-43BE-A748-388BDE894DDF}" id="{2FC19962-CEC6-426B-9668-833339EC020C}">
    <text>I have the original information of  20 €/MWh</text>
  </threadedComment>
  <threadedComment ref="B72" dT="2026-06-30T18:20:54.06" personId="{3E777230-61F3-43BE-A748-388BDE894DDF}" id="{BA1D06DB-2DD3-4CB6-9D9C-FF45F867FA19}">
    <text>I have the original information of  20 €/MWh</text>
  </threadedComment>
  <threadedComment ref="B83" dT="2026-06-30T18:20:54.06" personId="{3E777230-61F3-43BE-A748-388BDE894DDF}" id="{2C43D925-29D2-4E81-B904-3919419ED35D}">
    <text>I have the original information of  20 €/MWh</text>
  </threadedComment>
  <threadedComment ref="B85" dT="2026-06-30T18:20:54.06" personId="{3E777230-61F3-43BE-A748-388BDE894DDF}" id="{D75F1856-C481-4EF6-8FA2-D1A518C74CC9}">
    <text>I have the original information of  20 €/MWh</text>
  </threadedComment>
  <threadedComment ref="B87" dT="2026-06-30T18:20:54.06" personId="{3E777230-61F3-43BE-A748-388BDE894DDF}" id="{CD82FF60-0CAD-4AF4-8FE2-0B42AF65E645}">
    <text>I have the original information of  20 €/MWh</text>
  </threadedComment>
</ThreadedComments>
</file>

<file path=xl/threadedComments/threadedComment16.xml><?xml version="1.0" encoding="utf-8"?>
<ThreadedComments xmlns="http://schemas.microsoft.com/office/spreadsheetml/2018/threadedcomments" xmlns:x="http://schemas.openxmlformats.org/spreadsheetml/2006/main">
  <threadedComment ref="I1" dT="2026-07-20T19:29:54.86" personId="{3E777230-61F3-43BE-A748-388BDE894DDF}" id="{D2893936-2C35-4D69-932F-08605DA8AF4D}">
    <text>Based on study 2, table 3-3: difference between sum of (CAPEX+OPEX+feedstock) and LCoP</text>
  </threadedComment>
</ThreadedComments>
</file>

<file path=xl/threadedComments/threadedComment17.xml><?xml version="1.0" encoding="utf-8"?>
<ThreadedComments xmlns="http://schemas.microsoft.com/office/spreadsheetml/2018/threadedcomments" xmlns:x="http://schemas.openxmlformats.org/spreadsheetml/2006/main">
  <threadedComment ref="I1" dT="2026-07-20T19:29:54.86" personId="{3E777230-61F3-43BE-A748-388BDE894DDF}" id="{C33FB081-41AD-490E-8487-CE17E9A595A6}">
    <text>Based on study 2, table 3-3: difference between sum of (CAPEX+OPEX+feedstock) and LCoP</text>
  </threadedComment>
</ThreadedComments>
</file>

<file path=xl/threadedComments/threadedComment18.xml><?xml version="1.0" encoding="utf-8"?>
<ThreadedComments xmlns="http://schemas.microsoft.com/office/spreadsheetml/2018/threadedcomments" xmlns:x="http://schemas.openxmlformats.org/spreadsheetml/2006/main">
  <threadedComment ref="F4" dT="2026-08-04T18:10:14.27" personId="{3E777230-61F3-43BE-A748-388BDE894DDF}" id="{21777A9E-C4D6-4BCE-BFF2-14BA76F7B0A1}">
    <text>„Die absolute jährliche Menge des produzierten FAME blieb in der EU seit 2016 nahezu konstant und lag zwischen 12,9 und 13,9 Mio. t, wofür 13,7 bis 14,7 Mio. t Pflanzenöl oder UCO benötigt werden „ source: DBFZ Bericht von Doris, p. 329</text>
  </threadedComment>
  <threadedComment ref="H16" dT="2026-08-04T18:27:44.99" personId="{3E777230-61F3-43BE-A748-388BDE894DDF}" id="{3F6780FE-8283-4321-B855-6B77DB777DF5}">
    <text xml:space="preserve">Annex 5 Study 2, p. 13: 66.18% UCO and 33.82% Animal Fat </text>
  </threadedComment>
  <threadedComment ref="F23" dT="2026-08-04T18:10:14.27" personId="{3E777230-61F3-43BE-A748-388BDE894DDF}" id="{F2DAB838-1E58-4473-9EFE-8779F98D24C5}">
    <text>„Die absolute jährliche Menge des produzierten FAME blieb in der EU seit 2016 nahezu konstant und lag zwischen 12,9 und 13,9 Mio. t, wofür 13,7 bis 14,7 Mio. t Pflanzenöl oder UCO benötigt werden „ source: DBFZ Bericht von Doris, p. 329</text>
  </threadedComment>
</ThreadedComments>
</file>

<file path=xl/threadedComments/threadedComment19.xml><?xml version="1.0" encoding="utf-8"?>
<ThreadedComments xmlns="http://schemas.microsoft.com/office/spreadsheetml/2018/threadedcomments" xmlns:x="http://schemas.openxmlformats.org/spreadsheetml/2006/main">
  <threadedComment ref="C7" dT="2026-06-30T18:20:54.06" personId="{3E777230-61F3-43BE-A748-388BDE894DDF}" id="{1844D9B9-D753-43CD-996F-3A1CD47F2749}">
    <text>I have the original information of  20 €/MWh</text>
  </threadedComment>
  <threadedComment ref="C11" dT="2026-06-30T18:20:54.06" personId="{3E777230-61F3-43BE-A748-388BDE894DDF}" id="{0574B273-E958-4321-9021-1C2FD2D0B449}">
    <text>I have the original information of  20 €/MWh</text>
  </threadedComment>
  <threadedComment ref="C13" dT="2026-06-30T14:19:30.84" personId="{3E777230-61F3-43BE-A748-388BDE894DDF}" id="{987ADBBE-A7FE-480F-B073-F6F93939DAF1}">
    <text>German average in 2020, costs  come from a) replenishment of soil nutrient and organic matter, and b) classical collection, storage and transport of the material to farmgate or torrefaction of feedstock usage</text>
  </threadedComment>
  <threadedComment ref="C18" dT="2026-06-30T14:19:30.84" personId="{3E777230-61F3-43BE-A748-388BDE894DDF}" id="{9C3F8F20-850C-444A-A52A-F5FA31FB9D84}">
    <text>German average in 2020, costs  come from a) replenishment of soil nutrient and organic matter, and b) classical collection, storage and transport of the material to farmgate or torrefaction of feedstock usage</text>
  </threadedComment>
  <threadedComment ref="C23" dT="2026-06-30T18:20:54.06" personId="{3E777230-61F3-43BE-A748-388BDE894DDF}" id="{CA522FD6-A7F3-4FC1-9237-C92C68A39A6F}">
    <text>I have the original information of  20 €/MWh</text>
  </threadedComment>
  <threadedComment ref="C25" dT="2026-06-30T14:19:44.03" personId="{3E777230-61F3-43BE-A748-388BDE894DDF}" id="{3BEEB3B5-224D-40DB-BEF2-1772702DBB29}">
    <text>I asumed it to be the same as for agroprocessing</text>
  </threadedComment>
  <threadedComment ref="C32" dT="2026-06-30T18:20:54.06" personId="{3E777230-61F3-43BE-A748-388BDE894DDF}" id="{D535E9BC-B234-477A-8784-A426DC8E5046}">
    <text>I have the original information of  20 €/MWh</text>
  </threadedComment>
  <threadedComment ref="D32" dT="2026-07-01T16:24:15.81" personId="{3E777230-61F3-43BE-A748-388BDE894DDF}" id="{22A898D0-2709-48CC-839D-2523F996E098}">
    <text>I just picked any number for now, but value is still missing</text>
  </threadedComment>
  <threadedComment ref="C45" dT="2026-06-30T18:20:54.06" personId="{3E777230-61F3-43BE-A748-388BDE894DDF}" id="{493F74AF-2A09-4E74-B4C9-6BB1E82C433D}">
    <text>I have the original information of  20 €/MWh</text>
  </threadedComment>
  <threadedComment ref="D45" dT="2026-07-01T16:28:18.24" personId="{3E777230-61F3-43BE-A748-388BDE894DDF}" id="{A509A000-97C5-477C-8BFB-C3D038D9F7EB}">
    <text>Check!</text>
  </threadedComment>
  <threadedComment ref="C47" dT="2026-06-30T18:20:54.06" personId="{3E777230-61F3-43BE-A748-388BDE894DDF}" id="{002BC00E-A464-44A6-AD75-F4332DDBA79D}">
    <text>I have the original information of  20 €/MWh</text>
  </threadedComment>
  <threadedComment ref="C49" dT="2026-06-30T18:20:54.06" personId="{3E777230-61F3-43BE-A748-388BDE894DDF}" id="{971AC4B3-2A62-4BC1-901B-F5C8F408B28E}">
    <text>I have the original information of  20 €/MWh</text>
  </threadedComment>
  <threadedComment ref="C60" dT="2026-06-30T18:20:54.06" personId="{3E777230-61F3-43BE-A748-388BDE894DDF}" id="{6180C6CB-4897-49D4-AED6-84DBCEAA8995}">
    <text>I have the original information of  20 €/MWh</text>
  </threadedComment>
  <threadedComment ref="C62" dT="2026-06-30T18:20:54.06" personId="{3E777230-61F3-43BE-A748-388BDE894DDF}" id="{6A34C358-8E12-40C5-8EC8-02E8B1C36964}">
    <text>I have the original information of  20 €/MWh</text>
  </threadedComment>
  <threadedComment ref="C73" dT="2026-06-30T18:20:54.06" personId="{3E777230-61F3-43BE-A748-388BDE894DDF}" id="{462E3CEB-7D13-4DAD-84D3-52C00F425A4C}">
    <text>I have the original information of  20 €/MWh</text>
  </threadedComment>
  <threadedComment ref="C75" dT="2026-06-30T18:20:54.06" personId="{3E777230-61F3-43BE-A748-388BDE894DDF}" id="{7EE4E5C2-9D0E-47F1-A684-062CE4E29991}">
    <text>I have the original information of  20 €/MWh</text>
  </threadedComment>
</ThreadedComments>
</file>

<file path=xl/threadedComments/threadedComment20.xml><?xml version="1.0" encoding="utf-8"?>
<ThreadedComments xmlns="http://schemas.microsoft.com/office/spreadsheetml/2018/threadedcomments" xmlns:x="http://schemas.openxmlformats.org/spreadsheetml/2006/main">
  <threadedComment ref="E2" dT="2026-07-20T20:04:38.53" personId="{3E777230-61F3-43BE-A748-388BDE894DDF}" id="{709ABB52-4FDF-4900-AB8C-356FC45B5524}">
    <text>Note: In Annex 4 of Study 2: 20 years lifetime; but from that I deducted the  construction and ramp-up time (usually 4 years together)</text>
  </threadedComment>
  <threadedComment ref="F2" dT="2026-07-20T19:49:33.16" personId="{3E777230-61F3-43BE-A748-388BDE894DDF}" id="{CBD50B0B-E4AF-4A07-B3DC-4DDD7CC8BF01}">
    <text xml:space="preserve">Annex 4 of Study 2
</text>
  </threadedComment>
  <threadedComment ref="E3" dT="2026-07-10T11:10:47.20" personId="{3E777230-61F3-43BE-A748-388BDE894DDF}" id="{16E3288C-F0E7-4D2D-996C-2D5FCEA16577}">
    <text>Source: study 2 Annex 4, p. 23</text>
  </threadedComment>
  <threadedComment ref="D8" dT="2026-07-20T20:22:16.28" personId="{3E777230-61F3-43BE-A748-388BDE894DDF}" id="{C458FFF9-54D8-4E68-9FAF-07FAB4E553D0}">
    <text>There are two different IVCs for 6, took the middle of both</text>
  </threadedComment>
  <threadedComment ref="A9" dT="2026-07-20T16:59:46.19" personId="{3E777230-61F3-43BE-A748-388BDE894DDF}" id="{9C551C7F-D85A-41A2-9AEE-19E98504B18C}">
    <text>Municipal solid waste</text>
  </threadedComment>
  <threadedComment ref="A10" dT="2026-07-20T17:00:25.16" personId="{3E777230-61F3-43BE-A748-388BDE894DDF}" id="{39C4A11F-E8DF-4DDC-89FF-1E2209BDFA9F}">
    <text xml:space="preserve">Manure, agro-residues,sequential crops </text>
  </threadedComment>
</ThreadedComments>
</file>

<file path=xl/threadedComments/threadedComment21.xml><?xml version="1.0" encoding="utf-8"?>
<ThreadedComments xmlns="http://schemas.microsoft.com/office/spreadsheetml/2018/threadedcomments" xmlns:x="http://schemas.openxmlformats.org/spreadsheetml/2006/main">
  <threadedComment ref="D13" dT="2026-07-01T16:57:15.69" personId="{3E777230-61F3-43BE-A748-388BDE894DDF}" id="{C30ED3D0-0E0F-47D3-8638-B93DB9B07984}">
    <text>Source: Annex 4 Study 2, p. 74</text>
  </threadedComment>
  <threadedComment ref="D18" dT="2026-07-01T17:01:22.18" personId="{3E777230-61F3-43BE-A748-388BDE894DDF}" id="{1F21DFED-FAB1-4B02-8788-4D21CA442E02}">
    <text>Annex 4 Study 2, p. 83</text>
  </threadedComment>
  <threadedComment ref="D29" dT="2026-07-01T17:00:41.57" personId="{3E777230-61F3-43BE-A748-388BDE894DDF}" id="{AF3D5C21-FDA3-444B-AD33-12C70BA18166}">
    <text xml:space="preserve">Annex 4 Study 2, p. 83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23"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3DA408-A43E-4A1C-99E9-E21E8C934AFD}">
  <we:reference id="wa200010215" version="2.0.0.0" store="de-DE" storeType="OMEX"/>
  <we:alternateReferences>
    <we:reference id="WA200010215" version="2.0.0.0" store="WA200010215" storeType="OMEX"/>
  </we:alternateReferences>
  <we:properties>
    <we:property name="bps.codex_control.document_id" value="&quot;e444f49e-7ee6-4c35-b9af-200dc31ba7a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5.bin"/><Relationship Id="rId4" Type="http://schemas.microsoft.com/office/2017/10/relationships/threadedComment" Target="../threadedComments/threadedComment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7.bin"/><Relationship Id="rId4" Type="http://schemas.microsoft.com/office/2017/10/relationships/threadedComment" Target="../threadedComments/threadedComment1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8.bin"/><Relationship Id="rId4" Type="http://schemas.microsoft.com/office/2017/10/relationships/threadedComment" Target="../threadedComments/threadedComment15.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8.xml"/><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9.xml"/><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9.bin"/><Relationship Id="rId4" Type="http://schemas.microsoft.com/office/2017/10/relationships/threadedComment" Target="../threadedComments/threadedComment20.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11.bin"/><Relationship Id="rId4" Type="http://schemas.microsoft.com/office/2017/10/relationships/threadedComment" Target="../threadedComments/threadedComment2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684D8-C3AD-42ED-B886-D50A6694B430}">
  <sheetPr codeName="Tabelle1"/>
  <dimension ref="A1:N81"/>
  <sheetViews>
    <sheetView workbookViewId="0">
      <selection activeCell="E22" sqref="E22"/>
    </sheetView>
  </sheetViews>
  <sheetFormatPr baseColWidth="10" defaultRowHeight="14.5" x14ac:dyDescent="0.35"/>
  <cols>
    <col min="1" max="1" width="23.453125" customWidth="1"/>
    <col min="2" max="2" width="30.54296875" customWidth="1"/>
    <col min="3" max="3" width="30.54296875" style="61" customWidth="1"/>
    <col min="4" max="4" width="16.26953125" customWidth="1"/>
    <col min="5" max="5" width="15.81640625" customWidth="1"/>
  </cols>
  <sheetData>
    <row r="1" spans="1:14" s="47" customFormat="1" ht="28.5" customHeight="1" x14ac:dyDescent="0.35">
      <c r="A1" s="47" t="s">
        <v>111</v>
      </c>
      <c r="C1" s="57"/>
    </row>
    <row r="2" spans="1:14" s="49" customFormat="1" ht="26.25" customHeight="1" x14ac:dyDescent="0.35">
      <c r="A2" s="49" t="s">
        <v>215</v>
      </c>
      <c r="C2" s="58"/>
    </row>
    <row r="4" spans="1:14" s="27" customFormat="1" x14ac:dyDescent="0.35">
      <c r="B4" s="27" t="s">
        <v>41</v>
      </c>
      <c r="C4" s="59" t="s">
        <v>164</v>
      </c>
      <c r="D4" s="27" t="s">
        <v>163</v>
      </c>
      <c r="E4" s="27" t="s">
        <v>14</v>
      </c>
      <c r="F4" s="27" t="s">
        <v>3</v>
      </c>
      <c r="G4" s="27" t="s">
        <v>84</v>
      </c>
      <c r="H4" s="27" t="s">
        <v>85</v>
      </c>
      <c r="I4" s="27" t="s">
        <v>53</v>
      </c>
      <c r="J4" s="27" t="s">
        <v>56</v>
      </c>
      <c r="K4" s="27" t="s">
        <v>51</v>
      </c>
      <c r="L4" s="27" t="s">
        <v>54</v>
      </c>
      <c r="M4" s="27" t="s">
        <v>52</v>
      </c>
      <c r="N4" s="27" t="s">
        <v>55</v>
      </c>
    </row>
    <row r="5" spans="1:14" s="10" customFormat="1" x14ac:dyDescent="0.35">
      <c r="A5" s="10" t="s">
        <v>0</v>
      </c>
      <c r="C5" s="60"/>
      <c r="E5" s="10">
        <v>520</v>
      </c>
      <c r="I5" s="30">
        <f>E5/N5</f>
        <v>0.5977011494252874</v>
      </c>
      <c r="J5" s="10">
        <v>83</v>
      </c>
      <c r="K5" s="30">
        <f>J5/N5</f>
        <v>9.5402298850574718E-2</v>
      </c>
      <c r="L5" s="10">
        <v>267</v>
      </c>
      <c r="M5" s="30">
        <f>L5/N5</f>
        <v>0.30689655172413793</v>
      </c>
      <c r="N5" s="10">
        <f>E5+J5+L5</f>
        <v>870</v>
      </c>
    </row>
    <row r="6" spans="1:14" x14ac:dyDescent="0.35">
      <c r="A6" s="4" t="s">
        <v>2</v>
      </c>
      <c r="B6" s="6" t="s">
        <v>42</v>
      </c>
      <c r="D6" s="23">
        <v>1</v>
      </c>
      <c r="E6" t="s">
        <v>15</v>
      </c>
      <c r="F6" t="s">
        <v>13</v>
      </c>
      <c r="G6">
        <v>1</v>
      </c>
      <c r="H6">
        <v>1</v>
      </c>
    </row>
    <row r="7" spans="1:14" s="10" customFormat="1" x14ac:dyDescent="0.35">
      <c r="A7" s="10" t="s">
        <v>57</v>
      </c>
      <c r="C7" s="60">
        <f>SUM(C8:C10)</f>
        <v>1</v>
      </c>
      <c r="D7" s="60">
        <f>SUM(D8:D10)</f>
        <v>0.99999999999999989</v>
      </c>
      <c r="E7" s="9">
        <f>D8*E8+D10*E10</f>
        <v>87.837631395559598</v>
      </c>
      <c r="I7" s="30">
        <f>E7/N7</f>
        <v>0.11529704989061211</v>
      </c>
      <c r="J7" s="10">
        <v>269</v>
      </c>
      <c r="K7" s="30">
        <f>J7/N7</f>
        <v>0.35309361065196637</v>
      </c>
      <c r="L7" s="10">
        <v>405</v>
      </c>
      <c r="M7" s="30">
        <f>L7/N7</f>
        <v>0.5316093394574215</v>
      </c>
      <c r="N7" s="9">
        <f>E7+J7+L7</f>
        <v>761.83763139555958</v>
      </c>
    </row>
    <row r="8" spans="1:14" x14ac:dyDescent="0.35">
      <c r="A8" s="4" t="s">
        <v>2</v>
      </c>
      <c r="B8" s="6" t="s">
        <v>42</v>
      </c>
      <c r="C8" s="61">
        <v>0</v>
      </c>
      <c r="D8" s="23">
        <v>0</v>
      </c>
      <c r="E8">
        <v>520</v>
      </c>
      <c r="F8" t="s">
        <v>13</v>
      </c>
      <c r="N8" s="6"/>
    </row>
    <row r="9" spans="1:14" x14ac:dyDescent="0.35">
      <c r="A9" s="4" t="s">
        <v>160</v>
      </c>
      <c r="B9" s="6"/>
      <c r="C9" s="61">
        <f>'[2]Availabilities EU Austria'!$N$13/'[2]Availabilities EU Austria'!$N$10</f>
        <v>6.301154684279596E-2</v>
      </c>
      <c r="D9" s="23">
        <f>'[2]Availabilities EU Austria'!$Q$13/'[2]Availabilities EU Austria'!$Q$10</f>
        <v>8.9199176736213054E-2</v>
      </c>
      <c r="E9" t="s">
        <v>125</v>
      </c>
      <c r="N9" s="6"/>
    </row>
    <row r="10" spans="1:14" x14ac:dyDescent="0.35">
      <c r="A10" s="33" t="s">
        <v>75</v>
      </c>
      <c r="B10" s="20" t="s">
        <v>43</v>
      </c>
      <c r="C10" s="62">
        <f>('[2]Availabilities EU Austria'!$N$15+'[2]Availabilities EU Austria'!$N$14)/'[2]Availabilities EU Austria'!$N$10</f>
        <v>0.93698845315720403</v>
      </c>
      <c r="D10" s="23">
        <f>('[2]Availabilities EU Austria'!$Q$14+'[2]Availabilities EU Austria'!$Q$15)/'[2]Availabilities EU Austria'!$Q$10</f>
        <v>0.91080082326378686</v>
      </c>
      <c r="E10" s="24">
        <v>96.44</v>
      </c>
      <c r="F10" t="s">
        <v>89</v>
      </c>
      <c r="N10" s="6"/>
    </row>
    <row r="11" spans="1:14" s="10" customFormat="1" x14ac:dyDescent="0.35">
      <c r="A11" s="10" t="s">
        <v>58</v>
      </c>
      <c r="C11" s="60">
        <f>SUM(C12:C14)</f>
        <v>1</v>
      </c>
      <c r="D11" s="60">
        <f>SUM(D12:D14)</f>
        <v>0.99999999999999989</v>
      </c>
      <c r="E11" s="9">
        <f>D12*E12+D14*E14</f>
        <v>137.72093051992249</v>
      </c>
      <c r="I11" s="30">
        <f>E11/N11</f>
        <v>0.12755233933791127</v>
      </c>
      <c r="J11" s="10">
        <v>376</v>
      </c>
      <c r="K11" s="30">
        <f>J11/N11</f>
        <v>0.34823813206894405</v>
      </c>
      <c r="L11" s="10">
        <v>566</v>
      </c>
      <c r="M11" s="30">
        <f>L11/N11</f>
        <v>0.52420952859314451</v>
      </c>
      <c r="N11" s="9">
        <f>E11+J11+L11</f>
        <v>1079.7209305199226</v>
      </c>
    </row>
    <row r="12" spans="1:14" x14ac:dyDescent="0.35">
      <c r="A12" s="4" t="s">
        <v>2</v>
      </c>
      <c r="B12" s="6" t="s">
        <v>42</v>
      </c>
      <c r="C12" s="61">
        <f>'[2]Availabilities EU Austria'!$N$21/'[2]Availabilities EU Austria'!$N$16</f>
        <v>7.2434800518989706E-2</v>
      </c>
      <c r="D12" s="23">
        <f>'[2]Availabilities EU Austria'!$Q$21/'[2]Availabilities EU Austria'!$Q$16</f>
        <v>0.11542721613047531</v>
      </c>
      <c r="E12">
        <v>520</v>
      </c>
      <c r="F12" t="s">
        <v>13</v>
      </c>
    </row>
    <row r="13" spans="1:14" x14ac:dyDescent="0.35">
      <c r="A13" s="4" t="s">
        <v>162</v>
      </c>
      <c r="B13" s="6"/>
      <c r="C13" s="61">
        <f>'[2]Availabilities EU Austria'!$N$23/'[2]Availabilities EU Austria'!$N$16</f>
        <v>5.8447318016845058E-2</v>
      </c>
      <c r="D13" s="23">
        <f>'[2]Availabilities EU Austria'!$Q$23/'[2]Availabilities EU Austria'!$Q$16</f>
        <v>7.8903164084421717E-2</v>
      </c>
      <c r="E13" t="s">
        <v>144</v>
      </c>
    </row>
    <row r="14" spans="1:14" x14ac:dyDescent="0.35">
      <c r="A14" s="33" t="s">
        <v>75</v>
      </c>
      <c r="B14" s="20" t="s">
        <v>43</v>
      </c>
      <c r="C14" s="62">
        <f>('[2]Availabilities EU Austria'!$N$24+'[2]Availabilities EU Austria'!$N$25)/'[2]Availabilities EU Austria'!$N$16</f>
        <v>0.86911788146416524</v>
      </c>
      <c r="D14" s="23">
        <f>('[2]Availabilities EU Austria'!$Q$24+'[2]Availabilities EU Austria'!$Q$25)/'[2]Availabilities EU Austria'!$Q$16</f>
        <v>0.80566961978510288</v>
      </c>
      <c r="E14" s="24">
        <v>96.44</v>
      </c>
    </row>
    <row r="15" spans="1:14" s="10" customFormat="1" x14ac:dyDescent="0.35">
      <c r="A15" s="9" t="s">
        <v>16</v>
      </c>
      <c r="B15" s="9"/>
      <c r="C15" s="60">
        <f>SUM(C16:C19)</f>
        <v>1</v>
      </c>
      <c r="D15" s="60">
        <f>SUM(D16:D19)</f>
        <v>1.0000000000000002</v>
      </c>
      <c r="E15" s="9">
        <f>D16*E16+D17*E17+D18*E18+D19*E19</f>
        <v>60.376239098993878</v>
      </c>
    </row>
    <row r="16" spans="1:14" x14ac:dyDescent="0.35">
      <c r="A16" s="7" t="s">
        <v>5</v>
      </c>
      <c r="B16" s="6" t="s">
        <v>42</v>
      </c>
      <c r="C16" s="61">
        <f>'[2]Availabilities EU Austria'!$N$27/'[2]Availabilities EU Austria'!$N$26</f>
        <v>0.73688392593424479</v>
      </c>
      <c r="D16" s="23">
        <f>'[2]Availabilities EU Austria'!$Q$27/'[2]Availabilities EU Austria'!$Q$26</f>
        <v>0.7478949467942918</v>
      </c>
      <c r="E16" s="24">
        <v>58</v>
      </c>
      <c r="F16" t="s">
        <v>38</v>
      </c>
    </row>
    <row r="17" spans="1:9" x14ac:dyDescent="0.35">
      <c r="A17" s="7" t="s">
        <v>8</v>
      </c>
      <c r="B17" s="6" t="s">
        <v>42</v>
      </c>
      <c r="C17" s="61">
        <f>'[2]Availabilities EU Austria'!$N$28/'[2]Availabilities EU Austria'!$N$26</f>
        <v>2.8841348280385298E-2</v>
      </c>
      <c r="D17" s="23">
        <f>'[2]Availabilities EU Austria'!$Q$28/'[2]Availabilities EU Austria'!$Q$26</f>
        <v>3.1508835735500146E-2</v>
      </c>
      <c r="E17">
        <v>69</v>
      </c>
      <c r="F17" t="s">
        <v>40</v>
      </c>
    </row>
    <row r="18" spans="1:9" x14ac:dyDescent="0.35">
      <c r="A18" s="7" t="s">
        <v>9</v>
      </c>
      <c r="B18" s="6" t="s">
        <v>42</v>
      </c>
      <c r="C18" s="61">
        <f>'[2]Availabilities EU Austria'!$N$29/'[2]Availabilities EU Austria'!$N$26</f>
        <v>1.3130549170812876E-2</v>
      </c>
      <c r="D18" s="23">
        <f>'[2]Availabilities EU Austria'!$Q$29/'[2]Availabilities EU Austria'!$Q$26</f>
        <v>2.2137974335744163E-2</v>
      </c>
      <c r="E18">
        <v>69</v>
      </c>
      <c r="F18" t="s">
        <v>40</v>
      </c>
    </row>
    <row r="19" spans="1:9" x14ac:dyDescent="0.35">
      <c r="A19" s="7" t="s">
        <v>11</v>
      </c>
      <c r="B19" s="18" t="s">
        <v>88</v>
      </c>
      <c r="C19" s="63">
        <f>'[2]Availabilities EU Austria'!$N$30/'[2]Availabilities EU Austria'!$N$26</f>
        <v>0.22114417661455707</v>
      </c>
      <c r="D19" s="23">
        <f>'[2]Availabilities EU Austria'!$Q$30/'[2]Availabilities EU Austria'!$Q$26</f>
        <v>0.19845824313446406</v>
      </c>
      <c r="E19">
        <v>67</v>
      </c>
    </row>
    <row r="20" spans="1:9" s="10" customFormat="1" x14ac:dyDescent="0.35">
      <c r="A20" s="9" t="s">
        <v>18</v>
      </c>
      <c r="B20" s="9"/>
      <c r="C20" s="60"/>
      <c r="D20" s="9"/>
      <c r="E20" s="10">
        <f>D21*E21</f>
        <v>96.44</v>
      </c>
    </row>
    <row r="21" spans="1:9" x14ac:dyDescent="0.35">
      <c r="A21" s="8" t="s">
        <v>17</v>
      </c>
      <c r="B21" s="20" t="s">
        <v>43</v>
      </c>
      <c r="C21" s="62">
        <v>1</v>
      </c>
      <c r="D21" s="37">
        <v>1</v>
      </c>
      <c r="E21" s="24">
        <v>96.44</v>
      </c>
    </row>
    <row r="22" spans="1:9" s="10" customFormat="1" x14ac:dyDescent="0.35">
      <c r="A22" s="9" t="s">
        <v>19</v>
      </c>
      <c r="B22" s="9"/>
      <c r="C22" s="9">
        <f>SUM(C23:C31)</f>
        <v>1</v>
      </c>
      <c r="D22" s="9">
        <f>SUM(D23:D31)</f>
        <v>0.99999999999999989</v>
      </c>
      <c r="E22" s="9">
        <f>D23*E23+D24*E24+D25*E25+D26*E26+D27*E27+D28*E28+D29*E29+D30*E30+D31*E31</f>
        <v>30.965299239580713</v>
      </c>
    </row>
    <row r="23" spans="1:9" x14ac:dyDescent="0.35">
      <c r="A23" s="5" t="s">
        <v>20</v>
      </c>
      <c r="B23" s="6" t="s">
        <v>42</v>
      </c>
      <c r="C23" s="61">
        <f>'[2]Availabilities EU Austria'!$N$41/'[2]Availabilities EU Austria'!$N$40</f>
        <v>3.0601718481009409E-2</v>
      </c>
      <c r="D23" s="73">
        <f>'[2]Availabilities EU Austria'!$Q$41/'[2]Availabilities EU Austria'!$Q$40</f>
        <v>3.0105110315257085E-2</v>
      </c>
      <c r="E23">
        <v>44</v>
      </c>
      <c r="F23" t="s">
        <v>39</v>
      </c>
      <c r="I23" s="21"/>
    </row>
    <row r="24" spans="1:9" x14ac:dyDescent="0.35">
      <c r="A24" s="5" t="s">
        <v>8</v>
      </c>
      <c r="B24" s="6" t="s">
        <v>42</v>
      </c>
      <c r="C24" s="61">
        <f>'[2]Availabilities EU Austria'!$N$42/'[2]Availabilities EU Austria'!$N$40</f>
        <v>1.8454384949618069E-2</v>
      </c>
      <c r="D24" s="72">
        <f>'[2]Availabilities EU Austria'!$Q$42/'[2]Availabilities EU Austria'!$Q$40</f>
        <v>2.1462821483630018E-2</v>
      </c>
      <c r="E24">
        <v>69</v>
      </c>
      <c r="F24" t="s">
        <v>40</v>
      </c>
      <c r="G24">
        <f>0.21/2</f>
        <v>0.105</v>
      </c>
    </row>
    <row r="25" spans="1:9" x14ac:dyDescent="0.35">
      <c r="A25" s="5" t="s">
        <v>9</v>
      </c>
      <c r="B25" s="6" t="s">
        <v>42</v>
      </c>
      <c r="C25" s="61">
        <f>'[2]Availabilities EU Austria'!$N$43/'[2]Availabilities EU Austria'!$N$40</f>
        <v>8.40169490837798E-3</v>
      </c>
      <c r="D25" s="72">
        <f>'[2]Availabilities EU Austria'!$Q$43/'[2]Availabilities EU Austria'!$Q$40</f>
        <v>1.5079687334874409E-2</v>
      </c>
      <c r="E25">
        <v>69</v>
      </c>
      <c r="F25" t="s">
        <v>40</v>
      </c>
      <c r="G25">
        <f>0.21/2</f>
        <v>0.105</v>
      </c>
    </row>
    <row r="26" spans="1:9" x14ac:dyDescent="0.35">
      <c r="A26" s="5" t="s">
        <v>21</v>
      </c>
      <c r="B26" s="28" t="s">
        <v>49</v>
      </c>
      <c r="C26" s="64">
        <f>'[2]Availabilities EU Austria'!$N$44/'[2]Availabilities EU Austria'!$N$40</f>
        <v>2.3575445378244429E-2</v>
      </c>
      <c r="D26" s="72">
        <f>'[2]Availabilities EU Austria'!$Q$44/'[2]Availabilities EU Austria'!$Q$40</f>
        <v>2.4015372776648152E-2</v>
      </c>
      <c r="E26">
        <v>44</v>
      </c>
      <c r="F26" t="s">
        <v>39</v>
      </c>
      <c r="G26">
        <v>0.24</v>
      </c>
    </row>
    <row r="27" spans="1:9" x14ac:dyDescent="0.35">
      <c r="A27" s="5" t="s">
        <v>5</v>
      </c>
      <c r="B27" s="26" t="s">
        <v>48</v>
      </c>
      <c r="C27" s="65">
        <f>'[2]Availabilities EU Austria'!$N$45/'[2]Availabilities EU Austria'!$N$40</f>
        <v>0.47150152275040363</v>
      </c>
      <c r="D27" s="72">
        <f>'[2]Availabilities EU Austria'!$Q$45/'[2]Availabilities EU Austria'!$Q$40</f>
        <v>0.50944236297089118</v>
      </c>
      <c r="E27">
        <v>58</v>
      </c>
    </row>
    <row r="28" spans="1:9" x14ac:dyDescent="0.35">
      <c r="A28" s="5" t="s">
        <v>22</v>
      </c>
      <c r="B28" s="6" t="s">
        <v>47</v>
      </c>
      <c r="C28" s="61">
        <f>'[2]Availabilities EU Austria'!$N$46/'[2]Availabilities EU Austria'!$N$40</f>
        <v>0.34749300217576146</v>
      </c>
      <c r="D28" s="72">
        <f>'[2]Availabilities EU Austria'!$Q$46/'[2]Availabilities EU Austria'!$Q$40</f>
        <v>0.31592460328846689</v>
      </c>
      <c r="E28">
        <v>0</v>
      </c>
      <c r="G28">
        <v>0.32</v>
      </c>
    </row>
    <row r="29" spans="1:9" x14ac:dyDescent="0.35">
      <c r="A29" s="5" t="s">
        <v>23</v>
      </c>
      <c r="B29" s="172" t="s">
        <v>213</v>
      </c>
      <c r="C29" s="66">
        <f>'[2]Availabilities EU Austria'!$N$47/'[2]Availabilities EU Austria'!$N$40</f>
        <v>3.1761184275530367E-2</v>
      </c>
      <c r="D29" s="72">
        <f>'[2]Availabilities EU Austria'!$Q$47/'[2]Availabilities EU Austria'!$Q$40</f>
        <v>2.4204717383445484E-2</v>
      </c>
      <c r="E29" s="24">
        <v>0</v>
      </c>
    </row>
    <row r="30" spans="1:9" x14ac:dyDescent="0.35">
      <c r="A30" s="12" t="s">
        <v>24</v>
      </c>
      <c r="B30" s="172" t="s">
        <v>213</v>
      </c>
      <c r="C30" s="65">
        <f>'[2]Availabilities EU Austria'!$N$48/'[2]Availabilities EU Austria'!$N$40</f>
        <v>6.590203653685274E-2</v>
      </c>
      <c r="D30" s="74">
        <f>'[2]Availabilities EU Austria'!$Q$48/'[2]Availabilities EU Austria'!$Q$40</f>
        <v>5.8190890064802624E-2</v>
      </c>
      <c r="E30">
        <f>-(55+70)/2</f>
        <v>-62.5</v>
      </c>
      <c r="F30" t="s">
        <v>94</v>
      </c>
      <c r="H30" s="24" t="s">
        <v>109</v>
      </c>
    </row>
    <row r="31" spans="1:9" ht="14.5" customHeight="1" x14ac:dyDescent="0.35">
      <c r="A31" s="13" t="s">
        <v>25</v>
      </c>
      <c r="B31" s="20" t="s">
        <v>43</v>
      </c>
      <c r="C31" s="62">
        <f>'[2]Availabilities EU Austria'!$N$49/'[2]Availabilities EU Austria'!$N$40</f>
        <v>2.3090105442019225E-3</v>
      </c>
      <c r="D31" s="75">
        <f>'[2]Availabilities EU Austria'!$Q$49/'[2]Availabilities EU Austria'!$Q$40</f>
        <v>1.5744343819841437E-3</v>
      </c>
      <c r="E31" s="24">
        <v>96.44</v>
      </c>
      <c r="F31" t="s">
        <v>50</v>
      </c>
      <c r="I31" s="29"/>
    </row>
    <row r="32" spans="1:9" s="11" customFormat="1" x14ac:dyDescent="0.35">
      <c r="A32" s="19" t="s">
        <v>27</v>
      </c>
      <c r="B32" s="19"/>
      <c r="C32" s="67">
        <f>SUM(C33:C42)</f>
        <v>1</v>
      </c>
      <c r="D32" s="76">
        <f>SUM(D33:D42)</f>
        <v>1</v>
      </c>
      <c r="E32" s="9">
        <f>D33*E33+D34*E34+D35*E35+D36*E36+D37*E37+D38*E38+D39*E39+D40*E40+D41*E41+D42*E42</f>
        <v>57.287315661976407</v>
      </c>
    </row>
    <row r="33" spans="1:6" x14ac:dyDescent="0.35">
      <c r="A33" s="5" t="s">
        <v>5</v>
      </c>
      <c r="B33" s="26" t="s">
        <v>48</v>
      </c>
      <c r="C33" s="65">
        <f>'[2]Availabilities EU Austria'!$N$61/'[2]Availabilities EU Austria'!$N$60</f>
        <v>0.51783810219756787</v>
      </c>
      <c r="D33" s="3">
        <f>'[2]Availabilities EU Austria'!$Q$61/'[2]Availabilities EU Austria'!$Q$60</f>
        <v>0.56804068512978889</v>
      </c>
      <c r="E33">
        <v>58</v>
      </c>
    </row>
    <row r="34" spans="1:6" x14ac:dyDescent="0.35">
      <c r="A34" s="5" t="s">
        <v>6</v>
      </c>
      <c r="B34" s="6" t="s">
        <v>42</v>
      </c>
      <c r="C34" s="61">
        <f>'[2]Availabilities EU Austria'!$N$62/'[2]Availabilities EU Austria'!$N$60</f>
        <v>3.3609087261800549E-2</v>
      </c>
      <c r="D34" s="3">
        <f>'[2]Availabilities EU Austria'!$Q$62/'[2]Availabilities EU Austria'!$Q$60</f>
        <v>3.3570731675220726E-2</v>
      </c>
      <c r="E34">
        <v>44</v>
      </c>
    </row>
    <row r="35" spans="1:6" x14ac:dyDescent="0.35">
      <c r="A35" s="5" t="s">
        <v>23</v>
      </c>
      <c r="B35" s="21" t="s">
        <v>46</v>
      </c>
      <c r="C35" s="66">
        <f>'[2]Availabilities EU Austria'!$N$63/'[2]Availabilities EU Austria'!$N$60</f>
        <v>3.4882498985044481E-2</v>
      </c>
      <c r="D35" s="3">
        <f>'[2]Availabilities EU Austria'!$Q$63/'[2]Availabilities EU Austria'!$Q$60</f>
        <v>2.6988851429010231E-2</v>
      </c>
      <c r="E35" s="24">
        <v>0</v>
      </c>
      <c r="F35" t="s">
        <v>89</v>
      </c>
    </row>
    <row r="36" spans="1:6" x14ac:dyDescent="0.35">
      <c r="A36" s="5" t="s">
        <v>7</v>
      </c>
      <c r="B36" s="28" t="s">
        <v>49</v>
      </c>
      <c r="C36" s="64">
        <f>'[2]Availabilities EU Austria'!$N$64/'[2]Availabilities EU Austria'!$N$60</f>
        <v>1.366290786845722E-2</v>
      </c>
      <c r="D36" s="3">
        <f>'[2]Availabilities EU Austria'!$Q$64/'[2]Availabilities EU Austria'!$Q$60</f>
        <v>1.4187521465099827E-2</v>
      </c>
      <c r="E36">
        <v>44</v>
      </c>
    </row>
    <row r="37" spans="1:6" x14ac:dyDescent="0.35">
      <c r="A37" s="5" t="s">
        <v>8</v>
      </c>
      <c r="B37" s="6" t="s">
        <v>42</v>
      </c>
      <c r="C37" s="61">
        <f>'[2]Availabilities EU Austria'!$N$65/'[2]Availabilities EU Austria'!$N$60</f>
        <v>2.0267980522710626E-2</v>
      </c>
      <c r="D37" s="3">
        <f>'[2]Availabilities EU Austria'!$Q$65/'[2]Availabilities EU Austria'!$Q$60</f>
        <v>2.3931570490686043E-2</v>
      </c>
      <c r="E37">
        <v>69</v>
      </c>
    </row>
    <row r="38" spans="1:6" x14ac:dyDescent="0.35">
      <c r="A38" s="5" t="s">
        <v>9</v>
      </c>
      <c r="B38" s="6" t="s">
        <v>42</v>
      </c>
      <c r="C38" s="61">
        <f>'[2]Availabilities EU Austria'!$N$66/'[2]Availabilities EU Austria'!$N$60</f>
        <v>9.2273673289927829E-3</v>
      </c>
      <c r="D38" s="3">
        <f>'[2]Availabilities EU Austria'!$Q$66/'[2]Availabilities EU Austria'!$Q$60</f>
        <v>1.6814219915461764E-2</v>
      </c>
      <c r="E38">
        <v>69</v>
      </c>
    </row>
    <row r="39" spans="1:6" x14ac:dyDescent="0.35">
      <c r="A39" s="5" t="s">
        <v>10</v>
      </c>
      <c r="B39" s="21" t="s">
        <v>44</v>
      </c>
      <c r="C39" s="66">
        <f>'[2]Availabilities EU Austria'!$N$67/'[2]Availabilities EU Austria'!$N$60</f>
        <v>0.14802813399529377</v>
      </c>
      <c r="D39" s="3">
        <f>'[2]Availabilities EU Austria'!$Q$67/'[2]Availabilities EU Austria'!$Q$60</f>
        <v>0.10247463906007917</v>
      </c>
      <c r="E39" s="24">
        <v>69</v>
      </c>
      <c r="F39" t="s">
        <v>89</v>
      </c>
    </row>
    <row r="40" spans="1:6" x14ac:dyDescent="0.35">
      <c r="A40" s="5" t="s">
        <v>11</v>
      </c>
      <c r="B40" s="25" t="s">
        <v>87</v>
      </c>
      <c r="C40" s="68">
        <f>'[2]Availabilities EU Austria'!$N$68/'[2]Availabilities EU Austria'!$N$60</f>
        <v>0.15540694633138846</v>
      </c>
      <c r="D40" s="3">
        <f>'[2]Availabilities EU Austria'!$Q$68/'[2]Availabilities EU Austria'!$Q$60</f>
        <v>0.15073287616524328</v>
      </c>
      <c r="E40" s="24">
        <v>69</v>
      </c>
      <c r="F40" t="s">
        <v>89</v>
      </c>
    </row>
    <row r="41" spans="1:6" x14ac:dyDescent="0.35">
      <c r="A41" s="5" t="s">
        <v>12</v>
      </c>
      <c r="B41" s="26" t="s">
        <v>45</v>
      </c>
      <c r="C41" s="65">
        <f>'[2]Availabilities EU Austria'!$N$69/'[2]Availabilities EU Austria'!$N$60</f>
        <v>4.6552014319949722E-2</v>
      </c>
      <c r="D41" s="3">
        <f>'[2]Availabilities EU Austria'!$Q$69/'[2]Availabilities EU Austria'!$Q$60</f>
        <v>4.2968416306665501E-2</v>
      </c>
      <c r="E41" s="24">
        <v>0</v>
      </c>
      <c r="F41" t="s">
        <v>89</v>
      </c>
    </row>
    <row r="42" spans="1:6" x14ac:dyDescent="0.35">
      <c r="A42" s="13" t="s">
        <v>26</v>
      </c>
      <c r="B42" s="18" t="s">
        <v>43</v>
      </c>
      <c r="C42" s="63">
        <f>'[2]Availabilities EU Austria'!$N$70/'[2]Availabilities EU Austria'!$N$60</f>
        <v>2.052496118879454E-2</v>
      </c>
      <c r="D42" s="3">
        <f>'[2]Availabilities EU Austria'!$Q$70/'[2]Availabilities EU Austria'!$Q$60</f>
        <v>2.0290488362744687E-2</v>
      </c>
      <c r="E42" s="24">
        <v>96.44</v>
      </c>
    </row>
    <row r="43" spans="1:6" s="11" customFormat="1" x14ac:dyDescent="0.35">
      <c r="A43" s="17" t="s">
        <v>28</v>
      </c>
      <c r="B43" s="17"/>
      <c r="C43" s="69"/>
      <c r="D43" s="17"/>
      <c r="E43" s="9">
        <f>D44*E44</f>
        <v>96.44</v>
      </c>
    </row>
    <row r="44" spans="1:6" x14ac:dyDescent="0.35">
      <c r="A44" s="13" t="s">
        <v>29</v>
      </c>
      <c r="B44" s="6" t="s">
        <v>42</v>
      </c>
      <c r="C44" s="61">
        <v>1</v>
      </c>
      <c r="D44" s="41">
        <f>100%</f>
        <v>1</v>
      </c>
      <c r="E44" s="24">
        <v>96.44</v>
      </c>
    </row>
    <row r="45" spans="1:6" s="11" customFormat="1" x14ac:dyDescent="0.35">
      <c r="A45" s="17" t="s">
        <v>30</v>
      </c>
      <c r="B45" s="17"/>
      <c r="C45" s="69"/>
      <c r="D45" s="17"/>
      <c r="E45" s="9">
        <f>D46*E46</f>
        <v>96.44</v>
      </c>
    </row>
    <row r="46" spans="1:6" x14ac:dyDescent="0.35">
      <c r="A46" s="15" t="s">
        <v>31</v>
      </c>
      <c r="B46" s="18" t="s">
        <v>43</v>
      </c>
      <c r="C46" s="63">
        <v>1</v>
      </c>
      <c r="D46" s="42">
        <v>1</v>
      </c>
      <c r="E46" s="24">
        <v>96.44</v>
      </c>
    </row>
    <row r="47" spans="1:6" s="11" customFormat="1" x14ac:dyDescent="0.35">
      <c r="A47" s="17" t="s">
        <v>32</v>
      </c>
      <c r="B47" s="17"/>
      <c r="C47" s="69">
        <f>SUM(C48:C57)</f>
        <v>1</v>
      </c>
      <c r="D47" s="69">
        <f>SUM(D48:D57)</f>
        <v>1</v>
      </c>
      <c r="E47" s="9">
        <f>D48*E48+D49*E49+D50*E50+D51*E51+D52*E52+D53*E53+D54*E54+D55*E55+D56*E56+D57*E57</f>
        <v>57.287315661976407</v>
      </c>
    </row>
    <row r="48" spans="1:6" x14ac:dyDescent="0.35">
      <c r="A48" s="5" t="s">
        <v>5</v>
      </c>
      <c r="B48" s="6" t="s">
        <v>42</v>
      </c>
      <c r="C48" s="61">
        <f>'[2]Availabilities EU Austria'!$N$80/'[2]Availabilities EU Austria'!$N$79</f>
        <v>0.51783810219756787</v>
      </c>
      <c r="D48" s="3">
        <f>'[2]Availabilities EU Austria'!$Q$80/'[2]Availabilities EU Austria'!$Q$79</f>
        <v>0.56804068512978889</v>
      </c>
      <c r="E48">
        <v>58</v>
      </c>
    </row>
    <row r="49" spans="1:6" x14ac:dyDescent="0.35">
      <c r="A49" s="5" t="s">
        <v>6</v>
      </c>
      <c r="B49" s="6" t="s">
        <v>42</v>
      </c>
      <c r="C49" s="61">
        <f>'[2]Availabilities EU Austria'!$N$81/'[2]Availabilities EU Austria'!$N$79</f>
        <v>3.3609087261800549E-2</v>
      </c>
      <c r="D49" s="3">
        <f>'[2]Availabilities EU Austria'!$Q$81/'[2]Availabilities EU Austria'!$Q$79</f>
        <v>3.3570731675220726E-2</v>
      </c>
      <c r="E49">
        <v>44</v>
      </c>
    </row>
    <row r="50" spans="1:6" x14ac:dyDescent="0.35">
      <c r="A50" s="5" t="s">
        <v>23</v>
      </c>
      <c r="B50" s="21" t="s">
        <v>46</v>
      </c>
      <c r="C50" s="66">
        <f>'[2]Availabilities EU Austria'!$N$82/'[2]Availabilities EU Austria'!$N$79</f>
        <v>3.4882498985044481E-2</v>
      </c>
      <c r="D50" s="3">
        <f>'[2]Availabilities EU Austria'!$Q$82/'[2]Availabilities EU Austria'!$Q$79</f>
        <v>2.6988851429010231E-2</v>
      </c>
      <c r="E50" s="24">
        <v>0</v>
      </c>
      <c r="F50" t="s">
        <v>89</v>
      </c>
    </row>
    <row r="51" spans="1:6" x14ac:dyDescent="0.35">
      <c r="A51" s="5" t="s">
        <v>7</v>
      </c>
      <c r="B51" s="28" t="s">
        <v>49</v>
      </c>
      <c r="C51" s="64">
        <f>'[2]Availabilities EU Austria'!$N$83/'[2]Availabilities EU Austria'!$N$79</f>
        <v>1.366290786845722E-2</v>
      </c>
      <c r="D51" s="3">
        <f>'[2]Availabilities EU Austria'!$Q$83/'[2]Availabilities EU Austria'!$Q$79</f>
        <v>1.4187521465099827E-2</v>
      </c>
      <c r="E51">
        <v>44</v>
      </c>
    </row>
    <row r="52" spans="1:6" x14ac:dyDescent="0.35">
      <c r="A52" s="5" t="s">
        <v>8</v>
      </c>
      <c r="B52" s="6" t="s">
        <v>42</v>
      </c>
      <c r="C52" s="61">
        <f>'[2]Availabilities EU Austria'!$N$84/'[2]Availabilities EU Austria'!$N$79</f>
        <v>2.0267980522710626E-2</v>
      </c>
      <c r="D52" s="3">
        <f>'[2]Availabilities EU Austria'!$Q$84/'[2]Availabilities EU Austria'!$Q$79</f>
        <v>2.3931570490686043E-2</v>
      </c>
      <c r="E52">
        <v>69</v>
      </c>
    </row>
    <row r="53" spans="1:6" x14ac:dyDescent="0.35">
      <c r="A53" s="5" t="s">
        <v>9</v>
      </c>
      <c r="B53" s="6" t="s">
        <v>42</v>
      </c>
      <c r="C53" s="61">
        <f>'[2]Availabilities EU Austria'!$N$85/'[2]Availabilities EU Austria'!$N$79</f>
        <v>9.2273673289927829E-3</v>
      </c>
      <c r="D53" s="3">
        <f>'[2]Availabilities EU Austria'!$Q$85/'[2]Availabilities EU Austria'!$Q$79</f>
        <v>1.6814219915461764E-2</v>
      </c>
      <c r="E53">
        <v>69</v>
      </c>
    </row>
    <row r="54" spans="1:6" x14ac:dyDescent="0.35">
      <c r="A54" s="5" t="s">
        <v>10</v>
      </c>
      <c r="B54" s="21" t="s">
        <v>44</v>
      </c>
      <c r="C54" s="61">
        <f>'[2]Availabilities EU Austria'!$N$86/'[2]Availabilities EU Austria'!$N$79</f>
        <v>0.14802813399529377</v>
      </c>
      <c r="D54" s="3">
        <f>'[2]Availabilities EU Austria'!$Q$86/'[2]Availabilities EU Austria'!$Q$79</f>
        <v>0.10247463906007917</v>
      </c>
      <c r="E54" s="24">
        <v>69</v>
      </c>
      <c r="F54" t="s">
        <v>89</v>
      </c>
    </row>
    <row r="55" spans="1:6" x14ac:dyDescent="0.35">
      <c r="A55" s="5" t="s">
        <v>11</v>
      </c>
      <c r="B55" s="25" t="s">
        <v>87</v>
      </c>
      <c r="C55" s="61">
        <f>'[2]Availabilities EU Austria'!$N$87/'[2]Availabilities EU Austria'!$N$79</f>
        <v>0.15540694633138846</v>
      </c>
      <c r="D55" s="3">
        <f>'[2]Availabilities EU Austria'!$Q$87/'[2]Availabilities EU Austria'!$Q$79</f>
        <v>0.15073287616524328</v>
      </c>
      <c r="E55" s="24">
        <v>69</v>
      </c>
      <c r="F55" t="s">
        <v>89</v>
      </c>
    </row>
    <row r="56" spans="1:6" x14ac:dyDescent="0.35">
      <c r="A56" s="5" t="s">
        <v>12</v>
      </c>
      <c r="B56" s="26" t="s">
        <v>45</v>
      </c>
      <c r="C56" s="61">
        <f>'[2]Availabilities EU Austria'!$N$88/'[2]Availabilities EU Austria'!$N$79</f>
        <v>4.6552014319949722E-2</v>
      </c>
      <c r="D56" s="3">
        <f>'[2]Availabilities EU Austria'!$Q$88/'[2]Availabilities EU Austria'!$Q$79</f>
        <v>4.2968416306665501E-2</v>
      </c>
      <c r="E56" s="24">
        <v>0</v>
      </c>
      <c r="F56" t="s">
        <v>89</v>
      </c>
    </row>
    <row r="57" spans="1:6" x14ac:dyDescent="0.35">
      <c r="A57" s="13" t="s">
        <v>33</v>
      </c>
      <c r="B57" s="18" t="s">
        <v>43</v>
      </c>
      <c r="C57" s="61">
        <f>'[2]Availabilities EU Austria'!$N$89/'[2]Availabilities EU Austria'!$N$79</f>
        <v>2.052496118879454E-2</v>
      </c>
      <c r="D57" s="3">
        <f>'[2]Availabilities EU Austria'!$Q$89/'[2]Availabilities EU Austria'!$Q$79</f>
        <v>2.0290488362744687E-2</v>
      </c>
      <c r="E57" s="24">
        <v>96.44</v>
      </c>
    </row>
    <row r="58" spans="1:6" s="11" customFormat="1" x14ac:dyDescent="0.35">
      <c r="A58" s="17" t="s">
        <v>34</v>
      </c>
      <c r="B58" s="17"/>
      <c r="C58" s="69"/>
      <c r="D58" s="17"/>
      <c r="E58" s="9">
        <f>D59*E59</f>
        <v>96.44</v>
      </c>
    </row>
    <row r="59" spans="1:6" x14ac:dyDescent="0.35">
      <c r="A59" s="15" t="s">
        <v>31</v>
      </c>
      <c r="B59" s="18" t="s">
        <v>43</v>
      </c>
      <c r="C59" s="63"/>
      <c r="D59" s="42">
        <v>1</v>
      </c>
      <c r="E59" s="24">
        <v>96.44</v>
      </c>
    </row>
    <row r="60" spans="1:6" s="11" customFormat="1" x14ac:dyDescent="0.35">
      <c r="A60" s="17" t="s">
        <v>35</v>
      </c>
      <c r="B60" s="17"/>
      <c r="C60" s="77">
        <f>SUM(C61:C70)</f>
        <v>1</v>
      </c>
      <c r="D60" s="77">
        <f>SUM(D61:D70)</f>
        <v>1</v>
      </c>
      <c r="E60" s="9">
        <f>D61*E61+D62*E62+D63*E63+D64*E64+D65*E65+D66*E66+D67*E67+D68*E68+D69*E69+D70*E70</f>
        <v>57.287315661976407</v>
      </c>
    </row>
    <row r="61" spans="1:6" x14ac:dyDescent="0.35">
      <c r="A61" s="5" t="s">
        <v>5</v>
      </c>
      <c r="B61" s="6" t="s">
        <v>42</v>
      </c>
      <c r="C61" s="3">
        <f>'[2]Availabilities EU Austria'!$N$115/'[2]Availabilities EU Austria'!$N$114</f>
        <v>0.51783810219756787</v>
      </c>
      <c r="D61" s="3">
        <f>'[2]Availabilities EU Austria'!$Q$115/'[2]Availabilities EU Austria'!$Q$114</f>
        <v>0.56804068512978889</v>
      </c>
      <c r="E61">
        <v>58</v>
      </c>
    </row>
    <row r="62" spans="1:6" x14ac:dyDescent="0.35">
      <c r="A62" s="5" t="s">
        <v>6</v>
      </c>
      <c r="B62" s="6" t="s">
        <v>42</v>
      </c>
      <c r="C62" s="3">
        <f>'[2]Availabilities EU Austria'!$N$116/'[2]Availabilities EU Austria'!$N$114</f>
        <v>3.3609087261800549E-2</v>
      </c>
      <c r="D62" s="3">
        <f>'[2]Availabilities EU Austria'!$Q$116/'[2]Availabilities EU Austria'!$Q$114</f>
        <v>3.3570731675220726E-2</v>
      </c>
      <c r="E62">
        <v>44</v>
      </c>
    </row>
    <row r="63" spans="1:6" x14ac:dyDescent="0.35">
      <c r="A63" s="5" t="s">
        <v>23</v>
      </c>
      <c r="B63" s="21" t="s">
        <v>46</v>
      </c>
      <c r="C63" s="3">
        <f>'[2]Availabilities EU Austria'!$N$117/'[2]Availabilities EU Austria'!$N$114</f>
        <v>3.4882498985044481E-2</v>
      </c>
      <c r="D63" s="3">
        <f>'[2]Availabilities EU Austria'!$Q$117/'[2]Availabilities EU Austria'!$Q$114</f>
        <v>2.6988851429010231E-2</v>
      </c>
      <c r="E63" s="24">
        <v>0</v>
      </c>
      <c r="F63" t="s">
        <v>89</v>
      </c>
    </row>
    <row r="64" spans="1:6" x14ac:dyDescent="0.35">
      <c r="A64" s="5" t="s">
        <v>7</v>
      </c>
      <c r="B64" s="28" t="s">
        <v>49</v>
      </c>
      <c r="C64" s="3">
        <f>'[2]Availabilities EU Austria'!$N$118/'[2]Availabilities EU Austria'!$N$114</f>
        <v>1.366290786845722E-2</v>
      </c>
      <c r="D64" s="3">
        <f>'[2]Availabilities EU Austria'!$Q$118/'[2]Availabilities EU Austria'!$Q$114</f>
        <v>1.4187521465099827E-2</v>
      </c>
      <c r="E64">
        <v>44</v>
      </c>
    </row>
    <row r="65" spans="1:6" x14ac:dyDescent="0.35">
      <c r="A65" s="5" t="s">
        <v>8</v>
      </c>
      <c r="B65" s="6" t="s">
        <v>42</v>
      </c>
      <c r="C65" s="3">
        <f>'[2]Availabilities EU Austria'!$N$119/'[2]Availabilities EU Austria'!$N$114</f>
        <v>2.0267980522710626E-2</v>
      </c>
      <c r="D65" s="3">
        <f>'[2]Availabilities EU Austria'!$Q$119/'[2]Availabilities EU Austria'!$Q$114</f>
        <v>2.3931570490686043E-2</v>
      </c>
      <c r="E65">
        <v>69</v>
      </c>
    </row>
    <row r="66" spans="1:6" x14ac:dyDescent="0.35">
      <c r="A66" s="5" t="s">
        <v>9</v>
      </c>
      <c r="B66" s="6" t="s">
        <v>42</v>
      </c>
      <c r="C66" s="3">
        <f>'[2]Availabilities EU Austria'!$N$120/'[2]Availabilities EU Austria'!$N$114</f>
        <v>9.2273673289927829E-3</v>
      </c>
      <c r="D66" s="3">
        <f>'[2]Availabilities EU Austria'!$Q$120/'[2]Availabilities EU Austria'!$Q$114</f>
        <v>1.6814219915461764E-2</v>
      </c>
      <c r="E66">
        <v>69</v>
      </c>
    </row>
    <row r="67" spans="1:6" x14ac:dyDescent="0.35">
      <c r="A67" s="5" t="s">
        <v>10</v>
      </c>
      <c r="B67" s="21" t="s">
        <v>44</v>
      </c>
      <c r="C67" s="3">
        <f>'[2]Availabilities EU Austria'!$N$121/'[2]Availabilities EU Austria'!$N$114</f>
        <v>0.14802813399529377</v>
      </c>
      <c r="D67" s="3">
        <f>'[2]Availabilities EU Austria'!$Q$121/'[2]Availabilities EU Austria'!$Q$114</f>
        <v>0.10247463906007917</v>
      </c>
      <c r="E67" s="24">
        <v>69</v>
      </c>
      <c r="F67" t="s">
        <v>89</v>
      </c>
    </row>
    <row r="68" spans="1:6" x14ac:dyDescent="0.35">
      <c r="A68" s="5" t="s">
        <v>11</v>
      </c>
      <c r="B68" s="25" t="s">
        <v>87</v>
      </c>
      <c r="C68" s="3">
        <f>'[2]Availabilities EU Austria'!$N$122/'[2]Availabilities EU Austria'!$N$114</f>
        <v>0.15540694633138846</v>
      </c>
      <c r="D68" s="3">
        <f>'[2]Availabilities EU Austria'!$Q$122/'[2]Availabilities EU Austria'!$Q$114</f>
        <v>0.15073287616524328</v>
      </c>
      <c r="E68" s="24">
        <v>69</v>
      </c>
      <c r="F68" t="s">
        <v>89</v>
      </c>
    </row>
    <row r="69" spans="1:6" x14ac:dyDescent="0.35">
      <c r="A69" s="5" t="s">
        <v>12</v>
      </c>
      <c r="B69" s="26" t="s">
        <v>45</v>
      </c>
      <c r="C69" s="3">
        <f>'[2]Availabilities EU Austria'!$N$123/'[2]Availabilities EU Austria'!$N$114</f>
        <v>4.6552014319949722E-2</v>
      </c>
      <c r="D69" s="3">
        <f>'[2]Availabilities EU Austria'!$Q$123/'[2]Availabilities EU Austria'!$Q$114</f>
        <v>4.2968416306665501E-2</v>
      </c>
      <c r="E69" s="24">
        <v>0</v>
      </c>
      <c r="F69" t="s">
        <v>89</v>
      </c>
    </row>
    <row r="70" spans="1:6" x14ac:dyDescent="0.35">
      <c r="A70" s="13" t="s">
        <v>33</v>
      </c>
      <c r="B70" s="14"/>
      <c r="C70" s="3">
        <f>'[2]Availabilities EU Austria'!$N$124/'[2]Availabilities EU Austria'!$N$114</f>
        <v>2.052496118879454E-2</v>
      </c>
      <c r="D70" s="3">
        <f>'[2]Availabilities EU Austria'!$Q$124/'[2]Availabilities EU Austria'!$Q$114</f>
        <v>2.0290488362744687E-2</v>
      </c>
      <c r="E70" s="24">
        <v>96.44</v>
      </c>
    </row>
    <row r="71" spans="1:6" s="11" customFormat="1" x14ac:dyDescent="0.35">
      <c r="A71" s="17" t="s">
        <v>36</v>
      </c>
      <c r="B71" s="17"/>
      <c r="C71" s="69"/>
      <c r="D71" s="17"/>
      <c r="E71" s="9">
        <f>D72*E72</f>
        <v>96.44</v>
      </c>
    </row>
    <row r="72" spans="1:6" x14ac:dyDescent="0.35">
      <c r="A72" s="16" t="s">
        <v>37</v>
      </c>
      <c r="B72" s="22"/>
      <c r="C72" s="70">
        <v>1</v>
      </c>
      <c r="D72" s="44">
        <v>1</v>
      </c>
      <c r="E72" s="24">
        <v>96.44</v>
      </c>
    </row>
    <row r="73" spans="1:6" s="11" customFormat="1" x14ac:dyDescent="0.35">
      <c r="A73" s="11" t="s">
        <v>4</v>
      </c>
      <c r="C73" s="71">
        <f>SUM(C74:C81)</f>
        <v>1</v>
      </c>
      <c r="D73" s="78">
        <f>SUM(D74:D81)</f>
        <v>1</v>
      </c>
      <c r="E73" s="43">
        <f>D74*E74+D75*E75+D76*E76+D77*E77+D78*E78+D79*E79+D80*E80+D81*E81</f>
        <v>57.544764403281903</v>
      </c>
    </row>
    <row r="74" spans="1:6" x14ac:dyDescent="0.35">
      <c r="A74" s="5" t="s">
        <v>5</v>
      </c>
      <c r="B74" s="6" t="s">
        <v>42</v>
      </c>
      <c r="C74" s="61">
        <f>'[2]Availabilities EU Austria'!$N$130/'[2]Availabilities EU Austria'!$N$129</f>
        <v>0.54821320343358704</v>
      </c>
      <c r="D74" s="3">
        <f>'[2]Availabilities EU Austria'!$Q$140/'[2]Availabilities EU Austria'!$Q$138</f>
        <v>0.59623004817133585</v>
      </c>
      <c r="E74">
        <v>58</v>
      </c>
    </row>
    <row r="75" spans="1:6" x14ac:dyDescent="0.35">
      <c r="A75" s="5" t="s">
        <v>6</v>
      </c>
      <c r="B75" s="6" t="s">
        <v>42</v>
      </c>
      <c r="C75" s="61">
        <f>'[2]Availabilities EU Austria'!$N$131/'[2]Availabilities EU Austria'!$N$129</f>
        <v>3.5580513125782073E-2</v>
      </c>
      <c r="D75" s="3">
        <f>'[2]Availabilities EU Austria'!$Q$141/'[2]Availabilities EU Austria'!$Q$138</f>
        <v>3.5236699567198278E-2</v>
      </c>
      <c r="E75">
        <v>44</v>
      </c>
    </row>
    <row r="76" spans="1:6" x14ac:dyDescent="0.35">
      <c r="A76" s="5" t="s">
        <v>7</v>
      </c>
      <c r="B76" s="28" t="s">
        <v>49</v>
      </c>
      <c r="C76" s="66">
        <f>'[2]Availabilities EU Austria'!$N$132/'[2]Availabilities EU Austria'!$N$129</f>
        <v>1.4464340223321777E-2</v>
      </c>
      <c r="D76" s="3">
        <f>'[2]Availabilities EU Austria'!$Q$142/'[2]Availabilities EU Austria'!$Q$138</f>
        <v>1.4891585810681092E-2</v>
      </c>
      <c r="E76">
        <v>44</v>
      </c>
    </row>
    <row r="77" spans="1:6" x14ac:dyDescent="0.35">
      <c r="A77" s="5" t="s">
        <v>8</v>
      </c>
      <c r="B77" s="6" t="s">
        <v>42</v>
      </c>
      <c r="C77" s="61">
        <f>'[2]Availabilities EU Austria'!$N$133/'[2]Availabilities EU Austria'!$N$129</f>
        <v>2.1456850089500667E-2</v>
      </c>
      <c r="D77" s="3">
        <f>'[2]Availabilities EU Austria'!$Q$143/'[2]Availabilities EU Austria'!$Q$138</f>
        <v>2.5119189170784952E-2</v>
      </c>
      <c r="E77">
        <v>69</v>
      </c>
    </row>
    <row r="78" spans="1:6" x14ac:dyDescent="0.35">
      <c r="A78" s="5" t="s">
        <v>9</v>
      </c>
      <c r="B78" s="6" t="s">
        <v>42</v>
      </c>
      <c r="C78" s="61">
        <f>'[2]Availabilities EU Austria'!$N$134/'[2]Availabilities EU Austria'!$N$129</f>
        <v>9.7686218553991021E-3</v>
      </c>
      <c r="D78" s="3">
        <f>'[2]Availabilities EU Austria'!$Q$144/'[2]Availabilities EU Austria'!$Q$138</f>
        <v>1.7648635762539801E-2</v>
      </c>
      <c r="E78">
        <v>69</v>
      </c>
    </row>
    <row r="79" spans="1:6" x14ac:dyDescent="0.35">
      <c r="A79" s="5" t="s">
        <v>10</v>
      </c>
      <c r="B79" s="21" t="s">
        <v>44</v>
      </c>
      <c r="C79" s="66">
        <f>'[2]Availabilities EU Austria'!$N$135/'[2]Availabilities EU Austria'!$N$129</f>
        <v>0.15671109791163104</v>
      </c>
      <c r="D79" s="3">
        <f>'[2]Availabilities EU Austria'!$Q$145/'[2]Availabilities EU Austria'!$Q$138</f>
        <v>0.10756000508866924</v>
      </c>
      <c r="E79">
        <v>67</v>
      </c>
    </row>
    <row r="80" spans="1:6" x14ac:dyDescent="0.35">
      <c r="A80" s="5" t="s">
        <v>11</v>
      </c>
      <c r="B80" s="25" t="s">
        <v>87</v>
      </c>
      <c r="C80" s="68">
        <f>'[2]Availabilities EU Austria'!$N$136/'[2]Availabilities EU Austria'!$N$129</f>
        <v>0.16452273311409904</v>
      </c>
      <c r="D80" s="3">
        <f>'[2]Availabilities EU Austria'!$Q$146/'[2]Availabilities EU Austria'!$Q$138</f>
        <v>0.15821308643846999</v>
      </c>
      <c r="E80">
        <v>67</v>
      </c>
    </row>
    <row r="81" spans="1:6" x14ac:dyDescent="0.35">
      <c r="A81" s="5" t="s">
        <v>12</v>
      </c>
      <c r="B81" s="26" t="s">
        <v>45</v>
      </c>
      <c r="C81" s="65">
        <f>'[2]Availabilities EU Austria'!$N$137/'[2]Availabilities EU Austria'!$N$129</f>
        <v>4.9282640246679235E-2</v>
      </c>
      <c r="D81" s="3">
        <f>'[2]Availabilities EU Austria'!$Q$147/'[2]Availabilities EU Austria'!$Q$138</f>
        <v>4.5100749990320863E-2</v>
      </c>
      <c r="E81" s="24">
        <v>0</v>
      </c>
      <c r="F81" t="s">
        <v>90</v>
      </c>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F5BE-C2BB-4195-A29E-3254AA73FFFE}">
  <dimension ref="A1:U60"/>
  <sheetViews>
    <sheetView workbookViewId="0">
      <pane ySplit="1" topLeftCell="A4" activePane="bottomLeft" state="frozen"/>
      <selection pane="bottomLeft" activeCell="L5" sqref="L5"/>
    </sheetView>
  </sheetViews>
  <sheetFormatPr baseColWidth="10" defaultRowHeight="14.5" x14ac:dyDescent="0.35"/>
  <cols>
    <col min="1" max="2" width="26.453125" customWidth="1"/>
    <col min="3" max="4" width="20.453125" customWidth="1"/>
    <col min="5" max="5" width="19.90625" customWidth="1"/>
    <col min="6" max="6" width="16.90625" customWidth="1"/>
    <col min="7" max="7" width="16.90625" style="61" customWidth="1"/>
    <col min="8" max="9" width="18.36328125" customWidth="1"/>
    <col min="10" max="10" width="18.36328125" style="61" customWidth="1"/>
    <col min="11" max="11" width="18.36328125" customWidth="1"/>
    <col min="12" max="13" width="14.1796875" customWidth="1"/>
    <col min="14" max="14" width="18.81640625" customWidth="1"/>
    <col min="17" max="17" width="27.453125" customWidth="1"/>
    <col min="19" max="19" width="26.453125" customWidth="1"/>
  </cols>
  <sheetData>
    <row r="1" spans="1:21" ht="39.5" customHeight="1" x14ac:dyDescent="0.35">
      <c r="A1" s="34"/>
      <c r="B1" s="34" t="s">
        <v>294</v>
      </c>
      <c r="C1" s="199" t="s">
        <v>197</v>
      </c>
      <c r="D1" s="199"/>
      <c r="E1" s="199" t="s">
        <v>286</v>
      </c>
      <c r="F1" s="141" t="s">
        <v>287</v>
      </c>
      <c r="G1" s="204"/>
      <c r="H1" s="141" t="s">
        <v>288</v>
      </c>
      <c r="I1" s="200" t="s">
        <v>196</v>
      </c>
      <c r="J1" s="202"/>
      <c r="K1" s="200" t="s">
        <v>205</v>
      </c>
      <c r="L1" s="34" t="s">
        <v>268</v>
      </c>
      <c r="M1" s="34" t="s">
        <v>278</v>
      </c>
      <c r="N1" s="34" t="s">
        <v>280</v>
      </c>
      <c r="O1" s="34" t="s">
        <v>82</v>
      </c>
      <c r="P1" s="34" t="s">
        <v>86</v>
      </c>
      <c r="Q1" s="141" t="s">
        <v>219</v>
      </c>
      <c r="R1" s="196" t="s">
        <v>217</v>
      </c>
      <c r="S1" s="184" t="s">
        <v>220</v>
      </c>
      <c r="T1" s="184" t="s">
        <v>217</v>
      </c>
      <c r="U1" s="183" t="s">
        <v>112</v>
      </c>
    </row>
    <row r="2" spans="1:21" s="48" customFormat="1" ht="35.5" customHeight="1" x14ac:dyDescent="0.35">
      <c r="A2" s="198" t="s">
        <v>259</v>
      </c>
      <c r="B2" s="198"/>
      <c r="C2" s="198"/>
      <c r="D2" s="198"/>
      <c r="F2" s="198"/>
      <c r="G2" s="203"/>
      <c r="H2" s="201" t="s">
        <v>295</v>
      </c>
      <c r="I2" s="198"/>
      <c r="J2" s="203"/>
      <c r="K2" s="198"/>
      <c r="L2" s="198"/>
      <c r="M2" s="198"/>
      <c r="N2" s="198"/>
      <c r="O2" s="198"/>
      <c r="P2" s="198"/>
      <c r="Q2" s="198"/>
      <c r="R2" s="197"/>
      <c r="S2" s="186"/>
      <c r="T2" s="186"/>
      <c r="U2" s="186"/>
    </row>
    <row r="3" spans="1:21" x14ac:dyDescent="0.35">
      <c r="A3" s="82" t="s">
        <v>281</v>
      </c>
      <c r="B3" s="82"/>
      <c r="C3" s="185">
        <v>0.75</v>
      </c>
      <c r="D3" s="185" t="s">
        <v>225</v>
      </c>
      <c r="E3" s="88"/>
      <c r="F3" s="88">
        <v>6.5000000000000002E-2</v>
      </c>
      <c r="G3" s="88">
        <f>SUM(G4:G8)</f>
        <v>1</v>
      </c>
      <c r="H3" s="82">
        <v>1000000</v>
      </c>
      <c r="I3" s="88">
        <v>0.185</v>
      </c>
      <c r="J3" s="88">
        <f>SUM(J4:J9)</f>
        <v>1</v>
      </c>
      <c r="K3" s="88"/>
      <c r="L3" s="185">
        <f>SUM(L4:L7)</f>
        <v>0.48000000000000004</v>
      </c>
      <c r="M3" s="185"/>
      <c r="N3" s="82"/>
      <c r="O3" s="82"/>
      <c r="P3" s="82"/>
      <c r="Q3" s="82"/>
      <c r="R3" s="81"/>
      <c r="S3" s="82"/>
      <c r="T3" s="82"/>
      <c r="U3" s="82"/>
    </row>
    <row r="4" spans="1:21" x14ac:dyDescent="0.35">
      <c r="B4" t="s">
        <v>279</v>
      </c>
      <c r="C4" t="s">
        <v>264</v>
      </c>
      <c r="D4" s="6">
        <f>'Feedtstocks only CONVENTIONAL'!I4</f>
        <v>354.46400000000006</v>
      </c>
      <c r="E4" s="35">
        <v>0.76</v>
      </c>
      <c r="F4" t="s">
        <v>296</v>
      </c>
      <c r="G4" s="61">
        <v>0.45</v>
      </c>
      <c r="H4">
        <f>G4*H$3</f>
        <v>450000</v>
      </c>
      <c r="I4" t="s">
        <v>298</v>
      </c>
      <c r="J4" s="61">
        <v>0.3</v>
      </c>
      <c r="L4" s="35">
        <v>0.38</v>
      </c>
      <c r="M4" s="35" t="s">
        <v>279</v>
      </c>
      <c r="Q4" s="35"/>
      <c r="R4" s="6"/>
      <c r="S4" s="35"/>
      <c r="T4" s="6"/>
    </row>
    <row r="5" spans="1:21" x14ac:dyDescent="0.35">
      <c r="B5" t="s">
        <v>290</v>
      </c>
      <c r="C5" t="s">
        <v>265</v>
      </c>
      <c r="D5" s="6">
        <f>'Feedtstocks only CONVENTIONAL'!I5</f>
        <v>74.624000000000009</v>
      </c>
      <c r="E5" s="35">
        <v>0.16</v>
      </c>
      <c r="F5" t="s">
        <v>297</v>
      </c>
      <c r="G5" s="61">
        <v>0.3</v>
      </c>
      <c r="H5">
        <f t="shared" ref="H5:H8" si="0">G5*H$3</f>
        <v>300000</v>
      </c>
      <c r="I5" t="s">
        <v>299</v>
      </c>
      <c r="J5" s="61">
        <v>0.2</v>
      </c>
      <c r="L5" s="35">
        <v>0.08</v>
      </c>
      <c r="M5" s="35" t="s">
        <v>290</v>
      </c>
      <c r="Q5" s="35"/>
      <c r="R5" s="6"/>
      <c r="S5" s="35"/>
      <c r="T5" s="6"/>
    </row>
    <row r="6" spans="1:21" x14ac:dyDescent="0.35">
      <c r="B6" t="s">
        <v>310</v>
      </c>
      <c r="C6" t="s">
        <v>266</v>
      </c>
      <c r="D6" s="6">
        <f>'Feedtstocks only CONVENTIONAL'!I6</f>
        <v>18.656000000000002</v>
      </c>
      <c r="E6" s="35">
        <v>0.04</v>
      </c>
      <c r="F6" t="s">
        <v>247</v>
      </c>
      <c r="G6" s="61">
        <v>0.15</v>
      </c>
      <c r="H6">
        <f t="shared" si="0"/>
        <v>150000</v>
      </c>
      <c r="I6" t="s">
        <v>252</v>
      </c>
      <c r="J6" s="61">
        <v>0.25</v>
      </c>
      <c r="L6" s="35">
        <v>0.02</v>
      </c>
      <c r="M6" s="35"/>
      <c r="Q6" s="35"/>
      <c r="R6" s="6"/>
      <c r="S6" s="35"/>
      <c r="T6" s="6"/>
    </row>
    <row r="7" spans="1:21" x14ac:dyDescent="0.35">
      <c r="B7" t="s">
        <v>290</v>
      </c>
      <c r="C7" t="s">
        <v>267</v>
      </c>
      <c r="D7" s="6">
        <f>'Feedtstocks only CONVENTIONAL'!I7</f>
        <v>18.333333333333336</v>
      </c>
      <c r="E7" s="35">
        <v>0.04</v>
      </c>
      <c r="F7" t="s">
        <v>245</v>
      </c>
      <c r="G7" s="61">
        <v>7.0000000000000007E-2</v>
      </c>
      <c r="H7">
        <f t="shared" si="0"/>
        <v>70000</v>
      </c>
      <c r="I7" t="s">
        <v>300</v>
      </c>
      <c r="J7" s="61">
        <v>0.15</v>
      </c>
      <c r="L7" s="35"/>
      <c r="M7" s="35"/>
      <c r="Q7" s="35"/>
      <c r="R7" s="6"/>
      <c r="S7" s="35"/>
      <c r="T7" s="6"/>
    </row>
    <row r="8" spans="1:21" x14ac:dyDescent="0.35">
      <c r="F8" t="s">
        <v>250</v>
      </c>
      <c r="G8" s="61">
        <v>0.03</v>
      </c>
      <c r="H8">
        <f t="shared" si="0"/>
        <v>30000</v>
      </c>
      <c r="I8" s="104" t="s">
        <v>254</v>
      </c>
      <c r="J8" s="61">
        <v>0.1</v>
      </c>
      <c r="L8" s="35"/>
      <c r="M8" s="35"/>
      <c r="Q8" s="35"/>
      <c r="R8" s="6"/>
      <c r="S8" s="35"/>
      <c r="T8" s="6"/>
    </row>
    <row r="9" spans="1:21" x14ac:dyDescent="0.35">
      <c r="I9" t="s">
        <v>301</v>
      </c>
      <c r="J9" s="61">
        <v>0</v>
      </c>
      <c r="L9" s="35"/>
      <c r="M9" s="35"/>
      <c r="Q9" s="35"/>
      <c r="R9" s="6"/>
      <c r="S9" s="35"/>
      <c r="T9" s="6"/>
    </row>
    <row r="10" spans="1:21" x14ac:dyDescent="0.35">
      <c r="A10" s="82" t="s">
        <v>282</v>
      </c>
      <c r="B10" s="82"/>
      <c r="C10" s="185">
        <v>0.7</v>
      </c>
      <c r="D10" s="185"/>
      <c r="E10" s="82"/>
      <c r="F10" s="185">
        <v>7.0000000000000007E-2</v>
      </c>
      <c r="G10" s="88">
        <f>SUM(G11:G15)</f>
        <v>1</v>
      </c>
      <c r="H10" s="82">
        <v>1000000</v>
      </c>
      <c r="I10" s="185">
        <v>0.23</v>
      </c>
      <c r="J10" s="88">
        <f>SUM(J11:J16)</f>
        <v>1</v>
      </c>
      <c r="K10" s="88"/>
      <c r="L10" s="185"/>
      <c r="M10" s="185"/>
      <c r="N10" s="82"/>
      <c r="O10" s="82"/>
      <c r="P10" s="82"/>
      <c r="Q10" s="88"/>
      <c r="R10" s="81"/>
      <c r="S10" s="82"/>
      <c r="T10" s="81"/>
      <c r="U10" s="82"/>
    </row>
    <row r="11" spans="1:21" x14ac:dyDescent="0.35">
      <c r="F11" t="s">
        <v>296</v>
      </c>
      <c r="G11" s="61">
        <v>0.48</v>
      </c>
      <c r="H11">
        <f>G11*H$10</f>
        <v>480000</v>
      </c>
      <c r="I11" t="s">
        <v>298</v>
      </c>
      <c r="J11" s="61">
        <v>0.25</v>
      </c>
      <c r="O11" s="6"/>
      <c r="P11" s="6"/>
      <c r="Q11" s="63"/>
      <c r="R11" s="112"/>
      <c r="S11" s="61"/>
      <c r="T11" s="6"/>
    </row>
    <row r="12" spans="1:21" x14ac:dyDescent="0.35">
      <c r="F12" t="s">
        <v>297</v>
      </c>
      <c r="G12" s="61">
        <v>0.3</v>
      </c>
      <c r="H12">
        <f t="shared" ref="H12:H15" si="1">G12*H$10</f>
        <v>300000</v>
      </c>
      <c r="I12" t="s">
        <v>299</v>
      </c>
      <c r="J12" s="61">
        <v>0.15</v>
      </c>
      <c r="N12" s="24"/>
      <c r="O12" s="6"/>
      <c r="P12" s="6"/>
      <c r="Q12" s="63"/>
      <c r="R12" s="112"/>
      <c r="S12" s="61"/>
      <c r="T12" s="6"/>
    </row>
    <row r="13" spans="1:21" x14ac:dyDescent="0.35">
      <c r="F13" t="s">
        <v>247</v>
      </c>
      <c r="G13" s="61">
        <v>0.12</v>
      </c>
      <c r="H13">
        <f t="shared" si="1"/>
        <v>120000</v>
      </c>
      <c r="I13" t="s">
        <v>252</v>
      </c>
      <c r="J13" s="61">
        <v>0.2</v>
      </c>
      <c r="N13" s="24"/>
      <c r="O13" s="6"/>
      <c r="P13" s="6"/>
      <c r="Q13" s="63"/>
      <c r="R13" s="112"/>
      <c r="S13" s="61"/>
      <c r="T13" s="6"/>
    </row>
    <row r="14" spans="1:21" x14ac:dyDescent="0.35">
      <c r="F14" t="s">
        <v>245</v>
      </c>
      <c r="G14" s="61">
        <v>7.0000000000000007E-2</v>
      </c>
      <c r="H14">
        <f t="shared" si="1"/>
        <v>70000</v>
      </c>
      <c r="I14" t="s">
        <v>300</v>
      </c>
      <c r="J14" s="61">
        <v>0.15</v>
      </c>
      <c r="N14" s="24"/>
      <c r="O14" s="6"/>
      <c r="P14" s="6"/>
      <c r="Q14" s="63"/>
      <c r="R14" s="112"/>
      <c r="S14" s="61"/>
      <c r="T14" s="6"/>
    </row>
    <row r="15" spans="1:21" x14ac:dyDescent="0.35">
      <c r="F15" t="s">
        <v>250</v>
      </c>
      <c r="G15" s="61">
        <v>0.03</v>
      </c>
      <c r="H15">
        <f t="shared" si="1"/>
        <v>30000</v>
      </c>
      <c r="I15" s="104" t="s">
        <v>254</v>
      </c>
      <c r="J15" s="61">
        <v>0.25</v>
      </c>
      <c r="N15" s="24"/>
      <c r="O15" s="6"/>
      <c r="P15" s="6"/>
      <c r="Q15" s="63"/>
      <c r="R15" s="112"/>
      <c r="S15" s="61"/>
      <c r="T15" s="6"/>
    </row>
    <row r="16" spans="1:21" x14ac:dyDescent="0.35">
      <c r="I16" t="s">
        <v>301</v>
      </c>
      <c r="J16" s="61">
        <v>0</v>
      </c>
      <c r="N16" s="24"/>
      <c r="O16" s="6"/>
      <c r="P16" s="6"/>
      <c r="Q16" s="63"/>
      <c r="R16" s="112"/>
      <c r="S16" s="61"/>
      <c r="T16" s="6"/>
    </row>
    <row r="17" spans="1:21" x14ac:dyDescent="0.35">
      <c r="A17" s="82" t="s">
        <v>283</v>
      </c>
      <c r="B17" s="81">
        <f>E17+H17+K17</f>
        <v>1253</v>
      </c>
      <c r="C17" s="88">
        <f>E17/B17</f>
        <v>0.72067039106145248</v>
      </c>
      <c r="D17" s="88"/>
      <c r="E17" s="81">
        <v>903</v>
      </c>
      <c r="F17" s="88">
        <f>H17/B17</f>
        <v>6.6241021548284124E-2</v>
      </c>
      <c r="G17" s="88">
        <f>SUM(G18:G22)</f>
        <v>1</v>
      </c>
      <c r="H17" s="82">
        <v>83</v>
      </c>
      <c r="I17" s="88">
        <f>K17/B17</f>
        <v>0.21308858739026337</v>
      </c>
      <c r="J17" s="88">
        <f>SUM(J18:J23)</f>
        <v>1</v>
      </c>
      <c r="K17" s="82">
        <v>267</v>
      </c>
      <c r="L17" s="82"/>
      <c r="M17" s="82"/>
      <c r="N17" s="82"/>
      <c r="O17" s="82"/>
      <c r="P17" s="82"/>
      <c r="Q17" s="82"/>
      <c r="R17" s="81"/>
      <c r="S17" s="88"/>
      <c r="T17" s="81"/>
      <c r="U17" s="82"/>
    </row>
    <row r="18" spans="1:21" x14ac:dyDescent="0.35">
      <c r="C18" t="s">
        <v>309</v>
      </c>
      <c r="D18" s="61">
        <f>0.6618*0.6</f>
        <v>0.39708000000000004</v>
      </c>
      <c r="E18" s="6">
        <f>D18*E17</f>
        <v>358.56324000000006</v>
      </c>
      <c r="F18" t="s">
        <v>296</v>
      </c>
      <c r="G18" s="61">
        <v>0.5</v>
      </c>
      <c r="H18">
        <f>G18*H$17</f>
        <v>41.5</v>
      </c>
      <c r="I18" t="s">
        <v>298</v>
      </c>
      <c r="J18" s="61">
        <v>0.25</v>
      </c>
      <c r="K18">
        <f>J18*K$17</f>
        <v>66.75</v>
      </c>
      <c r="N18">
        <v>880</v>
      </c>
      <c r="R18" s="6"/>
      <c r="S18" s="61"/>
      <c r="T18" s="6"/>
    </row>
    <row r="19" spans="1:21" x14ac:dyDescent="0.35">
      <c r="C19" t="s">
        <v>308</v>
      </c>
      <c r="D19" s="61">
        <f>0.6618*0.4</f>
        <v>0.26472000000000001</v>
      </c>
      <c r="E19" s="6">
        <f t="shared" ref="E19:E20" si="2">D19*E18</f>
        <v>94.918860892800026</v>
      </c>
      <c r="F19" t="s">
        <v>297</v>
      </c>
      <c r="G19" s="61">
        <v>0.3</v>
      </c>
      <c r="H19">
        <f t="shared" ref="H19:H22" si="3">G19*H$17</f>
        <v>24.9</v>
      </c>
      <c r="I19" t="s">
        <v>299</v>
      </c>
      <c r="J19" s="61">
        <v>0.15</v>
      </c>
      <c r="K19">
        <f t="shared" ref="K19:K23" si="4">J19*K$17</f>
        <v>40.049999999999997</v>
      </c>
      <c r="R19" s="6"/>
      <c r="S19" s="61"/>
      <c r="T19" s="6"/>
    </row>
    <row r="20" spans="1:21" x14ac:dyDescent="0.35">
      <c r="C20" t="s">
        <v>317</v>
      </c>
      <c r="D20" s="61">
        <v>0.3382</v>
      </c>
      <c r="E20" s="6">
        <f t="shared" si="2"/>
        <v>32.101558753944971</v>
      </c>
      <c r="F20" t="s">
        <v>247</v>
      </c>
      <c r="G20" s="61">
        <v>0.1</v>
      </c>
      <c r="H20">
        <f t="shared" si="3"/>
        <v>8.3000000000000007</v>
      </c>
      <c r="I20" t="s">
        <v>252</v>
      </c>
      <c r="J20" s="61">
        <v>0.2</v>
      </c>
      <c r="K20">
        <f t="shared" si="4"/>
        <v>53.400000000000006</v>
      </c>
      <c r="R20" s="6"/>
      <c r="S20" s="61"/>
      <c r="T20" s="6"/>
    </row>
    <row r="21" spans="1:21" x14ac:dyDescent="0.35">
      <c r="F21" t="s">
        <v>245</v>
      </c>
      <c r="G21" s="61">
        <v>7.0000000000000007E-2</v>
      </c>
      <c r="H21">
        <f t="shared" si="3"/>
        <v>5.8100000000000005</v>
      </c>
      <c r="I21" t="s">
        <v>300</v>
      </c>
      <c r="J21" s="61">
        <v>0.2</v>
      </c>
      <c r="K21">
        <f t="shared" si="4"/>
        <v>53.400000000000006</v>
      </c>
      <c r="R21" s="6"/>
      <c r="S21" s="61"/>
      <c r="T21" s="6"/>
    </row>
    <row r="22" spans="1:21" x14ac:dyDescent="0.35">
      <c r="F22" t="s">
        <v>250</v>
      </c>
      <c r="G22" s="61">
        <v>0.03</v>
      </c>
      <c r="H22">
        <f t="shared" si="3"/>
        <v>2.4899999999999998</v>
      </c>
      <c r="I22" s="104" t="s">
        <v>254</v>
      </c>
      <c r="J22" s="61">
        <v>0.1</v>
      </c>
      <c r="K22">
        <f t="shared" si="4"/>
        <v>26.700000000000003</v>
      </c>
      <c r="R22" s="6"/>
      <c r="S22" s="61"/>
      <c r="T22" s="6"/>
    </row>
    <row r="23" spans="1:21" x14ac:dyDescent="0.35">
      <c r="I23" t="s">
        <v>301</v>
      </c>
      <c r="J23" s="61">
        <v>0.1</v>
      </c>
      <c r="K23">
        <f t="shared" si="4"/>
        <v>26.700000000000003</v>
      </c>
      <c r="R23" s="6"/>
      <c r="S23" s="61"/>
      <c r="T23" s="6"/>
    </row>
    <row r="24" spans="1:21" x14ac:dyDescent="0.35">
      <c r="A24" s="82" t="s">
        <v>285</v>
      </c>
      <c r="B24" s="82"/>
      <c r="C24" s="185">
        <v>0.7</v>
      </c>
      <c r="D24" s="185"/>
      <c r="E24" s="82"/>
      <c r="F24" s="185">
        <v>0.1</v>
      </c>
      <c r="G24" s="88">
        <f>SUM(G25:G29)</f>
        <v>1</v>
      </c>
      <c r="H24" s="82"/>
      <c r="I24" s="88">
        <v>0.2</v>
      </c>
      <c r="J24" s="88">
        <f>SUM(J25:J30)</f>
        <v>1</v>
      </c>
      <c r="K24" s="88"/>
      <c r="L24" s="82"/>
      <c r="M24" s="82"/>
      <c r="N24" s="82"/>
      <c r="O24" s="82"/>
      <c r="P24" s="82"/>
      <c r="Q24" s="82"/>
      <c r="R24" s="81"/>
      <c r="S24" s="88"/>
      <c r="T24" s="81"/>
      <c r="U24" s="82"/>
    </row>
    <row r="25" spans="1:21" x14ac:dyDescent="0.35">
      <c r="F25" t="s">
        <v>296</v>
      </c>
      <c r="G25" s="61">
        <v>0.55000000000000004</v>
      </c>
      <c r="I25" t="s">
        <v>298</v>
      </c>
      <c r="J25" s="61">
        <v>0.4</v>
      </c>
      <c r="R25" s="6"/>
      <c r="S25" s="61"/>
      <c r="T25" s="6"/>
    </row>
    <row r="26" spans="1:21" x14ac:dyDescent="0.35">
      <c r="F26" t="s">
        <v>297</v>
      </c>
      <c r="G26" s="61">
        <v>0.25</v>
      </c>
      <c r="I26" t="s">
        <v>299</v>
      </c>
      <c r="J26" s="61">
        <v>0.2</v>
      </c>
      <c r="R26" s="6"/>
      <c r="S26" s="61"/>
      <c r="T26" s="6"/>
    </row>
    <row r="27" spans="1:21" x14ac:dyDescent="0.35">
      <c r="F27" t="s">
        <v>247</v>
      </c>
      <c r="G27" s="61">
        <v>0.1</v>
      </c>
      <c r="I27" t="s">
        <v>252</v>
      </c>
      <c r="J27" s="61">
        <v>0.2</v>
      </c>
      <c r="R27" s="6"/>
      <c r="S27" s="61"/>
      <c r="T27" s="6"/>
    </row>
    <row r="28" spans="1:21" x14ac:dyDescent="0.35">
      <c r="F28" t="s">
        <v>245</v>
      </c>
      <c r="G28" s="61">
        <v>7.0000000000000007E-2</v>
      </c>
      <c r="I28" t="s">
        <v>300</v>
      </c>
      <c r="J28" s="61">
        <v>0.15</v>
      </c>
      <c r="R28" s="6"/>
      <c r="S28" s="61"/>
      <c r="T28" s="6"/>
    </row>
    <row r="29" spans="1:21" x14ac:dyDescent="0.35">
      <c r="F29" t="s">
        <v>250</v>
      </c>
      <c r="G29" s="61">
        <v>0.03</v>
      </c>
      <c r="I29" s="104" t="s">
        <v>254</v>
      </c>
      <c r="J29" s="61">
        <v>0.05</v>
      </c>
      <c r="R29" s="6"/>
      <c r="S29" s="61"/>
      <c r="T29" s="6"/>
    </row>
    <row r="30" spans="1:21" x14ac:dyDescent="0.35">
      <c r="I30" t="s">
        <v>301</v>
      </c>
      <c r="J30" s="61">
        <v>0</v>
      </c>
      <c r="R30" s="6"/>
      <c r="S30" s="61"/>
      <c r="T30" s="6"/>
    </row>
    <row r="31" spans="1:21" x14ac:dyDescent="0.35">
      <c r="A31" s="82" t="s">
        <v>284</v>
      </c>
      <c r="B31" s="82"/>
      <c r="C31" s="185">
        <v>0.64</v>
      </c>
      <c r="D31" s="185"/>
      <c r="E31" s="82"/>
      <c r="F31" s="185">
        <v>0.14000000000000001</v>
      </c>
      <c r="G31" s="88">
        <f>SUM(G32:G36)</f>
        <v>1</v>
      </c>
      <c r="H31" s="82"/>
      <c r="I31" s="185">
        <v>0.22</v>
      </c>
      <c r="J31" s="88">
        <f>SUM(J32:J37)</f>
        <v>1</v>
      </c>
      <c r="K31" s="88"/>
      <c r="L31" s="82"/>
      <c r="M31" s="82"/>
      <c r="N31" s="82"/>
      <c r="O31" s="82"/>
      <c r="P31" s="82"/>
      <c r="Q31" s="82"/>
      <c r="R31" s="81"/>
      <c r="S31" s="88"/>
      <c r="T31" s="81"/>
      <c r="U31" s="82"/>
    </row>
    <row r="32" spans="1:21" x14ac:dyDescent="0.35">
      <c r="F32" t="s">
        <v>296</v>
      </c>
      <c r="G32" s="61">
        <v>0.57999999999999996</v>
      </c>
      <c r="I32" t="s">
        <v>298</v>
      </c>
      <c r="J32" s="61">
        <v>0.35</v>
      </c>
      <c r="R32" s="6"/>
      <c r="S32" s="61"/>
      <c r="T32" s="6"/>
    </row>
    <row r="33" spans="1:21" x14ac:dyDescent="0.35">
      <c r="F33" t="s">
        <v>297</v>
      </c>
      <c r="G33" s="61">
        <v>0.25</v>
      </c>
      <c r="I33" t="s">
        <v>299</v>
      </c>
      <c r="J33" s="61">
        <v>0.15</v>
      </c>
      <c r="R33" s="6"/>
      <c r="S33" s="61"/>
      <c r="T33" s="6"/>
    </row>
    <row r="34" spans="1:21" x14ac:dyDescent="0.35">
      <c r="F34" t="s">
        <v>247</v>
      </c>
      <c r="G34" s="61">
        <v>0.08</v>
      </c>
      <c r="I34" t="s">
        <v>252</v>
      </c>
      <c r="J34" s="61">
        <v>0.18</v>
      </c>
      <c r="R34" s="6"/>
      <c r="S34" s="61"/>
      <c r="T34" s="6"/>
    </row>
    <row r="35" spans="1:21" x14ac:dyDescent="0.35">
      <c r="F35" t="s">
        <v>245</v>
      </c>
      <c r="G35" s="61">
        <v>0.06</v>
      </c>
      <c r="I35" t="s">
        <v>300</v>
      </c>
      <c r="J35" s="61">
        <v>0.15</v>
      </c>
      <c r="R35" s="6"/>
      <c r="S35" s="61"/>
      <c r="T35" s="6"/>
    </row>
    <row r="36" spans="1:21" x14ac:dyDescent="0.35">
      <c r="F36" t="s">
        <v>250</v>
      </c>
      <c r="G36" s="61">
        <v>0.03</v>
      </c>
      <c r="I36" s="104" t="s">
        <v>254</v>
      </c>
      <c r="J36" s="61">
        <v>0.17</v>
      </c>
      <c r="R36" s="6"/>
      <c r="S36" s="61"/>
      <c r="T36" s="6"/>
    </row>
    <row r="37" spans="1:21" x14ac:dyDescent="0.35">
      <c r="I37" t="s">
        <v>301</v>
      </c>
      <c r="J37" s="61">
        <v>0</v>
      </c>
      <c r="R37" s="6"/>
      <c r="S37" s="61"/>
      <c r="T37" s="6"/>
    </row>
    <row r="38" spans="1:21" x14ac:dyDescent="0.35">
      <c r="A38" s="82" t="s">
        <v>303</v>
      </c>
      <c r="B38" s="82">
        <f>E38+H38+K38</f>
        <v>2016</v>
      </c>
      <c r="C38" s="88">
        <f>E38/B38</f>
        <v>0.66567460317460314</v>
      </c>
      <c r="D38" s="88"/>
      <c r="E38" s="82">
        <v>1342</v>
      </c>
      <c r="F38" s="88">
        <f>H38/B38</f>
        <v>0.13343253968253968</v>
      </c>
      <c r="G38" s="88">
        <f>SUM(G39:G43)</f>
        <v>1</v>
      </c>
      <c r="H38" s="82">
        <v>269</v>
      </c>
      <c r="I38" s="88">
        <f>K38/B38</f>
        <v>0.20089285714285715</v>
      </c>
      <c r="J38" s="82">
        <f>SUM(J39:J44)</f>
        <v>1</v>
      </c>
      <c r="K38" s="82">
        <v>405</v>
      </c>
      <c r="L38" s="82"/>
      <c r="M38" s="82"/>
      <c r="N38" s="82"/>
      <c r="O38" s="82"/>
      <c r="P38" s="82"/>
      <c r="Q38" s="82"/>
      <c r="R38" s="81"/>
      <c r="S38" s="88"/>
      <c r="T38" s="81"/>
      <c r="U38" s="82"/>
    </row>
    <row r="39" spans="1:21" x14ac:dyDescent="0.35">
      <c r="B39" t="s">
        <v>289</v>
      </c>
      <c r="C39" t="s">
        <v>269</v>
      </c>
      <c r="D39" s="61"/>
      <c r="F39" t="s">
        <v>296</v>
      </c>
      <c r="G39" s="61">
        <v>0.6</v>
      </c>
      <c r="H39">
        <f>G39*H$38</f>
        <v>161.4</v>
      </c>
      <c r="I39" t="s">
        <v>298</v>
      </c>
      <c r="J39">
        <v>0.15</v>
      </c>
      <c r="K39">
        <f>J39*K$38</f>
        <v>60.75</v>
      </c>
      <c r="R39" s="6"/>
      <c r="S39" s="61"/>
      <c r="T39" s="6"/>
    </row>
    <row r="40" spans="1:21" x14ac:dyDescent="0.35">
      <c r="B40" t="s">
        <v>292</v>
      </c>
      <c r="C40" t="s">
        <v>291</v>
      </c>
      <c r="D40" s="61"/>
      <c r="F40" t="s">
        <v>297</v>
      </c>
      <c r="G40" s="61">
        <v>0.25</v>
      </c>
      <c r="H40">
        <f t="shared" ref="H40:H43" si="5">G40*H$38</f>
        <v>67.25</v>
      </c>
      <c r="I40" t="s">
        <v>299</v>
      </c>
      <c r="J40">
        <v>0.4</v>
      </c>
      <c r="K40">
        <f t="shared" ref="K40:K44" si="6">J40*K$38</f>
        <v>162</v>
      </c>
      <c r="R40" s="6"/>
      <c r="S40" s="61"/>
      <c r="T40" s="6"/>
    </row>
    <row r="41" spans="1:21" x14ac:dyDescent="0.35">
      <c r="C41" s="61"/>
      <c r="D41" s="61"/>
      <c r="F41" t="s">
        <v>247</v>
      </c>
      <c r="G41" s="61">
        <v>7.0000000000000007E-2</v>
      </c>
      <c r="H41">
        <f t="shared" si="5"/>
        <v>18.830000000000002</v>
      </c>
      <c r="I41" t="s">
        <v>252</v>
      </c>
      <c r="J41">
        <v>0.2</v>
      </c>
      <c r="K41">
        <f t="shared" si="6"/>
        <v>81</v>
      </c>
      <c r="R41" s="6"/>
      <c r="S41" s="61"/>
      <c r="T41" s="6"/>
    </row>
    <row r="42" spans="1:21" x14ac:dyDescent="0.35">
      <c r="C42" s="61"/>
      <c r="D42" s="61"/>
      <c r="F42" t="s">
        <v>245</v>
      </c>
      <c r="G42" s="61">
        <v>0.05</v>
      </c>
      <c r="H42">
        <f t="shared" si="5"/>
        <v>13.450000000000001</v>
      </c>
      <c r="I42" t="s">
        <v>300</v>
      </c>
      <c r="J42">
        <v>0.15</v>
      </c>
      <c r="K42">
        <f t="shared" si="6"/>
        <v>60.75</v>
      </c>
      <c r="R42" s="6"/>
      <c r="S42" s="61"/>
      <c r="T42" s="6"/>
    </row>
    <row r="43" spans="1:21" x14ac:dyDescent="0.35">
      <c r="C43" s="61"/>
      <c r="D43" s="61"/>
      <c r="F43" t="s">
        <v>250</v>
      </c>
      <c r="G43" s="61">
        <v>0.03</v>
      </c>
      <c r="H43">
        <f t="shared" si="5"/>
        <v>8.07</v>
      </c>
      <c r="I43" s="104" t="s">
        <v>254</v>
      </c>
      <c r="J43">
        <v>0.1</v>
      </c>
      <c r="K43">
        <f t="shared" si="6"/>
        <v>40.5</v>
      </c>
      <c r="R43" s="6"/>
      <c r="S43" s="61"/>
      <c r="T43" s="6"/>
    </row>
    <row r="44" spans="1:21" x14ac:dyDescent="0.35">
      <c r="C44" s="61"/>
      <c r="D44" s="61"/>
      <c r="F44" s="61"/>
      <c r="I44" t="s">
        <v>301</v>
      </c>
      <c r="J44">
        <v>0</v>
      </c>
      <c r="K44">
        <f t="shared" si="6"/>
        <v>0</v>
      </c>
      <c r="R44" s="6"/>
      <c r="S44" s="61"/>
      <c r="T44" s="6"/>
    </row>
    <row r="45" spans="1:21" s="187" customFormat="1" ht="18" customHeight="1" x14ac:dyDescent="0.35">
      <c r="A45" s="82" t="s">
        <v>302</v>
      </c>
      <c r="B45" s="82">
        <f>E45+H45+K45</f>
        <v>2903</v>
      </c>
      <c r="C45" s="88">
        <f>E45/B45</f>
        <v>0.67550809507406129</v>
      </c>
      <c r="D45" s="88"/>
      <c r="E45" s="82">
        <v>1961</v>
      </c>
      <c r="F45" s="88">
        <f>H45/B45</f>
        <v>0.12952118498105408</v>
      </c>
      <c r="G45" s="88">
        <f>SUM(G46:G50)</f>
        <v>1</v>
      </c>
      <c r="H45" s="82">
        <v>376</v>
      </c>
      <c r="I45" s="88">
        <f>K45/B45</f>
        <v>0.1949707199448846</v>
      </c>
      <c r="J45" s="82">
        <f>SUM(J46:J51)</f>
        <v>1</v>
      </c>
      <c r="K45" s="82">
        <v>566</v>
      </c>
      <c r="L45" s="82"/>
      <c r="M45" s="82"/>
      <c r="N45" s="82"/>
      <c r="O45" s="82"/>
      <c r="P45" s="82"/>
      <c r="Q45" s="82"/>
      <c r="R45" s="81"/>
      <c r="S45" s="88"/>
      <c r="T45" s="81"/>
      <c r="U45" s="82"/>
    </row>
    <row r="46" spans="1:21" s="158" customFormat="1" ht="13.5" customHeight="1" x14ac:dyDescent="0.35">
      <c r="A46"/>
      <c r="B46" t="s">
        <v>289</v>
      </c>
      <c r="C46" t="s">
        <v>269</v>
      </c>
      <c r="D46" s="61"/>
      <c r="E46"/>
      <c r="F46" t="s">
        <v>296</v>
      </c>
      <c r="G46" s="61">
        <v>0.6</v>
      </c>
      <c r="H46">
        <f>G46*H$45</f>
        <v>225.6</v>
      </c>
      <c r="I46" t="s">
        <v>298</v>
      </c>
      <c r="J46">
        <v>0.15</v>
      </c>
      <c r="K46">
        <f>J46*K$45</f>
        <v>84.899999999999991</v>
      </c>
      <c r="L46"/>
      <c r="M46"/>
      <c r="N46"/>
      <c r="O46"/>
      <c r="P46"/>
      <c r="Q46"/>
      <c r="R46" s="6"/>
      <c r="S46" s="61"/>
      <c r="T46" s="6"/>
      <c r="U46"/>
    </row>
    <row r="47" spans="1:21" x14ac:dyDescent="0.35">
      <c r="B47" t="s">
        <v>292</v>
      </c>
      <c r="C47" t="s">
        <v>291</v>
      </c>
      <c r="D47" s="61"/>
      <c r="F47" t="s">
        <v>297</v>
      </c>
      <c r="G47" s="61">
        <v>0.25</v>
      </c>
      <c r="H47">
        <f t="shared" ref="H47:H50" si="7">G47*H$45</f>
        <v>94</v>
      </c>
      <c r="I47" t="s">
        <v>299</v>
      </c>
      <c r="J47">
        <v>0.4</v>
      </c>
      <c r="K47">
        <f t="shared" ref="K47:K51" si="8">J47*K$45</f>
        <v>226.4</v>
      </c>
      <c r="R47" s="6"/>
      <c r="S47" s="61"/>
      <c r="T47" s="6"/>
    </row>
    <row r="48" spans="1:21" x14ac:dyDescent="0.35">
      <c r="C48" s="61"/>
      <c r="D48" s="61"/>
      <c r="F48" t="s">
        <v>247</v>
      </c>
      <c r="G48" s="61">
        <v>7.0000000000000007E-2</v>
      </c>
      <c r="H48">
        <f t="shared" si="7"/>
        <v>26.320000000000004</v>
      </c>
      <c r="I48" t="s">
        <v>252</v>
      </c>
      <c r="J48">
        <v>0.2</v>
      </c>
      <c r="K48">
        <f t="shared" si="8"/>
        <v>113.2</v>
      </c>
      <c r="R48" s="6"/>
      <c r="S48" s="61"/>
      <c r="T48" s="6"/>
    </row>
    <row r="49" spans="1:21" x14ac:dyDescent="0.35">
      <c r="C49" s="61"/>
      <c r="D49" s="61"/>
      <c r="F49" t="s">
        <v>245</v>
      </c>
      <c r="G49" s="61">
        <v>0.05</v>
      </c>
      <c r="H49">
        <f t="shared" si="7"/>
        <v>18.8</v>
      </c>
      <c r="I49" t="s">
        <v>300</v>
      </c>
      <c r="J49">
        <v>0.15</v>
      </c>
      <c r="K49">
        <f t="shared" si="8"/>
        <v>84.899999999999991</v>
      </c>
      <c r="R49" s="6"/>
      <c r="S49" s="61"/>
      <c r="T49" s="6"/>
    </row>
    <row r="50" spans="1:21" x14ac:dyDescent="0.35">
      <c r="C50" s="61"/>
      <c r="D50" s="61"/>
      <c r="F50" t="s">
        <v>250</v>
      </c>
      <c r="G50" s="61">
        <v>0.03</v>
      </c>
      <c r="H50">
        <f t="shared" si="7"/>
        <v>11.28</v>
      </c>
      <c r="I50" s="104" t="s">
        <v>254</v>
      </c>
      <c r="J50">
        <v>0.1</v>
      </c>
      <c r="K50">
        <f t="shared" si="8"/>
        <v>56.6</v>
      </c>
      <c r="R50" s="6"/>
      <c r="S50" s="61"/>
      <c r="T50" s="6"/>
    </row>
    <row r="51" spans="1:21" x14ac:dyDescent="0.35">
      <c r="C51" s="61"/>
      <c r="D51" s="61"/>
      <c r="F51" s="61"/>
      <c r="I51" t="s">
        <v>301</v>
      </c>
      <c r="J51">
        <v>0</v>
      </c>
      <c r="K51">
        <f t="shared" si="8"/>
        <v>0</v>
      </c>
      <c r="R51" s="6"/>
      <c r="S51" s="61"/>
      <c r="T51" s="6"/>
    </row>
    <row r="52" spans="1:21" x14ac:dyDescent="0.35">
      <c r="A52" s="200" t="s">
        <v>270</v>
      </c>
      <c r="B52" s="187"/>
      <c r="C52" s="187"/>
      <c r="D52" s="187"/>
      <c r="E52" s="187"/>
      <c r="F52" s="187"/>
      <c r="G52" s="190"/>
      <c r="H52" s="187"/>
      <c r="I52" s="187"/>
      <c r="J52" s="190"/>
      <c r="K52" s="187"/>
      <c r="L52" s="187"/>
      <c r="M52" s="187"/>
      <c r="N52" s="187"/>
      <c r="O52" s="188"/>
      <c r="P52" s="188"/>
      <c r="Q52" s="189"/>
      <c r="R52" s="178"/>
      <c r="S52" s="190"/>
      <c r="T52" s="188"/>
      <c r="U52" s="187"/>
    </row>
    <row r="53" spans="1:21" x14ac:dyDescent="0.35">
      <c r="A53" s="158" t="s">
        <v>293</v>
      </c>
      <c r="B53" s="158">
        <v>903.57</v>
      </c>
      <c r="C53" s="195">
        <v>0.7</v>
      </c>
      <c r="D53" s="158" t="s">
        <v>277</v>
      </c>
      <c r="E53" s="158">
        <f>C53*B53</f>
        <v>632.49900000000002</v>
      </c>
      <c r="F53" s="195">
        <v>0.1</v>
      </c>
      <c r="G53" s="194"/>
      <c r="H53" s="158">
        <f>F53*B53</f>
        <v>90.357000000000014</v>
      </c>
      <c r="I53" s="195">
        <v>0.2</v>
      </c>
      <c r="J53" s="194">
        <f>SUM(J54:J59)</f>
        <v>1</v>
      </c>
      <c r="K53" s="158">
        <f>I53*B53</f>
        <v>180.71400000000003</v>
      </c>
      <c r="L53" s="195"/>
      <c r="M53" s="195"/>
      <c r="N53" s="158"/>
      <c r="O53" s="191"/>
      <c r="P53" s="191"/>
      <c r="Q53" s="192"/>
      <c r="R53" s="193"/>
      <c r="S53" s="194"/>
      <c r="T53" s="191"/>
      <c r="U53" s="158"/>
    </row>
    <row r="54" spans="1:21" x14ac:dyDescent="0.35">
      <c r="C54" t="s">
        <v>271</v>
      </c>
      <c r="D54" s="35">
        <v>0.17</v>
      </c>
      <c r="F54" t="s">
        <v>296</v>
      </c>
      <c r="G54" s="61">
        <v>0.5</v>
      </c>
      <c r="H54">
        <f>G54*H$53</f>
        <v>45.178500000000007</v>
      </c>
      <c r="I54" t="s">
        <v>298</v>
      </c>
      <c r="J54" s="61">
        <v>0.15</v>
      </c>
      <c r="K54">
        <f>J54*K$53</f>
        <v>27.107100000000003</v>
      </c>
      <c r="M54" s="35"/>
    </row>
    <row r="55" spans="1:21" x14ac:dyDescent="0.35">
      <c r="C55" t="s">
        <v>272</v>
      </c>
      <c r="D55" s="35">
        <v>0.43</v>
      </c>
      <c r="F55" t="s">
        <v>297</v>
      </c>
      <c r="G55" s="61">
        <v>0.25</v>
      </c>
      <c r="H55">
        <f t="shared" ref="H55:H58" si="9">G55*H$53</f>
        <v>22.589250000000003</v>
      </c>
      <c r="I55" t="s">
        <v>299</v>
      </c>
      <c r="J55" s="61">
        <v>0.4</v>
      </c>
      <c r="K55">
        <f t="shared" ref="K55:K59" si="10">J55*K$53</f>
        <v>72.285600000000017</v>
      </c>
      <c r="M55" s="35"/>
    </row>
    <row r="56" spans="1:21" x14ac:dyDescent="0.35">
      <c r="C56" t="s">
        <v>273</v>
      </c>
      <c r="D56" s="35">
        <v>0.09</v>
      </c>
      <c r="F56" t="s">
        <v>247</v>
      </c>
      <c r="G56" s="61">
        <v>0.15</v>
      </c>
      <c r="H56">
        <f t="shared" si="9"/>
        <v>13.553550000000001</v>
      </c>
      <c r="I56" t="s">
        <v>252</v>
      </c>
      <c r="J56" s="61">
        <v>0.2</v>
      </c>
      <c r="K56">
        <f t="shared" si="10"/>
        <v>36.142800000000008</v>
      </c>
      <c r="M56" s="35"/>
    </row>
    <row r="57" spans="1:21" x14ac:dyDescent="0.35">
      <c r="C57" t="s">
        <v>274</v>
      </c>
      <c r="D57" s="35">
        <v>0.03</v>
      </c>
      <c r="F57" t="s">
        <v>245</v>
      </c>
      <c r="G57" s="61">
        <v>7.0000000000000007E-2</v>
      </c>
      <c r="H57">
        <f t="shared" si="9"/>
        <v>6.3249900000000014</v>
      </c>
      <c r="I57" t="s">
        <v>300</v>
      </c>
      <c r="J57" s="61">
        <v>0.15</v>
      </c>
      <c r="K57">
        <f t="shared" si="10"/>
        <v>27.107100000000003</v>
      </c>
      <c r="M57" s="35"/>
    </row>
    <row r="58" spans="1:21" x14ac:dyDescent="0.35">
      <c r="C58" t="s">
        <v>275</v>
      </c>
      <c r="D58" s="35">
        <v>0.02</v>
      </c>
      <c r="F58" t="s">
        <v>250</v>
      </c>
      <c r="G58" s="61">
        <v>0.03</v>
      </c>
      <c r="H58">
        <f t="shared" si="9"/>
        <v>2.7107100000000002</v>
      </c>
      <c r="I58" s="104" t="s">
        <v>254</v>
      </c>
      <c r="J58" s="61">
        <v>0.1</v>
      </c>
      <c r="K58">
        <f t="shared" si="10"/>
        <v>18.071400000000004</v>
      </c>
      <c r="M58" s="35"/>
    </row>
    <row r="59" spans="1:21" x14ac:dyDescent="0.35">
      <c r="C59" t="s">
        <v>276</v>
      </c>
      <c r="D59" s="35">
        <v>0.26</v>
      </c>
      <c r="I59" t="s">
        <v>301</v>
      </c>
      <c r="J59" s="61">
        <v>0</v>
      </c>
      <c r="K59">
        <f t="shared" si="10"/>
        <v>0</v>
      </c>
      <c r="M59" s="35"/>
    </row>
    <row r="60" spans="1:21" x14ac:dyDescent="0.35">
      <c r="L60" s="35"/>
      <c r="M60" s="35"/>
    </row>
  </sheetData>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0602-84BD-43E1-9376-855F3B13489B}">
  <sheetPr>
    <tabColor theme="9"/>
  </sheetPr>
  <dimension ref="A1:S290"/>
  <sheetViews>
    <sheetView zoomScale="85" zoomScaleNormal="85" workbookViewId="0">
      <pane ySplit="1" topLeftCell="A2" activePane="bottomLeft" state="frozen"/>
      <selection pane="bottomLeft" activeCell="A18" sqref="A18"/>
    </sheetView>
  </sheetViews>
  <sheetFormatPr baseColWidth="10" defaultRowHeight="14.5" x14ac:dyDescent="0.35"/>
  <cols>
    <col min="1" max="1" width="31.26953125" customWidth="1"/>
    <col min="2" max="2" width="21" customWidth="1"/>
    <col min="3" max="3" width="27.453125" customWidth="1"/>
    <col min="6" max="6" width="15.26953125" customWidth="1"/>
    <col min="7" max="7" width="15.54296875" customWidth="1"/>
    <col min="8" max="8" width="22.7265625" customWidth="1"/>
    <col min="9" max="11" width="13.90625" style="105" customWidth="1"/>
    <col min="12" max="12" width="18.26953125" style="93" customWidth="1"/>
    <col min="13" max="14" width="17.54296875" style="105" customWidth="1"/>
    <col min="15" max="15" width="17.1796875" style="93" customWidth="1"/>
    <col min="16" max="16" width="17.6328125" style="105" customWidth="1"/>
    <col min="17" max="17" width="14.36328125" style="93" bestFit="1" customWidth="1"/>
    <col min="18" max="18" width="15.7265625" bestFit="1" customWidth="1"/>
    <col min="19" max="19" width="20.90625" customWidth="1"/>
  </cols>
  <sheetData>
    <row r="1" spans="1:19" ht="27.5" customHeight="1" x14ac:dyDescent="0.35">
      <c r="B1" t="s">
        <v>407</v>
      </c>
      <c r="C1" t="s">
        <v>408</v>
      </c>
      <c r="D1" t="s">
        <v>191</v>
      </c>
      <c r="E1" t="s">
        <v>238</v>
      </c>
      <c r="F1" t="s">
        <v>190</v>
      </c>
      <c r="G1" s="39" t="s">
        <v>239</v>
      </c>
      <c r="H1" t="s">
        <v>207</v>
      </c>
      <c r="I1" s="105" t="s">
        <v>202</v>
      </c>
      <c r="J1" s="105" t="s">
        <v>41</v>
      </c>
      <c r="K1" s="105" t="s">
        <v>225</v>
      </c>
      <c r="L1" s="93" t="s">
        <v>241</v>
      </c>
      <c r="M1" s="105" t="s">
        <v>203</v>
      </c>
      <c r="N1" s="105" t="s">
        <v>249</v>
      </c>
      <c r="O1" s="93" t="s">
        <v>242</v>
      </c>
      <c r="P1" s="105" t="s">
        <v>204</v>
      </c>
      <c r="R1" s="93" t="s">
        <v>243</v>
      </c>
      <c r="S1" t="s">
        <v>255</v>
      </c>
    </row>
    <row r="2" spans="1:19" s="170" customFormat="1" ht="27.5" customHeight="1" x14ac:dyDescent="0.35">
      <c r="A2" s="169" t="s">
        <v>104</v>
      </c>
      <c r="B2" s="169"/>
      <c r="C2" s="169"/>
    </row>
    <row r="3" spans="1:19" s="80" customFormat="1" x14ac:dyDescent="0.35">
      <c r="A3" s="80" t="s">
        <v>189</v>
      </c>
      <c r="C3" s="147">
        <f>SUM(C4:C18)</f>
        <v>2092644916.4619164</v>
      </c>
      <c r="D3" s="146">
        <f>D4+D11+D18</f>
        <v>1.2999999999999998</v>
      </c>
      <c r="F3" s="147">
        <f>SUM(F4:F18)</f>
        <v>1443203.3906633905</v>
      </c>
      <c r="G3" s="147"/>
      <c r="H3" s="147">
        <f>SUM(H4:H18)</f>
        <v>14805279884.392214</v>
      </c>
      <c r="I3" s="34"/>
      <c r="J3" s="34"/>
      <c r="K3" s="34"/>
      <c r="L3" s="168">
        <f>L4+L11+L18</f>
        <v>14236256595.841845</v>
      </c>
      <c r="M3" s="34"/>
      <c r="N3" s="34"/>
      <c r="O3" s="168">
        <f>O4+O11+O18</f>
        <v>159004125.06142506</v>
      </c>
      <c r="P3" s="34"/>
      <c r="Q3" s="148"/>
      <c r="R3" s="168">
        <f>R4+R11+R18</f>
        <v>410019163.48894346</v>
      </c>
    </row>
    <row r="4" spans="1:19" s="119" customFormat="1" x14ac:dyDescent="0.35">
      <c r="A4" s="119" t="s">
        <v>186</v>
      </c>
      <c r="B4" s="119">
        <v>1450</v>
      </c>
      <c r="C4" s="119">
        <f>B4*F4</f>
        <v>1870481189.1891892</v>
      </c>
      <c r="D4" s="119">
        <v>1.1399999999999999</v>
      </c>
      <c r="E4" s="119">
        <f>'[2]Conversion factors selected IV '!$O$4</f>
        <v>1.1315675675675676</v>
      </c>
      <c r="F4" s="119">
        <f>D4*E4*1000000</f>
        <v>1289987.027027027</v>
      </c>
      <c r="G4" s="119">
        <f>'LCoP 2030 MEDIUM'!E24</f>
        <v>10350</v>
      </c>
      <c r="H4" s="119">
        <f>F4*G4</f>
        <v>13351365729.729729</v>
      </c>
      <c r="I4" s="119">
        <f>'LCoP 2030 MEDIUM'!H24</f>
        <v>0.96618357487922701</v>
      </c>
      <c r="L4" s="119">
        <f>I4*H4</f>
        <v>12899870270.270269</v>
      </c>
      <c r="M4" s="119">
        <f>'LCoP 2030 MEDIUM'!F24</f>
        <v>8.019323671497585E-3</v>
      </c>
      <c r="O4" s="119">
        <f>M4*H4</f>
        <v>107068923.24324325</v>
      </c>
      <c r="P4" s="119">
        <f>'LCoP 2030 MEDIUM'!G24</f>
        <v>2.5797101449275363E-2</v>
      </c>
      <c r="R4" s="119">
        <f>P4*H4</f>
        <v>344426536.21621621</v>
      </c>
      <c r="S4" s="119">
        <f>L4+O4+R4</f>
        <v>13351365729.729731</v>
      </c>
    </row>
    <row r="5" spans="1:19" s="18" customFormat="1" x14ac:dyDescent="0.35">
      <c r="D5" s="116"/>
      <c r="F5" s="104"/>
      <c r="G5" s="104"/>
      <c r="H5" s="208" t="s">
        <v>290</v>
      </c>
      <c r="I5" s="104" t="s">
        <v>304</v>
      </c>
      <c r="J5" s="157" t="s">
        <v>211</v>
      </c>
      <c r="K5" s="104">
        <v>850</v>
      </c>
      <c r="L5" s="104">
        <f>K5*F4</f>
        <v>1096488972.9729729</v>
      </c>
      <c r="M5" s="5" t="s">
        <v>245</v>
      </c>
      <c r="N5" s="123">
        <v>0.05</v>
      </c>
      <c r="O5" s="122">
        <f>N5*O$4</f>
        <v>5353446.1621621624</v>
      </c>
      <c r="P5" s="104" t="s">
        <v>251</v>
      </c>
      <c r="Q5" s="123">
        <v>0.35</v>
      </c>
      <c r="R5" s="104">
        <f>Q5*R$4</f>
        <v>120549287.67567566</v>
      </c>
    </row>
    <row r="6" spans="1:19" s="18" customFormat="1" x14ac:dyDescent="0.35">
      <c r="D6" s="116"/>
      <c r="F6" s="104"/>
      <c r="G6" s="104"/>
      <c r="H6" s="104"/>
      <c r="I6" s="104"/>
      <c r="J6" s="112"/>
      <c r="K6" s="104"/>
      <c r="L6" s="104"/>
      <c r="M6" t="s">
        <v>246</v>
      </c>
      <c r="N6" s="123">
        <v>0.02</v>
      </c>
      <c r="O6" s="122">
        <f t="shared" ref="O6:O10" si="0">N6*O$4</f>
        <v>2141378.4648648649</v>
      </c>
      <c r="P6" s="104" t="s">
        <v>210</v>
      </c>
      <c r="Q6" s="123">
        <v>0.25</v>
      </c>
      <c r="R6" s="104">
        <f>Q6*R$4</f>
        <v>86106634.054054052</v>
      </c>
    </row>
    <row r="7" spans="1:19" s="18" customFormat="1" x14ac:dyDescent="0.35">
      <c r="D7" s="116"/>
      <c r="F7" s="104"/>
      <c r="G7" s="104"/>
      <c r="H7" s="104"/>
      <c r="I7" s="104"/>
      <c r="J7" s="112"/>
      <c r="K7" s="104"/>
      <c r="L7" s="104"/>
      <c r="M7" s="5" t="s">
        <v>244</v>
      </c>
      <c r="N7" s="123">
        <v>0.45</v>
      </c>
      <c r="O7" s="122">
        <f t="shared" si="0"/>
        <v>48181015.459459461</v>
      </c>
      <c r="P7" s="104" t="s">
        <v>252</v>
      </c>
      <c r="Q7" s="123">
        <v>0.2</v>
      </c>
      <c r="R7" s="104">
        <f t="shared" ref="R7:R9" si="1">Q7*R$4</f>
        <v>68885307.243243247</v>
      </c>
    </row>
    <row r="8" spans="1:19" s="18" customFormat="1" x14ac:dyDescent="0.35">
      <c r="D8" s="116"/>
      <c r="F8" s="104"/>
      <c r="G8" s="104"/>
      <c r="H8" s="104"/>
      <c r="I8" s="104"/>
      <c r="J8" s="112"/>
      <c r="K8" s="104"/>
      <c r="L8" s="104"/>
      <c r="M8" t="s">
        <v>247</v>
      </c>
      <c r="N8" s="123">
        <v>0.15</v>
      </c>
      <c r="O8" s="122">
        <f t="shared" si="0"/>
        <v>16060338.486486487</v>
      </c>
      <c r="P8" s="104" t="s">
        <v>253</v>
      </c>
      <c r="Q8" s="123">
        <v>0.15</v>
      </c>
      <c r="R8" s="104">
        <f t="shared" si="1"/>
        <v>51663980.432432428</v>
      </c>
    </row>
    <row r="9" spans="1:19" s="18" customFormat="1" x14ac:dyDescent="0.35">
      <c r="D9" s="116"/>
      <c r="F9" s="104"/>
      <c r="G9" s="104"/>
      <c r="H9" s="104"/>
      <c r="I9" s="104"/>
      <c r="J9" s="112"/>
      <c r="K9" s="104"/>
      <c r="L9" s="104"/>
      <c r="M9" t="s">
        <v>248</v>
      </c>
      <c r="N9" s="123">
        <v>0.3</v>
      </c>
      <c r="O9" s="122">
        <f t="shared" si="0"/>
        <v>32120676.972972974</v>
      </c>
      <c r="P9" s="104" t="s">
        <v>254</v>
      </c>
      <c r="Q9" s="123">
        <v>0.05</v>
      </c>
      <c r="R9" s="104">
        <f t="shared" si="1"/>
        <v>17221326.810810812</v>
      </c>
    </row>
    <row r="10" spans="1:19" s="18" customFormat="1" x14ac:dyDescent="0.35">
      <c r="D10" s="116"/>
      <c r="F10" s="104"/>
      <c r="G10" s="104"/>
      <c r="H10" s="104"/>
      <c r="I10" s="104"/>
      <c r="J10" s="112"/>
      <c r="K10" s="104"/>
      <c r="L10" s="104"/>
      <c r="M10" t="s">
        <v>250</v>
      </c>
      <c r="N10" s="123">
        <v>0.03</v>
      </c>
      <c r="O10" s="122">
        <f t="shared" si="0"/>
        <v>3212067.6972972974</v>
      </c>
      <c r="P10" s="104"/>
      <c r="Q10" s="104">
        <f>SUM(Q5:Q9)</f>
        <v>1</v>
      </c>
      <c r="R10" s="104">
        <f>SUM(R5:R9)</f>
        <v>344426536.21621621</v>
      </c>
    </row>
    <row r="11" spans="1:19" s="119" customFormat="1" x14ac:dyDescent="0.35">
      <c r="A11" s="119" t="s">
        <v>187</v>
      </c>
      <c r="B11" s="119">
        <v>1450</v>
      </c>
      <c r="C11" s="119">
        <f>B11*F11</f>
        <v>193163727.27272728</v>
      </c>
      <c r="D11" s="119">
        <v>0.14000000000000001</v>
      </c>
      <c r="E11" s="119">
        <f>'[2]Conversion factors selected IV '!$O$7</f>
        <v>0.95154545454545458</v>
      </c>
      <c r="F11" s="119">
        <f t="shared" ref="F11:F18" si="2">D11*E11*1000000</f>
        <v>133216.36363636365</v>
      </c>
      <c r="G11" s="119">
        <f>'LCoP 2030 MEDIUM'!E25</f>
        <v>10674</v>
      </c>
      <c r="H11" s="119">
        <f>F11*G11</f>
        <v>1421951465.4545455</v>
      </c>
      <c r="I11" s="119">
        <f>'LCoP 2030 MEDIUM'!H25</f>
        <v>0.93685591156080195</v>
      </c>
      <c r="L11" s="119">
        <f>I11*H11</f>
        <v>1332163636.3636365</v>
      </c>
      <c r="M11" s="119">
        <f>'LCoP 2030 MEDIUM'!F25</f>
        <v>2.5201424020985571E-2</v>
      </c>
      <c r="N11" s="119">
        <f>SUM(N12:N17)</f>
        <v>1</v>
      </c>
      <c r="O11" s="119">
        <f>M11*H11</f>
        <v>35835201.81818182</v>
      </c>
      <c r="P11" s="119">
        <f>'LCoP 2030 MEDIUM'!G25</f>
        <v>3.7942664418212479E-2</v>
      </c>
      <c r="R11" s="119">
        <f>P11*H11</f>
        <v>53952627.272727273</v>
      </c>
      <c r="S11" s="119">
        <f>L11+O11+R11</f>
        <v>1421951465.4545455</v>
      </c>
    </row>
    <row r="12" spans="1:19" s="18" customFormat="1" x14ac:dyDescent="0.35">
      <c r="D12" s="121"/>
      <c r="F12" s="104"/>
      <c r="G12" s="104"/>
      <c r="H12" s="208" t="s">
        <v>290</v>
      </c>
      <c r="I12" s="104" t="s">
        <v>304</v>
      </c>
      <c r="J12" s="157" t="s">
        <v>211</v>
      </c>
      <c r="K12" s="91">
        <v>850</v>
      </c>
      <c r="L12" s="104">
        <f>K12*F11</f>
        <v>113233909.09090909</v>
      </c>
      <c r="M12" s="5" t="s">
        <v>245</v>
      </c>
      <c r="N12" s="123">
        <v>0.05</v>
      </c>
      <c r="O12" s="122">
        <f>N12*O$11</f>
        <v>1791760.0909090911</v>
      </c>
      <c r="P12" s="104" t="s">
        <v>251</v>
      </c>
      <c r="Q12" s="123">
        <v>0.35</v>
      </c>
      <c r="R12" s="104">
        <f>Q12*R$11</f>
        <v>18883419.545454543</v>
      </c>
    </row>
    <row r="13" spans="1:19" s="18" customFormat="1" x14ac:dyDescent="0.35">
      <c r="D13" s="121"/>
      <c r="F13" s="104"/>
      <c r="G13" s="104"/>
      <c r="H13" s="122"/>
      <c r="I13" s="52"/>
      <c r="J13" s="52"/>
      <c r="K13" s="91"/>
      <c r="L13" s="205"/>
      <c r="M13" t="s">
        <v>246</v>
      </c>
      <c r="N13" s="123">
        <v>0.02</v>
      </c>
      <c r="O13" s="122">
        <f t="shared" ref="O13:O17" si="3">N13*O$11</f>
        <v>716704.03636363638</v>
      </c>
      <c r="P13" s="104" t="s">
        <v>210</v>
      </c>
      <c r="Q13" s="123">
        <v>0.25</v>
      </c>
      <c r="R13" s="104">
        <f t="shared" ref="R13:R16" si="4">Q13*R$11</f>
        <v>13488156.818181818</v>
      </c>
    </row>
    <row r="14" spans="1:19" s="18" customFormat="1" x14ac:dyDescent="0.35">
      <c r="D14" s="121"/>
      <c r="F14" s="104"/>
      <c r="G14" s="104"/>
      <c r="H14" s="122"/>
      <c r="I14"/>
      <c r="J14"/>
      <c r="K14" s="149"/>
      <c r="L14" s="124"/>
      <c r="M14" s="5" t="s">
        <v>244</v>
      </c>
      <c r="N14" s="123">
        <v>0.45</v>
      </c>
      <c r="O14" s="122">
        <f t="shared" si="3"/>
        <v>16125840.81818182</v>
      </c>
      <c r="P14" s="104" t="s">
        <v>252</v>
      </c>
      <c r="Q14" s="123">
        <v>0.2</v>
      </c>
      <c r="R14" s="104">
        <f t="shared" si="4"/>
        <v>10790525.454545455</v>
      </c>
    </row>
    <row r="15" spans="1:19" s="18" customFormat="1" x14ac:dyDescent="0.35">
      <c r="D15" s="121"/>
      <c r="F15" s="104"/>
      <c r="G15" s="104"/>
      <c r="H15" s="122"/>
      <c r="I15"/>
      <c r="J15"/>
      <c r="K15" s="149"/>
      <c r="L15" s="124"/>
      <c r="M15" t="s">
        <v>247</v>
      </c>
      <c r="N15" s="123">
        <v>0.15</v>
      </c>
      <c r="O15" s="122">
        <f t="shared" si="3"/>
        <v>5375280.2727272725</v>
      </c>
      <c r="P15" s="104" t="s">
        <v>253</v>
      </c>
      <c r="Q15" s="123">
        <v>0.15</v>
      </c>
      <c r="R15" s="104">
        <f t="shared" si="4"/>
        <v>8092894.0909090908</v>
      </c>
    </row>
    <row r="16" spans="1:19" s="18" customFormat="1" x14ac:dyDescent="0.35">
      <c r="D16" s="121"/>
      <c r="F16" s="104"/>
      <c r="G16" s="104"/>
      <c r="H16" s="122"/>
      <c r="I16"/>
      <c r="J16"/>
      <c r="K16" s="149"/>
      <c r="L16" s="124"/>
      <c r="M16" t="s">
        <v>248</v>
      </c>
      <c r="N16" s="123">
        <v>0.3</v>
      </c>
      <c r="O16" s="122">
        <f t="shared" si="3"/>
        <v>10750560.545454545</v>
      </c>
      <c r="P16" s="104" t="s">
        <v>254</v>
      </c>
      <c r="Q16" s="123">
        <v>0.05</v>
      </c>
      <c r="R16" s="104">
        <f t="shared" si="4"/>
        <v>2697631.3636363638</v>
      </c>
    </row>
    <row r="17" spans="1:19" s="18" customFormat="1" x14ac:dyDescent="0.35">
      <c r="D17" s="121"/>
      <c r="F17" s="104"/>
      <c r="G17" s="104"/>
      <c r="H17" s="122"/>
      <c r="I17"/>
      <c r="J17"/>
      <c r="K17" s="149"/>
      <c r="L17" s="124"/>
      <c r="M17" t="s">
        <v>250</v>
      </c>
      <c r="N17" s="123">
        <v>0.03</v>
      </c>
      <c r="O17" s="122">
        <f t="shared" si="3"/>
        <v>1075056.0545454547</v>
      </c>
      <c r="P17" s="123"/>
      <c r="Q17" s="123">
        <f>SUM(Q12:Q16)</f>
        <v>1</v>
      </c>
      <c r="R17" s="117">
        <f>SUM(R12:R16)</f>
        <v>53952627.272727273</v>
      </c>
    </row>
    <row r="18" spans="1:19" s="119" customFormat="1" x14ac:dyDescent="0.35">
      <c r="A18" s="119" t="s">
        <v>188</v>
      </c>
      <c r="B18" s="119">
        <v>1450</v>
      </c>
      <c r="C18" s="119">
        <f>B18*F18</f>
        <v>29000000</v>
      </c>
      <c r="D18" s="119">
        <v>0.02</v>
      </c>
      <c r="E18" s="119">
        <f>'[2]Conversion factors selected IV '!$O$98</f>
        <v>1</v>
      </c>
      <c r="F18" s="119">
        <f t="shared" si="2"/>
        <v>20000</v>
      </c>
      <c r="G18" s="119">
        <f>'LCoP 2030 MEDIUM'!E20</f>
        <v>1598.1344603969103</v>
      </c>
      <c r="H18" s="119">
        <f>F18*G18</f>
        <v>31962689.207938205</v>
      </c>
      <c r="I18" s="119">
        <f>'LCoP 2030 MEDIUM'!H20</f>
        <v>0.13211307660838084</v>
      </c>
      <c r="L18" s="119">
        <f>SUM(L19:L26)</f>
        <v>4222689.2079382073</v>
      </c>
      <c r="M18" s="119">
        <f>'LCoP 2030 MEDIUM'!F20</f>
        <v>0.50371230953875523</v>
      </c>
      <c r="O18" s="119">
        <f>M18*H18</f>
        <v>16100000</v>
      </c>
      <c r="P18" s="119">
        <f>'LCoP 2030 MEDIUM'!G20</f>
        <v>0.36417461385286404</v>
      </c>
      <c r="R18" s="119">
        <f>P18*H18</f>
        <v>11640000</v>
      </c>
      <c r="S18" s="119">
        <f>L18+O18+R18</f>
        <v>31962689.207938209</v>
      </c>
    </row>
    <row r="19" spans="1:19" s="18" customFormat="1" x14ac:dyDescent="0.35">
      <c r="A19" s="145" t="s">
        <v>224</v>
      </c>
      <c r="B19" s="145"/>
      <c r="C19" s="145"/>
      <c r="D19" s="145"/>
      <c r="E19" s="145"/>
      <c r="F19" s="104"/>
      <c r="G19" s="104" t="s">
        <v>208</v>
      </c>
      <c r="H19" s="209" t="s">
        <v>292</v>
      </c>
      <c r="I19" s="12" t="s">
        <v>5</v>
      </c>
      <c r="J19" s="154" t="s">
        <v>212</v>
      </c>
      <c r="K19" s="6">
        <f>'Feedstock MIX per IVC'!G89</f>
        <v>104.52293969276826</v>
      </c>
      <c r="L19" s="104">
        <f t="shared" ref="L19:L26" si="5">K19*F$18</f>
        <v>2090458.7938553651</v>
      </c>
      <c r="M19" s="5" t="s">
        <v>245</v>
      </c>
      <c r="N19" s="174">
        <v>0.15</v>
      </c>
      <c r="O19" s="122">
        <f>N19*O$18</f>
        <v>2415000</v>
      </c>
      <c r="P19" s="104" t="s">
        <v>251</v>
      </c>
      <c r="Q19" s="123">
        <v>0.15</v>
      </c>
      <c r="R19" s="104">
        <f>Q19*R$18</f>
        <v>1746000</v>
      </c>
    </row>
    <row r="20" spans="1:19" s="18" customFormat="1" x14ac:dyDescent="0.35">
      <c r="D20" s="116"/>
      <c r="F20" s="104"/>
      <c r="G20" s="104"/>
      <c r="H20" s="209" t="s">
        <v>292</v>
      </c>
      <c r="I20" s="12" t="s">
        <v>6</v>
      </c>
      <c r="J20" s="154" t="s">
        <v>212</v>
      </c>
      <c r="K20" s="6">
        <f>'Feedstock MIX per IVC'!G90</f>
        <v>6.0040707909944153</v>
      </c>
      <c r="L20" s="104">
        <f t="shared" si="5"/>
        <v>120081.41581988831</v>
      </c>
      <c r="M20" t="s">
        <v>246</v>
      </c>
      <c r="N20" s="35">
        <v>0.02</v>
      </c>
      <c r="O20" s="122">
        <f t="shared" ref="O20:O24" si="6">N20*O$18</f>
        <v>322000</v>
      </c>
      <c r="P20" s="104" t="s">
        <v>210</v>
      </c>
      <c r="Q20" s="123">
        <v>0.25</v>
      </c>
      <c r="R20" s="104">
        <f t="shared" ref="R20:R23" si="7">Q20*R$18</f>
        <v>2910000</v>
      </c>
    </row>
    <row r="21" spans="1:19" s="18" customFormat="1" x14ac:dyDescent="0.35">
      <c r="D21" s="116"/>
      <c r="F21" s="104"/>
      <c r="G21" s="104"/>
      <c r="H21" s="209" t="s">
        <v>292</v>
      </c>
      <c r="I21" s="12" t="s">
        <v>7</v>
      </c>
      <c r="J21" s="157" t="s">
        <v>211</v>
      </c>
      <c r="K21" s="6">
        <f>'Feedstock MIX per IVC'!G91</f>
        <v>2.9289602093879772</v>
      </c>
      <c r="L21" s="104">
        <f t="shared" si="5"/>
        <v>58579.20418775954</v>
      </c>
      <c r="M21" s="5" t="s">
        <v>244</v>
      </c>
      <c r="N21" s="174">
        <v>0.45</v>
      </c>
      <c r="O21" s="122">
        <f t="shared" si="6"/>
        <v>7245000</v>
      </c>
      <c r="P21" s="104" t="s">
        <v>252</v>
      </c>
      <c r="Q21" s="123">
        <v>0.2</v>
      </c>
      <c r="R21" s="104">
        <f t="shared" si="7"/>
        <v>2328000</v>
      </c>
    </row>
    <row r="22" spans="1:19" s="18" customFormat="1" x14ac:dyDescent="0.35">
      <c r="D22" s="116"/>
      <c r="F22" s="104"/>
      <c r="G22" s="104"/>
      <c r="H22" s="209" t="s">
        <v>292</v>
      </c>
      <c r="I22" s="12" t="s">
        <v>8</v>
      </c>
      <c r="J22" s="154" t="s">
        <v>212</v>
      </c>
      <c r="K22" s="6">
        <f>'Feedstock MIX per IVC'!G92</f>
        <v>4.8668637567806563</v>
      </c>
      <c r="L22" s="104">
        <f t="shared" si="5"/>
        <v>97337.275135613119</v>
      </c>
      <c r="M22" t="s">
        <v>247</v>
      </c>
      <c r="N22" s="35">
        <v>0.1</v>
      </c>
      <c r="O22" s="122">
        <f t="shared" si="6"/>
        <v>1610000</v>
      </c>
      <c r="P22" s="104" t="s">
        <v>253</v>
      </c>
      <c r="Q22" s="123">
        <v>0.3</v>
      </c>
      <c r="R22" s="104">
        <f t="shared" si="7"/>
        <v>3492000</v>
      </c>
    </row>
    <row r="23" spans="1:19" s="18" customFormat="1" x14ac:dyDescent="0.35">
      <c r="D23" s="116"/>
      <c r="F23" s="104"/>
      <c r="G23" s="104"/>
      <c r="H23" s="209" t="s">
        <v>292</v>
      </c>
      <c r="I23" s="12" t="s">
        <v>9</v>
      </c>
      <c r="J23" s="154" t="s">
        <v>212</v>
      </c>
      <c r="K23" s="6">
        <f>'Feedstock MIX per IVC'!G93</f>
        <v>2.2157283787428326</v>
      </c>
      <c r="L23" s="104">
        <f t="shared" si="5"/>
        <v>44314.56757485665</v>
      </c>
      <c r="M23" t="s">
        <v>248</v>
      </c>
      <c r="N23" s="35">
        <v>0.25</v>
      </c>
      <c r="O23" s="122">
        <f t="shared" si="6"/>
        <v>4025000</v>
      </c>
      <c r="P23" s="104" t="s">
        <v>254</v>
      </c>
      <c r="Q23" s="123">
        <v>0.1</v>
      </c>
      <c r="R23" s="104">
        <f t="shared" si="7"/>
        <v>1164000</v>
      </c>
    </row>
    <row r="24" spans="1:19" s="18" customFormat="1" x14ac:dyDescent="0.35">
      <c r="D24" s="116"/>
      <c r="F24" s="104"/>
      <c r="G24" s="104"/>
      <c r="H24" s="209" t="s">
        <v>292</v>
      </c>
      <c r="I24" s="12" t="s">
        <v>10</v>
      </c>
      <c r="J24" s="178" t="s">
        <v>256</v>
      </c>
      <c r="K24" s="6">
        <f>'Feedstock MIX per IVC'!G94</f>
        <v>48.321090044736764</v>
      </c>
      <c r="L24" s="104">
        <f t="shared" si="5"/>
        <v>966421.80089473526</v>
      </c>
      <c r="M24" t="s">
        <v>250</v>
      </c>
      <c r="N24" s="35">
        <v>0.03</v>
      </c>
      <c r="O24" s="122">
        <f t="shared" si="6"/>
        <v>483000</v>
      </c>
      <c r="P24" s="104"/>
      <c r="Q24" s="123">
        <f>SUM(Q19:Q23)</f>
        <v>1.0000000000000002</v>
      </c>
      <c r="R24" s="117">
        <f>SUM(R19:R23)</f>
        <v>11640000</v>
      </c>
    </row>
    <row r="25" spans="1:19" s="18" customFormat="1" x14ac:dyDescent="0.35">
      <c r="D25" s="116"/>
      <c r="F25" s="104"/>
      <c r="G25" s="104"/>
      <c r="H25" s="209" t="s">
        <v>292</v>
      </c>
      <c r="I25" s="12" t="s">
        <v>11</v>
      </c>
      <c r="J25" s="156" t="s">
        <v>209</v>
      </c>
      <c r="K25" s="6">
        <f>'Feedstock MIX per IVC'!G95</f>
        <v>42.274807523499447</v>
      </c>
      <c r="L25" s="104">
        <f t="shared" si="5"/>
        <v>845496.15046998893</v>
      </c>
      <c r="M25" s="104"/>
      <c r="N25" s="104"/>
      <c r="O25" s="104"/>
      <c r="P25" s="104"/>
      <c r="Q25" s="104"/>
      <c r="R25" s="104"/>
    </row>
    <row r="26" spans="1:19" s="18" customFormat="1" x14ac:dyDescent="0.35">
      <c r="D26" s="116"/>
      <c r="F26" s="104"/>
      <c r="G26" s="104"/>
      <c r="H26" s="209" t="s">
        <v>292</v>
      </c>
      <c r="I26" s="12" t="s">
        <v>12</v>
      </c>
      <c r="J26" s="159" t="s">
        <v>213</v>
      </c>
      <c r="K26" s="6">
        <f>'Feedstock MIX per IVC'!G96</f>
        <v>0</v>
      </c>
      <c r="L26" s="104">
        <f t="shared" si="5"/>
        <v>0</v>
      </c>
      <c r="M26" s="104">
        <f>K26*F$18</f>
        <v>0</v>
      </c>
      <c r="N26" s="104"/>
      <c r="O26" s="104"/>
      <c r="P26" s="104"/>
      <c r="Q26" s="104"/>
      <c r="R26" s="104"/>
    </row>
    <row r="27" spans="1:19" s="18" customFormat="1" x14ac:dyDescent="0.35">
      <c r="D27" s="116"/>
      <c r="E27" s="104"/>
      <c r="F27" s="104"/>
      <c r="G27" s="104"/>
      <c r="H27" s="117"/>
      <c r="I27" s="107"/>
      <c r="J27" s="107"/>
      <c r="K27" s="6"/>
      <c r="L27" s="104"/>
      <c r="M27" s="104"/>
      <c r="N27" s="104"/>
      <c r="O27" s="104"/>
      <c r="P27" s="104"/>
      <c r="Q27" s="104"/>
      <c r="R27" s="104"/>
    </row>
    <row r="28" spans="1:19" s="115" customFormat="1" x14ac:dyDescent="0.35">
      <c r="D28" s="150"/>
      <c r="E28" s="147"/>
      <c r="F28" s="147"/>
      <c r="G28" s="147"/>
      <c r="H28" s="151"/>
      <c r="I28" s="152"/>
      <c r="J28" s="152" t="s">
        <v>321</v>
      </c>
      <c r="K28" s="153"/>
      <c r="L28" s="147">
        <f>SUM(L29:L34)</f>
        <v>4222689.2079382073</v>
      </c>
      <c r="M28" s="152" t="s">
        <v>214</v>
      </c>
      <c r="N28" s="147"/>
      <c r="O28" s="147">
        <f>SUM(O29:O34)</f>
        <v>159004125.06142503</v>
      </c>
      <c r="P28" s="147"/>
      <c r="Q28" s="147"/>
      <c r="R28" s="147">
        <f>SUM(R29:R33)</f>
        <v>410019163.48894346</v>
      </c>
      <c r="S28" s="147">
        <f>S4+S11+S18</f>
        <v>14805279884.392216</v>
      </c>
    </row>
    <row r="29" spans="1:19" s="18" customFormat="1" x14ac:dyDescent="0.35">
      <c r="D29" s="116"/>
      <c r="F29" s="104"/>
      <c r="G29" s="104"/>
      <c r="H29" s="117"/>
      <c r="I29" s="107"/>
      <c r="J29" s="154" t="s">
        <v>212</v>
      </c>
      <c r="K29" s="65"/>
      <c r="L29" s="104">
        <f>L19+L20+L22+L23</f>
        <v>2352192.0523857232</v>
      </c>
      <c r="M29" s="5" t="s">
        <v>245</v>
      </c>
      <c r="N29" s="104"/>
      <c r="O29" s="104">
        <f>O5+O12+O19</f>
        <v>9560206.2530712523</v>
      </c>
      <c r="P29" s="104" t="s">
        <v>251</v>
      </c>
      <c r="Q29" s="104"/>
      <c r="R29" s="104">
        <f>R5+R12+R19</f>
        <v>141178707.22113019</v>
      </c>
    </row>
    <row r="30" spans="1:19" s="18" customFormat="1" x14ac:dyDescent="0.35">
      <c r="D30" s="116"/>
      <c r="F30" s="104"/>
      <c r="G30" s="104"/>
      <c r="H30" s="117"/>
      <c r="I30" s="107"/>
      <c r="J30" s="155" t="s">
        <v>209</v>
      </c>
      <c r="K30" s="65"/>
      <c r="L30" s="104">
        <f>L25</f>
        <v>845496.15046998893</v>
      </c>
      <c r="M30" t="s">
        <v>246</v>
      </c>
      <c r="N30" s="104"/>
      <c r="O30" s="104">
        <f>O6+O13+O20</f>
        <v>3180082.5012285011</v>
      </c>
      <c r="P30" s="104" t="s">
        <v>210</v>
      </c>
      <c r="Q30" s="104"/>
      <c r="R30" s="104">
        <f t="shared" ref="R30:R33" si="8">R6+R13+R20</f>
        <v>102504790.87223586</v>
      </c>
    </row>
    <row r="31" spans="1:19" s="18" customFormat="1" x14ac:dyDescent="0.35">
      <c r="D31" s="116"/>
      <c r="F31" s="104"/>
      <c r="G31" s="25" t="s">
        <v>257</v>
      </c>
      <c r="H31" s="117"/>
      <c r="J31" s="158" t="s">
        <v>210</v>
      </c>
      <c r="K31" s="65"/>
      <c r="L31" s="104">
        <f>L13</f>
        <v>0</v>
      </c>
      <c r="M31" s="5" t="s">
        <v>244</v>
      </c>
      <c r="N31" s="104"/>
      <c r="O31" s="104">
        <f>O7+O14+O21</f>
        <v>71551856.277641281</v>
      </c>
      <c r="P31" s="104" t="s">
        <v>252</v>
      </c>
      <c r="Q31" s="104"/>
      <c r="R31" s="104">
        <f t="shared" si="8"/>
        <v>82003832.6977887</v>
      </c>
    </row>
    <row r="32" spans="1:19" s="18" customFormat="1" x14ac:dyDescent="0.35">
      <c r="D32" s="116"/>
      <c r="F32" s="104"/>
      <c r="G32" s="104"/>
      <c r="H32" s="117"/>
      <c r="I32" s="107"/>
      <c r="J32" s="157" t="s">
        <v>211</v>
      </c>
      <c r="K32" s="65"/>
      <c r="L32" s="104">
        <f>L21</f>
        <v>58579.20418775954</v>
      </c>
      <c r="M32" t="s">
        <v>247</v>
      </c>
      <c r="N32" s="104"/>
      <c r="O32" s="104">
        <f t="shared" ref="O32:O33" si="9">O8+O15+O22</f>
        <v>23045618.75921376</v>
      </c>
      <c r="P32" s="104" t="s">
        <v>253</v>
      </c>
      <c r="Q32" s="104"/>
      <c r="R32" s="104">
        <f t="shared" si="8"/>
        <v>63248874.523341522</v>
      </c>
    </row>
    <row r="33" spans="1:19" s="18" customFormat="1" x14ac:dyDescent="0.35">
      <c r="D33" s="116"/>
      <c r="F33" s="104"/>
      <c r="G33" s="104"/>
      <c r="H33" s="117"/>
      <c r="I33" s="107"/>
      <c r="J33" s="159" t="s">
        <v>213</v>
      </c>
      <c r="K33" s="65"/>
      <c r="L33" s="104">
        <f>L26</f>
        <v>0</v>
      </c>
      <c r="M33" t="s">
        <v>248</v>
      </c>
      <c r="N33" s="104"/>
      <c r="O33" s="104">
        <f t="shared" si="9"/>
        <v>46896237.518427521</v>
      </c>
      <c r="P33" s="104" t="s">
        <v>254</v>
      </c>
      <c r="Q33" s="104"/>
      <c r="R33" s="104">
        <f t="shared" si="8"/>
        <v>21082958.174447175</v>
      </c>
    </row>
    <row r="34" spans="1:19" s="18" customFormat="1" x14ac:dyDescent="0.35">
      <c r="D34" s="116"/>
      <c r="F34" s="104"/>
      <c r="G34" s="104"/>
      <c r="H34" s="117"/>
      <c r="I34" s="107"/>
      <c r="J34" s="178" t="s">
        <v>256</v>
      </c>
      <c r="K34" s="65"/>
      <c r="L34" s="104">
        <f>L24</f>
        <v>966421.80089473526</v>
      </c>
      <c r="M34" t="s">
        <v>250</v>
      </c>
      <c r="N34" s="104"/>
      <c r="O34" s="104">
        <f>O10+O17+O24</f>
        <v>4770123.7518427521</v>
      </c>
      <c r="P34" s="104"/>
      <c r="Q34" s="104"/>
      <c r="R34" s="104"/>
    </row>
    <row r="35" spans="1:19" s="18" customFormat="1" x14ac:dyDescent="0.35">
      <c r="D35" s="116"/>
      <c r="F35" s="104"/>
      <c r="G35" s="104"/>
      <c r="H35" s="117"/>
      <c r="I35" s="107"/>
      <c r="J35" s="152" t="s">
        <v>322</v>
      </c>
      <c r="K35" s="65"/>
      <c r="L35" s="147">
        <f>L36</f>
        <v>1209722882.0638819</v>
      </c>
      <c r="M35"/>
      <c r="N35" s="104"/>
      <c r="O35" s="104"/>
      <c r="P35" s="104"/>
      <c r="Q35" s="104"/>
      <c r="R35" s="104"/>
    </row>
    <row r="36" spans="1:19" s="18" customFormat="1" x14ac:dyDescent="0.35">
      <c r="D36" s="116"/>
      <c r="F36" s="104"/>
      <c r="G36" s="104"/>
      <c r="H36" s="117"/>
      <c r="I36" s="107"/>
      <c r="J36" s="157" t="s">
        <v>211</v>
      </c>
      <c r="K36" s="65"/>
      <c r="L36" s="104">
        <f>L12+L5</f>
        <v>1209722882.0638819</v>
      </c>
      <c r="M36"/>
      <c r="N36" s="104"/>
      <c r="O36" s="104"/>
      <c r="P36" s="104"/>
      <c r="Q36" s="104"/>
      <c r="R36" s="104"/>
    </row>
    <row r="37" spans="1:19" s="18" customFormat="1" x14ac:dyDescent="0.35">
      <c r="D37" s="116"/>
      <c r="F37" s="104"/>
      <c r="G37" s="104"/>
      <c r="H37" s="117"/>
      <c r="I37" s="107"/>
      <c r="J37" s="213" t="s">
        <v>323</v>
      </c>
      <c r="K37" s="153"/>
      <c r="L37" s="147">
        <f>L35+L28</f>
        <v>1213945571.2718201</v>
      </c>
      <c r="M37" s="2">
        <f>L28+L37+O28+R28</f>
        <v>1787191549.0301266</v>
      </c>
      <c r="N37" s="104">
        <f>M37/1000000</f>
        <v>1787.1915490301267</v>
      </c>
      <c r="O37" s="104"/>
      <c r="P37" s="104"/>
      <c r="Q37" s="104"/>
      <c r="R37" s="104"/>
    </row>
    <row r="38" spans="1:19" s="170" customFormat="1" ht="32" customHeight="1" x14ac:dyDescent="0.35">
      <c r="A38" s="171" t="s">
        <v>105</v>
      </c>
      <c r="B38" s="171"/>
      <c r="C38" s="171"/>
    </row>
    <row r="39" spans="1:19" s="80" customFormat="1" x14ac:dyDescent="0.35">
      <c r="A39" s="115" t="s">
        <v>189</v>
      </c>
      <c r="B39" s="115"/>
      <c r="C39" s="92">
        <f>SUM(C40:C47)</f>
        <v>230586666.66666669</v>
      </c>
      <c r="D39" s="92">
        <f>SUM(D40:D47)</f>
        <v>0.15</v>
      </c>
      <c r="E39" s="92"/>
      <c r="F39" s="92">
        <f>SUM(F40:F47)</f>
        <v>221586.66666666669</v>
      </c>
      <c r="H39" s="92">
        <f>SUM(H40:H47)</f>
        <v>311245945.32133073</v>
      </c>
      <c r="L39" s="92">
        <f>L40+L47</f>
        <v>67606625.321330741</v>
      </c>
      <c r="O39" s="92">
        <f>O40+O47</f>
        <v>127980600</v>
      </c>
      <c r="R39" s="92">
        <f>R40+R47</f>
        <v>115658720</v>
      </c>
    </row>
    <row r="40" spans="1:19" s="160" customFormat="1" x14ac:dyDescent="0.35">
      <c r="A40" s="160" t="s">
        <v>206</v>
      </c>
      <c r="B40" s="160">
        <v>1000</v>
      </c>
      <c r="C40" s="160">
        <f>B40*F40</f>
        <v>201586666.66666669</v>
      </c>
      <c r="D40" s="160">
        <v>0.13</v>
      </c>
      <c r="E40" s="160">
        <f>'[2]Conversion factors selected IV '!$O$18</f>
        <v>1.5506666666666669</v>
      </c>
      <c r="F40" s="160">
        <f>D40*E40*1000000</f>
        <v>201586.66666666669</v>
      </c>
      <c r="G40" s="160">
        <f>'LCoP 2030 MEDIUM'!E5</f>
        <v>1385.4252403270348</v>
      </c>
      <c r="H40" s="160">
        <f>F40*G40</f>
        <v>279283256.11339253</v>
      </c>
      <c r="I40" s="160">
        <f>'LCoP 2030 MEDIUM'!H5</f>
        <v>0.22695215243286143</v>
      </c>
      <c r="L40" s="160">
        <f>I40*H40</f>
        <v>63383936.113392539</v>
      </c>
      <c r="M40" s="160">
        <f>'LCoP 2030 MEDIUM'!F5</f>
        <v>0.40059902464963765</v>
      </c>
      <c r="O40" s="160">
        <f>M40*H40</f>
        <v>111880600</v>
      </c>
      <c r="P40" s="160">
        <f>'LCoP 2030 MEDIUM'!G5</f>
        <v>0.37244882291750098</v>
      </c>
      <c r="R40" s="160">
        <f>P40*H40</f>
        <v>104018720</v>
      </c>
      <c r="S40" s="160">
        <f>L40+O40+R40</f>
        <v>279283256.11339253</v>
      </c>
    </row>
    <row r="41" spans="1:19" x14ac:dyDescent="0.35">
      <c r="A41" s="106"/>
      <c r="B41" s="106"/>
      <c r="C41" s="106"/>
      <c r="D41" s="110"/>
      <c r="E41" s="113"/>
      <c r="F41" s="118"/>
      <c r="G41" s="6"/>
      <c r="H41" s="209" t="s">
        <v>292</v>
      </c>
      <c r="I41" s="7" t="s">
        <v>5</v>
      </c>
      <c r="J41" s="154" t="s">
        <v>212</v>
      </c>
      <c r="K41" s="117">
        <f>'Feedstock MIX per IVC'!G13</f>
        <v>228.35941399522207</v>
      </c>
      <c r="L41" s="104">
        <f>K41*F$40</f>
        <v>46034213.069250174</v>
      </c>
      <c r="M41" s="5" t="s">
        <v>245</v>
      </c>
      <c r="N41" s="3">
        <v>0</v>
      </c>
      <c r="O41" s="6">
        <f>N41*O$40</f>
        <v>0</v>
      </c>
      <c r="P41" s="104" t="s">
        <v>251</v>
      </c>
      <c r="Q41" s="35">
        <v>0.2</v>
      </c>
      <c r="R41" s="6">
        <f>Q41*R$40</f>
        <v>20803744</v>
      </c>
      <c r="S41" s="104"/>
    </row>
    <row r="42" spans="1:19" x14ac:dyDescent="0.35">
      <c r="A42" s="106"/>
      <c r="B42" s="106"/>
      <c r="C42" s="106"/>
      <c r="D42" s="110"/>
      <c r="E42" s="113"/>
      <c r="F42" s="118"/>
      <c r="G42" s="6"/>
      <c r="H42" s="209" t="s">
        <v>292</v>
      </c>
      <c r="I42" s="7" t="s">
        <v>8</v>
      </c>
      <c r="J42" s="154" t="s">
        <v>212</v>
      </c>
      <c r="K42" s="117">
        <f>'Feedstock MIX per IVC'!G14</f>
        <v>10.633016625439506</v>
      </c>
      <c r="L42" s="104">
        <f>K42*F$40</f>
        <v>2143474.3781335987</v>
      </c>
      <c r="M42" t="s">
        <v>246</v>
      </c>
      <c r="N42" s="3">
        <v>0.02</v>
      </c>
      <c r="O42" s="6">
        <f t="shared" ref="O42:O46" si="10">N42*O$40</f>
        <v>2237612</v>
      </c>
      <c r="P42" s="104" t="s">
        <v>210</v>
      </c>
      <c r="Q42" s="35">
        <v>0.5</v>
      </c>
      <c r="R42" s="6">
        <f t="shared" ref="R42:R45" si="11">Q42*R$40</f>
        <v>52009360</v>
      </c>
      <c r="S42" s="104"/>
    </row>
    <row r="43" spans="1:19" x14ac:dyDescent="0.35">
      <c r="A43" s="106"/>
      <c r="B43" s="106"/>
      <c r="C43" s="106"/>
      <c r="D43" s="110"/>
      <c r="E43" s="113"/>
      <c r="F43" s="118"/>
      <c r="G43" s="6"/>
      <c r="H43" s="209" t="s">
        <v>292</v>
      </c>
      <c r="I43" s="7" t="s">
        <v>9</v>
      </c>
      <c r="J43" s="154" t="s">
        <v>212</v>
      </c>
      <c r="K43" s="117">
        <f>'Feedstock MIX per IVC'!G15</f>
        <v>4.8408745068744423</v>
      </c>
      <c r="L43" s="104">
        <f>K43*F$40</f>
        <v>975855.75559246272</v>
      </c>
      <c r="M43" s="5" t="s">
        <v>244</v>
      </c>
      <c r="N43" s="3">
        <v>0.5</v>
      </c>
      <c r="O43" s="6">
        <f t="shared" si="10"/>
        <v>55940300</v>
      </c>
      <c r="P43" s="104" t="s">
        <v>252</v>
      </c>
      <c r="Q43" s="35">
        <v>0.15</v>
      </c>
      <c r="R43" s="6">
        <f t="shared" si="11"/>
        <v>15602808</v>
      </c>
      <c r="S43" s="104"/>
    </row>
    <row r="44" spans="1:19" x14ac:dyDescent="0.35">
      <c r="A44" s="106"/>
      <c r="B44" s="106"/>
      <c r="C44" s="106"/>
      <c r="D44" s="110"/>
      <c r="E44" s="113"/>
      <c r="F44" s="118"/>
      <c r="G44" s="6"/>
      <c r="H44" s="209" t="s">
        <v>292</v>
      </c>
      <c r="I44" s="7" t="s">
        <v>11</v>
      </c>
      <c r="J44" s="155" t="s">
        <v>209</v>
      </c>
      <c r="K44" s="117">
        <f>'Feedstock MIX per IVC'!G16</f>
        <v>70.59193519949892</v>
      </c>
      <c r="L44" s="104">
        <f>K44*F$40</f>
        <v>14230392.910416324</v>
      </c>
      <c r="M44" t="s">
        <v>247</v>
      </c>
      <c r="N44" s="175">
        <v>0.15</v>
      </c>
      <c r="O44" s="6">
        <f t="shared" si="10"/>
        <v>16782090</v>
      </c>
      <c r="P44" s="104" t="s">
        <v>253</v>
      </c>
      <c r="Q44" s="35">
        <v>0.1</v>
      </c>
      <c r="R44" s="6">
        <f t="shared" si="11"/>
        <v>10401872</v>
      </c>
      <c r="S44" s="104"/>
    </row>
    <row r="45" spans="1:19" x14ac:dyDescent="0.35">
      <c r="A45" s="106"/>
      <c r="B45" s="106"/>
      <c r="C45" s="106"/>
      <c r="D45" s="110"/>
      <c r="E45" s="113"/>
      <c r="F45" s="118"/>
      <c r="G45" s="6"/>
      <c r="H45" s="6"/>
      <c r="I45"/>
      <c r="J45"/>
      <c r="K45" s="117"/>
      <c r="L45" s="104"/>
      <c r="M45" t="s">
        <v>248</v>
      </c>
      <c r="N45" s="175">
        <v>0.3</v>
      </c>
      <c r="O45" s="6">
        <f t="shared" si="10"/>
        <v>33564180</v>
      </c>
      <c r="P45" s="104" t="s">
        <v>254</v>
      </c>
      <c r="Q45" s="35">
        <v>0.05</v>
      </c>
      <c r="R45" s="6">
        <f t="shared" si="11"/>
        <v>5200936</v>
      </c>
      <c r="S45" s="104"/>
    </row>
    <row r="46" spans="1:19" x14ac:dyDescent="0.35">
      <c r="A46" s="106"/>
      <c r="B46" s="106"/>
      <c r="C46" s="106"/>
      <c r="D46" s="110"/>
      <c r="E46" s="113"/>
      <c r="F46" s="118"/>
      <c r="G46" s="6"/>
      <c r="H46" s="6"/>
      <c r="I46"/>
      <c r="J46"/>
      <c r="K46" s="117"/>
      <c r="L46" s="104"/>
      <c r="M46" t="s">
        <v>250</v>
      </c>
      <c r="N46" s="175">
        <v>0.03</v>
      </c>
      <c r="O46" s="6">
        <f t="shared" si="10"/>
        <v>3356418</v>
      </c>
      <c r="P46" s="6"/>
      <c r="Q46" s="35">
        <f>SUM(Q41:Q45)</f>
        <v>1</v>
      </c>
      <c r="R46" s="31">
        <f>SUM(R41:R45)</f>
        <v>104018720</v>
      </c>
      <c r="S46" s="104"/>
    </row>
    <row r="47" spans="1:19" s="160" customFormat="1" x14ac:dyDescent="0.35">
      <c r="A47" s="160" t="s">
        <v>188</v>
      </c>
      <c r="B47" s="160">
        <v>1450</v>
      </c>
      <c r="C47" s="160">
        <f>B47*F47</f>
        <v>29000000</v>
      </c>
      <c r="D47" s="160">
        <f>0.04/2</f>
        <v>0.02</v>
      </c>
      <c r="E47" s="160">
        <f>'[2]Conversion factors selected IV '!$O$89</f>
        <v>1</v>
      </c>
      <c r="F47" s="160">
        <f>D47*E47*1000000</f>
        <v>20000</v>
      </c>
      <c r="G47" s="160">
        <f>'LCoP 2030 MEDIUM'!E20</f>
        <v>1598.1344603969103</v>
      </c>
      <c r="H47" s="160">
        <f>F47*G47</f>
        <v>31962689.207938205</v>
      </c>
      <c r="I47" s="160">
        <f>'LCoP 2030 MEDIUM'!H20</f>
        <v>0.13211307660838084</v>
      </c>
      <c r="K47" s="160">
        <f>SUM(K48:K55)</f>
        <v>211.13446039691038</v>
      </c>
      <c r="L47" s="160">
        <f>I47*H47</f>
        <v>4222689.2079382073</v>
      </c>
      <c r="M47" s="160">
        <f>'LCoP 2030 MEDIUM'!F20</f>
        <v>0.50371230953875523</v>
      </c>
      <c r="O47" s="160">
        <f>M47*H47</f>
        <v>16100000</v>
      </c>
      <c r="P47" s="160">
        <f>'LCoP 2030 MEDIUM'!G20</f>
        <v>0.36417461385286404</v>
      </c>
      <c r="R47" s="160">
        <f>P47*H47</f>
        <v>11640000</v>
      </c>
      <c r="S47" s="160">
        <f>L47+O47+R47</f>
        <v>31962689.207938209</v>
      </c>
    </row>
    <row r="48" spans="1:19" x14ac:dyDescent="0.35">
      <c r="H48" s="209" t="s">
        <v>292</v>
      </c>
      <c r="I48" s="5" t="s">
        <v>5</v>
      </c>
      <c r="J48" s="154" t="s">
        <v>212</v>
      </c>
      <c r="K48" s="6">
        <f>'Feedstock MIX per IVC'!G89</f>
        <v>104.52293969276826</v>
      </c>
      <c r="L48" s="2">
        <f>K48*$F$47</f>
        <v>2090458.7938553651</v>
      </c>
      <c r="M48" s="5" t="s">
        <v>245</v>
      </c>
      <c r="N48" s="174">
        <v>0.15</v>
      </c>
      <c r="O48" s="2">
        <f t="shared" ref="O48:O53" si="12">N48*O$47</f>
        <v>2415000</v>
      </c>
      <c r="P48" s="104" t="s">
        <v>251</v>
      </c>
      <c r="Q48" s="123">
        <v>0.15</v>
      </c>
      <c r="R48" s="2">
        <f>Q48*R$47</f>
        <v>1746000</v>
      </c>
    </row>
    <row r="49" spans="1:18" x14ac:dyDescent="0.35">
      <c r="H49" s="209" t="s">
        <v>292</v>
      </c>
      <c r="I49" s="5" t="s">
        <v>6</v>
      </c>
      <c r="J49" s="154" t="s">
        <v>212</v>
      </c>
      <c r="K49" s="6">
        <f>'Feedstock MIX per IVC'!G90</f>
        <v>6.0040707909944153</v>
      </c>
      <c r="L49" s="2">
        <f t="shared" ref="L49:L55" si="13">K49*$F$47</f>
        <v>120081.41581988831</v>
      </c>
      <c r="M49" t="s">
        <v>246</v>
      </c>
      <c r="N49" s="35">
        <v>0.02</v>
      </c>
      <c r="O49" s="2">
        <f t="shared" si="12"/>
        <v>322000</v>
      </c>
      <c r="P49" s="104" t="s">
        <v>210</v>
      </c>
      <c r="Q49" s="123">
        <v>0.25</v>
      </c>
      <c r="R49" s="2">
        <f>Q49*R$47</f>
        <v>2910000</v>
      </c>
    </row>
    <row r="50" spans="1:18" x14ac:dyDescent="0.35">
      <c r="H50" s="209" t="s">
        <v>292</v>
      </c>
      <c r="I50" s="5" t="s">
        <v>7</v>
      </c>
      <c r="J50" s="161" t="s">
        <v>211</v>
      </c>
      <c r="K50" s="6">
        <f>'Feedstock MIX per IVC'!G91</f>
        <v>2.9289602093879772</v>
      </c>
      <c r="L50" s="2">
        <f t="shared" si="13"/>
        <v>58579.20418775954</v>
      </c>
      <c r="M50" s="5" t="s">
        <v>244</v>
      </c>
      <c r="N50" s="174">
        <v>0.45</v>
      </c>
      <c r="O50" s="2">
        <f t="shared" si="12"/>
        <v>7245000</v>
      </c>
      <c r="P50" s="104" t="s">
        <v>252</v>
      </c>
      <c r="Q50" s="123">
        <v>0.2</v>
      </c>
      <c r="R50" s="2">
        <f>Q50*R$47</f>
        <v>2328000</v>
      </c>
    </row>
    <row r="51" spans="1:18" x14ac:dyDescent="0.35">
      <c r="H51" s="209" t="s">
        <v>292</v>
      </c>
      <c r="I51" s="5" t="s">
        <v>8</v>
      </c>
      <c r="J51" s="154" t="s">
        <v>212</v>
      </c>
      <c r="K51" s="6">
        <f>'Feedstock MIX per IVC'!G92</f>
        <v>4.8668637567806563</v>
      </c>
      <c r="L51" s="2">
        <f t="shared" si="13"/>
        <v>97337.275135613119</v>
      </c>
      <c r="M51" t="s">
        <v>247</v>
      </c>
      <c r="N51" s="35">
        <v>0.1</v>
      </c>
      <c r="O51" s="2">
        <f t="shared" si="12"/>
        <v>1610000</v>
      </c>
      <c r="P51" s="104" t="s">
        <v>253</v>
      </c>
      <c r="Q51" s="123">
        <v>0.3</v>
      </c>
      <c r="R51" s="2">
        <f>Q51*R$47</f>
        <v>3492000</v>
      </c>
    </row>
    <row r="52" spans="1:18" x14ac:dyDescent="0.35">
      <c r="H52" s="209" t="s">
        <v>292</v>
      </c>
      <c r="I52" s="5" t="s">
        <v>9</v>
      </c>
      <c r="J52" s="154" t="s">
        <v>212</v>
      </c>
      <c r="K52" s="6">
        <f>'Feedstock MIX per IVC'!G93</f>
        <v>2.2157283787428326</v>
      </c>
      <c r="L52" s="2">
        <f t="shared" si="13"/>
        <v>44314.56757485665</v>
      </c>
      <c r="M52" t="s">
        <v>248</v>
      </c>
      <c r="N52" s="35">
        <v>0.25</v>
      </c>
      <c r="O52" s="2">
        <f t="shared" si="12"/>
        <v>4025000</v>
      </c>
      <c r="P52" s="104" t="s">
        <v>254</v>
      </c>
      <c r="Q52" s="123">
        <v>0.1</v>
      </c>
      <c r="R52" s="2">
        <f>Q52*R$47</f>
        <v>1164000</v>
      </c>
    </row>
    <row r="53" spans="1:18" x14ac:dyDescent="0.35">
      <c r="H53" s="209" t="s">
        <v>292</v>
      </c>
      <c r="I53" s="5" t="s">
        <v>10</v>
      </c>
      <c r="J53" s="178" t="s">
        <v>256</v>
      </c>
      <c r="K53" s="6">
        <f>'Feedstock MIX per IVC'!G94</f>
        <v>48.321090044736764</v>
      </c>
      <c r="L53" s="2">
        <f>K53*$F$47</f>
        <v>966421.80089473526</v>
      </c>
      <c r="M53" t="s">
        <v>250</v>
      </c>
      <c r="N53" s="35">
        <v>0.03</v>
      </c>
      <c r="O53" s="2">
        <f t="shared" si="12"/>
        <v>483000</v>
      </c>
      <c r="P53"/>
      <c r="Q53" s="35">
        <f>SUM(Q48:Q52)</f>
        <v>1.0000000000000002</v>
      </c>
      <c r="R53" s="31">
        <f>SUM(R48:R52)</f>
        <v>11640000</v>
      </c>
    </row>
    <row r="54" spans="1:18" x14ac:dyDescent="0.35">
      <c r="H54" s="209" t="s">
        <v>292</v>
      </c>
      <c r="I54" s="5" t="s">
        <v>11</v>
      </c>
      <c r="J54" s="162" t="s">
        <v>209</v>
      </c>
      <c r="K54" s="6">
        <f>'Feedstock MIX per IVC'!G95</f>
        <v>42.274807523499447</v>
      </c>
      <c r="L54" s="2">
        <f t="shared" si="13"/>
        <v>845496.15046998893</v>
      </c>
      <c r="M54"/>
      <c r="N54"/>
      <c r="O54"/>
      <c r="P54"/>
      <c r="Q54"/>
    </row>
    <row r="55" spans="1:18" x14ac:dyDescent="0.35">
      <c r="H55" s="209" t="s">
        <v>292</v>
      </c>
      <c r="I55" s="5" t="s">
        <v>12</v>
      </c>
      <c r="J55" s="163" t="s">
        <v>213</v>
      </c>
      <c r="K55" s="6">
        <f>'Feedstock MIX per IVC'!G96</f>
        <v>0</v>
      </c>
      <c r="L55" s="2">
        <f t="shared" si="13"/>
        <v>0</v>
      </c>
      <c r="M55"/>
      <c r="N55"/>
      <c r="O55"/>
      <c r="P55"/>
      <c r="Q55"/>
    </row>
    <row r="56" spans="1:18" x14ac:dyDescent="0.35">
      <c r="I56"/>
      <c r="J56" s="152" t="s">
        <v>321</v>
      </c>
      <c r="K56"/>
      <c r="L56" s="92">
        <f>SUM(L57:L62)</f>
        <v>67606625.321330771</v>
      </c>
      <c r="M56" s="152" t="s">
        <v>214</v>
      </c>
      <c r="N56"/>
      <c r="O56" s="92">
        <f t="shared" ref="O56:O62" si="14">O40+O47</f>
        <v>127980600</v>
      </c>
      <c r="P56"/>
      <c r="Q56"/>
      <c r="R56" s="92">
        <f>SUM(R57:R61)</f>
        <v>115658720</v>
      </c>
    </row>
    <row r="57" spans="1:18" x14ac:dyDescent="0.35">
      <c r="I57" t="s">
        <v>208</v>
      </c>
      <c r="J57" s="154" t="s">
        <v>212</v>
      </c>
      <c r="K57"/>
      <c r="L57" s="2">
        <f>L41+L42+L43+L48+L49+L51+L52</f>
        <v>51505735.255361967</v>
      </c>
      <c r="M57" s="5" t="s">
        <v>245</v>
      </c>
      <c r="N57"/>
      <c r="O57" s="2">
        <f t="shared" si="14"/>
        <v>2415000</v>
      </c>
      <c r="P57" s="104" t="s">
        <v>251</v>
      </c>
      <c r="Q57"/>
      <c r="R57" s="2">
        <f>R41+R48</f>
        <v>22549744</v>
      </c>
    </row>
    <row r="58" spans="1:18" x14ac:dyDescent="0.35">
      <c r="I58"/>
      <c r="J58" s="155" t="s">
        <v>209</v>
      </c>
      <c r="K58"/>
      <c r="L58" s="2">
        <f>L44+L54</f>
        <v>15075889.060886312</v>
      </c>
      <c r="M58" t="s">
        <v>246</v>
      </c>
      <c r="N58"/>
      <c r="O58" s="2">
        <f t="shared" si="14"/>
        <v>2559612</v>
      </c>
      <c r="P58" s="104" t="s">
        <v>210</v>
      </c>
      <c r="Q58"/>
      <c r="R58" s="2">
        <f>R42+R49</f>
        <v>54919360</v>
      </c>
    </row>
    <row r="59" spans="1:18" x14ac:dyDescent="0.35">
      <c r="I59"/>
      <c r="J59" s="158" t="s">
        <v>210</v>
      </c>
      <c r="K59"/>
      <c r="L59">
        <f>0</f>
        <v>0</v>
      </c>
      <c r="M59" s="5" t="s">
        <v>244</v>
      </c>
      <c r="N59"/>
      <c r="O59" s="2">
        <f t="shared" si="14"/>
        <v>63185300</v>
      </c>
      <c r="P59" s="104" t="s">
        <v>252</v>
      </c>
      <c r="Q59"/>
      <c r="R59" s="2">
        <f>R43+R50</f>
        <v>17930808</v>
      </c>
    </row>
    <row r="60" spans="1:18" x14ac:dyDescent="0.35">
      <c r="I60"/>
      <c r="J60" s="157" t="s">
        <v>211</v>
      </c>
      <c r="K60"/>
      <c r="L60" s="2">
        <f>L50</f>
        <v>58579.20418775954</v>
      </c>
      <c r="M60" t="s">
        <v>247</v>
      </c>
      <c r="N60"/>
      <c r="O60" s="2">
        <f t="shared" si="14"/>
        <v>18392090</v>
      </c>
      <c r="P60" s="104" t="s">
        <v>253</v>
      </c>
      <c r="Q60"/>
      <c r="R60" s="2">
        <f>R44+R51</f>
        <v>13893872</v>
      </c>
    </row>
    <row r="61" spans="1:18" x14ac:dyDescent="0.35">
      <c r="I61"/>
      <c r="J61" s="159" t="s">
        <v>213</v>
      </c>
      <c r="K61"/>
      <c r="L61" s="2">
        <f>L55</f>
        <v>0</v>
      </c>
      <c r="M61" t="s">
        <v>248</v>
      </c>
      <c r="N61"/>
      <c r="O61" s="2">
        <f t="shared" si="14"/>
        <v>37589180</v>
      </c>
      <c r="P61" s="104" t="s">
        <v>254</v>
      </c>
      <c r="Q61"/>
      <c r="R61" s="2">
        <f>R45+R52</f>
        <v>6364936</v>
      </c>
    </row>
    <row r="62" spans="1:18" x14ac:dyDescent="0.35">
      <c r="I62"/>
      <c r="J62" s="178" t="s">
        <v>256</v>
      </c>
      <c r="K62"/>
      <c r="L62" s="2">
        <f>L53</f>
        <v>966421.80089473526</v>
      </c>
      <c r="M62" t="s">
        <v>250</v>
      </c>
      <c r="N62"/>
      <c r="O62" s="2">
        <f t="shared" si="14"/>
        <v>3839418</v>
      </c>
      <c r="P62"/>
      <c r="Q62"/>
    </row>
    <row r="63" spans="1:18" s="171" customFormat="1" ht="28" customHeight="1" x14ac:dyDescent="0.35">
      <c r="A63" s="171" t="s">
        <v>106</v>
      </c>
      <c r="P63" s="177"/>
    </row>
    <row r="64" spans="1:18" x14ac:dyDescent="0.35">
      <c r="A64" s="115" t="s">
        <v>189</v>
      </c>
      <c r="B64" s="115"/>
      <c r="C64" s="1">
        <f>C65</f>
        <v>138681474.82014391</v>
      </c>
      <c r="D64">
        <v>0.13</v>
      </c>
      <c r="F64" s="2">
        <f>F65</f>
        <v>108769.78417266189</v>
      </c>
      <c r="H64" s="1">
        <f>H65</f>
        <v>111425775.71281065</v>
      </c>
      <c r="I64"/>
      <c r="J64"/>
      <c r="K64"/>
      <c r="L64"/>
      <c r="M64"/>
      <c r="N64"/>
      <c r="O64"/>
      <c r="P64" s="61"/>
      <c r="Q64"/>
    </row>
    <row r="65" spans="1:19" s="173" customFormat="1" x14ac:dyDescent="0.35">
      <c r="A65" s="173" t="s">
        <v>237</v>
      </c>
      <c r="B65" s="173">
        <v>1275</v>
      </c>
      <c r="C65" s="173">
        <f>B65*F65</f>
        <v>138681474.82014391</v>
      </c>
      <c r="D65" s="173">
        <v>0.13</v>
      </c>
      <c r="E65" s="173">
        <f>'[2]Conversion factors selected IV '!$O$29</f>
        <v>0.83669064748201449</v>
      </c>
      <c r="F65" s="173">
        <f>D65*E65*1000000</f>
        <v>108769.78417266189</v>
      </c>
      <c r="G65" s="173">
        <f>'LCoP 2030 MEDIUM'!E10</f>
        <v>1024.4184684225595</v>
      </c>
      <c r="H65" s="173">
        <f>F65*G65</f>
        <v>111425775.71281065</v>
      </c>
      <c r="I65" s="173">
        <f>'LCoP 2030 MEDIUM'!H10</f>
        <v>-2.0579023345706264E-2</v>
      </c>
      <c r="L65" s="173">
        <f>I65*H65</f>
        <v>-2293033.6397073604</v>
      </c>
      <c r="M65" s="173">
        <f>'LCoP 2030 MEDIUM'!F10</f>
        <v>0.59057896616370376</v>
      </c>
      <c r="O65" s="173">
        <f>M65*H65</f>
        <v>65805719.424460448</v>
      </c>
      <c r="P65" s="173">
        <f>'LCoP 2030 MEDIUM'!G10</f>
        <v>0.43000005718200252</v>
      </c>
      <c r="R65" s="173">
        <f>P65*H65</f>
        <v>47913089.928057566</v>
      </c>
      <c r="S65" s="173">
        <f>L65+O65+R65</f>
        <v>111425775.71281065</v>
      </c>
    </row>
    <row r="66" spans="1:19" x14ac:dyDescent="0.35">
      <c r="H66" s="209" t="s">
        <v>292</v>
      </c>
      <c r="I66" s="5" t="s">
        <v>20</v>
      </c>
      <c r="J66" s="154" t="s">
        <v>212</v>
      </c>
      <c r="K66" s="6">
        <f>'Feedstock MIX per IVC'!G25</f>
        <v>0.84774671077551111</v>
      </c>
      <c r="L66" s="31">
        <f>K66*$F$65</f>
        <v>92209.226764136372</v>
      </c>
      <c r="M66" s="5" t="s">
        <v>245</v>
      </c>
      <c r="N66" s="35">
        <v>0.05</v>
      </c>
      <c r="O66" s="31">
        <f>N66*$O$65</f>
        <v>3290285.9712230228</v>
      </c>
      <c r="P66" s="63" t="s">
        <v>251</v>
      </c>
      <c r="Q66" s="35">
        <v>0.2</v>
      </c>
      <c r="R66" s="2">
        <f>Q66*R$65</f>
        <v>9582617.9856115133</v>
      </c>
    </row>
    <row r="67" spans="1:19" x14ac:dyDescent="0.35">
      <c r="H67" s="209" t="s">
        <v>292</v>
      </c>
      <c r="I67" s="5" t="s">
        <v>8</v>
      </c>
      <c r="J67" s="154" t="s">
        <v>212</v>
      </c>
      <c r="K67" s="6">
        <f>'Feedstock MIX per IVC'!G26</f>
        <v>0.68717839699555039</v>
      </c>
      <c r="L67" s="2">
        <f t="shared" ref="L67:L74" si="15">K67*$F$65</f>
        <v>74744.245929321783</v>
      </c>
      <c r="M67" t="s">
        <v>246</v>
      </c>
      <c r="N67" s="35">
        <v>0.02</v>
      </c>
      <c r="O67" s="31">
        <f t="shared" ref="O67:O71" si="16">N67*$O$65</f>
        <v>1316114.3884892089</v>
      </c>
      <c r="P67" s="63" t="s">
        <v>210</v>
      </c>
      <c r="Q67" s="35">
        <v>0.5</v>
      </c>
      <c r="R67" s="2">
        <f t="shared" ref="R67:R71" si="17">Q67*R$65</f>
        <v>23956544.964028783</v>
      </c>
    </row>
    <row r="68" spans="1:19" x14ac:dyDescent="0.35">
      <c r="H68" s="209" t="s">
        <v>292</v>
      </c>
      <c r="I68" s="5" t="s">
        <v>9</v>
      </c>
      <c r="J68" s="154" t="s">
        <v>212</v>
      </c>
      <c r="K68" s="6">
        <f>'Feedstock MIX per IVC'!G27</f>
        <v>0.31285048268727833</v>
      </c>
      <c r="L68" s="2">
        <f t="shared" si="15"/>
        <v>34028.67948020836</v>
      </c>
      <c r="M68" s="5" t="s">
        <v>244</v>
      </c>
      <c r="N68" s="35">
        <v>0.4</v>
      </c>
      <c r="O68" s="31">
        <f t="shared" si="16"/>
        <v>26322287.769784182</v>
      </c>
      <c r="P68" s="63" t="s">
        <v>252</v>
      </c>
      <c r="Q68" s="35">
        <v>0.15</v>
      </c>
      <c r="R68" s="2">
        <f t="shared" si="17"/>
        <v>7186963.4892086349</v>
      </c>
    </row>
    <row r="69" spans="1:19" x14ac:dyDescent="0.35">
      <c r="H69" s="209" t="s">
        <v>292</v>
      </c>
      <c r="I69" s="5" t="s">
        <v>21</v>
      </c>
      <c r="J69" s="161" t="s">
        <v>211</v>
      </c>
      <c r="K69" s="6">
        <f>'Feedstock MIX per IVC'!G28</f>
        <v>3.9186046927810039</v>
      </c>
      <c r="L69" s="2">
        <f t="shared" si="15"/>
        <v>426225.78669176984</v>
      </c>
      <c r="M69" t="s">
        <v>247</v>
      </c>
      <c r="N69" s="35">
        <v>0.3</v>
      </c>
      <c r="O69" s="31">
        <f t="shared" si="16"/>
        <v>19741715.827338133</v>
      </c>
      <c r="P69" s="63" t="s">
        <v>253</v>
      </c>
      <c r="Q69" s="35">
        <v>0.1</v>
      </c>
      <c r="R69" s="2">
        <f t="shared" si="17"/>
        <v>4791308.9928057566</v>
      </c>
    </row>
    <row r="70" spans="1:19" x14ac:dyDescent="0.35">
      <c r="H70" s="209" t="s">
        <v>292</v>
      </c>
      <c r="I70" s="5" t="s">
        <v>5</v>
      </c>
      <c r="J70" s="154" t="s">
        <v>212</v>
      </c>
      <c r="K70" s="6">
        <f>'Feedstock MIX per IVC'!G29</f>
        <v>14.758150163392003</v>
      </c>
      <c r="L70" s="2">
        <f t="shared" si="15"/>
        <v>1605240.8080598831</v>
      </c>
      <c r="M70" t="s">
        <v>248</v>
      </c>
      <c r="N70" s="35">
        <v>0.2</v>
      </c>
      <c r="O70" s="31">
        <f t="shared" si="16"/>
        <v>13161143.884892091</v>
      </c>
      <c r="P70" s="63" t="s">
        <v>254</v>
      </c>
      <c r="Q70" s="35">
        <v>0.05</v>
      </c>
      <c r="R70" s="2">
        <f t="shared" si="17"/>
        <v>2395654.4964028783</v>
      </c>
    </row>
    <row r="71" spans="1:19" x14ac:dyDescent="0.35">
      <c r="H71" s="209" t="s">
        <v>292</v>
      </c>
      <c r="I71" s="5" t="s">
        <v>22</v>
      </c>
      <c r="J71" s="154" t="s">
        <v>212</v>
      </c>
      <c r="K71" s="6">
        <f>'Feedstock MIX per IVC'!G30</f>
        <v>0</v>
      </c>
      <c r="L71" s="2">
        <f t="shared" si="15"/>
        <v>0</v>
      </c>
      <c r="M71" t="s">
        <v>250</v>
      </c>
      <c r="N71" s="35">
        <v>0.03</v>
      </c>
      <c r="O71" s="31">
        <f t="shared" si="16"/>
        <v>1974171.5827338134</v>
      </c>
      <c r="P71" s="61"/>
      <c r="Q71" s="35">
        <f>SUM(Q66:Q70)</f>
        <v>1</v>
      </c>
      <c r="R71" s="2">
        <f t="shared" si="17"/>
        <v>47913089.928057566</v>
      </c>
    </row>
    <row r="72" spans="1:19" x14ac:dyDescent="0.35">
      <c r="H72" s="209" t="s">
        <v>292</v>
      </c>
      <c r="I72" s="5" t="s">
        <v>23</v>
      </c>
      <c r="J72" s="163" t="s">
        <v>213</v>
      </c>
      <c r="K72" s="6">
        <f>'Feedstock MIX per IVC'!G31</f>
        <v>0</v>
      </c>
      <c r="L72" s="2">
        <f t="shared" si="15"/>
        <v>0</v>
      </c>
      <c r="M72"/>
      <c r="N72" s="35">
        <f>SUM(N66:N71)</f>
        <v>1</v>
      </c>
      <c r="O72" s="31">
        <f>SUM(O66:O71)</f>
        <v>65805719.424460448</v>
      </c>
      <c r="P72"/>
      <c r="Q72"/>
    </row>
    <row r="73" spans="1:19" x14ac:dyDescent="0.35">
      <c r="H73" s="209" t="s">
        <v>292</v>
      </c>
      <c r="I73" s="12" t="s">
        <v>24</v>
      </c>
      <c r="J73" s="163" t="s">
        <v>213</v>
      </c>
      <c r="K73" s="6">
        <f>'Feedstock MIX per IVC'!G32</f>
        <v>-42.314992343120878</v>
      </c>
      <c r="L73" s="2">
        <f t="shared" si="15"/>
        <v>-4602592.5844290983</v>
      </c>
      <c r="M73"/>
      <c r="N73" s="35"/>
      <c r="O73"/>
      <c r="P73"/>
      <c r="Q73"/>
    </row>
    <row r="74" spans="1:19" x14ac:dyDescent="0.35">
      <c r="H74" s="209" t="s">
        <v>292</v>
      </c>
      <c r="I74" s="12" t="s">
        <v>25</v>
      </c>
      <c r="J74" s="258" t="s">
        <v>298</v>
      </c>
      <c r="K74" s="6">
        <f>'Feedstock MIX per IVC'!G33</f>
        <v>0.70893031904902382</v>
      </c>
      <c r="L74" s="2">
        <f t="shared" si="15"/>
        <v>77110.197796418652</v>
      </c>
      <c r="M74"/>
      <c r="N74"/>
      <c r="O74"/>
      <c r="P74"/>
      <c r="Q74"/>
    </row>
    <row r="75" spans="1:19" x14ac:dyDescent="0.35">
      <c r="I75"/>
      <c r="J75" s="152" t="s">
        <v>214</v>
      </c>
      <c r="K75"/>
      <c r="L75" s="92">
        <f>SUM(L76:L80)</f>
        <v>-2293033.6397073604</v>
      </c>
      <c r="M75" s="152" t="s">
        <v>214</v>
      </c>
      <c r="N75"/>
      <c r="O75" s="92">
        <f t="shared" ref="O75:O81" si="18">O65</f>
        <v>65805719.424460448</v>
      </c>
      <c r="P75"/>
      <c r="Q75"/>
      <c r="R75" s="92">
        <f>R65</f>
        <v>47913089.928057566</v>
      </c>
    </row>
    <row r="76" spans="1:19" x14ac:dyDescent="0.35">
      <c r="I76" t="s">
        <v>208</v>
      </c>
      <c r="J76" s="154" t="s">
        <v>212</v>
      </c>
      <c r="K76"/>
      <c r="L76" s="2">
        <f>L66+L67+L68+L70+L71</f>
        <v>1806222.9602335496</v>
      </c>
      <c r="M76" s="5" t="s">
        <v>245</v>
      </c>
      <c r="N76"/>
      <c r="O76" s="2">
        <f t="shared" si="18"/>
        <v>3290285.9712230228</v>
      </c>
      <c r="P76" s="104" t="s">
        <v>251</v>
      </c>
      <c r="Q76"/>
      <c r="R76" s="2">
        <f>R66</f>
        <v>9582617.9856115133</v>
      </c>
    </row>
    <row r="77" spans="1:19" x14ac:dyDescent="0.35">
      <c r="I77"/>
      <c r="J77" s="155" t="s">
        <v>209</v>
      </c>
      <c r="K77"/>
      <c r="L77" s="2">
        <f>0</f>
        <v>0</v>
      </c>
      <c r="M77" t="s">
        <v>246</v>
      </c>
      <c r="N77"/>
      <c r="O77" s="2">
        <f t="shared" si="18"/>
        <v>1316114.3884892089</v>
      </c>
      <c r="P77" s="104" t="s">
        <v>210</v>
      </c>
      <c r="Q77"/>
      <c r="R77" s="2">
        <f t="shared" ref="R77:R80" si="19">R67</f>
        <v>23956544.964028783</v>
      </c>
    </row>
    <row r="78" spans="1:19" x14ac:dyDescent="0.35">
      <c r="I78"/>
      <c r="J78" s="258" t="s">
        <v>298</v>
      </c>
      <c r="K78"/>
      <c r="L78" s="2">
        <f>L74</f>
        <v>77110.197796418652</v>
      </c>
      <c r="M78" s="5" t="s">
        <v>244</v>
      </c>
      <c r="N78"/>
      <c r="O78" s="2">
        <f t="shared" si="18"/>
        <v>26322287.769784182</v>
      </c>
      <c r="P78" s="104" t="s">
        <v>252</v>
      </c>
      <c r="Q78"/>
      <c r="R78" s="2">
        <f t="shared" si="19"/>
        <v>7186963.4892086349</v>
      </c>
    </row>
    <row r="79" spans="1:19" x14ac:dyDescent="0.35">
      <c r="I79"/>
      <c r="J79" s="157" t="s">
        <v>211</v>
      </c>
      <c r="K79"/>
      <c r="L79" s="2">
        <f>L69</f>
        <v>426225.78669176984</v>
      </c>
      <c r="M79" t="s">
        <v>247</v>
      </c>
      <c r="N79"/>
      <c r="O79" s="2">
        <f t="shared" si="18"/>
        <v>19741715.827338133</v>
      </c>
      <c r="P79" s="104" t="s">
        <v>253</v>
      </c>
      <c r="Q79"/>
      <c r="R79" s="2">
        <f t="shared" si="19"/>
        <v>4791308.9928057566</v>
      </c>
    </row>
    <row r="80" spans="1:19" x14ac:dyDescent="0.35">
      <c r="G80" t="s">
        <v>258</v>
      </c>
      <c r="I80"/>
      <c r="J80" s="159" t="s">
        <v>213</v>
      </c>
      <c r="K80"/>
      <c r="L80" s="2">
        <f>L72+L73</f>
        <v>-4602592.5844290983</v>
      </c>
      <c r="M80" t="s">
        <v>248</v>
      </c>
      <c r="N80"/>
      <c r="O80" s="2">
        <f t="shared" si="18"/>
        <v>13161143.884892091</v>
      </c>
      <c r="P80" s="104" t="s">
        <v>254</v>
      </c>
      <c r="Q80"/>
      <c r="R80" s="2">
        <f t="shared" si="19"/>
        <v>2395654.4964028783</v>
      </c>
    </row>
    <row r="81" spans="1:19" x14ac:dyDescent="0.35">
      <c r="I81"/>
      <c r="J81"/>
      <c r="K81"/>
      <c r="L81" s="2">
        <f>SUM(L76:L79)</f>
        <v>2309558.9447217379</v>
      </c>
      <c r="M81" t="s">
        <v>250</v>
      </c>
      <c r="N81"/>
      <c r="O81" s="2">
        <f t="shared" si="18"/>
        <v>1974171.5827338134</v>
      </c>
      <c r="P81"/>
      <c r="Q81"/>
    </row>
    <row r="82" spans="1:19" s="179" customFormat="1" ht="34" customHeight="1" x14ac:dyDescent="0.35">
      <c r="A82" s="180" t="s">
        <v>259</v>
      </c>
      <c r="B82" s="180"/>
      <c r="C82" s="180"/>
    </row>
    <row r="83" spans="1:19" x14ac:dyDescent="0.35">
      <c r="A83" s="80" t="s">
        <v>189</v>
      </c>
      <c r="B83" s="80"/>
      <c r="C83" s="31">
        <f>SUM(C84:C98)</f>
        <v>15963965208.083679</v>
      </c>
      <c r="D83" s="103">
        <f>SUM(D84:D98)</f>
        <v>12.938449412439093</v>
      </c>
      <c r="E83" s="79">
        <v>1.1627906976744187</v>
      </c>
      <c r="F83" s="31">
        <f>SUM(F84:F98)</f>
        <v>13695613.636363637</v>
      </c>
      <c r="H83" s="2">
        <f>H84+H91+H98</f>
        <v>10982503260</v>
      </c>
      <c r="I83"/>
      <c r="J83"/>
      <c r="K83"/>
      <c r="L83" s="2">
        <f>L84+L91+L98</f>
        <v>7941942282</v>
      </c>
      <c r="M83"/>
      <c r="N83"/>
      <c r="O83" s="2">
        <f>O84+O91+O98</f>
        <v>835722326</v>
      </c>
      <c r="P83"/>
      <c r="Q83"/>
      <c r="R83" s="2">
        <f>R84+R91+R98</f>
        <v>2204838652</v>
      </c>
    </row>
    <row r="84" spans="1:19" s="120" customFormat="1" x14ac:dyDescent="0.35">
      <c r="A84" s="120" t="s">
        <v>422</v>
      </c>
      <c r="B84" s="120">
        <v>1165.6261363636365</v>
      </c>
      <c r="C84" s="120">
        <f>B84*F84</f>
        <v>6061255909.090909</v>
      </c>
      <c r="D84" s="120">
        <f>'[1]GAP analysis Sc. 1'!$G$18</f>
        <v>4.5953950511130213</v>
      </c>
      <c r="E84" s="120">
        <f>'[2]Conversion factors selected IV '!$O$4</f>
        <v>1.1315675675675676</v>
      </c>
      <c r="F84" s="120">
        <f>D84*E84*1000000</f>
        <v>5199999.9999999991</v>
      </c>
      <c r="G84" s="120">
        <v>629</v>
      </c>
      <c r="H84" s="120">
        <f>G84*F84</f>
        <v>3270799999.9999995</v>
      </c>
      <c r="I84" s="120">
        <v>0.75</v>
      </c>
      <c r="K84" s="120">
        <f>I84*G84</f>
        <v>471.75</v>
      </c>
      <c r="L84" s="120">
        <f>I84*H84</f>
        <v>2453099999.9999995</v>
      </c>
      <c r="M84" s="120">
        <v>6.5000000000000002E-2</v>
      </c>
      <c r="O84" s="120">
        <f>M84*H84</f>
        <v>212601999.99999997</v>
      </c>
      <c r="P84" s="120">
        <v>0.185</v>
      </c>
      <c r="R84" s="120">
        <f>P84*H84</f>
        <v>605097999.99999988</v>
      </c>
    </row>
    <row r="85" spans="1:19" s="18" customFormat="1" x14ac:dyDescent="0.35">
      <c r="D85" s="116"/>
      <c r="E85" s="181"/>
      <c r="F85" s="182"/>
      <c r="H85" s="209" t="s">
        <v>292</v>
      </c>
      <c r="I85" s="18" t="s">
        <v>260</v>
      </c>
      <c r="J85" s="161" t="s">
        <v>211</v>
      </c>
      <c r="K85" s="112">
        <f>'Feedtstocks only CONVENTIONAL'!$J$4</f>
        <v>0.76052615016678204</v>
      </c>
      <c r="L85" s="122">
        <f>K85*L$84</f>
        <v>1865646698.9741328</v>
      </c>
      <c r="M85" t="s">
        <v>296</v>
      </c>
      <c r="N85" s="61">
        <v>0.45</v>
      </c>
      <c r="O85" s="31">
        <f>N85*$O$84</f>
        <v>95670899.999999985</v>
      </c>
      <c r="P85" t="s">
        <v>298</v>
      </c>
      <c r="Q85" s="61">
        <v>0.3</v>
      </c>
      <c r="R85" s="122">
        <f>Q85*R$84</f>
        <v>181529399.99999997</v>
      </c>
    </row>
    <row r="86" spans="1:19" s="18" customFormat="1" x14ac:dyDescent="0.35">
      <c r="D86" s="116"/>
      <c r="E86" s="181"/>
      <c r="F86" s="292" t="s">
        <v>412</v>
      </c>
      <c r="H86" s="209" t="s">
        <v>292</v>
      </c>
      <c r="I86" s="18" t="s">
        <v>261</v>
      </c>
      <c r="J86" s="161" t="s">
        <v>211</v>
      </c>
      <c r="K86" s="112">
        <f>'Feedtstocks only CONVENTIONAL'!$J$5</f>
        <v>0.16011076845616465</v>
      </c>
      <c r="L86" s="122">
        <f t="shared" ref="L86:L88" si="20">K86*L$84</f>
        <v>392767726.0998174</v>
      </c>
      <c r="M86" t="s">
        <v>297</v>
      </c>
      <c r="N86" s="61">
        <v>0.3</v>
      </c>
      <c r="O86" s="31">
        <f t="shared" ref="O86:O89" si="21">N86*$O$84</f>
        <v>63780599.999999985</v>
      </c>
      <c r="P86" t="s">
        <v>299</v>
      </c>
      <c r="Q86" s="61">
        <v>0.2</v>
      </c>
      <c r="R86" s="122">
        <f t="shared" ref="R86:R89" si="22">Q86*R$84</f>
        <v>121019599.99999999</v>
      </c>
    </row>
    <row r="87" spans="1:19" s="18" customFormat="1" x14ac:dyDescent="0.35">
      <c r="D87" s="116"/>
      <c r="E87" s="181"/>
      <c r="F87" s="292"/>
      <c r="H87" s="209" t="s">
        <v>292</v>
      </c>
      <c r="I87" s="18" t="s">
        <v>263</v>
      </c>
      <c r="J87" s="161" t="s">
        <v>211</v>
      </c>
      <c r="K87" s="112">
        <f>'Feedtstocks only CONVENTIONAL'!$J$6</f>
        <v>4.0027692114041162E-2</v>
      </c>
      <c r="L87" s="122">
        <f t="shared" si="20"/>
        <v>98191931.524954349</v>
      </c>
      <c r="M87" t="s">
        <v>247</v>
      </c>
      <c r="N87" s="61">
        <v>0.15</v>
      </c>
      <c r="O87" s="31">
        <f t="shared" si="21"/>
        <v>31890299.999999993</v>
      </c>
      <c r="P87" t="s">
        <v>252</v>
      </c>
      <c r="Q87" s="61">
        <v>0.25</v>
      </c>
      <c r="R87" s="122">
        <f t="shared" si="22"/>
        <v>151274499.99999997</v>
      </c>
    </row>
    <row r="88" spans="1:19" s="18" customFormat="1" x14ac:dyDescent="0.35">
      <c r="D88" s="116"/>
      <c r="E88" s="181"/>
      <c r="F88" s="182"/>
      <c r="H88" s="208" t="s">
        <v>290</v>
      </c>
      <c r="I88" s="18" t="s">
        <v>262</v>
      </c>
      <c r="J88" s="161" t="s">
        <v>211</v>
      </c>
      <c r="K88" s="112">
        <f>'Feedtstocks only CONVENTIONAL'!$J$7</f>
        <v>3.9335389263012145E-2</v>
      </c>
      <c r="L88" s="122">
        <f t="shared" si="20"/>
        <v>96493643.401095077</v>
      </c>
      <c r="M88" t="s">
        <v>245</v>
      </c>
      <c r="N88" s="61">
        <v>7.0000000000000007E-2</v>
      </c>
      <c r="O88" s="31">
        <f t="shared" si="21"/>
        <v>14882140</v>
      </c>
      <c r="P88" t="s">
        <v>300</v>
      </c>
      <c r="Q88" s="61">
        <v>0.15</v>
      </c>
      <c r="R88" s="122">
        <f t="shared" si="22"/>
        <v>90764699.999999985</v>
      </c>
    </row>
    <row r="89" spans="1:19" s="18" customFormat="1" x14ac:dyDescent="0.35">
      <c r="D89" s="116"/>
      <c r="E89" s="181"/>
      <c r="F89" s="182"/>
      <c r="J89" s="152"/>
      <c r="K89" s="112"/>
      <c r="M89" t="s">
        <v>250</v>
      </c>
      <c r="N89" s="61">
        <v>0.03</v>
      </c>
      <c r="O89" s="31">
        <f t="shared" si="21"/>
        <v>6378059.9999999991</v>
      </c>
      <c r="P89" s="18" t="s">
        <v>254</v>
      </c>
      <c r="Q89" s="61">
        <v>0.1</v>
      </c>
      <c r="R89" s="122">
        <f t="shared" si="22"/>
        <v>60509799.999999993</v>
      </c>
    </row>
    <row r="90" spans="1:19" s="18" customFormat="1" x14ac:dyDescent="0.35">
      <c r="D90" s="116"/>
      <c r="E90" s="181"/>
      <c r="F90" s="182"/>
      <c r="J90" s="112"/>
      <c r="K90" s="112"/>
      <c r="L90" s="122"/>
      <c r="M90"/>
      <c r="N90" s="61"/>
      <c r="O90" s="31"/>
      <c r="P90" t="s">
        <v>213</v>
      </c>
      <c r="Q90" s="61">
        <v>0</v>
      </c>
      <c r="R90" s="122">
        <f>Q90*R$84</f>
        <v>0</v>
      </c>
    </row>
    <row r="91" spans="1:19" s="120" customFormat="1" x14ac:dyDescent="0.35">
      <c r="A91" s="120" t="s">
        <v>435</v>
      </c>
      <c r="B91" s="120">
        <v>1165.6261363636365</v>
      </c>
      <c r="C91" s="120">
        <f>B91*F91</f>
        <v>4079691477.272728</v>
      </c>
      <c r="D91" s="120">
        <f>'[1]GAP analysis Sc. 1'!$G$23</f>
        <v>3.0930543613260721</v>
      </c>
      <c r="E91" s="120">
        <f>'[2]Conversion factors selected IV '!$O$4</f>
        <v>1.1315675675675676</v>
      </c>
      <c r="F91" s="120">
        <f>D91*E91*1000000</f>
        <v>3500000</v>
      </c>
      <c r="G91" s="120">
        <f>'LCoP CONVENTIONAL'!B17</f>
        <v>1253</v>
      </c>
      <c r="H91" s="120">
        <f>G91*F91</f>
        <v>4385500000</v>
      </c>
      <c r="I91" s="120">
        <f>'LCoP CONVENTIONAL'!C17</f>
        <v>0.72067039106145248</v>
      </c>
      <c r="K91" s="120">
        <f>'Feedtstocks only CONVENTIONAL'!I15</f>
        <v>853.09425278075696</v>
      </c>
      <c r="L91" s="120">
        <f>H91*I91</f>
        <v>3160500000</v>
      </c>
      <c r="M91" s="120">
        <f>'LCoP CONVENTIONAL'!F17</f>
        <v>6.6241021548284124E-2</v>
      </c>
      <c r="O91" s="120">
        <f>M91*H91</f>
        <v>290500000</v>
      </c>
      <c r="P91" s="120">
        <f>'LCoP CONVENTIONAL'!I17</f>
        <v>0.21308858739026337</v>
      </c>
      <c r="R91" s="120">
        <f>P91*H91</f>
        <v>934500000</v>
      </c>
    </row>
    <row r="92" spans="1:19" s="18" customFormat="1" x14ac:dyDescent="0.35">
      <c r="D92" s="121"/>
      <c r="E92" s="181"/>
      <c r="F92" s="182"/>
      <c r="H92" s="209" t="s">
        <v>292</v>
      </c>
      <c r="I92" s="18" t="s">
        <v>308</v>
      </c>
      <c r="J92" s="161" t="s">
        <v>211</v>
      </c>
      <c r="K92" s="61">
        <f>'Feedtstocks only CONVENTIONAL'!J37</f>
        <v>0.42676656092472537</v>
      </c>
      <c r="L92" s="104">
        <f>K92*L91</f>
        <v>1348795715.8025944</v>
      </c>
      <c r="M92" t="s">
        <v>296</v>
      </c>
      <c r="N92" s="61">
        <v>0.5</v>
      </c>
      <c r="O92" s="104">
        <f>N92*O$91</f>
        <v>145250000</v>
      </c>
      <c r="P92" t="s">
        <v>298</v>
      </c>
      <c r="Q92" s="61">
        <v>0.25</v>
      </c>
      <c r="R92" s="104">
        <f>Q92*R$91</f>
        <v>233625000</v>
      </c>
      <c r="S92" s="104" t="s">
        <v>251</v>
      </c>
    </row>
    <row r="93" spans="1:19" s="18" customFormat="1" x14ac:dyDescent="0.35">
      <c r="D93" s="121"/>
      <c r="E93" s="181"/>
      <c r="F93" s="182"/>
      <c r="H93" s="208" t="s">
        <v>290</v>
      </c>
      <c r="I93" s="18" t="s">
        <v>309</v>
      </c>
      <c r="J93" s="161" t="s">
        <v>211</v>
      </c>
      <c r="K93" s="61">
        <f>'Feedtstocks only CONVENTIONAL'!J38</f>
        <v>0.28451104061648358</v>
      </c>
      <c r="L93" s="104">
        <f>K93*L91</f>
        <v>899197143.8683964</v>
      </c>
      <c r="M93" t="s">
        <v>297</v>
      </c>
      <c r="N93" s="61">
        <v>0.3</v>
      </c>
      <c r="O93" s="104">
        <f t="shared" ref="O93:O96" si="23">N93*O$91</f>
        <v>87150000</v>
      </c>
      <c r="P93" t="s">
        <v>299</v>
      </c>
      <c r="Q93" s="61">
        <v>0.15</v>
      </c>
      <c r="R93" s="104">
        <f t="shared" ref="R93:R97" si="24">Q93*R$91</f>
        <v>140175000</v>
      </c>
      <c r="S93" s="104" t="s">
        <v>210</v>
      </c>
    </row>
    <row r="94" spans="1:19" s="18" customFormat="1" x14ac:dyDescent="0.35">
      <c r="D94" s="121"/>
      <c r="E94" s="181"/>
      <c r="F94" s="182"/>
      <c r="H94" s="209" t="s">
        <v>292</v>
      </c>
      <c r="I94" s="18" t="s">
        <v>307</v>
      </c>
      <c r="J94" s="161" t="s">
        <v>211</v>
      </c>
      <c r="K94" s="61">
        <f>'Feedtstocks only CONVENTIONAL'!J39</f>
        <v>0.288722398458791</v>
      </c>
      <c r="L94" s="104">
        <f>K94*L91</f>
        <v>912507140.32900894</v>
      </c>
      <c r="M94" t="s">
        <v>247</v>
      </c>
      <c r="N94" s="61">
        <v>0.1</v>
      </c>
      <c r="O94" s="104">
        <f t="shared" si="23"/>
        <v>29050000</v>
      </c>
      <c r="P94" t="s">
        <v>252</v>
      </c>
      <c r="Q94" s="61">
        <v>0.2</v>
      </c>
      <c r="R94" s="104">
        <f t="shared" si="24"/>
        <v>186900000</v>
      </c>
      <c r="S94" s="104" t="s">
        <v>252</v>
      </c>
    </row>
    <row r="95" spans="1:19" s="18" customFormat="1" x14ac:dyDescent="0.35">
      <c r="D95" s="121"/>
      <c r="E95" s="181"/>
      <c r="F95" s="182"/>
      <c r="K95" s="104">
        <f>SUM(K92:K94)</f>
        <v>1</v>
      </c>
      <c r="L95" s="104">
        <f>SUM(L92:L94)</f>
        <v>3160500000</v>
      </c>
      <c r="M95" t="s">
        <v>245</v>
      </c>
      <c r="N95" s="61">
        <v>7.0000000000000007E-2</v>
      </c>
      <c r="O95" s="104">
        <f t="shared" si="23"/>
        <v>20335000.000000004</v>
      </c>
      <c r="P95" t="s">
        <v>300</v>
      </c>
      <c r="Q95" s="61">
        <v>0.2</v>
      </c>
      <c r="R95" s="104">
        <f t="shared" si="24"/>
        <v>186900000</v>
      </c>
      <c r="S95" s="104" t="s">
        <v>253</v>
      </c>
    </row>
    <row r="96" spans="1:19" s="18" customFormat="1" x14ac:dyDescent="0.35">
      <c r="D96" s="121"/>
      <c r="E96" s="181"/>
      <c r="F96" s="182"/>
      <c r="K96" s="61"/>
      <c r="L96" s="104"/>
      <c r="M96" t="s">
        <v>250</v>
      </c>
      <c r="N96" s="61">
        <v>0.03</v>
      </c>
      <c r="O96" s="104">
        <f t="shared" si="23"/>
        <v>8715000</v>
      </c>
      <c r="P96" s="18" t="s">
        <v>254</v>
      </c>
      <c r="Q96" s="61">
        <v>0.1</v>
      </c>
      <c r="R96" s="104">
        <f t="shared" si="24"/>
        <v>93450000</v>
      </c>
      <c r="S96" s="104" t="s">
        <v>254</v>
      </c>
    </row>
    <row r="97" spans="1:18" s="18" customFormat="1" x14ac:dyDescent="0.35">
      <c r="D97" s="121"/>
      <c r="E97" s="181"/>
      <c r="F97" s="182"/>
      <c r="K97" s="61" t="s">
        <v>324</v>
      </c>
      <c r="L97" s="104"/>
      <c r="M97"/>
      <c r="N97" s="61"/>
      <c r="P97" t="s">
        <v>213</v>
      </c>
      <c r="Q97" s="61">
        <v>0.1</v>
      </c>
      <c r="R97" s="104">
        <f t="shared" si="24"/>
        <v>93450000</v>
      </c>
    </row>
    <row r="98" spans="1:18" s="120" customFormat="1" x14ac:dyDescent="0.35">
      <c r="A98" s="120" t="s">
        <v>373</v>
      </c>
      <c r="B98" s="120">
        <v>1165.6261363636365</v>
      </c>
      <c r="C98" s="120">
        <f>B98*F98</f>
        <v>5823017821.7200422</v>
      </c>
      <c r="D98" s="120">
        <v>5.25</v>
      </c>
      <c r="E98" s="120">
        <f>'[2]Conversion factors selected IV '!$O$7</f>
        <v>0.95154545454545458</v>
      </c>
      <c r="F98" s="120">
        <f>D98*E98*1000000</f>
        <v>4995613.6363636367</v>
      </c>
      <c r="G98" s="120">
        <f>K98/7*10</f>
        <v>665.824761904762</v>
      </c>
      <c r="H98" s="120">
        <f>G98*F98</f>
        <v>3326203260.0000005</v>
      </c>
      <c r="I98" s="120">
        <v>0.7</v>
      </c>
      <c r="K98" s="120">
        <f>'Feedtstocks only CONVENTIONAL'!I22</f>
        <v>466.0773333333334</v>
      </c>
      <c r="L98" s="120">
        <f>I98*H98</f>
        <v>2328342282</v>
      </c>
      <c r="M98" s="120">
        <v>0.1</v>
      </c>
      <c r="O98" s="120">
        <f>M98*H98</f>
        <v>332620326.00000006</v>
      </c>
      <c r="P98" s="120">
        <v>0.2</v>
      </c>
      <c r="R98" s="120">
        <f>P98*H98</f>
        <v>665240652.00000012</v>
      </c>
    </row>
    <row r="99" spans="1:18" x14ac:dyDescent="0.35">
      <c r="H99" s="209" t="s">
        <v>292</v>
      </c>
      <c r="I99" s="18" t="s">
        <v>260</v>
      </c>
      <c r="J99" s="161" t="s">
        <v>211</v>
      </c>
      <c r="K99" s="112">
        <f>'Feedtstocks only CONVENTIONAL'!J$4</f>
        <v>0.76052615016678204</v>
      </c>
      <c r="L99" s="2">
        <f>K99*L$98</f>
        <v>1770765192</v>
      </c>
      <c r="M99" t="s">
        <v>296</v>
      </c>
      <c r="N99" s="61">
        <v>0.55000000000000004</v>
      </c>
      <c r="O99" s="2">
        <f>N99*O$98</f>
        <v>182941179.30000004</v>
      </c>
      <c r="P99" t="s">
        <v>298</v>
      </c>
      <c r="Q99" s="61">
        <v>0.4</v>
      </c>
      <c r="R99" s="2">
        <f>Q99*R$98</f>
        <v>266096260.80000007</v>
      </c>
    </row>
    <row r="100" spans="1:18" x14ac:dyDescent="0.35">
      <c r="F100" s="292" t="s">
        <v>412</v>
      </c>
      <c r="H100" s="209" t="s">
        <v>292</v>
      </c>
      <c r="I100" s="18" t="s">
        <v>261</v>
      </c>
      <c r="J100" s="161" t="s">
        <v>211</v>
      </c>
      <c r="K100" s="112">
        <f>'Feedtstocks only CONVENTIONAL'!J$5</f>
        <v>0.16011076845616465</v>
      </c>
      <c r="L100" s="2">
        <f t="shared" ref="L100:L102" si="25">K100*L$98</f>
        <v>372792672</v>
      </c>
      <c r="M100" t="s">
        <v>297</v>
      </c>
      <c r="N100" s="61">
        <v>0.25</v>
      </c>
      <c r="O100" s="2">
        <f>N100*O$98</f>
        <v>83155081.500000015</v>
      </c>
      <c r="P100" t="s">
        <v>299</v>
      </c>
      <c r="Q100" s="61">
        <v>0.2</v>
      </c>
      <c r="R100" s="2">
        <f t="shared" ref="R100:R103" si="26">Q100*R$98</f>
        <v>133048130.40000004</v>
      </c>
    </row>
    <row r="101" spans="1:18" x14ac:dyDescent="0.35">
      <c r="H101" s="209" t="s">
        <v>292</v>
      </c>
      <c r="I101" s="18" t="s">
        <v>263</v>
      </c>
      <c r="J101" s="161" t="s">
        <v>211</v>
      </c>
      <c r="K101" s="112">
        <f>'Feedtstocks only CONVENTIONAL'!J$6</f>
        <v>4.0027692114041162E-2</v>
      </c>
      <c r="L101" s="2">
        <f t="shared" si="25"/>
        <v>93198168</v>
      </c>
      <c r="M101" t="s">
        <v>247</v>
      </c>
      <c r="N101" s="61">
        <v>0.1</v>
      </c>
      <c r="O101" s="2">
        <f>N101*O$98</f>
        <v>33262032.600000009</v>
      </c>
      <c r="P101" t="s">
        <v>252</v>
      </c>
      <c r="Q101" s="61">
        <v>0.2</v>
      </c>
      <c r="R101" s="2">
        <f t="shared" si="26"/>
        <v>133048130.40000004</v>
      </c>
    </row>
    <row r="102" spans="1:18" x14ac:dyDescent="0.35">
      <c r="H102" s="208" t="s">
        <v>290</v>
      </c>
      <c r="I102" s="18" t="s">
        <v>262</v>
      </c>
      <c r="J102" s="161" t="s">
        <v>211</v>
      </c>
      <c r="K102" s="112">
        <f>'Feedtstocks only CONVENTIONAL'!J$7</f>
        <v>3.9335389263012145E-2</v>
      </c>
      <c r="L102" s="2">
        <f t="shared" si="25"/>
        <v>91586250</v>
      </c>
      <c r="M102" t="s">
        <v>245</v>
      </c>
      <c r="N102" s="61">
        <v>7.0000000000000007E-2</v>
      </c>
      <c r="O102" s="2">
        <f>N102*O$98</f>
        <v>23283422.820000008</v>
      </c>
      <c r="P102" t="s">
        <v>300</v>
      </c>
      <c r="Q102" s="61">
        <v>0.15</v>
      </c>
      <c r="R102" s="2">
        <f t="shared" si="26"/>
        <v>99786097.800000012</v>
      </c>
    </row>
    <row r="103" spans="1:18" x14ac:dyDescent="0.35">
      <c r="I103" s="18"/>
      <c r="J103"/>
      <c r="K103"/>
      <c r="L103"/>
      <c r="M103" t="s">
        <v>250</v>
      </c>
      <c r="N103" s="61">
        <v>0.03</v>
      </c>
      <c r="O103" s="2">
        <f>N103*O$98</f>
        <v>9978609.7800000012</v>
      </c>
      <c r="P103" s="216" t="s">
        <v>254</v>
      </c>
      <c r="Q103" s="61">
        <v>0.05</v>
      </c>
      <c r="R103" s="2">
        <f t="shared" si="26"/>
        <v>33262032.600000009</v>
      </c>
    </row>
    <row r="104" spans="1:18" x14ac:dyDescent="0.35">
      <c r="I104" s="18"/>
      <c r="J104"/>
      <c r="K104"/>
      <c r="L104"/>
      <c r="M104"/>
      <c r="N104" s="61"/>
      <c r="O104" s="2"/>
      <c r="P104" t="s">
        <v>213</v>
      </c>
      <c r="Q104" s="61">
        <v>0</v>
      </c>
      <c r="R104" s="2">
        <f>Q104*R$98</f>
        <v>0</v>
      </c>
    </row>
    <row r="105" spans="1:18" x14ac:dyDescent="0.35">
      <c r="I105" s="18"/>
      <c r="J105" s="152" t="s">
        <v>321</v>
      </c>
      <c r="K105" s="112"/>
      <c r="L105" s="18"/>
      <c r="M105" s="152" t="s">
        <v>325</v>
      </c>
      <c r="N105" s="61"/>
      <c r="O105" s="92">
        <f>SUM(O106:O110)</f>
        <v>835722326.00000012</v>
      </c>
      <c r="P105" s="147" t="s">
        <v>214</v>
      </c>
      <c r="Q105" s="61"/>
      <c r="R105" s="92">
        <f>SUM(R106:R111)</f>
        <v>2204838652</v>
      </c>
    </row>
    <row r="106" spans="1:18" x14ac:dyDescent="0.35">
      <c r="I106" s="18"/>
      <c r="J106" s="161" t="s">
        <v>211</v>
      </c>
      <c r="K106" s="112"/>
      <c r="L106" s="122">
        <f>L85+L87+L92+L94+L99+L101+L86+L100</f>
        <v>6854665244.7305079</v>
      </c>
      <c r="M106" t="s">
        <v>296</v>
      </c>
      <c r="N106" s="61"/>
      <c r="O106" s="2">
        <f>O85+O92+O99</f>
        <v>423862079.30000007</v>
      </c>
      <c r="P106" t="s">
        <v>298</v>
      </c>
      <c r="Q106" s="61"/>
      <c r="R106" s="2">
        <f t="shared" ref="R106:R110" si="27">R85+R92+R99</f>
        <v>681250660.80000007</v>
      </c>
    </row>
    <row r="107" spans="1:18" x14ac:dyDescent="0.35">
      <c r="I107" s="18"/>
      <c r="J107" s="12"/>
      <c r="K107"/>
      <c r="L107" s="2"/>
      <c r="M107" t="s">
        <v>297</v>
      </c>
      <c r="N107" s="61"/>
      <c r="O107" s="2">
        <f>O86+O93+O100</f>
        <v>234085681.5</v>
      </c>
      <c r="P107" t="s">
        <v>299</v>
      </c>
      <c r="Q107"/>
      <c r="R107" s="2">
        <f t="shared" si="27"/>
        <v>394242730.40000004</v>
      </c>
    </row>
    <row r="108" spans="1:18" x14ac:dyDescent="0.35">
      <c r="I108" s="18"/>
      <c r="J108" s="152" t="s">
        <v>322</v>
      </c>
      <c r="K108" s="112"/>
      <c r="L108" s="122"/>
      <c r="M108" t="s">
        <v>247</v>
      </c>
      <c r="N108" s="61"/>
      <c r="O108" s="2">
        <f>O87+O94+O101</f>
        <v>94202332.599999994</v>
      </c>
      <c r="P108" t="s">
        <v>252</v>
      </c>
      <c r="Q108"/>
      <c r="R108" s="2">
        <f t="shared" si="27"/>
        <v>471222630.40000004</v>
      </c>
    </row>
    <row r="109" spans="1:18" x14ac:dyDescent="0.35">
      <c r="I109" s="18"/>
      <c r="J109" s="161" t="s">
        <v>211</v>
      </c>
      <c r="K109" s="112"/>
      <c r="L109" s="122">
        <f>L88+L93+L102</f>
        <v>1087277037.2694914</v>
      </c>
      <c r="M109" t="s">
        <v>245</v>
      </c>
      <c r="N109" s="61"/>
      <c r="O109" s="2">
        <f>O88+O95+O102</f>
        <v>58500562.820000008</v>
      </c>
      <c r="P109" t="s">
        <v>300</v>
      </c>
      <c r="Q109"/>
      <c r="R109" s="2">
        <f t="shared" si="27"/>
        <v>377450797.80000001</v>
      </c>
    </row>
    <row r="110" spans="1:18" x14ac:dyDescent="0.35">
      <c r="I110" s="18"/>
      <c r="J110" s="12"/>
      <c r="K110"/>
      <c r="L110" s="2"/>
      <c r="M110" t="s">
        <v>250</v>
      </c>
      <c r="N110" s="61"/>
      <c r="O110" s="2">
        <f>O89+O96+O103</f>
        <v>25071669.780000001</v>
      </c>
      <c r="P110" s="104" t="s">
        <v>254</v>
      </c>
      <c r="Q110"/>
      <c r="R110" s="2">
        <f t="shared" si="27"/>
        <v>187221832.60000002</v>
      </c>
    </row>
    <row r="111" spans="1:18" x14ac:dyDescent="0.35">
      <c r="I111" s="18"/>
      <c r="J111" s="152" t="s">
        <v>323</v>
      </c>
      <c r="K111" s="112"/>
      <c r="L111" s="214">
        <f>L106+L109+L107+L110</f>
        <v>7941942281.999999</v>
      </c>
      <c r="M111"/>
      <c r="N111" s="61"/>
      <c r="O111" s="2"/>
      <c r="P111" t="s">
        <v>213</v>
      </c>
      <c r="Q111"/>
      <c r="R111" s="2">
        <f>R90+R97+R104</f>
        <v>93450000</v>
      </c>
    </row>
    <row r="112" spans="1:18" x14ac:dyDescent="0.35">
      <c r="I112" s="18"/>
      <c r="J112"/>
      <c r="K112"/>
      <c r="L112"/>
      <c r="M112"/>
      <c r="N112" s="61"/>
      <c r="O112"/>
      <c r="P112"/>
      <c r="Q112"/>
    </row>
    <row r="113" spans="1:18" s="179" customFormat="1" ht="28" customHeight="1" x14ac:dyDescent="0.35">
      <c r="A113" s="206" t="s">
        <v>312</v>
      </c>
      <c r="B113" s="206"/>
      <c r="C113" s="206"/>
    </row>
    <row r="114" spans="1:18" x14ac:dyDescent="0.35">
      <c r="A114" t="s">
        <v>189</v>
      </c>
      <c r="I114"/>
      <c r="J114"/>
      <c r="K114"/>
      <c r="L114"/>
      <c r="M114"/>
      <c r="N114"/>
      <c r="O114"/>
      <c r="P114"/>
      <c r="Q114"/>
    </row>
    <row r="115" spans="1:18" s="212" customFormat="1" x14ac:dyDescent="0.35">
      <c r="A115" s="212" t="s">
        <v>372</v>
      </c>
      <c r="B115" s="212">
        <v>1018.9695817490494</v>
      </c>
      <c r="C115" s="212">
        <f>B115*F115</f>
        <v>4992950950.5703411</v>
      </c>
      <c r="D115" s="212">
        <f>'[1]GAP analysis Sc. 1'!$G$20</f>
        <v>3.1599312123817707</v>
      </c>
      <c r="E115" s="212">
        <f>'[2]Conversion factors selected IV '!$O$22</f>
        <v>1.5506666666666669</v>
      </c>
      <c r="F115" s="212">
        <f>D115*E115*1000000</f>
        <v>4899999.9999999991</v>
      </c>
      <c r="G115" s="212">
        <f>'LCoP CONVENTIONAL'!B53</f>
        <v>903.57</v>
      </c>
      <c r="H115" s="212">
        <f>G115*F115</f>
        <v>4427492999.999999</v>
      </c>
      <c r="I115" s="212">
        <v>0.7</v>
      </c>
      <c r="K115" s="212">
        <v>632.5</v>
      </c>
      <c r="L115" s="212">
        <f>I115*H115</f>
        <v>3099245099.999999</v>
      </c>
      <c r="M115" s="212">
        <v>0.1</v>
      </c>
      <c r="O115" s="212">
        <f>M115*H115</f>
        <v>442749299.99999994</v>
      </c>
      <c r="P115" s="212">
        <v>0.2</v>
      </c>
      <c r="R115" s="212">
        <f>P115*H115</f>
        <v>885498599.99999988</v>
      </c>
    </row>
    <row r="116" spans="1:18" x14ac:dyDescent="0.35">
      <c r="H116" s="209" t="s">
        <v>292</v>
      </c>
      <c r="I116" t="s">
        <v>271</v>
      </c>
      <c r="J116" s="154" t="s">
        <v>212</v>
      </c>
      <c r="K116" s="6">
        <f>1/6</f>
        <v>0.16666666666666666</v>
      </c>
      <c r="L116" s="31">
        <f>K116*L$115</f>
        <v>516540849.99999982</v>
      </c>
      <c r="M116" t="s">
        <v>296</v>
      </c>
      <c r="N116" s="61">
        <v>0.5</v>
      </c>
      <c r="O116">
        <f>N116*O$115</f>
        <v>221374649.99999997</v>
      </c>
      <c r="P116" t="s">
        <v>298</v>
      </c>
      <c r="Q116" s="61">
        <v>0.15</v>
      </c>
      <c r="R116">
        <f>Q116*R$115</f>
        <v>132824789.99999997</v>
      </c>
    </row>
    <row r="117" spans="1:18" x14ac:dyDescent="0.35">
      <c r="H117" s="209" t="s">
        <v>292</v>
      </c>
      <c r="I117" t="s">
        <v>272</v>
      </c>
      <c r="J117" s="154" t="s">
        <v>212</v>
      </c>
      <c r="K117" s="6">
        <f t="shared" ref="K117:K121" si="28">1/6</f>
        <v>0.16666666666666666</v>
      </c>
      <c r="L117" s="31">
        <f t="shared" ref="L117:L121" si="29">K117*L$115</f>
        <v>516540849.99999982</v>
      </c>
      <c r="M117" t="s">
        <v>297</v>
      </c>
      <c r="N117" s="61">
        <v>0.25</v>
      </c>
      <c r="O117">
        <f t="shared" ref="O117:O120" si="30">N117*O$115</f>
        <v>110687324.99999999</v>
      </c>
      <c r="P117" t="s">
        <v>299</v>
      </c>
      <c r="Q117" s="61">
        <v>0.4</v>
      </c>
      <c r="R117">
        <f t="shared" ref="R117:R121" si="31">Q117*R$115</f>
        <v>354199440</v>
      </c>
    </row>
    <row r="118" spans="1:18" x14ac:dyDescent="0.35">
      <c r="H118" s="209" t="s">
        <v>292</v>
      </c>
      <c r="I118" t="s">
        <v>273</v>
      </c>
      <c r="J118" s="154" t="s">
        <v>212</v>
      </c>
      <c r="K118" s="6">
        <f t="shared" si="28"/>
        <v>0.16666666666666666</v>
      </c>
      <c r="L118" s="31">
        <f t="shared" si="29"/>
        <v>516540849.99999982</v>
      </c>
      <c r="M118" t="s">
        <v>247</v>
      </c>
      <c r="N118" s="61">
        <v>0.15</v>
      </c>
      <c r="O118">
        <f t="shared" si="30"/>
        <v>66412394.999999985</v>
      </c>
      <c r="P118" t="s">
        <v>252</v>
      </c>
      <c r="Q118" s="61">
        <v>0.2</v>
      </c>
      <c r="R118">
        <f t="shared" si="31"/>
        <v>177099720</v>
      </c>
    </row>
    <row r="119" spans="1:18" x14ac:dyDescent="0.35">
      <c r="H119" s="209" t="s">
        <v>292</v>
      </c>
      <c r="I119" t="s">
        <v>274</v>
      </c>
      <c r="J119" s="154" t="s">
        <v>212</v>
      </c>
      <c r="K119" s="6">
        <f t="shared" si="28"/>
        <v>0.16666666666666666</v>
      </c>
      <c r="L119" s="31">
        <f t="shared" si="29"/>
        <v>516540849.99999982</v>
      </c>
      <c r="M119" t="s">
        <v>245</v>
      </c>
      <c r="N119" s="61">
        <v>7.0000000000000007E-2</v>
      </c>
      <c r="O119">
        <f t="shared" si="30"/>
        <v>30992451</v>
      </c>
      <c r="P119" t="s">
        <v>300</v>
      </c>
      <c r="Q119" s="61">
        <v>0.15</v>
      </c>
      <c r="R119">
        <f t="shared" si="31"/>
        <v>132824789.99999997</v>
      </c>
    </row>
    <row r="120" spans="1:18" x14ac:dyDescent="0.35">
      <c r="H120" s="209" t="s">
        <v>292</v>
      </c>
      <c r="I120" t="s">
        <v>275</v>
      </c>
      <c r="J120" s="154" t="s">
        <v>212</v>
      </c>
      <c r="K120" s="6">
        <f t="shared" si="28"/>
        <v>0.16666666666666666</v>
      </c>
      <c r="L120" s="31">
        <f t="shared" si="29"/>
        <v>516540849.99999982</v>
      </c>
      <c r="M120" t="s">
        <v>250</v>
      </c>
      <c r="N120" s="61">
        <v>0.03</v>
      </c>
      <c r="O120">
        <f t="shared" si="30"/>
        <v>13282478.999999998</v>
      </c>
      <c r="P120" s="104" t="s">
        <v>254</v>
      </c>
      <c r="Q120" s="61">
        <v>0.1</v>
      </c>
      <c r="R120">
        <f t="shared" si="31"/>
        <v>88549860</v>
      </c>
    </row>
    <row r="121" spans="1:18" x14ac:dyDescent="0.35">
      <c r="H121" s="209" t="s">
        <v>292</v>
      </c>
      <c r="I121" t="s">
        <v>276</v>
      </c>
      <c r="J121" s="154" t="s">
        <v>212</v>
      </c>
      <c r="K121" s="6">
        <f t="shared" si="28"/>
        <v>0.16666666666666666</v>
      </c>
      <c r="L121" s="31">
        <f t="shared" si="29"/>
        <v>516540849.99999982</v>
      </c>
      <c r="M121"/>
      <c r="N121"/>
      <c r="O121">
        <f>SUM(O116:O120)</f>
        <v>442749299.99999994</v>
      </c>
      <c r="P121" t="s">
        <v>213</v>
      </c>
      <c r="Q121" s="61">
        <v>0</v>
      </c>
      <c r="R121">
        <f t="shared" si="31"/>
        <v>0</v>
      </c>
    </row>
    <row r="122" spans="1:18" x14ac:dyDescent="0.35">
      <c r="I122"/>
      <c r="J122"/>
      <c r="K122" s="80" t="s">
        <v>189</v>
      </c>
      <c r="L122" s="92">
        <f>L115</f>
        <v>3099245099.999999</v>
      </c>
      <c r="M122"/>
      <c r="N122"/>
      <c r="O122"/>
      <c r="P122"/>
      <c r="Q122" s="61"/>
    </row>
    <row r="123" spans="1:18" x14ac:dyDescent="0.35">
      <c r="I123"/>
      <c r="J123"/>
      <c r="K123"/>
      <c r="L123"/>
      <c r="M123"/>
      <c r="N123"/>
      <c r="O123"/>
      <c r="P123"/>
      <c r="Q123"/>
    </row>
    <row r="124" spans="1:18" x14ac:dyDescent="0.35">
      <c r="I124"/>
      <c r="J124"/>
      <c r="K124"/>
      <c r="L124"/>
      <c r="M124"/>
      <c r="N124"/>
      <c r="O124"/>
      <c r="P124"/>
      <c r="Q124"/>
    </row>
    <row r="125" spans="1:18" x14ac:dyDescent="0.35">
      <c r="I125"/>
      <c r="J125"/>
      <c r="K125"/>
      <c r="L125"/>
      <c r="M125"/>
      <c r="N125"/>
      <c r="O125"/>
      <c r="P125"/>
      <c r="Q125"/>
    </row>
    <row r="126" spans="1:18" x14ac:dyDescent="0.35">
      <c r="I126"/>
      <c r="J126"/>
      <c r="K126"/>
      <c r="L126"/>
      <c r="M126"/>
      <c r="N126"/>
      <c r="O126"/>
      <c r="P126"/>
      <c r="Q126"/>
    </row>
    <row r="127" spans="1:18" x14ac:dyDescent="0.35">
      <c r="I127"/>
      <c r="J127"/>
      <c r="K127"/>
      <c r="L127"/>
      <c r="M127"/>
      <c r="N127"/>
      <c r="O127"/>
      <c r="P127"/>
      <c r="Q127"/>
    </row>
    <row r="128" spans="1:18" x14ac:dyDescent="0.35">
      <c r="I128"/>
      <c r="J128"/>
      <c r="K128"/>
      <c r="L128"/>
      <c r="M128"/>
      <c r="N128"/>
      <c r="O128"/>
      <c r="P128"/>
      <c r="Q128"/>
    </row>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sheetData>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93636-EC0F-4A67-93B5-E0952DCC9E07}">
  <sheetPr>
    <tabColor theme="5" tint="0.39997558519241921"/>
  </sheetPr>
  <dimension ref="A1:U290"/>
  <sheetViews>
    <sheetView zoomScale="80" zoomScaleNormal="80" workbookViewId="0">
      <pane ySplit="5" topLeftCell="A71" activePane="bottomLeft" state="frozen"/>
      <selection pane="bottomLeft" activeCell="G97" sqref="G97"/>
    </sheetView>
  </sheetViews>
  <sheetFormatPr baseColWidth="10" defaultRowHeight="14.5" x14ac:dyDescent="0.35"/>
  <cols>
    <col min="1" max="1" width="23.26953125" customWidth="1"/>
    <col min="2" max="2" width="15.1796875" customWidth="1"/>
    <col min="3" max="3" width="21.90625" customWidth="1"/>
    <col min="4" max="4" width="16.26953125" customWidth="1"/>
    <col min="5" max="5" width="13.1796875" customWidth="1"/>
    <col min="6" max="6" width="18.90625" style="1" customWidth="1"/>
    <col min="7" max="7" width="15.6328125" customWidth="1"/>
    <col min="8" max="8" width="20.36328125" customWidth="1"/>
    <col min="9" max="9" width="16.26953125" customWidth="1"/>
    <col min="10" max="10" width="13.26953125" customWidth="1"/>
    <col min="11" max="11" width="19.36328125" customWidth="1"/>
    <col min="12" max="12" width="23.54296875" customWidth="1"/>
    <col min="13" max="13" width="15.7265625" bestFit="1" customWidth="1"/>
    <col min="14" max="14" width="9" customWidth="1"/>
    <col min="15" max="15" width="20.54296875" customWidth="1"/>
    <col min="17" max="17" width="10.6328125" customWidth="1"/>
    <col min="18" max="18" width="20.81640625" customWidth="1"/>
    <col min="19" max="19" width="20.08984375" customWidth="1"/>
    <col min="20" max="20" width="18.7265625" customWidth="1"/>
  </cols>
  <sheetData>
    <row r="1" spans="1:20" s="48" customFormat="1" ht="24" customHeight="1" x14ac:dyDescent="0.35">
      <c r="A1" s="48" t="s">
        <v>329</v>
      </c>
      <c r="F1" s="241"/>
    </row>
    <row r="2" spans="1:20" s="48" customFormat="1" ht="13.5" customHeight="1" x14ac:dyDescent="0.35">
      <c r="A2" s="48" t="s">
        <v>326</v>
      </c>
      <c r="F2" s="241"/>
    </row>
    <row r="3" spans="1:20" s="48" customFormat="1" ht="17" customHeight="1" x14ac:dyDescent="0.35">
      <c r="A3" s="48" t="s">
        <v>327</v>
      </c>
      <c r="E3" s="48" t="s">
        <v>328</v>
      </c>
      <c r="F3" s="241"/>
    </row>
    <row r="4" spans="1:20" ht="16" customHeight="1" x14ac:dyDescent="0.35">
      <c r="A4" s="48" t="s">
        <v>441</v>
      </c>
      <c r="C4" s="2">
        <f>C6+C196+C225+C274+C283</f>
        <v>37066585741.175415</v>
      </c>
    </row>
    <row r="5" spans="1:20" s="49" customFormat="1" ht="37" customHeight="1" x14ac:dyDescent="0.35">
      <c r="B5" s="49" t="s">
        <v>402</v>
      </c>
      <c r="C5" s="49" t="s">
        <v>403</v>
      </c>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20" s="207" customFormat="1" ht="37" customHeight="1" x14ac:dyDescent="0.35">
      <c r="A6" s="246" t="s">
        <v>365</v>
      </c>
      <c r="B6" s="246"/>
      <c r="C6" s="245">
        <f>C8+C44+C86+C120+C154</f>
        <v>10819762736.803207</v>
      </c>
      <c r="D6" s="245">
        <f>D8+D44+D86+D120+D154</f>
        <v>7.3763476767054019</v>
      </c>
      <c r="F6" s="215"/>
      <c r="I6" s="246"/>
      <c r="M6" s="246"/>
      <c r="P6" s="246"/>
    </row>
    <row r="7" spans="1:20" s="93" customFormat="1" ht="40" customHeight="1" x14ac:dyDescent="0.35">
      <c r="A7" s="93" t="s">
        <v>104</v>
      </c>
      <c r="F7" s="176"/>
    </row>
    <row r="8" spans="1:20" s="217" customFormat="1" x14ac:dyDescent="0.35">
      <c r="A8" s="217" t="s">
        <v>189</v>
      </c>
      <c r="B8" s="221">
        <f>C8/1000000</f>
        <v>3061.5849813700174</v>
      </c>
      <c r="C8" s="224">
        <f>C9+C23+C16</f>
        <v>3061584981.3700175</v>
      </c>
      <c r="D8" s="221">
        <f>D9+D23+D43+D16</f>
        <v>1.8575045380720341</v>
      </c>
      <c r="F8" s="224">
        <f>F9+F23+F16</f>
        <v>2040905.7036400095</v>
      </c>
      <c r="H8" s="224">
        <f>H9+H23+H16</f>
        <v>2752886870.1721654</v>
      </c>
      <c r="L8" s="224">
        <f>L9+L16+L23</f>
        <v>1884690659.2234704</v>
      </c>
      <c r="M8" s="224"/>
      <c r="N8" s="224"/>
      <c r="O8" s="224" t="e">
        <f>O9+O16+O23+#REF!</f>
        <v>#REF!</v>
      </c>
      <c r="P8" s="235"/>
      <c r="Q8" s="224"/>
      <c r="R8" s="224" t="e">
        <f>R9+R16+R23+#REF!</f>
        <v>#REF!</v>
      </c>
    </row>
    <row r="9" spans="1:20" s="219" customFormat="1" ht="16" customHeight="1" x14ac:dyDescent="0.35">
      <c r="A9" s="219" t="s">
        <v>186</v>
      </c>
      <c r="B9" s="270">
        <v>1450</v>
      </c>
      <c r="C9" s="270">
        <f>B9*F9</f>
        <v>2464999999.9999971</v>
      </c>
      <c r="D9" s="219">
        <f>'[1]GAP analysis Sc. 1'!$P$55+'[1]GAP analysis Sc. 1'!$P$68</f>
        <v>1.5023406897869476</v>
      </c>
      <c r="E9" s="219">
        <f>'[2]Conversion factors selected IV '!$O$4</f>
        <v>1.1315675675675676</v>
      </c>
      <c r="F9" s="219">
        <f>D9*E9*1000000</f>
        <v>1699999.9999999979</v>
      </c>
      <c r="G9" s="219">
        <f>'LCoP 2030 MEDIUM'!E2</f>
        <v>1350</v>
      </c>
      <c r="H9" s="219">
        <f>G9*F9</f>
        <v>2294999999.9999971</v>
      </c>
      <c r="I9" s="219">
        <f>'LCoP 2030 MEDIUM'!H2</f>
        <v>0.7407407407407407</v>
      </c>
      <c r="L9" s="219">
        <f>I9*H9</f>
        <v>1699999999.9999979</v>
      </c>
      <c r="M9" s="276">
        <f>'LCoP 2030 MEDIUM'!F2</f>
        <v>6.1481481481481484E-2</v>
      </c>
      <c r="O9" s="219">
        <f>M9*H9</f>
        <v>141099999.99999982</v>
      </c>
      <c r="P9" s="276">
        <f>'LCoP 2030 MEDIUM'!G2</f>
        <v>0.19777777777777777</v>
      </c>
      <c r="R9" s="219">
        <f>P9*H9</f>
        <v>453899999.9999994</v>
      </c>
      <c r="S9" s="274">
        <f>SUM(S10:S15)</f>
        <v>0</v>
      </c>
      <c r="T9" s="219">
        <f>L9+O9+R9</f>
        <v>2294999999.9999971</v>
      </c>
    </row>
    <row r="10" spans="1:20" x14ac:dyDescent="0.35">
      <c r="C10" s="298">
        <f>C9/C8</f>
        <v>0.80513851975356343</v>
      </c>
      <c r="D10" s="31"/>
      <c r="E10" s="31"/>
      <c r="F10" s="31"/>
      <c r="G10" s="2"/>
      <c r="H10" s="222" t="s">
        <v>290</v>
      </c>
      <c r="I10" s="104" t="s">
        <v>304</v>
      </c>
      <c r="J10" s="157" t="s">
        <v>211</v>
      </c>
      <c r="K10" s="104">
        <v>1000</v>
      </c>
      <c r="L10" s="104">
        <f>K10*F9</f>
        <v>1699999999.9999979</v>
      </c>
      <c r="M10" s="5" t="s">
        <v>245</v>
      </c>
      <c r="N10" s="181">
        <v>0.05</v>
      </c>
      <c r="O10" s="122">
        <f>N10*O$9</f>
        <v>7054999.9999999916</v>
      </c>
      <c r="P10" s="18" t="s">
        <v>251</v>
      </c>
      <c r="Q10" s="112">
        <v>0.35</v>
      </c>
      <c r="R10" s="104">
        <f>Q10*R$9</f>
        <v>158864999.99999979</v>
      </c>
      <c r="S10" s="18"/>
      <c r="T10" s="275"/>
    </row>
    <row r="11" spans="1:20" x14ac:dyDescent="0.35">
      <c r="D11" s="31"/>
      <c r="E11" s="31"/>
      <c r="F11" s="31"/>
      <c r="G11" s="2"/>
      <c r="H11" s="24"/>
      <c r="I11" s="104"/>
      <c r="J11" s="112"/>
      <c r="K11" s="104"/>
      <c r="L11" s="104"/>
      <c r="M11" t="s">
        <v>246</v>
      </c>
      <c r="N11" s="181">
        <v>0.02</v>
      </c>
      <c r="O11" s="122">
        <f t="shared" ref="O11:O15" si="0">N11*O$9</f>
        <v>2821999.9999999963</v>
      </c>
      <c r="P11" s="18" t="s">
        <v>210</v>
      </c>
      <c r="Q11" s="112">
        <v>0.25</v>
      </c>
      <c r="R11" s="104">
        <f t="shared" ref="R11:R14" si="1">Q11*R$9</f>
        <v>113474999.99999985</v>
      </c>
      <c r="S11" s="18"/>
    </row>
    <row r="12" spans="1:20" x14ac:dyDescent="0.35">
      <c r="D12" s="31"/>
      <c r="E12" s="31"/>
      <c r="F12" s="31"/>
      <c r="G12" s="2"/>
      <c r="H12" s="24"/>
      <c r="I12" s="104"/>
      <c r="J12" s="112"/>
      <c r="K12" s="104"/>
      <c r="L12" s="104"/>
      <c r="M12" s="5" t="s">
        <v>244</v>
      </c>
      <c r="N12" s="181">
        <v>0.45</v>
      </c>
      <c r="O12" s="122">
        <f t="shared" si="0"/>
        <v>63494999.999999918</v>
      </c>
      <c r="P12" s="18" t="s">
        <v>252</v>
      </c>
      <c r="Q12" s="112">
        <v>0.2</v>
      </c>
      <c r="R12" s="104">
        <f t="shared" si="1"/>
        <v>90779999.999999881</v>
      </c>
      <c r="S12" s="18"/>
    </row>
    <row r="13" spans="1:20" x14ac:dyDescent="0.35">
      <c r="D13" s="272"/>
      <c r="E13" s="31"/>
      <c r="F13" s="269"/>
      <c r="G13" s="2"/>
      <c r="H13" s="24"/>
      <c r="I13" s="102"/>
      <c r="J13" s="268"/>
      <c r="K13" s="102"/>
      <c r="L13" s="104"/>
      <c r="M13" t="s">
        <v>247</v>
      </c>
      <c r="N13" s="181">
        <v>0.15</v>
      </c>
      <c r="O13" s="122">
        <f t="shared" si="0"/>
        <v>21164999.999999974</v>
      </c>
      <c r="P13" s="18" t="s">
        <v>253</v>
      </c>
      <c r="Q13" s="112">
        <v>0.15</v>
      </c>
      <c r="R13" s="104">
        <f t="shared" si="1"/>
        <v>68084999.999999911</v>
      </c>
      <c r="S13" s="18"/>
    </row>
    <row r="14" spans="1:20" x14ac:dyDescent="0.35">
      <c r="D14" s="31"/>
      <c r="E14" s="31"/>
      <c r="F14" s="31"/>
      <c r="G14" s="2"/>
      <c r="H14" s="24"/>
      <c r="I14" s="104"/>
      <c r="J14" s="112"/>
      <c r="K14" s="104"/>
      <c r="L14" s="104"/>
      <c r="M14" t="s">
        <v>248</v>
      </c>
      <c r="N14" s="181">
        <v>0.3</v>
      </c>
      <c r="O14" s="122">
        <f t="shared" si="0"/>
        <v>42329999.999999948</v>
      </c>
      <c r="P14" s="18" t="s">
        <v>254</v>
      </c>
      <c r="Q14" s="112">
        <v>0.05</v>
      </c>
      <c r="R14" s="104">
        <f t="shared" si="1"/>
        <v>22694999.99999997</v>
      </c>
      <c r="S14" s="18"/>
    </row>
    <row r="15" spans="1:20" x14ac:dyDescent="0.35">
      <c r="D15" s="31"/>
      <c r="E15" s="31"/>
      <c r="F15" s="31"/>
      <c r="G15" s="2"/>
      <c r="H15" s="24"/>
      <c r="I15" s="104"/>
      <c r="J15" s="112"/>
      <c r="K15" s="104"/>
      <c r="L15" s="104"/>
      <c r="M15" t="s">
        <v>250</v>
      </c>
      <c r="N15" s="181">
        <v>0.03</v>
      </c>
      <c r="O15" s="122">
        <f t="shared" si="0"/>
        <v>4232999.9999999944</v>
      </c>
      <c r="P15" s="18"/>
      <c r="Q15" s="112"/>
      <c r="R15" s="104"/>
      <c r="S15" s="18"/>
    </row>
    <row r="16" spans="1:20" s="218" customFormat="1" x14ac:dyDescent="0.35">
      <c r="A16" s="218" t="s">
        <v>334</v>
      </c>
      <c r="B16" s="218">
        <v>1750</v>
      </c>
      <c r="C16" s="270">
        <f>B16*F16</f>
        <v>490000000.0000003</v>
      </c>
      <c r="D16" s="220">
        <f>'[1]GAP analysis Sc. 1'!$P$56+'[1]GAP analysis Sc. 1'!$P$69</f>
        <v>0.29425814464507521</v>
      </c>
      <c r="E16" s="225">
        <f>'[2]Conversion factors selected IV '!$O$7</f>
        <v>0.95154545454545458</v>
      </c>
      <c r="F16" s="219">
        <f>D16*E16*1000000</f>
        <v>280000.00000000017</v>
      </c>
      <c r="G16" s="225">
        <f>'LCoP 2030 MEDIUM'!E3</f>
        <v>1287.6834512512307</v>
      </c>
      <c r="H16" s="219">
        <f>G16*F16</f>
        <v>360551366.35034484</v>
      </c>
      <c r="I16" s="218">
        <f>'LCoP 2030 MEDIUM'!H3</f>
        <v>0.47657943468553543</v>
      </c>
      <c r="L16" s="219">
        <f>I16*H16</f>
        <v>171831366.35034472</v>
      </c>
      <c r="M16" s="218">
        <f>'LCoP 2030 MEDIUM'!F3</f>
        <v>0.20890227310028334</v>
      </c>
      <c r="N16" s="227"/>
      <c r="O16" s="219">
        <f>M16*H16</f>
        <v>75320000.000000045</v>
      </c>
      <c r="P16" s="277">
        <f>'LCoP 2030 MEDIUM'!G3</f>
        <v>0.31451829221418126</v>
      </c>
      <c r="Q16" s="225"/>
      <c r="R16" s="219">
        <f>P16*H16</f>
        <v>113400000.00000007</v>
      </c>
      <c r="S16" s="219">
        <f>L16+O16+R16</f>
        <v>360551366.35034484</v>
      </c>
    </row>
    <row r="17" spans="1:19" x14ac:dyDescent="0.35">
      <c r="C17" s="298">
        <f>C16/C8</f>
        <v>0.16004781934249362</v>
      </c>
      <c r="F17" s="31"/>
      <c r="H17" s="209" t="s">
        <v>292</v>
      </c>
      <c r="I17" s="104" t="s">
        <v>162</v>
      </c>
      <c r="J17" s="154" t="s">
        <v>212</v>
      </c>
      <c r="K17" s="2">
        <f>'Feedstock MIX per IVC'!G6</f>
        <v>88.966549177267495</v>
      </c>
      <c r="L17" s="2">
        <f>K17*$F$16</f>
        <v>24910633.769634914</v>
      </c>
      <c r="M17" s="5" t="s">
        <v>245</v>
      </c>
      <c r="N17" s="181">
        <v>0.05</v>
      </c>
      <c r="O17" s="2">
        <f>N17*O$16</f>
        <v>3766000.0000000023</v>
      </c>
      <c r="P17" s="18" t="s">
        <v>251</v>
      </c>
      <c r="Q17" s="112">
        <v>0.35</v>
      </c>
      <c r="R17" s="104">
        <f>Q17*R$16</f>
        <v>39690000.000000022</v>
      </c>
    </row>
    <row r="18" spans="1:19" x14ac:dyDescent="0.35">
      <c r="F18" s="31"/>
      <c r="I18" s="233" t="s">
        <v>341</v>
      </c>
      <c r="J18" s="158" t="s">
        <v>104</v>
      </c>
      <c r="K18" s="6">
        <f>'Feedstock MIX per IVC'!G7*0.85</f>
        <v>446.00936676286881</v>
      </c>
      <c r="L18" s="2">
        <f t="shared" ref="L18:L19" si="2">K18*$F$16</f>
        <v>124882622.69360334</v>
      </c>
      <c r="M18" t="s">
        <v>246</v>
      </c>
      <c r="N18" s="181">
        <v>0.02</v>
      </c>
      <c r="O18" s="2">
        <f t="shared" ref="O18:O22" si="3">N18*O$16</f>
        <v>1506400.0000000009</v>
      </c>
      <c r="P18" s="18" t="s">
        <v>210</v>
      </c>
      <c r="Q18" s="112">
        <v>0.25</v>
      </c>
      <c r="R18" s="104">
        <f t="shared" ref="R18:R21" si="4">Q18*R$16</f>
        <v>28350000.000000019</v>
      </c>
    </row>
    <row r="19" spans="1:19" x14ac:dyDescent="0.35">
      <c r="F19" s="31"/>
      <c r="I19" s="234" t="s">
        <v>357</v>
      </c>
      <c r="J19" s="259" t="s">
        <v>210</v>
      </c>
      <c r="K19" s="79">
        <f>'Feedstock MIX per IVC'!G7*0.15</f>
        <v>78.707535311094489</v>
      </c>
      <c r="L19" s="2">
        <f t="shared" si="2"/>
        <v>22038109.887106471</v>
      </c>
      <c r="M19" s="5" t="s">
        <v>244</v>
      </c>
      <c r="N19" s="181">
        <v>0.45</v>
      </c>
      <c r="O19" s="2">
        <f t="shared" si="3"/>
        <v>33894000.000000022</v>
      </c>
      <c r="P19" s="18" t="s">
        <v>252</v>
      </c>
      <c r="Q19" s="112">
        <v>0.2</v>
      </c>
      <c r="R19" s="104">
        <f t="shared" si="4"/>
        <v>22680000.000000015</v>
      </c>
      <c r="S19" s="2"/>
    </row>
    <row r="20" spans="1:19" x14ac:dyDescent="0.35">
      <c r="F20" s="31"/>
      <c r="L20" s="2">
        <f>SUM(L17:L19)</f>
        <v>171831366.35034472</v>
      </c>
      <c r="M20" t="s">
        <v>247</v>
      </c>
      <c r="N20" s="181">
        <v>0.15</v>
      </c>
      <c r="O20" s="2">
        <f t="shared" si="3"/>
        <v>11298000.000000006</v>
      </c>
      <c r="P20" s="18" t="s">
        <v>253</v>
      </c>
      <c r="Q20" s="112">
        <v>0.15</v>
      </c>
      <c r="R20" s="104">
        <f t="shared" si="4"/>
        <v>17010000.000000011</v>
      </c>
    </row>
    <row r="21" spans="1:19" x14ac:dyDescent="0.35">
      <c r="F21" s="31"/>
      <c r="M21" t="s">
        <v>248</v>
      </c>
      <c r="N21" s="181">
        <v>0.3</v>
      </c>
      <c r="O21" s="2">
        <f t="shared" si="3"/>
        <v>22596000.000000011</v>
      </c>
      <c r="P21" s="18" t="s">
        <v>254</v>
      </c>
      <c r="Q21" s="112">
        <v>0.05</v>
      </c>
      <c r="R21" s="104">
        <f t="shared" si="4"/>
        <v>5670000.0000000037</v>
      </c>
    </row>
    <row r="22" spans="1:19" x14ac:dyDescent="0.35">
      <c r="F22" s="31"/>
      <c r="M22" t="s">
        <v>250</v>
      </c>
      <c r="N22" s="181">
        <v>0.03</v>
      </c>
      <c r="O22" s="2">
        <f t="shared" si="3"/>
        <v>2259600.0000000014</v>
      </c>
      <c r="P22" s="18"/>
      <c r="Q22" s="112"/>
      <c r="R22" s="104"/>
    </row>
    <row r="23" spans="1:19" s="218" customFormat="1" x14ac:dyDescent="0.35">
      <c r="A23" s="218" t="s">
        <v>335</v>
      </c>
      <c r="B23" s="218">
        <v>1750</v>
      </c>
      <c r="C23" s="270">
        <f>B23*F23</f>
        <v>106584981.37001999</v>
      </c>
      <c r="D23" s="220">
        <f>'[1]GAP analysis Sc. 1'!$P$57</f>
        <v>6.0905703640011424E-2</v>
      </c>
      <c r="E23" s="218">
        <f>'[2]Conversion factors selected IV '!$O$89</f>
        <v>1</v>
      </c>
      <c r="F23" s="219">
        <f>D23*E23*1000000</f>
        <v>60905.703640011423</v>
      </c>
      <c r="G23" s="225">
        <f>'LCoP 2030 MEDIUM'!E20</f>
        <v>1598.1344603969103</v>
      </c>
      <c r="H23" s="220">
        <f>G23*F23</f>
        <v>97335503.821823791</v>
      </c>
      <c r="I23" s="218">
        <f>'LCoP 2030 MEDIUM'!H20</f>
        <v>0.13211307660838084</v>
      </c>
      <c r="L23" s="219">
        <f>I23*H23</f>
        <v>12859292.873127952</v>
      </c>
      <c r="M23" s="218">
        <f>'LCoP 2030 MEDIUM'!F20</f>
        <v>0.50371230953875523</v>
      </c>
      <c r="N23" s="227"/>
      <c r="O23" s="219">
        <f>M23*H23</f>
        <v>49029091.430209197</v>
      </c>
      <c r="P23" s="277">
        <f>'LCoP 2030 MEDIUM'!G20</f>
        <v>0.36417461385286404</v>
      </c>
      <c r="Q23" s="225"/>
      <c r="R23" s="219">
        <f>P23*H23</f>
        <v>35447119.518486649</v>
      </c>
      <c r="S23" s="219">
        <f>L23+O23+R23</f>
        <v>97335503.821823806</v>
      </c>
    </row>
    <row r="24" spans="1:19" x14ac:dyDescent="0.35">
      <c r="C24" s="298">
        <f>C23/C8</f>
        <v>3.4813660903942854E-2</v>
      </c>
      <c r="D24" s="2"/>
      <c r="F24" s="154" t="s">
        <v>212</v>
      </c>
      <c r="G24" s="284" t="e">
        <f>L27/L21</f>
        <v>#DIV/0!</v>
      </c>
      <c r="H24" s="209" t="s">
        <v>292</v>
      </c>
      <c r="I24" s="12" t="s">
        <v>5</v>
      </c>
      <c r="J24" s="154" t="s">
        <v>212</v>
      </c>
      <c r="K24" s="6">
        <f>'Feedstock MIX per IVC'!G89</f>
        <v>104.52293969276826</v>
      </c>
      <c r="L24" s="2">
        <f t="shared" ref="L24:L31" si="5">K24*F$23</f>
        <v>6366043.1885105306</v>
      </c>
      <c r="M24" s="5" t="s">
        <v>245</v>
      </c>
      <c r="N24" s="278">
        <v>0.15</v>
      </c>
      <c r="O24" s="2">
        <f>N24*O$23</f>
        <v>7354363.7145313798</v>
      </c>
      <c r="P24" s="18" t="s">
        <v>251</v>
      </c>
      <c r="Q24" s="112">
        <v>0.15</v>
      </c>
      <c r="R24" s="2">
        <f>Q24*R$23</f>
        <v>5317067.9277729969</v>
      </c>
    </row>
    <row r="25" spans="1:19" x14ac:dyDescent="0.35">
      <c r="D25" s="2"/>
      <c r="F25" s="157" t="s">
        <v>211</v>
      </c>
      <c r="G25" s="284">
        <f>L26/L23</f>
        <v>1.3872487721245708E-2</v>
      </c>
      <c r="H25" s="209" t="s">
        <v>292</v>
      </c>
      <c r="I25" s="12" t="s">
        <v>6</v>
      </c>
      <c r="J25" s="154" t="s">
        <v>212</v>
      </c>
      <c r="K25" s="6">
        <f>'Feedstock MIX per IVC'!G90</f>
        <v>6.0040707909944153</v>
      </c>
      <c r="L25" s="2">
        <f t="shared" si="5"/>
        <v>365682.15622995485</v>
      </c>
      <c r="M25" t="s">
        <v>246</v>
      </c>
      <c r="N25" s="79">
        <v>0.02</v>
      </c>
      <c r="O25" s="2">
        <f t="shared" ref="O25:O29" si="6">N25*O$23</f>
        <v>980581.82860418397</v>
      </c>
      <c r="P25" s="18" t="s">
        <v>210</v>
      </c>
      <c r="Q25" s="112">
        <v>0.25</v>
      </c>
      <c r="R25" s="2">
        <f t="shared" ref="R25:R28" si="7">Q25*R$23</f>
        <v>8861779.8796216622</v>
      </c>
    </row>
    <row r="26" spans="1:19" x14ac:dyDescent="0.35">
      <c r="D26" s="2"/>
      <c r="F26" s="178" t="s">
        <v>256</v>
      </c>
      <c r="G26" s="284">
        <f>L29/L23</f>
        <v>0.22886406110067606</v>
      </c>
      <c r="H26" s="209" t="s">
        <v>292</v>
      </c>
      <c r="I26" s="12" t="s">
        <v>7</v>
      </c>
      <c r="J26" s="157" t="s">
        <v>211</v>
      </c>
      <c r="K26" s="6">
        <f>'Feedstock MIX per IVC'!G91</f>
        <v>2.9289602093879772</v>
      </c>
      <c r="L26" s="2">
        <f t="shared" si="5"/>
        <v>178390.38248636996</v>
      </c>
      <c r="M26" s="5" t="s">
        <v>244</v>
      </c>
      <c r="N26" s="278">
        <v>0.45</v>
      </c>
      <c r="O26" s="2">
        <f t="shared" si="6"/>
        <v>22063091.143594138</v>
      </c>
      <c r="P26" s="18" t="s">
        <v>252</v>
      </c>
      <c r="Q26" s="112">
        <v>0.2</v>
      </c>
      <c r="R26" s="2">
        <f t="shared" si="7"/>
        <v>7089423.9036973305</v>
      </c>
    </row>
    <row r="27" spans="1:19" x14ac:dyDescent="0.35">
      <c r="D27" s="2"/>
      <c r="F27" s="156" t="s">
        <v>209</v>
      </c>
      <c r="G27" s="284">
        <f>L30/L23</f>
        <v>0.20022694279288797</v>
      </c>
      <c r="H27" s="209" t="s">
        <v>292</v>
      </c>
      <c r="I27" s="12" t="s">
        <v>8</v>
      </c>
      <c r="J27" s="154" t="s">
        <v>212</v>
      </c>
      <c r="K27" s="6">
        <f>'Feedstock MIX per IVC'!G92</f>
        <v>4.8668637567806563</v>
      </c>
      <c r="L27" s="2">
        <f t="shared" si="5"/>
        <v>296419.76162679528</v>
      </c>
      <c r="M27" t="s">
        <v>247</v>
      </c>
      <c r="N27" s="79">
        <v>0.1</v>
      </c>
      <c r="O27" s="2">
        <f t="shared" si="6"/>
        <v>4902909.1430209195</v>
      </c>
      <c r="P27" s="18" t="s">
        <v>253</v>
      </c>
      <c r="Q27" s="112">
        <v>0.3</v>
      </c>
      <c r="R27" s="2">
        <f t="shared" si="7"/>
        <v>10634135.855545994</v>
      </c>
      <c r="S27" s="2"/>
    </row>
    <row r="28" spans="1:19" x14ac:dyDescent="0.35">
      <c r="D28" s="2"/>
      <c r="F28" s="159" t="s">
        <v>213</v>
      </c>
      <c r="G28" s="284">
        <f>L31/L23</f>
        <v>0</v>
      </c>
      <c r="H28" s="209" t="s">
        <v>292</v>
      </c>
      <c r="I28" s="12" t="s">
        <v>9</v>
      </c>
      <c r="J28" s="154" t="s">
        <v>212</v>
      </c>
      <c r="K28" s="6">
        <f>'Feedstock MIX per IVC'!G93</f>
        <v>2.2157283787428326</v>
      </c>
      <c r="L28" s="2">
        <f t="shared" si="5"/>
        <v>134950.49598247395</v>
      </c>
      <c r="M28" t="s">
        <v>248</v>
      </c>
      <c r="N28" s="79">
        <v>0.25</v>
      </c>
      <c r="O28" s="2">
        <f t="shared" si="6"/>
        <v>12257272.857552299</v>
      </c>
      <c r="P28" s="18" t="s">
        <v>254</v>
      </c>
      <c r="Q28" s="112">
        <v>0.1</v>
      </c>
      <c r="R28" s="2">
        <f t="shared" si="7"/>
        <v>3544711.9518486653</v>
      </c>
    </row>
    <row r="29" spans="1:19" x14ac:dyDescent="0.35">
      <c r="D29" s="2"/>
      <c r="F29" s="31"/>
      <c r="G29" s="6"/>
      <c r="H29" s="209" t="s">
        <v>292</v>
      </c>
      <c r="I29" s="12" t="s">
        <v>10</v>
      </c>
      <c r="J29" s="178" t="s">
        <v>256</v>
      </c>
      <c r="K29" s="6">
        <f>'Feedstock MIX per IVC'!G94</f>
        <v>48.321090044736764</v>
      </c>
      <c r="L29" s="2">
        <f t="shared" si="5"/>
        <v>2943029.9898270438</v>
      </c>
      <c r="M29" t="s">
        <v>250</v>
      </c>
      <c r="N29" s="79">
        <v>0.03</v>
      </c>
      <c r="O29" s="2">
        <f t="shared" si="6"/>
        <v>1470872.7429062759</v>
      </c>
      <c r="P29" s="18"/>
      <c r="Q29" s="112">
        <f>SUM(Q24:Q28)</f>
        <v>1.0000000000000002</v>
      </c>
      <c r="R29" s="2"/>
    </row>
    <row r="30" spans="1:19" x14ac:dyDescent="0.35">
      <c r="D30" s="2"/>
      <c r="F30" s="31"/>
      <c r="G30" s="6"/>
      <c r="H30" s="209" t="s">
        <v>292</v>
      </c>
      <c r="I30" s="12" t="s">
        <v>11</v>
      </c>
      <c r="J30" s="156" t="s">
        <v>209</v>
      </c>
      <c r="K30" s="6">
        <f>'Feedstock MIX per IVC'!G95</f>
        <v>42.274807523499447</v>
      </c>
      <c r="L30" s="2">
        <f t="shared" si="5"/>
        <v>2574776.8984647826</v>
      </c>
      <c r="N30" s="79"/>
      <c r="Q30" s="6"/>
    </row>
    <row r="31" spans="1:19" x14ac:dyDescent="0.35">
      <c r="D31" s="2"/>
      <c r="F31" s="31"/>
      <c r="G31" s="6"/>
      <c r="H31" s="209" t="s">
        <v>292</v>
      </c>
      <c r="I31" s="12" t="s">
        <v>12</v>
      </c>
      <c r="J31" s="159" t="s">
        <v>213</v>
      </c>
      <c r="K31" s="6">
        <f>'Feedstock MIX per IVC'!G96</f>
        <v>0</v>
      </c>
      <c r="L31" s="2">
        <f t="shared" si="5"/>
        <v>0</v>
      </c>
      <c r="N31" s="79"/>
      <c r="Q31" s="6"/>
    </row>
    <row r="32" spans="1:19" x14ac:dyDescent="0.35">
      <c r="D32" s="6"/>
      <c r="E32" s="6"/>
      <c r="F32" s="31"/>
      <c r="G32" s="6"/>
      <c r="H32" s="6"/>
      <c r="I32" s="6" t="s">
        <v>360</v>
      </c>
      <c r="J32" s="6"/>
      <c r="K32" s="6"/>
      <c r="L32" s="2">
        <f>SUM(L34:L42)</f>
        <v>1884690659.2234704</v>
      </c>
      <c r="S32" s="2" t="e">
        <f>SUM(S34:S42)</f>
        <v>#REF!</v>
      </c>
    </row>
    <row r="33" spans="1:20" x14ac:dyDescent="0.35">
      <c r="D33" s="6"/>
      <c r="E33" s="6"/>
      <c r="F33" s="31"/>
      <c r="G33" s="6"/>
      <c r="H33" s="6"/>
      <c r="I33" s="229" t="s">
        <v>321</v>
      </c>
      <c r="J33" s="6"/>
      <c r="K33" s="6"/>
      <c r="L33" s="2"/>
      <c r="M33" s="80" t="s">
        <v>214</v>
      </c>
      <c r="O33" s="92" t="e">
        <f>SUM(O34:O39)</f>
        <v>#REF!</v>
      </c>
      <c r="P33" s="80" t="s">
        <v>214</v>
      </c>
      <c r="Q33" s="80"/>
      <c r="R33" s="92" t="e">
        <f>SUM(R34:R38)</f>
        <v>#REF!</v>
      </c>
      <c r="S33" s="255" t="s">
        <v>392</v>
      </c>
    </row>
    <row r="34" spans="1:20" x14ac:dyDescent="0.35">
      <c r="D34" s="6"/>
      <c r="E34" s="6"/>
      <c r="F34" s="31"/>
      <c r="G34" s="6"/>
      <c r="H34" s="6"/>
      <c r="I34" s="6"/>
      <c r="J34" s="154" t="s">
        <v>212</v>
      </c>
      <c r="K34" s="6"/>
      <c r="L34" s="2">
        <f>SUMIF($J$17:$J$31, J34, $L$17:$L$31)</f>
        <v>32073729.371984668</v>
      </c>
      <c r="M34" s="5" t="s">
        <v>245</v>
      </c>
      <c r="O34" s="2" t="e">
        <f>O10+O17+#REF!+O24</f>
        <v>#REF!</v>
      </c>
      <c r="P34" s="18" t="s">
        <v>251</v>
      </c>
      <c r="R34" s="2" t="e">
        <f>R10+R17+R24+#REF!</f>
        <v>#REF!</v>
      </c>
      <c r="S34" s="61" t="e">
        <f>R34/$H$8</f>
        <v>#REF!</v>
      </c>
    </row>
    <row r="35" spans="1:20" x14ac:dyDescent="0.35">
      <c r="D35" s="6"/>
      <c r="E35" s="6"/>
      <c r="F35" s="271"/>
      <c r="G35" s="6"/>
      <c r="H35" s="6"/>
      <c r="I35" s="6"/>
      <c r="J35" s="178" t="s">
        <v>256</v>
      </c>
      <c r="K35" s="6"/>
      <c r="L35" s="2">
        <f>SUMIF($J$17:$J$31, J35, $L$17:$L$31)</f>
        <v>2943029.9898270438</v>
      </c>
      <c r="M35" t="s">
        <v>246</v>
      </c>
      <c r="O35" s="2" t="e">
        <f>O11+O18+#REF!+O25</f>
        <v>#REF!</v>
      </c>
      <c r="P35" s="18" t="s">
        <v>210</v>
      </c>
      <c r="R35" s="2" t="e">
        <f>R11+R18+R25+#REF!</f>
        <v>#REF!</v>
      </c>
      <c r="S35" s="61" t="e">
        <f t="shared" ref="S35:S38" si="8">R35/$H$8</f>
        <v>#REF!</v>
      </c>
      <c r="T35" s="266" t="e">
        <f>L32+O33+R33</f>
        <v>#REF!</v>
      </c>
    </row>
    <row r="36" spans="1:20" x14ac:dyDescent="0.35">
      <c r="D36" s="6"/>
      <c r="E36" s="6"/>
      <c r="F36" s="31"/>
      <c r="G36" s="6"/>
      <c r="H36" s="6"/>
      <c r="I36" s="6"/>
      <c r="J36" s="156" t="s">
        <v>209</v>
      </c>
      <c r="K36" s="6"/>
      <c r="L36" s="2">
        <f>SUMIF($J$17:$J$31, J36, $L$17:$L$31)</f>
        <v>2574776.8984647826</v>
      </c>
      <c r="M36" s="5" t="s">
        <v>244</v>
      </c>
      <c r="O36" s="2" t="e">
        <f>O12+O19+#REF!+O26</f>
        <v>#REF!</v>
      </c>
      <c r="P36" s="18" t="s">
        <v>252</v>
      </c>
      <c r="R36" s="2" t="e">
        <f>R12+R19+R26+#REF!</f>
        <v>#REF!</v>
      </c>
      <c r="S36" s="61" t="e">
        <f t="shared" si="8"/>
        <v>#REF!</v>
      </c>
    </row>
    <row r="37" spans="1:20" x14ac:dyDescent="0.35">
      <c r="D37" s="6"/>
      <c r="E37" s="6"/>
      <c r="F37" s="31"/>
      <c r="G37" s="6"/>
      <c r="H37" s="6"/>
      <c r="I37" s="6"/>
      <c r="J37" s="157" t="s">
        <v>211</v>
      </c>
      <c r="K37" s="6"/>
      <c r="L37" s="2">
        <f>SUMIF($J$17:$J$31, J37, $L$17:$L$31)</f>
        <v>178390.38248636996</v>
      </c>
      <c r="M37" t="s">
        <v>247</v>
      </c>
      <c r="O37" s="2" t="e">
        <f>O13+O20+#REF!+O27</f>
        <v>#REF!</v>
      </c>
      <c r="P37" s="18" t="s">
        <v>253</v>
      </c>
      <c r="R37" s="2" t="e">
        <f>R13+R20+R27+#REF!</f>
        <v>#REF!</v>
      </c>
      <c r="S37" s="61" t="e">
        <f t="shared" si="8"/>
        <v>#REF!</v>
      </c>
    </row>
    <row r="38" spans="1:20" x14ac:dyDescent="0.35">
      <c r="D38" s="6"/>
      <c r="E38" s="6"/>
      <c r="F38" s="31"/>
      <c r="G38" s="6"/>
      <c r="H38" s="6"/>
      <c r="I38" s="6"/>
      <c r="J38" s="159" t="s">
        <v>213</v>
      </c>
      <c r="K38" s="6"/>
      <c r="L38" s="2">
        <f>SUMIF($J$17:$J$31, J38, $L$17:$L$31)</f>
        <v>0</v>
      </c>
      <c r="M38" t="s">
        <v>248</v>
      </c>
      <c r="O38" s="2" t="e">
        <f>O14+O21+#REF!+O28</f>
        <v>#REF!</v>
      </c>
      <c r="P38" s="18" t="s">
        <v>254</v>
      </c>
      <c r="R38" s="2" t="e">
        <f>R14+R21+R28+#REF!</f>
        <v>#REF!</v>
      </c>
      <c r="S38" s="61" t="e">
        <f t="shared" si="8"/>
        <v>#REF!</v>
      </c>
    </row>
    <row r="39" spans="1:20" x14ac:dyDescent="0.35">
      <c r="D39" s="6"/>
      <c r="E39" s="6"/>
      <c r="F39" s="31"/>
      <c r="G39" s="6"/>
      <c r="H39" s="6"/>
      <c r="J39" s="259" t="s">
        <v>210</v>
      </c>
      <c r="K39" s="6"/>
      <c r="L39" s="2">
        <f>SUMIF($J$17:$J$31, J39, $L$17:$L$31)</f>
        <v>22038109.887106471</v>
      </c>
      <c r="M39" t="s">
        <v>250</v>
      </c>
      <c r="O39" s="2" t="e">
        <f>O15+O22+#REF!+O29</f>
        <v>#REF!</v>
      </c>
    </row>
    <row r="40" spans="1:20" x14ac:dyDescent="0.35">
      <c r="D40" s="6"/>
      <c r="E40" s="6"/>
      <c r="F40" s="31"/>
      <c r="G40" s="6"/>
      <c r="H40" s="6"/>
      <c r="J40" s="158" t="s">
        <v>104</v>
      </c>
      <c r="K40" s="6"/>
      <c r="L40" s="2">
        <f>SUMIF($J$17:$J$31, J40, $L$17:$L$31)</f>
        <v>124882622.69360334</v>
      </c>
      <c r="O40" s="2"/>
    </row>
    <row r="41" spans="1:20" x14ac:dyDescent="0.35">
      <c r="D41" s="6"/>
      <c r="E41" s="6"/>
      <c r="F41" s="31"/>
      <c r="G41" s="6"/>
      <c r="H41" s="6"/>
      <c r="I41" s="229" t="s">
        <v>339</v>
      </c>
      <c r="J41" s="107"/>
      <c r="K41" s="6"/>
      <c r="L41" s="2"/>
      <c r="O41" s="2"/>
    </row>
    <row r="42" spans="1:20" x14ac:dyDescent="0.35">
      <c r="D42" s="6"/>
      <c r="E42" s="6"/>
      <c r="F42" s="31"/>
      <c r="G42" s="6"/>
      <c r="J42" s="157" t="s">
        <v>211</v>
      </c>
      <c r="L42" s="2">
        <f>L10</f>
        <v>1699999999.9999979</v>
      </c>
    </row>
    <row r="43" spans="1:20" s="93" customFormat="1" ht="41" customHeight="1" x14ac:dyDescent="0.35">
      <c r="A43" s="93" t="s">
        <v>105</v>
      </c>
      <c r="F43" s="176"/>
    </row>
    <row r="44" spans="1:20" ht="17.5" customHeight="1" x14ac:dyDescent="0.35">
      <c r="B44" s="2">
        <f>C44/1000000</f>
        <v>615.78122436913156</v>
      </c>
      <c r="C44" s="2">
        <f>C45+C52+C59+C68</f>
        <v>615781224.36913157</v>
      </c>
      <c r="D44" s="2">
        <f>D45+D52+D59+D68</f>
        <v>0.39452384943875723</v>
      </c>
      <c r="F44" s="2">
        <f>F45+F52+F59+F68</f>
        <v>567056.6614571223</v>
      </c>
      <c r="H44" s="2">
        <f>H45+H52+H59+H68</f>
        <v>712054049.00413585</v>
      </c>
      <c r="L44" s="2">
        <f>L45+L52+L59+L68</f>
        <v>170541665.06972182</v>
      </c>
      <c r="O44" s="2">
        <f>O45+O52+O59+O68</f>
        <v>267251931.49719435</v>
      </c>
      <c r="R44" s="2">
        <f>R45+R52+R59+R68</f>
        <v>274260452.43721962</v>
      </c>
    </row>
    <row r="45" spans="1:20" s="218" customFormat="1" ht="17.5" customHeight="1" x14ac:dyDescent="0.35">
      <c r="A45" s="218" t="s">
        <v>337</v>
      </c>
      <c r="B45" s="218">
        <v>1000</v>
      </c>
      <c r="C45" s="270">
        <f>B45*F45</f>
        <v>250000000.00000045</v>
      </c>
      <c r="D45" s="220">
        <f>'[1]GAP analysis Sc. 1'!$P$59</f>
        <v>0.16122098022356002</v>
      </c>
      <c r="E45" s="227">
        <f>'[2]Conversion factors selected IV '!$O$17</f>
        <v>1.5506666666666669</v>
      </c>
      <c r="F45" s="219">
        <f>D45*E45*1000000</f>
        <v>250000.00000000044</v>
      </c>
      <c r="G45" s="225">
        <f>'LCoP 2030 MEDIUM'!E5</f>
        <v>1385.4252403270348</v>
      </c>
      <c r="H45" s="220">
        <f>G45*F45</f>
        <v>346356310.08175927</v>
      </c>
      <c r="I45" s="218">
        <f>'LCoP 2030 MEDIUM'!H5</f>
        <v>0.22695215243286143</v>
      </c>
      <c r="L45" s="219">
        <f>I45*H45</f>
        <v>78606310.081758857</v>
      </c>
      <c r="M45" s="218">
        <f>'LCoP 2030 MEDIUM'!F5</f>
        <v>0.40059902464963765</v>
      </c>
      <c r="O45" s="219">
        <f>M45*H45</f>
        <v>138750000.00000024</v>
      </c>
      <c r="P45" s="277">
        <f>'LCoP 2030 MEDIUM'!G5</f>
        <v>0.37244882291750098</v>
      </c>
      <c r="R45" s="219">
        <f>P45*H45</f>
        <v>129000000.00000022</v>
      </c>
      <c r="S45" s="220">
        <f>R45+O45+L45</f>
        <v>346356310.08175933</v>
      </c>
    </row>
    <row r="46" spans="1:20" ht="15" customHeight="1" x14ac:dyDescent="0.35">
      <c r="F46" s="154" t="s">
        <v>212</v>
      </c>
      <c r="G46" s="2">
        <f>SUMIF($J$46:$J$49,F46,$L$46:$L$49)/$L$45</f>
        <v>0.77548896797828337</v>
      </c>
      <c r="H46" s="209" t="s">
        <v>292</v>
      </c>
      <c r="I46" s="7" t="s">
        <v>5</v>
      </c>
      <c r="J46" s="154" t="s">
        <v>212</v>
      </c>
      <c r="K46" s="6">
        <f>'Feedstock MIX per IVC'!G13</f>
        <v>228.35941399522207</v>
      </c>
      <c r="L46">
        <f>K46*F$45</f>
        <v>57089853.49880562</v>
      </c>
      <c r="M46" s="5" t="s">
        <v>245</v>
      </c>
      <c r="N46" s="79">
        <v>0</v>
      </c>
      <c r="O46" s="2">
        <f>N46*O$45</f>
        <v>0</v>
      </c>
      <c r="P46" s="18" t="s">
        <v>251</v>
      </c>
      <c r="Q46" s="79">
        <v>0.2</v>
      </c>
      <c r="R46" s="2">
        <f>Q46*R$45</f>
        <v>25800000.000000045</v>
      </c>
    </row>
    <row r="47" spans="1:20" ht="15" customHeight="1" x14ac:dyDescent="0.35">
      <c r="F47" s="156" t="s">
        <v>209</v>
      </c>
      <c r="G47" s="2">
        <f>SUMIF($J$46:$J$49,F47,$L$46:$L$49)/$L$45</f>
        <v>0.22451103202171677</v>
      </c>
      <c r="H47" s="209" t="s">
        <v>292</v>
      </c>
      <c r="I47" s="7" t="s">
        <v>8</v>
      </c>
      <c r="J47" s="154" t="s">
        <v>212</v>
      </c>
      <c r="K47" s="6">
        <f>'Feedstock MIX per IVC'!G14</f>
        <v>10.633016625439506</v>
      </c>
      <c r="L47">
        <f>K47*F$45</f>
        <v>2658254.1563598812</v>
      </c>
      <c r="M47" t="s">
        <v>246</v>
      </c>
      <c r="N47" s="79">
        <v>0.02</v>
      </c>
      <c r="O47" s="2">
        <f t="shared" ref="O47:O51" si="9">N47*O$45</f>
        <v>2775000.0000000047</v>
      </c>
      <c r="P47" s="18" t="s">
        <v>210</v>
      </c>
      <c r="Q47" s="79">
        <v>0.5</v>
      </c>
      <c r="R47" s="2">
        <f t="shared" ref="R47:R50" si="10">Q47*R$45</f>
        <v>64500000.000000112</v>
      </c>
    </row>
    <row r="48" spans="1:20" ht="15" customHeight="1" x14ac:dyDescent="0.35">
      <c r="F48" s="31"/>
      <c r="H48" s="209" t="s">
        <v>292</v>
      </c>
      <c r="I48" s="7" t="s">
        <v>9</v>
      </c>
      <c r="J48" s="154" t="s">
        <v>212</v>
      </c>
      <c r="K48" s="6">
        <f>'Feedstock MIX per IVC'!G15</f>
        <v>4.8408745068744423</v>
      </c>
      <c r="L48">
        <f>K48*F$45</f>
        <v>1210218.6267186126</v>
      </c>
      <c r="M48" s="5" t="s">
        <v>244</v>
      </c>
      <c r="N48" s="79">
        <v>0.5</v>
      </c>
      <c r="O48" s="2">
        <f t="shared" si="9"/>
        <v>69375000.000000119</v>
      </c>
      <c r="P48" s="18" t="s">
        <v>252</v>
      </c>
      <c r="Q48" s="79">
        <v>0.15</v>
      </c>
      <c r="R48" s="2">
        <f t="shared" si="10"/>
        <v>19350000.000000034</v>
      </c>
    </row>
    <row r="49" spans="1:19" ht="15" customHeight="1" x14ac:dyDescent="0.35">
      <c r="F49" s="31"/>
      <c r="H49" s="209" t="s">
        <v>292</v>
      </c>
      <c r="I49" s="7" t="s">
        <v>11</v>
      </c>
      <c r="J49" s="156" t="s">
        <v>209</v>
      </c>
      <c r="K49" s="6">
        <f>'Feedstock MIX per IVC'!G16</f>
        <v>70.59193519949892</v>
      </c>
      <c r="L49">
        <f>K49*F$45</f>
        <v>17647983.79987476</v>
      </c>
      <c r="M49" t="s">
        <v>247</v>
      </c>
      <c r="N49" s="79">
        <v>0.15</v>
      </c>
      <c r="O49" s="2">
        <f t="shared" si="9"/>
        <v>20812500.000000034</v>
      </c>
      <c r="P49" s="18" t="s">
        <v>253</v>
      </c>
      <c r="Q49" s="79">
        <v>0.1</v>
      </c>
      <c r="R49" s="2">
        <f t="shared" si="10"/>
        <v>12900000.000000022</v>
      </c>
    </row>
    <row r="50" spans="1:19" ht="15" customHeight="1" x14ac:dyDescent="0.35">
      <c r="F50" s="31"/>
      <c r="M50" t="s">
        <v>248</v>
      </c>
      <c r="N50" s="79">
        <v>0.3</v>
      </c>
      <c r="O50" s="2">
        <f t="shared" si="9"/>
        <v>41625000.000000067</v>
      </c>
      <c r="P50" s="18" t="s">
        <v>254</v>
      </c>
      <c r="Q50" s="79">
        <v>0.05</v>
      </c>
      <c r="R50" s="2">
        <f t="shared" si="10"/>
        <v>6450000.0000000112</v>
      </c>
    </row>
    <row r="51" spans="1:19" ht="15" customHeight="1" x14ac:dyDescent="0.35">
      <c r="F51" s="31"/>
      <c r="M51" t="s">
        <v>250</v>
      </c>
      <c r="N51" s="79">
        <v>0.03</v>
      </c>
      <c r="O51" s="2">
        <f t="shared" si="9"/>
        <v>4162500.000000007</v>
      </c>
      <c r="Q51" s="79"/>
      <c r="R51" s="2"/>
    </row>
    <row r="52" spans="1:19" s="218" customFormat="1" ht="17.5" customHeight="1" x14ac:dyDescent="0.35">
      <c r="A52" s="218" t="s">
        <v>344</v>
      </c>
      <c r="B52" s="218">
        <v>1000</v>
      </c>
      <c r="C52" s="270">
        <f>B52*F52</f>
        <v>235849056.60377336</v>
      </c>
      <c r="D52" s="225">
        <f>'[1]GAP analysis Sc. 1'!$P$60</f>
        <v>0.15209526436184867</v>
      </c>
      <c r="E52" s="218">
        <f>'[2]Conversion factors selected IV '!$O$86</f>
        <v>1.5506666666666669</v>
      </c>
      <c r="F52" s="219">
        <f>D52*E52*1000000</f>
        <v>235849.05660377335</v>
      </c>
      <c r="G52" s="225">
        <f>'LCoP 2030 MEDIUM'!E18</f>
        <v>988.03814186666671</v>
      </c>
      <c r="H52" s="220">
        <f>G52*F52</f>
        <v>233027863.64779851</v>
      </c>
      <c r="I52" s="218">
        <f>'LCoP 2030 MEDIUM'!H18</f>
        <v>0.32087642008201966</v>
      </c>
      <c r="L52" s="219">
        <f>I52*H52</f>
        <v>74773146.666666597</v>
      </c>
      <c r="M52" s="218">
        <f>'LCoP 2030 MEDIUM'!F18</f>
        <v>0.28136565606139868</v>
      </c>
      <c r="N52" s="227"/>
      <c r="O52" s="219">
        <f>M52*H52</f>
        <v>65566037.735848986</v>
      </c>
      <c r="P52" s="277">
        <f>'LCoP 2030 MEDIUM'!G18</f>
        <v>0.3977579238565816</v>
      </c>
      <c r="Q52" s="227"/>
      <c r="R52" s="219">
        <f>P52*H52</f>
        <v>92688679.245282918</v>
      </c>
      <c r="S52" s="220">
        <f>R52+O52+L52</f>
        <v>233027863.64779851</v>
      </c>
    </row>
    <row r="53" spans="1:19" ht="14.5" customHeight="1" x14ac:dyDescent="0.35">
      <c r="D53" s="6"/>
      <c r="F53" s="31"/>
      <c r="I53" s="16" t="s">
        <v>37</v>
      </c>
      <c r="J53" s="207" t="s">
        <v>106</v>
      </c>
      <c r="K53" s="6">
        <f>'Feedstock MIX per IVC'!G85</f>
        <v>317.03814186666671</v>
      </c>
      <c r="L53" s="31">
        <f>K53*F52</f>
        <v>74773146.666666597</v>
      </c>
      <c r="M53" s="5" t="s">
        <v>245</v>
      </c>
      <c r="N53" s="79">
        <v>0</v>
      </c>
      <c r="O53" s="2">
        <f>N53*O$52</f>
        <v>0</v>
      </c>
      <c r="P53" s="18" t="s">
        <v>251</v>
      </c>
      <c r="Q53" s="79">
        <v>0.2</v>
      </c>
      <c r="R53" s="2">
        <f>Q53*R$52</f>
        <v>18537735.849056583</v>
      </c>
    </row>
    <row r="54" spans="1:19" ht="14.5" customHeight="1" x14ac:dyDescent="0.35">
      <c r="D54" s="6"/>
      <c r="F54" s="31"/>
      <c r="M54" t="s">
        <v>246</v>
      </c>
      <c r="N54" s="79">
        <v>0.02</v>
      </c>
      <c r="O54" s="2">
        <f t="shared" ref="O54:O58" si="11">N54*O$52</f>
        <v>1311320.7547169798</v>
      </c>
      <c r="P54" s="18" t="s">
        <v>210</v>
      </c>
      <c r="Q54" s="79">
        <v>0.5</v>
      </c>
      <c r="R54" s="2">
        <f t="shared" ref="R54:R57" si="12">Q54*R$52</f>
        <v>46344339.622641459</v>
      </c>
    </row>
    <row r="55" spans="1:19" ht="14.5" customHeight="1" x14ac:dyDescent="0.35">
      <c r="D55" s="6"/>
      <c r="F55" s="31"/>
      <c r="M55" s="5" t="s">
        <v>244</v>
      </c>
      <c r="N55" s="79">
        <v>0.5</v>
      </c>
      <c r="O55" s="2">
        <f t="shared" si="11"/>
        <v>32783018.867924493</v>
      </c>
      <c r="P55" s="18" t="s">
        <v>252</v>
      </c>
      <c r="Q55" s="79">
        <v>0.15</v>
      </c>
      <c r="R55" s="2">
        <f t="shared" si="12"/>
        <v>13903301.886792438</v>
      </c>
    </row>
    <row r="56" spans="1:19" ht="14.5" customHeight="1" x14ac:dyDescent="0.35">
      <c r="D56" s="6"/>
      <c r="F56" s="31"/>
      <c r="M56" t="s">
        <v>247</v>
      </c>
      <c r="N56" s="79">
        <v>0.15</v>
      </c>
      <c r="O56" s="2">
        <f t="shared" si="11"/>
        <v>9834905.6603773478</v>
      </c>
      <c r="P56" s="18" t="s">
        <v>253</v>
      </c>
      <c r="Q56" s="79">
        <v>0.1</v>
      </c>
      <c r="R56" s="2">
        <f t="shared" si="12"/>
        <v>9268867.9245282914</v>
      </c>
    </row>
    <row r="57" spans="1:19" ht="14.5" customHeight="1" x14ac:dyDescent="0.35">
      <c r="F57" s="31"/>
      <c r="M57" t="s">
        <v>248</v>
      </c>
      <c r="N57" s="79">
        <v>0.3</v>
      </c>
      <c r="O57" s="2">
        <f t="shared" si="11"/>
        <v>19669811.320754696</v>
      </c>
      <c r="P57" s="18" t="s">
        <v>254</v>
      </c>
      <c r="Q57" s="79">
        <v>0.05</v>
      </c>
      <c r="R57" s="2">
        <f t="shared" si="12"/>
        <v>4634433.9622641457</v>
      </c>
    </row>
    <row r="58" spans="1:19" ht="14.5" customHeight="1" x14ac:dyDescent="0.35">
      <c r="F58" s="31"/>
      <c r="M58" t="s">
        <v>250</v>
      </c>
      <c r="N58" s="79">
        <v>0.03</v>
      </c>
      <c r="O58" s="2">
        <f t="shared" si="11"/>
        <v>1966981.1320754695</v>
      </c>
      <c r="Q58" s="79"/>
    </row>
    <row r="59" spans="1:19" s="218" customFormat="1" ht="17.5" customHeight="1" x14ac:dyDescent="0.35">
      <c r="A59" s="218" t="s">
        <v>335</v>
      </c>
      <c r="B59" s="218">
        <v>1750</v>
      </c>
      <c r="C59" s="270">
        <f>B59*F59</f>
        <v>106584981.37001999</v>
      </c>
      <c r="D59" s="220">
        <f>'[1]GAP analysis Sc. 1'!$P$61</f>
        <v>6.0905703640011424E-2</v>
      </c>
      <c r="E59" s="218">
        <f>'[2]Conversion factors selected IV '!$O$89</f>
        <v>1</v>
      </c>
      <c r="F59" s="219">
        <f>D59*E59*1000000</f>
        <v>60905.703640011423</v>
      </c>
      <c r="G59" s="225">
        <f>'LCoP 2030 MEDIUM'!E20</f>
        <v>1598.1344603969103</v>
      </c>
      <c r="H59" s="220">
        <f>G59*F59</f>
        <v>97335503.821823791</v>
      </c>
      <c r="I59" s="223">
        <f>'LCoP 2030 MEDIUM'!H20</f>
        <v>0.13211307660838084</v>
      </c>
      <c r="L59" s="219">
        <f>I59*H59</f>
        <v>12859292.873127952</v>
      </c>
      <c r="M59" s="218">
        <f>'LCoP 2030 MEDIUM'!F20</f>
        <v>0.50371230953875523</v>
      </c>
      <c r="N59" s="227"/>
      <c r="O59" s="219">
        <f>M59*H59</f>
        <v>49029091.430209197</v>
      </c>
      <c r="P59" s="277">
        <f>'LCoP 2030 MEDIUM'!G20</f>
        <v>0.36417461385286404</v>
      </c>
      <c r="Q59" s="227"/>
      <c r="R59" s="219">
        <f>P59*H59</f>
        <v>35447119.518486649</v>
      </c>
      <c r="S59" s="220">
        <f>R59+O59+L59</f>
        <v>97335503.821823791</v>
      </c>
    </row>
    <row r="60" spans="1:19" ht="17.5" customHeight="1" x14ac:dyDescent="0.35">
      <c r="F60" s="154" t="s">
        <v>212</v>
      </c>
      <c r="G60" s="2">
        <f>SUMIF($J$60:$J$67,F60,$L$60:$L$67)/$L$59</f>
        <v>0.55703650838519014</v>
      </c>
      <c r="H60" s="209" t="s">
        <v>292</v>
      </c>
      <c r="I60" s="5" t="s">
        <v>5</v>
      </c>
      <c r="J60" s="154" t="s">
        <v>212</v>
      </c>
      <c r="K60" s="6">
        <f>'Feedstock MIX per IVC'!G89</f>
        <v>104.52293969276826</v>
      </c>
      <c r="L60">
        <f t="shared" ref="L60:L67" si="13">K60*F$59</f>
        <v>6366043.1885105306</v>
      </c>
      <c r="M60" s="5" t="s">
        <v>245</v>
      </c>
      <c r="N60" s="278">
        <v>0.15</v>
      </c>
      <c r="O60" s="2">
        <f>N60*O$59</f>
        <v>7354363.7145313798</v>
      </c>
      <c r="P60" s="18" t="s">
        <v>251</v>
      </c>
      <c r="Q60" s="181">
        <v>0.15</v>
      </c>
      <c r="R60" s="2">
        <f>Q60*R$59</f>
        <v>5317067.9277729969</v>
      </c>
    </row>
    <row r="61" spans="1:19" ht="17.5" customHeight="1" x14ac:dyDescent="0.35">
      <c r="F61" s="157" t="s">
        <v>211</v>
      </c>
      <c r="G61" s="2">
        <f t="shared" ref="G61:G64" si="14">SUMIF($J$60:$J$67,F61,$L$60:$L$67)/$L$59</f>
        <v>1.3872487721245708E-2</v>
      </c>
      <c r="H61" s="209" t="s">
        <v>292</v>
      </c>
      <c r="I61" s="5" t="s">
        <v>6</v>
      </c>
      <c r="J61" s="154" t="s">
        <v>212</v>
      </c>
      <c r="K61" s="6">
        <f>'Feedstock MIX per IVC'!G90</f>
        <v>6.0040707909944153</v>
      </c>
      <c r="L61">
        <f t="shared" si="13"/>
        <v>365682.15622995485</v>
      </c>
      <c r="M61" t="s">
        <v>246</v>
      </c>
      <c r="N61" s="79">
        <v>0.02</v>
      </c>
      <c r="O61" s="2">
        <f t="shared" ref="O61:O64" si="15">N61*O$59</f>
        <v>980581.82860418397</v>
      </c>
      <c r="P61" s="18" t="s">
        <v>210</v>
      </c>
      <c r="Q61" s="181">
        <v>0.25</v>
      </c>
      <c r="R61" s="2">
        <f t="shared" ref="R61:R64" si="16">Q61*R$59</f>
        <v>8861779.8796216622</v>
      </c>
    </row>
    <row r="62" spans="1:19" ht="17.5" customHeight="1" x14ac:dyDescent="0.35">
      <c r="F62" s="178" t="s">
        <v>256</v>
      </c>
      <c r="G62" s="2">
        <f t="shared" si="14"/>
        <v>0.22886406110067606</v>
      </c>
      <c r="H62" s="209" t="s">
        <v>292</v>
      </c>
      <c r="I62" s="5" t="s">
        <v>7</v>
      </c>
      <c r="J62" s="157" t="s">
        <v>211</v>
      </c>
      <c r="K62" s="6">
        <f>'Feedstock MIX per IVC'!G91</f>
        <v>2.9289602093879772</v>
      </c>
      <c r="L62">
        <f t="shared" si="13"/>
        <v>178390.38248636996</v>
      </c>
      <c r="M62" s="5" t="s">
        <v>244</v>
      </c>
      <c r="N62" s="278">
        <v>0.45</v>
      </c>
      <c r="O62" s="2">
        <f t="shared" si="15"/>
        <v>22063091.143594138</v>
      </c>
      <c r="P62" s="18" t="s">
        <v>252</v>
      </c>
      <c r="Q62" s="181">
        <v>0.2</v>
      </c>
      <c r="R62" s="2">
        <f t="shared" si="16"/>
        <v>7089423.9036973305</v>
      </c>
    </row>
    <row r="63" spans="1:19" ht="17.5" customHeight="1" x14ac:dyDescent="0.35">
      <c r="F63" s="156" t="s">
        <v>209</v>
      </c>
      <c r="G63" s="2">
        <f t="shared" si="14"/>
        <v>0.20022694279288797</v>
      </c>
      <c r="H63" s="209" t="s">
        <v>292</v>
      </c>
      <c r="I63" s="5" t="s">
        <v>8</v>
      </c>
      <c r="J63" s="154" t="s">
        <v>212</v>
      </c>
      <c r="K63" s="6">
        <f>'Feedstock MIX per IVC'!G92</f>
        <v>4.8668637567806563</v>
      </c>
      <c r="L63">
        <f t="shared" si="13"/>
        <v>296419.76162679528</v>
      </c>
      <c r="M63" t="s">
        <v>247</v>
      </c>
      <c r="N63" s="79">
        <v>0.1</v>
      </c>
      <c r="O63" s="2">
        <f t="shared" si="15"/>
        <v>4902909.1430209195</v>
      </c>
      <c r="P63" s="18" t="s">
        <v>253</v>
      </c>
      <c r="Q63" s="181">
        <v>0.3</v>
      </c>
      <c r="R63" s="2">
        <f t="shared" si="16"/>
        <v>10634135.855545994</v>
      </c>
    </row>
    <row r="64" spans="1:19" ht="17.5" customHeight="1" x14ac:dyDescent="0.35">
      <c r="F64" s="159" t="s">
        <v>213</v>
      </c>
      <c r="G64" s="2">
        <f t="shared" si="14"/>
        <v>0</v>
      </c>
      <c r="H64" s="209" t="s">
        <v>292</v>
      </c>
      <c r="I64" s="5" t="s">
        <v>9</v>
      </c>
      <c r="J64" s="154" t="s">
        <v>212</v>
      </c>
      <c r="K64" s="6">
        <f>'Feedstock MIX per IVC'!G93</f>
        <v>2.2157283787428326</v>
      </c>
      <c r="L64">
        <f t="shared" si="13"/>
        <v>134950.49598247395</v>
      </c>
      <c r="M64" t="s">
        <v>248</v>
      </c>
      <c r="N64" s="79">
        <v>0.25</v>
      </c>
      <c r="O64" s="2">
        <f t="shared" si="15"/>
        <v>12257272.857552299</v>
      </c>
      <c r="P64" s="18" t="s">
        <v>254</v>
      </c>
      <c r="Q64" s="181">
        <v>0.1</v>
      </c>
      <c r="R64" s="2">
        <f t="shared" si="16"/>
        <v>3544711.9518486653</v>
      </c>
    </row>
    <row r="65" spans="1:21" ht="17.5" customHeight="1" x14ac:dyDescent="0.35">
      <c r="F65" s="31"/>
      <c r="G65" s="2">
        <f>SUM(G60:G64)</f>
        <v>0.99999999999999989</v>
      </c>
      <c r="H65" s="209" t="s">
        <v>292</v>
      </c>
      <c r="I65" s="5" t="s">
        <v>10</v>
      </c>
      <c r="J65" s="178" t="s">
        <v>256</v>
      </c>
      <c r="K65" s="6">
        <f>'Feedstock MIX per IVC'!G94</f>
        <v>48.321090044736764</v>
      </c>
      <c r="L65">
        <f t="shared" si="13"/>
        <v>2943029.9898270438</v>
      </c>
      <c r="M65" t="s">
        <v>250</v>
      </c>
      <c r="N65" s="79">
        <v>0.03</v>
      </c>
      <c r="O65" s="2">
        <f>N65*O$59</f>
        <v>1470872.7429062759</v>
      </c>
      <c r="Q65" s="79"/>
      <c r="R65" s="2"/>
    </row>
    <row r="66" spans="1:21" ht="17.5" customHeight="1" x14ac:dyDescent="0.35">
      <c r="F66" s="31"/>
      <c r="H66" s="209" t="s">
        <v>292</v>
      </c>
      <c r="I66" s="5" t="s">
        <v>11</v>
      </c>
      <c r="J66" s="156" t="s">
        <v>209</v>
      </c>
      <c r="K66" s="6">
        <f>'Feedstock MIX per IVC'!G95</f>
        <v>42.274807523499447</v>
      </c>
      <c r="L66">
        <f t="shared" si="13"/>
        <v>2574776.8984647826</v>
      </c>
      <c r="N66" s="79"/>
      <c r="O66" s="2"/>
      <c r="Q66" s="79"/>
    </row>
    <row r="67" spans="1:21" ht="17.5" customHeight="1" x14ac:dyDescent="0.35">
      <c r="F67" s="31"/>
      <c r="H67" s="209" t="s">
        <v>292</v>
      </c>
      <c r="I67" s="5" t="s">
        <v>12</v>
      </c>
      <c r="J67" s="159" t="s">
        <v>213</v>
      </c>
      <c r="K67" s="6">
        <f>'Feedstock MIX per IVC'!G96</f>
        <v>0</v>
      </c>
      <c r="L67">
        <f t="shared" si="13"/>
        <v>0</v>
      </c>
      <c r="N67" s="79"/>
      <c r="Q67" s="79"/>
    </row>
    <row r="68" spans="1:21" s="218" customFormat="1" x14ac:dyDescent="0.35">
      <c r="A68" s="218" t="s">
        <v>338</v>
      </c>
      <c r="B68" s="218">
        <v>1150</v>
      </c>
      <c r="C68" s="270">
        <f>B68*F68</f>
        <v>23347186.395337712</v>
      </c>
      <c r="D68" s="225">
        <f>'[1]GAP analysis Sc. 1'!$P$62</f>
        <v>2.030190121333714E-2</v>
      </c>
      <c r="E68" s="225">
        <f>'[2]Conversion factors selected IV '!$O$125</f>
        <v>1</v>
      </c>
      <c r="F68" s="219">
        <f>D68*E68*1000000</f>
        <v>20301.90121333714</v>
      </c>
      <c r="G68" s="225">
        <f>'LCoP 2030 MEDIUM'!$E$22</f>
        <v>1740.4464282163694</v>
      </c>
      <c r="H68" s="220">
        <f>G68*F68</f>
        <v>35334371.4527542</v>
      </c>
      <c r="I68" s="218">
        <f>'LCoP 2030 MEDIUM'!H$22</f>
        <v>0.12177704799197682</v>
      </c>
      <c r="L68" s="219">
        <f>I68*H68</f>
        <v>4302915.4481683839</v>
      </c>
      <c r="M68" s="218">
        <f>'LCoP 2030 MEDIUM'!F22</f>
        <v>0.39357718163264371</v>
      </c>
      <c r="N68" s="227"/>
      <c r="O68" s="219">
        <f>M68*H68</f>
        <v>13906802.33113594</v>
      </c>
      <c r="P68" s="277">
        <f>'LCoP 2030 MEDIUM'!G22</f>
        <v>0.48464577037537948</v>
      </c>
      <c r="Q68" s="227"/>
      <c r="R68" s="219">
        <f>P68*H68</f>
        <v>17124653.673449874</v>
      </c>
      <c r="S68" s="219">
        <f>L68+O68+R68</f>
        <v>35334371.4527542</v>
      </c>
    </row>
    <row r="69" spans="1:21" x14ac:dyDescent="0.35">
      <c r="D69" s="6"/>
      <c r="E69" s="6"/>
      <c r="F69" s="154" t="s">
        <v>212</v>
      </c>
      <c r="G69" s="2">
        <f>SUMIF($J$69:$J$76,F69,$L$69:$L$76)/$L$68</f>
        <v>0.55490249875417685</v>
      </c>
      <c r="H69" s="209" t="s">
        <v>292</v>
      </c>
      <c r="I69" s="5" t="s">
        <v>5</v>
      </c>
      <c r="J69" s="154" t="s">
        <v>212</v>
      </c>
      <c r="K69" s="6">
        <f>'Feedstock MIX per IVC'!G89</f>
        <v>104.52293969276826</v>
      </c>
      <c r="L69" s="2">
        <f t="shared" ref="L69:L76" si="17">K69*F$68</f>
        <v>2122014.3961701766</v>
      </c>
      <c r="M69" s="5" t="s">
        <v>245</v>
      </c>
      <c r="N69" s="278">
        <v>0.15</v>
      </c>
      <c r="O69" s="2">
        <f>N69*O$68</f>
        <v>2086020.3496703908</v>
      </c>
      <c r="P69" s="18" t="s">
        <v>251</v>
      </c>
      <c r="Q69" s="181">
        <v>0.15</v>
      </c>
      <c r="R69" s="2">
        <f>Q69*R$68</f>
        <v>2568698.0510174809</v>
      </c>
    </row>
    <row r="70" spans="1:21" x14ac:dyDescent="0.35">
      <c r="D70" s="6"/>
      <c r="E70" s="6"/>
      <c r="F70" s="157" t="s">
        <v>211</v>
      </c>
      <c r="G70" s="2">
        <f t="shared" ref="G70:G73" si="18">SUMIF($J$69:$J$76,F70,$L$69:$L$76)/$L$68</f>
        <v>1.381934215186629E-2</v>
      </c>
      <c r="H70" s="209" t="s">
        <v>292</v>
      </c>
      <c r="I70" s="5" t="s">
        <v>6</v>
      </c>
      <c r="J70" s="154" t="s">
        <v>212</v>
      </c>
      <c r="K70" s="6">
        <f>'Feedstock MIX per IVC'!G90</f>
        <v>6.0040707909944153</v>
      </c>
      <c r="L70" s="2">
        <f t="shared" si="17"/>
        <v>121894.0520766516</v>
      </c>
      <c r="M70" t="s">
        <v>246</v>
      </c>
      <c r="N70" s="79">
        <v>0.02</v>
      </c>
      <c r="O70" s="2">
        <f t="shared" ref="O70:O74" si="19">N70*O$68</f>
        <v>278136.0466227188</v>
      </c>
      <c r="P70" s="18" t="s">
        <v>210</v>
      </c>
      <c r="Q70" s="181">
        <v>0.25</v>
      </c>
      <c r="R70" s="2">
        <f>Q70*R$68</f>
        <v>4281163.4183624685</v>
      </c>
    </row>
    <row r="71" spans="1:21" x14ac:dyDescent="0.35">
      <c r="D71" s="6"/>
      <c r="E71" s="6"/>
      <c r="F71" s="178" t="s">
        <v>256</v>
      </c>
      <c r="G71" s="2">
        <f t="shared" si="18"/>
        <v>0.22798728174558941</v>
      </c>
      <c r="H71" s="209" t="s">
        <v>292</v>
      </c>
      <c r="I71" s="5" t="s">
        <v>7</v>
      </c>
      <c r="J71" s="157" t="s">
        <v>211</v>
      </c>
      <c r="K71" s="6">
        <f>'Feedstock MIX per IVC'!G91</f>
        <v>2.9289602093879772</v>
      </c>
      <c r="L71" s="2">
        <f t="shared" si="17"/>
        <v>59463.460828789975</v>
      </c>
      <c r="M71" s="5" t="s">
        <v>244</v>
      </c>
      <c r="N71" s="278">
        <v>0.45</v>
      </c>
      <c r="O71" s="2">
        <f t="shared" si="19"/>
        <v>6258061.0490111727</v>
      </c>
      <c r="P71" s="18" t="s">
        <v>252</v>
      </c>
      <c r="Q71" s="181">
        <v>0.2</v>
      </c>
      <c r="R71" s="2">
        <f>Q71*R$68</f>
        <v>3424930.7346899752</v>
      </c>
    </row>
    <row r="72" spans="1:21" x14ac:dyDescent="0.35">
      <c r="D72" s="6"/>
      <c r="E72" s="6"/>
      <c r="F72" s="156" t="s">
        <v>209</v>
      </c>
      <c r="G72" s="2">
        <f t="shared" si="18"/>
        <v>0.19945987238030935</v>
      </c>
      <c r="H72" s="209" t="s">
        <v>292</v>
      </c>
      <c r="I72" s="5" t="s">
        <v>8</v>
      </c>
      <c r="J72" s="154" t="s">
        <v>212</v>
      </c>
      <c r="K72" s="6">
        <f>'Feedstock MIX per IVC'!G92</f>
        <v>4.8668637567806563</v>
      </c>
      <c r="L72" s="2">
        <f t="shared" si="17"/>
        <v>98806.587208931756</v>
      </c>
      <c r="M72" t="s">
        <v>247</v>
      </c>
      <c r="N72" s="79">
        <v>0.1</v>
      </c>
      <c r="O72" s="2">
        <f t="shared" si="19"/>
        <v>1390680.2331135941</v>
      </c>
      <c r="P72" s="18" t="s">
        <v>253</v>
      </c>
      <c r="Q72" s="181">
        <v>0.3</v>
      </c>
      <c r="R72" s="2">
        <f>Q72*R$68</f>
        <v>5137396.1020349618</v>
      </c>
    </row>
    <row r="73" spans="1:21" x14ac:dyDescent="0.35">
      <c r="D73" s="6"/>
      <c r="E73" s="6"/>
      <c r="F73" s="159" t="s">
        <v>213</v>
      </c>
      <c r="G73" s="2">
        <f t="shared" si="18"/>
        <v>0</v>
      </c>
      <c r="H73" s="209" t="s">
        <v>292</v>
      </c>
      <c r="I73" s="5" t="s">
        <v>9</v>
      </c>
      <c r="J73" s="154" t="s">
        <v>212</v>
      </c>
      <c r="K73" s="6">
        <f>'Feedstock MIX per IVC'!G93</f>
        <v>2.2157283787428326</v>
      </c>
      <c r="L73" s="2">
        <f t="shared" si="17"/>
        <v>44983.498660824647</v>
      </c>
      <c r="M73" t="s">
        <v>248</v>
      </c>
      <c r="N73" s="79">
        <v>0.25</v>
      </c>
      <c r="O73" s="2">
        <f t="shared" si="19"/>
        <v>3476700.582783985</v>
      </c>
      <c r="P73" s="18" t="s">
        <v>254</v>
      </c>
      <c r="Q73" s="181">
        <v>0.1</v>
      </c>
      <c r="R73" s="2">
        <f>Q73*R$68</f>
        <v>1712465.3673449876</v>
      </c>
    </row>
    <row r="74" spans="1:21" x14ac:dyDescent="0.35">
      <c r="D74" s="6"/>
      <c r="E74" s="6"/>
      <c r="F74" s="31"/>
      <c r="G74" s="2">
        <f>SUM(G69:G73)</f>
        <v>0.9961689950319419</v>
      </c>
      <c r="H74" s="209" t="s">
        <v>292</v>
      </c>
      <c r="I74" s="5" t="s">
        <v>10</v>
      </c>
      <c r="J74" s="178" t="s">
        <v>256</v>
      </c>
      <c r="K74" s="6">
        <f>'Feedstock MIX per IVC'!G94</f>
        <v>48.321090044736764</v>
      </c>
      <c r="L74" s="2">
        <f t="shared" si="17"/>
        <v>981009.99660901446</v>
      </c>
      <c r="M74" t="s">
        <v>250</v>
      </c>
      <c r="N74" s="79">
        <v>0.03</v>
      </c>
      <c r="O74" s="2">
        <f t="shared" si="19"/>
        <v>417204.0699340782</v>
      </c>
      <c r="Q74" s="35"/>
      <c r="R74" s="2"/>
    </row>
    <row r="75" spans="1:21" x14ac:dyDescent="0.35">
      <c r="D75" s="6"/>
      <c r="E75" s="6"/>
      <c r="F75" s="31"/>
      <c r="G75" s="6"/>
      <c r="H75" s="209" t="s">
        <v>292</v>
      </c>
      <c r="I75" s="5" t="s">
        <v>11</v>
      </c>
      <c r="J75" s="156" t="s">
        <v>209</v>
      </c>
      <c r="K75" s="6">
        <f>'Feedstock MIX per IVC'!G95</f>
        <v>42.274807523499447</v>
      </c>
      <c r="L75" s="2">
        <f t="shared" si="17"/>
        <v>858258.9661549275</v>
      </c>
      <c r="M75" s="2"/>
      <c r="R75" s="2"/>
    </row>
    <row r="76" spans="1:21" x14ac:dyDescent="0.35">
      <c r="D76" s="6"/>
      <c r="E76" s="6"/>
      <c r="F76" s="31"/>
      <c r="G76" s="6"/>
      <c r="H76" s="209" t="s">
        <v>292</v>
      </c>
      <c r="I76" s="5" t="s">
        <v>12</v>
      </c>
      <c r="J76" s="159" t="s">
        <v>213</v>
      </c>
      <c r="K76" s="6">
        <f>'Feedstock MIX per IVC'!G96</f>
        <v>0</v>
      </c>
      <c r="L76" s="2">
        <f t="shared" si="17"/>
        <v>0</v>
      </c>
    </row>
    <row r="77" spans="1:21" s="80" customFormat="1" x14ac:dyDescent="0.35">
      <c r="D77" s="92"/>
      <c r="E77" s="92"/>
      <c r="F77" s="230"/>
      <c r="G77" s="6"/>
      <c r="L77" s="92"/>
    </row>
    <row r="78" spans="1:21" s="80" customFormat="1" x14ac:dyDescent="0.35">
      <c r="F78" s="230"/>
      <c r="I78" s="80" t="s">
        <v>321</v>
      </c>
      <c r="L78" s="230">
        <f>SUM(L79:L84)</f>
        <v>170525180.5792627</v>
      </c>
      <c r="M78" s="80" t="s">
        <v>214</v>
      </c>
      <c r="O78" s="92">
        <f>SUM(O79:O84)</f>
        <v>267251931.49719435</v>
      </c>
      <c r="P78" s="80" t="s">
        <v>214</v>
      </c>
      <c r="R78" s="92">
        <f>SUM(R79:R83)</f>
        <v>274260452.43721962</v>
      </c>
      <c r="S78" s="92">
        <f>SUM(S79:S83)</f>
        <v>0.38516802596768418</v>
      </c>
      <c r="T78" s="92" t="e">
        <f>#REF!+#REF!+S78</f>
        <v>#REF!</v>
      </c>
      <c r="U78" s="255" t="s">
        <v>391</v>
      </c>
    </row>
    <row r="79" spans="1:21" x14ac:dyDescent="0.35">
      <c r="D79" s="2"/>
      <c r="E79" s="2"/>
      <c r="G79" s="2"/>
      <c r="H79" s="6"/>
      <c r="J79" s="154" t="s">
        <v>212</v>
      </c>
      <c r="L79" s="2">
        <f t="shared" ref="L79:L84" si="20">SUMIF($J$46:$J$76, J79, $L$46:$L$76)</f>
        <v>70509120.418350428</v>
      </c>
      <c r="M79" s="5" t="s">
        <v>245</v>
      </c>
      <c r="O79" s="2">
        <f>SUMIF($M$46:$M$74, M79, $O$46:$O$74)</f>
        <v>9440384.0642017704</v>
      </c>
      <c r="P79" s="18" t="s">
        <v>251</v>
      </c>
      <c r="R79" s="2">
        <f>SUMIF($P$46:$P$73, P79, $R$46:$R$73)</f>
        <v>52223501.827847108</v>
      </c>
      <c r="S79">
        <f>R79/$H$44</f>
        <v>7.3342047420256684E-2</v>
      </c>
    </row>
    <row r="80" spans="1:21" x14ac:dyDescent="0.35">
      <c r="D80" s="2"/>
      <c r="E80" s="2"/>
      <c r="G80" s="2"/>
      <c r="H80" s="6"/>
      <c r="J80" s="178" t="s">
        <v>256</v>
      </c>
      <c r="L80" s="2">
        <f t="shared" si="20"/>
        <v>3924039.9864360583</v>
      </c>
      <c r="M80" t="s">
        <v>246</v>
      </c>
      <c r="O80" s="2">
        <f t="shared" ref="O80:O84" si="21">SUMIF($M$46:$M$74, M80, $O$46:$O$74)</f>
        <v>5345038.6299438868</v>
      </c>
      <c r="P80" s="18" t="s">
        <v>210</v>
      </c>
      <c r="R80" s="2">
        <f t="shared" ref="R80:R83" si="22">SUMIF($P$46:$P$73, P80, $R$46:$R$73)</f>
        <v>123987282.92062569</v>
      </c>
      <c r="S80">
        <f t="shared" ref="S80:S83" si="23">R80/$H$44</f>
        <v>0.1741262241174413</v>
      </c>
    </row>
    <row r="81" spans="1:19" x14ac:dyDescent="0.35">
      <c r="D81" s="1"/>
      <c r="E81" s="1"/>
      <c r="G81" s="2"/>
      <c r="H81" s="6"/>
      <c r="J81" s="156" t="s">
        <v>209</v>
      </c>
      <c r="L81" s="2">
        <f t="shared" si="20"/>
        <v>21081019.664494473</v>
      </c>
      <c r="M81" s="5" t="s">
        <v>244</v>
      </c>
      <c r="O81" s="2">
        <f t="shared" si="21"/>
        <v>130479171.06052992</v>
      </c>
      <c r="P81" s="18" t="s">
        <v>252</v>
      </c>
      <c r="R81" s="2">
        <f t="shared" si="22"/>
        <v>43767656.525179781</v>
      </c>
      <c r="S81">
        <f t="shared" si="23"/>
        <v>6.146676166843279E-2</v>
      </c>
    </row>
    <row r="82" spans="1:19" x14ac:dyDescent="0.35">
      <c r="D82" s="1"/>
      <c r="E82" s="1"/>
      <c r="G82" s="2"/>
      <c r="H82" s="6"/>
      <c r="J82" s="157" t="s">
        <v>211</v>
      </c>
      <c r="L82" s="2">
        <f t="shared" si="20"/>
        <v>237853.84331515993</v>
      </c>
      <c r="M82" t="s">
        <v>247</v>
      </c>
      <c r="O82" s="2">
        <f t="shared" si="21"/>
        <v>36940995.036511898</v>
      </c>
      <c r="P82" s="18" t="s">
        <v>253</v>
      </c>
      <c r="R82" s="2">
        <f t="shared" si="22"/>
        <v>37940399.882109269</v>
      </c>
      <c r="S82">
        <f t="shared" si="23"/>
        <v>5.3283033689889035E-2</v>
      </c>
    </row>
    <row r="83" spans="1:19" s="80" customFormat="1" x14ac:dyDescent="0.35">
      <c r="D83" s="92"/>
      <c r="E83" s="92"/>
      <c r="F83" s="230"/>
      <c r="G83" s="1"/>
      <c r="H83" s="6"/>
      <c r="J83" s="159" t="s">
        <v>213</v>
      </c>
      <c r="L83" s="2">
        <f t="shared" si="20"/>
        <v>0</v>
      </c>
      <c r="M83" t="s">
        <v>248</v>
      </c>
      <c r="O83" s="2">
        <f t="shared" si="21"/>
        <v>77028784.761091053</v>
      </c>
      <c r="P83" s="18" t="s">
        <v>254</v>
      </c>
      <c r="R83" s="2">
        <f t="shared" si="22"/>
        <v>16341611.281457812</v>
      </c>
      <c r="S83">
        <f t="shared" si="23"/>
        <v>2.2949959071664368E-2</v>
      </c>
    </row>
    <row r="84" spans="1:19" s="80" customFormat="1" x14ac:dyDescent="0.35">
      <c r="D84" s="92"/>
      <c r="E84" s="92"/>
      <c r="F84" s="230"/>
      <c r="G84" s="1"/>
      <c r="H84" s="6"/>
      <c r="J84" s="207" t="s">
        <v>106</v>
      </c>
      <c r="L84" s="2">
        <f t="shared" si="20"/>
        <v>74773146.666666597</v>
      </c>
      <c r="M84" t="s">
        <v>250</v>
      </c>
      <c r="O84" s="2">
        <f t="shared" si="21"/>
        <v>8017557.9449158311</v>
      </c>
    </row>
    <row r="85" spans="1:19" s="93" customFormat="1" ht="32.5" customHeight="1" x14ac:dyDescent="0.35">
      <c r="A85" s="93" t="s">
        <v>106</v>
      </c>
      <c r="D85" s="231" t="s">
        <v>340</v>
      </c>
      <c r="E85" s="94"/>
      <c r="F85" s="176"/>
    </row>
    <row r="86" spans="1:19" ht="16.5" customHeight="1" x14ac:dyDescent="0.35">
      <c r="B86" s="2">
        <f>C86/1000000</f>
        <v>4159.8021582733818</v>
      </c>
      <c r="C86" s="104">
        <f>C87+C97</f>
        <v>4159802158.2733822</v>
      </c>
      <c r="D86" s="104">
        <f>D87</f>
        <v>3.75</v>
      </c>
      <c r="E86" s="104"/>
      <c r="F86" s="104">
        <f>F87</f>
        <v>3137589.9280575546</v>
      </c>
    </row>
    <row r="87" spans="1:19" s="219" customFormat="1" x14ac:dyDescent="0.35">
      <c r="A87" s="219" t="s">
        <v>59</v>
      </c>
      <c r="B87" s="219">
        <v>1275</v>
      </c>
      <c r="C87" s="270">
        <f>B87*F87</f>
        <v>4000427158.2733822</v>
      </c>
      <c r="D87" s="219">
        <f>'[1]GAP analysis Sc. 1'!$P$64+'[1]GAP analysis Sc. 1'!$P$75</f>
        <v>3.75</v>
      </c>
      <c r="E87" s="219">
        <f>'[2]Conversion factors selected IV '!$O$29</f>
        <v>0.83669064748201449</v>
      </c>
      <c r="F87" s="219">
        <f>D87*E87*1000000</f>
        <v>3137589.9280575546</v>
      </c>
      <c r="G87" s="219">
        <f>'LCoP 2030 MEDIUM'!E10</f>
        <v>1024.4184684225595</v>
      </c>
      <c r="H87" s="219">
        <f>G87*F87</f>
        <v>3214205068.6387687</v>
      </c>
      <c r="I87" s="276">
        <f>'LCoP 2030 MEDIUM'!H10</f>
        <v>-2.0579023345706264E-2</v>
      </c>
      <c r="L87" s="219">
        <f>I87*H87</f>
        <v>-66145201.145404622</v>
      </c>
      <c r="M87" s="276">
        <f>'LCoP 2030 MEDIUM'!F10</f>
        <v>0.59057896616370376</v>
      </c>
      <c r="O87" s="219">
        <f>M87*H87</f>
        <v>1898241906.4748204</v>
      </c>
      <c r="P87" s="277">
        <f>'LCoP 2030 MEDIUM'!G10</f>
        <v>0.43000005718200252</v>
      </c>
      <c r="R87" s="219">
        <f>P87*H87</f>
        <v>1382108363.3093529</v>
      </c>
      <c r="S87" s="219">
        <f>L87+O87+R87</f>
        <v>3214205068.6387687</v>
      </c>
    </row>
    <row r="88" spans="1:19" x14ac:dyDescent="0.35">
      <c r="C88">
        <f>C87/C86</f>
        <v>0.96168687982359424</v>
      </c>
      <c r="D88" s="2"/>
      <c r="E88" s="2"/>
      <c r="G88" s="157" t="s">
        <v>211</v>
      </c>
      <c r="H88" s="262">
        <f>SUMIF($J$88:$J$96,G88,$L$88:$L$96)/$L$87*(-1)</f>
        <v>0.18587855812972953</v>
      </c>
      <c r="I88" s="5" t="s">
        <v>20</v>
      </c>
      <c r="J88" s="154" t="s">
        <v>212</v>
      </c>
      <c r="K88" s="79">
        <f>'Feedstock MIX per IVC'!G25</f>
        <v>0.84774671077551111</v>
      </c>
      <c r="L88" s="2">
        <f t="shared" ref="L88:L96" si="24">K88*F$87</f>
        <v>2659881.5412731646</v>
      </c>
      <c r="M88" s="5" t="s">
        <v>245</v>
      </c>
      <c r="N88" s="79">
        <v>0.05</v>
      </c>
      <c r="O88" s="2">
        <f>N88*O$87</f>
        <v>94912095.323741019</v>
      </c>
      <c r="P88" s="18" t="s">
        <v>251</v>
      </c>
      <c r="Q88" s="79">
        <v>0.2</v>
      </c>
      <c r="R88" s="2">
        <f>Q88*R$87</f>
        <v>276421672.6618706</v>
      </c>
    </row>
    <row r="89" spans="1:19" x14ac:dyDescent="0.35">
      <c r="D89" s="2"/>
      <c r="E89" s="2"/>
      <c r="G89" s="154" t="s">
        <v>212</v>
      </c>
      <c r="H89" s="262">
        <f>SUMIF($J$88:$J$96,G89,$L$88:$L$96)/$L$87*(-1)</f>
        <v>0.78770015797241499</v>
      </c>
      <c r="I89" s="5" t="s">
        <v>8</v>
      </c>
      <c r="J89" s="154" t="s">
        <v>212</v>
      </c>
      <c r="K89" s="79">
        <f>'Feedstock MIX per IVC'!G26</f>
        <v>0.68717839699555039</v>
      </c>
      <c r="L89" s="2">
        <f t="shared" si="24"/>
        <v>2156084.0171919744</v>
      </c>
      <c r="M89" t="s">
        <v>246</v>
      </c>
      <c r="N89" s="79">
        <v>0.02</v>
      </c>
      <c r="O89" s="2">
        <f t="shared" ref="O89:O93" si="25">N89*O$87</f>
        <v>37964838.12949641</v>
      </c>
      <c r="P89" s="18" t="s">
        <v>210</v>
      </c>
      <c r="Q89" s="79">
        <v>0.5</v>
      </c>
      <c r="R89" s="2">
        <f t="shared" ref="R89:R92" si="26">Q89*R$87</f>
        <v>691054181.65467644</v>
      </c>
    </row>
    <row r="90" spans="1:19" x14ac:dyDescent="0.35">
      <c r="D90" s="2"/>
      <c r="E90" s="2"/>
      <c r="G90" s="159" t="s">
        <v>213</v>
      </c>
      <c r="H90" s="262">
        <f>SUMIF($J$88:$J$96,G90,$L$88:$L$96)/$L$87*(-1)</f>
        <v>-2.0072067433849279</v>
      </c>
      <c r="I90" s="5" t="s">
        <v>9</v>
      </c>
      <c r="J90" s="154" t="s">
        <v>212</v>
      </c>
      <c r="K90" s="79">
        <f>'Feedstock MIX per IVC'!G27</f>
        <v>0.31285048268727833</v>
      </c>
      <c r="L90" s="2">
        <f t="shared" si="24"/>
        <v>981596.52346754889</v>
      </c>
      <c r="M90" s="5" t="s">
        <v>244</v>
      </c>
      <c r="N90" s="79">
        <v>0.4</v>
      </c>
      <c r="O90" s="2">
        <f t="shared" si="25"/>
        <v>759296762.58992815</v>
      </c>
      <c r="P90" s="18" t="s">
        <v>252</v>
      </c>
      <c r="Q90" s="79">
        <v>0.15</v>
      </c>
      <c r="R90" s="2">
        <f t="shared" si="26"/>
        <v>207316254.49640292</v>
      </c>
    </row>
    <row r="91" spans="1:19" x14ac:dyDescent="0.35">
      <c r="D91" s="2"/>
      <c r="E91" s="2"/>
      <c r="G91" s="158" t="s">
        <v>104</v>
      </c>
      <c r="H91" s="262">
        <f t="shared" ref="H91" si="27">SUMIF($J$88:$J$96,G91,$L$88:$L$96)/$L$87</f>
        <v>0</v>
      </c>
      <c r="I91" s="5" t="s">
        <v>21</v>
      </c>
      <c r="J91" s="157" t="s">
        <v>211</v>
      </c>
      <c r="K91" s="79">
        <f>'Feedstock MIX per IVC'!G28</f>
        <v>3.9186046927810039</v>
      </c>
      <c r="L91" s="2">
        <f t="shared" si="24"/>
        <v>12294974.616108745</v>
      </c>
      <c r="M91" t="s">
        <v>247</v>
      </c>
      <c r="N91" s="79">
        <v>0.3</v>
      </c>
      <c r="O91" s="2">
        <f t="shared" si="25"/>
        <v>569472571.94244611</v>
      </c>
      <c r="P91" s="18" t="s">
        <v>253</v>
      </c>
      <c r="Q91" s="79">
        <v>0.1</v>
      </c>
      <c r="R91" s="2">
        <f t="shared" si="26"/>
        <v>138210836.3309353</v>
      </c>
    </row>
    <row r="92" spans="1:19" x14ac:dyDescent="0.35">
      <c r="D92" s="2"/>
      <c r="E92" s="2"/>
      <c r="G92" s="258" t="s">
        <v>298</v>
      </c>
      <c r="H92" s="262">
        <f>SUMIF($J$88:$J$96,G92,$L$88:$L$96)/$L$87*(-1)</f>
        <v>3.3628027282783149E-2</v>
      </c>
      <c r="I92" s="5" t="s">
        <v>5</v>
      </c>
      <c r="J92" s="154" t="s">
        <v>212</v>
      </c>
      <c r="K92" s="79">
        <f>'Feedstock MIX per IVC'!G29</f>
        <v>14.758150163392003</v>
      </c>
      <c r="L92" s="2">
        <f t="shared" si="24"/>
        <v>46305023.309419699</v>
      </c>
      <c r="M92" t="s">
        <v>248</v>
      </c>
      <c r="N92" s="79">
        <v>0.2</v>
      </c>
      <c r="O92" s="2">
        <f t="shared" si="25"/>
        <v>379648381.29496408</v>
      </c>
      <c r="P92" s="18" t="s">
        <v>254</v>
      </c>
      <c r="Q92" s="79">
        <v>0.05</v>
      </c>
      <c r="R92" s="2">
        <f t="shared" si="26"/>
        <v>69105418.16546765</v>
      </c>
    </row>
    <row r="93" spans="1:19" x14ac:dyDescent="0.35">
      <c r="D93" s="2"/>
      <c r="E93" s="2"/>
      <c r="G93" s="2"/>
      <c r="H93" s="262">
        <f>SUM(H88:H92)</f>
        <v>-1.0000000000000002</v>
      </c>
      <c r="I93" s="5" t="s">
        <v>22</v>
      </c>
      <c r="J93" s="154" t="s">
        <v>212</v>
      </c>
      <c r="K93" s="79">
        <f>'Feedstock MIX per IVC'!G30</f>
        <v>0</v>
      </c>
      <c r="L93" s="2">
        <f t="shared" si="24"/>
        <v>0</v>
      </c>
      <c r="M93" t="s">
        <v>250</v>
      </c>
      <c r="N93" s="79">
        <v>0.03</v>
      </c>
      <c r="O93" s="2">
        <f t="shared" si="25"/>
        <v>56947257.194244608</v>
      </c>
      <c r="R93" s="2"/>
    </row>
    <row r="94" spans="1:19" x14ac:dyDescent="0.35">
      <c r="D94" s="2"/>
      <c r="E94" s="2"/>
      <c r="G94" s="2"/>
      <c r="I94" s="5" t="s">
        <v>23</v>
      </c>
      <c r="J94" s="159" t="s">
        <v>213</v>
      </c>
      <c r="K94" s="79">
        <f>'Feedstock MIX per IVC'!G31</f>
        <v>0</v>
      </c>
      <c r="L94" s="2">
        <f t="shared" si="24"/>
        <v>0</v>
      </c>
      <c r="N94" s="79">
        <f>SUM(N88:N93)</f>
        <v>1</v>
      </c>
      <c r="O94" s="35">
        <f>SUM(O88:O93)</f>
        <v>1898241906.4748204</v>
      </c>
    </row>
    <row r="95" spans="1:19" x14ac:dyDescent="0.35">
      <c r="D95" s="2"/>
      <c r="E95" s="2"/>
      <c r="G95" s="2"/>
      <c r="I95" s="12" t="s">
        <v>24</v>
      </c>
      <c r="J95" s="159" t="s">
        <v>213</v>
      </c>
      <c r="K95" s="79">
        <f>'Feedstock MIX per IVC'!G32</f>
        <v>-42.314992343120878</v>
      </c>
      <c r="L95" s="2">
        <f>K95*F$87</f>
        <v>-132767093.78160861</v>
      </c>
      <c r="M95" s="2"/>
    </row>
    <row r="96" spans="1:19" s="80" customFormat="1" x14ac:dyDescent="0.35">
      <c r="D96" s="95"/>
      <c r="E96" s="95"/>
      <c r="F96" s="230"/>
      <c r="G96" s="237"/>
      <c r="I96" s="13" t="s">
        <v>25</v>
      </c>
      <c r="J96" s="258" t="s">
        <v>298</v>
      </c>
      <c r="K96" s="79">
        <f>'Feedstock MIX per IVC'!G33</f>
        <v>0.70893031904902382</v>
      </c>
      <c r="L96" s="2">
        <f t="shared" si="24"/>
        <v>2224332.6287428457</v>
      </c>
    </row>
    <row r="97" spans="1:18" s="219" customFormat="1" x14ac:dyDescent="0.35">
      <c r="A97" s="219" t="s">
        <v>60</v>
      </c>
      <c r="B97" s="219">
        <v>1275</v>
      </c>
      <c r="C97" s="220">
        <f>B97*F97</f>
        <v>159374999.99999997</v>
      </c>
      <c r="D97" s="219">
        <f>'[1]GAP analysis Sc. 1'!$K$13</f>
        <v>0.14939810834049866</v>
      </c>
      <c r="E97" s="219">
        <f>'[2]Conversion factors selected IV '!$O$52</f>
        <v>0.83669064748201449</v>
      </c>
      <c r="F97" s="219">
        <f>D97*E97*1000000</f>
        <v>124999.99999999997</v>
      </c>
      <c r="G97" s="219">
        <f>'LCoP 2030 MEDIUM'!E14</f>
        <v>1369.4799144924964</v>
      </c>
      <c r="H97" s="219">
        <f>G97*F97</f>
        <v>171184989.311562</v>
      </c>
      <c r="I97" s="219">
        <f>'LCoP 2030 MEDIUM'!H14</f>
        <v>0.15296311561467893</v>
      </c>
      <c r="L97" s="219">
        <f>I97*H97</f>
        <v>26184989.311562035</v>
      </c>
      <c r="M97" s="219">
        <f>'LCoP 2030 MEDIUM'!F14</f>
        <v>0.58416336854160067</v>
      </c>
      <c r="O97" s="219">
        <f>M97*H97</f>
        <v>99999999.99999997</v>
      </c>
      <c r="P97" s="219">
        <f>'LCoP 2030 MEDIUM'!G14</f>
        <v>0.26287351584372032</v>
      </c>
      <c r="R97" s="219">
        <v>299326405.69580394</v>
      </c>
    </row>
    <row r="98" spans="1:18" s="80" customFormat="1" x14ac:dyDescent="0.35">
      <c r="C98" s="80">
        <f>C97/C86</f>
        <v>3.8313120176405716E-2</v>
      </c>
      <c r="D98" s="95"/>
      <c r="E98" s="95"/>
      <c r="F98" s="230"/>
      <c r="G98" s="159" t="s">
        <v>213</v>
      </c>
      <c r="H98" s="2">
        <f>(SUMIF($J$102:$J$111,G98,$L$102:$L$111)/$L$101)</f>
        <v>0</v>
      </c>
      <c r="I98" s="5" t="s">
        <v>5</v>
      </c>
      <c r="J98" s="154" t="s">
        <v>212</v>
      </c>
      <c r="K98" s="312">
        <f>'Feedstock MIX per IVC'!G50</f>
        <v>104.88962610713071</v>
      </c>
      <c r="L98" s="2">
        <f>K98*$F$97</f>
        <v>13111203.263391336</v>
      </c>
      <c r="M98" s="5" t="s">
        <v>245</v>
      </c>
      <c r="N98" s="35">
        <v>0</v>
      </c>
      <c r="O98" s="2">
        <f ca="1">N98*O$101</f>
        <v>0</v>
      </c>
      <c r="P98" s="18" t="s">
        <v>251</v>
      </c>
      <c r="Q98" s="35">
        <v>0.25</v>
      </c>
      <c r="R98" s="104">
        <f ca="1">Q98*R$101</f>
        <v>74831601.423950985</v>
      </c>
    </row>
    <row r="99" spans="1:18" s="80" customFormat="1" x14ac:dyDescent="0.35">
      <c r="C99" s="80" t="s">
        <v>440</v>
      </c>
      <c r="D99" s="95"/>
      <c r="E99" s="95"/>
      <c r="F99" s="230"/>
      <c r="G99" s="157" t="s">
        <v>211</v>
      </c>
      <c r="H99" s="2">
        <f t="shared" ref="H99:H103" si="28">(SUMIF($J$102:$J$111,G99,$L$102:$L$111)/$L$101)</f>
        <v>0</v>
      </c>
      <c r="I99" s="5" t="s">
        <v>6</v>
      </c>
      <c r="J99" s="154" t="s">
        <v>212</v>
      </c>
      <c r="K99" s="312">
        <f>'Feedstock MIX per IVC'!G51</f>
        <v>6.0251342168452338</v>
      </c>
      <c r="L99" s="2">
        <f t="shared" ref="L99:L107" si="29">K99*$F$97</f>
        <v>753141.77710565401</v>
      </c>
      <c r="M99" t="s">
        <v>246</v>
      </c>
      <c r="N99" s="35">
        <v>0.02</v>
      </c>
      <c r="O99" s="2">
        <f t="shared" ref="O99:O103" ca="1" si="30">N99*O$101</f>
        <v>126446356.91973124</v>
      </c>
      <c r="P99" s="18" t="s">
        <v>210</v>
      </c>
      <c r="Q99" s="35">
        <v>0.15</v>
      </c>
      <c r="R99" s="104">
        <f t="shared" ref="R99:R102" ca="1" si="31">Q99*R$101</f>
        <v>44898960.854370587</v>
      </c>
    </row>
    <row r="100" spans="1:18" s="80" customFormat="1" x14ac:dyDescent="0.35">
      <c r="D100" s="95"/>
      <c r="E100" s="95"/>
      <c r="F100" s="230"/>
      <c r="G100" s="154" t="s">
        <v>212</v>
      </c>
      <c r="H100" s="2">
        <f t="shared" si="28"/>
        <v>2.418125078252066</v>
      </c>
      <c r="I100" s="5" t="s">
        <v>23</v>
      </c>
      <c r="J100" s="159" t="s">
        <v>213</v>
      </c>
      <c r="K100" s="312">
        <f>'Feedstock MIX per IVC'!G52</f>
        <v>0</v>
      </c>
      <c r="L100" s="2">
        <f t="shared" si="29"/>
        <v>0</v>
      </c>
      <c r="M100" s="5" t="s">
        <v>244</v>
      </c>
      <c r="N100" s="35">
        <v>0.55000000000000004</v>
      </c>
      <c r="O100" s="2">
        <f t="shared" ca="1" si="30"/>
        <v>3477274815.2926092</v>
      </c>
      <c r="P100" s="18" t="s">
        <v>252</v>
      </c>
      <c r="Q100" s="35">
        <v>0.3</v>
      </c>
      <c r="R100" s="104">
        <f t="shared" ca="1" si="31"/>
        <v>89797921.708741173</v>
      </c>
    </row>
    <row r="101" spans="1:18" s="80" customFormat="1" x14ac:dyDescent="0.35">
      <c r="D101" s="95"/>
      <c r="E101" s="95"/>
      <c r="F101" s="230"/>
      <c r="G101" s="178" t="s">
        <v>256</v>
      </c>
      <c r="H101" s="2">
        <f t="shared" si="28"/>
        <v>15.380568383379522</v>
      </c>
      <c r="I101" s="5" t="s">
        <v>7</v>
      </c>
      <c r="J101" s="157" t="s">
        <v>211</v>
      </c>
      <c r="K101" s="312">
        <f>'Feedstock MIX per IVC'!G53</f>
        <v>2.9392355606185081</v>
      </c>
      <c r="L101" s="2">
        <f t="shared" si="29"/>
        <v>367404.4450773134</v>
      </c>
      <c r="M101" t="s">
        <v>247</v>
      </c>
      <c r="N101" s="35">
        <v>0.1</v>
      </c>
      <c r="O101" s="2">
        <f t="shared" ca="1" si="30"/>
        <v>632231784.59865618</v>
      </c>
      <c r="P101" s="18" t="s">
        <v>253</v>
      </c>
      <c r="Q101" s="35">
        <v>0.3</v>
      </c>
      <c r="R101" s="104">
        <f t="shared" ca="1" si="31"/>
        <v>89797921.708741173</v>
      </c>
    </row>
    <row r="102" spans="1:18" s="80" customFormat="1" x14ac:dyDescent="0.35">
      <c r="D102" s="95"/>
      <c r="E102" s="95"/>
      <c r="F102" s="230"/>
      <c r="G102" s="156" t="s">
        <v>209</v>
      </c>
      <c r="H102" s="2">
        <f t="shared" si="28"/>
        <v>13.456040983500381</v>
      </c>
      <c r="I102" s="5" t="s">
        <v>8</v>
      </c>
      <c r="J102" s="154" t="s">
        <v>212</v>
      </c>
      <c r="K102" s="312">
        <f>'Feedstock MIX per IVC'!G54</f>
        <v>4.8839376433878465</v>
      </c>
      <c r="L102" s="2">
        <f t="shared" si="29"/>
        <v>610492.20542348071</v>
      </c>
      <c r="M102" t="s">
        <v>248</v>
      </c>
      <c r="N102" s="35">
        <v>0.3</v>
      </c>
      <c r="O102" s="2">
        <f t="shared" ca="1" si="30"/>
        <v>1896695353.7959685</v>
      </c>
      <c r="P102" s="18" t="s">
        <v>254</v>
      </c>
      <c r="Q102" s="240">
        <v>0</v>
      </c>
      <c r="R102" s="104">
        <f t="shared" ca="1" si="31"/>
        <v>0</v>
      </c>
    </row>
    <row r="103" spans="1:18" s="80" customFormat="1" x14ac:dyDescent="0.35">
      <c r="D103" s="95"/>
      <c r="E103" s="95"/>
      <c r="F103" s="230"/>
      <c r="G103" s="158" t="s">
        <v>104</v>
      </c>
      <c r="H103" s="2">
        <f t="shared" si="28"/>
        <v>1.2795475597370738</v>
      </c>
      <c r="I103" s="5" t="s">
        <v>9</v>
      </c>
      <c r="J103" s="154" t="s">
        <v>212</v>
      </c>
      <c r="K103" s="312">
        <f>'Feedstock MIX per IVC'!G55</f>
        <v>2.2235015766340371</v>
      </c>
      <c r="L103" s="2">
        <f t="shared" si="29"/>
        <v>277937.69707925461</v>
      </c>
      <c r="M103" t="s">
        <v>250</v>
      </c>
      <c r="N103" s="35">
        <v>0.03</v>
      </c>
      <c r="O103" s="2">
        <f t="shared" ca="1" si="30"/>
        <v>189669535.37959686</v>
      </c>
      <c r="P103"/>
      <c r="Q103"/>
      <c r="R103" s="104"/>
    </row>
    <row r="104" spans="1:18" s="80" customFormat="1" x14ac:dyDescent="0.35">
      <c r="D104" s="95"/>
      <c r="E104" s="95"/>
      <c r="F104" s="230"/>
      <c r="G104" s="237"/>
      <c r="I104" s="5" t="s">
        <v>10</v>
      </c>
      <c r="J104" s="178" t="s">
        <v>256</v>
      </c>
      <c r="K104" s="312">
        <f>'Feedstock MIX per IVC'!G56</f>
        <v>45.207113534953805</v>
      </c>
      <c r="L104" s="2">
        <f t="shared" si="29"/>
        <v>5650889.1918692244</v>
      </c>
      <c r="M104"/>
      <c r="N104" s="123"/>
      <c r="O104" s="2"/>
      <c r="P104" s="18"/>
      <c r="Q104" s="123"/>
      <c r="R104" s="2"/>
    </row>
    <row r="105" spans="1:18" s="80" customFormat="1" x14ac:dyDescent="0.35">
      <c r="D105" s="95"/>
      <c r="E105" s="95"/>
      <c r="F105" s="230"/>
      <c r="G105" s="237"/>
      <c r="H105" s="2">
        <f>SUM(H98:H103)</f>
        <v>32.534282004869041</v>
      </c>
      <c r="I105" s="5" t="s">
        <v>11</v>
      </c>
      <c r="J105" s="156" t="s">
        <v>209</v>
      </c>
      <c r="K105" s="312">
        <f>'Feedstock MIX per IVC'!G57</f>
        <v>39.550474163844363</v>
      </c>
      <c r="L105" s="2">
        <f t="shared" si="29"/>
        <v>4943809.2704805443</v>
      </c>
    </row>
    <row r="106" spans="1:18" s="80" customFormat="1" x14ac:dyDescent="0.35">
      <c r="D106" s="95"/>
      <c r="E106" s="95"/>
      <c r="F106" s="230"/>
      <c r="G106" s="237"/>
      <c r="I106" s="5" t="s">
        <v>12</v>
      </c>
      <c r="J106" s="159" t="s">
        <v>213</v>
      </c>
      <c r="K106" s="312">
        <f>'Feedstock MIX per IVC'!G58</f>
        <v>0</v>
      </c>
      <c r="L106" s="2">
        <f t="shared" si="29"/>
        <v>0</v>
      </c>
    </row>
    <row r="107" spans="1:18" s="80" customFormat="1" x14ac:dyDescent="0.35">
      <c r="D107" s="95"/>
      <c r="E107" s="95"/>
      <c r="F107" s="230"/>
      <c r="G107" s="237"/>
      <c r="I107" s="253" t="s">
        <v>33</v>
      </c>
      <c r="J107" s="158" t="s">
        <v>104</v>
      </c>
      <c r="K107" s="312">
        <f>'Feedstock MIX per IVC'!G59</f>
        <v>3.7608916890818413</v>
      </c>
      <c r="L107" s="2">
        <f>K107*$F$97</f>
        <v>470111.46113523009</v>
      </c>
    </row>
    <row r="108" spans="1:18" s="80" customFormat="1" x14ac:dyDescent="0.35">
      <c r="D108" s="95"/>
      <c r="E108" s="95"/>
      <c r="F108" s="230"/>
      <c r="G108" s="237"/>
      <c r="I108" s="14"/>
      <c r="J108" s="310"/>
      <c r="K108" s="6"/>
      <c r="L108" s="2">
        <f>SUM(L98:L107)</f>
        <v>26184989.311562035</v>
      </c>
    </row>
    <row r="109" spans="1:18" s="80" customFormat="1" x14ac:dyDescent="0.35">
      <c r="D109" s="95"/>
      <c r="E109" s="95"/>
      <c r="F109" s="230"/>
      <c r="G109" s="237"/>
      <c r="I109" s="14"/>
      <c r="J109" s="310"/>
      <c r="K109" s="6"/>
      <c r="L109" s="2"/>
    </row>
    <row r="110" spans="1:18" s="80" customFormat="1" x14ac:dyDescent="0.35">
      <c r="D110" s="95"/>
      <c r="E110" s="95"/>
      <c r="F110" s="230"/>
      <c r="G110" s="237"/>
      <c r="I110" s="14"/>
      <c r="J110" s="310"/>
      <c r="K110" s="6"/>
      <c r="L110" s="2"/>
    </row>
    <row r="111" spans="1:18" s="80" customFormat="1" x14ac:dyDescent="0.35">
      <c r="D111" s="95"/>
      <c r="E111" s="95"/>
      <c r="F111" s="230"/>
      <c r="G111" s="237"/>
      <c r="I111" s="152" t="s">
        <v>214</v>
      </c>
      <c r="J111" s="310"/>
      <c r="K111" s="6"/>
      <c r="L111" s="2">
        <f>SUM(L112:L115)</f>
        <v>-66145201.145404637</v>
      </c>
      <c r="O111" s="2">
        <f>SUM(O112:O117)</f>
        <v>1898241906.4748204</v>
      </c>
      <c r="R111" s="2">
        <f>SUM(R112:R117)</f>
        <v>1382108363.3093529</v>
      </c>
    </row>
    <row r="112" spans="1:18" s="80" customFormat="1" x14ac:dyDescent="0.35">
      <c r="D112" s="95"/>
      <c r="E112" s="95"/>
      <c r="F112" s="230"/>
      <c r="G112" s="237"/>
      <c r="I112" s="14"/>
      <c r="J112" s="157" t="s">
        <v>211</v>
      </c>
      <c r="K112" s="6"/>
      <c r="L112" s="2">
        <f>SUMIF($J$88:$J$96, J112, $L$88:$L$96)</f>
        <v>12294974.616108745</v>
      </c>
      <c r="M112" s="5" t="s">
        <v>245</v>
      </c>
      <c r="O112" s="1">
        <f>SUMIF($M$88:$M$93, M112, $O$88:$O$93)</f>
        <v>94912095.323741019</v>
      </c>
      <c r="P112" s="18" t="s">
        <v>251</v>
      </c>
      <c r="R112">
        <f>SUMIF($P$88:$P$92, P112, $R$88:$R$92)</f>
        <v>276421672.6618706</v>
      </c>
    </row>
    <row r="113" spans="1:19" s="80" customFormat="1" x14ac:dyDescent="0.35">
      <c r="D113" s="95"/>
      <c r="E113" s="95"/>
      <c r="F113" s="230"/>
      <c r="G113" s="237"/>
      <c r="I113" s="14"/>
      <c r="J113" s="154" t="s">
        <v>212</v>
      </c>
      <c r="K113" s="6"/>
      <c r="L113" s="2">
        <f>SUMIF($J$88:$J$96, J113, $L$88:$L$96)</f>
        <v>52102585.391352385</v>
      </c>
      <c r="M113" t="s">
        <v>246</v>
      </c>
      <c r="O113" s="1">
        <f t="shared" ref="O113:O117" si="32">SUMIF($M$88:$M$93, M113, $O$88:$O$93)</f>
        <v>37964838.12949641</v>
      </c>
      <c r="P113" s="18" t="s">
        <v>210</v>
      </c>
      <c r="R113">
        <f t="shared" ref="R113:R116" si="33">SUMIF($P$88:$P$92, P113, $R$88:$R$92)</f>
        <v>691054181.65467644</v>
      </c>
    </row>
    <row r="114" spans="1:19" s="80" customFormat="1" x14ac:dyDescent="0.35">
      <c r="D114" s="95"/>
      <c r="E114" s="95"/>
      <c r="F114" s="230"/>
      <c r="G114" s="237"/>
      <c r="I114" s="14"/>
      <c r="J114" s="159" t="s">
        <v>213</v>
      </c>
      <c r="K114" s="6"/>
      <c r="L114" s="2">
        <f>SUMIF($J$88:$J$96, J114, $L$88:$L$96)</f>
        <v>-132767093.78160861</v>
      </c>
      <c r="M114" s="5" t="s">
        <v>244</v>
      </c>
      <c r="O114" s="1">
        <f t="shared" si="32"/>
        <v>759296762.58992815</v>
      </c>
      <c r="P114" s="18" t="s">
        <v>252</v>
      </c>
      <c r="R114">
        <f t="shared" si="33"/>
        <v>207316254.49640292</v>
      </c>
    </row>
    <row r="115" spans="1:19" s="80" customFormat="1" x14ac:dyDescent="0.35">
      <c r="D115" s="95"/>
      <c r="E115" s="95"/>
      <c r="F115" s="230"/>
      <c r="G115" s="237"/>
      <c r="I115" s="14"/>
      <c r="J115" s="258" t="s">
        <v>298</v>
      </c>
      <c r="K115" s="6"/>
      <c r="L115" s="2">
        <f>SUMIF($J$88:$J$96, J115, $L$88:$L$96)</f>
        <v>2224332.6287428457</v>
      </c>
      <c r="M115" t="s">
        <v>247</v>
      </c>
      <c r="O115" s="1">
        <f t="shared" si="32"/>
        <v>569472571.94244611</v>
      </c>
      <c r="P115" s="18" t="s">
        <v>253</v>
      </c>
      <c r="R115">
        <f t="shared" si="33"/>
        <v>138210836.3309353</v>
      </c>
    </row>
    <row r="116" spans="1:19" s="80" customFormat="1" x14ac:dyDescent="0.35">
      <c r="D116" s="95"/>
      <c r="E116" s="95"/>
      <c r="F116" s="230"/>
      <c r="G116" s="237"/>
      <c r="I116" s="14"/>
      <c r="K116" s="6"/>
      <c r="L116" s="2"/>
      <c r="M116" t="s">
        <v>248</v>
      </c>
      <c r="O116" s="1">
        <f t="shared" si="32"/>
        <v>379648381.29496408</v>
      </c>
      <c r="P116" s="18" t="s">
        <v>254</v>
      </c>
      <c r="R116">
        <f t="shared" si="33"/>
        <v>69105418.16546765</v>
      </c>
    </row>
    <row r="117" spans="1:19" s="80" customFormat="1" x14ac:dyDescent="0.35">
      <c r="D117" s="95"/>
      <c r="E117" s="95"/>
      <c r="F117" s="230"/>
      <c r="G117" s="237"/>
      <c r="I117" s="14"/>
      <c r="K117" s="6"/>
      <c r="L117" s="2"/>
      <c r="M117" t="s">
        <v>250</v>
      </c>
      <c r="O117" s="1">
        <f t="shared" si="32"/>
        <v>56947257.194244608</v>
      </c>
    </row>
    <row r="118" spans="1:19" s="80" customFormat="1" x14ac:dyDescent="0.35">
      <c r="D118" s="95"/>
      <c r="E118" s="95"/>
      <c r="F118" s="230"/>
      <c r="G118" s="237"/>
      <c r="I118" s="14"/>
      <c r="J118" s="14"/>
      <c r="K118" s="6"/>
      <c r="L118" s="2"/>
    </row>
    <row r="119" spans="1:19" s="93" customFormat="1" ht="26" customHeight="1" x14ac:dyDescent="0.35">
      <c r="A119" s="93" t="s">
        <v>107</v>
      </c>
      <c r="D119" s="94"/>
      <c r="E119" s="94"/>
      <c r="F119" s="176"/>
      <c r="I119" s="96"/>
    </row>
    <row r="120" spans="1:19" ht="16" customHeight="1" x14ac:dyDescent="0.35">
      <c r="B120" s="2">
        <f>C120/1000000</f>
        <v>2094.4</v>
      </c>
      <c r="C120" s="2">
        <f>C121+C128</f>
        <v>2094400000</v>
      </c>
      <c r="D120" s="2">
        <f>D121+D128</f>
        <v>0.90379287283844456</v>
      </c>
      <c r="E120" s="2"/>
      <c r="F120" s="2">
        <f>F121+F128</f>
        <v>880000</v>
      </c>
      <c r="I120" s="6"/>
      <c r="L120" s="2">
        <f>L121+L128</f>
        <v>749513728.44452822</v>
      </c>
      <c r="O120" s="2">
        <f>O121+O128</f>
        <v>385573023.25581402</v>
      </c>
      <c r="R120" s="2">
        <f>R121+R128</f>
        <v>517982325.58139539</v>
      </c>
    </row>
    <row r="121" spans="1:19" s="219" customFormat="1" x14ac:dyDescent="0.35">
      <c r="A121" s="219" t="s">
        <v>91</v>
      </c>
      <c r="B121" s="219">
        <v>2380</v>
      </c>
      <c r="C121" s="270">
        <f>B121*F121</f>
        <v>1972632558.139535</v>
      </c>
      <c r="D121" s="219">
        <f>'[1]GAP analysis Sc. 1'!$P$78</f>
        <v>0.85124677558039541</v>
      </c>
      <c r="E121" s="219">
        <f>'[2]Conversion factors selected IV '!$O$78</f>
        <v>0.97367441860465131</v>
      </c>
      <c r="F121" s="219">
        <f>D121*E121*1000000</f>
        <v>828837.20930232562</v>
      </c>
      <c r="G121" s="219">
        <f>'LCoP 2030 MEDIUM'!E4</f>
        <v>1811.2943993289186</v>
      </c>
      <c r="H121" s="219">
        <f>G121*F121</f>
        <v>1501268195.1647131</v>
      </c>
      <c r="I121" s="279">
        <f>'LCoP 2030 MEDIUM'!H4</f>
        <v>0.47992993278783985</v>
      </c>
      <c r="L121" s="219">
        <f>I121*H121</f>
        <v>720503544.00192237</v>
      </c>
      <c r="M121" s="279">
        <f>'LCoP 2030 MEDIUM'!F4</f>
        <v>0.20758635379169027</v>
      </c>
      <c r="O121" s="219">
        <f>M121*H121</f>
        <v>311642790.69767445</v>
      </c>
      <c r="P121" s="280">
        <f>'LCoP 2030 MEDIUM'!G4</f>
        <v>0.31248371342046993</v>
      </c>
      <c r="R121" s="219">
        <f>P121*H121</f>
        <v>469121860.46511632</v>
      </c>
      <c r="S121" s="219">
        <f>L121+O121+R121</f>
        <v>1501268195.1647131</v>
      </c>
    </row>
    <row r="122" spans="1:19" x14ac:dyDescent="0.35">
      <c r="D122" s="2"/>
      <c r="E122" s="2"/>
      <c r="G122" s="154" t="s">
        <v>212</v>
      </c>
      <c r="H122" s="2">
        <f>SUMIF($J$122:$J$125,G122,$L$122:$L$125)/$L$121</f>
        <v>0.56992974375775252</v>
      </c>
      <c r="I122" s="4" t="s">
        <v>2</v>
      </c>
      <c r="J122" s="154" t="s">
        <v>212</v>
      </c>
      <c r="K122" s="79">
        <f>'Feedstock MIX per IVC'!G9</f>
        <v>353.01401558416768</v>
      </c>
      <c r="L122" s="2">
        <f>K122*F$121</f>
        <v>292591151.52138925</v>
      </c>
      <c r="M122" s="5" t="s">
        <v>245</v>
      </c>
      <c r="N122" s="181">
        <v>0.05</v>
      </c>
      <c r="O122" s="2">
        <f>N122*O$121</f>
        <v>15582139.534883723</v>
      </c>
      <c r="P122" s="18" t="s">
        <v>251</v>
      </c>
      <c r="Q122" s="181">
        <v>0.35</v>
      </c>
      <c r="R122" s="2">
        <f>Q122*R$121</f>
        <v>164192651.16279072</v>
      </c>
    </row>
    <row r="123" spans="1:19" x14ac:dyDescent="0.35">
      <c r="C123">
        <f>(L122+L123)/L121</f>
        <v>0.56992974375775252</v>
      </c>
      <c r="D123" s="2"/>
      <c r="E123" s="2"/>
      <c r="G123" s="158" t="s">
        <v>104</v>
      </c>
      <c r="H123" s="2">
        <f>SUMIF($J$122:$J$125,G123,$L$122:$L$125)/$L$121/2</f>
        <v>0.18277985890295523</v>
      </c>
      <c r="I123" s="232" t="s">
        <v>162</v>
      </c>
      <c r="J123" s="154" t="s">
        <v>212</v>
      </c>
      <c r="K123" s="79">
        <f>'Feedstock MIX per IVC'!G10</f>
        <v>142.4227186754122</v>
      </c>
      <c r="L123" s="2">
        <f>K123*F$121</f>
        <v>118045248.68817887</v>
      </c>
      <c r="M123" t="s">
        <v>246</v>
      </c>
      <c r="N123" s="181">
        <v>0.02</v>
      </c>
      <c r="O123" s="2">
        <f t="shared" ref="O123:O127" si="34">N123*O$121</f>
        <v>6232855.8139534891</v>
      </c>
      <c r="P123" s="18" t="s">
        <v>210</v>
      </c>
      <c r="Q123" s="181">
        <v>0.25</v>
      </c>
      <c r="R123" s="2">
        <f t="shared" ref="R123:R126" si="35">Q123*R$121</f>
        <v>117280465.11627908</v>
      </c>
    </row>
    <row r="124" spans="1:19" x14ac:dyDescent="0.35">
      <c r="D124" s="2"/>
      <c r="E124" s="2"/>
      <c r="G124" s="261" t="s">
        <v>210</v>
      </c>
      <c r="H124" s="2">
        <f t="shared" ref="H124" si="36">SUMIF($J$122:$J$125,G124,$L$122:$L$125)/$L$121</f>
        <v>6.4510538436337139E-2</v>
      </c>
      <c r="I124" s="233" t="s">
        <v>341</v>
      </c>
      <c r="J124" s="158" t="s">
        <v>104</v>
      </c>
      <c r="K124" s="79">
        <f>'Feedstock MIX per IVC'!G11*0.85</f>
        <v>317.77901530893791</v>
      </c>
      <c r="L124" s="2">
        <f>K124*F$121</f>
        <v>263387072.22350112</v>
      </c>
      <c r="M124" s="5" t="s">
        <v>244</v>
      </c>
      <c r="N124" s="181">
        <v>0.45</v>
      </c>
      <c r="O124" s="2">
        <f t="shared" si="34"/>
        <v>140239255.81395352</v>
      </c>
      <c r="P124" s="18" t="s">
        <v>252</v>
      </c>
      <c r="Q124" s="181">
        <v>0.2</v>
      </c>
      <c r="R124" s="2">
        <f t="shared" si="35"/>
        <v>93824372.09302327</v>
      </c>
    </row>
    <row r="125" spans="1:19" x14ac:dyDescent="0.35">
      <c r="D125" s="2"/>
      <c r="E125" s="2"/>
      <c r="G125" s="306" t="s">
        <v>105</v>
      </c>
      <c r="H125" s="2">
        <f>H123</f>
        <v>0.18277985890295523</v>
      </c>
      <c r="I125" s="234" t="s">
        <v>342</v>
      </c>
      <c r="J125" s="261" t="s">
        <v>210</v>
      </c>
      <c r="K125" s="79">
        <f>'Feedstock MIX per IVC'!G11*0.15</f>
        <v>56.078649760400808</v>
      </c>
      <c r="L125" s="2">
        <f>K125*F$121</f>
        <v>46480071.56885314</v>
      </c>
      <c r="M125" t="s">
        <v>247</v>
      </c>
      <c r="N125" s="181">
        <v>0.15</v>
      </c>
      <c r="O125" s="2">
        <f t="shared" si="34"/>
        <v>46746418.604651168</v>
      </c>
      <c r="P125" s="18" t="s">
        <v>253</v>
      </c>
      <c r="Q125" s="181">
        <v>0.15</v>
      </c>
      <c r="R125" s="2">
        <f t="shared" si="35"/>
        <v>70368279.069767445</v>
      </c>
    </row>
    <row r="126" spans="1:19" x14ac:dyDescent="0.35">
      <c r="D126" s="2"/>
      <c r="E126" s="2"/>
      <c r="G126" s="2"/>
      <c r="L126" s="2"/>
      <c r="M126" t="s">
        <v>248</v>
      </c>
      <c r="N126" s="181">
        <v>0.3</v>
      </c>
      <c r="O126" s="2">
        <f t="shared" si="34"/>
        <v>93492837.209302336</v>
      </c>
      <c r="P126" s="18" t="s">
        <v>254</v>
      </c>
      <c r="Q126" s="181">
        <v>0.05</v>
      </c>
      <c r="R126" s="2">
        <f t="shared" si="35"/>
        <v>23456093.023255818</v>
      </c>
    </row>
    <row r="127" spans="1:19" x14ac:dyDescent="0.35">
      <c r="D127" s="2"/>
      <c r="E127" s="2"/>
      <c r="G127" s="2"/>
      <c r="M127" t="s">
        <v>250</v>
      </c>
      <c r="N127" s="181">
        <v>0.03</v>
      </c>
      <c r="O127" s="2">
        <f t="shared" si="34"/>
        <v>9349283.7209302336</v>
      </c>
      <c r="Q127" s="123"/>
    </row>
    <row r="128" spans="1:19" s="219" customFormat="1" x14ac:dyDescent="0.35">
      <c r="A128" s="219" t="s">
        <v>345</v>
      </c>
      <c r="B128" s="219">
        <v>2380</v>
      </c>
      <c r="C128" s="270">
        <f>B128*F128</f>
        <v>121767441.86046514</v>
      </c>
      <c r="D128" s="219">
        <f>'[1]GAP analysis Sc. 1'!$P$79</f>
        <v>5.2546097258049103E-2</v>
      </c>
      <c r="E128" s="219">
        <f>'[2]Conversion factors selected IV '!$O$76</f>
        <v>0.97367441860465131</v>
      </c>
      <c r="F128" s="219">
        <f>D128*E128*1000000</f>
        <v>51162.790697674427</v>
      </c>
      <c r="G128" s="219">
        <f>'LCoP 2030 MEDIUM'!E17</f>
        <v>2967.0172413782047</v>
      </c>
      <c r="H128" s="219">
        <f>G128*F128</f>
        <v>151800882.11702445</v>
      </c>
      <c r="I128" s="276">
        <f>'LCoP 2030 MEDIUM'!H17</f>
        <v>0.19110682387366934</v>
      </c>
      <c r="L128" s="219">
        <f>I128*H128</f>
        <v>29010184.442605834</v>
      </c>
      <c r="M128" s="274">
        <f>'LCoP 2030 MEDIUM'!F17</f>
        <v>0.48702109979272828</v>
      </c>
      <c r="O128" s="219">
        <f>M128*H128</f>
        <v>73930232.558139548</v>
      </c>
      <c r="P128" s="274">
        <f>'LCoP 2030 MEDIUM'!G17</f>
        <v>0.32187207633360243</v>
      </c>
      <c r="R128" s="219">
        <f>P128*H128</f>
        <v>48860465.116279081</v>
      </c>
    </row>
    <row r="129" spans="1:18" s="80" customFormat="1" x14ac:dyDescent="0.35">
      <c r="F129" s="230"/>
      <c r="G129" s="157" t="s">
        <v>211</v>
      </c>
      <c r="H129" s="2">
        <f>SUMIF($J$129:$J$138,G129,$L$129:$L$138)/$L$128</f>
        <v>1.4263906970438637E-2</v>
      </c>
      <c r="I129" s="5" t="s">
        <v>5</v>
      </c>
      <c r="J129" s="154" t="s">
        <v>212</v>
      </c>
      <c r="K129" s="6">
        <f>'Feedstock MIX per IVC'!G74</f>
        <v>288.62430916017291</v>
      </c>
      <c r="L129" s="2">
        <f t="shared" ref="L129:L138" si="37">K129*F$128</f>
        <v>14766825.119822802</v>
      </c>
      <c r="M129" s="5" t="s">
        <v>245</v>
      </c>
      <c r="N129" s="282">
        <v>0</v>
      </c>
      <c r="O129" s="2">
        <f>N129*O$128</f>
        <v>0</v>
      </c>
      <c r="P129" s="18" t="s">
        <v>251</v>
      </c>
      <c r="Q129" s="282">
        <v>0.25</v>
      </c>
      <c r="R129" s="2">
        <f>Q129*R$128</f>
        <v>12215116.27906977</v>
      </c>
    </row>
    <row r="130" spans="1:18" x14ac:dyDescent="0.35">
      <c r="G130" s="154" t="s">
        <v>212</v>
      </c>
      <c r="H130" s="2">
        <f t="shared" ref="H130:H134" si="38">SUMIF($J$129:$J$138,G130,$L$129:$L$138)/$L$128</f>
        <v>0.5727535748743724</v>
      </c>
      <c r="I130" s="5" t="s">
        <v>6</v>
      </c>
      <c r="J130" s="154" t="s">
        <v>212</v>
      </c>
      <c r="K130" s="6">
        <f>'Feedstock MIX per IVC'!G75</f>
        <v>16.579334539319635</v>
      </c>
      <c r="L130" s="2">
        <f t="shared" si="37"/>
        <v>848245.02294193499</v>
      </c>
      <c r="M130" t="s">
        <v>246</v>
      </c>
      <c r="N130" s="282">
        <v>0.02</v>
      </c>
      <c r="O130" s="2">
        <f t="shared" ref="O130:O134" si="39">N130*O$128</f>
        <v>1478604.6511627911</v>
      </c>
      <c r="P130" s="18" t="s">
        <v>210</v>
      </c>
      <c r="Q130" s="282">
        <v>0.15</v>
      </c>
      <c r="R130" s="2">
        <f t="shared" ref="R130:R133" si="40">Q130*R$128</f>
        <v>7329069.7674418623</v>
      </c>
    </row>
    <row r="131" spans="1:18" x14ac:dyDescent="0.35">
      <c r="G131" s="178" t="s">
        <v>256</v>
      </c>
      <c r="H131" s="2">
        <f t="shared" si="38"/>
        <v>0.21938699657299526</v>
      </c>
      <c r="I131" s="5" t="s">
        <v>23</v>
      </c>
      <c r="J131" s="159" t="s">
        <v>213</v>
      </c>
      <c r="K131" s="6">
        <f>'Feedstock MIX per IVC'!G76</f>
        <v>0</v>
      </c>
      <c r="L131" s="2">
        <f t="shared" si="37"/>
        <v>0</v>
      </c>
      <c r="M131" s="5" t="s">
        <v>244</v>
      </c>
      <c r="N131" s="282">
        <v>0.55000000000000004</v>
      </c>
      <c r="O131" s="2">
        <f t="shared" si="39"/>
        <v>40661627.906976752</v>
      </c>
      <c r="P131" s="18" t="s">
        <v>252</v>
      </c>
      <c r="Q131" s="282">
        <v>0.3</v>
      </c>
      <c r="R131" s="2">
        <f t="shared" si="40"/>
        <v>14658139.534883725</v>
      </c>
    </row>
    <row r="132" spans="1:18" x14ac:dyDescent="0.35">
      <c r="G132" s="156" t="s">
        <v>209</v>
      </c>
      <c r="H132" s="2">
        <f t="shared" si="38"/>
        <v>0.1919357167790591</v>
      </c>
      <c r="I132" s="5" t="s">
        <v>7</v>
      </c>
      <c r="J132" s="157" t="s">
        <v>211</v>
      </c>
      <c r="K132" s="6">
        <f>'Feedstock MIX per IVC'!G77</f>
        <v>8.0878811816534633</v>
      </c>
      <c r="L132" s="2">
        <f t="shared" si="37"/>
        <v>413798.57208459586</v>
      </c>
      <c r="M132" t="s">
        <v>247</v>
      </c>
      <c r="N132" s="282">
        <v>0.1</v>
      </c>
      <c r="O132" s="2">
        <f t="shared" si="39"/>
        <v>7393023.2558139553</v>
      </c>
      <c r="P132" s="18" t="s">
        <v>253</v>
      </c>
      <c r="Q132" s="282">
        <v>0.3</v>
      </c>
      <c r="R132" s="2">
        <f t="shared" si="40"/>
        <v>14658139.534883725</v>
      </c>
    </row>
    <row r="133" spans="1:18" s="80" customFormat="1" x14ac:dyDescent="0.35">
      <c r="F133" s="230"/>
      <c r="G133" s="159" t="s">
        <v>213</v>
      </c>
      <c r="H133" s="2">
        <f t="shared" si="38"/>
        <v>0</v>
      </c>
      <c r="I133" s="5" t="s">
        <v>8</v>
      </c>
      <c r="J133" s="154" t="s">
        <v>212</v>
      </c>
      <c r="K133" s="6">
        <f>'Feedstock MIX per IVC'!G78</f>
        <v>13.439109096112505</v>
      </c>
      <c r="L133" s="2">
        <f t="shared" si="37"/>
        <v>687582.32584761665</v>
      </c>
      <c r="M133" t="s">
        <v>248</v>
      </c>
      <c r="N133" s="282">
        <v>0.3</v>
      </c>
      <c r="O133" s="2">
        <f t="shared" si="39"/>
        <v>22179069.767441865</v>
      </c>
      <c r="P133" s="18" t="s">
        <v>254</v>
      </c>
      <c r="Q133" s="283">
        <v>0</v>
      </c>
      <c r="R133" s="2">
        <f t="shared" si="40"/>
        <v>0</v>
      </c>
    </row>
    <row r="134" spans="1:18" x14ac:dyDescent="0.35">
      <c r="G134" s="261" t="s">
        <v>210</v>
      </c>
      <c r="H134" s="2">
        <f t="shared" si="38"/>
        <v>0</v>
      </c>
      <c r="I134" s="5" t="s">
        <v>9</v>
      </c>
      <c r="J134" s="154" t="s">
        <v>212</v>
      </c>
      <c r="K134" s="6">
        <f>'Feedstock MIX per IVC'!G79</f>
        <v>6.1183992191666858</v>
      </c>
      <c r="L134" s="2">
        <f t="shared" si="37"/>
        <v>313034.37865503976</v>
      </c>
      <c r="M134" t="s">
        <v>250</v>
      </c>
      <c r="N134" s="282">
        <v>0.03</v>
      </c>
      <c r="O134" s="2">
        <f t="shared" si="39"/>
        <v>2217906.9767441861</v>
      </c>
    </row>
    <row r="135" spans="1:18" x14ac:dyDescent="0.35">
      <c r="G135" s="158" t="s">
        <v>104</v>
      </c>
      <c r="H135" s="299">
        <f>SUMIF($J$129:$J$138,G135,$L$129:$L$138)/$L$128/2</f>
        <v>8.2990240156723669E-4</v>
      </c>
      <c r="I135" s="5" t="s">
        <v>10</v>
      </c>
      <c r="J135" s="178" t="s">
        <v>256</v>
      </c>
      <c r="K135" s="6">
        <f>'Feedstock MIX per IVC'!G80</f>
        <v>124.39620959106945</v>
      </c>
      <c r="L135" s="2">
        <f t="shared" si="37"/>
        <v>6364457.2348919269</v>
      </c>
      <c r="N135" s="35"/>
    </row>
    <row r="136" spans="1:18" x14ac:dyDescent="0.35">
      <c r="G136" s="306" t="s">
        <v>105</v>
      </c>
      <c r="H136" s="299">
        <f>H135</f>
        <v>8.2990240156723669E-4</v>
      </c>
      <c r="I136" s="5" t="s">
        <v>11</v>
      </c>
      <c r="J136" s="156" t="s">
        <v>209</v>
      </c>
      <c r="K136" s="6">
        <f>'Feedstock MIX per IVC'!G81</f>
        <v>108.83086065001051</v>
      </c>
      <c r="L136" s="2">
        <f t="shared" si="37"/>
        <v>5568090.5448842598</v>
      </c>
    </row>
    <row r="137" spans="1:18" x14ac:dyDescent="0.35">
      <c r="F137" s="31"/>
      <c r="H137" s="2">
        <f>SUM(H129:H136)</f>
        <v>0.99999999999999989</v>
      </c>
      <c r="I137" s="5" t="s">
        <v>12</v>
      </c>
      <c r="J137" s="159" t="s">
        <v>213</v>
      </c>
      <c r="K137" s="6">
        <f>'Feedstock MIX per IVC'!G82</f>
        <v>0</v>
      </c>
      <c r="L137" s="2">
        <f t="shared" si="37"/>
        <v>0</v>
      </c>
    </row>
    <row r="138" spans="1:18" x14ac:dyDescent="0.35">
      <c r="F138" s="31"/>
      <c r="I138" s="13" t="s">
        <v>33</v>
      </c>
      <c r="J138" s="158" t="s">
        <v>104</v>
      </c>
      <c r="K138" s="6">
        <f>'Feedstock MIX per IVC'!G83</f>
        <v>0.94113794069960355</v>
      </c>
      <c r="L138" s="2">
        <f t="shared" si="37"/>
        <v>48151.243477654141</v>
      </c>
    </row>
    <row r="139" spans="1:18" x14ac:dyDescent="0.35">
      <c r="A139" s="80"/>
      <c r="B139" s="80"/>
      <c r="C139" s="80"/>
      <c r="D139" s="92"/>
      <c r="E139" s="92"/>
      <c r="F139" s="237"/>
      <c r="G139" s="237"/>
      <c r="L139" s="2">
        <f>SUM(L129:L138)</f>
        <v>29010184.442605831</v>
      </c>
    </row>
    <row r="140" spans="1:18" x14ac:dyDescent="0.35">
      <c r="A140" s="80"/>
      <c r="B140" s="80"/>
      <c r="C140" s="80"/>
      <c r="D140" s="92"/>
      <c r="E140" s="92"/>
      <c r="F140" s="237"/>
      <c r="G140" s="237"/>
      <c r="L140" s="2"/>
    </row>
    <row r="141" spans="1:18" x14ac:dyDescent="0.35">
      <c r="A141" s="80"/>
      <c r="B141" s="80"/>
      <c r="C141" s="80"/>
      <c r="D141" s="92"/>
      <c r="E141" s="92"/>
      <c r="F141" s="237"/>
      <c r="G141" s="237"/>
      <c r="L141" s="2"/>
    </row>
    <row r="142" spans="1:18" x14ac:dyDescent="0.35">
      <c r="A142" s="80"/>
      <c r="B142" s="80"/>
      <c r="C142" s="80"/>
      <c r="D142" s="92"/>
      <c r="E142" s="92"/>
      <c r="F142" s="237"/>
      <c r="G142" s="237"/>
      <c r="I142" t="s">
        <v>214</v>
      </c>
      <c r="L142" s="92">
        <f>SUM(L143:L149)</f>
        <v>749513728.44452822</v>
      </c>
      <c r="O142" s="92">
        <f>SUM(O143:O149)</f>
        <v>385573023.25581396</v>
      </c>
      <c r="R142" s="92">
        <f>SUM(R143:R149)</f>
        <v>517982325.58139539</v>
      </c>
    </row>
    <row r="143" spans="1:18" x14ac:dyDescent="0.35">
      <c r="A143" s="80"/>
      <c r="B143" s="80"/>
      <c r="C143" s="80"/>
      <c r="D143" s="92"/>
      <c r="E143" s="92"/>
      <c r="F143" s="237"/>
      <c r="G143" s="237"/>
      <c r="J143" s="157" t="s">
        <v>211</v>
      </c>
      <c r="L143" s="2">
        <f t="shared" ref="L143:L149" si="41">SUMIF($J$122:$J$138,J143, $L$122:$L$138)</f>
        <v>413798.57208459586</v>
      </c>
      <c r="M143" s="5" t="s">
        <v>245</v>
      </c>
      <c r="O143">
        <f>SUMIF($M$122:$M$134, M143, $O$122:$O$134)</f>
        <v>15582139.534883723</v>
      </c>
      <c r="P143" s="18" t="s">
        <v>251</v>
      </c>
      <c r="R143">
        <f>SUMIF($P$122:$P$133, P143, $R$122:$R$133)</f>
        <v>176407767.4418605</v>
      </c>
    </row>
    <row r="144" spans="1:18" x14ac:dyDescent="0.35">
      <c r="A144" s="80"/>
      <c r="B144" s="80"/>
      <c r="C144" s="80"/>
      <c r="D144" s="92"/>
      <c r="E144" s="92"/>
      <c r="F144" s="237"/>
      <c r="G144" s="237"/>
      <c r="J144" s="154" t="s">
        <v>212</v>
      </c>
      <c r="L144" s="2">
        <f t="shared" si="41"/>
        <v>427252087.05683553</v>
      </c>
      <c r="M144" t="s">
        <v>246</v>
      </c>
      <c r="O144">
        <f t="shared" ref="O144:O148" si="42">SUMIF($M$122:$M$134, M144, $O$122:$O$134)</f>
        <v>7711460.4651162801</v>
      </c>
      <c r="P144" s="18" t="s">
        <v>210</v>
      </c>
      <c r="R144">
        <f t="shared" ref="R144:R147" si="43">SUMIF($P$122:$P$133, P144, $R$122:$R$133)</f>
        <v>124609534.88372095</v>
      </c>
    </row>
    <row r="145" spans="1:18" x14ac:dyDescent="0.35">
      <c r="A145" s="80"/>
      <c r="B145" s="80"/>
      <c r="C145" s="80"/>
      <c r="D145" s="92"/>
      <c r="E145" s="92"/>
      <c r="F145" s="237"/>
      <c r="G145" s="237"/>
      <c r="J145" s="178" t="s">
        <v>256</v>
      </c>
      <c r="L145" s="2">
        <f t="shared" si="41"/>
        <v>6364457.2348919269</v>
      </c>
      <c r="M145" s="5" t="s">
        <v>244</v>
      </c>
      <c r="O145">
        <f t="shared" si="42"/>
        <v>180900883.72093028</v>
      </c>
      <c r="P145" s="18" t="s">
        <v>252</v>
      </c>
      <c r="R145">
        <f t="shared" si="43"/>
        <v>108482511.62790699</v>
      </c>
    </row>
    <row r="146" spans="1:18" x14ac:dyDescent="0.35">
      <c r="A146" s="80"/>
      <c r="B146" s="80"/>
      <c r="C146" s="80"/>
      <c r="D146" s="92"/>
      <c r="E146" s="92"/>
      <c r="F146" s="237"/>
      <c r="G146" s="237"/>
      <c r="J146" s="156" t="s">
        <v>209</v>
      </c>
      <c r="L146" s="2">
        <f t="shared" si="41"/>
        <v>5568090.5448842598</v>
      </c>
      <c r="M146" t="s">
        <v>247</v>
      </c>
      <c r="O146">
        <f t="shared" si="42"/>
        <v>54139441.860465124</v>
      </c>
      <c r="P146" s="18" t="s">
        <v>253</v>
      </c>
      <c r="R146">
        <f t="shared" si="43"/>
        <v>85026418.604651168</v>
      </c>
    </row>
    <row r="147" spans="1:18" x14ac:dyDescent="0.35">
      <c r="A147" s="80"/>
      <c r="B147" s="80"/>
      <c r="C147" s="80"/>
      <c r="D147" s="92"/>
      <c r="E147" s="92"/>
      <c r="F147" s="237"/>
      <c r="G147" s="237"/>
      <c r="J147" s="159" t="s">
        <v>213</v>
      </c>
      <c r="L147" s="2">
        <f t="shared" si="41"/>
        <v>0</v>
      </c>
      <c r="M147" t="s">
        <v>248</v>
      </c>
      <c r="O147">
        <f t="shared" si="42"/>
        <v>115671906.9767442</v>
      </c>
      <c r="P147" s="18" t="s">
        <v>254</v>
      </c>
      <c r="R147">
        <f t="shared" si="43"/>
        <v>23456093.023255818</v>
      </c>
    </row>
    <row r="148" spans="1:18" x14ac:dyDescent="0.35">
      <c r="A148" s="80"/>
      <c r="B148" s="80"/>
      <c r="C148" s="80"/>
      <c r="D148" s="92"/>
      <c r="E148" s="92"/>
      <c r="F148" s="237"/>
      <c r="G148" s="237"/>
      <c r="J148" s="261" t="s">
        <v>210</v>
      </c>
      <c r="L148" s="2">
        <f t="shared" si="41"/>
        <v>46480071.56885314</v>
      </c>
      <c r="M148" t="s">
        <v>250</v>
      </c>
      <c r="O148">
        <f t="shared" si="42"/>
        <v>11567190.69767442</v>
      </c>
    </row>
    <row r="149" spans="1:18" x14ac:dyDescent="0.35">
      <c r="A149" s="80"/>
      <c r="B149" s="80"/>
      <c r="C149" s="80"/>
      <c r="D149" s="92"/>
      <c r="E149" s="92"/>
      <c r="F149" s="237"/>
      <c r="G149" s="237"/>
      <c r="J149" s="158" t="s">
        <v>104</v>
      </c>
      <c r="L149" s="2">
        <f t="shared" si="41"/>
        <v>263435223.46697876</v>
      </c>
    </row>
    <row r="150" spans="1:18" x14ac:dyDescent="0.35">
      <c r="A150" s="80"/>
      <c r="B150" s="80"/>
      <c r="C150" s="80"/>
      <c r="D150" s="92"/>
      <c r="E150" s="92"/>
      <c r="F150" s="237"/>
      <c r="G150" s="237"/>
      <c r="L150" s="2"/>
    </row>
    <row r="151" spans="1:18" x14ac:dyDescent="0.35">
      <c r="A151" s="80"/>
      <c r="B151" s="80"/>
      <c r="C151" s="80"/>
      <c r="D151" s="92"/>
      <c r="E151" s="92"/>
      <c r="F151" s="237"/>
      <c r="G151" s="237"/>
      <c r="L151" s="2"/>
    </row>
    <row r="152" spans="1:18" x14ac:dyDescent="0.35">
      <c r="A152" s="80"/>
      <c r="B152" s="80"/>
      <c r="C152" s="80"/>
      <c r="D152" s="92"/>
      <c r="E152" s="92"/>
      <c r="F152" s="237"/>
      <c r="G152" s="237"/>
      <c r="L152" s="2"/>
    </row>
    <row r="153" spans="1:18" s="93" customFormat="1" ht="34" customHeight="1" x14ac:dyDescent="0.35">
      <c r="A153" s="93" t="s">
        <v>108</v>
      </c>
      <c r="F153" s="176"/>
    </row>
    <row r="154" spans="1:18" ht="19" customHeight="1" x14ac:dyDescent="0.35">
      <c r="B154" s="2">
        <f>C154/1000000</f>
        <v>888.19437279067552</v>
      </c>
      <c r="C154" s="2">
        <f>C155+C166+C173</f>
        <v>888194372.79067552</v>
      </c>
      <c r="D154" s="2">
        <f>D155+D166+D173</f>
        <v>0.47052641635616693</v>
      </c>
      <c r="E154" s="2"/>
      <c r="F154" s="2">
        <f>F155+F166</f>
        <v>900000.00000000012</v>
      </c>
      <c r="L154" s="92">
        <f>L155+L166</f>
        <v>372238799.20612782</v>
      </c>
      <c r="O154" s="92">
        <f>O155+O166</f>
        <v>187650000.00000006</v>
      </c>
      <c r="P154" s="80"/>
      <c r="Q154" s="80"/>
      <c r="R154" s="92">
        <f>R155+R166</f>
        <v>125100000.00000003</v>
      </c>
    </row>
    <row r="155" spans="1:18" s="219" customFormat="1" x14ac:dyDescent="0.35">
      <c r="A155" s="219" t="s">
        <v>350</v>
      </c>
      <c r="B155" s="219">
        <v>935</v>
      </c>
      <c r="C155" s="270">
        <f>B155*F155</f>
        <v>420750000.00000006</v>
      </c>
      <c r="D155" s="219">
        <f>'[1]GAP analysis Sc. 1'!$P$72</f>
        <v>0.21496130696474633</v>
      </c>
      <c r="E155" s="219">
        <f>'[2]Conversion factors selected IV '!$O$49</f>
        <v>2.0934000000000004</v>
      </c>
      <c r="F155" s="219">
        <f>D155*E155*1000000</f>
        <v>450000.00000000006</v>
      </c>
      <c r="G155" s="219">
        <f>'LCoP 2030 MEDIUM'!E11</f>
        <v>586.19733156917277</v>
      </c>
      <c r="H155" s="219">
        <f>G155*F155</f>
        <v>263788799.20612779</v>
      </c>
      <c r="I155" s="276">
        <f>'LCoP 2030 MEDIUM'!H11</f>
        <v>0.2033399422854712</v>
      </c>
      <c r="L155" s="219">
        <f>I155*H155</f>
        <v>53638799.206127778</v>
      </c>
      <c r="M155" s="276">
        <f>'LCoP 2030 MEDIUM'!F11</f>
        <v>0.47936076277897777</v>
      </c>
      <c r="O155" s="219">
        <f>M155*H155</f>
        <v>126450000.00000003</v>
      </c>
      <c r="P155" s="276">
        <f>'LCoP 2030 MEDIUM'!G11</f>
        <v>0.31729929493555109</v>
      </c>
      <c r="R155" s="219">
        <f>P155*H155</f>
        <v>83700000.000000015</v>
      </c>
    </row>
    <row r="156" spans="1:18" x14ac:dyDescent="0.35">
      <c r="D156" s="2"/>
      <c r="E156" s="2"/>
      <c r="G156" s="157" t="s">
        <v>211</v>
      </c>
      <c r="H156" s="2">
        <f>SUMIF($J$156:$J$165,G156,$L$156:$L$165)/$L$155</f>
        <v>1.3836821294629787E-2</v>
      </c>
      <c r="I156" s="5" t="s">
        <v>5</v>
      </c>
      <c r="J156" s="154" t="s">
        <v>212</v>
      </c>
      <c r="K156" s="6">
        <f>'Feedstock MIX per IVC'!G35</f>
        <v>58.857391276505943</v>
      </c>
      <c r="L156" s="2">
        <f t="shared" ref="L156:L165" si="44">K156*F$155</f>
        <v>26485826.074427679</v>
      </c>
      <c r="M156" s="5" t="s">
        <v>245</v>
      </c>
      <c r="N156" s="282">
        <v>0</v>
      </c>
      <c r="O156" s="2">
        <f>N156*O$155</f>
        <v>0</v>
      </c>
      <c r="P156" s="18" t="s">
        <v>251</v>
      </c>
      <c r="Q156" s="282">
        <v>0.25</v>
      </c>
      <c r="R156" s="2">
        <f>Q156*R$155</f>
        <v>20925000.000000004</v>
      </c>
    </row>
    <row r="157" spans="1:18" x14ac:dyDescent="0.35">
      <c r="D157" s="2"/>
      <c r="E157" s="2"/>
      <c r="G157" s="154" t="s">
        <v>212</v>
      </c>
      <c r="H157" s="2">
        <f t="shared" ref="H157:H161" si="45">SUMIF($J$156:$J$165,G157,$L$156:$L$165)/$L$155</f>
        <v>0.55560435705459055</v>
      </c>
      <c r="I157" s="5" t="s">
        <v>6</v>
      </c>
      <c r="J157" s="154" t="s">
        <v>212</v>
      </c>
      <c r="K157" s="6">
        <f>'Feedstock MIX per IVC'!G36</f>
        <v>3.3809223586336699</v>
      </c>
      <c r="L157" s="2">
        <f t="shared" si="44"/>
        <v>1521415.0613851517</v>
      </c>
      <c r="M157" t="s">
        <v>246</v>
      </c>
      <c r="N157" s="282">
        <v>0.02</v>
      </c>
      <c r="O157" s="2">
        <f t="shared" ref="O157:O161" si="46">N157*O$155</f>
        <v>2529000.0000000005</v>
      </c>
      <c r="P157" s="18" t="s">
        <v>210</v>
      </c>
      <c r="Q157" s="282">
        <v>0.15</v>
      </c>
      <c r="R157" s="2">
        <f t="shared" ref="R157:R160" si="47">Q157*R$155</f>
        <v>12555000.000000002</v>
      </c>
    </row>
    <row r="158" spans="1:18" x14ac:dyDescent="0.35">
      <c r="D158" s="2"/>
      <c r="E158" s="2"/>
      <c r="G158" s="178" t="s">
        <v>256</v>
      </c>
      <c r="H158" s="2">
        <f t="shared" si="45"/>
        <v>0.21281817613065537</v>
      </c>
      <c r="I158" s="5" t="s">
        <v>23</v>
      </c>
      <c r="J158" s="159" t="s">
        <v>213</v>
      </c>
      <c r="K158" s="6">
        <f>'Feedstock MIX per IVC'!G37</f>
        <v>0</v>
      </c>
      <c r="L158" s="2">
        <f t="shared" si="44"/>
        <v>0</v>
      </c>
      <c r="M158" s="5" t="s">
        <v>244</v>
      </c>
      <c r="N158" s="282">
        <v>0.55000000000000004</v>
      </c>
      <c r="O158" s="2">
        <f t="shared" si="46"/>
        <v>69547500.000000015</v>
      </c>
      <c r="P158" s="18" t="s">
        <v>252</v>
      </c>
      <c r="Q158" s="282">
        <v>0.3</v>
      </c>
      <c r="R158" s="2">
        <f t="shared" si="47"/>
        <v>25110000.000000004</v>
      </c>
    </row>
    <row r="159" spans="1:18" x14ac:dyDescent="0.35">
      <c r="D159" s="2"/>
      <c r="E159" s="2"/>
      <c r="G159" s="156" t="s">
        <v>209</v>
      </c>
      <c r="H159" s="2">
        <f t="shared" si="45"/>
        <v>0.1861888344219092</v>
      </c>
      <c r="I159" s="5" t="s">
        <v>7</v>
      </c>
      <c r="J159" s="157" t="s">
        <v>211</v>
      </c>
      <c r="K159" s="6">
        <f>'Feedstock MIX per IVC'!G38</f>
        <v>1.649312175719378</v>
      </c>
      <c r="L159" s="2">
        <f t="shared" si="44"/>
        <v>742190.47907372017</v>
      </c>
      <c r="M159" t="s">
        <v>247</v>
      </c>
      <c r="N159" s="282">
        <v>0.1</v>
      </c>
      <c r="O159" s="2">
        <f t="shared" si="46"/>
        <v>12645000.000000004</v>
      </c>
      <c r="P159" s="18" t="s">
        <v>253</v>
      </c>
      <c r="Q159" s="282">
        <v>0.3</v>
      </c>
      <c r="R159" s="2">
        <f t="shared" si="47"/>
        <v>25110000.000000004</v>
      </c>
    </row>
    <row r="160" spans="1:18" x14ac:dyDescent="0.35">
      <c r="D160" s="2"/>
      <c r="E160" s="2"/>
      <c r="G160" s="159" t="s">
        <v>213</v>
      </c>
      <c r="H160" s="2">
        <f t="shared" si="45"/>
        <v>0</v>
      </c>
      <c r="I160" s="5" t="s">
        <v>8</v>
      </c>
      <c r="J160" s="154" t="s">
        <v>212</v>
      </c>
      <c r="K160" s="6">
        <f>'Feedstock MIX per IVC'!G39</f>
        <v>2.7405553772623534</v>
      </c>
      <c r="L160" s="2">
        <f t="shared" si="44"/>
        <v>1233249.9197680592</v>
      </c>
      <c r="M160" t="s">
        <v>248</v>
      </c>
      <c r="N160" s="282">
        <v>0.3</v>
      </c>
      <c r="O160" s="2">
        <f t="shared" si="46"/>
        <v>37935000.000000007</v>
      </c>
      <c r="P160" s="18" t="s">
        <v>254</v>
      </c>
      <c r="Q160" s="283">
        <v>0</v>
      </c>
      <c r="R160" s="2">
        <f t="shared" si="47"/>
        <v>0</v>
      </c>
    </row>
    <row r="161" spans="1:19" x14ac:dyDescent="0.35">
      <c r="D161" s="2"/>
      <c r="E161" s="2"/>
      <c r="G161" s="261" t="s">
        <v>210</v>
      </c>
      <c r="H161" s="2">
        <f t="shared" si="45"/>
        <v>0</v>
      </c>
      <c r="I161" s="5" t="s">
        <v>9</v>
      </c>
      <c r="J161" s="154" t="s">
        <v>212</v>
      </c>
      <c r="K161" s="6">
        <f>'Feedstock MIX per IVC'!G40</f>
        <v>1.2476877567111517</v>
      </c>
      <c r="L161" s="2">
        <f t="shared" si="44"/>
        <v>561459.49052001839</v>
      </c>
      <c r="M161" t="s">
        <v>250</v>
      </c>
      <c r="N161" s="282">
        <v>0.03</v>
      </c>
      <c r="O161" s="2">
        <f t="shared" si="46"/>
        <v>3793500.0000000009</v>
      </c>
    </row>
    <row r="162" spans="1:19" x14ac:dyDescent="0.35">
      <c r="D162" s="2"/>
      <c r="E162" s="2"/>
      <c r="G162" s="158" t="s">
        <v>104</v>
      </c>
      <c r="H162" s="2">
        <f>SUMIF($J$156:$J$165,G162,$L$156:$L$165)/$L$155/2</f>
        <v>1.5775905549107506E-2</v>
      </c>
      <c r="I162" s="5" t="s">
        <v>10</v>
      </c>
      <c r="J162" s="178" t="s">
        <v>256</v>
      </c>
      <c r="K162" s="6">
        <f>'Feedstock MIX per IVC'!G41</f>
        <v>25.367358704192348</v>
      </c>
      <c r="L162" s="2">
        <f t="shared" si="44"/>
        <v>11415311.416886559</v>
      </c>
      <c r="M162" s="2"/>
    </row>
    <row r="163" spans="1:19" x14ac:dyDescent="0.35">
      <c r="D163" s="2"/>
      <c r="E163" s="2"/>
      <c r="G163" s="306" t="s">
        <v>105</v>
      </c>
      <c r="H163" s="2">
        <f>H162</f>
        <v>1.5775905549107506E-2</v>
      </c>
      <c r="I163" s="5" t="s">
        <v>11</v>
      </c>
      <c r="J163" s="156" t="s">
        <v>209</v>
      </c>
      <c r="K163" s="6">
        <f>'Feedstock MIX per IVC'!G42</f>
        <v>22.193212231066131</v>
      </c>
      <c r="L163" s="2">
        <f t="shared" si="44"/>
        <v>9986945.5039797593</v>
      </c>
    </row>
    <row r="164" spans="1:19" s="31" customFormat="1" x14ac:dyDescent="0.35">
      <c r="H164" s="2">
        <f>SUM(H156:H163)</f>
        <v>0.99999999999999978</v>
      </c>
      <c r="I164" s="5" t="s">
        <v>12</v>
      </c>
      <c r="J164" s="159" t="s">
        <v>213</v>
      </c>
      <c r="K164" s="6">
        <f>'Feedstock MIX per IVC'!G43</f>
        <v>0</v>
      </c>
      <c r="L164" s="2">
        <f t="shared" si="44"/>
        <v>0</v>
      </c>
    </row>
    <row r="165" spans="1:19" x14ac:dyDescent="0.35">
      <c r="D165" s="2"/>
      <c r="E165" s="2"/>
      <c r="I165" s="13" t="s">
        <v>26</v>
      </c>
      <c r="J165" s="158" t="s">
        <v>104</v>
      </c>
      <c r="K165" s="6">
        <f>'Feedstock MIX per IVC'!G44</f>
        <v>3.7608916890818413</v>
      </c>
      <c r="L165" s="2">
        <f t="shared" si="44"/>
        <v>1692401.2600868288</v>
      </c>
    </row>
    <row r="166" spans="1:19" s="219" customFormat="1" x14ac:dyDescent="0.35">
      <c r="A166" s="219" t="s">
        <v>28</v>
      </c>
      <c r="B166" s="219">
        <v>935</v>
      </c>
      <c r="C166" s="270">
        <f>B166*F166</f>
        <v>420750000.00000006</v>
      </c>
      <c r="D166" s="219">
        <f>'[1]GAP analysis Sc. 1'!$P$73</f>
        <v>0.21496130696474633</v>
      </c>
      <c r="E166" s="219">
        <f>'[2]Conversion factors selected IV '!$O$49</f>
        <v>2.0934000000000004</v>
      </c>
      <c r="F166" s="219">
        <f>D166*E166*1000000</f>
        <v>450000.00000000006</v>
      </c>
      <c r="G166" s="219">
        <f>'LCoP 2030 MEDIUM'!E12</f>
        <v>936</v>
      </c>
      <c r="H166" s="219">
        <f>G166*F166</f>
        <v>421200000.00000006</v>
      </c>
      <c r="I166" s="276">
        <f>'LCoP 2030 MEDIUM'!H12</f>
        <v>0.75641025641025639</v>
      </c>
      <c r="L166" s="219">
        <f>I166*H166</f>
        <v>318600000.00000006</v>
      </c>
      <c r="M166" s="276">
        <f>'LCoP 2030 MEDIUM'!F12</f>
        <v>0.14529914529914531</v>
      </c>
      <c r="O166" s="219">
        <f>M166*H166</f>
        <v>61200000.000000015</v>
      </c>
      <c r="P166" s="276">
        <f>'LCoP 2030 MEDIUM'!G12</f>
        <v>9.8290598290598288E-2</v>
      </c>
      <c r="R166" s="219">
        <f>P166*H166</f>
        <v>41400000.000000007</v>
      </c>
      <c r="S166" s="226"/>
    </row>
    <row r="167" spans="1:19" x14ac:dyDescent="0.35">
      <c r="C167" s="270">
        <f>B167*F167</f>
        <v>0</v>
      </c>
      <c r="I167" s="13" t="s">
        <v>29</v>
      </c>
      <c r="J167" s="207" t="s">
        <v>106</v>
      </c>
      <c r="L167" s="2">
        <f>L166</f>
        <v>318600000.00000006</v>
      </c>
      <c r="M167" s="5" t="s">
        <v>245</v>
      </c>
      <c r="N167" s="79">
        <v>0</v>
      </c>
      <c r="O167" s="2">
        <f>N167*O$166</f>
        <v>0</v>
      </c>
      <c r="P167" s="18" t="s">
        <v>251</v>
      </c>
      <c r="Q167" s="79">
        <v>0.25</v>
      </c>
      <c r="R167" s="2">
        <f>Q167*R$166</f>
        <v>10350000.000000002</v>
      </c>
    </row>
    <row r="168" spans="1:19" x14ac:dyDescent="0.35">
      <c r="M168" t="s">
        <v>246</v>
      </c>
      <c r="N168" s="79">
        <v>0.02</v>
      </c>
      <c r="O168" s="2">
        <f t="shared" ref="O168:O172" si="48">N168*O$166</f>
        <v>1224000.0000000002</v>
      </c>
      <c r="P168" s="18" t="s">
        <v>210</v>
      </c>
      <c r="Q168" s="79">
        <v>0.15</v>
      </c>
      <c r="R168" s="2">
        <f t="shared" ref="R168:R172" si="49">Q168*R$166</f>
        <v>6210000.0000000009</v>
      </c>
    </row>
    <row r="169" spans="1:19" x14ac:dyDescent="0.35">
      <c r="M169" s="5" t="s">
        <v>244</v>
      </c>
      <c r="N169" s="79">
        <v>0.55000000000000004</v>
      </c>
      <c r="O169" s="2">
        <f t="shared" si="48"/>
        <v>33660000.000000007</v>
      </c>
      <c r="P169" s="18" t="s">
        <v>252</v>
      </c>
      <c r="Q169" s="79">
        <v>0.3</v>
      </c>
      <c r="R169" s="2">
        <f t="shared" si="49"/>
        <v>12420000.000000002</v>
      </c>
    </row>
    <row r="170" spans="1:19" x14ac:dyDescent="0.35">
      <c r="M170" t="s">
        <v>247</v>
      </c>
      <c r="N170" s="79">
        <v>0.1</v>
      </c>
      <c r="O170" s="2">
        <f t="shared" si="48"/>
        <v>6120000.0000000019</v>
      </c>
      <c r="P170" s="18" t="s">
        <v>253</v>
      </c>
      <c r="Q170" s="79">
        <v>0.3</v>
      </c>
      <c r="R170" s="2">
        <f t="shared" si="49"/>
        <v>12420000.000000002</v>
      </c>
    </row>
    <row r="171" spans="1:19" x14ac:dyDescent="0.35">
      <c r="M171" t="s">
        <v>248</v>
      </c>
      <c r="N171" s="79">
        <v>0.3</v>
      </c>
      <c r="O171" s="2">
        <f t="shared" si="48"/>
        <v>18360000.000000004</v>
      </c>
      <c r="P171" s="18" t="s">
        <v>254</v>
      </c>
      <c r="Q171" s="281">
        <v>0</v>
      </c>
      <c r="R171" s="2">
        <f t="shared" si="49"/>
        <v>0</v>
      </c>
    </row>
    <row r="172" spans="1:19" x14ac:dyDescent="0.35">
      <c r="M172" t="s">
        <v>250</v>
      </c>
      <c r="N172" s="79">
        <v>0.03</v>
      </c>
      <c r="O172" s="2">
        <f t="shared" si="48"/>
        <v>1836000.0000000005</v>
      </c>
      <c r="R172" s="2">
        <f t="shared" si="49"/>
        <v>0</v>
      </c>
    </row>
    <row r="173" spans="1:19" s="218" customFormat="1" x14ac:dyDescent="0.35">
      <c r="A173" s="218" t="s">
        <v>336</v>
      </c>
      <c r="B173" s="218">
        <v>1150</v>
      </c>
      <c r="C173" s="270">
        <f>B173*F173</f>
        <v>46694372.790675424</v>
      </c>
      <c r="D173" s="225">
        <f>'[1]GAP analysis Sc. 1'!$P$70</f>
        <v>4.0603802426674281E-2</v>
      </c>
      <c r="E173" s="225">
        <f>'[2]Conversion factors selected IV '!$O$125</f>
        <v>1</v>
      </c>
      <c r="F173" s="219">
        <f>D173*E173*1000000</f>
        <v>40603.80242667428</v>
      </c>
      <c r="G173" s="225">
        <f>'LCoP 2030 MEDIUM'!E23</f>
        <v>2160.571681766708</v>
      </c>
      <c r="H173" s="220">
        <f>G173*F173</f>
        <v>87727425.695122793</v>
      </c>
      <c r="I173" s="218">
        <f>'LCoP 2030 MEDIUM'!H23</f>
        <v>0.29254835055963535</v>
      </c>
      <c r="L173" s="219">
        <f>I173*H173</f>
        <v>25664513.685951144</v>
      </c>
      <c r="M173" s="218">
        <f>'LCoP 2030 MEDIUM'!F23</f>
        <v>0.31704571793696418</v>
      </c>
      <c r="N173" s="227"/>
      <c r="O173" s="219">
        <f>M173*H173</f>
        <v>27813604.662271883</v>
      </c>
      <c r="P173" s="277">
        <f>'LCoP 2030 MEDIUM'!G23</f>
        <v>0.39040593150340042</v>
      </c>
      <c r="Q173" s="225"/>
      <c r="R173" s="219">
        <f>P173*H173</f>
        <v>34249307.346899755</v>
      </c>
      <c r="S173" s="220">
        <f>R173+O173+L173</f>
        <v>87727425.695122778</v>
      </c>
    </row>
    <row r="174" spans="1:19" x14ac:dyDescent="0.35">
      <c r="C174" s="298" t="e">
        <f>C173/C149</f>
        <v>#DIV/0!</v>
      </c>
      <c r="D174" s="6"/>
      <c r="E174" s="6"/>
      <c r="F174" s="154" t="s">
        <v>212</v>
      </c>
      <c r="G174" s="284">
        <f>(L174+L175+L177+L178)/L173</f>
        <v>0.59047979786081828</v>
      </c>
      <c r="H174" s="209" t="s">
        <v>292</v>
      </c>
      <c r="I174" s="5" t="s">
        <v>5</v>
      </c>
      <c r="J174" s="154" t="s">
        <v>212</v>
      </c>
      <c r="K174" s="6">
        <f>'Feedstock MIX per IVC'!G116</f>
        <v>318.51533390227388</v>
      </c>
      <c r="L174" s="2">
        <f>K174*F$173</f>
        <v>12932933.687634116</v>
      </c>
      <c r="M174" s="5" t="s">
        <v>245</v>
      </c>
      <c r="N174" s="278">
        <v>0.15</v>
      </c>
      <c r="O174" s="2" t="e">
        <f>N174*#REF!</f>
        <v>#REF!</v>
      </c>
      <c r="P174" s="18" t="s">
        <v>251</v>
      </c>
      <c r="Q174" s="112">
        <v>0.15</v>
      </c>
      <c r="R174" s="2" t="e">
        <f>Q174*#REF!</f>
        <v>#REF!</v>
      </c>
    </row>
    <row r="175" spans="1:19" x14ac:dyDescent="0.35">
      <c r="D175" s="6"/>
      <c r="E175" s="6"/>
      <c r="F175" s="157" t="s">
        <v>211</v>
      </c>
      <c r="G175" s="284">
        <f>L176/L173</f>
        <v>1.4121013477571671E-2</v>
      </c>
      <c r="H175" s="209" t="s">
        <v>292</v>
      </c>
      <c r="I175" s="5" t="s">
        <v>6</v>
      </c>
      <c r="J175" s="154" t="s">
        <v>212</v>
      </c>
      <c r="K175" s="6">
        <f>'Feedstock MIX per IVC'!G117</f>
        <v>18.296353110500878</v>
      </c>
      <c r="L175" s="2">
        <f t="shared" ref="L175:L181" si="50">K175*F$173</f>
        <v>742901.506827445</v>
      </c>
      <c r="M175" t="s">
        <v>246</v>
      </c>
      <c r="N175" s="79">
        <v>0.02</v>
      </c>
      <c r="O175" s="2" t="e">
        <f>N175*#REF!</f>
        <v>#REF!</v>
      </c>
      <c r="P175" s="18" t="s">
        <v>210</v>
      </c>
      <c r="Q175" s="112">
        <v>0.25</v>
      </c>
      <c r="R175" s="2" t="e">
        <f>Q175*#REF!</f>
        <v>#REF!</v>
      </c>
    </row>
    <row r="176" spans="1:19" x14ac:dyDescent="0.35">
      <c r="D176" s="6"/>
      <c r="E176" s="6"/>
      <c r="F176" s="178" t="s">
        <v>256</v>
      </c>
      <c r="G176" s="284">
        <f>L179/L173</f>
        <v>0.21089387391457676</v>
      </c>
      <c r="H176" s="209" t="s">
        <v>292</v>
      </c>
      <c r="I176" s="5" t="s">
        <v>7</v>
      </c>
      <c r="J176" s="157" t="s">
        <v>211</v>
      </c>
      <c r="K176" s="6">
        <f>'Feedstock MIX per IVC'!G118</f>
        <v>8.9254927370190735</v>
      </c>
      <c r="L176" s="2">
        <f t="shared" si="50"/>
        <v>362408.94365463872</v>
      </c>
      <c r="M176" s="5" t="s">
        <v>244</v>
      </c>
      <c r="N176" s="278">
        <v>0.45</v>
      </c>
      <c r="O176" s="2" t="e">
        <f>N176*#REF!</f>
        <v>#REF!</v>
      </c>
      <c r="P176" s="18" t="s">
        <v>252</v>
      </c>
      <c r="Q176" s="112">
        <v>0.2</v>
      </c>
      <c r="R176" s="2" t="e">
        <f>Q176*#REF!</f>
        <v>#REF!</v>
      </c>
      <c r="S176" s="2"/>
    </row>
    <row r="177" spans="4:18" x14ac:dyDescent="0.35">
      <c r="D177" s="6"/>
      <c r="E177" s="6"/>
      <c r="F177" s="156" t="s">
        <v>209</v>
      </c>
      <c r="G177" s="284">
        <f>L180/L173</f>
        <v>0.1845053147470333</v>
      </c>
      <c r="H177" s="209" t="s">
        <v>292</v>
      </c>
      <c r="I177" s="5" t="s">
        <v>8</v>
      </c>
      <c r="J177" s="154" t="s">
        <v>212</v>
      </c>
      <c r="K177" s="6">
        <f>'Feedstock MIX per IVC'!G119</f>
        <v>29.661828094471769</v>
      </c>
      <c r="L177" s="2">
        <f t="shared" si="50"/>
        <v>1204383.0075619081</v>
      </c>
      <c r="M177" t="s">
        <v>247</v>
      </c>
      <c r="N177" s="79">
        <v>0.1</v>
      </c>
      <c r="O177" s="2" t="e">
        <f>N177*#REF!</f>
        <v>#REF!</v>
      </c>
      <c r="P177" s="18" t="s">
        <v>253</v>
      </c>
      <c r="Q177" s="112">
        <v>0.3</v>
      </c>
      <c r="R177" s="2" t="e">
        <f>Q177*#REF!</f>
        <v>#REF!</v>
      </c>
    </row>
    <row r="178" spans="4:18" x14ac:dyDescent="0.35">
      <c r="D178" s="6"/>
      <c r="E178" s="6"/>
      <c r="F178" s="159" t="s">
        <v>213</v>
      </c>
      <c r="G178" s="284">
        <f>L181/L173</f>
        <v>0</v>
      </c>
      <c r="H178" s="209" t="s">
        <v>292</v>
      </c>
      <c r="I178" s="5" t="s">
        <v>9</v>
      </c>
      <c r="J178" s="154" t="s">
        <v>212</v>
      </c>
      <c r="K178" s="6">
        <f>'Feedstock MIX per IVC'!G120</f>
        <v>6.7520437759066034</v>
      </c>
      <c r="L178" s="2">
        <f t="shared" si="50"/>
        <v>274158.65145316749</v>
      </c>
      <c r="M178" t="s">
        <v>248</v>
      </c>
      <c r="N178" s="79">
        <v>0.25</v>
      </c>
      <c r="O178" s="2" t="e">
        <f>N178*#REF!</f>
        <v>#REF!</v>
      </c>
      <c r="P178" s="18" t="s">
        <v>254</v>
      </c>
      <c r="Q178" s="112">
        <v>0.1</v>
      </c>
      <c r="R178" s="2" t="e">
        <f>Q178*#REF!</f>
        <v>#REF!</v>
      </c>
    </row>
    <row r="179" spans="4:18" x14ac:dyDescent="0.35">
      <c r="D179" s="6"/>
      <c r="E179" s="6"/>
      <c r="F179" s="31"/>
      <c r="G179" s="6"/>
      <c r="H179" s="209" t="s">
        <v>292</v>
      </c>
      <c r="I179" s="5" t="s">
        <v>10</v>
      </c>
      <c r="J179" s="178" t="s">
        <v>256</v>
      </c>
      <c r="K179" s="6">
        <f>'Feedstock MIX per IVC'!G121</f>
        <v>133.30004555948256</v>
      </c>
      <c r="L179" s="2">
        <f t="shared" si="50"/>
        <v>5412488.7133639101</v>
      </c>
      <c r="M179" t="s">
        <v>250</v>
      </c>
      <c r="N179" s="79">
        <v>0.03</v>
      </c>
      <c r="O179" s="2" t="e">
        <f>N179*#REF!</f>
        <v>#REF!</v>
      </c>
      <c r="Q179" s="35"/>
      <c r="R179" s="2"/>
    </row>
    <row r="180" spans="4:18" x14ac:dyDescent="0.35">
      <c r="D180" s="6"/>
      <c r="F180" s="6"/>
      <c r="G180" s="6"/>
      <c r="H180" s="209" t="s">
        <v>292</v>
      </c>
      <c r="I180" s="5" t="s">
        <v>11</v>
      </c>
      <c r="J180" s="156" t="s">
        <v>209</v>
      </c>
      <c r="K180" s="6">
        <f>'Feedstock MIX per IVC'!G122</f>
        <v>116.62058458705309</v>
      </c>
      <c r="L180" s="2">
        <f t="shared" si="50"/>
        <v>4735239.1754559595</v>
      </c>
    </row>
    <row r="181" spans="4:18" x14ac:dyDescent="0.35">
      <c r="D181" s="6"/>
      <c r="E181" s="6"/>
      <c r="F181" s="31"/>
      <c r="G181" s="6"/>
      <c r="H181" s="209" t="s">
        <v>292</v>
      </c>
      <c r="I181" s="5" t="s">
        <v>12</v>
      </c>
      <c r="J181" s="159" t="s">
        <v>213</v>
      </c>
      <c r="K181" s="6">
        <f>'Feedstock MIX per IVC'!G123</f>
        <v>0</v>
      </c>
      <c r="L181" s="2">
        <f t="shared" si="50"/>
        <v>0</v>
      </c>
    </row>
    <row r="182" spans="4:18" x14ac:dyDescent="0.35">
      <c r="L182" s="2">
        <f>SUM(L174:L181)</f>
        <v>25664513.685951144</v>
      </c>
      <c r="N182" s="79"/>
      <c r="O182" s="2"/>
      <c r="R182" s="2"/>
    </row>
    <row r="183" spans="4:18" x14ac:dyDescent="0.35">
      <c r="N183" s="79"/>
      <c r="O183" s="2"/>
      <c r="R183" s="2"/>
    </row>
    <row r="186" spans="4:18" x14ac:dyDescent="0.35">
      <c r="I186" s="80" t="s">
        <v>214</v>
      </c>
      <c r="L186" s="230">
        <f>SUM(L187:L193)</f>
        <v>372238799.20612782</v>
      </c>
      <c r="O186" s="230">
        <f>SUM(O187:O193)</f>
        <v>187650000.00000006</v>
      </c>
      <c r="R186" s="230">
        <f>SUM(R187:R193)</f>
        <v>125100000.00000003</v>
      </c>
    </row>
    <row r="187" spans="4:18" x14ac:dyDescent="0.35">
      <c r="J187" s="157" t="s">
        <v>211</v>
      </c>
      <c r="L187">
        <f t="shared" ref="L187:L193" si="51">SUMIF($J$156:$J$168, J187, $L$156:$L$168)</f>
        <v>742190.47907372017</v>
      </c>
      <c r="M187" s="5" t="s">
        <v>245</v>
      </c>
      <c r="O187">
        <f>SUMIF($M$156:$M$172, M187, $O$156:$O$172)</f>
        <v>0</v>
      </c>
      <c r="P187" s="18" t="s">
        <v>251</v>
      </c>
      <c r="R187">
        <f>SUMIF($P$156:$P$171, P187, $R$156:$R$171)</f>
        <v>31275000.000000007</v>
      </c>
    </row>
    <row r="188" spans="4:18" x14ac:dyDescent="0.35">
      <c r="J188" s="154" t="s">
        <v>212</v>
      </c>
      <c r="L188">
        <f t="shared" si="51"/>
        <v>29801950.546100907</v>
      </c>
      <c r="M188" t="s">
        <v>246</v>
      </c>
      <c r="O188">
        <f t="shared" ref="O188:O192" si="52">SUMIF($M$156:$M$172, M188, $O$156:$O$172)</f>
        <v>3753000.0000000009</v>
      </c>
      <c r="P188" s="18" t="s">
        <v>210</v>
      </c>
      <c r="R188">
        <f t="shared" ref="R188:R191" si="53">SUMIF($P$156:$P$171, P188, $R$156:$R$171)</f>
        <v>18765000.000000004</v>
      </c>
    </row>
    <row r="189" spans="4:18" x14ac:dyDescent="0.35">
      <c r="J189" s="207" t="s">
        <v>106</v>
      </c>
      <c r="L189">
        <f t="shared" si="51"/>
        <v>318600000.00000006</v>
      </c>
      <c r="M189" s="5" t="s">
        <v>244</v>
      </c>
      <c r="O189">
        <f t="shared" si="52"/>
        <v>103207500.00000003</v>
      </c>
      <c r="P189" s="18" t="s">
        <v>252</v>
      </c>
      <c r="R189">
        <f t="shared" si="53"/>
        <v>37530000.000000007</v>
      </c>
    </row>
    <row r="190" spans="4:18" x14ac:dyDescent="0.35">
      <c r="J190" s="178" t="s">
        <v>256</v>
      </c>
      <c r="L190">
        <f t="shared" si="51"/>
        <v>11415311.416886559</v>
      </c>
      <c r="M190" t="s">
        <v>247</v>
      </c>
      <c r="O190">
        <f t="shared" si="52"/>
        <v>18765000.000000007</v>
      </c>
      <c r="P190" s="18" t="s">
        <v>253</v>
      </c>
      <c r="R190">
        <f t="shared" si="53"/>
        <v>37530000.000000007</v>
      </c>
    </row>
    <row r="191" spans="4:18" x14ac:dyDescent="0.35">
      <c r="J191" s="156" t="s">
        <v>209</v>
      </c>
      <c r="L191">
        <f t="shared" si="51"/>
        <v>9986945.5039797593</v>
      </c>
      <c r="M191" t="s">
        <v>248</v>
      </c>
      <c r="O191">
        <f t="shared" si="52"/>
        <v>56295000.000000015</v>
      </c>
      <c r="P191" s="18" t="s">
        <v>254</v>
      </c>
      <c r="R191">
        <f t="shared" si="53"/>
        <v>0</v>
      </c>
    </row>
    <row r="192" spans="4:18" x14ac:dyDescent="0.35">
      <c r="J192" s="159" t="s">
        <v>213</v>
      </c>
      <c r="L192">
        <f t="shared" si="51"/>
        <v>0</v>
      </c>
      <c r="M192" t="s">
        <v>250</v>
      </c>
      <c r="O192">
        <f t="shared" si="52"/>
        <v>5629500.0000000019</v>
      </c>
    </row>
    <row r="193" spans="1:18" x14ac:dyDescent="0.35">
      <c r="J193" s="158" t="s">
        <v>104</v>
      </c>
      <c r="L193">
        <f t="shared" si="51"/>
        <v>1692401.2600868288</v>
      </c>
    </row>
    <row r="195" spans="1:18" s="207" customFormat="1" ht="32.5" customHeight="1" x14ac:dyDescent="0.35">
      <c r="A195" s="246" t="s">
        <v>394</v>
      </c>
      <c r="B195" s="246"/>
      <c r="C195" s="246"/>
      <c r="F195" s="215"/>
    </row>
    <row r="196" spans="1:18" ht="16.5" customHeight="1" x14ac:dyDescent="0.35">
      <c r="B196" s="2">
        <f>C196/1000000</f>
        <v>201.18626059921851</v>
      </c>
      <c r="C196" s="2">
        <f>C197+C205</f>
        <v>201186260.59921852</v>
      </c>
      <c r="D196" s="2">
        <f>D197+D205</f>
        <v>0.1197794663540051</v>
      </c>
      <c r="F196" s="2">
        <f>F197+F205</f>
        <v>203808.83486547435</v>
      </c>
      <c r="H196" s="2">
        <f>H197+H205</f>
        <v>126941156.3890512</v>
      </c>
      <c r="L196" s="2">
        <f>L197+L205</f>
        <v>103382346.59062041</v>
      </c>
      <c r="O196" s="2">
        <f>O197+O205</f>
        <v>13835853.587332038</v>
      </c>
      <c r="R196" s="2">
        <f>R197+R205</f>
        <v>9722956.2110987548</v>
      </c>
    </row>
    <row r="197" spans="1:18" s="219" customFormat="1" x14ac:dyDescent="0.35">
      <c r="A197" s="219" t="s">
        <v>395</v>
      </c>
      <c r="B197" s="219">
        <v>935</v>
      </c>
      <c r="C197" s="270">
        <f>B197*F197</f>
        <v>161342510.59921855</v>
      </c>
      <c r="D197" s="219">
        <f>'[1]GAP analysis Sc. 1'!$P$86</f>
        <v>8.2429939268880453E-2</v>
      </c>
      <c r="E197" s="219">
        <f>'[2]Conversion factors selected IV '!$O$50</f>
        <v>2.0934000000000004</v>
      </c>
      <c r="F197" s="219">
        <f>D197*E197*1000000</f>
        <v>172558.83486547437</v>
      </c>
      <c r="G197" s="219">
        <f>'LCoP 2030 MEDIUM'!$E$13</f>
        <v>377.86968567880001</v>
      </c>
      <c r="H197" s="219">
        <f>G197*F197</f>
        <v>65204752.69171676</v>
      </c>
      <c r="I197" s="273">
        <f>'LCoP 2030 MEDIUM'!H13</f>
        <v>0.77240831096172546</v>
      </c>
      <c r="L197" s="219">
        <f>I197*H197</f>
        <v>50364692.893285967</v>
      </c>
      <c r="M197" s="273">
        <f>'LCoP 2030 MEDIUM'!F13</f>
        <v>0.15084565436257732</v>
      </c>
      <c r="O197" s="219">
        <f>M197*H197</f>
        <v>9835853.5873320401</v>
      </c>
      <c r="P197" s="273">
        <f>'LCoP 2030 MEDIUM'!G13</f>
        <v>7.6746034675697239E-2</v>
      </c>
      <c r="R197" s="219">
        <f>P197*H197</f>
        <v>5004206.2110987576</v>
      </c>
    </row>
    <row r="198" spans="1:18" x14ac:dyDescent="0.35">
      <c r="C198">
        <f>C197/C196</f>
        <v>0.80195590950729789</v>
      </c>
      <c r="E198" s="1"/>
      <c r="I198" s="315" t="s">
        <v>31</v>
      </c>
      <c r="J198" s="261" t="s">
        <v>210</v>
      </c>
      <c r="L198" s="2">
        <f>L197</f>
        <v>50364692.893285967</v>
      </c>
      <c r="M198" s="5" t="s">
        <v>245</v>
      </c>
      <c r="N198" s="79">
        <v>0.2</v>
      </c>
      <c r="O198" s="2">
        <f t="shared" ref="O198:O203" si="54">N198*$O$197</f>
        <v>1967170.7174664082</v>
      </c>
      <c r="P198" s="18" t="s">
        <v>251</v>
      </c>
      <c r="Q198" s="79">
        <v>0.35</v>
      </c>
      <c r="R198" s="2">
        <f>Q198*$R$197</f>
        <v>1751472.173884565</v>
      </c>
    </row>
    <row r="199" spans="1:18" x14ac:dyDescent="0.35">
      <c r="E199" s="1"/>
      <c r="I199" s="299"/>
      <c r="M199" t="s">
        <v>246</v>
      </c>
      <c r="N199" s="79">
        <v>7.0000000000000007E-2</v>
      </c>
      <c r="O199" s="2">
        <f t="shared" si="54"/>
        <v>688509.75111324282</v>
      </c>
      <c r="P199" s="18" t="s">
        <v>210</v>
      </c>
      <c r="Q199" s="79">
        <v>0.15</v>
      </c>
      <c r="R199" s="2">
        <f t="shared" ref="R199:R202" si="55">Q199*$R$197</f>
        <v>750630.93166481366</v>
      </c>
    </row>
    <row r="200" spans="1:18" x14ac:dyDescent="0.35">
      <c r="E200" s="1"/>
      <c r="I200" s="299"/>
      <c r="M200" s="5" t="s">
        <v>244</v>
      </c>
      <c r="N200" s="79">
        <v>0.4</v>
      </c>
      <c r="O200" s="2">
        <f t="shared" si="54"/>
        <v>3934341.4349328163</v>
      </c>
      <c r="P200" s="18" t="s">
        <v>252</v>
      </c>
      <c r="Q200" s="79">
        <v>0.12</v>
      </c>
      <c r="R200" s="2">
        <f t="shared" si="55"/>
        <v>600504.74533185083</v>
      </c>
    </row>
    <row r="201" spans="1:18" x14ac:dyDescent="0.35">
      <c r="E201" s="1"/>
      <c r="I201" s="299"/>
      <c r="M201" t="s">
        <v>247</v>
      </c>
      <c r="N201" s="79">
        <v>0.15</v>
      </c>
      <c r="O201" s="2">
        <f t="shared" si="54"/>
        <v>1475378.0380998061</v>
      </c>
      <c r="P201" s="18" t="s">
        <v>253</v>
      </c>
      <c r="Q201" s="79">
        <v>0.3</v>
      </c>
      <c r="R201" s="2">
        <f t="shared" si="55"/>
        <v>1501261.8633296273</v>
      </c>
    </row>
    <row r="202" spans="1:18" x14ac:dyDescent="0.35">
      <c r="E202" s="1"/>
      <c r="I202" s="299"/>
      <c r="M202" t="s">
        <v>248</v>
      </c>
      <c r="N202" s="79">
        <v>0.15</v>
      </c>
      <c r="O202" s="2">
        <f t="shared" si="54"/>
        <v>1475378.0380998061</v>
      </c>
      <c r="P202" s="18" t="s">
        <v>254</v>
      </c>
      <c r="Q202" s="79">
        <v>0.08</v>
      </c>
      <c r="R202" s="2">
        <f t="shared" si="55"/>
        <v>400336.49688790063</v>
      </c>
    </row>
    <row r="203" spans="1:18" x14ac:dyDescent="0.35">
      <c r="E203" s="1"/>
      <c r="I203" s="299"/>
      <c r="M203" t="s">
        <v>250</v>
      </c>
      <c r="N203" s="79">
        <v>0.03</v>
      </c>
      <c r="O203" s="2">
        <f t="shared" si="54"/>
        <v>295075.6076199612</v>
      </c>
      <c r="Q203">
        <f>SUM(Q198:Q202)</f>
        <v>0.99999999999999989</v>
      </c>
    </row>
    <row r="204" spans="1:18" x14ac:dyDescent="0.35">
      <c r="E204" s="1"/>
      <c r="I204" s="299"/>
      <c r="O204" s="2">
        <f>SUM(O198:O203)</f>
        <v>9835853.5873320401</v>
      </c>
      <c r="R204" s="2">
        <f>SUM(R198:R203)</f>
        <v>5004206.2110987576</v>
      </c>
    </row>
    <row r="205" spans="1:18" s="219" customFormat="1" x14ac:dyDescent="0.35">
      <c r="A205" s="219" t="s">
        <v>396</v>
      </c>
      <c r="B205" s="219">
        <v>1275</v>
      </c>
      <c r="C205" s="270">
        <f>B205*F205</f>
        <v>39843749.999999978</v>
      </c>
      <c r="D205" s="219">
        <f>'[1]GAP analysis Sc. 1'!$P$84</f>
        <v>3.7349527085124651E-2</v>
      </c>
      <c r="E205" s="219">
        <f>'[2]Conversion factors selected IV '!$O$62</f>
        <v>0.83669064748201449</v>
      </c>
      <c r="F205" s="219">
        <f>D205*E205*1000000</f>
        <v>31249.999999999982</v>
      </c>
      <c r="G205" s="219">
        <f>'LCoP 2030 MEDIUM'!$E$15</f>
        <v>1975.5649183147032</v>
      </c>
      <c r="H205" s="219">
        <f>G205*F205</f>
        <v>61736403.697334439</v>
      </c>
      <c r="I205" s="273">
        <f>'LCoP 2030 MEDIUM'!$H$15</f>
        <v>0.85877457257238266</v>
      </c>
      <c r="L205" s="219">
        <f>I205*H205</f>
        <v>53017653.697334446</v>
      </c>
      <c r="M205" s="273">
        <f>'LCoP 2030 MEDIUM'!$F$15</f>
        <v>6.4791593945286829E-2</v>
      </c>
      <c r="O205" s="219">
        <f>M205*H205</f>
        <v>3999999.9999999977</v>
      </c>
      <c r="P205" s="273">
        <f>'LCoP 2030 MEDIUM'!$G$15</f>
        <v>7.6433833482330557E-2</v>
      </c>
      <c r="R205" s="219">
        <f>P205*H205</f>
        <v>4718749.9999999972</v>
      </c>
    </row>
    <row r="206" spans="1:18" x14ac:dyDescent="0.35">
      <c r="E206" s="1"/>
      <c r="I206" s="15" t="s">
        <v>31</v>
      </c>
      <c r="J206" s="261" t="s">
        <v>210</v>
      </c>
      <c r="L206" s="2">
        <f>L205</f>
        <v>53017653.697334446</v>
      </c>
      <c r="M206" s="5" t="s">
        <v>245</v>
      </c>
      <c r="N206" s="79">
        <v>0.2</v>
      </c>
      <c r="O206" s="2">
        <f t="shared" ref="O206:O211" si="56">N206*$O$205</f>
        <v>799999.99999999953</v>
      </c>
      <c r="P206" s="18" t="s">
        <v>251</v>
      </c>
      <c r="Q206" s="79">
        <v>0.35</v>
      </c>
      <c r="R206" s="2">
        <f>Q206*$R$205</f>
        <v>1651562.4999999988</v>
      </c>
    </row>
    <row r="207" spans="1:18" x14ac:dyDescent="0.35">
      <c r="M207" t="s">
        <v>246</v>
      </c>
      <c r="N207" s="79">
        <v>7.0000000000000007E-2</v>
      </c>
      <c r="O207" s="2">
        <f t="shared" si="56"/>
        <v>279999.99999999988</v>
      </c>
      <c r="P207" s="18" t="s">
        <v>210</v>
      </c>
      <c r="Q207" s="79">
        <v>0.15</v>
      </c>
      <c r="R207" s="2">
        <f t="shared" ref="R207:R210" si="57">Q207*$R$205</f>
        <v>707812.49999999953</v>
      </c>
    </row>
    <row r="208" spans="1:18" x14ac:dyDescent="0.35">
      <c r="M208" s="5" t="s">
        <v>244</v>
      </c>
      <c r="N208" s="79">
        <v>0.4</v>
      </c>
      <c r="O208" s="2">
        <f t="shared" si="56"/>
        <v>1599999.9999999991</v>
      </c>
      <c r="P208" s="18" t="s">
        <v>252</v>
      </c>
      <c r="Q208" s="79">
        <v>0.12</v>
      </c>
      <c r="R208" s="2">
        <f t="shared" si="57"/>
        <v>566249.99999999965</v>
      </c>
    </row>
    <row r="209" spans="1:19" x14ac:dyDescent="0.35">
      <c r="M209" t="s">
        <v>247</v>
      </c>
      <c r="N209" s="79">
        <v>0.15</v>
      </c>
      <c r="O209" s="2">
        <f t="shared" si="56"/>
        <v>599999.99999999965</v>
      </c>
      <c r="P209" s="18" t="s">
        <v>253</v>
      </c>
      <c r="Q209" s="79">
        <v>0.3</v>
      </c>
      <c r="R209" s="2">
        <f t="shared" si="57"/>
        <v>1415624.9999999991</v>
      </c>
    </row>
    <row r="210" spans="1:19" x14ac:dyDescent="0.35">
      <c r="M210" t="s">
        <v>248</v>
      </c>
      <c r="N210" s="79">
        <v>0.15</v>
      </c>
      <c r="O210" s="2">
        <f t="shared" si="56"/>
        <v>599999.99999999965</v>
      </c>
      <c r="P210" s="18" t="s">
        <v>254</v>
      </c>
      <c r="Q210" s="79">
        <v>0.08</v>
      </c>
      <c r="R210" s="2">
        <f t="shared" si="57"/>
        <v>377499.99999999977</v>
      </c>
    </row>
    <row r="211" spans="1:19" x14ac:dyDescent="0.35">
      <c r="M211" t="s">
        <v>250</v>
      </c>
      <c r="N211" s="79">
        <v>0.03</v>
      </c>
      <c r="O211" s="2">
        <f t="shared" si="56"/>
        <v>119999.99999999993</v>
      </c>
      <c r="Q211">
        <f>SUM(Q206:Q210)</f>
        <v>0.99999999999999989</v>
      </c>
    </row>
    <row r="212" spans="1:19" x14ac:dyDescent="0.35">
      <c r="O212" s="2">
        <f>SUM(O206:O211)</f>
        <v>3999999.9999999977</v>
      </c>
      <c r="R212" s="2">
        <f>SUM(R206:R211)</f>
        <v>4718749.9999999963</v>
      </c>
    </row>
    <row r="214" spans="1:19" x14ac:dyDescent="0.35">
      <c r="I214" s="80" t="s">
        <v>214</v>
      </c>
      <c r="J214" s="80"/>
      <c r="K214" s="80"/>
      <c r="L214" s="92">
        <f>SUM(L215:L220)</f>
        <v>103382346.59062041</v>
      </c>
      <c r="M214" s="80"/>
      <c r="N214" s="80"/>
      <c r="O214" s="92">
        <f>SUM(O215:O220)</f>
        <v>13835853.587332038</v>
      </c>
      <c r="P214" s="80"/>
      <c r="Q214" s="80"/>
      <c r="R214" s="92">
        <f>SUM(R215:R220)</f>
        <v>9722956.2110987548</v>
      </c>
      <c r="S214" s="92">
        <f>L214+O214+R214</f>
        <v>126941156.38905121</v>
      </c>
    </row>
    <row r="215" spans="1:19" x14ac:dyDescent="0.35">
      <c r="J215" s="261" t="s">
        <v>210</v>
      </c>
      <c r="L215" s="2">
        <f>L198+L206</f>
        <v>103382346.59062041</v>
      </c>
      <c r="M215" s="5" t="s">
        <v>245</v>
      </c>
      <c r="O215">
        <f t="shared" ref="O215:O220" si="58">SUMIF($M$198:$M$211, M215, $O$198:$O$211)</f>
        <v>2767170.7174664075</v>
      </c>
      <c r="P215" s="18" t="s">
        <v>251</v>
      </c>
      <c r="R215">
        <f>SUMIF($P$198:$P$210, P215, $R$198:$R$210)</f>
        <v>3403034.6738845641</v>
      </c>
    </row>
    <row r="216" spans="1:19" x14ac:dyDescent="0.35">
      <c r="M216" t="s">
        <v>246</v>
      </c>
      <c r="O216">
        <f t="shared" si="58"/>
        <v>968509.7511132427</v>
      </c>
      <c r="P216" s="18" t="s">
        <v>210</v>
      </c>
      <c r="R216">
        <f>SUMIF($P$198:$P$210, P216, $R$198:$R$210)</f>
        <v>1458443.4316648133</v>
      </c>
    </row>
    <row r="217" spans="1:19" x14ac:dyDescent="0.35">
      <c r="M217" s="5" t="s">
        <v>244</v>
      </c>
      <c r="O217">
        <f t="shared" si="58"/>
        <v>5534341.4349328149</v>
      </c>
      <c r="P217" s="18" t="s">
        <v>252</v>
      </c>
      <c r="R217">
        <f>SUMIF($P$198:$P$210, P217, $R$198:$R$210)</f>
        <v>1166754.7453318504</v>
      </c>
    </row>
    <row r="218" spans="1:19" x14ac:dyDescent="0.35">
      <c r="M218" t="s">
        <v>247</v>
      </c>
      <c r="O218">
        <f t="shared" si="58"/>
        <v>2075378.0380998058</v>
      </c>
      <c r="P218" s="18" t="s">
        <v>253</v>
      </c>
      <c r="R218">
        <f>SUMIF($P$198:$P$210, P218, $R$198:$R$210)</f>
        <v>2916886.8633296266</v>
      </c>
    </row>
    <row r="219" spans="1:19" x14ac:dyDescent="0.35">
      <c r="M219" t="s">
        <v>248</v>
      </c>
      <c r="O219">
        <f t="shared" si="58"/>
        <v>2075378.0380998058</v>
      </c>
      <c r="P219" s="18" t="s">
        <v>254</v>
      </c>
      <c r="R219">
        <f>SUMIF($P$198:$P$210, P219, $R$198:$R$210)</f>
        <v>777836.4968879004</v>
      </c>
    </row>
    <row r="220" spans="1:19" x14ac:dyDescent="0.35">
      <c r="M220" t="s">
        <v>250</v>
      </c>
      <c r="O220">
        <f t="shared" si="58"/>
        <v>415075.60761996114</v>
      </c>
    </row>
    <row r="221" spans="1:19" x14ac:dyDescent="0.35">
      <c r="J221">
        <v>3</v>
      </c>
    </row>
    <row r="222" spans="1:19" s="207" customFormat="1" ht="32.5" customHeight="1" x14ac:dyDescent="0.35">
      <c r="A222" s="246" t="s">
        <v>366</v>
      </c>
      <c r="B222" s="246"/>
      <c r="C222" s="246"/>
      <c r="F222" s="215"/>
    </row>
    <row r="223" spans="1:19" x14ac:dyDescent="0.35">
      <c r="D223" s="2">
        <f>D225+D274+D283</f>
        <v>18.904987882608729</v>
      </c>
    </row>
    <row r="224" spans="1:19" s="158" customFormat="1" ht="29.5" customHeight="1" x14ac:dyDescent="0.35">
      <c r="A224" s="158" t="s">
        <v>259</v>
      </c>
      <c r="F224" s="247"/>
    </row>
    <row r="225" spans="1:19" ht="17.5" customHeight="1" x14ac:dyDescent="0.35">
      <c r="B225" s="2">
        <f>C225/1000000</f>
        <v>20642.403242707165</v>
      </c>
      <c r="C225" s="2">
        <f>C226+C234+C241+C249+C257+C264</f>
        <v>20642403242.707165</v>
      </c>
      <c r="D225" s="2">
        <f>D226+D234+D241+D249+D257+D264</f>
        <v>15.624461570486044</v>
      </c>
      <c r="E225" s="2">
        <f>E226+E234+E241+E249+E257+E264</f>
        <v>6.2493390663390667</v>
      </c>
      <c r="F225" s="2">
        <f>F226+F234+F241+F249+F257+F264</f>
        <v>17709283.104361881</v>
      </c>
    </row>
    <row r="226" spans="1:19" s="119" customFormat="1" x14ac:dyDescent="0.35">
      <c r="A226" s="119" t="s">
        <v>422</v>
      </c>
      <c r="B226" s="119">
        <v>1165.6261363636365</v>
      </c>
      <c r="C226" s="304">
        <f>B226*F226</f>
        <v>5074750920.9871206</v>
      </c>
      <c r="D226" s="119">
        <f>'[1]GAP analysis Sc. 1'!$H$18+'[1]GAP analysis Sc. 1'!$J$18</f>
        <v>3.8474675245040357</v>
      </c>
      <c r="E226" s="119">
        <f>'[2]Conversion factors selected IV '!$O$4</f>
        <v>1.1315675675675676</v>
      </c>
      <c r="F226" s="119">
        <f>D226*E226*1000000</f>
        <v>4353669.4679982429</v>
      </c>
      <c r="G226" s="119">
        <v>629</v>
      </c>
      <c r="H226" s="119">
        <f>G226*F226</f>
        <v>2738458095.3708949</v>
      </c>
      <c r="I226" s="119">
        <v>0.75</v>
      </c>
      <c r="K226" s="119">
        <f>I226*G226</f>
        <v>471.75</v>
      </c>
      <c r="L226" s="119">
        <f>I226*H226</f>
        <v>2053843571.5281711</v>
      </c>
      <c r="M226" s="119">
        <v>6.5000000000000002E-2</v>
      </c>
      <c r="O226" s="119">
        <f>M226*H226</f>
        <v>177999776.19910818</v>
      </c>
      <c r="P226" s="119">
        <v>0.185</v>
      </c>
      <c r="R226" s="119">
        <f>P226*H226</f>
        <v>506614747.64361554</v>
      </c>
      <c r="S226" s="291">
        <f>P226+M226+I226</f>
        <v>1</v>
      </c>
    </row>
    <row r="227" spans="1:19" x14ac:dyDescent="0.35">
      <c r="C227" s="282">
        <f>C226/$C$225</f>
        <v>0.24584109036722743</v>
      </c>
      <c r="D227" s="2"/>
      <c r="E227" s="209" t="s">
        <v>292</v>
      </c>
      <c r="F227" s="161" t="s">
        <v>211</v>
      </c>
      <c r="G227">
        <f>(L227+L229)/L226</f>
        <v>0.80055384228082327</v>
      </c>
      <c r="H227" s="209" t="s">
        <v>292</v>
      </c>
      <c r="I227" s="18" t="s">
        <v>260</v>
      </c>
      <c r="J227" s="161" t="s">
        <v>211</v>
      </c>
      <c r="K227" s="112">
        <f>'Feedtstocks only CONVENTIONAL'!$J$4</f>
        <v>0.76052615016678204</v>
      </c>
      <c r="L227" s="2">
        <f>K227*L$226</f>
        <v>1562001744.4991138</v>
      </c>
      <c r="M227" t="s">
        <v>296</v>
      </c>
      <c r="N227" s="61">
        <v>0.45</v>
      </c>
      <c r="O227" s="2">
        <f>N227*O$226</f>
        <v>80099899.289598688</v>
      </c>
      <c r="P227" t="s">
        <v>298</v>
      </c>
      <c r="Q227" s="61">
        <v>0.3</v>
      </c>
      <c r="R227" s="2">
        <f>Q227*R$226</f>
        <v>151984424.29308465</v>
      </c>
    </row>
    <row r="228" spans="1:19" x14ac:dyDescent="0.35">
      <c r="C228" s="282"/>
      <c r="D228" s="2"/>
      <c r="E228" s="208" t="s">
        <v>290</v>
      </c>
      <c r="F228" s="161" t="s">
        <v>211</v>
      </c>
      <c r="G228">
        <f>(L228+L230)/L226</f>
        <v>0.19944615771917679</v>
      </c>
      <c r="H228" s="208" t="s">
        <v>290</v>
      </c>
      <c r="I228" s="18" t="s">
        <v>261</v>
      </c>
      <c r="J228" s="161" t="s">
        <v>211</v>
      </c>
      <c r="K228" s="112">
        <f>'Feedtstocks only CONVENTIONAL'!$J$5</f>
        <v>0.16011076845616465</v>
      </c>
      <c r="L228" s="2">
        <f t="shared" ref="L228:L230" si="59">K228*L$226</f>
        <v>328842472.52612925</v>
      </c>
      <c r="M228" t="s">
        <v>297</v>
      </c>
      <c r="N228" s="61">
        <v>0.3</v>
      </c>
      <c r="O228" s="2">
        <f t="shared" ref="O228:O231" si="60">N228*O$226</f>
        <v>53399932.859732457</v>
      </c>
      <c r="P228" t="s">
        <v>299</v>
      </c>
      <c r="Q228" s="61">
        <v>0.2</v>
      </c>
      <c r="R228" s="2">
        <f t="shared" ref="R228:R231" si="61">Q228*R$226</f>
        <v>101322949.52872312</v>
      </c>
    </row>
    <row r="229" spans="1:19" x14ac:dyDescent="0.35">
      <c r="C229" s="282"/>
      <c r="D229" s="2"/>
      <c r="H229" s="209" t="s">
        <v>292</v>
      </c>
      <c r="I229" s="18" t="s">
        <v>263</v>
      </c>
      <c r="J229" s="161" t="s">
        <v>211</v>
      </c>
      <c r="K229" s="112">
        <f>'Feedtstocks only CONVENTIONAL'!$J$6</f>
        <v>4.0027692114041162E-2</v>
      </c>
      <c r="L229" s="2">
        <f t="shared" si="59"/>
        <v>82210618.131532311</v>
      </c>
      <c r="M229" t="s">
        <v>247</v>
      </c>
      <c r="N229" s="61">
        <v>0.15</v>
      </c>
      <c r="O229" s="2">
        <f t="shared" si="60"/>
        <v>26699966.429866228</v>
      </c>
      <c r="P229" t="s">
        <v>252</v>
      </c>
      <c r="Q229" s="61">
        <v>0.25</v>
      </c>
      <c r="R229" s="2">
        <f t="shared" si="61"/>
        <v>126653686.91090389</v>
      </c>
    </row>
    <row r="230" spans="1:19" x14ac:dyDescent="0.35">
      <c r="C230" s="282"/>
      <c r="D230" s="2"/>
      <c r="H230" s="208" t="s">
        <v>290</v>
      </c>
      <c r="I230" s="18" t="s">
        <v>262</v>
      </c>
      <c r="J230" s="161" t="s">
        <v>211</v>
      </c>
      <c r="K230" s="112">
        <f>'Feedtstocks only CONVENTIONAL'!$J$7</f>
        <v>3.9335389263012145E-2</v>
      </c>
      <c r="L230" s="2">
        <f t="shared" si="59"/>
        <v>80788736.371395737</v>
      </c>
      <c r="M230" t="s">
        <v>245</v>
      </c>
      <c r="N230" s="61">
        <v>7.0000000000000007E-2</v>
      </c>
      <c r="O230" s="2">
        <f t="shared" si="60"/>
        <v>12459984.333937574</v>
      </c>
      <c r="P230" t="s">
        <v>300</v>
      </c>
      <c r="Q230" s="61">
        <v>0.15</v>
      </c>
      <c r="R230" s="2">
        <f t="shared" si="61"/>
        <v>75992212.146542326</v>
      </c>
    </row>
    <row r="231" spans="1:19" x14ac:dyDescent="0.35">
      <c r="C231" s="282"/>
      <c r="D231" s="2"/>
      <c r="K231" s="2">
        <f>SUM(K227:K230)</f>
        <v>1</v>
      </c>
      <c r="L231" s="2">
        <f>SUM(L227:L230)</f>
        <v>2053843571.5281713</v>
      </c>
      <c r="M231" t="s">
        <v>250</v>
      </c>
      <c r="N231" s="61">
        <v>0.03</v>
      </c>
      <c r="O231" s="2">
        <f t="shared" si="60"/>
        <v>5339993.2859732453</v>
      </c>
      <c r="P231" s="18" t="s">
        <v>254</v>
      </c>
      <c r="Q231" s="61">
        <v>0.1</v>
      </c>
      <c r="R231" s="2">
        <f t="shared" si="61"/>
        <v>50661474.76436156</v>
      </c>
    </row>
    <row r="232" spans="1:19" x14ac:dyDescent="0.35">
      <c r="C232" s="282"/>
      <c r="D232" s="2"/>
      <c r="O232" s="2">
        <f>SUM(O227:O231)</f>
        <v>177999776.19910821</v>
      </c>
      <c r="P232" t="s">
        <v>213</v>
      </c>
      <c r="Q232" s="61">
        <v>0</v>
      </c>
      <c r="R232" s="2">
        <f t="shared" ref="R232" si="62">Q232*R231</f>
        <v>0</v>
      </c>
    </row>
    <row r="233" spans="1:19" s="122" customFormat="1" x14ac:dyDescent="0.35">
      <c r="C233" s="305"/>
    </row>
    <row r="234" spans="1:19" s="119" customFormat="1" x14ac:dyDescent="0.35">
      <c r="A234" s="119" t="s">
        <v>306</v>
      </c>
      <c r="B234" s="119">
        <v>1165.6261363636365</v>
      </c>
      <c r="C234" s="304">
        <v>5823017821.7200422</v>
      </c>
      <c r="D234" s="119">
        <f>'[1]GAP analysis Sc. 1'!$H$19</f>
        <v>3.9442817119799067</v>
      </c>
      <c r="E234" s="119">
        <v>0.95154545454545458</v>
      </c>
      <c r="F234" s="119">
        <v>4995613.6363636367</v>
      </c>
      <c r="G234" s="119">
        <v>665.824761904762</v>
      </c>
      <c r="H234" s="119">
        <v>3326203260.0000005</v>
      </c>
      <c r="I234" s="119">
        <v>0.7</v>
      </c>
      <c r="K234" s="120">
        <v>466.0773333333334</v>
      </c>
      <c r="L234" s="119">
        <v>2328342282</v>
      </c>
      <c r="M234" s="119">
        <v>0.1</v>
      </c>
      <c r="O234" s="119">
        <f>M234*H234</f>
        <v>332620326.00000006</v>
      </c>
      <c r="P234" s="119">
        <v>0.2</v>
      </c>
      <c r="R234" s="119">
        <v>665240652.00000012</v>
      </c>
    </row>
    <row r="235" spans="1:19" x14ac:dyDescent="0.35">
      <c r="C235" s="282">
        <f>C234/$C$225</f>
        <v>0.2820901109844019</v>
      </c>
      <c r="D235" s="2"/>
      <c r="E235" s="209" t="s">
        <v>292</v>
      </c>
      <c r="F235" s="161" t="s">
        <v>211</v>
      </c>
      <c r="G235">
        <f>SUM(L235:L237)/L234</f>
        <v>0.96066461073698783</v>
      </c>
      <c r="I235" s="18" t="s">
        <v>260</v>
      </c>
      <c r="J235" s="161" t="s">
        <v>211</v>
      </c>
      <c r="K235" s="112">
        <f>'Feedtstocks only CONVENTIONAL'!J$4</f>
        <v>0.76052615016678204</v>
      </c>
      <c r="L235" s="2">
        <f>K235*$L$234</f>
        <v>1770765192</v>
      </c>
      <c r="M235" t="s">
        <v>296</v>
      </c>
      <c r="N235" s="61">
        <v>0.55000000000000004</v>
      </c>
      <c r="O235" s="2">
        <f>N235*$O$234</f>
        <v>182941179.30000004</v>
      </c>
      <c r="P235" t="s">
        <v>298</v>
      </c>
      <c r="Q235" s="61">
        <v>0.4</v>
      </c>
      <c r="R235" s="2">
        <f>Q235*$R$234</f>
        <v>266096260.80000007</v>
      </c>
    </row>
    <row r="236" spans="1:19" x14ac:dyDescent="0.35">
      <c r="C236" s="282"/>
      <c r="D236" s="2"/>
      <c r="E236" s="208" t="s">
        <v>290</v>
      </c>
      <c r="F236" s="161" t="s">
        <v>211</v>
      </c>
      <c r="G236">
        <f>L238/L234</f>
        <v>3.9335389263012145E-2</v>
      </c>
      <c r="I236" s="18" t="s">
        <v>261</v>
      </c>
      <c r="J236" s="161" t="s">
        <v>211</v>
      </c>
      <c r="K236" s="112">
        <f>'Feedtstocks only CONVENTIONAL'!J$5</f>
        <v>0.16011076845616465</v>
      </c>
      <c r="L236" s="2">
        <f t="shared" ref="L236:L238" si="63">K236*$L$234</f>
        <v>372792672</v>
      </c>
      <c r="M236" t="s">
        <v>297</v>
      </c>
      <c r="N236" s="61">
        <v>0.25</v>
      </c>
      <c r="O236" s="2">
        <f t="shared" ref="O236:O239" si="64">N236*$O$234</f>
        <v>83155081.500000015</v>
      </c>
      <c r="P236" t="s">
        <v>299</v>
      </c>
      <c r="Q236" s="61">
        <v>0.2</v>
      </c>
      <c r="R236" s="2">
        <f t="shared" ref="R236:R240" si="65">Q236*$R$234</f>
        <v>133048130.40000004</v>
      </c>
    </row>
    <row r="237" spans="1:19" x14ac:dyDescent="0.35">
      <c r="C237" s="282"/>
      <c r="D237" s="119"/>
      <c r="I237" s="18" t="s">
        <v>263</v>
      </c>
      <c r="J237" s="161" t="s">
        <v>211</v>
      </c>
      <c r="K237" s="112">
        <f>'Feedtstocks only CONVENTIONAL'!J$6</f>
        <v>4.0027692114041162E-2</v>
      </c>
      <c r="L237" s="2">
        <f t="shared" si="63"/>
        <v>93198168</v>
      </c>
      <c r="M237" t="s">
        <v>247</v>
      </c>
      <c r="N237" s="61">
        <v>0.1</v>
      </c>
      <c r="O237" s="2">
        <f t="shared" si="64"/>
        <v>33262032.600000009</v>
      </c>
      <c r="P237" t="s">
        <v>252</v>
      </c>
      <c r="Q237" s="61">
        <v>0.2</v>
      </c>
      <c r="R237" s="2">
        <f t="shared" si="65"/>
        <v>133048130.40000004</v>
      </c>
    </row>
    <row r="238" spans="1:19" x14ac:dyDescent="0.35">
      <c r="C238" s="282"/>
      <c r="D238" s="2"/>
      <c r="H238" s="208" t="s">
        <v>290</v>
      </c>
      <c r="I238" s="18" t="s">
        <v>262</v>
      </c>
      <c r="J238" s="161" t="s">
        <v>211</v>
      </c>
      <c r="K238" s="112">
        <f>'Feedtstocks only CONVENTIONAL'!J$7</f>
        <v>3.9335389263012145E-2</v>
      </c>
      <c r="L238" s="2">
        <f t="shared" si="63"/>
        <v>91586250</v>
      </c>
      <c r="M238" t="s">
        <v>245</v>
      </c>
      <c r="N238" s="61">
        <v>7.0000000000000007E-2</v>
      </c>
      <c r="O238" s="2">
        <f t="shared" si="64"/>
        <v>23283422.820000008</v>
      </c>
      <c r="P238" t="s">
        <v>300</v>
      </c>
      <c r="Q238" s="61">
        <v>0.15</v>
      </c>
      <c r="R238" s="2">
        <f t="shared" si="65"/>
        <v>99786097.800000012</v>
      </c>
    </row>
    <row r="239" spans="1:19" x14ac:dyDescent="0.35">
      <c r="C239" s="282"/>
      <c r="D239" s="2"/>
      <c r="L239" s="2">
        <f>SUM(L235:L238)</f>
        <v>2328342282</v>
      </c>
      <c r="M239" t="s">
        <v>250</v>
      </c>
      <c r="N239" s="61">
        <v>0.03</v>
      </c>
      <c r="O239" s="2">
        <f t="shared" si="64"/>
        <v>9978609.7800000012</v>
      </c>
      <c r="P239" s="216" t="s">
        <v>254</v>
      </c>
      <c r="Q239" s="61">
        <v>0.05</v>
      </c>
      <c r="R239" s="2">
        <f t="shared" si="65"/>
        <v>33262032.600000009</v>
      </c>
    </row>
    <row r="240" spans="1:19" x14ac:dyDescent="0.35">
      <c r="C240" s="282"/>
      <c r="D240" s="2"/>
      <c r="P240" t="s">
        <v>213</v>
      </c>
      <c r="Q240" s="61">
        <v>0</v>
      </c>
      <c r="R240" s="2">
        <f t="shared" si="65"/>
        <v>0</v>
      </c>
    </row>
    <row r="241" spans="1:19" s="119" customFormat="1" x14ac:dyDescent="0.35">
      <c r="A241" s="119" t="s">
        <v>282</v>
      </c>
      <c r="B241" s="119">
        <v>1165.6261363636365</v>
      </c>
      <c r="C241" s="304">
        <f>B241*F241</f>
        <v>3730003636.3636365</v>
      </c>
      <c r="D241" s="119">
        <f>'[1]GAP analysis Sc. 1'!$K$21</f>
        <v>2.8279354160695518</v>
      </c>
      <c r="E241" s="119">
        <f>'[2]Conversion factors selected IV '!$O$4</f>
        <v>1.1315675675675676</v>
      </c>
      <c r="F241" s="119">
        <f>D241*E241*1000000</f>
        <v>3199999.9999999995</v>
      </c>
      <c r="G241" s="119">
        <v>1226</v>
      </c>
      <c r="H241" s="119">
        <f>G241*F241</f>
        <v>3923199999.9999995</v>
      </c>
      <c r="I241" s="119">
        <f>K241/G241</f>
        <v>0.73654159869494296</v>
      </c>
      <c r="K241" s="119">
        <v>903</v>
      </c>
      <c r="L241" s="119">
        <f>I241*H241</f>
        <v>2889600000</v>
      </c>
      <c r="M241" s="119">
        <f>83/G241</f>
        <v>6.7699836867862975E-2</v>
      </c>
      <c r="O241" s="119">
        <f>M241*H241</f>
        <v>265600000</v>
      </c>
      <c r="P241" s="119">
        <f>1-I241-M241</f>
        <v>0.19575856443719408</v>
      </c>
      <c r="R241" s="119">
        <f>P241*H241</f>
        <v>767999999.99999976</v>
      </c>
      <c r="S241" s="119">
        <f>P241+M241+I241</f>
        <v>1</v>
      </c>
    </row>
    <row r="242" spans="1:19" x14ac:dyDescent="0.35">
      <c r="C242" s="282">
        <f>C241/$C$225</f>
        <v>0.1806961908701897</v>
      </c>
      <c r="I242" t="s">
        <v>313</v>
      </c>
      <c r="J242" s="154" t="s">
        <v>212</v>
      </c>
      <c r="L242" s="2">
        <f>L241</f>
        <v>2889600000</v>
      </c>
      <c r="M242" t="s">
        <v>296</v>
      </c>
      <c r="N242" s="61">
        <v>0.45</v>
      </c>
      <c r="O242" s="2">
        <f>N242*$O$241</f>
        <v>119520000</v>
      </c>
      <c r="P242" t="s">
        <v>298</v>
      </c>
      <c r="Q242" s="61">
        <v>0.3</v>
      </c>
      <c r="R242" s="2">
        <f>Q242*$R$241</f>
        <v>230399999.99999991</v>
      </c>
    </row>
    <row r="243" spans="1:19" x14ac:dyDescent="0.35">
      <c r="C243" s="282"/>
      <c r="M243" t="s">
        <v>297</v>
      </c>
      <c r="N243" s="61">
        <v>0.3</v>
      </c>
      <c r="O243" s="2">
        <f t="shared" ref="O243:O246" si="66">N243*$O$241</f>
        <v>79680000</v>
      </c>
      <c r="P243" t="s">
        <v>299</v>
      </c>
      <c r="Q243" s="61">
        <v>0.2</v>
      </c>
      <c r="R243" s="2">
        <f t="shared" ref="R243:R247" si="67">Q243*$R$241</f>
        <v>153599999.99999997</v>
      </c>
    </row>
    <row r="244" spans="1:19" x14ac:dyDescent="0.35">
      <c r="C244" s="282"/>
      <c r="M244" t="s">
        <v>247</v>
      </c>
      <c r="N244" s="61">
        <v>0.15</v>
      </c>
      <c r="O244" s="2">
        <f t="shared" si="66"/>
        <v>39840000</v>
      </c>
      <c r="P244" t="s">
        <v>252</v>
      </c>
      <c r="Q244" s="61">
        <v>0.25</v>
      </c>
      <c r="R244" s="2">
        <f t="shared" si="67"/>
        <v>191999999.99999994</v>
      </c>
    </row>
    <row r="245" spans="1:19" x14ac:dyDescent="0.35">
      <c r="C245" s="282"/>
      <c r="M245" t="s">
        <v>245</v>
      </c>
      <c r="N245" s="61">
        <v>7.0000000000000007E-2</v>
      </c>
      <c r="O245" s="2">
        <f t="shared" si="66"/>
        <v>18592000</v>
      </c>
      <c r="P245" t="s">
        <v>300</v>
      </c>
      <c r="Q245" s="61">
        <v>0.15</v>
      </c>
      <c r="R245" s="2">
        <f t="shared" si="67"/>
        <v>115199999.99999996</v>
      </c>
    </row>
    <row r="246" spans="1:19" x14ac:dyDescent="0.35">
      <c r="C246" s="282"/>
      <c r="M246" t="s">
        <v>250</v>
      </c>
      <c r="N246" s="61">
        <v>0.03</v>
      </c>
      <c r="O246" s="2">
        <f t="shared" si="66"/>
        <v>7968000</v>
      </c>
      <c r="P246" s="18" t="s">
        <v>254</v>
      </c>
      <c r="Q246" s="61">
        <v>0.1</v>
      </c>
      <c r="R246" s="2">
        <f t="shared" si="67"/>
        <v>76799999.999999985</v>
      </c>
    </row>
    <row r="247" spans="1:19" x14ac:dyDescent="0.35">
      <c r="C247" s="282"/>
      <c r="H247" s="2"/>
      <c r="P247" t="s">
        <v>213</v>
      </c>
      <c r="Q247" s="61">
        <v>0</v>
      </c>
      <c r="R247" s="2">
        <f t="shared" si="67"/>
        <v>0</v>
      </c>
    </row>
    <row r="248" spans="1:19" x14ac:dyDescent="0.35">
      <c r="C248" s="282"/>
    </row>
    <row r="249" spans="1:19" s="119" customFormat="1" x14ac:dyDescent="0.35">
      <c r="A249" s="119" t="s">
        <v>367</v>
      </c>
      <c r="B249" s="119">
        <v>1165.6261363636365</v>
      </c>
      <c r="C249" s="304">
        <f>B249*F249</f>
        <v>1876658079.5454547</v>
      </c>
      <c r="D249" s="119">
        <f>'[1]GAP analysis Sc. 1'!$K$22</f>
        <v>1.6919843317091812</v>
      </c>
      <c r="E249" s="119">
        <f>'[2]Conversion factors selected IV '!$O$7</f>
        <v>0.95154545454545458</v>
      </c>
      <c r="F249" s="119">
        <f>D249*E249*1000000</f>
        <v>1610000</v>
      </c>
      <c r="G249" s="119">
        <v>1218</v>
      </c>
      <c r="H249" s="119">
        <f>G249*F249</f>
        <v>1960980000</v>
      </c>
      <c r="I249" s="119">
        <v>0.67</v>
      </c>
      <c r="L249" s="119">
        <f>I249*H249</f>
        <v>1313856600</v>
      </c>
      <c r="M249" s="119">
        <v>0.13</v>
      </c>
      <c r="O249" s="119">
        <f>M249*H249</f>
        <v>254927400</v>
      </c>
      <c r="P249" s="119">
        <v>0.2</v>
      </c>
      <c r="R249" s="119">
        <f>P249*H249</f>
        <v>392196000</v>
      </c>
    </row>
    <row r="250" spans="1:19" x14ac:dyDescent="0.35">
      <c r="C250" s="282">
        <f>C249/$C$225</f>
        <v>9.0912771031564199E-2</v>
      </c>
      <c r="I250" t="s">
        <v>313</v>
      </c>
      <c r="J250" s="154" t="s">
        <v>212</v>
      </c>
      <c r="L250" s="2">
        <f>L249</f>
        <v>1313856600</v>
      </c>
      <c r="M250" t="s">
        <v>296</v>
      </c>
      <c r="N250" s="61">
        <v>0.55000000000000004</v>
      </c>
      <c r="O250" s="2">
        <f>N250*$O$249</f>
        <v>140210070</v>
      </c>
      <c r="P250" t="s">
        <v>298</v>
      </c>
      <c r="Q250" s="61">
        <v>0.4</v>
      </c>
      <c r="R250" s="2">
        <f>Q250*$R$249</f>
        <v>156878400</v>
      </c>
    </row>
    <row r="251" spans="1:19" x14ac:dyDescent="0.35">
      <c r="C251" s="282"/>
      <c r="M251" t="s">
        <v>297</v>
      </c>
      <c r="N251" s="61">
        <v>0.25</v>
      </c>
      <c r="O251" s="2">
        <f t="shared" ref="O251:O254" si="68">N251*$O$249</f>
        <v>63731850</v>
      </c>
      <c r="P251" t="s">
        <v>299</v>
      </c>
      <c r="Q251" s="61">
        <v>0.2</v>
      </c>
      <c r="R251" s="2">
        <f t="shared" ref="R251:R255" si="69">Q251*$R$249</f>
        <v>78439200</v>
      </c>
    </row>
    <row r="252" spans="1:19" x14ac:dyDescent="0.35">
      <c r="C252" s="282"/>
      <c r="M252" t="s">
        <v>247</v>
      </c>
      <c r="N252" s="61">
        <v>0.1</v>
      </c>
      <c r="O252" s="2">
        <f t="shared" si="68"/>
        <v>25492740</v>
      </c>
      <c r="P252" t="s">
        <v>252</v>
      </c>
      <c r="Q252" s="61">
        <v>0.2</v>
      </c>
      <c r="R252" s="2">
        <f t="shared" si="69"/>
        <v>78439200</v>
      </c>
    </row>
    <row r="253" spans="1:19" x14ac:dyDescent="0.35">
      <c r="C253" s="282"/>
      <c r="M253" t="s">
        <v>245</v>
      </c>
      <c r="N253" s="61">
        <v>7.0000000000000007E-2</v>
      </c>
      <c r="O253" s="2">
        <f t="shared" si="68"/>
        <v>17844918</v>
      </c>
      <c r="P253" t="s">
        <v>300</v>
      </c>
      <c r="Q253" s="61">
        <v>0.15</v>
      </c>
      <c r="R253" s="2">
        <f t="shared" si="69"/>
        <v>58829400</v>
      </c>
    </row>
    <row r="254" spans="1:19" x14ac:dyDescent="0.35">
      <c r="C254" s="282"/>
      <c r="M254" t="s">
        <v>250</v>
      </c>
      <c r="N254" s="61">
        <v>0.03</v>
      </c>
      <c r="O254" s="2">
        <f t="shared" si="68"/>
        <v>7647822</v>
      </c>
      <c r="P254" s="216" t="s">
        <v>254</v>
      </c>
      <c r="Q254" s="61">
        <v>0.05</v>
      </c>
      <c r="R254" s="2">
        <f t="shared" si="69"/>
        <v>19609800</v>
      </c>
    </row>
    <row r="255" spans="1:19" x14ac:dyDescent="0.35">
      <c r="C255" s="282"/>
      <c r="P255" t="s">
        <v>213</v>
      </c>
      <c r="Q255" s="61">
        <v>0</v>
      </c>
      <c r="R255" s="2">
        <f t="shared" si="69"/>
        <v>0</v>
      </c>
    </row>
    <row r="256" spans="1:19" x14ac:dyDescent="0.35">
      <c r="C256" s="282"/>
      <c r="N256" t="s">
        <v>360</v>
      </c>
      <c r="O256" s="2">
        <f>SUM(O250:O255)</f>
        <v>254927400</v>
      </c>
      <c r="Q256" t="s">
        <v>360</v>
      </c>
      <c r="R256" s="2">
        <f>SUM(R250:R255)</f>
        <v>392196000</v>
      </c>
    </row>
    <row r="257" spans="1:18" s="119" customFormat="1" x14ac:dyDescent="0.35">
      <c r="A257" s="119" t="s">
        <v>374</v>
      </c>
      <c r="B257" s="119">
        <v>1165.6261363636365</v>
      </c>
      <c r="C257" s="304">
        <f>B257*F257</f>
        <v>2914065340.9090915</v>
      </c>
      <c r="D257" s="119">
        <f>'[1]GAP analysis Sc. 1'!$H$23+'[1]GAP analysis Sc. 1'!$J$23</f>
        <v>2.2093245438043372</v>
      </c>
      <c r="E257" s="119">
        <f>'[2]Conversion factors selected IV '!$O$4</f>
        <v>1.1315675675675676</v>
      </c>
      <c r="F257" s="119">
        <f>D257*E257*1000000</f>
        <v>2500000</v>
      </c>
      <c r="G257" s="119">
        <v>1253</v>
      </c>
      <c r="H257" s="119">
        <f>G257*F257</f>
        <v>3132500000</v>
      </c>
      <c r="I257" s="119">
        <v>0.74</v>
      </c>
      <c r="K257" s="119">
        <f>'Feedtstocks only CONVENTIONAL'!I104</f>
        <v>0</v>
      </c>
      <c r="L257" s="119">
        <f>H257*I257</f>
        <v>2318050000</v>
      </c>
      <c r="M257" s="119">
        <v>0.04</v>
      </c>
      <c r="O257" s="119">
        <f>M257*H257</f>
        <v>125300000</v>
      </c>
      <c r="P257" s="119">
        <v>0.22</v>
      </c>
      <c r="R257" s="119">
        <f>P257*H257</f>
        <v>689150000</v>
      </c>
    </row>
    <row r="258" spans="1:18" x14ac:dyDescent="0.35">
      <c r="C258" s="282">
        <f>C257/$C$225</f>
        <v>0.14116889911733571</v>
      </c>
      <c r="E258" s="209" t="s">
        <v>292</v>
      </c>
      <c r="F258" s="1">
        <f>(L258+L260)/L257</f>
        <v>0.71548895938351642</v>
      </c>
      <c r="H258" s="209" t="s">
        <v>292</v>
      </c>
      <c r="I258" s="18" t="s">
        <v>308</v>
      </c>
      <c r="J258" s="161" t="s">
        <v>211</v>
      </c>
      <c r="K258" s="61">
        <f>'Feedtstocks only CONVENTIONAL'!J37</f>
        <v>0.42676656092472537</v>
      </c>
      <c r="L258" s="104">
        <f>K258*L257</f>
        <v>989266226.55155969</v>
      </c>
      <c r="M258" t="s">
        <v>296</v>
      </c>
      <c r="N258" s="61">
        <v>0.45</v>
      </c>
      <c r="O258" s="2">
        <f>N258*$O$257</f>
        <v>56385000</v>
      </c>
      <c r="P258" t="s">
        <v>298</v>
      </c>
      <c r="Q258" s="61">
        <v>0.25</v>
      </c>
      <c r="R258" s="2">
        <f>Q258*$R$257</f>
        <v>172287500</v>
      </c>
    </row>
    <row r="259" spans="1:18" x14ac:dyDescent="0.35">
      <c r="C259" s="282"/>
      <c r="E259" s="208" t="s">
        <v>290</v>
      </c>
      <c r="F259" s="1">
        <f>L259/L257</f>
        <v>0.28451104061648358</v>
      </c>
      <c r="H259" s="208" t="s">
        <v>290</v>
      </c>
      <c r="I259" s="18" t="s">
        <v>309</v>
      </c>
      <c r="J259" s="161" t="s">
        <v>211</v>
      </c>
      <c r="K259" s="61">
        <f>'Feedtstocks only CONVENTIONAL'!J38</f>
        <v>0.28451104061648358</v>
      </c>
      <c r="L259" s="104">
        <f>K259*L257</f>
        <v>659510817.70103979</v>
      </c>
      <c r="M259" t="s">
        <v>297</v>
      </c>
      <c r="N259" s="61">
        <v>0.3</v>
      </c>
      <c r="O259" s="2">
        <f t="shared" ref="O259:O262" si="70">N259*$O$257</f>
        <v>37590000</v>
      </c>
      <c r="P259" t="s">
        <v>299</v>
      </c>
      <c r="Q259" s="61">
        <v>0.15</v>
      </c>
      <c r="R259" s="2">
        <f t="shared" ref="R259:R263" si="71">Q259*$R$257</f>
        <v>103372500</v>
      </c>
    </row>
    <row r="260" spans="1:18" x14ac:dyDescent="0.35">
      <c r="C260" s="282"/>
      <c r="H260" s="209" t="s">
        <v>292</v>
      </c>
      <c r="I260" s="18" t="s">
        <v>307</v>
      </c>
      <c r="J260" s="161" t="s">
        <v>211</v>
      </c>
      <c r="K260" s="61">
        <f>'Feedtstocks only CONVENTIONAL'!J39</f>
        <v>0.288722398458791</v>
      </c>
      <c r="L260" s="104">
        <f>K260*L257</f>
        <v>669272955.74740052</v>
      </c>
      <c r="M260" t="s">
        <v>247</v>
      </c>
      <c r="N260" s="61">
        <v>0.15</v>
      </c>
      <c r="O260" s="2">
        <f t="shared" si="70"/>
        <v>18795000</v>
      </c>
      <c r="P260" t="s">
        <v>252</v>
      </c>
      <c r="Q260" s="61">
        <v>0.2</v>
      </c>
      <c r="R260" s="2">
        <f t="shared" si="71"/>
        <v>137830000</v>
      </c>
    </row>
    <row r="261" spans="1:18" x14ac:dyDescent="0.35">
      <c r="C261" s="282"/>
      <c r="H261" s="18"/>
      <c r="I261" s="18"/>
      <c r="J261" s="18"/>
      <c r="K261" s="104">
        <f>SUM(K258:K260)</f>
        <v>1</v>
      </c>
      <c r="L261" s="104">
        <f>SUM(L258:L260)</f>
        <v>2318050000</v>
      </c>
      <c r="M261" t="s">
        <v>245</v>
      </c>
      <c r="N261" s="61">
        <v>7.0000000000000007E-2</v>
      </c>
      <c r="O261" s="2">
        <f t="shared" si="70"/>
        <v>8771000</v>
      </c>
      <c r="P261" t="s">
        <v>300</v>
      </c>
      <c r="Q261" s="61">
        <v>0.2</v>
      </c>
      <c r="R261" s="2">
        <f t="shared" si="71"/>
        <v>137830000</v>
      </c>
    </row>
    <row r="262" spans="1:18" x14ac:dyDescent="0.35">
      <c r="C262" s="282"/>
      <c r="M262" t="s">
        <v>250</v>
      </c>
      <c r="N262" s="61">
        <v>0.03</v>
      </c>
      <c r="O262" s="2">
        <f t="shared" si="70"/>
        <v>3759000</v>
      </c>
      <c r="P262" s="18" t="s">
        <v>254</v>
      </c>
      <c r="Q262" s="61">
        <v>0.1</v>
      </c>
      <c r="R262" s="2">
        <f t="shared" si="71"/>
        <v>68915000</v>
      </c>
    </row>
    <row r="263" spans="1:18" x14ac:dyDescent="0.35">
      <c r="C263" s="282"/>
      <c r="P263" t="s">
        <v>213</v>
      </c>
      <c r="Q263" s="61">
        <v>0.1</v>
      </c>
      <c r="R263" s="2">
        <f t="shared" si="71"/>
        <v>68915000</v>
      </c>
    </row>
    <row r="264" spans="1:18" s="119" customFormat="1" x14ac:dyDescent="0.35">
      <c r="A264" s="119" t="s">
        <v>368</v>
      </c>
      <c r="B264" s="119">
        <v>1165.6261363636365</v>
      </c>
      <c r="C264" s="304">
        <f>B264*F264</f>
        <v>1223907443.1818182</v>
      </c>
      <c r="D264" s="119">
        <f>'[1]GAP analysis Sc. 1'!$H$24+'[1]GAP analysis Sc. 1'!$J$24</f>
        <v>1.1034680424190313</v>
      </c>
      <c r="E264" s="119">
        <f>'[2]Conversion factors selected IV '!$O$7</f>
        <v>0.95154545454545458</v>
      </c>
      <c r="F264" s="119">
        <f>D264*E264*1000000</f>
        <v>1050000</v>
      </c>
      <c r="G264" s="119">
        <v>1253</v>
      </c>
      <c r="H264" s="119">
        <f>G264*F264</f>
        <v>1315650000</v>
      </c>
      <c r="I264" s="119">
        <v>0.67</v>
      </c>
      <c r="L264" s="119">
        <f>H264*I264</f>
        <v>881485500</v>
      </c>
      <c r="M264" s="119">
        <v>0.13</v>
      </c>
      <c r="O264" s="119">
        <f>M264*H264</f>
        <v>171034500</v>
      </c>
      <c r="P264" s="119">
        <v>0.2</v>
      </c>
      <c r="R264" s="119">
        <f>P264*H264</f>
        <v>263130000</v>
      </c>
    </row>
    <row r="265" spans="1:18" x14ac:dyDescent="0.35">
      <c r="C265" s="282">
        <f>C264/$C$225</f>
        <v>5.9290937629280997E-2</v>
      </c>
      <c r="H265" s="209" t="s">
        <v>292</v>
      </c>
      <c r="I265" s="18" t="s">
        <v>308</v>
      </c>
      <c r="J265" s="161" t="s">
        <v>211</v>
      </c>
      <c r="K265" s="61">
        <f>'Feedtstocks only CONVENTIONAL'!J37</f>
        <v>0.42676656092472537</v>
      </c>
      <c r="L265" s="104">
        <f>K265*L264</f>
        <v>376188535.34001201</v>
      </c>
      <c r="M265" t="s">
        <v>296</v>
      </c>
      <c r="N265" s="61">
        <v>0.55000000000000004</v>
      </c>
      <c r="O265" s="2">
        <f>N265*$O$264</f>
        <v>94068975.000000015</v>
      </c>
      <c r="P265" t="s">
        <v>298</v>
      </c>
      <c r="Q265" s="61">
        <v>0.4</v>
      </c>
      <c r="R265" s="2">
        <f>Q265*$R$264</f>
        <v>105252000</v>
      </c>
    </row>
    <row r="266" spans="1:18" x14ac:dyDescent="0.35">
      <c r="H266" s="208" t="s">
        <v>290</v>
      </c>
      <c r="I266" s="18" t="s">
        <v>309</v>
      </c>
      <c r="J266" s="161" t="s">
        <v>211</v>
      </c>
      <c r="K266" s="61">
        <f>'Feedtstocks only CONVENTIONAL'!J38</f>
        <v>0.28451104061648358</v>
      </c>
      <c r="L266" s="104">
        <f>K266*L264</f>
        <v>250792356.89334133</v>
      </c>
      <c r="M266" t="s">
        <v>297</v>
      </c>
      <c r="N266" s="61">
        <v>0.25</v>
      </c>
      <c r="O266" s="2">
        <f t="shared" ref="O266:O269" si="72">N266*$O$264</f>
        <v>42758625</v>
      </c>
      <c r="P266" t="s">
        <v>299</v>
      </c>
      <c r="Q266" s="61">
        <v>0.15</v>
      </c>
      <c r="R266" s="2">
        <f t="shared" ref="R266:R270" si="73">Q266*$R$264</f>
        <v>39469500</v>
      </c>
    </row>
    <row r="267" spans="1:18" x14ac:dyDescent="0.35">
      <c r="H267" s="209" t="s">
        <v>292</v>
      </c>
      <c r="I267" s="18" t="s">
        <v>307</v>
      </c>
      <c r="J267" s="161" t="s">
        <v>211</v>
      </c>
      <c r="K267" s="61">
        <f>'Feedtstocks only CONVENTIONAL'!J39</f>
        <v>0.288722398458791</v>
      </c>
      <c r="L267" s="104">
        <f>K267*L264</f>
        <v>254504607.76664662</v>
      </c>
      <c r="M267" t="s">
        <v>247</v>
      </c>
      <c r="N267" s="61">
        <v>0.1</v>
      </c>
      <c r="O267" s="2">
        <f t="shared" si="72"/>
        <v>17103450</v>
      </c>
      <c r="P267" t="s">
        <v>252</v>
      </c>
      <c r="Q267" s="61">
        <v>0.2</v>
      </c>
      <c r="R267" s="2">
        <f t="shared" si="73"/>
        <v>52626000</v>
      </c>
    </row>
    <row r="268" spans="1:18" x14ac:dyDescent="0.35">
      <c r="H268" s="18"/>
      <c r="I268" s="18"/>
      <c r="J268" s="18"/>
      <c r="K268" s="104">
        <f>SUM(K265:K267)</f>
        <v>1</v>
      </c>
      <c r="L268" s="104">
        <f>SUM(L265:L267)</f>
        <v>881485500</v>
      </c>
      <c r="M268" t="s">
        <v>245</v>
      </c>
      <c r="N268" s="61">
        <v>7.0000000000000007E-2</v>
      </c>
      <c r="O268" s="2">
        <f t="shared" si="72"/>
        <v>11972415.000000002</v>
      </c>
      <c r="P268" t="s">
        <v>300</v>
      </c>
      <c r="Q268" s="61">
        <v>0.15</v>
      </c>
      <c r="R268" s="2">
        <f t="shared" si="73"/>
        <v>39469500</v>
      </c>
    </row>
    <row r="269" spans="1:18" x14ac:dyDescent="0.35">
      <c r="M269" t="s">
        <v>250</v>
      </c>
      <c r="N269" s="61">
        <v>0.03</v>
      </c>
      <c r="O269" s="2">
        <f t="shared" si="72"/>
        <v>5131035</v>
      </c>
      <c r="P269" s="216" t="s">
        <v>254</v>
      </c>
      <c r="Q269" s="61">
        <v>0.05</v>
      </c>
      <c r="R269" s="2">
        <f t="shared" si="73"/>
        <v>13156500</v>
      </c>
    </row>
    <row r="270" spans="1:18" x14ac:dyDescent="0.35">
      <c r="P270" t="s">
        <v>213</v>
      </c>
      <c r="Q270" s="61">
        <v>0.05</v>
      </c>
      <c r="R270" s="2">
        <f t="shared" si="73"/>
        <v>13156500</v>
      </c>
    </row>
    <row r="271" spans="1:18" x14ac:dyDescent="0.35">
      <c r="Q271" s="61"/>
    </row>
    <row r="273" spans="1:19" s="158" customFormat="1" ht="29" customHeight="1" x14ac:dyDescent="0.35">
      <c r="A273" s="158" t="s">
        <v>371</v>
      </c>
    </row>
    <row r="274" spans="1:19" x14ac:dyDescent="0.35">
      <c r="B274" s="2">
        <f>C274/1000000</f>
        <v>4436.2567568797785</v>
      </c>
      <c r="C274" s="2">
        <f>C275</f>
        <v>4436256756.8797789</v>
      </c>
      <c r="D274" s="2">
        <f>D275</f>
        <v>2.8076114368002423</v>
      </c>
      <c r="E274" s="6"/>
      <c r="F274" s="2">
        <f>F275</f>
        <v>4353669.4679982429</v>
      </c>
    </row>
    <row r="275" spans="1:19" s="119" customFormat="1" x14ac:dyDescent="0.35">
      <c r="A275" s="119" t="s">
        <v>372</v>
      </c>
      <c r="B275" s="119">
        <v>1018.96958174905</v>
      </c>
      <c r="C275" s="119">
        <f>B275*F275</f>
        <v>4436256756.8797789</v>
      </c>
      <c r="D275" s="119">
        <f>'[1]GAP analysis Sc. 1'!$H$20</f>
        <v>2.8076114368002423</v>
      </c>
      <c r="E275" s="119">
        <f>'[2]Conversion factors selected IV '!$O$17</f>
        <v>1.5506666666666669</v>
      </c>
      <c r="F275" s="119">
        <f>D275*E275*1000000</f>
        <v>4353669.4679982429</v>
      </c>
      <c r="G275" s="119">
        <f>'LCoP CONVENTIONAL'!B53</f>
        <v>903.57</v>
      </c>
      <c r="H275" s="119">
        <f>G275*F275</f>
        <v>3933845121.1991725</v>
      </c>
      <c r="I275" s="119">
        <v>0.7</v>
      </c>
      <c r="L275" s="119">
        <f>H275*I275</f>
        <v>2753691584.8394208</v>
      </c>
      <c r="M275" s="119">
        <v>0.1</v>
      </c>
      <c r="O275" s="119">
        <f>M275*H275</f>
        <v>393384512.11991727</v>
      </c>
      <c r="P275" s="119">
        <v>0.2</v>
      </c>
      <c r="R275" s="119">
        <f>P275*H275</f>
        <v>786769024.23983455</v>
      </c>
    </row>
    <row r="276" spans="1:19" x14ac:dyDescent="0.35">
      <c r="E276" s="6"/>
      <c r="I276" t="s">
        <v>406</v>
      </c>
      <c r="J276" s="154" t="s">
        <v>212</v>
      </c>
      <c r="L276" s="2">
        <f>L275</f>
        <v>2753691584.8394208</v>
      </c>
      <c r="M276" t="s">
        <v>296</v>
      </c>
      <c r="N276" s="61">
        <v>0.5</v>
      </c>
      <c r="O276" s="2">
        <f>N276*$O$275</f>
        <v>196692256.05995864</v>
      </c>
      <c r="P276" t="s">
        <v>298</v>
      </c>
      <c r="Q276" s="61">
        <v>0.15</v>
      </c>
      <c r="R276" s="2">
        <f>Q276*$R$275</f>
        <v>118015353.63597518</v>
      </c>
    </row>
    <row r="277" spans="1:19" x14ac:dyDescent="0.35">
      <c r="E277" s="6"/>
      <c r="M277" t="s">
        <v>297</v>
      </c>
      <c r="N277" s="61">
        <v>0.25</v>
      </c>
      <c r="O277" s="2">
        <f t="shared" ref="O277:O280" si="74">N277*$O$275</f>
        <v>98346128.029979318</v>
      </c>
      <c r="P277" t="s">
        <v>299</v>
      </c>
      <c r="Q277" s="61">
        <v>0.4</v>
      </c>
      <c r="R277" s="2">
        <f t="shared" ref="R277:R281" si="75">Q277*$R$275</f>
        <v>314707609.69593382</v>
      </c>
    </row>
    <row r="278" spans="1:19" x14ac:dyDescent="0.35">
      <c r="E278" s="6"/>
      <c r="M278" t="s">
        <v>247</v>
      </c>
      <c r="N278" s="61">
        <v>0.15</v>
      </c>
      <c r="O278" s="2">
        <f t="shared" si="74"/>
        <v>59007676.817987591</v>
      </c>
      <c r="P278" t="s">
        <v>252</v>
      </c>
      <c r="Q278" s="61">
        <v>0.2</v>
      </c>
      <c r="R278" s="2">
        <f t="shared" si="75"/>
        <v>157353804.84796691</v>
      </c>
    </row>
    <row r="279" spans="1:19" x14ac:dyDescent="0.35">
      <c r="E279" s="6"/>
      <c r="M279" t="s">
        <v>245</v>
      </c>
      <c r="N279" s="61">
        <v>7.0000000000000007E-2</v>
      </c>
      <c r="O279" s="2">
        <f t="shared" si="74"/>
        <v>27536915.848394211</v>
      </c>
      <c r="P279" t="s">
        <v>300</v>
      </c>
      <c r="Q279" s="61">
        <v>0.15</v>
      </c>
      <c r="R279" s="2">
        <f t="shared" si="75"/>
        <v>118015353.63597518</v>
      </c>
    </row>
    <row r="280" spans="1:19" x14ac:dyDescent="0.35">
      <c r="E280" s="6"/>
      <c r="M280" t="s">
        <v>250</v>
      </c>
      <c r="N280" s="61">
        <v>0.03</v>
      </c>
      <c r="O280" s="2">
        <f t="shared" si="74"/>
        <v>11801535.363597518</v>
      </c>
      <c r="P280" s="104" t="s">
        <v>254</v>
      </c>
      <c r="Q280" s="61">
        <v>0.1</v>
      </c>
      <c r="R280" s="2">
        <f t="shared" si="75"/>
        <v>78676902.423983455</v>
      </c>
    </row>
    <row r="281" spans="1:19" x14ac:dyDescent="0.35">
      <c r="E281" s="6"/>
      <c r="N281" s="61"/>
      <c r="P281" t="s">
        <v>213</v>
      </c>
      <c r="Q281" s="61">
        <v>0</v>
      </c>
      <c r="R281" s="2">
        <f t="shared" si="75"/>
        <v>0</v>
      </c>
    </row>
    <row r="282" spans="1:19" s="158" customFormat="1" ht="28" customHeight="1" x14ac:dyDescent="0.35">
      <c r="A282" s="158" t="s">
        <v>370</v>
      </c>
      <c r="E282" s="191"/>
    </row>
    <row r="283" spans="1:19" ht="17.5" customHeight="1" x14ac:dyDescent="0.35">
      <c r="B283" s="2">
        <f>C283/1000000</f>
        <v>966.97674418604663</v>
      </c>
      <c r="C283" s="2">
        <f>C284</f>
        <v>966976744.1860466</v>
      </c>
      <c r="D283" s="2">
        <f>D284</f>
        <v>0.47291487532244192</v>
      </c>
      <c r="E283" s="6"/>
      <c r="F283" s="2">
        <f>F284</f>
        <v>460465.1162790698</v>
      </c>
    </row>
    <row r="284" spans="1:19" s="119" customFormat="1" x14ac:dyDescent="0.35">
      <c r="A284" s="119" t="s">
        <v>369</v>
      </c>
      <c r="B284" s="119">
        <f>2100</f>
        <v>2100</v>
      </c>
      <c r="C284" s="119">
        <f>B284*F284</f>
        <v>966976744.1860466</v>
      </c>
      <c r="D284" s="119">
        <f>'[1]GAP analysis Sc. 1'!$I$24</f>
        <v>0.47291487532244192</v>
      </c>
      <c r="E284" s="119">
        <f>'[2]Conversion factors selected IV '!$O$12</f>
        <v>0.97367441860465131</v>
      </c>
      <c r="F284" s="119">
        <f>D284*E284*1000000</f>
        <v>460465.1162790698</v>
      </c>
      <c r="G284" s="119">
        <f>'LCoP CONVENTIONAL'!B45</f>
        <v>2903</v>
      </c>
      <c r="H284" s="119">
        <f>G284*F284</f>
        <v>1336730232.5581396</v>
      </c>
      <c r="I284" s="119">
        <f>'LCoP CONVENTIONAL'!C45</f>
        <v>0.67550809507406129</v>
      </c>
      <c r="L284" s="119">
        <f>I284*H284</f>
        <v>902972093.02325583</v>
      </c>
      <c r="M284" s="119">
        <f>'LCoP CONVENTIONAL'!F45</f>
        <v>0.12952118498105408</v>
      </c>
      <c r="O284" s="119">
        <f>M284*H284</f>
        <v>173134883.72093025</v>
      </c>
      <c r="P284" s="119">
        <f>'LCoP CONVENTIONAL'!I45</f>
        <v>0.1949707199448846</v>
      </c>
      <c r="R284" s="119">
        <f>P284*H284</f>
        <v>260623255.81395349</v>
      </c>
      <c r="S284" s="119">
        <f>R284+O284+L284</f>
        <v>1336730232.5581396</v>
      </c>
    </row>
    <row r="285" spans="1:19" x14ac:dyDescent="0.35">
      <c r="H285" s="209" t="s">
        <v>292</v>
      </c>
      <c r="I285" s="18" t="s">
        <v>308</v>
      </c>
      <c r="J285" s="161" t="s">
        <v>211</v>
      </c>
      <c r="K285" s="61">
        <f>'Feedtstocks only CONVENTIONAL'!J37</f>
        <v>0.42676656092472537</v>
      </c>
      <c r="L285" s="104">
        <f>K285*L284</f>
        <v>385358294.75053608</v>
      </c>
      <c r="M285" t="s">
        <v>296</v>
      </c>
      <c r="N285" s="61">
        <v>0.55000000000000004</v>
      </c>
      <c r="O285" s="2">
        <f>N285*$O$284</f>
        <v>95224186.04651165</v>
      </c>
      <c r="P285" t="s">
        <v>298</v>
      </c>
      <c r="Q285" s="61">
        <v>0.4</v>
      </c>
      <c r="R285" s="2">
        <f>Q285*$R$284</f>
        <v>104249302.3255814</v>
      </c>
    </row>
    <row r="286" spans="1:19" x14ac:dyDescent="0.35">
      <c r="H286" s="208" t="s">
        <v>290</v>
      </c>
      <c r="I286" s="18" t="s">
        <v>309</v>
      </c>
      <c r="J286" s="161" t="s">
        <v>211</v>
      </c>
      <c r="K286" s="61">
        <f>'Feedtstocks only CONVENTIONAL'!J38</f>
        <v>0.28451104061648358</v>
      </c>
      <c r="L286" s="104">
        <f>K286*L284</f>
        <v>256905529.83369073</v>
      </c>
      <c r="M286" t="s">
        <v>297</v>
      </c>
      <c r="N286" s="61">
        <v>0.25</v>
      </c>
      <c r="O286" s="2">
        <f t="shared" ref="O286:O289" si="76">N286*$O$284</f>
        <v>43283720.930232562</v>
      </c>
      <c r="P286" t="s">
        <v>299</v>
      </c>
      <c r="Q286" s="61">
        <v>0.2</v>
      </c>
      <c r="R286" s="2">
        <f t="shared" ref="R286:R290" si="77">Q286*$R$284</f>
        <v>52124651.162790701</v>
      </c>
    </row>
    <row r="287" spans="1:19" x14ac:dyDescent="0.35">
      <c r="H287" s="209" t="s">
        <v>292</v>
      </c>
      <c r="I287" s="18" t="s">
        <v>307</v>
      </c>
      <c r="J287" s="161" t="s">
        <v>211</v>
      </c>
      <c r="K287" s="61">
        <f>'Feedtstocks only CONVENTIONAL'!J39</f>
        <v>0.288722398458791</v>
      </c>
      <c r="L287" s="104">
        <f>K287*L284</f>
        <v>260708268.43902895</v>
      </c>
      <c r="M287" t="s">
        <v>247</v>
      </c>
      <c r="N287" s="61">
        <v>0.1</v>
      </c>
      <c r="O287" s="2">
        <f t="shared" si="76"/>
        <v>17313488.372093026</v>
      </c>
      <c r="P287" t="s">
        <v>252</v>
      </c>
      <c r="Q287" s="61">
        <v>0.2</v>
      </c>
      <c r="R287" s="2">
        <f t="shared" si="77"/>
        <v>52124651.162790701</v>
      </c>
    </row>
    <row r="288" spans="1:19" x14ac:dyDescent="0.35">
      <c r="H288" s="18"/>
      <c r="I288" s="18"/>
      <c r="J288" s="18"/>
      <c r="K288" s="104">
        <f>SUM(K285:K287)</f>
        <v>1</v>
      </c>
      <c r="L288" s="104">
        <f>SUM(L285:L287)</f>
        <v>902972093.02325583</v>
      </c>
      <c r="M288" t="s">
        <v>245</v>
      </c>
      <c r="N288" s="61">
        <v>7.0000000000000007E-2</v>
      </c>
      <c r="O288" s="2">
        <f t="shared" si="76"/>
        <v>12119441.860465119</v>
      </c>
      <c r="P288" t="s">
        <v>300</v>
      </c>
      <c r="Q288" s="61">
        <v>0.15</v>
      </c>
      <c r="R288" s="2">
        <f t="shared" si="77"/>
        <v>39093488.372093022</v>
      </c>
    </row>
    <row r="289" spans="13:18" x14ac:dyDescent="0.35">
      <c r="M289" t="s">
        <v>250</v>
      </c>
      <c r="N289" s="61">
        <v>0.03</v>
      </c>
      <c r="O289" s="2">
        <f t="shared" si="76"/>
        <v>5194046.5116279069</v>
      </c>
      <c r="P289" s="216" t="s">
        <v>254</v>
      </c>
      <c r="Q289" s="61">
        <v>0.05</v>
      </c>
      <c r="R289" s="2">
        <f t="shared" si="77"/>
        <v>13031162.790697675</v>
      </c>
    </row>
    <row r="290" spans="13:18" x14ac:dyDescent="0.35">
      <c r="P290" t="s">
        <v>213</v>
      </c>
      <c r="Q290" s="61">
        <v>0</v>
      </c>
      <c r="R290" s="2">
        <f t="shared" si="77"/>
        <v>0</v>
      </c>
    </row>
  </sheetData>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E0B6-AD04-48A8-83DE-0DE3D8AD46D0}">
  <sheetPr>
    <tabColor theme="5" tint="0.59999389629810485"/>
  </sheetPr>
  <dimension ref="A1:T292"/>
  <sheetViews>
    <sheetView topLeftCell="A72" zoomScale="77" zoomScaleNormal="77" workbookViewId="0">
      <selection activeCell="G91" sqref="G91"/>
    </sheetView>
  </sheetViews>
  <sheetFormatPr baseColWidth="10" defaultRowHeight="14.5" x14ac:dyDescent="0.35"/>
  <cols>
    <col min="1" max="1" width="20.26953125" customWidth="1"/>
    <col min="2" max="2" width="15.7265625" customWidth="1"/>
    <col min="3" max="3" width="20.26953125" customWidth="1"/>
    <col min="4" max="4" width="17" customWidth="1"/>
    <col min="5" max="5" width="17.6328125" customWidth="1"/>
    <col min="6" max="6" width="23" style="1" customWidth="1"/>
    <col min="7" max="7" width="18.1796875" customWidth="1"/>
    <col min="8" max="8" width="22" customWidth="1"/>
    <col min="10" max="10" width="13.26953125" customWidth="1"/>
    <col min="11" max="11" width="10.453125" customWidth="1"/>
    <col min="12" max="12" width="19" customWidth="1"/>
    <col min="13" max="13" width="15.7265625" bestFit="1" customWidth="1"/>
    <col min="14" max="14" width="14.7265625" bestFit="1" customWidth="1"/>
    <col min="15" max="15" width="22.81640625" customWidth="1"/>
    <col min="16" max="17" width="14.7265625" bestFit="1" customWidth="1"/>
    <col min="18" max="18" width="20.54296875" customWidth="1"/>
    <col min="19" max="19" width="19.1796875" customWidth="1"/>
  </cols>
  <sheetData>
    <row r="1" spans="1:19" s="48" customFormat="1" ht="24" customHeight="1" x14ac:dyDescent="0.35">
      <c r="A1" s="48" t="s">
        <v>352</v>
      </c>
      <c r="F1" s="241"/>
    </row>
    <row r="2" spans="1:19" s="48" customFormat="1" ht="24" customHeight="1" x14ac:dyDescent="0.35">
      <c r="A2" s="48" t="s">
        <v>326</v>
      </c>
      <c r="F2" s="241"/>
    </row>
    <row r="3" spans="1:19" s="48" customFormat="1" ht="24" customHeight="1" x14ac:dyDescent="0.35">
      <c r="A3" s="48" t="s">
        <v>354</v>
      </c>
      <c r="E3" s="48" t="s">
        <v>353</v>
      </c>
      <c r="F3" s="241"/>
    </row>
    <row r="4" spans="1:19" ht="19" customHeight="1" x14ac:dyDescent="0.35"/>
    <row r="5" spans="1:19" s="49" customFormat="1" ht="37" customHeight="1" x14ac:dyDescent="0.35">
      <c r="B5" s="49" t="s">
        <v>404</v>
      </c>
      <c r="C5" s="49" t="s">
        <v>405</v>
      </c>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187" customFormat="1" ht="37" customHeight="1" x14ac:dyDescent="0.35">
      <c r="A6" s="187" t="s">
        <v>387</v>
      </c>
      <c r="D6" s="252">
        <f>D8+D48+D90+D123+D173</f>
        <v>18.590301440390018</v>
      </c>
      <c r="F6" s="251"/>
      <c r="I6" s="200"/>
      <c r="M6" s="200"/>
      <c r="P6" s="200"/>
    </row>
    <row r="7" spans="1:19" s="93" customFormat="1" ht="40" customHeight="1" x14ac:dyDescent="0.35">
      <c r="A7" s="93" t="s">
        <v>104</v>
      </c>
      <c r="F7" s="176"/>
    </row>
    <row r="8" spans="1:19" s="217" customFormat="1" x14ac:dyDescent="0.35">
      <c r="A8" s="217" t="s">
        <v>189</v>
      </c>
      <c r="B8" s="299">
        <f>C8/1000000</f>
        <v>9549.6752428228028</v>
      </c>
      <c r="C8" s="221">
        <f>C28+C9+C16</f>
        <v>9549675242.8228035</v>
      </c>
      <c r="D8" s="221">
        <f>D28+D9+D16</f>
        <v>5.6702448562380097</v>
      </c>
      <c r="F8" s="221">
        <f>F28+F9+F16</f>
        <v>5456957.2816130305</v>
      </c>
      <c r="H8" s="221">
        <f>H28+H9+H16</f>
        <v>12899644788.333782</v>
      </c>
      <c r="L8" s="224">
        <f>L28+L9+L16</f>
        <v>1600387345.7993112</v>
      </c>
      <c r="M8" s="224"/>
      <c r="N8" s="224"/>
      <c r="O8" s="224">
        <f>O9+O16+O28</f>
        <v>6724305643.4811878</v>
      </c>
      <c r="P8" s="235"/>
      <c r="Q8" s="224"/>
      <c r="R8" s="224">
        <f>R9+R16+R28</f>
        <v>4574951799.0532818</v>
      </c>
    </row>
    <row r="9" spans="1:19" s="218" customFormat="1" x14ac:dyDescent="0.35">
      <c r="A9" s="218" t="s">
        <v>334</v>
      </c>
      <c r="B9" s="218">
        <v>1750</v>
      </c>
      <c r="C9" s="219">
        <f>B9*F9</f>
        <v>519639328.05006069</v>
      </c>
      <c r="D9" s="220">
        <f>'[1]GAP analysis Sc. 2'!$N$123</f>
        <v>0.3120573562380089</v>
      </c>
      <c r="E9" s="225">
        <f>'[2]Conversion factors selected IV '!$O$7</f>
        <v>0.95154545454545458</v>
      </c>
      <c r="F9" s="219">
        <f>D9*E9*1000000</f>
        <v>296936.75888574898</v>
      </c>
      <c r="G9" s="225">
        <f>'LCoP 2030 HIGH'!E3</f>
        <v>1281.9315183199119</v>
      </c>
      <c r="H9" s="219">
        <f>G9*F9</f>
        <v>380652590.16340178</v>
      </c>
      <c r="I9" s="218">
        <f>'LCoP 2030 HIGH'!H3</f>
        <v>0.47423088490457077</v>
      </c>
      <c r="L9" s="219">
        <f>I9*H9</f>
        <v>180517214.67440695</v>
      </c>
      <c r="M9" s="287">
        <f>'LCoP 2030 HIGH'!F3</f>
        <v>0.20983960231553478</v>
      </c>
      <c r="O9" s="219">
        <f>M9*H9</f>
        <v>79875988.140266478</v>
      </c>
      <c r="P9" s="288">
        <f>'LCoP 2030 HIGH'!G3</f>
        <v>0.31592951277989439</v>
      </c>
      <c r="R9" s="219">
        <f>P9*H9</f>
        <v>120259387.34872834</v>
      </c>
      <c r="S9" s="219">
        <f>L9+O9+R9</f>
        <v>380652590.16340178</v>
      </c>
    </row>
    <row r="10" spans="1:19" x14ac:dyDescent="0.35">
      <c r="C10">
        <f>C9/C8</f>
        <v>5.4414345497309252E-2</v>
      </c>
      <c r="F10" s="154" t="s">
        <v>212</v>
      </c>
      <c r="G10" s="299">
        <f>(SUMIF($J$10:$J$12,F10,$L$10:$L$12)/$L$9)</f>
        <v>0.21075508846848423</v>
      </c>
      <c r="I10" s="104" t="s">
        <v>162</v>
      </c>
      <c r="J10" s="154" t="s">
        <v>212</v>
      </c>
      <c r="K10" s="2">
        <f>'Feedstock MIX per IVC'!J6</f>
        <v>128.12466092629296</v>
      </c>
      <c r="L10" s="1">
        <f>K10*F$9</f>
        <v>38044921.548788995</v>
      </c>
      <c r="M10" s="5" t="s">
        <v>245</v>
      </c>
      <c r="N10" s="285">
        <v>0.05</v>
      </c>
      <c r="O10" s="2">
        <f t="shared" ref="O10:O15" si="0">N10*O$9</f>
        <v>3993799.4070133241</v>
      </c>
      <c r="P10" s="18" t="s">
        <v>251</v>
      </c>
      <c r="Q10" s="285">
        <v>0.35</v>
      </c>
      <c r="R10" s="104">
        <f>Q10*R$9</f>
        <v>42090785.572054915</v>
      </c>
    </row>
    <row r="11" spans="1:19" x14ac:dyDescent="0.35">
      <c r="F11" s="158" t="s">
        <v>104</v>
      </c>
      <c r="G11" s="299">
        <f>(SUMIF($J$10:$J$12,F11,$L$10:$L$12)/$L$9)/2</f>
        <v>0.33542908740089417</v>
      </c>
      <c r="I11" s="233" t="s">
        <v>341</v>
      </c>
      <c r="J11" s="158" t="s">
        <v>104</v>
      </c>
      <c r="K11" s="6">
        <f>'Feedstock MIX per IVC'!J7*0.85</f>
        <v>407.83582878457599</v>
      </c>
      <c r="L11" s="1">
        <f t="shared" ref="L11:L12" si="1">K11*F$9</f>
        <v>121101449.15677525</v>
      </c>
      <c r="M11" t="s">
        <v>246</v>
      </c>
      <c r="N11" s="285">
        <v>0.02</v>
      </c>
      <c r="O11" s="2">
        <f t="shared" si="0"/>
        <v>1597519.7628053296</v>
      </c>
      <c r="P11" s="18" t="s">
        <v>210</v>
      </c>
      <c r="Q11" s="285">
        <v>0.25</v>
      </c>
      <c r="R11" s="104">
        <f t="shared" ref="R11:R14" si="2">Q11*R$9</f>
        <v>30064846.837182086</v>
      </c>
    </row>
    <row r="12" spans="1:19" x14ac:dyDescent="0.35">
      <c r="F12" s="259" t="s">
        <v>210</v>
      </c>
      <c r="G12" s="299">
        <f t="shared" ref="G12" si="3">(SUMIF($J$10:$J$12,F12,$L$10:$L$12)/$L$9)</f>
        <v>0.11838673672972734</v>
      </c>
      <c r="I12" s="234" t="s">
        <v>357</v>
      </c>
      <c r="J12" s="259" t="s">
        <v>210</v>
      </c>
      <c r="K12" s="79">
        <f>'Feedstock MIX per IVC'!J7*0.15</f>
        <v>71.971028609042818</v>
      </c>
      <c r="L12" s="1">
        <f t="shared" si="1"/>
        <v>21370843.968842689</v>
      </c>
      <c r="M12" s="5" t="s">
        <v>244</v>
      </c>
      <c r="N12" s="285">
        <v>0.45</v>
      </c>
      <c r="O12" s="2">
        <f t="shared" si="0"/>
        <v>35944194.66311992</v>
      </c>
      <c r="P12" s="18" t="s">
        <v>252</v>
      </c>
      <c r="Q12" s="285">
        <v>0.2</v>
      </c>
      <c r="R12" s="104">
        <f t="shared" si="2"/>
        <v>24051877.46974567</v>
      </c>
      <c r="S12" s="2"/>
    </row>
    <row r="13" spans="1:19" x14ac:dyDescent="0.35">
      <c r="F13" t="s">
        <v>426</v>
      </c>
      <c r="G13" s="299">
        <f>G11</f>
        <v>0.33542908740089417</v>
      </c>
      <c r="L13" s="2"/>
      <c r="M13" t="s">
        <v>247</v>
      </c>
      <c r="N13" s="285">
        <v>0.15</v>
      </c>
      <c r="O13" s="2">
        <f t="shared" si="0"/>
        <v>11981398.221039971</v>
      </c>
      <c r="P13" s="18" t="s">
        <v>253</v>
      </c>
      <c r="Q13" s="285">
        <v>0.15</v>
      </c>
      <c r="R13" s="104">
        <f t="shared" si="2"/>
        <v>18038908.102309249</v>
      </c>
    </row>
    <row r="14" spans="1:19" x14ac:dyDescent="0.35">
      <c r="F14"/>
      <c r="G14" s="2">
        <f>SUM(G10:G13)</f>
        <v>0.99999999999999989</v>
      </c>
      <c r="M14" t="s">
        <v>248</v>
      </c>
      <c r="N14" s="285">
        <v>0.3</v>
      </c>
      <c r="O14" s="2">
        <f t="shared" si="0"/>
        <v>23962796.442079943</v>
      </c>
      <c r="P14" s="18" t="s">
        <v>254</v>
      </c>
      <c r="Q14" s="285">
        <v>0.05</v>
      </c>
      <c r="R14" s="104">
        <f t="shared" si="2"/>
        <v>6012969.3674364174</v>
      </c>
    </row>
    <row r="15" spans="1:19" x14ac:dyDescent="0.35">
      <c r="F15" s="31"/>
      <c r="I15" t="s">
        <v>361</v>
      </c>
      <c r="L15" s="2">
        <f>SUM(L10:L12)</f>
        <v>180517214.67440695</v>
      </c>
      <c r="M15" t="s">
        <v>250</v>
      </c>
      <c r="N15" s="285">
        <v>0.03</v>
      </c>
      <c r="O15" s="2">
        <f t="shared" si="0"/>
        <v>2396279.6442079945</v>
      </c>
      <c r="P15" s="18"/>
      <c r="Q15" s="285"/>
      <c r="R15" s="104"/>
    </row>
    <row r="16" spans="1:19" s="218" customFormat="1" x14ac:dyDescent="0.35">
      <c r="A16" s="218" t="s">
        <v>356</v>
      </c>
      <c r="B16" s="218">
        <v>1750</v>
      </c>
      <c r="C16" s="219">
        <f>B16*F16</f>
        <v>6810270289.7727432</v>
      </c>
      <c r="D16" s="225">
        <f>'[1]GAP analysis Sc. 2'!$N$124</f>
        <v>4.0897500000000004</v>
      </c>
      <c r="E16" s="227">
        <f>'[2]Conversion factors selected IV '!$O$64</f>
        <v>0.95154545454545658</v>
      </c>
      <c r="F16" s="219">
        <f>D16*E16*1000000</f>
        <v>3891583.0227272818</v>
      </c>
      <c r="G16" s="220">
        <f>'LCoP 2030 HIGH'!E16</f>
        <v>2696.2989825009467</v>
      </c>
      <c r="H16" s="219">
        <f>G16*F16</f>
        <v>10492871344.497528</v>
      </c>
      <c r="I16" s="218">
        <f>'LCoP 2030 HIGH'!H16</f>
        <v>0.10989099666763039</v>
      </c>
      <c r="L16" s="219">
        <f>I16*H16</f>
        <v>1153072089.9520521</v>
      </c>
      <c r="M16" s="287">
        <f>'LCoP 2030 HIGH'!F16</f>
        <v>0.53591979575636417</v>
      </c>
      <c r="O16" s="219">
        <f>M16*H16</f>
        <v>5623337467.8409214</v>
      </c>
      <c r="P16" s="287">
        <f>'LCoP 2030 HIGH'!G16</f>
        <v>0.35418920757600542</v>
      </c>
      <c r="R16" s="219">
        <f>P16*H16</f>
        <v>3716461786.7045541</v>
      </c>
      <c r="S16" s="219">
        <f>L16+O16+R16</f>
        <v>10492871344.497528</v>
      </c>
    </row>
    <row r="17" spans="1:19" x14ac:dyDescent="0.35">
      <c r="C17">
        <f>C16/C8</f>
        <v>0.7131415589122887</v>
      </c>
      <c r="F17" s="154" t="s">
        <v>212</v>
      </c>
      <c r="G17" s="299">
        <f>(SUMIF($J$17:$J$26,F17,$L$17:$L$26)/$L$16)</f>
        <v>0.62196372246280818</v>
      </c>
      <c r="I17" s="5" t="s">
        <v>5</v>
      </c>
      <c r="J17" s="154" t="s">
        <v>212</v>
      </c>
      <c r="K17" s="6">
        <f>'Feedstock MIX per IVC'!J63</f>
        <v>161.99071681613452</v>
      </c>
      <c r="L17" s="2">
        <f>K17*F$16</f>
        <v>630400323.40109193</v>
      </c>
      <c r="M17" s="5" t="s">
        <v>245</v>
      </c>
      <c r="N17" s="282">
        <v>0</v>
      </c>
      <c r="O17" s="2">
        <f t="shared" ref="O17:O22" si="4">N17*O$16</f>
        <v>0</v>
      </c>
      <c r="P17" s="18" t="s">
        <v>251</v>
      </c>
      <c r="Q17" s="282">
        <v>0.25</v>
      </c>
      <c r="R17" s="104">
        <f>Q17*R$16</f>
        <v>929115446.67613852</v>
      </c>
    </row>
    <row r="18" spans="1:19" x14ac:dyDescent="0.35">
      <c r="F18" s="178" t="s">
        <v>256</v>
      </c>
      <c r="G18" s="299">
        <f>(SUMIF($J$17:$J$26,F18,$L$17:$L$26)/$L$16)</f>
        <v>0.14870340073720051</v>
      </c>
      <c r="I18" s="5" t="s">
        <v>6</v>
      </c>
      <c r="J18" s="154" t="s">
        <v>212</v>
      </c>
      <c r="K18" s="6">
        <f>'Feedstock MIX per IVC'!J64</f>
        <v>8.4731123300720981</v>
      </c>
      <c r="L18" s="2">
        <f t="shared" ref="L18:L25" si="5">K18*F$16</f>
        <v>32973820.093369778</v>
      </c>
      <c r="M18" t="s">
        <v>246</v>
      </c>
      <c r="N18" s="282">
        <v>0.02</v>
      </c>
      <c r="O18" s="2">
        <f t="shared" si="4"/>
        <v>112466749.35681844</v>
      </c>
      <c r="P18" s="18" t="s">
        <v>210</v>
      </c>
      <c r="Q18" s="282">
        <v>0.15</v>
      </c>
      <c r="R18" s="104">
        <f t="shared" ref="R18:R21" si="6">Q18*R$16</f>
        <v>557469268.00568306</v>
      </c>
    </row>
    <row r="19" spans="1:19" x14ac:dyDescent="0.35">
      <c r="F19" s="156" t="s">
        <v>209</v>
      </c>
      <c r="G19" s="299">
        <f t="shared" ref="G19:G23" si="7">(SUMIF($J$17:$J$26,F19,$L$17:$L$26)/$L$16)</f>
        <v>0.18227673609670508</v>
      </c>
      <c r="I19" s="5" t="s">
        <v>23</v>
      </c>
      <c r="J19" s="159" t="s">
        <v>213</v>
      </c>
      <c r="K19" s="6">
        <f>'Feedstock MIX per IVC'!J65</f>
        <v>0</v>
      </c>
      <c r="L19" s="2">
        <f t="shared" si="5"/>
        <v>0</v>
      </c>
      <c r="M19" s="5" t="s">
        <v>244</v>
      </c>
      <c r="N19" s="282">
        <v>0.55000000000000004</v>
      </c>
      <c r="O19" s="2">
        <f t="shared" si="4"/>
        <v>3092835607.3125072</v>
      </c>
      <c r="P19" s="18" t="s">
        <v>252</v>
      </c>
      <c r="Q19" s="282">
        <v>0.3</v>
      </c>
      <c r="R19" s="104">
        <f t="shared" si="6"/>
        <v>1114938536.0113661</v>
      </c>
    </row>
    <row r="20" spans="1:19" x14ac:dyDescent="0.35">
      <c r="F20" s="157" t="s">
        <v>211</v>
      </c>
      <c r="G20" s="299">
        <f>(SUMIF($J$17:$J$26,F20,$L$17:$L$26)/$L$16)</f>
        <v>1.4502396500953602E-2</v>
      </c>
      <c r="I20" s="5" t="s">
        <v>7</v>
      </c>
      <c r="J20" s="157" t="s">
        <v>211</v>
      </c>
      <c r="K20" s="6">
        <f>'Feedstock MIX per IVC'!J66</f>
        <v>4.2970453270578419</v>
      </c>
      <c r="L20" s="2">
        <f t="shared" si="5"/>
        <v>16722308.642667897</v>
      </c>
      <c r="M20" t="s">
        <v>247</v>
      </c>
      <c r="N20" s="282">
        <v>0.1</v>
      </c>
      <c r="O20" s="2">
        <f t="shared" si="4"/>
        <v>562333746.78409219</v>
      </c>
      <c r="P20" s="18" t="s">
        <v>253</v>
      </c>
      <c r="Q20" s="282">
        <v>0.3</v>
      </c>
      <c r="R20" s="104">
        <f t="shared" si="6"/>
        <v>1114938536.0113661</v>
      </c>
    </row>
    <row r="21" spans="1:19" x14ac:dyDescent="0.35">
      <c r="F21" s="159" t="s">
        <v>213</v>
      </c>
      <c r="G21" s="299">
        <f t="shared" si="7"/>
        <v>0</v>
      </c>
      <c r="I21" s="5" t="s">
        <v>8</v>
      </c>
      <c r="J21" s="154" t="s">
        <v>212</v>
      </c>
      <c r="K21" s="6">
        <f>'Feedstock MIX per IVC'!J67</f>
        <v>8.1190082289891219</v>
      </c>
      <c r="L21" s="2">
        <f t="shared" si="5"/>
        <v>31595794.585317161</v>
      </c>
      <c r="M21" t="s">
        <v>248</v>
      </c>
      <c r="N21" s="282">
        <v>0.3</v>
      </c>
      <c r="O21" s="2">
        <f t="shared" si="4"/>
        <v>1687001240.3522763</v>
      </c>
      <c r="P21" s="18" t="s">
        <v>254</v>
      </c>
      <c r="Q21" s="282">
        <v>0</v>
      </c>
      <c r="R21" s="104">
        <f t="shared" si="6"/>
        <v>0</v>
      </c>
    </row>
    <row r="22" spans="1:19" x14ac:dyDescent="0.35">
      <c r="F22" s="158" t="s">
        <v>104</v>
      </c>
      <c r="G22" s="299">
        <f>(SUMIF($J$17:$J$26,F22,$L$17:$L$26)/$L$16)/2</f>
        <v>1.6276872101166396E-2</v>
      </c>
      <c r="I22" s="5" t="s">
        <v>9</v>
      </c>
      <c r="J22" s="154" t="s">
        <v>212</v>
      </c>
      <c r="K22" s="6">
        <f>'Feedstock MIX per IVC'!J68</f>
        <v>5.7043807430355322</v>
      </c>
      <c r="L22" s="2">
        <f t="shared" si="5"/>
        <v>22199071.254769515</v>
      </c>
      <c r="M22" t="s">
        <v>250</v>
      </c>
      <c r="N22" s="282">
        <v>0.03</v>
      </c>
      <c r="O22" s="2">
        <f t="shared" si="4"/>
        <v>168700124.03522763</v>
      </c>
      <c r="R22" s="104"/>
    </row>
    <row r="23" spans="1:19" x14ac:dyDescent="0.35">
      <c r="F23" s="258" t="s">
        <v>210</v>
      </c>
      <c r="G23" s="299">
        <f t="shared" si="7"/>
        <v>0</v>
      </c>
      <c r="I23" s="5" t="s">
        <v>10</v>
      </c>
      <c r="J23" s="178" t="s">
        <v>256</v>
      </c>
      <c r="K23" s="6">
        <f>'Feedstock MIX per IVC'!J69</f>
        <v>44.060666332863036</v>
      </c>
      <c r="L23" s="2">
        <f t="shared" si="5"/>
        <v>171465741.07102132</v>
      </c>
      <c r="N23" s="123"/>
      <c r="O23" s="2"/>
      <c r="P23" s="18"/>
      <c r="Q23" s="123"/>
      <c r="R23" s="2"/>
    </row>
    <row r="24" spans="1:19" x14ac:dyDescent="0.35">
      <c r="F24" s="207" t="s">
        <v>105</v>
      </c>
      <c r="G24" s="299">
        <f>G22</f>
        <v>1.6276872101166396E-2</v>
      </c>
      <c r="I24" s="5" t="s">
        <v>11</v>
      </c>
      <c r="J24" s="156" t="s">
        <v>209</v>
      </c>
      <c r="K24" s="6">
        <f>'Feedstock MIX per IVC'!J70</f>
        <v>54.0084114390473</v>
      </c>
      <c r="L24" s="2">
        <f t="shared" si="5"/>
        <v>210178217.0406664</v>
      </c>
      <c r="N24" s="123"/>
      <c r="O24" s="2"/>
      <c r="P24" s="18"/>
      <c r="Q24" s="123"/>
      <c r="R24" s="104"/>
    </row>
    <row r="25" spans="1:19" x14ac:dyDescent="0.35">
      <c r="F25" s="31"/>
      <c r="G25" s="2">
        <f>SUM(G17:G24)</f>
        <v>1</v>
      </c>
      <c r="I25" s="5" t="s">
        <v>12</v>
      </c>
      <c r="J25" s="159" t="s">
        <v>213</v>
      </c>
      <c r="K25" s="6">
        <f>'Feedstock MIX per IVC'!J71</f>
        <v>0</v>
      </c>
      <c r="L25" s="2">
        <f t="shared" si="5"/>
        <v>0</v>
      </c>
      <c r="M25" s="2"/>
      <c r="N25" s="123"/>
      <c r="O25" s="2"/>
      <c r="P25" s="18"/>
      <c r="Q25" s="123"/>
      <c r="R25" s="104"/>
    </row>
    <row r="26" spans="1:19" x14ac:dyDescent="0.35">
      <c r="F26" s="31"/>
      <c r="H26" s="299"/>
      <c r="I26" s="13" t="s">
        <v>33</v>
      </c>
      <c r="J26" s="158" t="s">
        <v>104</v>
      </c>
      <c r="K26" s="6">
        <f>'Feedstock MIX per IVC'!J72</f>
        <v>9.6456412837472971</v>
      </c>
      <c r="L26" s="2">
        <f>K26*F$16</f>
        <v>37536813.863148369</v>
      </c>
      <c r="M26" s="2"/>
      <c r="N26" s="123"/>
      <c r="O26" s="2"/>
      <c r="P26" s="18"/>
      <c r="Q26" s="123"/>
      <c r="R26" s="104"/>
    </row>
    <row r="27" spans="1:19" x14ac:dyDescent="0.35">
      <c r="F27" s="31"/>
      <c r="H27" s="299"/>
      <c r="I27" t="s">
        <v>361</v>
      </c>
      <c r="K27" s="6"/>
      <c r="L27" s="2">
        <f>SUM(L17:L26)</f>
        <v>1153072089.9520524</v>
      </c>
      <c r="M27" s="2"/>
      <c r="N27" s="123"/>
      <c r="O27" s="2"/>
      <c r="P27" s="18"/>
      <c r="Q27" s="123"/>
      <c r="R27" s="104"/>
    </row>
    <row r="28" spans="1:19" s="218" customFormat="1" x14ac:dyDescent="0.35">
      <c r="A28" s="218" t="s">
        <v>335</v>
      </c>
      <c r="B28" s="218">
        <v>1750</v>
      </c>
      <c r="C28" s="219">
        <f>B28*F28</f>
        <v>2219765625</v>
      </c>
      <c r="D28" s="220">
        <f>'[1]GAP analysis Sc. 2'!$N$125</f>
        <v>1.2684375000000001</v>
      </c>
      <c r="E28" s="218">
        <f>'[2]Conversion factors selected IV '!$O$89</f>
        <v>1</v>
      </c>
      <c r="F28" s="219">
        <f>D28*E28*1000000</f>
        <v>1268437.5</v>
      </c>
      <c r="G28" s="225">
        <f>'LCoP 2030 HIGH'!E20</f>
        <v>1597.3359772734975</v>
      </c>
      <c r="H28" s="300">
        <f>G28*F28</f>
        <v>2026120853.672852</v>
      </c>
      <c r="I28" s="218">
        <f>'LCoP 2030 HIGH'!H20</f>
        <v>0.13167923359024397</v>
      </c>
      <c r="L28" s="219">
        <f>I28*H28</f>
        <v>266798041.17285201</v>
      </c>
      <c r="M28" s="287">
        <f>'LCoP 2030 HIGH'!F20</f>
        <v>0.50396410739715469</v>
      </c>
      <c r="O28" s="219">
        <f>M28*H28</f>
        <v>1021092187.5</v>
      </c>
      <c r="P28" s="288">
        <f>'LCoP 2030 HIGH'!G20</f>
        <v>0.36435665901260128</v>
      </c>
      <c r="R28" s="219">
        <f>P28*H28</f>
        <v>738230625</v>
      </c>
      <c r="S28" s="219">
        <f>L28+O28+R28</f>
        <v>2026120853.672852</v>
      </c>
    </row>
    <row r="29" spans="1:19" x14ac:dyDescent="0.35">
      <c r="C29" s="282">
        <f>C28/C8</f>
        <v>0.23244409559040208</v>
      </c>
      <c r="D29" s="2"/>
      <c r="F29" s="154" t="s">
        <v>212</v>
      </c>
      <c r="G29" s="299">
        <f>(SUMIF($J$29:$J$36,F29,$L$29:$L$36)/$L$28)</f>
        <v>0.62730453013416398</v>
      </c>
      <c r="I29" s="12" t="s">
        <v>5</v>
      </c>
      <c r="J29" s="154" t="s">
        <v>212</v>
      </c>
      <c r="K29" s="6">
        <f>'Feedstock MIX per IVC'!J89</f>
        <v>115.98101375146399</v>
      </c>
      <c r="L29" s="2">
        <f>K29*F$28</f>
        <v>147114667.13037261</v>
      </c>
      <c r="M29" s="5" t="s">
        <v>245</v>
      </c>
      <c r="N29" s="286">
        <v>0.15</v>
      </c>
      <c r="O29" s="2">
        <f t="shared" ref="O29:O34" si="8">N29*O$28</f>
        <v>153163828.125</v>
      </c>
      <c r="P29" s="18" t="s">
        <v>251</v>
      </c>
      <c r="Q29" s="285">
        <v>0.15</v>
      </c>
      <c r="R29" s="2">
        <f>Q29*R$28</f>
        <v>110734593.75</v>
      </c>
    </row>
    <row r="30" spans="1:19" x14ac:dyDescent="0.35">
      <c r="D30" s="2"/>
      <c r="F30" s="178" t="s">
        <v>256</v>
      </c>
      <c r="G30" s="299">
        <f>(SUMIF($J$29:$J$36,F30,$L$29:$L$36)/$L$28)</f>
        <v>0.16087373181247039</v>
      </c>
      <c r="I30" s="12" t="s">
        <v>6</v>
      </c>
      <c r="J30" s="154" t="s">
        <v>212</v>
      </c>
      <c r="K30" s="6">
        <f>'Feedstock MIX per IVC'!J90</f>
        <v>6.0665214463321062</v>
      </c>
      <c r="L30" s="2">
        <f t="shared" ref="L30:L36" si="9">K30*F$28</f>
        <v>7695003.2970818812</v>
      </c>
      <c r="M30" t="s">
        <v>246</v>
      </c>
      <c r="N30" s="282">
        <v>0.02</v>
      </c>
      <c r="O30" s="2">
        <f t="shared" si="8"/>
        <v>20421843.75</v>
      </c>
      <c r="P30" s="18" t="s">
        <v>210</v>
      </c>
      <c r="Q30" s="285">
        <v>0.25</v>
      </c>
      <c r="R30" s="2">
        <f t="shared" ref="R30:R33" si="10">Q30*R$28</f>
        <v>184557656.25</v>
      </c>
    </row>
    <row r="31" spans="1:19" x14ac:dyDescent="0.35">
      <c r="D31" s="2"/>
      <c r="F31" s="156" t="s">
        <v>209</v>
      </c>
      <c r="G31" s="299">
        <f t="shared" ref="G31:G35" si="11">(SUMIF($J$29:$J$36,F31,$L$29:$L$36)/$L$28)</f>
        <v>0.19719480935272266</v>
      </c>
      <c r="I31" s="12" t="s">
        <v>7</v>
      </c>
      <c r="J31" s="157" t="s">
        <v>211</v>
      </c>
      <c r="K31" s="6">
        <f>'Feedstock MIX per IVC'!J91</f>
        <v>3.0765693427595271</v>
      </c>
      <c r="L31" s="2">
        <f t="shared" si="9"/>
        <v>3902435.9257065374</v>
      </c>
      <c r="M31" s="5" t="s">
        <v>244</v>
      </c>
      <c r="N31" s="286">
        <v>0.45</v>
      </c>
      <c r="O31" s="2">
        <f t="shared" si="8"/>
        <v>459491484.375</v>
      </c>
      <c r="P31" s="18" t="s">
        <v>252</v>
      </c>
      <c r="Q31" s="285">
        <v>0.2</v>
      </c>
      <c r="R31" s="2">
        <f t="shared" si="10"/>
        <v>147646125</v>
      </c>
    </row>
    <row r="32" spans="1:19" x14ac:dyDescent="0.35">
      <c r="D32" s="2"/>
      <c r="F32" s="157" t="s">
        <v>211</v>
      </c>
      <c r="G32" s="299">
        <f t="shared" si="11"/>
        <v>1.4626928700643058E-2</v>
      </c>
      <c r="I32" s="12" t="s">
        <v>8</v>
      </c>
      <c r="J32" s="154" t="s">
        <v>212</v>
      </c>
      <c r="K32" s="6">
        <f>'Feedstock MIX per IVC'!J92</f>
        <v>5.8129923958756571</v>
      </c>
      <c r="L32" s="2">
        <f t="shared" si="9"/>
        <v>7373417.5421435283</v>
      </c>
      <c r="M32" t="s">
        <v>247</v>
      </c>
      <c r="N32" s="282">
        <v>0.1</v>
      </c>
      <c r="O32" s="2">
        <f t="shared" si="8"/>
        <v>102109218.75</v>
      </c>
      <c r="P32" s="18" t="s">
        <v>253</v>
      </c>
      <c r="Q32" s="285">
        <v>0.3</v>
      </c>
      <c r="R32" s="2">
        <f t="shared" si="10"/>
        <v>221469187.5</v>
      </c>
      <c r="S32" s="2"/>
    </row>
    <row r="33" spans="1:19" x14ac:dyDescent="0.35">
      <c r="D33" s="2"/>
      <c r="F33" s="159" t="s">
        <v>213</v>
      </c>
      <c r="G33" s="299">
        <f t="shared" si="11"/>
        <v>0</v>
      </c>
      <c r="I33" s="12" t="s">
        <v>9</v>
      </c>
      <c r="J33" s="154" t="s">
        <v>212</v>
      </c>
      <c r="K33" s="6">
        <f>'Feedstock MIX per IVC'!J93</f>
        <v>4.0841838001898028</v>
      </c>
      <c r="L33" s="2">
        <f t="shared" si="9"/>
        <v>5180531.8890532525</v>
      </c>
      <c r="M33" t="s">
        <v>248</v>
      </c>
      <c r="N33" s="282">
        <v>0.25</v>
      </c>
      <c r="O33" s="2">
        <f t="shared" si="8"/>
        <v>255273046.875</v>
      </c>
      <c r="P33" s="18" t="s">
        <v>254</v>
      </c>
      <c r="Q33" s="285">
        <v>0.1</v>
      </c>
      <c r="R33" s="2">
        <f t="shared" si="10"/>
        <v>73823062.5</v>
      </c>
    </row>
    <row r="34" spans="1:19" x14ac:dyDescent="0.35">
      <c r="D34" s="2"/>
      <c r="F34" s="158" t="s">
        <v>104</v>
      </c>
      <c r="G34" s="299">
        <f t="shared" si="11"/>
        <v>0</v>
      </c>
      <c r="I34" s="12" t="s">
        <v>10</v>
      </c>
      <c r="J34" s="178" t="s">
        <v>256</v>
      </c>
      <c r="K34" s="6">
        <f>'Feedstock MIX per IVC'!J94</f>
        <v>33.837533598410502</v>
      </c>
      <c r="L34" s="2">
        <f t="shared" si="9"/>
        <v>42920796.523733824</v>
      </c>
      <c r="M34" t="s">
        <v>250</v>
      </c>
      <c r="N34" s="282">
        <v>0.03</v>
      </c>
      <c r="O34" s="2">
        <f t="shared" si="8"/>
        <v>30632765.625</v>
      </c>
      <c r="P34" s="18"/>
      <c r="Q34" s="285">
        <f>SUM(Q29:Q33)</f>
        <v>1.0000000000000002</v>
      </c>
      <c r="R34" s="2"/>
    </row>
    <row r="35" spans="1:19" x14ac:dyDescent="0.35">
      <c r="D35" s="2"/>
      <c r="F35" s="258" t="s">
        <v>210</v>
      </c>
      <c r="G35" s="299">
        <f t="shared" si="11"/>
        <v>0</v>
      </c>
      <c r="I35" s="12" t="s">
        <v>11</v>
      </c>
      <c r="J35" s="156" t="s">
        <v>209</v>
      </c>
      <c r="K35" s="6">
        <f>'Feedstock MIX per IVC'!J95</f>
        <v>41.477162938465945</v>
      </c>
      <c r="L35" s="2">
        <f t="shared" si="9"/>
        <v>52611188.864760399</v>
      </c>
    </row>
    <row r="36" spans="1:19" x14ac:dyDescent="0.35">
      <c r="D36" s="2"/>
      <c r="F36" s="31"/>
      <c r="G36" s="299">
        <f>SUM(G29:G35)</f>
        <v>1.0000000000000002</v>
      </c>
      <c r="I36" s="12" t="s">
        <v>12</v>
      </c>
      <c r="J36" s="159" t="s">
        <v>213</v>
      </c>
      <c r="K36" s="6">
        <f>'Feedstock MIX per IVC'!J96</f>
        <v>0</v>
      </c>
      <c r="L36" s="2">
        <f t="shared" si="9"/>
        <v>0</v>
      </c>
      <c r="M36" s="2"/>
    </row>
    <row r="37" spans="1:19" x14ac:dyDescent="0.35">
      <c r="D37" s="2"/>
      <c r="F37" s="31"/>
      <c r="G37" s="6"/>
      <c r="H37" s="2"/>
      <c r="I37" s="107" t="s">
        <v>360</v>
      </c>
      <c r="J37" s="256"/>
      <c r="K37" s="6"/>
      <c r="L37" s="2">
        <f>SUM(L29:L36)</f>
        <v>266798041.17285204</v>
      </c>
      <c r="M37" s="2"/>
    </row>
    <row r="38" spans="1:19" x14ac:dyDescent="0.35">
      <c r="D38" s="6"/>
      <c r="E38" s="6"/>
      <c r="F38" s="31"/>
      <c r="G38" s="6"/>
      <c r="H38" s="6"/>
      <c r="I38" s="229" t="s">
        <v>321</v>
      </c>
      <c r="J38" s="6"/>
      <c r="K38" s="6"/>
      <c r="L38" s="2"/>
      <c r="M38" s="80" t="s">
        <v>214</v>
      </c>
      <c r="O38" s="92">
        <f>SUM(O39:O44)</f>
        <v>6724305643.4811888</v>
      </c>
      <c r="P38" s="80" t="s">
        <v>214</v>
      </c>
      <c r="Q38" s="80"/>
      <c r="R38" s="92">
        <f>SUM(R39:R43)</f>
        <v>4574951799.0532818</v>
      </c>
      <c r="S38" s="267">
        <f>SUM(S39:S43)</f>
        <v>0.35465719204848106</v>
      </c>
    </row>
    <row r="39" spans="1:19" x14ac:dyDescent="0.35">
      <c r="D39" s="6"/>
      <c r="E39" s="6"/>
      <c r="F39" s="31"/>
      <c r="G39" s="6"/>
      <c r="H39" s="6"/>
      <c r="I39" s="6"/>
      <c r="J39" s="154" t="s">
        <v>212</v>
      </c>
      <c r="K39" s="6"/>
      <c r="L39" s="2">
        <f>SUMIF($J$10:$J$36,J39,$L$10:$L$36)</f>
        <v>922577550.74198866</v>
      </c>
      <c r="M39" s="5" t="s">
        <v>245</v>
      </c>
      <c r="O39" s="2">
        <f>SUMIF($M$10:$M$36,M39,$O$10:$O$36)</f>
        <v>157157627.53201333</v>
      </c>
      <c r="P39" s="18" t="s">
        <v>251</v>
      </c>
      <c r="R39" s="2">
        <f>SUMIF($P$10:$P$36,P39,$R$10:$R$36)</f>
        <v>1081940825.9981933</v>
      </c>
      <c r="S39" s="61">
        <f>R39/$H$8</f>
        <v>8.3873691388516525E-2</v>
      </c>
    </row>
    <row r="40" spans="1:19" x14ac:dyDescent="0.35">
      <c r="D40" s="6"/>
      <c r="E40" s="6"/>
      <c r="F40" s="31"/>
      <c r="G40" s="6"/>
      <c r="H40" s="6"/>
      <c r="I40" s="6"/>
      <c r="J40" s="178" t="s">
        <v>256</v>
      </c>
      <c r="K40" s="6"/>
      <c r="L40" s="2">
        <f>SUMIF($J$10:$J$36,J40,$L$10:$L$36)</f>
        <v>214386537.59475514</v>
      </c>
      <c r="M40" t="s">
        <v>246</v>
      </c>
      <c r="O40" s="2">
        <f>SUMIF($M$10:$M$36,M40,$O$10:$O$36)</f>
        <v>134486112.86962378</v>
      </c>
      <c r="P40" s="18" t="s">
        <v>210</v>
      </c>
      <c r="R40" s="2">
        <f>SUMIF($P$10:$P$36,P40,$R$10:$R$36)</f>
        <v>772091771.09286511</v>
      </c>
      <c r="S40" s="61">
        <f t="shared" ref="S40:S43" si="12">R40/$H$8</f>
        <v>5.9853723397959892E-2</v>
      </c>
    </row>
    <row r="41" spans="1:19" x14ac:dyDescent="0.35">
      <c r="D41" s="6"/>
      <c r="E41" s="6"/>
      <c r="F41" s="31"/>
      <c r="G41" s="6"/>
      <c r="H41" s="6"/>
      <c r="I41" s="6"/>
      <c r="J41" s="156" t="s">
        <v>209</v>
      </c>
      <c r="K41" s="6"/>
      <c r="L41" s="2">
        <f>SUMIF($J$10:$J$36,J41,$L$10:$L$36)</f>
        <v>262789405.9054268</v>
      </c>
      <c r="M41" s="5" t="s">
        <v>244</v>
      </c>
      <c r="O41" s="2">
        <f>SUMIF($M$10:$M$36,M41,$O$10:$O$36)</f>
        <v>3588271286.3506269</v>
      </c>
      <c r="P41" s="18" t="s">
        <v>252</v>
      </c>
      <c r="R41" s="2">
        <f>SUMIF($P$10:$P$36,P41,$R$10:$R$36)</f>
        <v>1286636538.4811118</v>
      </c>
      <c r="S41" s="61">
        <f t="shared" si="12"/>
        <v>9.9742013023856574E-2</v>
      </c>
    </row>
    <row r="42" spans="1:19" x14ac:dyDescent="0.35">
      <c r="D42" s="6"/>
      <c r="E42" s="6"/>
      <c r="F42" s="31"/>
      <c r="G42" s="6"/>
      <c r="H42" s="6"/>
      <c r="I42" s="6"/>
      <c r="J42" s="157" t="s">
        <v>211</v>
      </c>
      <c r="K42" s="6"/>
      <c r="L42" s="2">
        <f>SUMIF($J$10:$J$36,J42,$L$10:$L$36)</f>
        <v>20624744.568374433</v>
      </c>
      <c r="M42" t="s">
        <v>247</v>
      </c>
      <c r="O42" s="2">
        <f>SUMIF($M$10:$M$36,M42,$O$10:$O$36)</f>
        <v>676424363.7551322</v>
      </c>
      <c r="P42" s="18" t="s">
        <v>253</v>
      </c>
      <c r="R42" s="2">
        <f>SUMIF($P$10:$P$36,P42,$R$10:$R$36)</f>
        <v>1354446631.6136754</v>
      </c>
      <c r="S42" s="61">
        <f t="shared" si="12"/>
        <v>0.10499875413923131</v>
      </c>
    </row>
    <row r="43" spans="1:19" x14ac:dyDescent="0.35">
      <c r="D43" s="6"/>
      <c r="E43" s="6"/>
      <c r="F43" s="31"/>
      <c r="G43" s="6"/>
      <c r="H43" s="6"/>
      <c r="I43" s="6"/>
      <c r="J43" s="159" t="s">
        <v>213</v>
      </c>
      <c r="K43" s="6"/>
      <c r="L43" s="2">
        <f>SUMIF($J$10:$J$36,J43,$L$10:$L$36)</f>
        <v>0</v>
      </c>
      <c r="M43" t="s">
        <v>248</v>
      </c>
      <c r="O43" s="2">
        <f>SUMIF($M$10:$M$36,M43,$O$10:$O$36)</f>
        <v>1966237083.6693563</v>
      </c>
      <c r="P43" s="18" t="s">
        <v>254</v>
      </c>
      <c r="R43" s="2">
        <f>SUMIF($P$10:$P$36,P43,$R$10:$R$36)</f>
        <v>79836031.867436424</v>
      </c>
      <c r="S43" s="61">
        <f t="shared" si="12"/>
        <v>6.1890100989167368E-3</v>
      </c>
    </row>
    <row r="44" spans="1:19" x14ac:dyDescent="0.35">
      <c r="D44" s="6"/>
      <c r="E44" s="6"/>
      <c r="F44" s="31"/>
      <c r="G44" s="6"/>
      <c r="H44" s="6"/>
      <c r="J44" s="158" t="s">
        <v>104</v>
      </c>
      <c r="K44" s="6"/>
      <c r="L44" s="2">
        <f>SUMIF($J$10:$J$36,J44,$L$10:$L$36)</f>
        <v>158638263.01992363</v>
      </c>
      <c r="M44" t="s">
        <v>250</v>
      </c>
      <c r="O44" s="2">
        <f>SUMIF($M$10:$M$36,M44,$O$10:$O$36)</f>
        <v>201729169.30443561</v>
      </c>
    </row>
    <row r="45" spans="1:19" x14ac:dyDescent="0.35">
      <c r="D45" s="6"/>
      <c r="E45" s="6"/>
      <c r="F45" s="31"/>
      <c r="G45" s="6"/>
      <c r="H45" s="6"/>
      <c r="J45" s="258" t="s">
        <v>210</v>
      </c>
      <c r="L45" s="2">
        <f>SUMIF($J$10:$J$36,J45,$L$10:$L$36)</f>
        <v>21370843.968842689</v>
      </c>
      <c r="O45" s="2"/>
    </row>
    <row r="46" spans="1:19" x14ac:dyDescent="0.35">
      <c r="D46" s="6"/>
      <c r="E46" s="6"/>
      <c r="F46" s="31"/>
      <c r="G46" s="6"/>
      <c r="I46" s="229" t="s">
        <v>360</v>
      </c>
      <c r="J46" s="107"/>
      <c r="K46" s="6"/>
      <c r="L46" s="92">
        <f>SUM(L39:L45)</f>
        <v>1600387345.7993114</v>
      </c>
    </row>
    <row r="47" spans="1:19" s="93" customFormat="1" ht="41" customHeight="1" x14ac:dyDescent="0.35">
      <c r="A47" s="93" t="s">
        <v>105</v>
      </c>
      <c r="F47" s="176"/>
    </row>
    <row r="48" spans="1:19" ht="17.5" customHeight="1" x14ac:dyDescent="0.35">
      <c r="B48" s="2">
        <f>C48/1000000</f>
        <v>10469.280187844357</v>
      </c>
      <c r="C48" s="2">
        <f>C49+C56+C63+C72</f>
        <v>10469280187.844357</v>
      </c>
      <c r="D48" s="2">
        <f>D49+D56+D63+D72</f>
        <v>6.8069123363140731</v>
      </c>
      <c r="F48" s="2">
        <f>F49+F56+F63+F72</f>
        <v>9391108.3128443565</v>
      </c>
      <c r="H48" s="2">
        <f>H49+H56+H63+H72</f>
        <v>12139178473.051252</v>
      </c>
      <c r="L48" s="2">
        <f>L49+L56+L63+L72</f>
        <v>2749010945.0638175</v>
      </c>
      <c r="O48" s="2">
        <f>O49+O56+O63+O72</f>
        <v>4631234893.549675</v>
      </c>
      <c r="R48" s="2">
        <f>R49+R56+R63+R72</f>
        <v>4758932634.4377604</v>
      </c>
    </row>
    <row r="49" spans="1:19" s="218" customFormat="1" ht="17.5" customHeight="1" x14ac:dyDescent="0.35">
      <c r="A49" s="218" t="s">
        <v>337</v>
      </c>
      <c r="B49" s="218">
        <v>1000</v>
      </c>
      <c r="C49" s="219">
        <f>B49*F49</f>
        <v>3638522906.4221783</v>
      </c>
      <c r="D49" s="220">
        <f>'[1]GAP analysis Sc. 2'!$N$127</f>
        <v>2.3464249181570365</v>
      </c>
      <c r="E49" s="227">
        <f>'[2]Conversion factors selected IV '!$O$17</f>
        <v>1.5506666666666669</v>
      </c>
      <c r="F49" s="219">
        <f>D49*E49*1000000</f>
        <v>3638522.9064221783</v>
      </c>
      <c r="G49" s="225">
        <f>'LCoP 2030 HIGH'!E5</f>
        <v>1387.0526477152616</v>
      </c>
      <c r="H49" s="220">
        <f>G49*F49</f>
        <v>5046822831.1255112</v>
      </c>
      <c r="I49" s="225">
        <f>'LCoP 2030 HIGH'!H5</f>
        <v>0.22785915749907551</v>
      </c>
      <c r="L49" s="219">
        <f>I49*H49</f>
        <v>1149964798.347358</v>
      </c>
      <c r="M49" s="225">
        <f>'LCoP 2030 HIGH'!F5</f>
        <v>0.40012900801868634</v>
      </c>
      <c r="O49" s="219">
        <f>M49*H49</f>
        <v>2019380213.0643089</v>
      </c>
      <c r="P49" s="225">
        <f>'LCoP 2030 HIGH'!G5</f>
        <v>0.37201183448223807</v>
      </c>
      <c r="R49" s="219">
        <f>P49*H49</f>
        <v>1877477819.7138438</v>
      </c>
      <c r="S49" s="220">
        <f>R49+O49+L49</f>
        <v>5046822831.1255102</v>
      </c>
    </row>
    <row r="50" spans="1:19" ht="15" customHeight="1" x14ac:dyDescent="0.35">
      <c r="C50" s="282">
        <f>C49/C48</f>
        <v>0.34754279579285541</v>
      </c>
      <c r="F50" s="154" t="s">
        <v>212</v>
      </c>
      <c r="G50" s="2">
        <f ca="1">SUMIF($J$50:$J$54,F50,$L$50:$L$53)/$L$49</f>
        <v>0.79882413557184284</v>
      </c>
      <c r="H50" s="209" t="s">
        <v>292</v>
      </c>
      <c r="I50" s="7" t="s">
        <v>5</v>
      </c>
      <c r="J50" s="154" t="s">
        <v>212</v>
      </c>
      <c r="K50" s="6">
        <f>'Feedstock MIX per IVC'!J13</f>
        <v>232.61998432929801</v>
      </c>
      <c r="L50">
        <f>K50*F$49</f>
        <v>846393141.473719</v>
      </c>
      <c r="M50" s="5" t="s">
        <v>245</v>
      </c>
      <c r="N50" s="35">
        <v>0</v>
      </c>
      <c r="O50" s="2">
        <f t="shared" ref="O50:O55" si="13">N50*O$49</f>
        <v>0</v>
      </c>
      <c r="P50" s="18" t="s">
        <v>251</v>
      </c>
      <c r="Q50" s="35">
        <v>0.2</v>
      </c>
      <c r="R50" s="2">
        <f>Q50*R$49</f>
        <v>375495563.94276881</v>
      </c>
    </row>
    <row r="51" spans="1:19" ht="15" customHeight="1" x14ac:dyDescent="0.35">
      <c r="F51" s="156" t="s">
        <v>209</v>
      </c>
      <c r="G51" s="2">
        <f ca="1">SUMIF($J$50:$J$54,F51,$L$50:$L$53)/$L$49</f>
        <v>0.20117586442815738</v>
      </c>
      <c r="H51" s="209" t="s">
        <v>292</v>
      </c>
      <c r="I51" s="7" t="s">
        <v>8</v>
      </c>
      <c r="J51" s="154" t="s">
        <v>212</v>
      </c>
      <c r="K51" s="6">
        <f>'Feedstock MIX per IVC'!J14</f>
        <v>11.65896172396454</v>
      </c>
      <c r="L51">
        <f t="shared" ref="L51:L53" si="14">K51*F$49</f>
        <v>42421399.297744386</v>
      </c>
      <c r="M51" t="s">
        <v>246</v>
      </c>
      <c r="N51" s="35">
        <v>0.02</v>
      </c>
      <c r="O51" s="2">
        <f t="shared" si="13"/>
        <v>40387604.261286177</v>
      </c>
      <c r="P51" s="18" t="s">
        <v>210</v>
      </c>
      <c r="Q51" s="35">
        <v>0.5</v>
      </c>
      <c r="R51" s="2">
        <f t="shared" ref="R51:R54" si="15">Q51*R$49</f>
        <v>938738909.85692191</v>
      </c>
    </row>
    <row r="52" spans="1:19" ht="15" customHeight="1" x14ac:dyDescent="0.35">
      <c r="F52" s="31"/>
      <c r="H52" s="209" t="s">
        <v>292</v>
      </c>
      <c r="I52" s="7" t="s">
        <v>9</v>
      </c>
      <c r="J52" s="154" t="s">
        <v>212</v>
      </c>
      <c r="K52" s="6">
        <f>'Feedstock MIX per IVC'!J15</f>
        <v>8.1915370530733291</v>
      </c>
      <c r="L52">
        <f t="shared" si="14"/>
        <v>29805095.206413336</v>
      </c>
      <c r="M52" s="5" t="s">
        <v>244</v>
      </c>
      <c r="N52" s="35">
        <v>0.5</v>
      </c>
      <c r="O52" s="2">
        <f t="shared" si="13"/>
        <v>1009690106.5321544</v>
      </c>
      <c r="P52" s="18" t="s">
        <v>252</v>
      </c>
      <c r="Q52" s="35">
        <v>0.15</v>
      </c>
      <c r="R52" s="2">
        <f t="shared" si="15"/>
        <v>281621672.95707655</v>
      </c>
    </row>
    <row r="53" spans="1:19" ht="15" customHeight="1" x14ac:dyDescent="0.35">
      <c r="F53" s="31"/>
      <c r="H53" s="209" t="s">
        <v>292</v>
      </c>
      <c r="I53" s="7" t="s">
        <v>11</v>
      </c>
      <c r="J53" s="156" t="s">
        <v>209</v>
      </c>
      <c r="K53" s="6">
        <f>'Feedstock MIX per IVC'!J16</f>
        <v>63.58216460892563</v>
      </c>
      <c r="L53">
        <f t="shared" si="14"/>
        <v>231345162.36948144</v>
      </c>
      <c r="M53" t="s">
        <v>247</v>
      </c>
      <c r="N53" s="35">
        <v>0.15</v>
      </c>
      <c r="O53" s="2">
        <f t="shared" si="13"/>
        <v>302907031.95964634</v>
      </c>
      <c r="P53" s="18" t="s">
        <v>253</v>
      </c>
      <c r="Q53" s="35">
        <v>0.1</v>
      </c>
      <c r="R53" s="2">
        <f t="shared" si="15"/>
        <v>187747781.97138441</v>
      </c>
    </row>
    <row r="54" spans="1:19" ht="15" customHeight="1" x14ac:dyDescent="0.35">
      <c r="F54" s="31"/>
      <c r="M54" t="s">
        <v>248</v>
      </c>
      <c r="N54" s="35">
        <v>0.3</v>
      </c>
      <c r="O54" s="2">
        <f t="shared" si="13"/>
        <v>605814063.91929269</v>
      </c>
      <c r="P54" s="18" t="s">
        <v>254</v>
      </c>
      <c r="Q54" s="35">
        <v>0.05</v>
      </c>
      <c r="R54" s="2">
        <f t="shared" si="15"/>
        <v>93873890.985692203</v>
      </c>
    </row>
    <row r="55" spans="1:19" ht="15" customHeight="1" x14ac:dyDescent="0.35">
      <c r="F55" s="31"/>
      <c r="M55" t="s">
        <v>250</v>
      </c>
      <c r="N55" s="35">
        <v>0.03</v>
      </c>
      <c r="O55" s="2">
        <f t="shared" si="13"/>
        <v>60581406.391929261</v>
      </c>
      <c r="R55" s="2"/>
    </row>
    <row r="56" spans="1:19" s="218" customFormat="1" ht="17.5" customHeight="1" x14ac:dyDescent="0.35">
      <c r="A56" s="218" t="s">
        <v>344</v>
      </c>
      <c r="B56" s="218">
        <v>1000</v>
      </c>
      <c r="C56" s="219">
        <f>B56*F56</f>
        <v>3638522906.4221783</v>
      </c>
      <c r="D56" s="225">
        <f>'[1]GAP analysis Sc. 2'!$N$128</f>
        <v>2.3464249181570365</v>
      </c>
      <c r="E56" s="228">
        <f>'[2]Conversion factors selected IV '!$O$86</f>
        <v>1.5506666666666669</v>
      </c>
      <c r="F56" s="219">
        <f>D56*E56*1000000</f>
        <v>3638522.9064221783</v>
      </c>
      <c r="G56" s="225">
        <f>'LCoP 2030 HIGH'!E18</f>
        <v>988.03814186666671</v>
      </c>
      <c r="H56" s="220">
        <f>G56*F56</f>
        <v>3594999411.6006727</v>
      </c>
      <c r="I56" s="223">
        <f>'LCoP 2030 HIGH'!H18</f>
        <v>0.32087642008201966</v>
      </c>
      <c r="L56" s="219">
        <f>I56*H56</f>
        <v>1153550541.391391</v>
      </c>
      <c r="M56" s="223">
        <f>'LCoP 2030 HIGH'!F18</f>
        <v>0.28136565606139868</v>
      </c>
      <c r="O56" s="219">
        <f>M56*H56</f>
        <v>1011509367.9853655</v>
      </c>
      <c r="P56" s="236">
        <f>'LCoP 2030 HIGH'!G18</f>
        <v>0.3977579238565816</v>
      </c>
      <c r="R56" s="219">
        <f>P56*H56</f>
        <v>1429939502.2239161</v>
      </c>
      <c r="S56" s="220">
        <f>R56+O56+L56</f>
        <v>3594999411.6006727</v>
      </c>
    </row>
    <row r="57" spans="1:19" ht="14.5" customHeight="1" x14ac:dyDescent="0.35">
      <c r="C57" s="282">
        <f>C56/C48</f>
        <v>0.34754279579285541</v>
      </c>
      <c r="D57" s="6"/>
      <c r="F57" s="31"/>
      <c r="I57" s="16" t="s">
        <v>37</v>
      </c>
      <c r="J57" s="207" t="s">
        <v>106</v>
      </c>
      <c r="K57" s="6">
        <f>'Feedstock MIX per IVC'!J85</f>
        <v>317.03814186666671</v>
      </c>
      <c r="L57" s="31">
        <f>K57*F56</f>
        <v>1153550541.391391</v>
      </c>
      <c r="M57" s="5" t="s">
        <v>245</v>
      </c>
      <c r="N57" s="35">
        <v>0</v>
      </c>
      <c r="O57" s="2">
        <f t="shared" ref="O57:O62" si="16">N57*O$56</f>
        <v>0</v>
      </c>
      <c r="P57" s="18" t="s">
        <v>251</v>
      </c>
      <c r="Q57" s="35">
        <v>0.2</v>
      </c>
      <c r="R57" s="2">
        <f>Q57*R$56</f>
        <v>285987900.44478321</v>
      </c>
    </row>
    <row r="58" spans="1:19" ht="14.5" customHeight="1" x14ac:dyDescent="0.35">
      <c r="D58" s="6"/>
      <c r="F58" s="31"/>
      <c r="M58" t="s">
        <v>246</v>
      </c>
      <c r="N58" s="35">
        <v>0.02</v>
      </c>
      <c r="O58" s="2">
        <f t="shared" si="16"/>
        <v>20230187.359707311</v>
      </c>
      <c r="P58" s="18" t="s">
        <v>210</v>
      </c>
      <c r="Q58" s="35">
        <v>0.5</v>
      </c>
      <c r="R58" s="2">
        <f t="shared" ref="R58:R61" si="17">Q58*R$56</f>
        <v>714969751.11195803</v>
      </c>
    </row>
    <row r="59" spans="1:19" ht="14.5" customHeight="1" x14ac:dyDescent="0.35">
      <c r="D59" s="6"/>
      <c r="F59" s="31"/>
      <c r="M59" s="5" t="s">
        <v>244</v>
      </c>
      <c r="N59" s="35">
        <v>0.5</v>
      </c>
      <c r="O59" s="2">
        <f t="shared" si="16"/>
        <v>505754683.99268275</v>
      </c>
      <c r="P59" s="18" t="s">
        <v>252</v>
      </c>
      <c r="Q59" s="35">
        <v>0.15</v>
      </c>
      <c r="R59" s="2">
        <f t="shared" si="17"/>
        <v>214490925.33358741</v>
      </c>
    </row>
    <row r="60" spans="1:19" ht="14.5" customHeight="1" x14ac:dyDescent="0.35">
      <c r="D60" s="6"/>
      <c r="F60" s="31"/>
      <c r="M60" t="s">
        <v>247</v>
      </c>
      <c r="N60" s="35">
        <v>0.15</v>
      </c>
      <c r="O60" s="2">
        <f t="shared" si="16"/>
        <v>151726405.19780481</v>
      </c>
      <c r="P60" s="18" t="s">
        <v>253</v>
      </c>
      <c r="Q60" s="35">
        <v>0.1</v>
      </c>
      <c r="R60" s="2">
        <f t="shared" si="17"/>
        <v>142993950.22239161</v>
      </c>
    </row>
    <row r="61" spans="1:19" ht="14.5" customHeight="1" x14ac:dyDescent="0.35">
      <c r="F61" s="31"/>
      <c r="M61" t="s">
        <v>248</v>
      </c>
      <c r="N61" s="35">
        <v>0.3</v>
      </c>
      <c r="O61" s="2">
        <f t="shared" si="16"/>
        <v>303452810.39560962</v>
      </c>
      <c r="P61" s="18" t="s">
        <v>254</v>
      </c>
      <c r="Q61" s="35">
        <v>0.05</v>
      </c>
      <c r="R61" s="2">
        <f t="shared" si="17"/>
        <v>71496975.111195803</v>
      </c>
    </row>
    <row r="62" spans="1:19" ht="14.5" customHeight="1" x14ac:dyDescent="0.35">
      <c r="F62" s="31"/>
      <c r="M62" t="s">
        <v>250</v>
      </c>
      <c r="N62" s="35">
        <v>0.03</v>
      </c>
      <c r="O62" s="2">
        <f t="shared" si="16"/>
        <v>30345281.039560962</v>
      </c>
    </row>
    <row r="63" spans="1:19" s="218" customFormat="1" x14ac:dyDescent="0.35">
      <c r="A63" s="218" t="s">
        <v>335</v>
      </c>
      <c r="B63" s="218">
        <v>1750</v>
      </c>
      <c r="C63" s="219">
        <f>B63*F63</f>
        <v>2219765625</v>
      </c>
      <c r="D63" s="220">
        <f>'[1]GAP analysis Sc. 2'!$N$125</f>
        <v>1.2684375000000001</v>
      </c>
      <c r="E63" s="218">
        <f>'[2]Conversion factors selected IV '!$O$89</f>
        <v>1</v>
      </c>
      <c r="F63" s="219">
        <f>D63*E63*1000000</f>
        <v>1268437.5</v>
      </c>
      <c r="G63" s="225">
        <f>'LCoP 2030 HIGH'!E20</f>
        <v>1597.3359772734975</v>
      </c>
      <c r="H63" s="220">
        <f>G63*F63</f>
        <v>2026120853.672852</v>
      </c>
      <c r="I63" s="218">
        <f>'LCoP 2030 HIGH'!H20</f>
        <v>0.13167923359024397</v>
      </c>
      <c r="L63" s="219">
        <f>I63*H63</f>
        <v>266798041.17285201</v>
      </c>
      <c r="M63" s="223">
        <f>'LCoP 2030 HIGH'!F20</f>
        <v>0.50396410739715469</v>
      </c>
      <c r="O63" s="219">
        <f>M63*H63</f>
        <v>1021092187.5</v>
      </c>
      <c r="P63" s="236">
        <f>'LCoP 2030 HIGH'!G20</f>
        <v>0.36435665901260128</v>
      </c>
      <c r="R63" s="219">
        <f>P63*H63</f>
        <v>738230625</v>
      </c>
      <c r="S63" s="219">
        <f>L63+O63+R63</f>
        <v>2026120853.672852</v>
      </c>
    </row>
    <row r="64" spans="1:19" ht="17.5" customHeight="1" x14ac:dyDescent="0.35">
      <c r="C64" s="282">
        <f>C63/C48</f>
        <v>0.21202657538741962</v>
      </c>
      <c r="F64" s="157" t="s">
        <v>211</v>
      </c>
      <c r="G64" s="2">
        <f>SUMIF($J$64:$J$71,F64,$L$64:$L$71)/$L$63</f>
        <v>1.4626928700643058E-2</v>
      </c>
      <c r="H64" s="209" t="s">
        <v>292</v>
      </c>
      <c r="I64" s="5" t="s">
        <v>5</v>
      </c>
      <c r="J64" s="154" t="s">
        <v>212</v>
      </c>
      <c r="K64" s="6">
        <f>'Feedstock MIX per IVC'!J89</f>
        <v>115.98101375146399</v>
      </c>
      <c r="L64">
        <f>K64*F$63</f>
        <v>147114667.13037261</v>
      </c>
      <c r="M64" s="5" t="s">
        <v>245</v>
      </c>
      <c r="N64" s="174">
        <v>0.15</v>
      </c>
      <c r="O64" s="2">
        <f t="shared" ref="O64:O69" si="18">N64*O$63</f>
        <v>153163828.125</v>
      </c>
      <c r="P64" s="18" t="s">
        <v>251</v>
      </c>
      <c r="Q64" s="123">
        <v>0.15</v>
      </c>
      <c r="R64" s="2">
        <f>Q64*R$63</f>
        <v>110734593.75</v>
      </c>
    </row>
    <row r="65" spans="1:19" ht="17.5" customHeight="1" x14ac:dyDescent="0.35">
      <c r="F65" s="154" t="s">
        <v>212</v>
      </c>
      <c r="G65" s="2">
        <f t="shared" ref="G65:G68" si="19">SUMIF($J$64:$J$71,F65,$L$64:$L$71)/$L$63</f>
        <v>0.62730453013416398</v>
      </c>
      <c r="H65" s="209" t="s">
        <v>292</v>
      </c>
      <c r="I65" s="5" t="s">
        <v>6</v>
      </c>
      <c r="J65" s="154" t="s">
        <v>212</v>
      </c>
      <c r="K65" s="6">
        <f>'Feedstock MIX per IVC'!J90</f>
        <v>6.0665214463321062</v>
      </c>
      <c r="L65">
        <f t="shared" ref="L65:L71" si="20">K65*F$63</f>
        <v>7695003.2970818812</v>
      </c>
      <c r="M65" t="s">
        <v>246</v>
      </c>
      <c r="N65" s="35">
        <v>0.02</v>
      </c>
      <c r="O65" s="2">
        <f t="shared" si="18"/>
        <v>20421843.75</v>
      </c>
      <c r="P65" s="18" t="s">
        <v>210</v>
      </c>
      <c r="Q65" s="123">
        <v>0.25</v>
      </c>
      <c r="R65" s="2">
        <f t="shared" ref="R65:R68" si="21">Q65*R$63</f>
        <v>184557656.25</v>
      </c>
    </row>
    <row r="66" spans="1:19" ht="17.5" customHeight="1" x14ac:dyDescent="0.35">
      <c r="F66" s="178" t="s">
        <v>256</v>
      </c>
      <c r="G66" s="2">
        <f t="shared" si="19"/>
        <v>0.16087373181247039</v>
      </c>
      <c r="H66" s="209" t="s">
        <v>292</v>
      </c>
      <c r="I66" s="5" t="s">
        <v>7</v>
      </c>
      <c r="J66" s="157" t="s">
        <v>211</v>
      </c>
      <c r="K66" s="6">
        <f>'Feedstock MIX per IVC'!J91</f>
        <v>3.0765693427595271</v>
      </c>
      <c r="L66">
        <f t="shared" si="20"/>
        <v>3902435.9257065374</v>
      </c>
      <c r="M66" s="5" t="s">
        <v>244</v>
      </c>
      <c r="N66" s="174">
        <v>0.45</v>
      </c>
      <c r="O66" s="2">
        <f t="shared" si="18"/>
        <v>459491484.375</v>
      </c>
      <c r="P66" s="18" t="s">
        <v>252</v>
      </c>
      <c r="Q66" s="123">
        <v>0.2</v>
      </c>
      <c r="R66" s="2">
        <f t="shared" si="21"/>
        <v>147646125</v>
      </c>
    </row>
    <row r="67" spans="1:19" ht="17.5" customHeight="1" x14ac:dyDescent="0.35">
      <c r="F67" s="156" t="s">
        <v>209</v>
      </c>
      <c r="G67" s="2">
        <f t="shared" si="19"/>
        <v>0.19719480935272266</v>
      </c>
      <c r="H67" s="209" t="s">
        <v>292</v>
      </c>
      <c r="I67" s="5" t="s">
        <v>8</v>
      </c>
      <c r="J67" s="154" t="s">
        <v>212</v>
      </c>
      <c r="K67" s="6">
        <f>'Feedstock MIX per IVC'!J92</f>
        <v>5.8129923958756571</v>
      </c>
      <c r="L67">
        <f t="shared" si="20"/>
        <v>7373417.5421435283</v>
      </c>
      <c r="M67" t="s">
        <v>247</v>
      </c>
      <c r="N67" s="35">
        <v>0.1</v>
      </c>
      <c r="O67" s="2">
        <f t="shared" si="18"/>
        <v>102109218.75</v>
      </c>
      <c r="P67" s="18" t="s">
        <v>253</v>
      </c>
      <c r="Q67" s="123">
        <v>0.3</v>
      </c>
      <c r="R67" s="2">
        <f t="shared" si="21"/>
        <v>221469187.5</v>
      </c>
    </row>
    <row r="68" spans="1:19" ht="17.5" customHeight="1" x14ac:dyDescent="0.35">
      <c r="F68" s="159" t="s">
        <v>213</v>
      </c>
      <c r="G68" s="2">
        <f t="shared" si="19"/>
        <v>0</v>
      </c>
      <c r="H68" s="209" t="s">
        <v>292</v>
      </c>
      <c r="I68" s="5" t="s">
        <v>9</v>
      </c>
      <c r="J68" s="154" t="s">
        <v>212</v>
      </c>
      <c r="K68" s="6">
        <f>'Feedstock MIX per IVC'!J93</f>
        <v>4.0841838001898028</v>
      </c>
      <c r="L68">
        <f t="shared" si="20"/>
        <v>5180531.8890532525</v>
      </c>
      <c r="M68" t="s">
        <v>248</v>
      </c>
      <c r="N68" s="35">
        <v>0.25</v>
      </c>
      <c r="O68" s="2">
        <f t="shared" si="18"/>
        <v>255273046.875</v>
      </c>
      <c r="P68" s="18" t="s">
        <v>254</v>
      </c>
      <c r="Q68" s="123">
        <v>0.1</v>
      </c>
      <c r="R68" s="2">
        <f t="shared" si="21"/>
        <v>73823062.5</v>
      </c>
    </row>
    <row r="69" spans="1:19" ht="17.5" customHeight="1" x14ac:dyDescent="0.35">
      <c r="G69" s="299">
        <f>SUM(G64:G68)</f>
        <v>1.0000000000000002</v>
      </c>
      <c r="H69" s="209" t="s">
        <v>292</v>
      </c>
      <c r="I69" s="5" t="s">
        <v>10</v>
      </c>
      <c r="J69" s="178" t="s">
        <v>256</v>
      </c>
      <c r="K69" s="6">
        <f>'Feedstock MIX per IVC'!J94</f>
        <v>33.837533598410502</v>
      </c>
      <c r="L69">
        <f t="shared" si="20"/>
        <v>42920796.523733824</v>
      </c>
      <c r="M69" t="s">
        <v>250</v>
      </c>
      <c r="N69" s="35">
        <v>0.03</v>
      </c>
      <c r="O69" s="2">
        <f t="shared" si="18"/>
        <v>30632765.625</v>
      </c>
      <c r="Q69" s="35"/>
      <c r="R69" s="2"/>
    </row>
    <row r="70" spans="1:19" ht="17.5" customHeight="1" x14ac:dyDescent="0.35">
      <c r="F70" s="31"/>
      <c r="H70" s="209" t="s">
        <v>292</v>
      </c>
      <c r="I70" s="5" t="s">
        <v>11</v>
      </c>
      <c r="J70" s="156" t="s">
        <v>209</v>
      </c>
      <c r="K70" s="6">
        <f>'Feedstock MIX per IVC'!J95</f>
        <v>41.477162938465945</v>
      </c>
      <c r="L70">
        <f t="shared" si="20"/>
        <v>52611188.864760399</v>
      </c>
      <c r="O70" s="2"/>
    </row>
    <row r="71" spans="1:19" ht="17.5" customHeight="1" x14ac:dyDescent="0.35">
      <c r="F71" s="31"/>
      <c r="H71" s="209" t="s">
        <v>292</v>
      </c>
      <c r="I71" s="5" t="s">
        <v>12</v>
      </c>
      <c r="J71" s="159" t="s">
        <v>213</v>
      </c>
      <c r="K71" s="6">
        <f>'Feedstock MIX per IVC'!J96</f>
        <v>0</v>
      </c>
      <c r="L71">
        <f t="shared" si="20"/>
        <v>0</v>
      </c>
    </row>
    <row r="72" spans="1:19" s="218" customFormat="1" x14ac:dyDescent="0.35">
      <c r="A72" s="218" t="s">
        <v>338</v>
      </c>
      <c r="B72" s="218">
        <v>1150</v>
      </c>
      <c r="C72" s="219">
        <f>B72*F72</f>
        <v>972468750.00000012</v>
      </c>
      <c r="D72" s="225">
        <f>'[1]GAP analysis Sc. 2'!$N$130</f>
        <v>0.84562500000000007</v>
      </c>
      <c r="E72" s="225">
        <f>'[2]Conversion factors selected IV '!$O$125</f>
        <v>1</v>
      </c>
      <c r="F72" s="219">
        <f>D72*E72*1000000</f>
        <v>845625.00000000012</v>
      </c>
      <c r="G72" s="225">
        <f>'LCoP 2030 HIGH'!E22</f>
        <v>1739.8201054276026</v>
      </c>
      <c r="H72" s="220">
        <f>G72*F72</f>
        <v>1471235376.6522167</v>
      </c>
      <c r="I72" s="218">
        <f>'LCoP 2030 HIGH'!H22</f>
        <v>0.12146089401332999</v>
      </c>
      <c r="L72" s="219">
        <f>I72*H72</f>
        <v>178697564.15221652</v>
      </c>
      <c r="M72" s="223">
        <f>'LCoP 2030 HIGH'!F22</f>
        <v>0.39371886660181155</v>
      </c>
      <c r="O72" s="219">
        <f>M72*H72</f>
        <v>579253125.00000012</v>
      </c>
      <c r="P72" s="236">
        <f>'LCoP 2030 HIGH'!G22</f>
        <v>0.48482023938485846</v>
      </c>
      <c r="R72" s="219">
        <f>P72*H72</f>
        <v>713284687.50000012</v>
      </c>
      <c r="S72" s="219">
        <f>L72+O72+R72</f>
        <v>1471235376.6522169</v>
      </c>
    </row>
    <row r="73" spans="1:19" x14ac:dyDescent="0.35">
      <c r="C73" s="282">
        <f>C72/C48</f>
        <v>9.2887833026869551E-2</v>
      </c>
      <c r="D73" s="6"/>
      <c r="E73" s="6"/>
      <c r="F73" s="157" t="s">
        <v>211</v>
      </c>
      <c r="G73" s="2">
        <f>SUMIF($J$73:$J$80,F73,$L$73:$L$80)/$L$72</f>
        <v>1.4233560064919687E-2</v>
      </c>
      <c r="H73" s="209" t="s">
        <v>292</v>
      </c>
      <c r="I73" s="5" t="s">
        <v>5</v>
      </c>
      <c r="J73" s="154" t="s">
        <v>212</v>
      </c>
      <c r="K73" s="6">
        <f>'Feedstock MIX per IVC'!J107</f>
        <v>113.38994625349989</v>
      </c>
      <c r="L73" s="2">
        <f>K73*F$72</f>
        <v>95885373.300615847</v>
      </c>
      <c r="M73" s="5" t="s">
        <v>245</v>
      </c>
      <c r="N73" s="174">
        <v>0.15</v>
      </c>
      <c r="O73" s="2">
        <f t="shared" ref="O73:O78" si="22">N73*O$72</f>
        <v>86887968.750000015</v>
      </c>
      <c r="P73" s="18" t="s">
        <v>251</v>
      </c>
      <c r="Q73" s="123">
        <v>0.15</v>
      </c>
      <c r="R73" s="2">
        <f>Q73*R$72</f>
        <v>106992703.12500001</v>
      </c>
    </row>
    <row r="74" spans="1:19" x14ac:dyDescent="0.35">
      <c r="D74" s="6"/>
      <c r="E74" s="6"/>
      <c r="F74" s="154" t="s">
        <v>212</v>
      </c>
      <c r="G74" s="2">
        <f t="shared" ref="G74:G77" si="23">SUMIF($J$73:$J$80,F74,$L$73:$L$80)/$L$72</f>
        <v>0.63732759864853761</v>
      </c>
      <c r="H74" s="209" t="s">
        <v>292</v>
      </c>
      <c r="I74" s="5" t="s">
        <v>6</v>
      </c>
      <c r="J74" s="154" t="s">
        <v>212</v>
      </c>
      <c r="K74" s="6">
        <f>'Feedstock MIX per IVC'!J108</f>
        <v>5.9309926555683274</v>
      </c>
      <c r="L74" s="2">
        <f t="shared" ref="L74:L79" si="24">K74*F$72</f>
        <v>5015395.6643649675</v>
      </c>
      <c r="M74" t="s">
        <v>246</v>
      </c>
      <c r="N74" s="35">
        <v>0.02</v>
      </c>
      <c r="O74" s="2">
        <f t="shared" si="22"/>
        <v>11585062.500000002</v>
      </c>
      <c r="P74" s="18" t="s">
        <v>210</v>
      </c>
      <c r="Q74" s="123">
        <v>0.25</v>
      </c>
      <c r="R74" s="2">
        <f>Q74*R$72</f>
        <v>178321171.87500003</v>
      </c>
    </row>
    <row r="75" spans="1:19" x14ac:dyDescent="0.35">
      <c r="D75" s="6"/>
      <c r="E75" s="6"/>
      <c r="F75" s="178" t="s">
        <v>256</v>
      </c>
      <c r="G75" s="2">
        <f t="shared" si="23"/>
        <v>0.15654728148910091</v>
      </c>
      <c r="H75" s="209" t="s">
        <v>292</v>
      </c>
      <c r="I75" s="5" t="s">
        <v>7</v>
      </c>
      <c r="J75" s="157" t="s">
        <v>211</v>
      </c>
      <c r="K75" s="6">
        <f>'Feedstock MIX per IVC'!J109</f>
        <v>3.0078374135289434</v>
      </c>
      <c r="L75" s="2">
        <f t="shared" si="24"/>
        <v>2543502.5128154131</v>
      </c>
      <c r="M75" s="5" t="s">
        <v>244</v>
      </c>
      <c r="N75" s="174">
        <v>0.45</v>
      </c>
      <c r="O75" s="2">
        <f t="shared" si="22"/>
        <v>260663906.25000006</v>
      </c>
      <c r="P75" s="18" t="s">
        <v>252</v>
      </c>
      <c r="Q75" s="123">
        <v>0.2</v>
      </c>
      <c r="R75" s="2">
        <f>Q75*R$72</f>
        <v>142656937.50000003</v>
      </c>
    </row>
    <row r="76" spans="1:19" x14ac:dyDescent="0.35">
      <c r="D76" s="6"/>
      <c r="E76" s="6"/>
      <c r="F76" s="156" t="s">
        <v>209</v>
      </c>
      <c r="G76" s="2">
        <f t="shared" si="23"/>
        <v>0.19189155979744174</v>
      </c>
      <c r="H76" s="209" t="s">
        <v>292</v>
      </c>
      <c r="I76" s="5" t="s">
        <v>8</v>
      </c>
      <c r="J76" s="154" t="s">
        <v>212</v>
      </c>
      <c r="K76" s="6">
        <f>'Feedstock MIX per IVC'!J110</f>
        <v>11.366255114010404</v>
      </c>
      <c r="L76" s="2">
        <f t="shared" si="24"/>
        <v>9611589.4807850495</v>
      </c>
      <c r="M76" t="s">
        <v>247</v>
      </c>
      <c r="N76" s="35">
        <v>0.1</v>
      </c>
      <c r="O76" s="2">
        <f t="shared" si="22"/>
        <v>57925312.500000015</v>
      </c>
      <c r="P76" s="18" t="s">
        <v>253</v>
      </c>
      <c r="Q76" s="123">
        <v>0.3</v>
      </c>
      <c r="R76" s="2">
        <f>Q76*R$72</f>
        <v>213985406.25000003</v>
      </c>
    </row>
    <row r="77" spans="1:19" x14ac:dyDescent="0.35">
      <c r="D77" s="6"/>
      <c r="E77" s="6"/>
      <c r="F77" s="159" t="s">
        <v>213</v>
      </c>
      <c r="G77" s="2">
        <f t="shared" si="23"/>
        <v>0</v>
      </c>
      <c r="H77" s="209" t="s">
        <v>292</v>
      </c>
      <c r="I77" s="5" t="s">
        <v>9</v>
      </c>
      <c r="J77" s="154" t="s">
        <v>212</v>
      </c>
      <c r="K77" s="6">
        <f>'Feedstock MIX per IVC'!J111</f>
        <v>3.9929413152511879</v>
      </c>
      <c r="L77" s="2">
        <f t="shared" si="24"/>
        <v>3376530.9997092863</v>
      </c>
      <c r="M77" t="s">
        <v>248</v>
      </c>
      <c r="N77" s="35">
        <v>0.25</v>
      </c>
      <c r="O77" s="2">
        <f t="shared" si="22"/>
        <v>144813281.25000003</v>
      </c>
      <c r="P77" s="18" t="s">
        <v>254</v>
      </c>
      <c r="Q77" s="123">
        <v>0.1</v>
      </c>
      <c r="R77" s="2">
        <f>Q77*R$72</f>
        <v>71328468.750000015</v>
      </c>
    </row>
    <row r="78" spans="1:19" x14ac:dyDescent="0.35">
      <c r="D78" s="6"/>
      <c r="E78" s="6"/>
      <c r="F78" s="31"/>
      <c r="G78" s="299">
        <f>SUM(G73:G77)</f>
        <v>1</v>
      </c>
      <c r="H78" s="209" t="s">
        <v>292</v>
      </c>
      <c r="I78" s="5" t="s">
        <v>10</v>
      </c>
      <c r="J78" s="178" t="s">
        <v>256</v>
      </c>
      <c r="K78" s="6">
        <f>'Feedstock MIX per IVC'!J112</f>
        <v>33.081588028681395</v>
      </c>
      <c r="L78" s="2">
        <f t="shared" si="24"/>
        <v>27974617.87675371</v>
      </c>
      <c r="M78" t="s">
        <v>250</v>
      </c>
      <c r="N78" s="35">
        <v>0.03</v>
      </c>
      <c r="O78" s="2">
        <f t="shared" si="22"/>
        <v>17377593.750000004</v>
      </c>
      <c r="Q78" s="35"/>
      <c r="R78" s="2"/>
    </row>
    <row r="79" spans="1:19" x14ac:dyDescent="0.35">
      <c r="D79" s="6"/>
      <c r="E79" s="6"/>
      <c r="F79" s="31"/>
      <c r="G79" s="6"/>
      <c r="H79" s="209" t="s">
        <v>292</v>
      </c>
      <c r="I79" s="5" t="s">
        <v>11</v>
      </c>
      <c r="J79" s="156" t="s">
        <v>209</v>
      </c>
      <c r="K79" s="6">
        <f>'Feedstock MIX per IVC'!J113</f>
        <v>40.550544647062509</v>
      </c>
      <c r="L79" s="2">
        <f t="shared" si="24"/>
        <v>34290554.317172237</v>
      </c>
      <c r="M79" s="2"/>
      <c r="R79" s="2"/>
    </row>
    <row r="80" spans="1:19" x14ac:dyDescent="0.35">
      <c r="D80" s="6"/>
      <c r="E80" s="6"/>
      <c r="F80" s="31"/>
      <c r="G80" s="6"/>
      <c r="H80" s="209" t="s">
        <v>292</v>
      </c>
      <c r="I80" s="5" t="s">
        <v>12</v>
      </c>
      <c r="J80" s="159" t="s">
        <v>213</v>
      </c>
      <c r="K80" s="6">
        <f>'Feedstock MIX per IVC'!J114</f>
        <v>0</v>
      </c>
      <c r="L80" s="2">
        <f>K80*F$72</f>
        <v>0</v>
      </c>
    </row>
    <row r="81" spans="1:20" s="80" customFormat="1" x14ac:dyDescent="0.35">
      <c r="D81" s="92"/>
      <c r="E81" s="92"/>
      <c r="F81" s="230"/>
      <c r="G81" s="6"/>
      <c r="L81" s="92"/>
    </row>
    <row r="82" spans="1:20" s="80" customFormat="1" x14ac:dyDescent="0.35">
      <c r="F82" s="230"/>
      <c r="I82" s="80" t="s">
        <v>321</v>
      </c>
      <c r="L82" s="230">
        <f>SUM(L83:L88)</f>
        <v>2749010945.063818</v>
      </c>
      <c r="M82" s="80" t="s">
        <v>214</v>
      </c>
      <c r="O82" s="92">
        <f>SUM(O83:O88)</f>
        <v>4631234893.549675</v>
      </c>
      <c r="P82" s="80" t="s">
        <v>214</v>
      </c>
      <c r="R82" s="92">
        <f>SUM(R83:R87)</f>
        <v>4758932634.4377594</v>
      </c>
      <c r="S82" s="92">
        <f>SUM(S83:S87)</f>
        <v>0.39203086477412791</v>
      </c>
      <c r="T82" s="92"/>
    </row>
    <row r="83" spans="1:20" x14ac:dyDescent="0.35">
      <c r="D83" s="2"/>
      <c r="E83" s="2"/>
      <c r="G83" s="2"/>
      <c r="H83" s="6"/>
      <c r="J83" s="154" t="s">
        <v>212</v>
      </c>
      <c r="L83" s="2">
        <f>SUMIF($J$50:$J$80, J83, $L$50:$L$80)</f>
        <v>1199872145.2820034</v>
      </c>
      <c r="M83" s="5" t="s">
        <v>245</v>
      </c>
      <c r="O83" s="2">
        <f t="shared" ref="O83:O88" si="25">SUMIF($M$50:$M$78, M83, $O$50:$O$78)</f>
        <v>240051796.875</v>
      </c>
      <c r="P83" s="18" t="s">
        <v>251</v>
      </c>
      <c r="R83" s="2">
        <f>SUMIF($P$50:$P$77, P83, $R$50:$R$77)</f>
        <v>879210761.26255202</v>
      </c>
      <c r="S83">
        <f>R83/$H$48</f>
        <v>7.2427533973108915E-2</v>
      </c>
    </row>
    <row r="84" spans="1:20" x14ac:dyDescent="0.35">
      <c r="D84" s="2"/>
      <c r="E84" s="2"/>
      <c r="G84" s="2"/>
      <c r="H84" s="6"/>
      <c r="J84" s="178" t="s">
        <v>256</v>
      </c>
      <c r="L84" s="2">
        <f t="shared" ref="L84:L88" si="26">SUMIF($J$50:$J$80, J84, $L$50:$L$80)</f>
        <v>70895414.400487542</v>
      </c>
      <c r="M84" t="s">
        <v>246</v>
      </c>
      <c r="O84" s="2">
        <f t="shared" si="25"/>
        <v>92624697.870993495</v>
      </c>
      <c r="P84" s="18" t="s">
        <v>210</v>
      </c>
      <c r="R84" s="2">
        <f t="shared" ref="R84:R87" si="27">SUMIF($P$50:$P$77, P84, $R$50:$R$77)</f>
        <v>2016587489.0938799</v>
      </c>
      <c r="S84">
        <f>R84/$H$48</f>
        <v>0.16612223747848062</v>
      </c>
    </row>
    <row r="85" spans="1:20" x14ac:dyDescent="0.35">
      <c r="D85" s="1"/>
      <c r="E85" s="1"/>
      <c r="G85" s="2"/>
      <c r="H85" s="6"/>
      <c r="J85" s="156" t="s">
        <v>209</v>
      </c>
      <c r="L85" s="2">
        <f t="shared" si="26"/>
        <v>318246905.55141407</v>
      </c>
      <c r="M85" s="5" t="s">
        <v>244</v>
      </c>
      <c r="O85" s="2">
        <f t="shared" si="25"/>
        <v>2235600181.1498375</v>
      </c>
      <c r="P85" s="18" t="s">
        <v>252</v>
      </c>
      <c r="R85" s="2">
        <f t="shared" si="27"/>
        <v>786415660.79066396</v>
      </c>
      <c r="S85">
        <f>R85/$H$48</f>
        <v>6.478326869783585E-2</v>
      </c>
    </row>
    <row r="86" spans="1:20" x14ac:dyDescent="0.35">
      <c r="D86" s="1"/>
      <c r="E86" s="1"/>
      <c r="G86" s="2"/>
      <c r="H86" s="6"/>
      <c r="J86" s="157" t="s">
        <v>211</v>
      </c>
      <c r="L86" s="2">
        <f>SUMIF($J$50:$J$80, J86, $L$50:$L$80)</f>
        <v>6445938.4385219505</v>
      </c>
      <c r="M86" t="s">
        <v>247</v>
      </c>
      <c r="O86" s="2">
        <f t="shared" si="25"/>
        <v>614667968.40745115</v>
      </c>
      <c r="P86" s="18" t="s">
        <v>253</v>
      </c>
      <c r="R86" s="2">
        <f t="shared" si="27"/>
        <v>766196325.94377601</v>
      </c>
      <c r="S86">
        <f>R86/$H$48</f>
        <v>6.3117642404279445E-2</v>
      </c>
    </row>
    <row r="87" spans="1:20" s="80" customFormat="1" x14ac:dyDescent="0.35">
      <c r="D87" s="92"/>
      <c r="E87" s="92"/>
      <c r="F87" s="230"/>
      <c r="G87" s="1"/>
      <c r="H87" s="6"/>
      <c r="J87" s="159" t="s">
        <v>213</v>
      </c>
      <c r="L87" s="2">
        <f t="shared" si="26"/>
        <v>0</v>
      </c>
      <c r="M87" t="s">
        <v>248</v>
      </c>
      <c r="O87" s="2">
        <f t="shared" si="25"/>
        <v>1309353202.4399023</v>
      </c>
      <c r="P87" s="18" t="s">
        <v>254</v>
      </c>
      <c r="R87" s="2">
        <f t="shared" si="27"/>
        <v>310522397.34688801</v>
      </c>
      <c r="S87">
        <f>R87/$H$48</f>
        <v>2.5580182220423062E-2</v>
      </c>
    </row>
    <row r="88" spans="1:20" s="80" customFormat="1" x14ac:dyDescent="0.35">
      <c r="D88" s="92"/>
      <c r="E88" s="92"/>
      <c r="F88" s="230"/>
      <c r="G88" s="1"/>
      <c r="H88" s="6"/>
      <c r="J88" s="207" t="s">
        <v>106</v>
      </c>
      <c r="L88" s="2">
        <f t="shared" si="26"/>
        <v>1153550541.391391</v>
      </c>
      <c r="M88" t="s">
        <v>250</v>
      </c>
      <c r="O88" s="2">
        <f t="shared" si="25"/>
        <v>138937046.80649024</v>
      </c>
    </row>
    <row r="89" spans="1:20" s="93" customFormat="1" ht="32.5" customHeight="1" x14ac:dyDescent="0.35">
      <c r="A89" s="93" t="s">
        <v>106</v>
      </c>
      <c r="D89" s="231"/>
      <c r="E89" s="94"/>
      <c r="F89" s="176"/>
    </row>
    <row r="90" spans="1:20" ht="16.5" customHeight="1" x14ac:dyDescent="0.35">
      <c r="B90" s="2">
        <f>C90/1000000</f>
        <v>26710.403622802605</v>
      </c>
      <c r="C90" s="102">
        <f>C91+C101</f>
        <v>26710403622.802605</v>
      </c>
      <c r="D90" s="102">
        <f>D92+D102</f>
        <v>1.4537188807568364</v>
      </c>
      <c r="E90" s="2"/>
      <c r="F90" s="102">
        <f>F91+F101</f>
        <v>20949336.174747139</v>
      </c>
      <c r="L90" s="2">
        <f>L91+L101</f>
        <v>2519600939.3176756</v>
      </c>
      <c r="O90" s="2">
        <f>O91+O101</f>
        <v>15112858177.088928</v>
      </c>
      <c r="R90" s="2">
        <f>R91+R101</f>
        <v>4018977897.8661642</v>
      </c>
    </row>
    <row r="91" spans="1:20" s="219" customFormat="1" x14ac:dyDescent="0.35">
      <c r="A91" s="219" t="s">
        <v>59</v>
      </c>
      <c r="B91" s="219">
        <v>1275</v>
      </c>
      <c r="C91" s="219">
        <f>B91*F91</f>
        <v>10766301140.788216</v>
      </c>
      <c r="D91" s="219">
        <f>'[1]GAP analysis Sc. 2'!$M$132</f>
        <v>10.092329563971216</v>
      </c>
      <c r="E91" s="219">
        <f>'[2]Conversion factors selected IV '!$O$29</f>
        <v>0.83669064748201449</v>
      </c>
      <c r="F91" s="219">
        <f>D91*E91*1000000</f>
        <v>8444157.7574809529</v>
      </c>
      <c r="G91" s="219">
        <f>'LCoP 2030 HIGH'!E10</f>
        <v>1029.7034823638371</v>
      </c>
      <c r="H91" s="219">
        <f>G91*F91</f>
        <v>8694978648.5077477</v>
      </c>
      <c r="I91" s="276">
        <f>'LCoP 2030 HIGH'!H10</f>
        <v>-1.534084122926304E-2</v>
      </c>
      <c r="L91" s="219">
        <f>I91*H91</f>
        <v>-133388286.93858948</v>
      </c>
      <c r="M91" s="276">
        <f>'LCoP 2030 HIGH'!F10</f>
        <v>0.58754778473811975</v>
      </c>
      <c r="O91" s="219">
        <f>M91*H91</f>
        <v>5108715443.2759771</v>
      </c>
      <c r="P91" s="276">
        <f>'LCoP 2030 HIGH'!G10</f>
        <v>0.42779305649114335</v>
      </c>
      <c r="R91" s="219">
        <f>P91*H91</f>
        <v>3719651492.1703601</v>
      </c>
      <c r="S91" s="219">
        <f>L91+O91+R91</f>
        <v>8694978648.5077477</v>
      </c>
    </row>
    <row r="92" spans="1:20" x14ac:dyDescent="0.35">
      <c r="C92" t="s">
        <v>436</v>
      </c>
      <c r="D92" s="6">
        <f>'[1]GAP analysis Sc. 2'!$N$132</f>
        <v>1.083748797669112</v>
      </c>
      <c r="E92" s="2"/>
      <c r="F92" s="157" t="s">
        <v>211</v>
      </c>
      <c r="G92" s="2">
        <f>SUMIF($J$92:$J$100,F92,$L$92:$L$100)/$L$91</f>
        <v>-0.27065849773126122</v>
      </c>
      <c r="I92" s="5" t="s">
        <v>20</v>
      </c>
      <c r="J92" s="154" t="s">
        <v>212</v>
      </c>
      <c r="K92" s="6">
        <f>'Feedstock MIX per IVC'!J25</f>
        <v>0.89326982561933999</v>
      </c>
      <c r="L92" s="2">
        <f>K92*F$91</f>
        <v>7542911.3275272073</v>
      </c>
      <c r="M92" s="5" t="s">
        <v>245</v>
      </c>
      <c r="N92" s="35">
        <v>0.05</v>
      </c>
      <c r="O92" s="2">
        <f t="shared" ref="O92:O97" si="28">N92*O$91</f>
        <v>255435772.16379887</v>
      </c>
      <c r="P92" s="18" t="s">
        <v>251</v>
      </c>
      <c r="Q92" s="35">
        <v>0.2</v>
      </c>
      <c r="R92" s="2">
        <f>Q92*R$91</f>
        <v>743930298.43407202</v>
      </c>
    </row>
    <row r="93" spans="1:20" x14ac:dyDescent="0.35">
      <c r="C93" t="s">
        <v>438</v>
      </c>
      <c r="D93" s="2">
        <f>D91-D92</f>
        <v>9.0085807663021029</v>
      </c>
      <c r="E93" s="2"/>
      <c r="F93" s="154" t="s">
        <v>212</v>
      </c>
      <c r="G93" s="2">
        <f t="shared" ref="G93:G95" si="29">SUMIF($J$92:$J$100,F93,$L$92:$L$100)/$L$91</f>
        <v>-1.2300084378216753</v>
      </c>
      <c r="I93" s="5" t="s">
        <v>8</v>
      </c>
      <c r="J93" s="154" t="s">
        <v>212</v>
      </c>
      <c r="K93" s="6">
        <f>'Feedstock MIX per IVC'!J26</f>
        <v>0.85601008031509007</v>
      </c>
      <c r="L93" s="2">
        <f t="shared" ref="L93:L100" si="30">K93*F$91</f>
        <v>7228284.1601745617</v>
      </c>
      <c r="M93" t="s">
        <v>246</v>
      </c>
      <c r="N93" s="35">
        <v>0.02</v>
      </c>
      <c r="O93" s="2">
        <f t="shared" si="28"/>
        <v>102174308.86551954</v>
      </c>
      <c r="P93" s="18" t="s">
        <v>210</v>
      </c>
      <c r="Q93" s="35">
        <v>0.5</v>
      </c>
      <c r="R93" s="2">
        <f t="shared" ref="R93:R96" si="31">Q93*R$91</f>
        <v>1859825746.08518</v>
      </c>
    </row>
    <row r="94" spans="1:20" x14ac:dyDescent="0.35">
      <c r="D94" s="2"/>
      <c r="E94" s="2"/>
      <c r="F94" s="258" t="s">
        <v>298</v>
      </c>
      <c r="G94" s="2">
        <f t="shared" si="29"/>
        <v>-3.2776530921362464E-2</v>
      </c>
      <c r="I94" s="5" t="s">
        <v>9</v>
      </c>
      <c r="J94" s="154" t="s">
        <v>212</v>
      </c>
      <c r="K94" s="6">
        <f>'Feedstock MIX per IVC'!J27</f>
        <v>0.60142905146453718</v>
      </c>
      <c r="L94" s="2">
        <f t="shared" si="30"/>
        <v>5078561.7904986832</v>
      </c>
      <c r="M94" s="5" t="s">
        <v>244</v>
      </c>
      <c r="N94" s="35">
        <v>0.4</v>
      </c>
      <c r="O94" s="2">
        <f t="shared" si="28"/>
        <v>2043486177.3103909</v>
      </c>
      <c r="P94" s="18" t="s">
        <v>252</v>
      </c>
      <c r="Q94" s="35">
        <v>0.15</v>
      </c>
      <c r="R94" s="2">
        <f t="shared" si="31"/>
        <v>557947723.82555401</v>
      </c>
    </row>
    <row r="95" spans="1:20" x14ac:dyDescent="0.35">
      <c r="D95" s="2"/>
      <c r="E95" s="2"/>
      <c r="F95" s="159" t="s">
        <v>213</v>
      </c>
      <c r="G95" s="2">
        <f t="shared" si="29"/>
        <v>2.5334434664742989</v>
      </c>
      <c r="I95" s="5" t="s">
        <v>21</v>
      </c>
      <c r="J95" s="157" t="s">
        <v>211</v>
      </c>
      <c r="K95" s="6">
        <f>'Feedstock MIX per IVC'!J28</f>
        <v>4.2754617327892195</v>
      </c>
      <c r="L95" s="2">
        <f t="shared" si="30"/>
        <v>36102673.357745044</v>
      </c>
      <c r="M95" t="s">
        <v>247</v>
      </c>
      <c r="N95" s="35">
        <v>0.3</v>
      </c>
      <c r="O95" s="2">
        <f t="shared" si="28"/>
        <v>1532614632.9827931</v>
      </c>
      <c r="P95" s="18" t="s">
        <v>253</v>
      </c>
      <c r="Q95" s="35">
        <v>0.1</v>
      </c>
      <c r="R95" s="2">
        <f t="shared" si="31"/>
        <v>371965149.21703601</v>
      </c>
    </row>
    <row r="96" spans="1:20" x14ac:dyDescent="0.35">
      <c r="D96" s="2"/>
      <c r="E96" s="2"/>
      <c r="G96" s="2">
        <f>SUM(G92:G95)</f>
        <v>0.99999999999999978</v>
      </c>
      <c r="I96" s="5" t="s">
        <v>5</v>
      </c>
      <c r="J96" s="154" t="s">
        <v>212</v>
      </c>
      <c r="K96" s="6">
        <f>'Feedstock MIX per IVC'!J29</f>
        <v>17.079141023280282</v>
      </c>
      <c r="L96" s="2">
        <f t="shared" si="30"/>
        <v>144218961.16284338</v>
      </c>
      <c r="M96" t="s">
        <v>248</v>
      </c>
      <c r="N96" s="35">
        <v>0.2</v>
      </c>
      <c r="O96" s="2">
        <f t="shared" si="28"/>
        <v>1021743088.6551955</v>
      </c>
      <c r="P96" s="18" t="s">
        <v>254</v>
      </c>
      <c r="Q96" s="35">
        <v>0.05</v>
      </c>
      <c r="R96" s="2">
        <f t="shared" si="31"/>
        <v>185982574.608518</v>
      </c>
    </row>
    <row r="97" spans="1:18" x14ac:dyDescent="0.35">
      <c r="D97" s="2"/>
      <c r="E97" s="2"/>
      <c r="F97" s="258"/>
      <c r="G97" s="2"/>
      <c r="I97" s="5" t="s">
        <v>22</v>
      </c>
      <c r="J97" s="154" t="s">
        <v>212</v>
      </c>
      <c r="K97" s="6">
        <f>'Feedstock MIX per IVC'!J30</f>
        <v>0</v>
      </c>
      <c r="L97" s="2">
        <f t="shared" si="30"/>
        <v>0</v>
      </c>
      <c r="M97" t="s">
        <v>250</v>
      </c>
      <c r="N97" s="35">
        <v>0.03</v>
      </c>
      <c r="O97" s="2">
        <f t="shared" si="28"/>
        <v>153261463.29827932</v>
      </c>
      <c r="R97" s="2"/>
    </row>
    <row r="98" spans="1:18" x14ac:dyDescent="0.35">
      <c r="D98" s="2"/>
      <c r="E98" s="2"/>
      <c r="G98" s="2"/>
      <c r="I98" s="5" t="s">
        <v>23</v>
      </c>
      <c r="J98" s="159" t="s">
        <v>213</v>
      </c>
      <c r="K98" s="6">
        <f>'Feedstock MIX per IVC'!J31</f>
        <v>0</v>
      </c>
      <c r="L98" s="2">
        <f t="shared" si="30"/>
        <v>0</v>
      </c>
      <c r="N98" s="35">
        <f>SUM(N92:N97)</f>
        <v>1</v>
      </c>
      <c r="O98" s="2"/>
    </row>
    <row r="99" spans="1:18" x14ac:dyDescent="0.35">
      <c r="D99" s="2"/>
      <c r="E99" s="2"/>
      <c r="G99" s="2"/>
      <c r="I99" s="12" t="s">
        <v>24</v>
      </c>
      <c r="J99" s="159" t="s">
        <v>213</v>
      </c>
      <c r="K99" s="6">
        <f>'Feedstock MIX per IVC'!J32</f>
        <v>-40.019584398382889</v>
      </c>
      <c r="L99" s="2">
        <f t="shared" si="30"/>
        <v>-337931684.04876858</v>
      </c>
      <c r="M99" s="2"/>
    </row>
    <row r="100" spans="1:18" s="80" customFormat="1" x14ac:dyDescent="0.35">
      <c r="D100" s="95"/>
      <c r="E100" s="95"/>
      <c r="F100" s="230"/>
      <c r="G100" s="237"/>
      <c r="H100" s="80" t="s">
        <v>125</v>
      </c>
      <c r="I100" s="13" t="s">
        <v>25</v>
      </c>
      <c r="J100" s="258" t="s">
        <v>298</v>
      </c>
      <c r="K100" s="6">
        <f>'Feedstock MIX per IVC'!J33</f>
        <v>0.51775504875154021</v>
      </c>
      <c r="L100" s="2">
        <f t="shared" si="30"/>
        <v>4372005.3113902472</v>
      </c>
    </row>
    <row r="101" spans="1:18" s="219" customFormat="1" x14ac:dyDescent="0.35">
      <c r="A101" s="219" t="s">
        <v>60</v>
      </c>
      <c r="B101" s="219">
        <v>1275</v>
      </c>
      <c r="C101" s="219">
        <f>B101*F101</f>
        <v>15944102482.014389</v>
      </c>
      <c r="D101" s="219">
        <f>'[1]GAP analysis Sc. 2'!$M$144</f>
        <v>14.946</v>
      </c>
      <c r="E101" s="219">
        <f>'[2]Conversion factors selected IV '!$O$52</f>
        <v>0.83669064748201449</v>
      </c>
      <c r="F101" s="219">
        <f>D101*E101*1000000</f>
        <v>12505178.417266188</v>
      </c>
      <c r="G101" s="219">
        <f>'LCoP 2030 HIGH'!E14</f>
        <v>1372.151249485031</v>
      </c>
      <c r="H101" s="219">
        <f>G101*F101</f>
        <v>17158996190.285044</v>
      </c>
      <c r="I101" s="276">
        <f>'LCoP 2030 HIGH'!H14</f>
        <v>0.15461214612066382</v>
      </c>
      <c r="L101" s="219">
        <f>I101*H101</f>
        <v>2652989226.2562652</v>
      </c>
      <c r="M101" s="276">
        <f>'LCoP 2030 HIGH'!F14</f>
        <v>0.58302610612368011</v>
      </c>
      <c r="O101" s="219">
        <f>M101*H101</f>
        <v>10004142733.81295</v>
      </c>
      <c r="P101" s="276">
        <f>'LCoP 2030 HIGH'!G14</f>
        <v>0.26236174775565607</v>
      </c>
      <c r="R101" s="219">
        <v>299326405.69580394</v>
      </c>
    </row>
    <row r="102" spans="1:18" s="80" customFormat="1" x14ac:dyDescent="0.35">
      <c r="C102" s="80" t="s">
        <v>439</v>
      </c>
      <c r="D102" s="2">
        <f>'[1]GAP analysis Sc. 2'!$N$144</f>
        <v>0.36997008308772433</v>
      </c>
      <c r="E102" s="95"/>
      <c r="F102" s="157" t="s">
        <v>211</v>
      </c>
      <c r="G102" s="2">
        <f>SUMIF($J$102:$J$111,F102,$L$102:$L$111)/$L$101</f>
        <v>1.472156454659493E-2</v>
      </c>
      <c r="I102" s="5" t="s">
        <v>5</v>
      </c>
      <c r="J102" s="154" t="s">
        <v>212</v>
      </c>
      <c r="K102" s="229">
        <f>'Feedstock MIX per IVC'!J50</f>
        <v>117.73884028764297</v>
      </c>
      <c r="L102" s="2">
        <f t="shared" ref="L102:L111" si="32">K102*F$101</f>
        <v>1472345204.4389837</v>
      </c>
      <c r="M102" s="5" t="s">
        <v>245</v>
      </c>
      <c r="N102" s="35">
        <v>0</v>
      </c>
      <c r="O102" s="2">
        <f t="shared" ref="O102:O107" si="33">N102*O$101</f>
        <v>0</v>
      </c>
      <c r="P102" s="18" t="s">
        <v>251</v>
      </c>
      <c r="Q102" s="35">
        <v>0.25</v>
      </c>
      <c r="R102" s="104">
        <f>Q102*R$101</f>
        <v>74831601.423950985</v>
      </c>
    </row>
    <row r="103" spans="1:18" s="80" customFormat="1" x14ac:dyDescent="0.35">
      <c r="C103" s="80" t="s">
        <v>437</v>
      </c>
      <c r="D103" s="95">
        <f>D101-D102</f>
        <v>14.576029916912276</v>
      </c>
      <c r="E103" s="95"/>
      <c r="F103" s="154" t="s">
        <v>212</v>
      </c>
      <c r="G103" s="2">
        <f t="shared" ref="G103:G106" si="34">SUMIF($J$102:$J$111,F103,$L$102:$L$111)/$L$101</f>
        <v>0.63136317402952102</v>
      </c>
      <c r="I103" s="5" t="s">
        <v>6</v>
      </c>
      <c r="J103" s="154" t="s">
        <v>212</v>
      </c>
      <c r="K103" s="229">
        <f>'Feedstock MIX per IVC'!J51</f>
        <v>6.1584666021445331</v>
      </c>
      <c r="L103" s="2">
        <f t="shared" si="32"/>
        <v>77012723.636592448</v>
      </c>
      <c r="M103" t="s">
        <v>246</v>
      </c>
      <c r="N103" s="35">
        <v>0.02</v>
      </c>
      <c r="O103" s="2">
        <f t="shared" si="33"/>
        <v>200082854.67625901</v>
      </c>
      <c r="P103" s="18" t="s">
        <v>210</v>
      </c>
      <c r="Q103" s="35">
        <v>0.15</v>
      </c>
      <c r="R103" s="104">
        <f t="shared" ref="R103:R106" si="35">Q103*R$101</f>
        <v>44898960.854370587</v>
      </c>
    </row>
    <row r="104" spans="1:18" s="80" customFormat="1" x14ac:dyDescent="0.35">
      <c r="D104" s="95"/>
      <c r="E104" s="95"/>
      <c r="F104" s="178" t="s">
        <v>256</v>
      </c>
      <c r="G104" s="2">
        <f t="shared" si="34"/>
        <v>0.15095068681282589</v>
      </c>
      <c r="I104" s="5" t="s">
        <v>23</v>
      </c>
      <c r="J104" s="159" t="s">
        <v>213</v>
      </c>
      <c r="K104" s="229">
        <f>'Feedstock MIX per IVC'!J52</f>
        <v>0</v>
      </c>
      <c r="L104" s="2">
        <f t="shared" si="32"/>
        <v>0</v>
      </c>
      <c r="M104" s="5" t="s">
        <v>244</v>
      </c>
      <c r="N104" s="35">
        <v>0.55000000000000004</v>
      </c>
      <c r="O104" s="2">
        <f t="shared" si="33"/>
        <v>5502278503.5971231</v>
      </c>
      <c r="P104" s="18" t="s">
        <v>252</v>
      </c>
      <c r="Q104" s="35">
        <v>0.3</v>
      </c>
      <c r="R104" s="104">
        <f t="shared" si="35"/>
        <v>89797921.708741173</v>
      </c>
    </row>
    <row r="105" spans="1:18" s="80" customFormat="1" x14ac:dyDescent="0.35">
      <c r="D105" s="95"/>
      <c r="E105" s="95"/>
      <c r="F105" s="156" t="s">
        <v>209</v>
      </c>
      <c r="G105" s="2">
        <f t="shared" si="34"/>
        <v>0.18503140054223777</v>
      </c>
      <c r="I105" s="5" t="s">
        <v>7</v>
      </c>
      <c r="J105" s="157" t="s">
        <v>211</v>
      </c>
      <c r="K105" s="229">
        <f>'Feedstock MIX per IVC'!J53</f>
        <v>3.1231983129346497</v>
      </c>
      <c r="L105" s="2">
        <f t="shared" si="32"/>
        <v>39056152.135752551</v>
      </c>
      <c r="M105" t="s">
        <v>247</v>
      </c>
      <c r="N105" s="35">
        <v>0.1</v>
      </c>
      <c r="O105" s="2">
        <f t="shared" si="33"/>
        <v>1000414273.3812951</v>
      </c>
      <c r="P105" s="18" t="s">
        <v>253</v>
      </c>
      <c r="Q105" s="35">
        <v>0.3</v>
      </c>
      <c r="R105" s="104">
        <f t="shared" si="35"/>
        <v>89797921.708741173</v>
      </c>
    </row>
    <row r="106" spans="1:18" s="80" customFormat="1" x14ac:dyDescent="0.35">
      <c r="D106" s="95"/>
      <c r="E106" s="95"/>
      <c r="F106" s="159" t="s">
        <v>213</v>
      </c>
      <c r="G106" s="2">
        <f t="shared" si="34"/>
        <v>0</v>
      </c>
      <c r="I106" s="5" t="s">
        <v>8</v>
      </c>
      <c r="J106" s="154" t="s">
        <v>212</v>
      </c>
      <c r="K106" s="229">
        <f>'Feedstock MIX per IVC'!J54</f>
        <v>5.9010950254144312</v>
      </c>
      <c r="L106" s="2">
        <f t="shared" si="32"/>
        <v>73794246.150049418</v>
      </c>
      <c r="M106" t="s">
        <v>248</v>
      </c>
      <c r="N106" s="35">
        <v>0.3</v>
      </c>
      <c r="O106" s="2">
        <f t="shared" si="33"/>
        <v>3001242820.1438851</v>
      </c>
      <c r="P106" s="18" t="s">
        <v>254</v>
      </c>
      <c r="Q106" s="240">
        <v>0</v>
      </c>
      <c r="R106" s="104">
        <f t="shared" si="35"/>
        <v>0</v>
      </c>
    </row>
    <row r="107" spans="1:18" s="80" customFormat="1" x14ac:dyDescent="0.35">
      <c r="D107" s="95"/>
      <c r="E107" s="95"/>
      <c r="F107" s="158" t="s">
        <v>104</v>
      </c>
      <c r="G107" s="2">
        <f>SUMIF($J$102:$J$111,F107,$L$102:$L$111)/$L$101/2</f>
        <v>8.9665870344102054E-3</v>
      </c>
      <c r="I107" s="5" t="s">
        <v>9</v>
      </c>
      <c r="J107" s="154" t="s">
        <v>212</v>
      </c>
      <c r="K107" s="229">
        <f>'Feedstock MIX per IVC'!J55</f>
        <v>4.1460843339960558</v>
      </c>
      <c r="L107" s="2">
        <f t="shared" si="32"/>
        <v>51847524.329652935</v>
      </c>
      <c r="M107" t="s">
        <v>250</v>
      </c>
      <c r="N107" s="35">
        <v>0.03</v>
      </c>
      <c r="O107" s="2">
        <f t="shared" si="33"/>
        <v>300124282.0143885</v>
      </c>
      <c r="P107"/>
      <c r="Q107"/>
      <c r="R107" s="104"/>
    </row>
    <row r="108" spans="1:18" s="80" customFormat="1" x14ac:dyDescent="0.35">
      <c r="D108" s="95"/>
      <c r="E108" s="95"/>
      <c r="F108" s="207" t="s">
        <v>105</v>
      </c>
      <c r="G108" s="92">
        <f>G107</f>
        <v>8.9665870344102054E-3</v>
      </c>
      <c r="I108" s="5" t="s">
        <v>10</v>
      </c>
      <c r="J108" s="178" t="s">
        <v>256</v>
      </c>
      <c r="K108" s="229">
        <f>'Feedstock MIX per IVC'!J56</f>
        <v>32.024376817964615</v>
      </c>
      <c r="L108" s="2">
        <f t="shared" si="32"/>
        <v>400470545.81041074</v>
      </c>
      <c r="M108"/>
      <c r="N108" s="123"/>
      <c r="O108" s="2"/>
      <c r="P108" s="18"/>
      <c r="Q108" s="123"/>
      <c r="R108" s="2"/>
    </row>
    <row r="109" spans="1:18" s="80" customFormat="1" x14ac:dyDescent="0.35">
      <c r="D109" s="95"/>
      <c r="E109" s="95"/>
      <c r="F109" s="230"/>
      <c r="G109" s="299">
        <f>SUM(G102:G108)</f>
        <v>1</v>
      </c>
      <c r="I109" s="5" t="s">
        <v>11</v>
      </c>
      <c r="J109" s="156" t="s">
        <v>209</v>
      </c>
      <c r="K109" s="229">
        <f>'Feedstock MIX per IVC'!J57</f>
        <v>39.254642819000999</v>
      </c>
      <c r="L109" s="2">
        <f t="shared" si="32"/>
        <v>490886312.15766448</v>
      </c>
    </row>
    <row r="110" spans="1:18" s="80" customFormat="1" x14ac:dyDescent="0.35">
      <c r="D110" s="95"/>
      <c r="E110" s="95"/>
      <c r="F110" s="230"/>
      <c r="G110" s="237"/>
      <c r="I110" s="5" t="s">
        <v>12</v>
      </c>
      <c r="J110" s="159" t="s">
        <v>213</v>
      </c>
      <c r="K110" s="229">
        <f>'Feedstock MIX per IVC'!J58</f>
        <v>0</v>
      </c>
      <c r="L110" s="2">
        <f t="shared" si="32"/>
        <v>0</v>
      </c>
    </row>
    <row r="111" spans="1:18" s="80" customFormat="1" x14ac:dyDescent="0.35">
      <c r="D111" s="95"/>
      <c r="E111" s="95"/>
      <c r="F111" s="230"/>
      <c r="G111" s="237"/>
      <c r="I111" s="253" t="s">
        <v>33</v>
      </c>
      <c r="J111" s="158" t="s">
        <v>104</v>
      </c>
      <c r="K111" s="229">
        <f>'Feedstock MIX per IVC'!J59</f>
        <v>3.8045452859328091</v>
      </c>
      <c r="L111" s="2">
        <f t="shared" si="32"/>
        <v>47576517.597158782</v>
      </c>
    </row>
    <row r="112" spans="1:18" s="80" customFormat="1" x14ac:dyDescent="0.35">
      <c r="D112" s="95"/>
      <c r="E112" s="95"/>
      <c r="F112" s="230"/>
      <c r="G112" s="237"/>
      <c r="I112" s="14"/>
      <c r="K112" s="6"/>
      <c r="L112" s="2"/>
    </row>
    <row r="113" spans="1:19" s="80" customFormat="1" x14ac:dyDescent="0.35">
      <c r="D113" s="95"/>
      <c r="E113" s="95"/>
      <c r="F113" s="230"/>
      <c r="G113" s="237"/>
      <c r="I113" s="14" t="s">
        <v>214</v>
      </c>
      <c r="K113" s="6"/>
      <c r="L113" s="2">
        <f>SUM(L114:L120)</f>
        <v>2519600939.3176761</v>
      </c>
      <c r="O113" s="2">
        <f>SUM(O114:O120)</f>
        <v>15112858177.088928</v>
      </c>
      <c r="R113" s="2">
        <f>SUM(R114:R120)</f>
        <v>4018977897.8661637</v>
      </c>
    </row>
    <row r="114" spans="1:19" s="80" customFormat="1" x14ac:dyDescent="0.35">
      <c r="D114" s="95"/>
      <c r="E114" s="95"/>
      <c r="F114" s="230"/>
      <c r="G114" s="237"/>
      <c r="J114" s="157" t="s">
        <v>211</v>
      </c>
      <c r="K114" s="6"/>
      <c r="L114" s="2">
        <f>SUMIF($J$92:$J$111, J114, $L$92:$L$111)</f>
        <v>75158825.493497595</v>
      </c>
      <c r="M114" s="5" t="s">
        <v>245</v>
      </c>
      <c r="O114" s="2">
        <f t="shared" ref="O114:O120" si="36">SUMIF(M92:M107,M114,O92:O107)</f>
        <v>255435772.16379887</v>
      </c>
      <c r="P114" s="18" t="s">
        <v>251</v>
      </c>
      <c r="R114">
        <f>SUMIF($P$92:$P$106, P114, $R$92:$R$106)</f>
        <v>818761899.85802305</v>
      </c>
    </row>
    <row r="115" spans="1:19" s="80" customFormat="1" x14ac:dyDescent="0.35">
      <c r="D115" s="95"/>
      <c r="E115" s="95"/>
      <c r="F115" s="230"/>
      <c r="G115" s="237"/>
      <c r="I115" s="14"/>
      <c r="J115" s="154" t="s">
        <v>212</v>
      </c>
      <c r="K115" s="6"/>
      <c r="L115" s="2">
        <f>SUMIF($J$92:$J$111, J115, $L$92:$L$111)</f>
        <v>1839068416.9963224</v>
      </c>
      <c r="M115" t="s">
        <v>246</v>
      </c>
      <c r="O115" s="2">
        <f t="shared" si="36"/>
        <v>302257163.54177856</v>
      </c>
      <c r="P115" s="18" t="s">
        <v>210</v>
      </c>
      <c r="R115">
        <f t="shared" ref="R115:R117" si="37">SUMIF($P$92:$P$106, P115, $R$92:$R$106)</f>
        <v>1904724706.9395506</v>
      </c>
    </row>
    <row r="116" spans="1:19" s="80" customFormat="1" x14ac:dyDescent="0.35">
      <c r="D116" s="95"/>
      <c r="E116" s="95"/>
      <c r="F116" s="230"/>
      <c r="G116" s="237"/>
      <c r="I116" s="14"/>
      <c r="J116" s="178" t="s">
        <v>256</v>
      </c>
      <c r="K116" s="6"/>
      <c r="L116" s="2">
        <f>SUMIF($J$92:$J$111, J116, $L$92:$L$111)</f>
        <v>400470545.81041074</v>
      </c>
      <c r="M116" s="5" t="s">
        <v>244</v>
      </c>
      <c r="O116" s="2">
        <f t="shared" si="36"/>
        <v>7545764680.9075146</v>
      </c>
      <c r="P116" s="18" t="s">
        <v>252</v>
      </c>
      <c r="R116">
        <f t="shared" si="37"/>
        <v>647745645.5342952</v>
      </c>
    </row>
    <row r="117" spans="1:19" s="80" customFormat="1" x14ac:dyDescent="0.35">
      <c r="D117" s="95"/>
      <c r="E117" s="95"/>
      <c r="F117" s="230"/>
      <c r="G117" s="237"/>
      <c r="I117" s="14"/>
      <c r="J117" s="156" t="s">
        <v>209</v>
      </c>
      <c r="K117" s="6"/>
      <c r="L117" s="2">
        <f t="shared" ref="L117:L120" si="38">SUMIF($J$92:$J$111, J117, $L$92:$L$111)</f>
        <v>490886312.15766448</v>
      </c>
      <c r="M117" t="s">
        <v>247</v>
      </c>
      <c r="O117" s="2">
        <f t="shared" si="36"/>
        <v>2533028906.3640881</v>
      </c>
      <c r="P117" s="18" t="s">
        <v>253</v>
      </c>
      <c r="R117">
        <f t="shared" si="37"/>
        <v>461763070.9257772</v>
      </c>
    </row>
    <row r="118" spans="1:19" s="80" customFormat="1" x14ac:dyDescent="0.35">
      <c r="D118" s="95"/>
      <c r="E118" s="95"/>
      <c r="F118" s="230"/>
      <c r="G118" s="237"/>
      <c r="I118" s="14"/>
      <c r="J118" s="159" t="s">
        <v>213</v>
      </c>
      <c r="K118" s="6"/>
      <c r="L118" s="2">
        <f t="shared" si="38"/>
        <v>-337931684.04876858</v>
      </c>
      <c r="M118" t="s">
        <v>248</v>
      </c>
      <c r="O118" s="2">
        <f t="shared" si="36"/>
        <v>4022985908.7990808</v>
      </c>
      <c r="P118" s="18" t="s">
        <v>254</v>
      </c>
      <c r="R118">
        <f>SUMIF($P$92:$P$106, P118, $R$92:$R$106)</f>
        <v>185982574.608518</v>
      </c>
    </row>
    <row r="119" spans="1:19" s="80" customFormat="1" x14ac:dyDescent="0.35">
      <c r="D119" s="95"/>
      <c r="E119" s="95"/>
      <c r="F119" s="230"/>
      <c r="G119" s="237"/>
      <c r="I119" s="14"/>
      <c r="J119" s="158" t="s">
        <v>104</v>
      </c>
      <c r="K119" s="6"/>
      <c r="L119" s="2">
        <f t="shared" si="38"/>
        <v>47576517.597158782</v>
      </c>
      <c r="M119" t="s">
        <v>250</v>
      </c>
      <c r="O119" s="2">
        <f t="shared" si="36"/>
        <v>453385745.31266785</v>
      </c>
      <c r="R119">
        <f t="shared" ref="R119" si="39">SUMIF(P97:P111, P119, R97:R111)</f>
        <v>0</v>
      </c>
    </row>
    <row r="120" spans="1:19" s="80" customFormat="1" x14ac:dyDescent="0.35">
      <c r="D120" s="95"/>
      <c r="E120" s="95"/>
      <c r="F120" s="230"/>
      <c r="G120" s="237"/>
      <c r="I120" s="14"/>
      <c r="J120" s="258" t="s">
        <v>298</v>
      </c>
      <c r="K120" s="6"/>
      <c r="L120" s="2">
        <f t="shared" si="38"/>
        <v>4372005.3113902472</v>
      </c>
      <c r="O120" s="2">
        <f t="shared" si="36"/>
        <v>0</v>
      </c>
    </row>
    <row r="121" spans="1:19" s="80" customFormat="1" x14ac:dyDescent="0.35">
      <c r="D121" s="95"/>
      <c r="E121" s="95"/>
      <c r="F121" s="230"/>
      <c r="G121" s="237"/>
      <c r="I121" s="14"/>
      <c r="K121" s="6"/>
    </row>
    <row r="122" spans="1:19" s="93" customFormat="1" ht="26" customHeight="1" x14ac:dyDescent="0.35">
      <c r="A122" s="93" t="s">
        <v>107</v>
      </c>
      <c r="D122" s="94"/>
      <c r="E122" s="94"/>
      <c r="F122" s="176"/>
      <c r="I122" s="96"/>
    </row>
    <row r="123" spans="1:19" ht="16" customHeight="1" x14ac:dyDescent="0.35">
      <c r="B123" s="2">
        <f>C123/1000000</f>
        <v>5039.0246727103695</v>
      </c>
      <c r="C123" s="2">
        <f>C124+C131+C138+C150</f>
        <v>5039024672.7103691</v>
      </c>
      <c r="D123" s="2">
        <f>D124+D131+D138+D150</f>
        <v>2.1744817538448755</v>
      </c>
      <c r="E123" s="2"/>
      <c r="F123" s="2">
        <f>F124+F131+F138+F150</f>
        <v>2117237.2574413316</v>
      </c>
      <c r="H123" s="2">
        <f>H124+H131+H138+H150</f>
        <v>5518463350.5994549</v>
      </c>
      <c r="I123" s="6"/>
      <c r="L123" s="2">
        <f>SUM(L124+L131+L138+L150)</f>
        <v>1155060766.4464328</v>
      </c>
      <c r="O123" s="2">
        <f>SUM(O124+O131+O138+O150)</f>
        <v>2525652833.3478212</v>
      </c>
      <c r="R123" s="2">
        <f>SUM(R124+R131+R138+R150)</f>
        <v>1837749750.8052011</v>
      </c>
    </row>
    <row r="124" spans="1:19" s="219" customFormat="1" x14ac:dyDescent="0.35">
      <c r="A124" s="219" t="s">
        <v>91</v>
      </c>
      <c r="B124" s="219">
        <v>2380</v>
      </c>
      <c r="C124" s="219">
        <f>B124*F124</f>
        <v>947539832.08018494</v>
      </c>
      <c r="D124" s="219">
        <f>'[1]GAP analysis Sc. 2'!$N$148</f>
        <v>0.4088902535163329</v>
      </c>
      <c r="E124" s="219">
        <f>'[2]Conversion factors selected IV '!$O$78</f>
        <v>0.97367441860465131</v>
      </c>
      <c r="F124" s="219">
        <f>D124*E124*1000000</f>
        <v>398125.97986562393</v>
      </c>
      <c r="G124" s="219">
        <f>'LCoP 2030 HIGH'!E4</f>
        <v>1896.9094630842587</v>
      </c>
      <c r="H124" s="219">
        <f>G124*F124</f>
        <v>755208938.7067951</v>
      </c>
      <c r="I124" s="226">
        <f>'LCoP 2030 HIGH'!H4</f>
        <v>0.50340276205467094</v>
      </c>
      <c r="L124" s="219">
        <f>I124*H124</f>
        <v>380174265.67337734</v>
      </c>
      <c r="M124" s="226">
        <f>'LCoP 2030 HIGH'!F4</f>
        <v>0.19821715654718017</v>
      </c>
      <c r="O124" s="219">
        <f>M124*H124</f>
        <v>149695368.42947459</v>
      </c>
      <c r="P124" s="226">
        <f>'LCoP 2030 HIGH'!G4</f>
        <v>0.29838008139814887</v>
      </c>
      <c r="R124" s="219">
        <f>P124*H124</f>
        <v>225339304.60394314</v>
      </c>
      <c r="S124" s="219">
        <f>L124+O124+R124</f>
        <v>755208938.7067951</v>
      </c>
    </row>
    <row r="125" spans="1:19" x14ac:dyDescent="0.35">
      <c r="D125" s="2"/>
      <c r="E125" s="2"/>
      <c r="F125" s="154" t="s">
        <v>212</v>
      </c>
      <c r="G125" s="2">
        <f>SUMIF($J$125:$J$128,F125,$L$125:$L$128)/$L$124</f>
        <v>0.70197315346193834</v>
      </c>
      <c r="I125" s="4" t="s">
        <v>2</v>
      </c>
      <c r="J125" s="154" t="s">
        <v>212</v>
      </c>
      <c r="K125" s="6">
        <f>'Feedstock MIX per IVC'!J9</f>
        <v>499.57299247876324</v>
      </c>
      <c r="L125" s="2">
        <f>K125*F$124</f>
        <v>198892987.14500958</v>
      </c>
      <c r="M125" s="5" t="s">
        <v>245</v>
      </c>
      <c r="N125" s="123">
        <v>0.05</v>
      </c>
      <c r="O125" s="2">
        <f t="shared" ref="O125:O130" si="40">N125*O$124</f>
        <v>7484768.4214737304</v>
      </c>
      <c r="P125" s="18" t="s">
        <v>251</v>
      </c>
      <c r="Q125" s="123">
        <v>0.35</v>
      </c>
      <c r="R125" s="2">
        <f>Q125*R$124</f>
        <v>78868756.6113801</v>
      </c>
    </row>
    <row r="126" spans="1:19" x14ac:dyDescent="0.35">
      <c r="D126" s="2"/>
      <c r="E126" s="2"/>
      <c r="F126" s="158" t="s">
        <v>104</v>
      </c>
      <c r="G126" s="2">
        <f t="shared" ref="G126:G127" si="41">SUMIF($J$125:$J$128,F126,$L$125:$L$128)/$L$124</f>
        <v>0.14901342326903089</v>
      </c>
      <c r="I126" s="232" t="s">
        <v>162</v>
      </c>
      <c r="J126" s="154" t="s">
        <v>212</v>
      </c>
      <c r="K126" s="6">
        <f>'Feedstock MIX per IVC'!J10</f>
        <v>170.74781459314019</v>
      </c>
      <c r="L126" s="2">
        <f>K126*F$124</f>
        <v>67979140.994807824</v>
      </c>
      <c r="M126" t="s">
        <v>246</v>
      </c>
      <c r="N126" s="123">
        <v>0.02</v>
      </c>
      <c r="O126" s="2">
        <f t="shared" si="40"/>
        <v>2993907.368589492</v>
      </c>
      <c r="P126" s="18" t="s">
        <v>210</v>
      </c>
      <c r="Q126" s="123">
        <v>0.25</v>
      </c>
      <c r="R126" s="2">
        <f t="shared" ref="R126:R129" si="42">Q126*R$124</f>
        <v>56334826.150985785</v>
      </c>
    </row>
    <row r="127" spans="1:19" x14ac:dyDescent="0.35">
      <c r="D127" s="2"/>
      <c r="E127" s="2"/>
      <c r="F127" s="258" t="s">
        <v>298</v>
      </c>
      <c r="G127" s="2">
        <f t="shared" si="41"/>
        <v>0.14901342326903089</v>
      </c>
      <c r="I127" s="233" t="s">
        <v>341</v>
      </c>
      <c r="J127" s="158" t="s">
        <v>104</v>
      </c>
      <c r="K127" s="6">
        <f>'Feedstock MIX per IVC'!J11/2</f>
        <v>142.29432800617766</v>
      </c>
      <c r="L127" s="2">
        <f>K127*F$124</f>
        <v>56651068.766779974</v>
      </c>
      <c r="M127" s="5" t="s">
        <v>244</v>
      </c>
      <c r="N127" s="123">
        <v>0.45</v>
      </c>
      <c r="O127" s="2">
        <f t="shared" si="40"/>
        <v>67362915.793263569</v>
      </c>
      <c r="P127" s="18" t="s">
        <v>252</v>
      </c>
      <c r="Q127" s="123">
        <v>0.2</v>
      </c>
      <c r="R127" s="2">
        <f t="shared" si="42"/>
        <v>45067860.920788631</v>
      </c>
    </row>
    <row r="128" spans="1:19" x14ac:dyDescent="0.35">
      <c r="D128" s="2"/>
      <c r="E128" s="2"/>
      <c r="G128" s="2"/>
      <c r="I128" s="234" t="s">
        <v>342</v>
      </c>
      <c r="J128" s="258" t="s">
        <v>298</v>
      </c>
      <c r="K128" s="6">
        <f>'Feedstock MIX per IVC'!J11/2</f>
        <v>142.29432800617766</v>
      </c>
      <c r="L128" s="2">
        <f>K128*F$124</f>
        <v>56651068.766779974</v>
      </c>
      <c r="M128" t="s">
        <v>247</v>
      </c>
      <c r="N128" s="123">
        <v>0.15</v>
      </c>
      <c r="O128" s="2">
        <f t="shared" si="40"/>
        <v>22454305.264421187</v>
      </c>
      <c r="P128" s="18" t="s">
        <v>253</v>
      </c>
      <c r="Q128" s="123">
        <v>0.15</v>
      </c>
      <c r="R128" s="2">
        <f t="shared" si="42"/>
        <v>33800895.690591469</v>
      </c>
    </row>
    <row r="129" spans="1:19" x14ac:dyDescent="0.35">
      <c r="D129" s="2"/>
      <c r="E129" s="2"/>
      <c r="G129" s="2"/>
      <c r="L129" s="2"/>
      <c r="M129" t="s">
        <v>248</v>
      </c>
      <c r="N129" s="123">
        <v>0.3</v>
      </c>
      <c r="O129" s="2">
        <f t="shared" si="40"/>
        <v>44908610.528842375</v>
      </c>
      <c r="P129" s="18" t="s">
        <v>254</v>
      </c>
      <c r="Q129" s="123">
        <v>0.05</v>
      </c>
      <c r="R129" s="2">
        <f t="shared" si="42"/>
        <v>11266965.230197158</v>
      </c>
    </row>
    <row r="130" spans="1:19" x14ac:dyDescent="0.35">
      <c r="D130" s="2"/>
      <c r="E130" s="2"/>
      <c r="G130" s="2"/>
      <c r="L130" s="2">
        <f>SUM(L125:L128)</f>
        <v>380174265.67337734</v>
      </c>
      <c r="M130" t="s">
        <v>250</v>
      </c>
      <c r="N130" s="123">
        <v>0.03</v>
      </c>
      <c r="O130" s="2">
        <f t="shared" si="40"/>
        <v>4490861.0528842378</v>
      </c>
      <c r="Q130" s="123"/>
    </row>
    <row r="131" spans="1:19" s="219" customFormat="1" x14ac:dyDescent="0.35">
      <c r="A131" s="219" t="s">
        <v>116</v>
      </c>
      <c r="B131" s="219">
        <v>2380</v>
      </c>
      <c r="C131" s="219">
        <f>B131*F131</f>
        <v>1369238447.8986771</v>
      </c>
      <c r="D131" s="219">
        <f>'[1]GAP analysis Sc. 2'!$N$149</f>
        <v>0.59086514057830319</v>
      </c>
      <c r="E131" s="219">
        <f>'[2]Conversion factors selected IV '!$O$27</f>
        <v>0.97367441860465131</v>
      </c>
      <c r="F131" s="219">
        <f>D131*E131*1000000</f>
        <v>575310.2722263349</v>
      </c>
      <c r="G131" s="248">
        <f>'LCoP 2030 HIGH'!E7</f>
        <v>2366.1914893617022</v>
      </c>
      <c r="H131" s="219">
        <f>G131*F131</f>
        <v>1361294269.8843176</v>
      </c>
      <c r="I131" s="248">
        <f>'LCoP 2030 HIGH'!H7</f>
        <v>8.6718040481607042E-2</v>
      </c>
      <c r="L131" s="219">
        <f>I131*H131</f>
        <v>118048771.60320796</v>
      </c>
      <c r="M131" s="248">
        <f>'LCoP 2030 HIGH'!F7</f>
        <v>0.53123342115438221</v>
      </c>
      <c r="O131" s="219">
        <f>M131*H131</f>
        <v>723165012.18850291</v>
      </c>
      <c r="P131" s="248">
        <f>'LCoP 2030 HIGH'!G7</f>
        <v>0.38204853836401076</v>
      </c>
      <c r="R131" s="219">
        <f>P131*H131</f>
        <v>520080486.09260672</v>
      </c>
      <c r="S131" s="219">
        <f>L131+O131+R131</f>
        <v>1361294269.8843176</v>
      </c>
    </row>
    <row r="132" spans="1:19" x14ac:dyDescent="0.35">
      <c r="D132" s="2"/>
      <c r="E132" s="2"/>
      <c r="G132" s="2"/>
      <c r="I132" s="8" t="s">
        <v>17</v>
      </c>
      <c r="J132" s="260" t="s">
        <v>108</v>
      </c>
      <c r="L132" s="2">
        <f>L131</f>
        <v>118048771.60320796</v>
      </c>
      <c r="M132" s="5" t="s">
        <v>245</v>
      </c>
      <c r="N132" s="35">
        <v>0</v>
      </c>
      <c r="O132" s="2">
        <f>N132*$O$131</f>
        <v>0</v>
      </c>
      <c r="P132" s="18" t="s">
        <v>251</v>
      </c>
      <c r="Q132" s="35">
        <v>0.2</v>
      </c>
      <c r="R132" s="2">
        <f>Q132*$R$131</f>
        <v>104016097.21852136</v>
      </c>
    </row>
    <row r="133" spans="1:19" x14ac:dyDescent="0.35">
      <c r="D133" s="2"/>
      <c r="E133" s="2"/>
      <c r="G133" s="2"/>
      <c r="L133" s="2"/>
      <c r="M133" t="s">
        <v>246</v>
      </c>
      <c r="N133" s="35">
        <v>0.02</v>
      </c>
      <c r="O133" s="2">
        <f t="shared" ref="O133:O137" si="43">N133*$O$131</f>
        <v>14463300.243770059</v>
      </c>
      <c r="P133" s="18" t="s">
        <v>210</v>
      </c>
      <c r="Q133" s="35">
        <v>0.5</v>
      </c>
      <c r="R133" s="2">
        <f t="shared" ref="R133:R136" si="44">Q133*$R$131</f>
        <v>260040243.04630336</v>
      </c>
    </row>
    <row r="134" spans="1:19" x14ac:dyDescent="0.35">
      <c r="D134" s="2"/>
      <c r="E134" s="2"/>
      <c r="G134" s="2"/>
      <c r="L134" s="2"/>
      <c r="M134" s="5" t="s">
        <v>244</v>
      </c>
      <c r="N134" s="35">
        <v>0.5</v>
      </c>
      <c r="O134" s="2">
        <f t="shared" si="43"/>
        <v>361582506.09425145</v>
      </c>
      <c r="P134" s="18" t="s">
        <v>252</v>
      </c>
      <c r="Q134" s="35">
        <v>0.15</v>
      </c>
      <c r="R134" s="2">
        <f t="shared" si="44"/>
        <v>78012072.913891003</v>
      </c>
    </row>
    <row r="135" spans="1:19" x14ac:dyDescent="0.35">
      <c r="D135" s="2"/>
      <c r="E135" s="2"/>
      <c r="G135" s="2"/>
      <c r="L135" s="2"/>
      <c r="M135" t="s">
        <v>247</v>
      </c>
      <c r="N135" s="35">
        <v>0.15</v>
      </c>
      <c r="O135" s="2">
        <f t="shared" si="43"/>
        <v>108474751.82827543</v>
      </c>
      <c r="P135" s="18" t="s">
        <v>253</v>
      </c>
      <c r="Q135" s="35">
        <v>0.1</v>
      </c>
      <c r="R135" s="2">
        <f t="shared" si="44"/>
        <v>52008048.609260678</v>
      </c>
    </row>
    <row r="136" spans="1:19" x14ac:dyDescent="0.35">
      <c r="D136" s="2"/>
      <c r="E136" s="2"/>
      <c r="G136" s="2"/>
      <c r="L136" s="2"/>
      <c r="M136" t="s">
        <v>248</v>
      </c>
      <c r="N136" s="35">
        <v>0.3</v>
      </c>
      <c r="O136" s="2">
        <f t="shared" si="43"/>
        <v>216949503.65655085</v>
      </c>
      <c r="P136" s="18" t="s">
        <v>254</v>
      </c>
      <c r="Q136" s="35">
        <v>0.05</v>
      </c>
      <c r="R136" s="2">
        <f t="shared" si="44"/>
        <v>26004024.304630339</v>
      </c>
    </row>
    <row r="137" spans="1:19" x14ac:dyDescent="0.35">
      <c r="D137" s="2"/>
      <c r="E137" s="2"/>
      <c r="G137" s="2"/>
      <c r="L137" s="2"/>
      <c r="M137" t="s">
        <v>250</v>
      </c>
      <c r="N137" s="35">
        <v>0.03</v>
      </c>
      <c r="O137" s="2">
        <f t="shared" si="43"/>
        <v>21694950.365655087</v>
      </c>
      <c r="Q137" s="123"/>
    </row>
    <row r="138" spans="1:19" s="219" customFormat="1" x14ac:dyDescent="0.35">
      <c r="A138" s="219" t="s">
        <v>345</v>
      </c>
      <c r="B138" s="219">
        <v>2380</v>
      </c>
      <c r="C138" s="219">
        <f>B138*F138</f>
        <v>2722246392.7315078</v>
      </c>
      <c r="D138" s="219">
        <f>'[1]GAP analysis Sc. 2'!$N$150</f>
        <v>1.1747263597502395</v>
      </c>
      <c r="E138" s="219">
        <f>'[2]Conversion factors selected IV '!$O$76</f>
        <v>0.97367441860465131</v>
      </c>
      <c r="F138" s="219">
        <f>D138*E138*1000000</f>
        <v>1143801.005349373</v>
      </c>
      <c r="G138" s="219">
        <f>'LCoP 2030 HIGH'!E17</f>
        <v>2974.2587443951556</v>
      </c>
      <c r="H138" s="219">
        <f>G138*F138</f>
        <v>3401960142.0083427</v>
      </c>
      <c r="I138" s="226">
        <f>'LCoP 2030 HIGH'!H17</f>
        <v>0.19307625655545874</v>
      </c>
      <c r="L138" s="219">
        <f>I138*H138</f>
        <v>656837729.16984761</v>
      </c>
      <c r="M138" s="226">
        <f>'LCoP 2030 HIGH'!F17</f>
        <v>0.48583533719890087</v>
      </c>
      <c r="O138" s="219">
        <f>M138*H138</f>
        <v>1652792452.7298439</v>
      </c>
      <c r="P138" s="226">
        <f>'LCoP 2030 HIGH'!G17</f>
        <v>0.32108840624564039</v>
      </c>
      <c r="R138" s="219">
        <f>P138*H138</f>
        <v>1092329960.1086512</v>
      </c>
      <c r="S138" s="219">
        <f>L138+O138+R138</f>
        <v>3401960142.0083427</v>
      </c>
    </row>
    <row r="139" spans="1:19" s="80" customFormat="1" x14ac:dyDescent="0.35">
      <c r="F139" s="157" t="s">
        <v>211</v>
      </c>
      <c r="G139" s="299">
        <f>SUMIF($J$139:$J$148,F139,$L$139:$L$148)/$L$138</f>
        <v>1.496553729132589E-2</v>
      </c>
      <c r="I139" s="5" t="s">
        <v>5</v>
      </c>
      <c r="J139" s="154" t="s">
        <v>212</v>
      </c>
      <c r="K139" s="6">
        <f>'Feedstock MIX per IVC'!J74</f>
        <v>323.98143363226905</v>
      </c>
      <c r="L139" s="2">
        <f t="shared" ref="L139:L148" si="45">K139*F$138</f>
        <v>370570289.50312048</v>
      </c>
      <c r="M139" s="5" t="s">
        <v>245</v>
      </c>
      <c r="N139" s="35">
        <v>0</v>
      </c>
      <c r="O139" s="2">
        <f t="shared" ref="O139:O144" si="46">N139*O$138</f>
        <v>0</v>
      </c>
      <c r="P139" s="18" t="s">
        <v>251</v>
      </c>
      <c r="Q139" s="35">
        <v>0.25</v>
      </c>
      <c r="R139" s="2">
        <f>Q139*R$138</f>
        <v>273082490.02716279</v>
      </c>
    </row>
    <row r="140" spans="1:19" x14ac:dyDescent="0.35">
      <c r="F140" s="154" t="s">
        <v>212</v>
      </c>
      <c r="G140" s="299">
        <f t="shared" ref="G140:G143" si="47">SUMIF($J$139:$J$148,F140,$L$139:$L$148)/$L$138</f>
        <v>0.64182642377464816</v>
      </c>
      <c r="I140" s="5" t="s">
        <v>6</v>
      </c>
      <c r="J140" s="154" t="s">
        <v>212</v>
      </c>
      <c r="K140" s="6">
        <f>'Feedstock MIX per IVC'!J75</f>
        <v>16.946224660144196</v>
      </c>
      <c r="L140" s="2">
        <f t="shared" si="45"/>
        <v>19383108.803149268</v>
      </c>
      <c r="M140" t="s">
        <v>246</v>
      </c>
      <c r="N140" s="35">
        <v>0.02</v>
      </c>
      <c r="O140" s="2">
        <f t="shared" si="46"/>
        <v>33055849.054596879</v>
      </c>
      <c r="P140" s="18" t="s">
        <v>210</v>
      </c>
      <c r="Q140" s="35">
        <v>0.15</v>
      </c>
      <c r="R140" s="2">
        <f t="shared" ref="R140:R143" si="48">Q140*R$138</f>
        <v>163849494.01629767</v>
      </c>
    </row>
    <row r="141" spans="1:19" x14ac:dyDescent="0.35">
      <c r="F141" s="178" t="s">
        <v>256</v>
      </c>
      <c r="G141" s="299">
        <f t="shared" si="47"/>
        <v>0.15345231313550278</v>
      </c>
      <c r="I141" s="5" t="s">
        <v>23</v>
      </c>
      <c r="J141" s="159" t="s">
        <v>213</v>
      </c>
      <c r="K141" s="6">
        <f>'Feedstock MIX per IVC'!J76</f>
        <v>0</v>
      </c>
      <c r="L141" s="2">
        <f t="shared" si="45"/>
        <v>0</v>
      </c>
      <c r="M141" s="5" t="s">
        <v>244</v>
      </c>
      <c r="N141" s="35">
        <v>0.55000000000000004</v>
      </c>
      <c r="O141" s="2">
        <f t="shared" si="46"/>
        <v>909035849.00141418</v>
      </c>
      <c r="P141" s="18" t="s">
        <v>252</v>
      </c>
      <c r="Q141" s="35">
        <v>0.3</v>
      </c>
      <c r="R141" s="2">
        <f t="shared" si="48"/>
        <v>327698988.03259534</v>
      </c>
    </row>
    <row r="142" spans="1:19" x14ac:dyDescent="0.35">
      <c r="F142" s="156" t="s">
        <v>209</v>
      </c>
      <c r="G142" s="299">
        <f t="shared" si="47"/>
        <v>0.18809782860488178</v>
      </c>
      <c r="H142" s="24"/>
      <c r="I142" s="5" t="s">
        <v>7</v>
      </c>
      <c r="J142" s="157" t="s">
        <v>211</v>
      </c>
      <c r="K142" s="6">
        <f>'Feedstock MIX per IVC'!J77</f>
        <v>8.5940906541156838</v>
      </c>
      <c r="L142" s="2">
        <f t="shared" si="45"/>
        <v>9829929.530241169</v>
      </c>
      <c r="M142" t="s">
        <v>247</v>
      </c>
      <c r="N142" s="35">
        <v>0.1</v>
      </c>
      <c r="O142" s="2">
        <f t="shared" si="46"/>
        <v>165279245.27298439</v>
      </c>
      <c r="P142" s="18" t="s">
        <v>253</v>
      </c>
      <c r="Q142" s="35">
        <v>0.3</v>
      </c>
      <c r="R142" s="2">
        <f t="shared" si="48"/>
        <v>327698988.03259534</v>
      </c>
    </row>
    <row r="143" spans="1:19" s="80" customFormat="1" x14ac:dyDescent="0.35">
      <c r="F143" s="159" t="s">
        <v>213</v>
      </c>
      <c r="G143" s="299">
        <f t="shared" si="47"/>
        <v>0</v>
      </c>
      <c r="I143" s="5" t="s">
        <v>8</v>
      </c>
      <c r="J143" s="154" t="s">
        <v>212</v>
      </c>
      <c r="K143" s="6">
        <f>'Feedstock MIX per IVC'!J78</f>
        <v>16.238016457978244</v>
      </c>
      <c r="L143" s="2">
        <f t="shared" si="45"/>
        <v>18573059.54951518</v>
      </c>
      <c r="M143" t="s">
        <v>248</v>
      </c>
      <c r="N143" s="35">
        <v>0.3</v>
      </c>
      <c r="O143" s="2">
        <f t="shared" si="46"/>
        <v>495837735.81895316</v>
      </c>
      <c r="P143" s="18" t="s">
        <v>254</v>
      </c>
      <c r="Q143" s="240">
        <v>0</v>
      </c>
      <c r="R143" s="2">
        <f t="shared" si="48"/>
        <v>0</v>
      </c>
    </row>
    <row r="144" spans="1:19" x14ac:dyDescent="0.35">
      <c r="F144" s="158" t="s">
        <v>104</v>
      </c>
      <c r="G144" s="299">
        <f>SUMIF($J$139:$J$148,F144,$L$139:$L$148)/$L$138/2</f>
        <v>8.289485968207271E-4</v>
      </c>
      <c r="I144" s="5" t="s">
        <v>9</v>
      </c>
      <c r="J144" s="154" t="s">
        <v>212</v>
      </c>
      <c r="K144" s="6">
        <f>'Feedstock MIX per IVC'!J79</f>
        <v>11.408761486071064</v>
      </c>
      <c r="L144" s="2">
        <f t="shared" si="45"/>
        <v>13049352.85755929</v>
      </c>
      <c r="M144" t="s">
        <v>250</v>
      </c>
      <c r="N144" s="35">
        <v>0.03</v>
      </c>
      <c r="O144" s="2">
        <f t="shared" si="46"/>
        <v>49583773.581895314</v>
      </c>
    </row>
    <row r="145" spans="1:18" x14ac:dyDescent="0.35">
      <c r="F145" s="207" t="s">
        <v>105</v>
      </c>
      <c r="G145" s="299">
        <f>G144</f>
        <v>8.289485968207271E-4</v>
      </c>
      <c r="I145" s="5" t="s">
        <v>10</v>
      </c>
      <c r="J145" s="178" t="s">
        <v>256</v>
      </c>
      <c r="K145" s="6">
        <f>'Feedstock MIX per IVC'!J80</f>
        <v>88.121332665726072</v>
      </c>
      <c r="L145" s="2">
        <f t="shared" si="45"/>
        <v>100793268.89578402</v>
      </c>
      <c r="N145" s="35"/>
    </row>
    <row r="146" spans="1:18" x14ac:dyDescent="0.35">
      <c r="G146" s="299">
        <f>SUM(G139:G145)</f>
        <v>1</v>
      </c>
      <c r="I146" s="5" t="s">
        <v>11</v>
      </c>
      <c r="J146" s="156" t="s">
        <v>209</v>
      </c>
      <c r="K146" s="6">
        <f>'Feedstock MIX per IVC'!J81</f>
        <v>108.0168228780946</v>
      </c>
      <c r="L146" s="2">
        <f t="shared" si="45"/>
        <v>123549750.60260975</v>
      </c>
    </row>
    <row r="147" spans="1:18" x14ac:dyDescent="0.35">
      <c r="I147" s="5" t="s">
        <v>12</v>
      </c>
      <c r="J147" s="159" t="s">
        <v>213</v>
      </c>
      <c r="K147" s="6">
        <f>'Feedstock MIX per IVC'!J82</f>
        <v>0</v>
      </c>
      <c r="L147" s="2">
        <f t="shared" si="45"/>
        <v>0</v>
      </c>
    </row>
    <row r="148" spans="1:18" x14ac:dyDescent="0.35">
      <c r="H148" t="s">
        <v>125</v>
      </c>
      <c r="I148" s="13" t="s">
        <v>33</v>
      </c>
      <c r="J148" s="158" t="s">
        <v>104</v>
      </c>
      <c r="K148" s="6">
        <f>'Feedstock MIX per IVC'!J83</f>
        <v>0.95206196075679372</v>
      </c>
      <c r="L148" s="2">
        <f t="shared" si="45"/>
        <v>1088969.427868516</v>
      </c>
    </row>
    <row r="149" spans="1:18" x14ac:dyDescent="0.35">
      <c r="A149" s="80"/>
      <c r="B149" s="80"/>
      <c r="C149" s="80"/>
      <c r="D149" s="92"/>
      <c r="E149" s="92"/>
      <c r="F149" s="230"/>
      <c r="G149" s="101"/>
      <c r="L149" s="2">
        <f>SUM(L139:L148)</f>
        <v>656837729.16984761</v>
      </c>
    </row>
    <row r="150" spans="1:18" s="219" customFormat="1" x14ac:dyDescent="0.35">
      <c r="A150" s="219" t="s">
        <v>375</v>
      </c>
      <c r="B150" s="219">
        <v>2380</v>
      </c>
      <c r="C150" s="219">
        <f>B150*F150</f>
        <v>0</v>
      </c>
      <c r="D150" s="219">
        <f>'[1]GAP analysis Sc. 2'!$N$151</f>
        <v>0</v>
      </c>
      <c r="E150" s="219">
        <f>'[2]Conversion factors selected IV '!$O$108</f>
        <v>1</v>
      </c>
      <c r="F150" s="219">
        <f>D150*E150*1000000</f>
        <v>0</v>
      </c>
      <c r="G150" s="219">
        <f>'LCoP 2030 HIGH'!E23</f>
        <v>2163.1172082344269</v>
      </c>
      <c r="H150" s="219">
        <f>G150*F150</f>
        <v>0</v>
      </c>
      <c r="I150" s="226">
        <f>'LCoP 2030 HIGH'!H23</f>
        <v>0.29338086989396761</v>
      </c>
      <c r="L150" s="219">
        <f>I150*H150</f>
        <v>0</v>
      </c>
      <c r="M150" s="226">
        <f>'LCoP 2030 HIGH'!F23</f>
        <v>0.31667262291307308</v>
      </c>
      <c r="O150" s="219">
        <f>M150*H150</f>
        <v>0</v>
      </c>
      <c r="P150" s="226">
        <f>'LCoP 2030 HIGH'!G23</f>
        <v>0.38994650719295931</v>
      </c>
      <c r="R150" s="219">
        <f>P150*H150</f>
        <v>0</v>
      </c>
    </row>
    <row r="151" spans="1:18" x14ac:dyDescent="0.35">
      <c r="A151" s="80"/>
      <c r="B151" s="80"/>
      <c r="C151" s="80"/>
      <c r="D151" s="92"/>
      <c r="E151" s="92"/>
      <c r="F151" s="157" t="s">
        <v>211</v>
      </c>
      <c r="G151" s="2"/>
      <c r="I151" s="5" t="s">
        <v>5</v>
      </c>
      <c r="J151" s="154" t="s">
        <v>212</v>
      </c>
      <c r="K151" s="6">
        <f>'Feedstock MIX per IVC'!J116</f>
        <v>352.14667333355487</v>
      </c>
      <c r="L151" s="2" cm="1">
        <f t="array" ref="L151">K151*_xlfn.ANCHORARRAY(F$150)</f>
        <v>0</v>
      </c>
      <c r="M151" s="5" t="s">
        <v>245</v>
      </c>
      <c r="N151" s="174">
        <v>0.15</v>
      </c>
      <c r="O151" s="2">
        <f t="shared" ref="O151:O156" si="49">N151*O$150</f>
        <v>0</v>
      </c>
      <c r="P151" s="18" t="s">
        <v>251</v>
      </c>
      <c r="Q151" s="123">
        <v>0.15</v>
      </c>
      <c r="R151" s="2">
        <f>Q151*R$150</f>
        <v>0</v>
      </c>
    </row>
    <row r="152" spans="1:18" x14ac:dyDescent="0.35">
      <c r="A152" s="80"/>
      <c r="B152" s="80"/>
      <c r="C152" s="80"/>
      <c r="D152" s="92"/>
      <c r="E152" s="92"/>
      <c r="F152" s="154" t="s">
        <v>212</v>
      </c>
      <c r="G152" s="2"/>
      <c r="I152" s="5" t="s">
        <v>6</v>
      </c>
      <c r="J152" s="154" t="s">
        <v>212</v>
      </c>
      <c r="K152" s="6">
        <f>'Feedstock MIX per IVC'!J117</f>
        <v>18.419440190533358</v>
      </c>
      <c r="L152" s="2" cm="1">
        <f t="array" ref="L152">K152*_xlfn.ANCHORARRAY(F$150)</f>
        <v>0</v>
      </c>
      <c r="M152" t="s">
        <v>246</v>
      </c>
      <c r="N152" s="35">
        <v>0.02</v>
      </c>
      <c r="O152" s="2">
        <f t="shared" si="49"/>
        <v>0</v>
      </c>
      <c r="P152" s="18" t="s">
        <v>210</v>
      </c>
      <c r="Q152" s="123">
        <v>0.25</v>
      </c>
      <c r="R152" s="2">
        <f t="shared" ref="R152:R155" si="50">Q152*R$150</f>
        <v>0</v>
      </c>
    </row>
    <row r="153" spans="1:18" x14ac:dyDescent="0.35">
      <c r="A153" s="80"/>
      <c r="B153" s="80"/>
      <c r="C153" s="80"/>
      <c r="D153" s="92"/>
      <c r="E153" s="92"/>
      <c r="F153" s="178" t="s">
        <v>256</v>
      </c>
      <c r="G153" s="2"/>
      <c r="I153" s="5" t="s">
        <v>7</v>
      </c>
      <c r="J153" s="157" t="s">
        <v>211</v>
      </c>
      <c r="K153" s="6">
        <f>'Feedstock MIX per IVC'!J118</f>
        <v>9.3412156377111621</v>
      </c>
      <c r="L153" s="2" cm="1">
        <f t="array" ref="L153">K153*_xlfn.ANCHORARRAY(F$150)</f>
        <v>0</v>
      </c>
      <c r="M153" s="5" t="s">
        <v>244</v>
      </c>
      <c r="N153" s="174">
        <v>0.45</v>
      </c>
      <c r="O153" s="2">
        <f t="shared" si="49"/>
        <v>0</v>
      </c>
      <c r="P153" s="18" t="s">
        <v>252</v>
      </c>
      <c r="Q153" s="123">
        <v>0.2</v>
      </c>
      <c r="R153" s="2">
        <f t="shared" si="50"/>
        <v>0</v>
      </c>
    </row>
    <row r="154" spans="1:18" x14ac:dyDescent="0.35">
      <c r="A154" s="80"/>
      <c r="B154" s="80"/>
      <c r="C154" s="80"/>
      <c r="D154" s="92"/>
      <c r="E154" s="92"/>
      <c r="F154" s="156" t="s">
        <v>209</v>
      </c>
      <c r="G154" s="2"/>
      <c r="I154" s="5" t="s">
        <v>8</v>
      </c>
      <c r="J154" s="154" t="s">
        <v>212</v>
      </c>
      <c r="K154" s="6">
        <f>'Feedstock MIX per IVC'!J119</f>
        <v>35.29932819362039</v>
      </c>
      <c r="L154" s="2" cm="1">
        <f t="array" ref="L154">K154*_xlfn.ANCHORARRAY(F$150)</f>
        <v>0</v>
      </c>
      <c r="M154" t="s">
        <v>247</v>
      </c>
      <c r="N154" s="35">
        <v>0.1</v>
      </c>
      <c r="O154" s="2">
        <f t="shared" si="49"/>
        <v>0</v>
      </c>
      <c r="P154" s="18" t="s">
        <v>253</v>
      </c>
      <c r="Q154" s="123">
        <v>0.3</v>
      </c>
      <c r="R154" s="2">
        <f t="shared" si="50"/>
        <v>0</v>
      </c>
    </row>
    <row r="155" spans="1:18" x14ac:dyDescent="0.35">
      <c r="A155" s="80"/>
      <c r="B155" s="80"/>
      <c r="C155" s="80"/>
      <c r="D155" s="92"/>
      <c r="E155" s="92"/>
      <c r="F155" s="159" t="s">
        <v>213</v>
      </c>
      <c r="G155" s="2"/>
      <c r="I155" s="5" t="s">
        <v>9</v>
      </c>
      <c r="J155" s="154" t="s">
        <v>212</v>
      </c>
      <c r="K155" s="6">
        <f>'Feedstock MIX per IVC'!J120</f>
        <v>12.400579129284262</v>
      </c>
      <c r="L155" s="2" cm="1">
        <f t="array" ref="L155">K155*_xlfn.ANCHORARRAY(F$150)</f>
        <v>0</v>
      </c>
      <c r="M155" t="s">
        <v>248</v>
      </c>
      <c r="N155" s="35">
        <v>0.25</v>
      </c>
      <c r="O155" s="2">
        <f t="shared" si="49"/>
        <v>0</v>
      </c>
      <c r="P155" s="18" t="s">
        <v>254</v>
      </c>
      <c r="Q155" s="123">
        <v>0.1</v>
      </c>
      <c r="R155" s="2">
        <f t="shared" si="50"/>
        <v>0</v>
      </c>
    </row>
    <row r="156" spans="1:18" x14ac:dyDescent="0.35">
      <c r="A156" s="80"/>
      <c r="B156" s="80"/>
      <c r="C156" s="80"/>
      <c r="D156" s="92"/>
      <c r="E156" s="92"/>
      <c r="F156" s="158" t="s">
        <v>104</v>
      </c>
      <c r="G156" s="2"/>
      <c r="I156" s="5" t="s">
        <v>10</v>
      </c>
      <c r="J156" s="178" t="s">
        <v>256</v>
      </c>
      <c r="K156" s="6">
        <f>'Feedstock MIX per IVC'!J121</f>
        <v>93.005843432662942</v>
      </c>
      <c r="L156" s="2" cm="1">
        <f t="array" ref="L156">K156*_xlfn.ANCHORARRAY(F$150)</f>
        <v>0</v>
      </c>
      <c r="M156" t="s">
        <v>250</v>
      </c>
      <c r="N156" s="35">
        <v>0.03</v>
      </c>
      <c r="O156" s="2">
        <f t="shared" si="49"/>
        <v>0</v>
      </c>
      <c r="Q156" s="35"/>
      <c r="R156" s="2"/>
    </row>
    <row r="157" spans="1:18" x14ac:dyDescent="0.35">
      <c r="A157" s="80"/>
      <c r="B157" s="80"/>
      <c r="C157" s="80"/>
      <c r="D157" s="92"/>
      <c r="E157" s="92"/>
      <c r="F157" s="230"/>
      <c r="G157" s="299"/>
      <c r="I157" s="5" t="s">
        <v>11</v>
      </c>
      <c r="J157" s="156" t="s">
        <v>209</v>
      </c>
      <c r="K157" s="6">
        <f>'Feedstock MIX per IVC'!J122</f>
        <v>114.00412831705982</v>
      </c>
      <c r="L157" s="2" cm="1">
        <f t="array" ref="L157">K157*_xlfn.ANCHORARRAY(F$150)</f>
        <v>0</v>
      </c>
      <c r="M157" s="2"/>
      <c r="R157" s="2"/>
    </row>
    <row r="158" spans="1:18" x14ac:dyDescent="0.35">
      <c r="A158" s="80"/>
      <c r="B158" s="80"/>
      <c r="C158" s="80"/>
      <c r="D158" s="92"/>
      <c r="E158" s="92"/>
      <c r="F158" s="230"/>
      <c r="G158" s="230"/>
      <c r="I158" s="5" t="s">
        <v>12</v>
      </c>
      <c r="J158" s="159" t="s">
        <v>213</v>
      </c>
      <c r="K158" s="6">
        <f>'Feedstock MIX per IVC'!J123</f>
        <v>0</v>
      </c>
      <c r="L158" s="2" cm="1">
        <f t="array" ref="L158">K158*_xlfn.ANCHORARRAY(F$150)</f>
        <v>0</v>
      </c>
    </row>
    <row r="159" spans="1:18" x14ac:dyDescent="0.35">
      <c r="A159" s="80"/>
      <c r="B159" s="80"/>
      <c r="C159" s="80"/>
      <c r="D159" s="92"/>
      <c r="E159" s="92"/>
      <c r="F159" s="230"/>
      <c r="G159" s="230"/>
      <c r="I159" s="80"/>
      <c r="J159" s="80"/>
      <c r="K159" s="80"/>
      <c r="L159" s="2">
        <f>SUM(L151:L158)</f>
        <v>0</v>
      </c>
      <c r="M159" s="80"/>
      <c r="N159" s="80"/>
      <c r="O159" s="2">
        <f>SUM(O151:O158)</f>
        <v>0</v>
      </c>
      <c r="P159" s="80"/>
      <c r="Q159" s="80"/>
      <c r="R159" s="2">
        <f>SUM(R151:R158)</f>
        <v>0</v>
      </c>
    </row>
    <row r="160" spans="1:18" x14ac:dyDescent="0.35">
      <c r="A160" s="80"/>
      <c r="B160" s="80"/>
      <c r="C160" s="80"/>
      <c r="D160" s="92"/>
      <c r="E160" s="92"/>
      <c r="F160" s="230"/>
      <c r="G160" s="230"/>
      <c r="L160" s="2"/>
    </row>
    <row r="161" spans="1:18" x14ac:dyDescent="0.35">
      <c r="A161" s="80"/>
      <c r="B161" s="80"/>
      <c r="C161" s="80"/>
      <c r="D161" s="92"/>
      <c r="E161" s="92"/>
      <c r="F161" s="230"/>
      <c r="G161" s="230"/>
      <c r="I161" s="21" t="s">
        <v>214</v>
      </c>
      <c r="L161" s="92">
        <f>SUM(L162:L170)</f>
        <v>1155060766.4464331</v>
      </c>
      <c r="O161" s="230">
        <f>SUM(O162:O167)</f>
        <v>2525652833.3478212</v>
      </c>
      <c r="P161" s="230"/>
      <c r="Q161" s="230"/>
      <c r="R161" s="230">
        <f>SUM(R162:R167)</f>
        <v>1837749750.8052011</v>
      </c>
    </row>
    <row r="162" spans="1:18" x14ac:dyDescent="0.35">
      <c r="A162" s="80"/>
      <c r="B162" s="80"/>
      <c r="C162" s="80"/>
      <c r="D162" s="92"/>
      <c r="E162" s="92"/>
      <c r="F162" s="230"/>
      <c r="G162" s="230"/>
      <c r="J162" s="159" t="s">
        <v>213</v>
      </c>
      <c r="L162" s="2">
        <f>SUMIF($J$125:$J$158, J162, $L$125:$L$158)</f>
        <v>0</v>
      </c>
      <c r="M162" s="5" t="s">
        <v>245</v>
      </c>
      <c r="O162">
        <f t="shared" ref="O162:O167" si="51">SUMIF($M$125:$M$156, M162, $O$125:$O$156)</f>
        <v>7484768.4214737304</v>
      </c>
      <c r="P162" s="18" t="s">
        <v>251</v>
      </c>
      <c r="R162">
        <f>SUMIF($P$125:$P$156, P162, $R$125:$R$156)</f>
        <v>455967343.85706425</v>
      </c>
    </row>
    <row r="163" spans="1:18" x14ac:dyDescent="0.35">
      <c r="A163" s="80"/>
      <c r="B163" s="80"/>
      <c r="C163" s="80"/>
      <c r="D163" s="92"/>
      <c r="E163" s="92"/>
      <c r="F163" s="230"/>
      <c r="G163" s="230"/>
      <c r="J163" s="157" t="s">
        <v>211</v>
      </c>
      <c r="L163" s="2">
        <f>SUMIF($J$125:$J$158, J163, $L$125:$L$158)</f>
        <v>9829929.530241169</v>
      </c>
      <c r="M163" t="s">
        <v>246</v>
      </c>
      <c r="O163">
        <f t="shared" si="51"/>
        <v>50513056.666956425</v>
      </c>
      <c r="P163" s="18" t="s">
        <v>210</v>
      </c>
      <c r="R163">
        <f t="shared" ref="R163:R166" si="52">SUMIF($P$125:$P$156, P163, $R$125:$R$156)</f>
        <v>480224563.21358681</v>
      </c>
    </row>
    <row r="164" spans="1:18" x14ac:dyDescent="0.35">
      <c r="A164" s="80"/>
      <c r="B164" s="80"/>
      <c r="C164" s="80"/>
      <c r="D164" s="92"/>
      <c r="E164" s="92"/>
      <c r="F164" s="230"/>
      <c r="G164" s="230"/>
      <c r="J164" s="154" t="s">
        <v>212</v>
      </c>
      <c r="L164" s="2">
        <f t="shared" ref="L164:L169" si="53">SUMIF($J$125:$J$158, J164, $L$125:$L$158)</f>
        <v>688447938.85316157</v>
      </c>
      <c r="M164" s="5" t="s">
        <v>244</v>
      </c>
      <c r="O164">
        <f t="shared" si="51"/>
        <v>1337981270.8889291</v>
      </c>
      <c r="P164" s="18" t="s">
        <v>252</v>
      </c>
      <c r="R164">
        <f t="shared" si="52"/>
        <v>450778921.867275</v>
      </c>
    </row>
    <row r="165" spans="1:18" x14ac:dyDescent="0.35">
      <c r="A165" s="80"/>
      <c r="B165" s="80"/>
      <c r="C165" s="80"/>
      <c r="D165" s="92"/>
      <c r="E165" s="92"/>
      <c r="F165" s="230"/>
      <c r="G165" s="230"/>
      <c r="J165" s="178" t="s">
        <v>256</v>
      </c>
      <c r="L165" s="2">
        <f t="shared" si="53"/>
        <v>100793268.89578402</v>
      </c>
      <c r="M165" t="s">
        <v>247</v>
      </c>
      <c r="O165">
        <f t="shared" si="51"/>
        <v>296208302.36568099</v>
      </c>
      <c r="P165" s="18" t="s">
        <v>253</v>
      </c>
      <c r="R165">
        <f t="shared" si="52"/>
        <v>413507932.33244747</v>
      </c>
    </row>
    <row r="166" spans="1:18" x14ac:dyDescent="0.35">
      <c r="A166" s="80"/>
      <c r="B166" s="80"/>
      <c r="C166" s="80"/>
      <c r="D166" s="92"/>
      <c r="E166" s="92"/>
      <c r="F166" s="230"/>
      <c r="G166" s="230"/>
      <c r="J166" s="156" t="s">
        <v>209</v>
      </c>
      <c r="L166" s="2">
        <f t="shared" si="53"/>
        <v>123549750.60260975</v>
      </c>
      <c r="M166" t="s">
        <v>248</v>
      </c>
      <c r="O166">
        <f t="shared" si="51"/>
        <v>757695850.00434637</v>
      </c>
      <c r="P166" s="18" t="s">
        <v>254</v>
      </c>
      <c r="R166">
        <f t="shared" si="52"/>
        <v>37270989.534827501</v>
      </c>
    </row>
    <row r="167" spans="1:18" x14ac:dyDescent="0.35">
      <c r="A167" s="80"/>
      <c r="B167" s="80"/>
      <c r="C167" s="80"/>
      <c r="D167" s="92"/>
      <c r="E167" s="92"/>
      <c r="F167" s="230"/>
      <c r="G167" s="230"/>
      <c r="J167" s="159" t="s">
        <v>213</v>
      </c>
      <c r="L167" s="2">
        <f t="shared" si="53"/>
        <v>0</v>
      </c>
      <c r="M167" t="s">
        <v>250</v>
      </c>
      <c r="O167">
        <f t="shared" si="51"/>
        <v>75769585.000434637</v>
      </c>
    </row>
    <row r="168" spans="1:18" x14ac:dyDescent="0.35">
      <c r="A168" s="80"/>
      <c r="B168" s="80"/>
      <c r="C168" s="80"/>
      <c r="D168" s="92"/>
      <c r="E168" s="92"/>
      <c r="F168" s="230"/>
      <c r="G168" s="230"/>
      <c r="J168" s="158" t="s">
        <v>104</v>
      </c>
      <c r="L168" s="2">
        <f>SUMIF($J$125:$J$158, J168, $L$125:$L$158)</f>
        <v>57740038.194648489</v>
      </c>
    </row>
    <row r="169" spans="1:18" x14ac:dyDescent="0.35">
      <c r="A169" s="80"/>
      <c r="B169" s="80"/>
      <c r="C169" s="80"/>
      <c r="D169" s="92"/>
      <c r="E169" s="92"/>
      <c r="F169" s="230"/>
      <c r="G169" s="230"/>
      <c r="J169" s="258" t="s">
        <v>298</v>
      </c>
      <c r="L169" s="2">
        <f t="shared" si="53"/>
        <v>56651068.766779974</v>
      </c>
    </row>
    <row r="170" spans="1:18" x14ac:dyDescent="0.35">
      <c r="A170" s="80"/>
      <c r="B170" s="80"/>
      <c r="C170" s="80"/>
      <c r="D170" s="92"/>
      <c r="E170" s="92"/>
      <c r="F170" s="230"/>
      <c r="G170" s="230"/>
      <c r="J170" s="260" t="s">
        <v>108</v>
      </c>
      <c r="L170" s="2">
        <f>SUMIF($J$125:$J$158, J170, $L$125:$L$158)</f>
        <v>118048771.60320796</v>
      </c>
    </row>
    <row r="171" spans="1:18" x14ac:dyDescent="0.35">
      <c r="A171" s="80"/>
      <c r="B171" s="80"/>
      <c r="C171" s="80"/>
      <c r="D171" s="92"/>
      <c r="E171" s="92"/>
      <c r="F171" s="230"/>
      <c r="G171" s="230"/>
    </row>
    <row r="172" spans="1:18" s="93" customFormat="1" ht="34" customHeight="1" x14ac:dyDescent="0.35">
      <c r="A172" s="93" t="s">
        <v>108</v>
      </c>
      <c r="F172" s="176"/>
    </row>
    <row r="173" spans="1:18" ht="19" customHeight="1" x14ac:dyDescent="0.35">
      <c r="B173" s="2">
        <f>C173/1000000</f>
        <v>3498.4570263020428</v>
      </c>
      <c r="C173" s="2">
        <f>C174+C185+C193</f>
        <v>3498457026.302043</v>
      </c>
      <c r="D173" s="2">
        <f>D174+D185+D193</f>
        <v>2.4849436132362226</v>
      </c>
      <c r="E173" s="2"/>
      <c r="F173" s="2">
        <f>F174+F185+F193</f>
        <v>3352768.2099487088</v>
      </c>
      <c r="L173" s="92">
        <f>L174+L185+L193</f>
        <v>1761759278.0103993</v>
      </c>
      <c r="O173" s="92">
        <f>O174+O185+O193</f>
        <v>1504932796.7743061</v>
      </c>
      <c r="R173" s="92">
        <f>R174+R185+R193</f>
        <v>1657520406.1828709</v>
      </c>
    </row>
    <row r="174" spans="1:18" s="219" customFormat="1" x14ac:dyDescent="0.35">
      <c r="A174" s="219" t="s">
        <v>350</v>
      </c>
      <c r="B174" s="219">
        <v>935</v>
      </c>
      <c r="C174" s="219">
        <f>B174*F174</f>
        <v>776759763.15102124</v>
      </c>
      <c r="D174" s="219">
        <f>'[1]GAP analysis Sc. 2'!$N$140</f>
        <v>0.39684680661811123</v>
      </c>
      <c r="E174" s="219">
        <f>'[2]Conversion factors selected IV '!$O$49</f>
        <v>2.0934000000000004</v>
      </c>
      <c r="F174" s="219">
        <f>D174*E174*1000000</f>
        <v>830759.10497435427</v>
      </c>
      <c r="G174" s="219">
        <f>'LCoP 2030 HIGH'!E11</f>
        <v>587.71547294709171</v>
      </c>
      <c r="H174" s="219">
        <f>G174*F174</f>
        <v>488249980.28510523</v>
      </c>
      <c r="I174" s="226">
        <f>'LCoP 2030 HIGH'!H11</f>
        <v>0.20539781323395415</v>
      </c>
      <c r="L174" s="219">
        <f>I174*H174</f>
        <v>100285478.26208183</v>
      </c>
      <c r="M174" s="226">
        <f>'LCoP 2030 HIGH'!F11</f>
        <v>0.47812251494916258</v>
      </c>
      <c r="O174" s="219">
        <f>M174*H174</f>
        <v>233443308.49779356</v>
      </c>
      <c r="P174" s="226">
        <f>'LCoP 2030 HIGH'!G11</f>
        <v>0.31647967181688341</v>
      </c>
      <c r="R174" s="219">
        <f>P174*H174</f>
        <v>154521193.5252299</v>
      </c>
    </row>
    <row r="175" spans="1:18" x14ac:dyDescent="0.35">
      <c r="D175" s="2"/>
      <c r="E175" s="2"/>
      <c r="F175" s="157" t="s">
        <v>211</v>
      </c>
      <c r="G175" s="2">
        <f>SUMIF($J$175:$J$184,F175,$L$175:$L$184)/$L$174</f>
        <v>1.4517943198727606E-2</v>
      </c>
      <c r="I175" s="5" t="s">
        <v>5</v>
      </c>
      <c r="J175" s="154" t="s">
        <v>212</v>
      </c>
      <c r="K175" s="6">
        <f>'Feedstock MIX per IVC'!J35</f>
        <v>66.067553565058759</v>
      </c>
      <c r="L175" s="2">
        <f t="shared" ref="L175:L184" si="54">K175*F$174</f>
        <v>54886221.667553425</v>
      </c>
      <c r="M175" s="5" t="s">
        <v>245</v>
      </c>
      <c r="N175" s="35">
        <v>0</v>
      </c>
      <c r="O175" s="2">
        <f t="shared" ref="O175:O180" si="55">N175*O$174</f>
        <v>0</v>
      </c>
      <c r="P175" s="18" t="s">
        <v>251</v>
      </c>
      <c r="Q175" s="35">
        <v>0.25</v>
      </c>
      <c r="R175" s="2">
        <f>Q175*R$174</f>
        <v>38630298.381307475</v>
      </c>
    </row>
    <row r="176" spans="1:18" x14ac:dyDescent="0.35">
      <c r="D176" s="2"/>
      <c r="E176" s="2"/>
      <c r="F176" s="154" t="s">
        <v>212</v>
      </c>
      <c r="G176" s="2">
        <f t="shared" ref="G176:G179" si="56">SUMIF($J$175:$J$184,F176,$L$175:$L$184)/$L$174</f>
        <v>0.62263047309391151</v>
      </c>
      <c r="I176" s="5" t="s">
        <v>6</v>
      </c>
      <c r="J176" s="154" t="s">
        <v>212</v>
      </c>
      <c r="K176" s="6">
        <f>'Feedstock MIX per IVC'!J36</f>
        <v>3.4557400185171687</v>
      </c>
      <c r="L176" s="2">
        <f t="shared" si="54"/>
        <v>2870887.4848073814</v>
      </c>
      <c r="M176" t="s">
        <v>246</v>
      </c>
      <c r="N176" s="35">
        <v>0.02</v>
      </c>
      <c r="O176" s="2">
        <f t="shared" si="55"/>
        <v>4668866.1699558711</v>
      </c>
      <c r="P176" s="18" t="s">
        <v>210</v>
      </c>
      <c r="Q176" s="35">
        <v>0.15</v>
      </c>
      <c r="R176" s="2">
        <f t="shared" ref="R176:R179" si="57">Q176*R$174</f>
        <v>23178179.028784484</v>
      </c>
    </row>
    <row r="177" spans="1:18" x14ac:dyDescent="0.35">
      <c r="D177" s="2"/>
      <c r="E177" s="2"/>
      <c r="F177" s="178" t="s">
        <v>256</v>
      </c>
      <c r="G177" s="2">
        <f t="shared" si="56"/>
        <v>0.14886281210269964</v>
      </c>
      <c r="I177" s="5" t="s">
        <v>23</v>
      </c>
      <c r="J177" s="159" t="s">
        <v>213</v>
      </c>
      <c r="K177" s="6">
        <f>'Feedstock MIX per IVC'!J37</f>
        <v>0</v>
      </c>
      <c r="L177" s="2">
        <f t="shared" si="54"/>
        <v>0</v>
      </c>
      <c r="M177" s="5" t="s">
        <v>244</v>
      </c>
      <c r="N177" s="35">
        <v>0.55000000000000004</v>
      </c>
      <c r="O177" s="2">
        <f t="shared" si="55"/>
        <v>128393819.67378646</v>
      </c>
      <c r="P177" s="18" t="s">
        <v>252</v>
      </c>
      <c r="Q177" s="35">
        <v>0.3</v>
      </c>
      <c r="R177" s="2">
        <f t="shared" si="57"/>
        <v>46356358.057568967</v>
      </c>
    </row>
    <row r="178" spans="1:18" x14ac:dyDescent="0.35">
      <c r="D178" s="2"/>
      <c r="E178" s="2"/>
      <c r="F178" s="156" t="s">
        <v>209</v>
      </c>
      <c r="G178" s="2">
        <f t="shared" si="56"/>
        <v>0.1824721383757105</v>
      </c>
      <c r="I178" s="5" t="s">
        <v>7</v>
      </c>
      <c r="J178" s="157" t="s">
        <v>211</v>
      </c>
      <c r="K178" s="6">
        <f>'Feedstock MIX per IVC'!J38</f>
        <v>1.7525403794534171</v>
      </c>
      <c r="L178" s="2">
        <f t="shared" si="54"/>
        <v>1455938.8770661361</v>
      </c>
      <c r="M178" t="s">
        <v>247</v>
      </c>
      <c r="N178" s="35">
        <v>0.1</v>
      </c>
      <c r="O178" s="2">
        <f t="shared" si="55"/>
        <v>23344330.849779356</v>
      </c>
      <c r="P178" s="18" t="s">
        <v>253</v>
      </c>
      <c r="Q178" s="35">
        <v>0.3</v>
      </c>
      <c r="R178" s="2">
        <f t="shared" si="57"/>
        <v>46356358.057568967</v>
      </c>
    </row>
    <row r="179" spans="1:18" x14ac:dyDescent="0.35">
      <c r="D179" s="2"/>
      <c r="E179" s="2"/>
      <c r="F179" s="159" t="s">
        <v>213</v>
      </c>
      <c r="G179" s="2">
        <f t="shared" si="56"/>
        <v>0</v>
      </c>
      <c r="I179" s="5" t="s">
        <v>8</v>
      </c>
      <c r="J179" s="154" t="s">
        <v>212</v>
      </c>
      <c r="K179" s="6">
        <f>'Feedstock MIX per IVC'!J39</f>
        <v>3.3113194484640065</v>
      </c>
      <c r="L179" s="2">
        <f t="shared" si="54"/>
        <v>2750908.7812901302</v>
      </c>
      <c r="M179" t="s">
        <v>248</v>
      </c>
      <c r="N179" s="35">
        <v>0.3</v>
      </c>
      <c r="O179" s="2">
        <f t="shared" si="55"/>
        <v>70032992.549338058</v>
      </c>
      <c r="P179" s="18" t="s">
        <v>254</v>
      </c>
      <c r="Q179" s="240">
        <v>0</v>
      </c>
      <c r="R179" s="2">
        <f t="shared" si="57"/>
        <v>0</v>
      </c>
    </row>
    <row r="180" spans="1:18" x14ac:dyDescent="0.35">
      <c r="D180" s="2"/>
      <c r="E180" s="2"/>
      <c r="F180" s="158" t="s">
        <v>104</v>
      </c>
      <c r="G180" s="2">
        <f>SUMIF($J$175:$J$184,F180,$L$175:$L$184)/$L$174/2</f>
        <v>1.575831661447534E-2</v>
      </c>
      <c r="I180" s="5" t="s">
        <v>9</v>
      </c>
      <c r="J180" s="154" t="s">
        <v>212</v>
      </c>
      <c r="K180" s="6">
        <f>'Feedstock MIX per IVC'!J40</f>
        <v>2.3265189987630972</v>
      </c>
      <c r="L180" s="2">
        <f t="shared" si="54"/>
        <v>1932776.8411182615</v>
      </c>
      <c r="M180" t="s">
        <v>250</v>
      </c>
      <c r="N180" s="35">
        <v>0.03</v>
      </c>
      <c r="O180" s="2">
        <f t="shared" si="55"/>
        <v>7003299.2549338061</v>
      </c>
    </row>
    <row r="181" spans="1:18" x14ac:dyDescent="0.35">
      <c r="D181" s="2"/>
      <c r="E181" s="2"/>
      <c r="F181" s="207" t="s">
        <v>105</v>
      </c>
      <c r="G181" s="2">
        <f>G180</f>
        <v>1.575831661447534E-2</v>
      </c>
      <c r="I181" s="5" t="s">
        <v>10</v>
      </c>
      <c r="J181" s="178" t="s">
        <v>256</v>
      </c>
      <c r="K181" s="6">
        <f>'Feedstock MIX per IVC'!J41</f>
        <v>17.970044767211444</v>
      </c>
      <c r="L181" s="2">
        <f t="shared" si="54"/>
        <v>14928778.307157658</v>
      </c>
      <c r="M181" s="2"/>
    </row>
    <row r="182" spans="1:18" x14ac:dyDescent="0.35">
      <c r="D182" s="2"/>
      <c r="E182" s="2"/>
      <c r="G182" s="299">
        <f>SUM(G175:G181)</f>
        <v>0.99999999999999989</v>
      </c>
      <c r="I182" s="5" t="s">
        <v>11</v>
      </c>
      <c r="J182" s="156" t="s">
        <v>209</v>
      </c>
      <c r="K182" s="6">
        <f>'Feedstock MIX per IVC'!J42</f>
        <v>22.027210483691064</v>
      </c>
      <c r="L182" s="2">
        <f t="shared" si="54"/>
        <v>18299305.666512903</v>
      </c>
    </row>
    <row r="183" spans="1:18" s="31" customFormat="1" x14ac:dyDescent="0.35">
      <c r="I183" s="5" t="s">
        <v>12</v>
      </c>
      <c r="J183" s="159" t="s">
        <v>213</v>
      </c>
      <c r="K183" s="6">
        <f>'Feedstock MIX per IVC'!J43</f>
        <v>0</v>
      </c>
      <c r="L183" s="2">
        <f t="shared" si="54"/>
        <v>0</v>
      </c>
    </row>
    <row r="184" spans="1:18" x14ac:dyDescent="0.35">
      <c r="D184" s="2"/>
      <c r="E184" s="2"/>
      <c r="I184" s="13" t="s">
        <v>26</v>
      </c>
      <c r="J184" s="158" t="s">
        <v>104</v>
      </c>
      <c r="K184" s="6">
        <f>'Feedstock MIX per IVC'!J44</f>
        <v>3.8045452859328091</v>
      </c>
      <c r="L184" s="2">
        <f t="shared" si="54"/>
        <v>3160660.6365759391</v>
      </c>
      <c r="M184" s="2"/>
    </row>
    <row r="185" spans="1:18" s="219" customFormat="1" x14ac:dyDescent="0.35">
      <c r="A185" s="219" t="s">
        <v>28</v>
      </c>
      <c r="B185" s="219">
        <v>935</v>
      </c>
      <c r="C185" s="219">
        <f>B185*F185</f>
        <v>776759763.15102124</v>
      </c>
      <c r="D185" s="219">
        <f>'[1]GAP analysis Sc. 2'!$N$141</f>
        <v>0.39684680661811123</v>
      </c>
      <c r="E185" s="219">
        <f>'[2]Conversion factors selected IV '!$O$49</f>
        <v>2.0934000000000004</v>
      </c>
      <c r="F185" s="219">
        <f>D185*E185*1000000</f>
        <v>830759.10497435427</v>
      </c>
      <c r="G185" s="219">
        <f>'LCoP 2030 HIGH'!E12</f>
        <v>936</v>
      </c>
      <c r="H185" s="219">
        <f>G185*F185</f>
        <v>777590522.25599563</v>
      </c>
      <c r="I185" s="226">
        <f>'LCoP 2030 HIGH'!H12</f>
        <v>0.75641025641025639</v>
      </c>
      <c r="L185" s="219">
        <f>I185*H185</f>
        <v>588177446.32184279</v>
      </c>
      <c r="M185" s="226">
        <f>'LCoP 2030 HIGH'!F12</f>
        <v>0.14529914529914531</v>
      </c>
      <c r="O185" s="219">
        <f>M185*H185</f>
        <v>112983238.27651219</v>
      </c>
      <c r="P185" s="226">
        <f>'LCoP 2030 HIGH'!G12</f>
        <v>9.8290598290598288E-2</v>
      </c>
      <c r="R185" s="219">
        <f>P185*H185</f>
        <v>76429837.657640591</v>
      </c>
    </row>
    <row r="186" spans="1:18" x14ac:dyDescent="0.35">
      <c r="F186" s="207" t="s">
        <v>106</v>
      </c>
      <c r="G186">
        <v>1</v>
      </c>
      <c r="I186" s="13" t="s">
        <v>29</v>
      </c>
      <c r="J186" s="207" t="s">
        <v>106</v>
      </c>
      <c r="L186" s="2">
        <f>L185</f>
        <v>588177446.32184279</v>
      </c>
      <c r="M186" s="5" t="s">
        <v>245</v>
      </c>
      <c r="N186" s="35">
        <v>0</v>
      </c>
      <c r="O186" s="2">
        <f t="shared" ref="O186:O191" si="58">N186*O$185</f>
        <v>0</v>
      </c>
      <c r="P186" s="18" t="s">
        <v>251</v>
      </c>
      <c r="Q186" s="35">
        <v>0.25</v>
      </c>
      <c r="R186" s="2">
        <f>Q186*R$185</f>
        <v>19107459.414410148</v>
      </c>
    </row>
    <row r="187" spans="1:18" x14ac:dyDescent="0.35">
      <c r="M187" t="s">
        <v>246</v>
      </c>
      <c r="N187" s="35">
        <v>0.02</v>
      </c>
      <c r="O187" s="2">
        <f t="shared" si="58"/>
        <v>2259664.765530244</v>
      </c>
      <c r="P187" s="18" t="s">
        <v>210</v>
      </c>
      <c r="Q187" s="35">
        <v>0.15</v>
      </c>
      <c r="R187" s="2">
        <f t="shared" ref="R187:R190" si="59">Q187*R$185</f>
        <v>11464475.648646088</v>
      </c>
    </row>
    <row r="188" spans="1:18" x14ac:dyDescent="0.35">
      <c r="M188" s="5" t="s">
        <v>244</v>
      </c>
      <c r="N188" s="35">
        <v>0.55000000000000004</v>
      </c>
      <c r="O188" s="2">
        <f t="shared" si="58"/>
        <v>62140781.052081712</v>
      </c>
      <c r="P188" s="18" t="s">
        <v>252</v>
      </c>
      <c r="Q188" s="35">
        <v>0.3</v>
      </c>
      <c r="R188" s="2">
        <f t="shared" si="59"/>
        <v>22928951.297292177</v>
      </c>
    </row>
    <row r="189" spans="1:18" x14ac:dyDescent="0.35">
      <c r="M189" t="s">
        <v>247</v>
      </c>
      <c r="N189" s="35">
        <v>0.1</v>
      </c>
      <c r="O189" s="2">
        <f t="shared" si="58"/>
        <v>11298323.827651219</v>
      </c>
      <c r="P189" s="18" t="s">
        <v>253</v>
      </c>
      <c r="Q189" s="35">
        <v>0.3</v>
      </c>
      <c r="R189" s="2">
        <f t="shared" si="59"/>
        <v>22928951.297292177</v>
      </c>
    </row>
    <row r="190" spans="1:18" x14ac:dyDescent="0.35">
      <c r="M190" t="s">
        <v>248</v>
      </c>
      <c r="N190" s="35">
        <v>0.3</v>
      </c>
      <c r="O190" s="2">
        <f t="shared" si="58"/>
        <v>33894971.482953653</v>
      </c>
      <c r="P190" s="18" t="s">
        <v>254</v>
      </c>
      <c r="Q190" s="240">
        <v>0</v>
      </c>
      <c r="R190" s="2">
        <f t="shared" si="59"/>
        <v>0</v>
      </c>
    </row>
    <row r="191" spans="1:18" x14ac:dyDescent="0.35">
      <c r="M191" t="s">
        <v>250</v>
      </c>
      <c r="N191" s="35">
        <v>0.03</v>
      </c>
      <c r="O191" s="2">
        <f t="shared" si="58"/>
        <v>3389497.1482953657</v>
      </c>
    </row>
    <row r="193" spans="1:19" x14ac:dyDescent="0.35">
      <c r="A193" s="218" t="s">
        <v>336</v>
      </c>
      <c r="B193" s="218">
        <v>1150</v>
      </c>
      <c r="C193" s="219">
        <f>B193*F193</f>
        <v>1944937500.0000002</v>
      </c>
      <c r="D193" s="225">
        <f>'[1]GAP analysis Sc. 2'!$N$138</f>
        <v>1.6912500000000001</v>
      </c>
      <c r="E193" s="225">
        <f>'[2]Conversion factors selected IV '!$O$125</f>
        <v>1</v>
      </c>
      <c r="F193" s="219">
        <f>D193*E193*1000000</f>
        <v>1691250.0000000002</v>
      </c>
      <c r="G193" s="225">
        <f>'LCoP 2030 HIGH'!E23</f>
        <v>2163.1172082344269</v>
      </c>
      <c r="H193" s="220">
        <f>G193*F193</f>
        <v>3658371978.426475</v>
      </c>
      <c r="I193" s="218">
        <f>'LCoP 2030 HIGH'!H23</f>
        <v>0.29338086989396761</v>
      </c>
      <c r="J193" s="218"/>
      <c r="K193" s="218"/>
      <c r="L193" s="219">
        <f>I193*H193</f>
        <v>1073296353.4264746</v>
      </c>
      <c r="M193" s="287">
        <f>'LCoP 2030 HIGH'!F23</f>
        <v>0.31667262291307308</v>
      </c>
      <c r="N193" s="218"/>
      <c r="O193" s="219">
        <f>M193*H193</f>
        <v>1158506250.0000002</v>
      </c>
      <c r="P193" s="288">
        <f>'LCoP 2030 HIGH'!G23</f>
        <v>0.38994650719295931</v>
      </c>
      <c r="Q193" s="218"/>
      <c r="R193" s="219">
        <f>P193*H193</f>
        <v>1426569375.0000002</v>
      </c>
      <c r="S193" s="220">
        <f>R193+O193+L193</f>
        <v>3658371978.426475</v>
      </c>
    </row>
    <row r="194" spans="1:19" x14ac:dyDescent="0.35">
      <c r="C194" s="282">
        <f>C193/C8</f>
        <v>0.203665302803019</v>
      </c>
      <c r="D194" s="6"/>
      <c r="E194" s="6"/>
      <c r="F194" s="154" t="s">
        <v>212</v>
      </c>
      <c r="G194" s="299">
        <f>(SUMIF($J$194:$J$201,F194,$L$194:$L$201)/$L$193)</f>
        <v>0.65908395710014511</v>
      </c>
      <c r="I194" s="5" t="s">
        <v>5</v>
      </c>
      <c r="J194" s="154" t="s">
        <v>212</v>
      </c>
      <c r="K194" s="6">
        <f>'Feedstock MIX per IVC'!J116</f>
        <v>352.14667333355487</v>
      </c>
      <c r="L194" s="2">
        <f>K194*F$193</f>
        <v>595568061.27537477</v>
      </c>
      <c r="M194" s="5" t="s">
        <v>245</v>
      </c>
      <c r="N194" s="286">
        <v>0.15</v>
      </c>
      <c r="O194" s="2">
        <f>N194*O$193</f>
        <v>173775937.50000003</v>
      </c>
      <c r="P194" s="18" t="s">
        <v>251</v>
      </c>
      <c r="Q194" s="285">
        <v>0.15</v>
      </c>
      <c r="R194" s="2">
        <f>Q194*R$193</f>
        <v>213985406.25000003</v>
      </c>
    </row>
    <row r="195" spans="1:19" x14ac:dyDescent="0.35">
      <c r="D195" s="6"/>
      <c r="E195" s="6"/>
      <c r="F195" s="178" t="s">
        <v>256</v>
      </c>
      <c r="G195" s="299">
        <f>(SUMIF($J$194:$J$201,F195,$L$194:$L$201)/$L$193)</f>
        <v>0.14655424124318212</v>
      </c>
      <c r="I195" s="5" t="s">
        <v>6</v>
      </c>
      <c r="J195" s="154" t="s">
        <v>212</v>
      </c>
      <c r="K195" s="6">
        <f>'Feedstock MIX per IVC'!J117</f>
        <v>18.419440190533358</v>
      </c>
      <c r="L195" s="2">
        <f>K195*F$193</f>
        <v>31151878.222239546</v>
      </c>
      <c r="M195" t="s">
        <v>246</v>
      </c>
      <c r="N195" s="282">
        <v>0.02</v>
      </c>
      <c r="O195" s="2">
        <f>N195*O$193</f>
        <v>23170125.000000004</v>
      </c>
      <c r="P195" s="18" t="s">
        <v>210</v>
      </c>
      <c r="Q195" s="285">
        <v>0.25</v>
      </c>
      <c r="R195" s="2">
        <f>Q195*R$193</f>
        <v>356642343.75000006</v>
      </c>
    </row>
    <row r="196" spans="1:19" x14ac:dyDescent="0.35">
      <c r="D196" s="6"/>
      <c r="E196" s="6"/>
      <c r="F196" s="156" t="s">
        <v>209</v>
      </c>
      <c r="G196" s="299">
        <f>(SUMIF($J$194:$J$201,F196,$L$194:$L$201)/$L$193)</f>
        <v>0.17964235264630082</v>
      </c>
      <c r="I196" s="5" t="s">
        <v>7</v>
      </c>
      <c r="J196" s="157" t="s">
        <v>211</v>
      </c>
      <c r="K196" s="6">
        <f>'Feedstock MIX per IVC'!J118</f>
        <v>9.3412156377111621</v>
      </c>
      <c r="L196" s="2">
        <f>K196*F$193</f>
        <v>15798330.947279004</v>
      </c>
      <c r="M196" s="5" t="s">
        <v>244</v>
      </c>
      <c r="N196" s="286">
        <v>0.45</v>
      </c>
      <c r="O196" s="2">
        <f>N196*O$193</f>
        <v>521327812.50000012</v>
      </c>
      <c r="P196" s="18" t="s">
        <v>252</v>
      </c>
      <c r="Q196" s="285">
        <v>0.2</v>
      </c>
      <c r="R196" s="2">
        <f>Q196*R$193</f>
        <v>285313875.00000006</v>
      </c>
      <c r="S196" s="2"/>
    </row>
    <row r="197" spans="1:19" x14ac:dyDescent="0.35">
      <c r="D197" s="6"/>
      <c r="E197" s="6"/>
      <c r="F197" s="157" t="s">
        <v>211</v>
      </c>
      <c r="G197" s="299">
        <f>(SUMIF($J$194:$J$201,F197,$L$194:$L$201)/$L$193)</f>
        <v>1.471944901037182E-2</v>
      </c>
      <c r="I197" s="5" t="s">
        <v>8</v>
      </c>
      <c r="J197" s="154" t="s">
        <v>212</v>
      </c>
      <c r="K197" s="6">
        <f>'Feedstock MIX per IVC'!J119</f>
        <v>35.29932819362039</v>
      </c>
      <c r="L197" s="2">
        <f>K197*F$193</f>
        <v>59699988.807460494</v>
      </c>
      <c r="M197" t="s">
        <v>247</v>
      </c>
      <c r="N197" s="282">
        <v>0.1</v>
      </c>
      <c r="O197" s="2">
        <f>N197*O$193</f>
        <v>115850625.00000003</v>
      </c>
      <c r="P197" s="18" t="s">
        <v>253</v>
      </c>
      <c r="Q197" s="285">
        <v>0.3</v>
      </c>
      <c r="R197" s="2">
        <f>Q197*R$193</f>
        <v>427970812.50000006</v>
      </c>
    </row>
    <row r="198" spans="1:19" x14ac:dyDescent="0.35">
      <c r="D198" s="6"/>
      <c r="E198" s="268"/>
      <c r="F198" s="159" t="s">
        <v>213</v>
      </c>
      <c r="G198" s="299">
        <f>(SUMIF($J$194:$J$201,F198,$L$194:$L$201)/$L$193)</f>
        <v>0</v>
      </c>
      <c r="I198" s="5" t="s">
        <v>9</v>
      </c>
      <c r="J198" s="154" t="s">
        <v>212</v>
      </c>
      <c r="K198" s="6">
        <f>'Feedstock MIX per IVC'!J120</f>
        <v>12.400579129284262</v>
      </c>
      <c r="L198" s="2">
        <f>K198*F$193</f>
        <v>20972479.452402011</v>
      </c>
      <c r="M198" t="s">
        <v>248</v>
      </c>
      <c r="N198" s="282">
        <v>0.25</v>
      </c>
      <c r="O198" s="2">
        <f>N198*O$193</f>
        <v>289626562.50000006</v>
      </c>
      <c r="P198" s="18" t="s">
        <v>254</v>
      </c>
      <c r="Q198" s="285">
        <v>0.1</v>
      </c>
      <c r="R198" s="2">
        <f>Q198*R$193</f>
        <v>142656937.50000003</v>
      </c>
    </row>
    <row r="199" spans="1:19" x14ac:dyDescent="0.35">
      <c r="D199" s="6"/>
      <c r="E199" s="6"/>
      <c r="F199" s="158" t="s">
        <v>104</v>
      </c>
      <c r="G199" s="299">
        <f>(SUMIF($J$194:$J$201,F199,$L$194:$L$201)/$L$193)</f>
        <v>0</v>
      </c>
      <c r="I199" s="5" t="s">
        <v>10</v>
      </c>
      <c r="J199" s="178" t="s">
        <v>256</v>
      </c>
      <c r="K199" s="6">
        <f>'Feedstock MIX per IVC'!J121</f>
        <v>93.005843432662942</v>
      </c>
      <c r="L199" s="2">
        <f>K199*F$193</f>
        <v>157296132.70549121</v>
      </c>
      <c r="M199" t="s">
        <v>250</v>
      </c>
      <c r="N199" s="282">
        <v>0.03</v>
      </c>
      <c r="O199" s="2">
        <f>N199*O$193</f>
        <v>34755187.500000007</v>
      </c>
      <c r="Q199" s="35"/>
      <c r="R199" s="2"/>
    </row>
    <row r="200" spans="1:19" x14ac:dyDescent="0.35">
      <c r="D200" s="6"/>
      <c r="E200" s="6"/>
      <c r="F200" s="258" t="s">
        <v>210</v>
      </c>
      <c r="G200" s="299">
        <f>(SUMIF($J$194:$J$201,F200,$L$194:$L$201)/$L$193)</f>
        <v>0</v>
      </c>
      <c r="I200" s="5" t="s">
        <v>11</v>
      </c>
      <c r="J200" s="156" t="s">
        <v>209</v>
      </c>
      <c r="K200" s="6">
        <f>'Feedstock MIX per IVC'!J122</f>
        <v>114.00412831705982</v>
      </c>
      <c r="L200" s="2">
        <f>K200*F$193</f>
        <v>192809482.01622745</v>
      </c>
    </row>
    <row r="201" spans="1:19" x14ac:dyDescent="0.35">
      <c r="D201" s="6"/>
      <c r="E201" s="6"/>
      <c r="F201" s="6"/>
      <c r="G201" s="299">
        <f>SUM(G194:G200)</f>
        <v>0.99999999999999978</v>
      </c>
      <c r="I201" s="5" t="s">
        <v>12</v>
      </c>
      <c r="J201" s="159" t="s">
        <v>213</v>
      </c>
      <c r="K201" s="6">
        <f>'Feedstock MIX per IVC'!J123</f>
        <v>0</v>
      </c>
      <c r="L201" s="2">
        <f>K201*F$193</f>
        <v>0</v>
      </c>
    </row>
    <row r="202" spans="1:19" x14ac:dyDescent="0.35">
      <c r="D202" s="6"/>
      <c r="E202" s="6"/>
      <c r="F202" s="31"/>
      <c r="G202" s="6"/>
      <c r="H202" s="6"/>
      <c r="I202" s="6" t="s">
        <v>360</v>
      </c>
      <c r="J202" s="6"/>
      <c r="K202" s="6"/>
      <c r="L202" s="2">
        <f>SUM(L194:L201)</f>
        <v>1073296353.4264745</v>
      </c>
    </row>
    <row r="203" spans="1:19" x14ac:dyDescent="0.35">
      <c r="I203" s="80" t="s">
        <v>214</v>
      </c>
      <c r="L203" s="230">
        <f>SUM(L204:L211)</f>
        <v>1173581831.6885564</v>
      </c>
      <c r="O203" s="230">
        <f>SUM(O204:O211)</f>
        <v>1504932796.7743058</v>
      </c>
      <c r="R203" s="230">
        <f>SUM(R204:R211)</f>
        <v>1657520406.1828709</v>
      </c>
    </row>
    <row r="204" spans="1:19" x14ac:dyDescent="0.35">
      <c r="J204" s="159" t="s">
        <v>213</v>
      </c>
      <c r="L204">
        <f>SUMIF($J$175:$J$201,J204,$L$175:$L$201)</f>
        <v>0</v>
      </c>
      <c r="M204" s="5" t="s">
        <v>245</v>
      </c>
      <c r="O204">
        <f>SUMIF($M$175:$M$201,M204,$O$175:$O$201)</f>
        <v>173775937.50000003</v>
      </c>
      <c r="P204" s="18" t="s">
        <v>251</v>
      </c>
      <c r="R204">
        <f>SUMIF($P$175:$P$201,P204,$R$175:$R$201)</f>
        <v>271723164.04571766</v>
      </c>
    </row>
    <row r="205" spans="1:19" x14ac:dyDescent="0.35">
      <c r="J205" s="157" t="s">
        <v>211</v>
      </c>
      <c r="L205">
        <f>SUMIF($J$175:$J$201,J205,$L$175:$L$201)</f>
        <v>17254269.824345142</v>
      </c>
      <c r="M205" t="s">
        <v>246</v>
      </c>
      <c r="O205">
        <f>SUMIF($M$175:$M$201,M205,$O$175:$O$201)</f>
        <v>30098655.935486119</v>
      </c>
      <c r="P205" s="18" t="s">
        <v>210</v>
      </c>
      <c r="R205">
        <f>SUMIF($P$175:$P$201,P205,$R$175:$R$201)</f>
        <v>391284998.42743063</v>
      </c>
    </row>
    <row r="206" spans="1:19" x14ac:dyDescent="0.35">
      <c r="J206" s="154" t="s">
        <v>212</v>
      </c>
      <c r="L206">
        <f>SUMIF($J$175:$J$201,J206,$L$175:$L$201)</f>
        <v>769833202.53224599</v>
      </c>
      <c r="M206" s="5" t="s">
        <v>244</v>
      </c>
      <c r="O206">
        <f>SUMIF($M$175:$M$201,M206,$O$175:$O$201)</f>
        <v>711862413.22586823</v>
      </c>
      <c r="P206" s="18" t="s">
        <v>252</v>
      </c>
      <c r="R206">
        <f>SUMIF($P$175:$P$201,P206,$R$175:$R$201)</f>
        <v>354599184.3548612</v>
      </c>
    </row>
    <row r="207" spans="1:19" x14ac:dyDescent="0.35">
      <c r="J207" s="178" t="s">
        <v>256</v>
      </c>
      <c r="L207">
        <f>SUMIF($J$175:$J$201,J207,$L$175:$L$201)</f>
        <v>172224911.01264888</v>
      </c>
      <c r="M207" t="s">
        <v>247</v>
      </c>
      <c r="O207">
        <f>SUMIF($M$175:$M$201,M207,$O$175:$O$201)</f>
        <v>150493279.6774306</v>
      </c>
      <c r="P207" s="18" t="s">
        <v>253</v>
      </c>
      <c r="R207">
        <f>SUMIF($P$175:$P$201,P207,$R$175:$R$201)</f>
        <v>497256121.8548612</v>
      </c>
    </row>
    <row r="208" spans="1:19" x14ac:dyDescent="0.35">
      <c r="J208" s="156" t="s">
        <v>209</v>
      </c>
      <c r="L208">
        <f>SUMIF($J$175:$J$201,J208,$L$175:$L$201)</f>
        <v>211108787.68274036</v>
      </c>
      <c r="M208" t="s">
        <v>248</v>
      </c>
      <c r="O208">
        <f>SUMIF($M$175:$M$201,M208,$O$175:$O$201)</f>
        <v>393554526.53229177</v>
      </c>
      <c r="P208" s="18" t="s">
        <v>254</v>
      </c>
      <c r="R208">
        <f>SUMIF($P$175:$P$201,P208,$R$175:$R$201)</f>
        <v>142656937.50000003</v>
      </c>
    </row>
    <row r="209" spans="1:18" x14ac:dyDescent="0.35">
      <c r="J209" s="159" t="s">
        <v>213</v>
      </c>
      <c r="L209">
        <f>SUMIF($J$175:$J$201,J209,$L$175:$L$201)</f>
        <v>0</v>
      </c>
      <c r="M209" t="s">
        <v>250</v>
      </c>
      <c r="O209">
        <f>SUMIF($M$175:$M$201,M209,$O$175:$O$201)</f>
        <v>45147983.903229177</v>
      </c>
    </row>
    <row r="210" spans="1:18" x14ac:dyDescent="0.35">
      <c r="J210" s="158" t="s">
        <v>104</v>
      </c>
      <c r="L210">
        <f>SUMIF($J$175:$J$201,J210,$L$175:$L$201)</f>
        <v>3160660.6365759391</v>
      </c>
    </row>
    <row r="211" spans="1:18" s="207" customFormat="1" ht="32.5" customHeight="1" x14ac:dyDescent="0.35">
      <c r="A211" s="246" t="s">
        <v>394</v>
      </c>
      <c r="B211" s="246"/>
      <c r="C211" s="246"/>
      <c r="F211" s="215"/>
    </row>
    <row r="212" spans="1:18" ht="16.5" customHeight="1" x14ac:dyDescent="0.35">
      <c r="B212" s="2">
        <f>C212/1000000</f>
        <v>679.81259145216484</v>
      </c>
      <c r="C212" s="2">
        <f>C213+C220</f>
        <v>679812591.45216489</v>
      </c>
      <c r="D212" s="2">
        <f>D213+D220</f>
        <v>0.56844373886464894</v>
      </c>
      <c r="F212" s="2">
        <f>F213+F220</f>
        <v>579202.03553445195</v>
      </c>
      <c r="L212" s="2">
        <f>L213+L220</f>
        <v>740261281.41947937</v>
      </c>
      <c r="O212" s="2">
        <f>O213+O220</f>
        <v>61886183.272961155</v>
      </c>
      <c r="R212" s="2">
        <f>R213+R220</f>
        <v>66407329.512114361</v>
      </c>
    </row>
    <row r="213" spans="1:18" s="219" customFormat="1" x14ac:dyDescent="0.35">
      <c r="A213" s="219" t="s">
        <v>395</v>
      </c>
      <c r="B213" s="219">
        <v>935</v>
      </c>
      <c r="C213" s="219">
        <f>B213*F213</f>
        <v>161342510.59921855</v>
      </c>
      <c r="D213" s="219">
        <f>'[1]GAP analysis Sc. 2'!$N$145</f>
        <v>8.2429939268880453E-2</v>
      </c>
      <c r="E213" s="219">
        <f>'[2]Conversion factors selected IV '!$O$50</f>
        <v>2.0934000000000004</v>
      </c>
      <c r="F213" s="219">
        <f>D213*E213*1000000</f>
        <v>172558.83486547437</v>
      </c>
      <c r="G213" s="219">
        <f>'LCoP 2030 HIGH'!E13</f>
        <v>377.86968567880001</v>
      </c>
      <c r="H213" s="219">
        <f>G213*F213</f>
        <v>65204752.69171676</v>
      </c>
      <c r="I213" s="226">
        <f>'LCoP 2030 HIGH'!H13</f>
        <v>0.77240831096172546</v>
      </c>
      <c r="L213" s="219">
        <f>I213*H213</f>
        <v>50364692.893285967</v>
      </c>
      <c r="M213" s="226">
        <f>'LCoP 2030 HIGH'!F13</f>
        <v>0.15084565436257732</v>
      </c>
      <c r="O213" s="219">
        <f>M213*H213</f>
        <v>9835853.5873320401</v>
      </c>
      <c r="P213" s="226">
        <f>'LCoP 2030 HIGH'!G13</f>
        <v>7.6746034675697239E-2</v>
      </c>
      <c r="R213" s="219">
        <f>P213*H213</f>
        <v>5004206.2110987576</v>
      </c>
    </row>
    <row r="214" spans="1:18" x14ac:dyDescent="0.35">
      <c r="E214" s="1"/>
      <c r="F214" s="261" t="s">
        <v>210</v>
      </c>
      <c r="G214">
        <v>1</v>
      </c>
      <c r="I214" s="15" t="s">
        <v>31</v>
      </c>
      <c r="J214" s="261" t="s">
        <v>210</v>
      </c>
      <c r="L214" s="2">
        <f>L213</f>
        <v>50364692.893285967</v>
      </c>
      <c r="M214" s="5" t="s">
        <v>245</v>
      </c>
      <c r="N214" s="35">
        <v>0.2</v>
      </c>
      <c r="O214" s="2">
        <f t="shared" ref="O214:O219" si="60">N214*O$213</f>
        <v>1967170.7174664082</v>
      </c>
      <c r="P214" s="18" t="s">
        <v>251</v>
      </c>
      <c r="Q214" s="35">
        <v>0.35</v>
      </c>
      <c r="R214" s="2">
        <f>Q214*$R$213</f>
        <v>1751472.173884565</v>
      </c>
    </row>
    <row r="215" spans="1:18" x14ac:dyDescent="0.35">
      <c r="E215" s="1"/>
      <c r="M215" t="s">
        <v>246</v>
      </c>
      <c r="N215" s="35">
        <v>7.0000000000000007E-2</v>
      </c>
      <c r="O215" s="2">
        <f t="shared" si="60"/>
        <v>688509.75111324282</v>
      </c>
      <c r="P215" s="18" t="s">
        <v>210</v>
      </c>
      <c r="Q215" s="35">
        <v>0.15</v>
      </c>
      <c r="R215" s="2">
        <f t="shared" ref="R215:R218" si="61">Q215*$R$213</f>
        <v>750630.93166481366</v>
      </c>
    </row>
    <row r="216" spans="1:18" x14ac:dyDescent="0.35">
      <c r="E216" s="1"/>
      <c r="M216" s="5" t="s">
        <v>244</v>
      </c>
      <c r="N216" s="35">
        <v>0.4</v>
      </c>
      <c r="O216" s="2">
        <f t="shared" si="60"/>
        <v>3934341.4349328163</v>
      </c>
      <c r="P216" s="18" t="s">
        <v>252</v>
      </c>
      <c r="Q216" s="35">
        <v>0.12</v>
      </c>
      <c r="R216" s="2">
        <f t="shared" si="61"/>
        <v>600504.74533185083</v>
      </c>
    </row>
    <row r="217" spans="1:18" x14ac:dyDescent="0.35">
      <c r="E217" s="1"/>
      <c r="M217" t="s">
        <v>247</v>
      </c>
      <c r="N217" s="35">
        <v>0.15</v>
      </c>
      <c r="O217" s="2">
        <f t="shared" si="60"/>
        <v>1475378.0380998061</v>
      </c>
      <c r="P217" s="18" t="s">
        <v>253</v>
      </c>
      <c r="Q217" s="35">
        <v>0.3</v>
      </c>
      <c r="R217" s="2">
        <f t="shared" si="61"/>
        <v>1501261.8633296273</v>
      </c>
    </row>
    <row r="218" spans="1:18" x14ac:dyDescent="0.35">
      <c r="E218" s="1"/>
      <c r="M218" t="s">
        <v>248</v>
      </c>
      <c r="N218" s="35">
        <v>0.15</v>
      </c>
      <c r="O218" s="2">
        <f t="shared" si="60"/>
        <v>1475378.0380998061</v>
      </c>
      <c r="P218" s="18" t="s">
        <v>254</v>
      </c>
      <c r="Q218" s="35">
        <v>0.08</v>
      </c>
      <c r="R218" s="2">
        <f t="shared" si="61"/>
        <v>400336.49688790063</v>
      </c>
    </row>
    <row r="219" spans="1:18" x14ac:dyDescent="0.35">
      <c r="E219" s="1"/>
      <c r="M219" t="s">
        <v>250</v>
      </c>
      <c r="N219" s="35">
        <v>0.03</v>
      </c>
      <c r="O219" s="2">
        <f t="shared" si="60"/>
        <v>295075.6076199612</v>
      </c>
      <c r="Q219" s="35">
        <f>SUM(Q214:Q218)</f>
        <v>0.99999999999999989</v>
      </c>
    </row>
    <row r="220" spans="1:18" s="219" customFormat="1" x14ac:dyDescent="0.35">
      <c r="A220" s="219" t="s">
        <v>396</v>
      </c>
      <c r="B220" s="219">
        <v>1275</v>
      </c>
      <c r="C220" s="219">
        <f>B220*F220</f>
        <v>518470080.85294634</v>
      </c>
      <c r="D220" s="219">
        <f>'[1]GAP analysis Sc. 2'!$N$135</f>
        <v>0.48601379959576846</v>
      </c>
      <c r="E220" s="219">
        <f>'[2]Conversion factors selected IV '!$O$62</f>
        <v>0.83669064748201449</v>
      </c>
      <c r="F220" s="219">
        <f>D220*E220*1000000</f>
        <v>406643.20066897752</v>
      </c>
      <c r="G220" s="219">
        <f>'LCoP 2030 HIGH'!E15</f>
        <v>1975.5649183147032</v>
      </c>
      <c r="H220" s="219">
        <f>G220*F220</f>
        <v>803350041.51283801</v>
      </c>
      <c r="I220" s="226">
        <f>'LCoP 2030 HIGH'!H15</f>
        <v>0.85877457257238266</v>
      </c>
      <c r="L220" s="219">
        <f>I220*H220</f>
        <v>689896588.52619338</v>
      </c>
      <c r="M220" s="226">
        <f>'LCoP 2030 HIGH'!F15</f>
        <v>6.4791593945286829E-2</v>
      </c>
      <c r="O220" s="219">
        <f>M220*H220</f>
        <v>52050329.685629115</v>
      </c>
      <c r="P220" s="226">
        <f>'LCoP 2030 HIGH'!G15</f>
        <v>7.6433833482330557E-2</v>
      </c>
      <c r="R220" s="219">
        <f>P220*H220</f>
        <v>61403123.301015601</v>
      </c>
    </row>
    <row r="221" spans="1:18" x14ac:dyDescent="0.35">
      <c r="E221" s="1"/>
      <c r="F221" s="261" t="s">
        <v>210</v>
      </c>
      <c r="G221">
        <v>1</v>
      </c>
      <c r="I221" s="15" t="s">
        <v>31</v>
      </c>
      <c r="J221" s="261" t="s">
        <v>210</v>
      </c>
      <c r="L221" s="2">
        <f>L220</f>
        <v>689896588.52619338</v>
      </c>
      <c r="M221" s="5" t="s">
        <v>245</v>
      </c>
      <c r="N221" s="35">
        <v>0.2</v>
      </c>
      <c r="O221" s="2">
        <f t="shared" ref="O221:O226" si="62">N221*O$220</f>
        <v>10410065.937125824</v>
      </c>
      <c r="P221" s="18" t="s">
        <v>251</v>
      </c>
      <c r="Q221" s="35">
        <v>0.35</v>
      </c>
      <c r="R221" s="2">
        <f>Q221*$R$220</f>
        <v>21491093.155355457</v>
      </c>
    </row>
    <row r="222" spans="1:18" x14ac:dyDescent="0.35">
      <c r="M222" t="s">
        <v>246</v>
      </c>
      <c r="N222" s="35">
        <v>7.0000000000000007E-2</v>
      </c>
      <c r="O222" s="2">
        <f t="shared" si="62"/>
        <v>3643523.0779940384</v>
      </c>
      <c r="P222" s="18" t="s">
        <v>210</v>
      </c>
      <c r="Q222" s="35">
        <v>0.15</v>
      </c>
      <c r="R222" s="2">
        <f t="shared" ref="R222:R225" si="63">Q222*$R$220</f>
        <v>9210468.4951523393</v>
      </c>
    </row>
    <row r="223" spans="1:18" x14ac:dyDescent="0.35">
      <c r="M223" s="5" t="s">
        <v>244</v>
      </c>
      <c r="N223" s="35">
        <v>0.4</v>
      </c>
      <c r="O223" s="2">
        <f t="shared" si="62"/>
        <v>20820131.874251649</v>
      </c>
      <c r="P223" s="18" t="s">
        <v>252</v>
      </c>
      <c r="Q223" s="35">
        <v>0.12</v>
      </c>
      <c r="R223" s="2">
        <f t="shared" si="63"/>
        <v>7368374.796121872</v>
      </c>
    </row>
    <row r="224" spans="1:18" x14ac:dyDescent="0.35">
      <c r="M224" t="s">
        <v>247</v>
      </c>
      <c r="N224" s="35">
        <v>0.15</v>
      </c>
      <c r="O224" s="2">
        <f t="shared" si="62"/>
        <v>7807549.4528443664</v>
      </c>
      <c r="P224" s="18" t="s">
        <v>253</v>
      </c>
      <c r="Q224" s="35">
        <v>0.3</v>
      </c>
      <c r="R224" s="2">
        <f t="shared" si="63"/>
        <v>18420936.990304679</v>
      </c>
    </row>
    <row r="225" spans="1:18" x14ac:dyDescent="0.35">
      <c r="M225" t="s">
        <v>248</v>
      </c>
      <c r="N225" s="35">
        <v>0.15</v>
      </c>
      <c r="O225" s="2">
        <f t="shared" si="62"/>
        <v>7807549.4528443664</v>
      </c>
      <c r="P225" s="18" t="s">
        <v>254</v>
      </c>
      <c r="Q225" s="35">
        <v>0.08</v>
      </c>
      <c r="R225" s="2">
        <f t="shared" si="63"/>
        <v>4912249.8640812477</v>
      </c>
    </row>
    <row r="226" spans="1:18" x14ac:dyDescent="0.35">
      <c r="M226" t="s">
        <v>250</v>
      </c>
      <c r="N226" s="35">
        <v>0.03</v>
      </c>
      <c r="O226" s="2">
        <f t="shared" si="62"/>
        <v>1561509.8905688734</v>
      </c>
      <c r="Q226" s="35">
        <f>SUM(Q221:Q225)</f>
        <v>0.99999999999999989</v>
      </c>
    </row>
    <row r="227" spans="1:18" x14ac:dyDescent="0.35">
      <c r="O227" s="2">
        <f>SUM(O221:O226)</f>
        <v>52050329.685629122</v>
      </c>
      <c r="R227" s="2">
        <f>SUM(R221:R226)</f>
        <v>61403123.301015593</v>
      </c>
    </row>
    <row r="229" spans="1:18" x14ac:dyDescent="0.35">
      <c r="I229" s="80" t="s">
        <v>214</v>
      </c>
      <c r="J229" s="80"/>
      <c r="K229" s="80"/>
      <c r="L229" s="92">
        <f>SUM(L230:L235)</f>
        <v>740261281.41947937</v>
      </c>
      <c r="M229" s="80"/>
      <c r="N229" s="80"/>
      <c r="O229" s="92">
        <f>SUM(O230:O235)</f>
        <v>61886183.272961169</v>
      </c>
      <c r="P229" s="80"/>
      <c r="Q229" s="80"/>
      <c r="R229" s="92">
        <f>SUM(R230:R235)</f>
        <v>66407329.512114353</v>
      </c>
    </row>
    <row r="230" spans="1:18" x14ac:dyDescent="0.35">
      <c r="J230" s="261" t="s">
        <v>210</v>
      </c>
      <c r="L230" s="2">
        <f>L214+L221</f>
        <v>740261281.41947937</v>
      </c>
      <c r="M230" s="5" t="s">
        <v>245</v>
      </c>
      <c r="O230">
        <f t="shared" ref="O230:O235" si="64">SUMIF($M$214:$M$226, M230, $O$214:$O$226)</f>
        <v>12377236.654592233</v>
      </c>
      <c r="P230" s="18" t="s">
        <v>251</v>
      </c>
      <c r="R230">
        <f>SUMIF($P$214:$P$225, P230, $R$214:$R$225)</f>
        <v>23242565.329240024</v>
      </c>
    </row>
    <row r="231" spans="1:18" x14ac:dyDescent="0.35">
      <c r="M231" t="s">
        <v>246</v>
      </c>
      <c r="O231">
        <f t="shared" si="64"/>
        <v>4332032.8291072808</v>
      </c>
      <c r="P231" s="18" t="s">
        <v>210</v>
      </c>
      <c r="R231">
        <f t="shared" ref="R231:R234" si="65">SUMIF($P$214:$P$225, P231, $R$214:$R$225)</f>
        <v>9961099.4268171526</v>
      </c>
    </row>
    <row r="232" spans="1:18" x14ac:dyDescent="0.35">
      <c r="M232" s="5" t="s">
        <v>244</v>
      </c>
      <c r="O232">
        <f t="shared" si="64"/>
        <v>24754473.309184466</v>
      </c>
      <c r="P232" s="18" t="s">
        <v>252</v>
      </c>
      <c r="R232">
        <f t="shared" si="65"/>
        <v>7968879.5414537229</v>
      </c>
    </row>
    <row r="233" spans="1:18" x14ac:dyDescent="0.35">
      <c r="M233" t="s">
        <v>247</v>
      </c>
      <c r="O233">
        <f t="shared" si="64"/>
        <v>9282927.4909441732</v>
      </c>
      <c r="P233" s="18" t="s">
        <v>253</v>
      </c>
      <c r="R233">
        <f t="shared" si="65"/>
        <v>19922198.853634305</v>
      </c>
    </row>
    <row r="234" spans="1:18" x14ac:dyDescent="0.35">
      <c r="M234" t="s">
        <v>248</v>
      </c>
      <c r="O234">
        <f t="shared" si="64"/>
        <v>9282927.4909441732</v>
      </c>
      <c r="P234" s="18" t="s">
        <v>254</v>
      </c>
      <c r="R234">
        <f t="shared" si="65"/>
        <v>5312586.3609691486</v>
      </c>
    </row>
    <row r="235" spans="1:18" x14ac:dyDescent="0.35">
      <c r="M235" t="s">
        <v>250</v>
      </c>
      <c r="O235">
        <f t="shared" si="64"/>
        <v>1856585.4981888346</v>
      </c>
    </row>
    <row r="237" spans="1:18" s="207" customFormat="1" ht="32.5" customHeight="1" x14ac:dyDescent="0.35">
      <c r="A237" s="246" t="s">
        <v>366</v>
      </c>
      <c r="B237" s="246"/>
      <c r="C237" s="246"/>
      <c r="D237" s="307">
        <f>D240+D272+D282</f>
        <v>12.86378326651969</v>
      </c>
      <c r="F237" s="215"/>
    </row>
    <row r="238" spans="1:18" x14ac:dyDescent="0.35">
      <c r="D238" s="2"/>
    </row>
    <row r="239" spans="1:18" s="158" customFormat="1" ht="29.5" customHeight="1" x14ac:dyDescent="0.35">
      <c r="A239" s="158" t="s">
        <v>259</v>
      </c>
      <c r="F239" s="247"/>
    </row>
    <row r="240" spans="1:18" ht="17.5" customHeight="1" x14ac:dyDescent="0.35">
      <c r="B240" s="2">
        <f>C240/1000000</f>
        <v>15867.820045058934</v>
      </c>
      <c r="C240" s="2">
        <f>SUM(C241:C267)</f>
        <v>15867820045.058933</v>
      </c>
      <c r="D240" s="262">
        <f>D241+D249+D256+D264</f>
        <v>12.813433577476269</v>
      </c>
      <c r="E240" s="2">
        <f>E241+E249+E256+E264+E287+E290</f>
        <v>4.1662260442260441</v>
      </c>
      <c r="F240" s="2">
        <f>F241+F249+F256+F264</f>
        <v>13613129.930803733</v>
      </c>
    </row>
    <row r="241" spans="1:19" s="119" customFormat="1" x14ac:dyDescent="0.35">
      <c r="A241" s="119" t="s">
        <v>401</v>
      </c>
      <c r="B241" s="119">
        <v>1165.6261363636365</v>
      </c>
      <c r="C241" s="119">
        <f>B241*F241</f>
        <v>4238632579.4089346</v>
      </c>
      <c r="D241" s="119">
        <f>'[1]GAP analysis Sc. 2'!$K$20</f>
        <v>3.2135569708726672</v>
      </c>
      <c r="E241" s="119">
        <f>'[2]Conversion factors selected IV '!$O$4</f>
        <v>1.1315675675675676</v>
      </c>
      <c r="F241" s="119">
        <f>D241*E241*1000000</f>
        <v>3636356.8447701847</v>
      </c>
      <c r="G241" s="119">
        <v>629</v>
      </c>
      <c r="H241" s="119">
        <f>G241*F241</f>
        <v>2287268455.360446</v>
      </c>
      <c r="I241" s="119">
        <v>0.75</v>
      </c>
      <c r="K241" s="119">
        <f>I241*G241</f>
        <v>471.75</v>
      </c>
      <c r="L241" s="119">
        <f>I241*H241</f>
        <v>1715451341.5203345</v>
      </c>
      <c r="M241" s="119">
        <v>6.5000000000000002E-2</v>
      </c>
      <c r="O241" s="119">
        <f>M241*H241</f>
        <v>148672449.59842899</v>
      </c>
      <c r="P241" s="119">
        <v>0.185</v>
      </c>
      <c r="R241" s="119">
        <f>P241*H241</f>
        <v>423144664.24168253</v>
      </c>
      <c r="S241" s="119">
        <f>I241+M241+P241</f>
        <v>1</v>
      </c>
    </row>
    <row r="242" spans="1:19" x14ac:dyDescent="0.35">
      <c r="D242" s="2"/>
      <c r="E242" s="209" t="s">
        <v>292</v>
      </c>
      <c r="F242" s="161" t="s">
        <v>211</v>
      </c>
      <c r="G242">
        <f>(L242+L244)/L241</f>
        <v>0.80055384228082316</v>
      </c>
      <c r="H242" s="209" t="s">
        <v>292</v>
      </c>
      <c r="I242" s="18" t="s">
        <v>260</v>
      </c>
      <c r="J242" s="161" t="s">
        <v>211</v>
      </c>
      <c r="K242" s="112">
        <f>'Feedtstocks only CONVENTIONAL'!$J$4</f>
        <v>0.76052615016678204</v>
      </c>
      <c r="L242" s="2">
        <f>K242*$L$241</f>
        <v>1304645604.5649016</v>
      </c>
      <c r="M242" t="s">
        <v>296</v>
      </c>
      <c r="N242" s="61">
        <v>0.45</v>
      </c>
      <c r="O242" s="2">
        <f>N242*O$241</f>
        <v>66902602.319293052</v>
      </c>
      <c r="P242" t="s">
        <v>298</v>
      </c>
      <c r="Q242" s="61">
        <v>0.3</v>
      </c>
      <c r="R242" s="2">
        <f>Q242*R$241</f>
        <v>126943399.27250475</v>
      </c>
    </row>
    <row r="243" spans="1:19" x14ac:dyDescent="0.35">
      <c r="D243" s="2"/>
      <c r="E243" s="208" t="s">
        <v>290</v>
      </c>
      <c r="F243" s="161" t="s">
        <v>211</v>
      </c>
      <c r="G243">
        <f>(L243+L245)/L241</f>
        <v>0.19944615771917679</v>
      </c>
      <c r="H243" s="208" t="s">
        <v>290</v>
      </c>
      <c r="I243" s="18" t="s">
        <v>261</v>
      </c>
      <c r="J243" s="161" t="s">
        <v>211</v>
      </c>
      <c r="K243" s="112">
        <f>'Feedtstocks only CONVENTIONAL'!$J$5</f>
        <v>0.16011076845616465</v>
      </c>
      <c r="L243" s="2">
        <f>K243*$L$241</f>
        <v>274662232.53997928</v>
      </c>
      <c r="M243" t="s">
        <v>297</v>
      </c>
      <c r="N243" s="61">
        <v>0.3</v>
      </c>
      <c r="O243" s="2">
        <f t="shared" ref="O243:O246" si="66">N243*O$241</f>
        <v>44601734.879528694</v>
      </c>
      <c r="P243" t="s">
        <v>299</v>
      </c>
      <c r="Q243" s="61">
        <v>0.2</v>
      </c>
      <c r="R243" s="2">
        <f t="shared" ref="R243:R247" si="67">Q243*R$241</f>
        <v>84628932.848336518</v>
      </c>
    </row>
    <row r="244" spans="1:19" x14ac:dyDescent="0.35">
      <c r="D244" s="2"/>
      <c r="H244" s="209" t="s">
        <v>292</v>
      </c>
      <c r="I244" s="18" t="s">
        <v>263</v>
      </c>
      <c r="J244" s="161" t="s">
        <v>211</v>
      </c>
      <c r="K244" s="112">
        <f>'Feedtstocks only CONVENTIONAL'!$J$6</f>
        <v>4.0027692114041162E-2</v>
      </c>
      <c r="L244" s="2">
        <f>K244*$L$241</f>
        <v>68665558.13499482</v>
      </c>
      <c r="M244" t="s">
        <v>247</v>
      </c>
      <c r="N244" s="61">
        <v>0.15</v>
      </c>
      <c r="O244" s="2">
        <f t="shared" si="66"/>
        <v>22300867.439764347</v>
      </c>
      <c r="P244" t="s">
        <v>252</v>
      </c>
      <c r="Q244" s="61">
        <v>0.25</v>
      </c>
      <c r="R244" s="2">
        <f t="shared" si="67"/>
        <v>105786166.06042063</v>
      </c>
    </row>
    <row r="245" spans="1:19" x14ac:dyDescent="0.35">
      <c r="D245" s="2"/>
      <c r="H245" s="208" t="s">
        <v>290</v>
      </c>
      <c r="I245" s="18" t="s">
        <v>262</v>
      </c>
      <c r="J245" s="161" t="s">
        <v>211</v>
      </c>
      <c r="K245" s="112">
        <f>'Feedtstocks only CONVENTIONAL'!$J$7</f>
        <v>3.9335389263012145E-2</v>
      </c>
      <c r="L245" s="2">
        <f>K245*$L$241</f>
        <v>67477946.280458748</v>
      </c>
      <c r="M245" t="s">
        <v>245</v>
      </c>
      <c r="N245" s="61">
        <v>7.0000000000000007E-2</v>
      </c>
      <c r="O245" s="2">
        <f t="shared" si="66"/>
        <v>10407071.47189003</v>
      </c>
      <c r="P245" t="s">
        <v>300</v>
      </c>
      <c r="Q245" s="61">
        <v>0.15</v>
      </c>
      <c r="R245" s="2">
        <f t="shared" si="67"/>
        <v>63471699.636252373</v>
      </c>
    </row>
    <row r="246" spans="1:19" x14ac:dyDescent="0.35">
      <c r="D246" s="2"/>
      <c r="L246" s="2">
        <f>SUM(L242:L245)</f>
        <v>1715451341.5203342</v>
      </c>
      <c r="M246" t="s">
        <v>250</v>
      </c>
      <c r="N246" s="61">
        <v>0.03</v>
      </c>
      <c r="O246" s="2">
        <f t="shared" si="66"/>
        <v>4460173.4879528694</v>
      </c>
      <c r="P246" s="18" t="s">
        <v>254</v>
      </c>
      <c r="Q246" s="61">
        <v>0.1</v>
      </c>
      <c r="R246" s="2">
        <f t="shared" si="67"/>
        <v>42314466.424168259</v>
      </c>
    </row>
    <row r="247" spans="1:19" x14ac:dyDescent="0.35">
      <c r="D247" s="2"/>
      <c r="O247" s="2">
        <f>SUM(O242:O246)</f>
        <v>148672449.59842899</v>
      </c>
      <c r="P247" t="s">
        <v>213</v>
      </c>
      <c r="Q247" s="61">
        <v>0</v>
      </c>
      <c r="R247" s="2">
        <f t="shared" si="67"/>
        <v>0</v>
      </c>
    </row>
    <row r="248" spans="1:19" s="122" customFormat="1" x14ac:dyDescent="0.35">
      <c r="R248" s="2">
        <f>SUM(R242:R247)</f>
        <v>423144664.24168253</v>
      </c>
    </row>
    <row r="249" spans="1:19" s="119" customFormat="1" x14ac:dyDescent="0.35">
      <c r="A249" s="119" t="s">
        <v>373</v>
      </c>
      <c r="B249" s="119">
        <v>1165.6261363636365</v>
      </c>
      <c r="C249" s="119">
        <f>B249*F249</f>
        <v>5006112138.5829525</v>
      </c>
      <c r="D249" s="119">
        <f>'[1]GAP analysis Sc. 2'!$K$21</f>
        <v>4.513482447113156</v>
      </c>
      <c r="E249" s="119">
        <f>'[2]Conversion factors selected IV '!$O$7</f>
        <v>0.95154545454545458</v>
      </c>
      <c r="F249" s="119">
        <f>D249*E249*1000000</f>
        <v>4294783.7067212192</v>
      </c>
      <c r="G249" s="119">
        <v>665.824761904762</v>
      </c>
      <c r="H249" s="119">
        <f>G249*F249</f>
        <v>2859573338.9601068</v>
      </c>
      <c r="I249" s="119">
        <v>0.67</v>
      </c>
      <c r="K249" s="119">
        <f>'Feedtstocks only CONVENTIONAL'!I113</f>
        <v>0</v>
      </c>
      <c r="L249" s="119">
        <f>I249*H249</f>
        <v>1915914137.1032717</v>
      </c>
      <c r="M249" s="119">
        <v>0.13</v>
      </c>
      <c r="O249" s="119">
        <f>M249*H249</f>
        <v>371744534.06481391</v>
      </c>
      <c r="P249" s="119">
        <v>0.2</v>
      </c>
      <c r="R249" s="119">
        <f>P249*H249</f>
        <v>571914667.79202139</v>
      </c>
      <c r="S249" s="119">
        <f>I249+M249+P249</f>
        <v>1</v>
      </c>
    </row>
    <row r="250" spans="1:19" x14ac:dyDescent="0.35">
      <c r="D250" s="2"/>
      <c r="E250" s="209" t="s">
        <v>292</v>
      </c>
      <c r="F250" s="161" t="s">
        <v>211</v>
      </c>
      <c r="H250" s="209" t="s">
        <v>292</v>
      </c>
      <c r="I250" s="18" t="s">
        <v>260</v>
      </c>
      <c r="J250" s="161" t="s">
        <v>211</v>
      </c>
      <c r="K250" s="112">
        <f>'Feedtstocks only CONVENTIONAL'!$J$4</f>
        <v>0.76052615016678204</v>
      </c>
      <c r="L250" s="2">
        <f>K250*$L$249</f>
        <v>1457102802.7412634</v>
      </c>
      <c r="M250" t="s">
        <v>296</v>
      </c>
      <c r="N250" s="61">
        <v>0.55000000000000004</v>
      </c>
      <c r="O250" s="2">
        <f>N250*$O$249</f>
        <v>204459493.73564768</v>
      </c>
      <c r="P250" t="s">
        <v>298</v>
      </c>
      <c r="Q250" s="61">
        <v>0.4</v>
      </c>
      <c r="R250" s="2">
        <f>Q250*$R$249</f>
        <v>228765867.11680856</v>
      </c>
    </row>
    <row r="251" spans="1:19" x14ac:dyDescent="0.35">
      <c r="D251" s="2"/>
      <c r="E251" s="208" t="s">
        <v>290</v>
      </c>
      <c r="F251" s="161" t="s">
        <v>211</v>
      </c>
      <c r="H251" s="208" t="s">
        <v>290</v>
      </c>
      <c r="I251" s="18" t="s">
        <v>261</v>
      </c>
      <c r="J251" s="161" t="s">
        <v>211</v>
      </c>
      <c r="K251" s="112">
        <f>'Feedtstocks only CONVENTIONAL'!$J$5</f>
        <v>0.16011076845616465</v>
      </c>
      <c r="L251" s="2">
        <f t="shared" ref="L251:L253" si="68">K251*$L$249</f>
        <v>306758484.78763443</v>
      </c>
      <c r="M251" t="s">
        <v>297</v>
      </c>
      <c r="N251" s="61">
        <v>0.25</v>
      </c>
      <c r="O251" s="2">
        <f t="shared" ref="O251:O254" si="69">N251*$O$249</f>
        <v>92936133.516203478</v>
      </c>
      <c r="P251" t="s">
        <v>299</v>
      </c>
      <c r="Q251" s="61">
        <v>0.2</v>
      </c>
      <c r="R251" s="2">
        <f t="shared" ref="R251:R255" si="70">Q251*$R$249</f>
        <v>114382933.55840428</v>
      </c>
    </row>
    <row r="252" spans="1:19" x14ac:dyDescent="0.35">
      <c r="D252" s="2"/>
      <c r="H252" s="209" t="s">
        <v>292</v>
      </c>
      <c r="I252" s="18" t="s">
        <v>263</v>
      </c>
      <c r="J252" s="161" t="s">
        <v>211</v>
      </c>
      <c r="K252" s="112">
        <f>'Feedtstocks only CONVENTIONAL'!$J$6</f>
        <v>4.0027692114041162E-2</v>
      </c>
      <c r="L252" s="2">
        <f t="shared" si="68"/>
        <v>76689621.196908608</v>
      </c>
      <c r="M252" t="s">
        <v>247</v>
      </c>
      <c r="N252" s="61">
        <v>0.1</v>
      </c>
      <c r="O252" s="2">
        <f t="shared" si="69"/>
        <v>37174453.406481393</v>
      </c>
      <c r="P252" t="s">
        <v>252</v>
      </c>
      <c r="Q252" s="61">
        <v>0.2</v>
      </c>
      <c r="R252" s="2">
        <f t="shared" si="70"/>
        <v>114382933.55840428</v>
      </c>
    </row>
    <row r="253" spans="1:19" x14ac:dyDescent="0.35">
      <c r="D253" s="2"/>
      <c r="H253" s="208" t="s">
        <v>290</v>
      </c>
      <c r="I253" s="18" t="s">
        <v>262</v>
      </c>
      <c r="J253" s="161" t="s">
        <v>211</v>
      </c>
      <c r="K253" s="112">
        <f>'Feedtstocks only CONVENTIONAL'!$J$7</f>
        <v>3.9335389263012145E-2</v>
      </c>
      <c r="L253" s="2">
        <f t="shared" si="68"/>
        <v>75363228.377465218</v>
      </c>
      <c r="M253" t="s">
        <v>245</v>
      </c>
      <c r="N253" s="61">
        <v>7.0000000000000007E-2</v>
      </c>
      <c r="O253" s="2">
        <f t="shared" si="69"/>
        <v>26022117.384536978</v>
      </c>
      <c r="P253" t="s">
        <v>300</v>
      </c>
      <c r="Q253" s="61">
        <v>0.15</v>
      </c>
      <c r="R253" s="2">
        <f t="shared" si="70"/>
        <v>85787200.1688032</v>
      </c>
    </row>
    <row r="254" spans="1:19" x14ac:dyDescent="0.35">
      <c r="D254" s="2"/>
      <c r="M254" t="s">
        <v>250</v>
      </c>
      <c r="N254" s="61">
        <v>0.03</v>
      </c>
      <c r="O254" s="2">
        <f t="shared" si="69"/>
        <v>11152336.021944417</v>
      </c>
      <c r="P254" s="216" t="s">
        <v>254</v>
      </c>
      <c r="Q254" s="61">
        <v>0.05</v>
      </c>
      <c r="R254" s="2">
        <f t="shared" si="70"/>
        <v>28595733.38960107</v>
      </c>
    </row>
    <row r="255" spans="1:19" x14ac:dyDescent="0.35">
      <c r="D255" s="2"/>
      <c r="P255" t="s">
        <v>213</v>
      </c>
      <c r="Q255" s="61">
        <v>0</v>
      </c>
      <c r="R255" s="2">
        <f t="shared" si="70"/>
        <v>0</v>
      </c>
    </row>
    <row r="256" spans="1:19" s="119" customFormat="1" x14ac:dyDescent="0.35">
      <c r="A256" s="119" t="s">
        <v>283</v>
      </c>
      <c r="B256" s="119">
        <v>1165.6261363636365</v>
      </c>
      <c r="C256" s="119">
        <f>B256*F256</f>
        <v>6169556234.9997654</v>
      </c>
      <c r="D256" s="119">
        <f>'[1]GAP analysis Sc. 2'!$K$24</f>
        <v>4.6775039059741133</v>
      </c>
      <c r="E256" s="119">
        <f>'[2]Conversion factors selected IV '!$O$4</f>
        <v>1.1315675675675676</v>
      </c>
      <c r="F256" s="119">
        <f>D256*E256*1000000</f>
        <v>5292911.7171709239</v>
      </c>
      <c r="G256" s="119">
        <v>1253</v>
      </c>
      <c r="H256" s="119">
        <f>G256*F256</f>
        <v>6632018381.6151676</v>
      </c>
      <c r="I256" s="119">
        <v>0.74</v>
      </c>
      <c r="L256" s="119">
        <f>I256*H256</f>
        <v>4907693602.3952236</v>
      </c>
      <c r="M256" s="119">
        <v>0.04</v>
      </c>
      <c r="O256" s="119">
        <f>M256*H256</f>
        <v>265280735.26460671</v>
      </c>
      <c r="P256" s="119">
        <v>0.22</v>
      </c>
      <c r="R256" s="119">
        <f>P256*H256</f>
        <v>1459044043.9553368</v>
      </c>
      <c r="S256" s="119">
        <f>I256+M256+P256</f>
        <v>1</v>
      </c>
    </row>
    <row r="257" spans="1:19" x14ac:dyDescent="0.35">
      <c r="H257" s="209" t="s">
        <v>292</v>
      </c>
      <c r="I257" s="18" t="s">
        <v>308</v>
      </c>
      <c r="J257" s="161" t="s">
        <v>211</v>
      </c>
      <c r="K257" s="61">
        <v>0.42676656092472537</v>
      </c>
      <c r="L257" s="2">
        <f>K257*$L$256</f>
        <v>2094439520.7664862</v>
      </c>
      <c r="M257" t="s">
        <v>296</v>
      </c>
      <c r="N257" s="61">
        <v>0.45</v>
      </c>
      <c r="O257" s="2">
        <f>N257*O$256</f>
        <v>119376330.86907302</v>
      </c>
      <c r="P257" t="s">
        <v>298</v>
      </c>
      <c r="Q257" s="61">
        <v>0.3</v>
      </c>
      <c r="R257" s="2">
        <f>Q257*$R$256</f>
        <v>437713213.18660104</v>
      </c>
    </row>
    <row r="258" spans="1:19" x14ac:dyDescent="0.35">
      <c r="H258" s="208" t="s">
        <v>290</v>
      </c>
      <c r="I258" s="18" t="s">
        <v>309</v>
      </c>
      <c r="J258" s="161" t="s">
        <v>211</v>
      </c>
      <c r="K258" s="61">
        <v>0.28451104061648358</v>
      </c>
      <c r="L258" s="2">
        <f t="shared" ref="L258:L259" si="71">K258*$L$256</f>
        <v>1396293013.8443241</v>
      </c>
      <c r="M258" t="s">
        <v>297</v>
      </c>
      <c r="N258" s="61">
        <v>0.3</v>
      </c>
      <c r="O258" s="2">
        <f t="shared" ref="O258:O260" si="72">N258*O$256</f>
        <v>79584220.579382017</v>
      </c>
      <c r="P258" t="s">
        <v>299</v>
      </c>
      <c r="Q258" s="61">
        <v>0.2</v>
      </c>
      <c r="R258" s="2">
        <f t="shared" ref="R258:R262" si="73">Q258*$R$256</f>
        <v>291808808.79106736</v>
      </c>
    </row>
    <row r="259" spans="1:19" x14ac:dyDescent="0.35">
      <c r="H259" s="209" t="s">
        <v>292</v>
      </c>
      <c r="I259" s="18" t="s">
        <v>307</v>
      </c>
      <c r="J259" s="161" t="s">
        <v>211</v>
      </c>
      <c r="K259" s="61">
        <v>0.288722398458791</v>
      </c>
      <c r="L259" s="2">
        <f t="shared" si="71"/>
        <v>1416961067.7844131</v>
      </c>
      <c r="M259" t="s">
        <v>247</v>
      </c>
      <c r="N259" s="61">
        <v>0.15</v>
      </c>
      <c r="O259" s="2">
        <f t="shared" si="72"/>
        <v>39792110.289691009</v>
      </c>
      <c r="P259" t="s">
        <v>252</v>
      </c>
      <c r="Q259" s="61">
        <v>0.25</v>
      </c>
      <c r="R259" s="2">
        <f t="shared" si="73"/>
        <v>364761010.9888342</v>
      </c>
    </row>
    <row r="260" spans="1:19" x14ac:dyDescent="0.35">
      <c r="M260" t="s">
        <v>245</v>
      </c>
      <c r="N260" s="61">
        <v>7.0000000000000007E-2</v>
      </c>
      <c r="O260" s="2">
        <f t="shared" si="72"/>
        <v>18569651.46852247</v>
      </c>
      <c r="P260" t="s">
        <v>300</v>
      </c>
      <c r="Q260" s="61">
        <v>0.15</v>
      </c>
      <c r="R260" s="2">
        <f t="shared" si="73"/>
        <v>218856606.59330052</v>
      </c>
    </row>
    <row r="261" spans="1:19" x14ac:dyDescent="0.35">
      <c r="M261" t="s">
        <v>250</v>
      </c>
      <c r="N261" s="61">
        <v>0.03</v>
      </c>
      <c r="O261" s="2">
        <f>N261*O$256</f>
        <v>7958422.0579382014</v>
      </c>
      <c r="P261" s="18" t="s">
        <v>254</v>
      </c>
      <c r="Q261" s="61">
        <v>0.1</v>
      </c>
      <c r="R261" s="2">
        <f t="shared" si="73"/>
        <v>145904404.39553368</v>
      </c>
    </row>
    <row r="262" spans="1:19" x14ac:dyDescent="0.35">
      <c r="O262" s="2">
        <f>SUM(O257:O261)</f>
        <v>265280735.26460668</v>
      </c>
      <c r="P262" t="s">
        <v>213</v>
      </c>
      <c r="Q262" s="61">
        <v>0</v>
      </c>
      <c r="R262" s="2">
        <f t="shared" si="73"/>
        <v>0</v>
      </c>
    </row>
    <row r="263" spans="1:19" x14ac:dyDescent="0.35">
      <c r="C263" s="31">
        <f>B263*F263</f>
        <v>0</v>
      </c>
      <c r="R263" s="2">
        <f>SUM(R257:R262)</f>
        <v>1459044043.955337</v>
      </c>
    </row>
    <row r="264" spans="1:19" s="119" customFormat="1" x14ac:dyDescent="0.35">
      <c r="A264" s="119" t="s">
        <v>400</v>
      </c>
      <c r="B264" s="119">
        <v>1165.6261363636365</v>
      </c>
      <c r="C264" s="119">
        <f>B264*F264</f>
        <v>453519092.06728184</v>
      </c>
      <c r="D264" s="119">
        <f>'[1]GAP analysis Sc. 2'!$K$23</f>
        <v>0.4088902535163324</v>
      </c>
      <c r="E264" s="119">
        <f>'[2]Conversion factors selected IV '!$O$7</f>
        <v>0.95154545454545458</v>
      </c>
      <c r="F264" s="119">
        <f>D264*E264*1000000</f>
        <v>389077.66214140464</v>
      </c>
      <c r="G264" s="119">
        <v>1218</v>
      </c>
      <c r="H264" s="119">
        <f>G264*F264</f>
        <v>473896592.48823082</v>
      </c>
      <c r="I264" s="119">
        <v>0.67</v>
      </c>
      <c r="L264" s="119">
        <f>I264*H264</f>
        <v>317510716.96711469</v>
      </c>
      <c r="M264" s="119">
        <v>0.13</v>
      </c>
      <c r="O264" s="119">
        <f>M264*H264</f>
        <v>61606557.023470007</v>
      </c>
      <c r="P264" s="119">
        <v>0.2</v>
      </c>
      <c r="R264" s="119">
        <f>P264*H264</f>
        <v>94779318.497646168</v>
      </c>
      <c r="S264" s="119">
        <v>0.2</v>
      </c>
    </row>
    <row r="265" spans="1:19" x14ac:dyDescent="0.35">
      <c r="I265" t="s">
        <v>397</v>
      </c>
      <c r="J265" s="154" t="s">
        <v>212</v>
      </c>
      <c r="M265" t="s">
        <v>296</v>
      </c>
      <c r="N265" s="61">
        <v>0.55000000000000004</v>
      </c>
      <c r="P265" t="s">
        <v>298</v>
      </c>
      <c r="Q265" s="61">
        <v>0.4</v>
      </c>
    </row>
    <row r="266" spans="1:19" x14ac:dyDescent="0.35">
      <c r="M266" t="s">
        <v>297</v>
      </c>
      <c r="N266" s="61">
        <v>0.25</v>
      </c>
      <c r="P266" t="s">
        <v>299</v>
      </c>
      <c r="Q266" s="61">
        <v>0.2</v>
      </c>
    </row>
    <row r="267" spans="1:19" x14ac:dyDescent="0.35">
      <c r="M267" t="s">
        <v>247</v>
      </c>
      <c r="N267" s="61">
        <v>0.1</v>
      </c>
      <c r="P267" t="s">
        <v>252</v>
      </c>
      <c r="Q267" s="61">
        <v>0.2</v>
      </c>
    </row>
    <row r="268" spans="1:19" x14ac:dyDescent="0.35">
      <c r="M268" t="s">
        <v>245</v>
      </c>
      <c r="N268" s="61">
        <v>7.0000000000000007E-2</v>
      </c>
      <c r="P268" t="s">
        <v>300</v>
      </c>
      <c r="Q268" s="61">
        <v>0.15</v>
      </c>
    </row>
    <row r="269" spans="1:19" x14ac:dyDescent="0.35">
      <c r="M269" t="s">
        <v>250</v>
      </c>
      <c r="N269" s="61">
        <v>0.03</v>
      </c>
      <c r="P269" s="216" t="s">
        <v>254</v>
      </c>
      <c r="Q269" s="61">
        <v>0.05</v>
      </c>
    </row>
    <row r="271" spans="1:19" s="158" customFormat="1" ht="29.5" customHeight="1" x14ac:dyDescent="0.35">
      <c r="A271" s="158" t="s">
        <v>371</v>
      </c>
      <c r="F271" s="247"/>
    </row>
    <row r="272" spans="1:19" x14ac:dyDescent="0.35">
      <c r="B272" s="2">
        <f>C273/1000000</f>
        <v>79.556645658997283</v>
      </c>
      <c r="D272" s="2">
        <f>D273</f>
        <v>5.034968904341941E-2</v>
      </c>
    </row>
    <row r="273" spans="1:19" s="119" customFormat="1" x14ac:dyDescent="0.35">
      <c r="A273" s="119" t="s">
        <v>372</v>
      </c>
      <c r="B273" s="119">
        <v>1018.96958174905</v>
      </c>
      <c r="C273" s="119">
        <f>B273*F273</f>
        <v>79556645.658997282</v>
      </c>
      <c r="D273" s="119">
        <f>'[1]GAP analysis Sc. 2'!$Q$126</f>
        <v>5.034968904341941E-2</v>
      </c>
      <c r="E273" s="119">
        <f>'[2]Conversion factors selected IV '!$O$17</f>
        <v>1.5506666666666669</v>
      </c>
      <c r="F273" s="119">
        <f>D273*E273*1000000</f>
        <v>78075.584476662378</v>
      </c>
      <c r="G273" s="119">
        <f>'LCoP CONVENTIONAL'!B53</f>
        <v>903.57</v>
      </c>
      <c r="H273" s="119">
        <f>G273*F273</f>
        <v>70546755.865577832</v>
      </c>
      <c r="I273" s="119">
        <v>0.7</v>
      </c>
      <c r="L273" s="119">
        <f>I273*H273</f>
        <v>49382729.105904482</v>
      </c>
      <c r="M273" s="119">
        <v>0.1</v>
      </c>
      <c r="O273" s="119">
        <f>M273*H273</f>
        <v>7054675.5865577832</v>
      </c>
      <c r="P273" s="119">
        <v>0.2</v>
      </c>
      <c r="R273" s="119">
        <f>P273*H273</f>
        <v>14109351.173115566</v>
      </c>
    </row>
    <row r="274" spans="1:19" x14ac:dyDescent="0.35">
      <c r="J274" s="154" t="s">
        <v>212</v>
      </c>
      <c r="M274" t="s">
        <v>296</v>
      </c>
      <c r="N274" s="61">
        <v>0.5</v>
      </c>
      <c r="P274" t="s">
        <v>298</v>
      </c>
      <c r="Q274" s="61">
        <v>0.15</v>
      </c>
    </row>
    <row r="275" spans="1:19" x14ac:dyDescent="0.35">
      <c r="M275" t="s">
        <v>297</v>
      </c>
      <c r="N275" s="61">
        <v>0.25</v>
      </c>
      <c r="P275" t="s">
        <v>299</v>
      </c>
      <c r="Q275" s="61">
        <v>0.4</v>
      </c>
    </row>
    <row r="276" spans="1:19" x14ac:dyDescent="0.35">
      <c r="M276" t="s">
        <v>247</v>
      </c>
      <c r="N276" s="61">
        <v>0.15</v>
      </c>
      <c r="P276" t="s">
        <v>252</v>
      </c>
      <c r="Q276" s="61">
        <v>0.2</v>
      </c>
    </row>
    <row r="277" spans="1:19" x14ac:dyDescent="0.35">
      <c r="M277" t="s">
        <v>245</v>
      </c>
      <c r="N277" s="61">
        <v>7.0000000000000007E-2</v>
      </c>
      <c r="P277" t="s">
        <v>300</v>
      </c>
      <c r="Q277" s="61">
        <v>0.15</v>
      </c>
    </row>
    <row r="278" spans="1:19" x14ac:dyDescent="0.35">
      <c r="M278" t="s">
        <v>250</v>
      </c>
      <c r="N278" s="61">
        <v>0.03</v>
      </c>
      <c r="P278" s="104" t="s">
        <v>254</v>
      </c>
      <c r="Q278" s="61">
        <v>0.1</v>
      </c>
    </row>
    <row r="279" spans="1:19" x14ac:dyDescent="0.35">
      <c r="N279" s="61"/>
      <c r="P279" t="s">
        <v>213</v>
      </c>
      <c r="Q279" s="61">
        <v>0</v>
      </c>
    </row>
    <row r="281" spans="1:19" s="158" customFormat="1" ht="29.5" customHeight="1" x14ac:dyDescent="0.35">
      <c r="A281" s="158" t="s">
        <v>386</v>
      </c>
      <c r="B281" s="158" t="s">
        <v>432</v>
      </c>
      <c r="F281" s="247"/>
    </row>
    <row r="282" spans="1:19" x14ac:dyDescent="0.35">
      <c r="B282" s="2">
        <f>C283/1000000</f>
        <v>0</v>
      </c>
      <c r="D282" s="2">
        <f>D283</f>
        <v>0</v>
      </c>
    </row>
    <row r="283" spans="1:19" s="119" customFormat="1" x14ac:dyDescent="0.35">
      <c r="A283" s="119" t="s">
        <v>369</v>
      </c>
      <c r="B283" s="119">
        <f>2100</f>
        <v>2100</v>
      </c>
      <c r="C283" s="119">
        <f>B283*F283</f>
        <v>0</v>
      </c>
      <c r="D283" s="119">
        <f>'[1]GAP analysis Sc. 2'!$Q$147</f>
        <v>0</v>
      </c>
      <c r="E283" s="119">
        <f>'[2]Conversion factors selected IV '!$O$12</f>
        <v>0.97367441860465131</v>
      </c>
      <c r="F283" s="119">
        <f>D283*E283*1000000</f>
        <v>0</v>
      </c>
      <c r="G283" s="119">
        <f>'LCoP CONVENTIONAL'!B45</f>
        <v>2903</v>
      </c>
      <c r="H283" s="119">
        <f>G283*F283</f>
        <v>0</v>
      </c>
      <c r="L283" s="119">
        <f>I283*H283</f>
        <v>0</v>
      </c>
      <c r="O283" s="119">
        <f>M283*H283</f>
        <v>0</v>
      </c>
      <c r="R283" s="119">
        <f>P283*H283</f>
        <v>0</v>
      </c>
      <c r="S283" s="119">
        <f>R283+O283+L283</f>
        <v>0</v>
      </c>
    </row>
    <row r="284" spans="1:19" x14ac:dyDescent="0.35">
      <c r="H284" s="209" t="s">
        <v>292</v>
      </c>
      <c r="I284" s="18" t="s">
        <v>308</v>
      </c>
      <c r="J284" s="161" t="s">
        <v>211</v>
      </c>
      <c r="K284" s="61">
        <f>'Feedtstocks only CONVENTIONAL'!J47</f>
        <v>0</v>
      </c>
      <c r="L284" s="104">
        <f>K284*L283</f>
        <v>0</v>
      </c>
      <c r="M284" t="s">
        <v>296</v>
      </c>
      <c r="N284" s="61">
        <v>0.55000000000000004</v>
      </c>
      <c r="O284" s="2">
        <f>N284*$O$270</f>
        <v>0</v>
      </c>
      <c r="P284" t="s">
        <v>298</v>
      </c>
      <c r="Q284" s="61">
        <v>0.4</v>
      </c>
      <c r="R284" s="2">
        <f>Q284*$R$270</f>
        <v>0</v>
      </c>
    </row>
    <row r="285" spans="1:19" x14ac:dyDescent="0.35">
      <c r="H285" s="208" t="s">
        <v>290</v>
      </c>
      <c r="I285" s="18" t="s">
        <v>309</v>
      </c>
      <c r="J285" s="161" t="s">
        <v>211</v>
      </c>
      <c r="K285" s="61">
        <f>'Feedtstocks only CONVENTIONAL'!J48</f>
        <v>0</v>
      </c>
      <c r="L285" s="104">
        <f>K285*L283</f>
        <v>0</v>
      </c>
      <c r="M285" t="s">
        <v>297</v>
      </c>
      <c r="N285" s="61">
        <v>0.25</v>
      </c>
      <c r="O285" s="2">
        <f t="shared" ref="O285:O288" si="74">N285*$O$270</f>
        <v>0</v>
      </c>
      <c r="P285" t="s">
        <v>299</v>
      </c>
      <c r="Q285" s="61">
        <v>0.2</v>
      </c>
      <c r="R285" s="2">
        <f t="shared" ref="R285:R289" si="75">Q285*$R$270</f>
        <v>0</v>
      </c>
    </row>
    <row r="286" spans="1:19" ht="39.5" customHeight="1" x14ac:dyDescent="0.35">
      <c r="F286"/>
      <c r="H286" s="209" t="s">
        <v>292</v>
      </c>
      <c r="I286" s="18" t="s">
        <v>307</v>
      </c>
      <c r="J286" s="161" t="s">
        <v>211</v>
      </c>
      <c r="K286" s="61">
        <f>'Feedtstocks only CONVENTIONAL'!J49</f>
        <v>0</v>
      </c>
      <c r="L286" s="104">
        <f>K286*L283</f>
        <v>0</v>
      </c>
      <c r="M286" t="s">
        <v>247</v>
      </c>
      <c r="N286" s="61">
        <v>0.1</v>
      </c>
      <c r="O286" s="2">
        <f t="shared" si="74"/>
        <v>0</v>
      </c>
      <c r="P286" t="s">
        <v>252</v>
      </c>
      <c r="Q286" s="61">
        <v>0.2</v>
      </c>
      <c r="R286" s="2">
        <f t="shared" si="75"/>
        <v>0</v>
      </c>
    </row>
    <row r="287" spans="1:19" x14ac:dyDescent="0.35">
      <c r="D287" s="79"/>
      <c r="F287"/>
      <c r="H287" s="18"/>
      <c r="I287" s="18"/>
      <c r="J287" s="18"/>
      <c r="K287" s="104">
        <f>SUM(K284:K286)</f>
        <v>0</v>
      </c>
      <c r="L287" s="104">
        <f>SUM(L284:L286)</f>
        <v>0</v>
      </c>
      <c r="M287" t="s">
        <v>245</v>
      </c>
      <c r="N287" s="61">
        <v>7.0000000000000007E-2</v>
      </c>
      <c r="O287" s="2">
        <f t="shared" si="74"/>
        <v>0</v>
      </c>
      <c r="P287" t="s">
        <v>300</v>
      </c>
      <c r="Q287" s="61">
        <v>0.15</v>
      </c>
      <c r="R287" s="2">
        <f t="shared" si="75"/>
        <v>0</v>
      </c>
    </row>
    <row r="288" spans="1:19" x14ac:dyDescent="0.35">
      <c r="D288" s="79"/>
      <c r="F288"/>
      <c r="M288" t="s">
        <v>250</v>
      </c>
      <c r="N288" s="61">
        <v>0.03</v>
      </c>
      <c r="O288" s="2">
        <f t="shared" si="74"/>
        <v>0</v>
      </c>
      <c r="P288" s="216" t="s">
        <v>254</v>
      </c>
      <c r="Q288" s="61">
        <v>0.05</v>
      </c>
      <c r="R288" s="2">
        <f t="shared" si="75"/>
        <v>0</v>
      </c>
    </row>
    <row r="289" spans="4:18" x14ac:dyDescent="0.35">
      <c r="D289" s="79"/>
      <c r="F289"/>
      <c r="P289" t="s">
        <v>213</v>
      </c>
      <c r="Q289" s="61">
        <v>0</v>
      </c>
      <c r="R289" s="2">
        <f t="shared" si="75"/>
        <v>0</v>
      </c>
    </row>
    <row r="290" spans="4:18" x14ac:dyDescent="0.35">
      <c r="F290"/>
    </row>
    <row r="291" spans="4:18" x14ac:dyDescent="0.35">
      <c r="F291"/>
    </row>
    <row r="292" spans="4:18" x14ac:dyDescent="0.35">
      <c r="F292"/>
    </row>
  </sheetData>
  <pageMargins left="0.7" right="0.7" top="0.78740157499999996" bottom="0.78740157499999996"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7135-0835-4952-974C-6D0EBA5C37E4}">
  <dimension ref="A1:S268"/>
  <sheetViews>
    <sheetView tabSelected="1" topLeftCell="A168" zoomScale="85" zoomScaleNormal="85" workbookViewId="0">
      <selection activeCell="C193" sqref="C193"/>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9" customWidth="1"/>
    <col min="13" max="13" width="15.7265625" bestFit="1" customWidth="1"/>
    <col min="15" max="15" width="18.1796875" customWidth="1"/>
    <col min="18" max="18" width="16.81640625" customWidth="1"/>
    <col min="19" max="19" width="19.1796875" customWidth="1"/>
  </cols>
  <sheetData>
    <row r="1" spans="1:19" s="48" customFormat="1" ht="24" customHeight="1" x14ac:dyDescent="0.35">
      <c r="A1" s="48" t="s">
        <v>399</v>
      </c>
      <c r="F1" s="241"/>
    </row>
    <row r="2" spans="1:19" s="48" customFormat="1" ht="24" customHeight="1" x14ac:dyDescent="0.35">
      <c r="A2" s="48" t="s">
        <v>326</v>
      </c>
      <c r="F2" s="241"/>
    </row>
    <row r="3" spans="1:19" s="48" customFormat="1" ht="24" customHeight="1" x14ac:dyDescent="0.35">
      <c r="A3" s="48" t="s">
        <v>398</v>
      </c>
      <c r="E3" s="48" t="s">
        <v>353</v>
      </c>
      <c r="F3" s="241"/>
    </row>
    <row r="4" spans="1:19" ht="19" customHeight="1" x14ac:dyDescent="0.35"/>
    <row r="5" spans="1:19" s="49" customFormat="1" ht="37" customHeight="1" x14ac:dyDescent="0.35">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187" customFormat="1" ht="37" customHeight="1" x14ac:dyDescent="0.35">
      <c r="A6" s="187" t="s">
        <v>387</v>
      </c>
      <c r="B6" s="187" t="s">
        <v>421</v>
      </c>
      <c r="C6" s="187" t="s">
        <v>405</v>
      </c>
      <c r="D6" s="252">
        <f>D8+D48+D90+D123+D163</f>
        <v>102.3754140580202</v>
      </c>
      <c r="F6" s="251"/>
      <c r="I6" s="200"/>
      <c r="M6" s="200"/>
      <c r="P6" s="200"/>
    </row>
    <row r="7" spans="1:19" s="93" customFormat="1" ht="40" customHeight="1" x14ac:dyDescent="0.35">
      <c r="A7" s="93" t="s">
        <v>104</v>
      </c>
      <c r="F7" s="176"/>
    </row>
    <row r="8" spans="1:19" s="217" customFormat="1" x14ac:dyDescent="0.35">
      <c r="A8" s="217" t="s">
        <v>189</v>
      </c>
      <c r="D8" s="221">
        <f>D28+D9+D16</f>
        <v>10.021836525301911</v>
      </c>
      <c r="F8" s="221">
        <f>F28+F9+F16</f>
        <v>9715725.4090208597</v>
      </c>
      <c r="H8" s="221">
        <f>H28+H9+H16</f>
        <v>21491396896.52594</v>
      </c>
      <c r="L8" s="224">
        <f>L28+L9+L16</f>
        <v>2700050401.6037812</v>
      </c>
      <c r="M8" s="224"/>
      <c r="N8" s="224"/>
      <c r="O8" s="224">
        <f>O9+O16+O28</f>
        <v>11141155014.179798</v>
      </c>
      <c r="P8" s="235"/>
      <c r="Q8" s="224"/>
      <c r="R8" s="224">
        <f>R9+R16+R28</f>
        <v>7650191480.7423592</v>
      </c>
    </row>
    <row r="9" spans="1:19" s="218" customFormat="1" x14ac:dyDescent="0.35">
      <c r="A9" s="218" t="s">
        <v>334</v>
      </c>
      <c r="B9" s="218">
        <v>1750</v>
      </c>
      <c r="C9" s="220">
        <f>B9*F9</f>
        <v>784652614.06848621</v>
      </c>
      <c r="D9" s="220">
        <f>'[1]GAP analysis Sc. 3'!$J$27</f>
        <v>0.4712049436871445</v>
      </c>
      <c r="E9" s="225">
        <f>'[2]Conversion factors selected IV '!$O$7</f>
        <v>0.95154545454545458</v>
      </c>
      <c r="F9" s="219">
        <f>D9*E9*1000000</f>
        <v>448372.92232484929</v>
      </c>
      <c r="G9" s="225">
        <f>'LCoP 2030 HIGH'!E3</f>
        <v>1281.9315183199119</v>
      </c>
      <c r="H9" s="219">
        <f>G9*F9</f>
        <v>574783381.08942997</v>
      </c>
      <c r="I9" s="220">
        <f>'LCoP 2030 HIGH'!H3</f>
        <v>0.47423088490457077</v>
      </c>
      <c r="L9" s="219">
        <f>I9*H9</f>
        <v>272580031.44248152</v>
      </c>
      <c r="M9" s="220">
        <f>'LCoP 2030 HIGH'!F3</f>
        <v>0.20983960231553478</v>
      </c>
      <c r="O9" s="219">
        <f>M9*H9</f>
        <v>120612316.10538445</v>
      </c>
      <c r="P9" s="243">
        <f>'LCoP 2030 HIGH'!G3</f>
        <v>0.31592951277989439</v>
      </c>
      <c r="R9" s="219">
        <f>P9*H9</f>
        <v>181591033.54156399</v>
      </c>
      <c r="S9" s="219">
        <f>L9+O9+R9</f>
        <v>574783381.08942997</v>
      </c>
    </row>
    <row r="10" spans="1:19" x14ac:dyDescent="0.35">
      <c r="F10" s="31"/>
      <c r="G10" s="154" t="s">
        <v>212</v>
      </c>
      <c r="H10">
        <f>L10/L9</f>
        <v>0.21075508846848423</v>
      </c>
      <c r="I10" s="104" t="s">
        <v>162</v>
      </c>
      <c r="J10" s="154" t="s">
        <v>212</v>
      </c>
      <c r="K10" s="2">
        <f>'Feedstock MIX per IVC'!J6</f>
        <v>128.12466092629296</v>
      </c>
      <c r="L10" s="1">
        <f>K10*F$9</f>
        <v>57447628.641402408</v>
      </c>
      <c r="M10" s="5" t="s">
        <v>245</v>
      </c>
      <c r="N10" s="123">
        <v>0.05</v>
      </c>
      <c r="O10" s="2">
        <f>N10*O$9</f>
        <v>6030615.8052692227</v>
      </c>
      <c r="P10" s="18" t="s">
        <v>251</v>
      </c>
      <c r="Q10" s="123">
        <v>0.35</v>
      </c>
      <c r="R10" s="104">
        <f>Q10*R$9</f>
        <v>63556861.739547394</v>
      </c>
    </row>
    <row r="11" spans="1:19" x14ac:dyDescent="0.35">
      <c r="F11" s="31"/>
      <c r="G11" s="158" t="s">
        <v>104</v>
      </c>
      <c r="H11">
        <f>L11/L9</f>
        <v>0.67085817480178833</v>
      </c>
      <c r="I11" s="233" t="s">
        <v>341</v>
      </c>
      <c r="J11" s="158" t="s">
        <v>104</v>
      </c>
      <c r="K11" s="6">
        <f>'Feedstock MIX per IVC'!J7*0.85</f>
        <v>407.83582878457599</v>
      </c>
      <c r="L11" s="1">
        <f t="shared" ref="L11:L12" si="0">K11*F$9</f>
        <v>182862542.38091722</v>
      </c>
      <c r="M11" t="s">
        <v>246</v>
      </c>
      <c r="N11" s="123">
        <v>0.02</v>
      </c>
      <c r="O11" s="2">
        <f t="shared" ref="O11:O15" si="1">N11*O$9</f>
        <v>2412246.322107689</v>
      </c>
      <c r="P11" s="18" t="s">
        <v>210</v>
      </c>
      <c r="Q11" s="123">
        <v>0.25</v>
      </c>
      <c r="R11" s="104">
        <f t="shared" ref="R11:R14" si="2">Q11*R$9</f>
        <v>45397758.385390997</v>
      </c>
    </row>
    <row r="12" spans="1:19" x14ac:dyDescent="0.35">
      <c r="F12" s="31"/>
      <c r="G12" s="259" t="s">
        <v>210</v>
      </c>
      <c r="H12">
        <f>L12/L9</f>
        <v>0.11838673672972735</v>
      </c>
      <c r="I12" s="234" t="s">
        <v>357</v>
      </c>
      <c r="J12" s="259" t="s">
        <v>210</v>
      </c>
      <c r="K12" s="79">
        <f>'Feedstock MIX per IVC'!J7*0.15</f>
        <v>71.971028609042818</v>
      </c>
      <c r="L12" s="1">
        <f t="shared" si="0"/>
        <v>32269860.420161862</v>
      </c>
      <c r="M12" s="5" t="s">
        <v>244</v>
      </c>
      <c r="N12" s="123">
        <v>0.45</v>
      </c>
      <c r="O12" s="2">
        <f t="shared" si="1"/>
        <v>54275542.247423008</v>
      </c>
      <c r="P12" s="18" t="s">
        <v>252</v>
      </c>
      <c r="Q12" s="123">
        <v>0.2</v>
      </c>
      <c r="R12" s="104">
        <f t="shared" si="2"/>
        <v>36318206.708312802</v>
      </c>
      <c r="S12" s="2"/>
    </row>
    <row r="13" spans="1:19" x14ac:dyDescent="0.35">
      <c r="F13" s="31"/>
      <c r="L13" s="2"/>
      <c r="M13" t="s">
        <v>247</v>
      </c>
      <c r="N13" s="123">
        <v>0.15</v>
      </c>
      <c r="O13" s="2">
        <f t="shared" si="1"/>
        <v>18091847.415807668</v>
      </c>
      <c r="P13" s="18" t="s">
        <v>253</v>
      </c>
      <c r="Q13" s="123">
        <v>0.15</v>
      </c>
      <c r="R13" s="104">
        <f t="shared" si="2"/>
        <v>27238655.031234596</v>
      </c>
    </row>
    <row r="14" spans="1:19" x14ac:dyDescent="0.35">
      <c r="F14" s="31"/>
      <c r="M14" t="s">
        <v>248</v>
      </c>
      <c r="N14" s="123">
        <v>0.3</v>
      </c>
      <c r="O14" s="2">
        <f t="shared" si="1"/>
        <v>36183694.831615336</v>
      </c>
      <c r="P14" s="18" t="s">
        <v>254</v>
      </c>
      <c r="Q14" s="123">
        <v>0.05</v>
      </c>
      <c r="R14" s="104">
        <f t="shared" si="2"/>
        <v>9079551.6770782005</v>
      </c>
    </row>
    <row r="15" spans="1:19" x14ac:dyDescent="0.35">
      <c r="F15" s="31"/>
      <c r="I15" t="s">
        <v>361</v>
      </c>
      <c r="L15" s="2">
        <f>SUM(L10:L12)</f>
        <v>272580031.44248146</v>
      </c>
      <c r="M15" t="s">
        <v>250</v>
      </c>
      <c r="N15" s="123">
        <v>0.03</v>
      </c>
      <c r="O15" s="2">
        <f t="shared" si="1"/>
        <v>3618369.4831615337</v>
      </c>
      <c r="P15" s="18"/>
      <c r="Q15" s="123"/>
      <c r="R15" s="104"/>
    </row>
    <row r="16" spans="1:19" s="218" customFormat="1" x14ac:dyDescent="0.35">
      <c r="A16" s="218" t="s">
        <v>356</v>
      </c>
      <c r="B16" s="218">
        <v>1750</v>
      </c>
      <c r="C16" s="220">
        <f>B16*F16</f>
        <v>9735260790.6206589</v>
      </c>
      <c r="D16" s="225">
        <f>'[1]GAP analysis Sc. 3'!$J$28</f>
        <v>5.8462852609877034</v>
      </c>
      <c r="E16" s="227">
        <f>'[2]Conversion factors selected IV '!$O$64</f>
        <v>0.95154545454545658</v>
      </c>
      <c r="F16" s="219">
        <f>D16*E16*1000000</f>
        <v>5563006.1660689479</v>
      </c>
      <c r="G16" s="220">
        <f>'LCoP 2030 HIGH'!E16</f>
        <v>2696.2989825009467</v>
      </c>
      <c r="H16" s="219">
        <f>G16*F16</f>
        <v>14999527865.218197</v>
      </c>
      <c r="I16" s="223">
        <f>'LCoP 2030 HIGH'!H16</f>
        <v>0.10989099666763039</v>
      </c>
      <c r="L16" s="219">
        <f>I16*H16</f>
        <v>1648313066.6527219</v>
      </c>
      <c r="M16" s="223">
        <f>'LCoP 2030 HIGH'!F16</f>
        <v>0.53591979575636417</v>
      </c>
      <c r="O16" s="219">
        <f>M16*H16</f>
        <v>8038543909.9696293</v>
      </c>
      <c r="P16" s="223">
        <f>'LCoP 2030 HIGH'!G16</f>
        <v>0.35418920757600542</v>
      </c>
      <c r="R16" s="219">
        <f>P16*H16</f>
        <v>5312670888.5958452</v>
      </c>
      <c r="S16" s="219">
        <f>L16+O16+R16</f>
        <v>14999527865.218197</v>
      </c>
    </row>
    <row r="17" spans="1:19" x14ac:dyDescent="0.35">
      <c r="F17" s="31"/>
      <c r="G17" s="159" t="s">
        <v>213</v>
      </c>
      <c r="H17" s="2">
        <f>SUMIF($J$17:$J$26,G17,$L$17:$L$26)/$L$16</f>
        <v>0</v>
      </c>
      <c r="I17" s="5" t="s">
        <v>5</v>
      </c>
      <c r="J17" s="154" t="s">
        <v>212</v>
      </c>
      <c r="K17" s="6">
        <f>'Feedstock MIX per IVC'!J63</f>
        <v>161.99071681613452</v>
      </c>
      <c r="L17" s="2">
        <f>K17*F$16</f>
        <v>901155356.49408519</v>
      </c>
      <c r="M17" s="5" t="s">
        <v>245</v>
      </c>
      <c r="N17" s="35">
        <v>0</v>
      </c>
      <c r="O17" s="2">
        <f>N17*O$16</f>
        <v>0</v>
      </c>
      <c r="P17" s="18" t="s">
        <v>251</v>
      </c>
      <c r="Q17" s="35">
        <v>0.25</v>
      </c>
      <c r="R17" s="104">
        <f>Q17*R$16</f>
        <v>1328167722.1489613</v>
      </c>
    </row>
    <row r="18" spans="1:19" x14ac:dyDescent="0.35">
      <c r="F18" s="31"/>
      <c r="G18" s="157" t="s">
        <v>211</v>
      </c>
      <c r="H18" s="2">
        <f t="shared" ref="H18:H22" si="3">SUMIF($J$17:$J$26,G18,$L$17:$L$26)/$L$16</f>
        <v>1.4502396500953601E-2</v>
      </c>
      <c r="I18" s="5" t="s">
        <v>6</v>
      </c>
      <c r="J18" s="154" t="s">
        <v>212</v>
      </c>
      <c r="K18" s="6">
        <f>'Feedstock MIX per IVC'!J64</f>
        <v>8.4731123300720981</v>
      </c>
      <c r="L18" s="2">
        <f t="shared" ref="L18:L25" si="4">K18*F$16</f>
        <v>47135976.137985915</v>
      </c>
      <c r="M18" t="s">
        <v>246</v>
      </c>
      <c r="N18" s="35">
        <v>0.02</v>
      </c>
      <c r="O18" s="2">
        <f t="shared" ref="O18:O22" si="5">N18*O$16</f>
        <v>160770878.19939259</v>
      </c>
      <c r="P18" s="18" t="s">
        <v>210</v>
      </c>
      <c r="Q18" s="35">
        <v>0.15</v>
      </c>
      <c r="R18" s="104">
        <f t="shared" ref="R18:R21" si="6">Q18*R$16</f>
        <v>796900633.28937674</v>
      </c>
    </row>
    <row r="19" spans="1:19" x14ac:dyDescent="0.35">
      <c r="F19" s="31"/>
      <c r="G19" s="154" t="s">
        <v>212</v>
      </c>
      <c r="H19" s="2">
        <f t="shared" si="3"/>
        <v>0.62196372246280829</v>
      </c>
      <c r="I19" s="5" t="s">
        <v>23</v>
      </c>
      <c r="J19" s="159" t="s">
        <v>213</v>
      </c>
      <c r="K19" s="6">
        <f>'Feedstock MIX per IVC'!J65</f>
        <v>0</v>
      </c>
      <c r="L19" s="2">
        <f t="shared" si="4"/>
        <v>0</v>
      </c>
      <c r="M19" s="5" t="s">
        <v>244</v>
      </c>
      <c r="N19" s="35">
        <v>0.55000000000000004</v>
      </c>
      <c r="O19" s="2">
        <f t="shared" si="5"/>
        <v>4421199150.4832964</v>
      </c>
      <c r="P19" s="18" t="s">
        <v>252</v>
      </c>
      <c r="Q19" s="35">
        <v>0.3</v>
      </c>
      <c r="R19" s="104">
        <f t="shared" si="6"/>
        <v>1593801266.5787535</v>
      </c>
    </row>
    <row r="20" spans="1:19" x14ac:dyDescent="0.35">
      <c r="F20" s="31"/>
      <c r="G20" s="178" t="s">
        <v>256</v>
      </c>
      <c r="H20" s="2">
        <f t="shared" si="3"/>
        <v>0.14870340073720048</v>
      </c>
      <c r="I20" s="5" t="s">
        <v>7</v>
      </c>
      <c r="J20" s="157" t="s">
        <v>211</v>
      </c>
      <c r="K20" s="6">
        <f>'Feedstock MIX per IVC'!J66</f>
        <v>4.2970453270578419</v>
      </c>
      <c r="L20" s="2">
        <f t="shared" si="4"/>
        <v>23904489.650300533</v>
      </c>
      <c r="M20" t="s">
        <v>247</v>
      </c>
      <c r="N20" s="35">
        <v>0.1</v>
      </c>
      <c r="O20" s="2">
        <f t="shared" si="5"/>
        <v>803854390.99696302</v>
      </c>
      <c r="P20" s="18" t="s">
        <v>253</v>
      </c>
      <c r="Q20" s="35">
        <v>0.3</v>
      </c>
      <c r="R20" s="104">
        <f t="shared" si="6"/>
        <v>1593801266.5787535</v>
      </c>
    </row>
    <row r="21" spans="1:19" x14ac:dyDescent="0.35">
      <c r="F21" s="31"/>
      <c r="G21" s="156" t="s">
        <v>209</v>
      </c>
      <c r="H21" s="2">
        <f t="shared" si="3"/>
        <v>0.18227673609670508</v>
      </c>
      <c r="I21" s="5" t="s">
        <v>8</v>
      </c>
      <c r="J21" s="154" t="s">
        <v>212</v>
      </c>
      <c r="K21" s="6">
        <f>'Feedstock MIX per IVC'!J67</f>
        <v>8.1190082289891219</v>
      </c>
      <c r="L21" s="2">
        <f t="shared" si="4"/>
        <v>45166092.840231016</v>
      </c>
      <c r="M21" t="s">
        <v>248</v>
      </c>
      <c r="N21" s="35">
        <v>0.3</v>
      </c>
      <c r="O21" s="2">
        <f t="shared" si="5"/>
        <v>2411563172.9908886</v>
      </c>
      <c r="P21" s="18" t="s">
        <v>254</v>
      </c>
      <c r="Q21" s="240">
        <v>0</v>
      </c>
      <c r="R21" s="104">
        <f t="shared" si="6"/>
        <v>0</v>
      </c>
    </row>
    <row r="22" spans="1:19" x14ac:dyDescent="0.35">
      <c r="F22" s="31"/>
      <c r="G22" s="158" t="s">
        <v>104</v>
      </c>
      <c r="H22" s="2">
        <f t="shared" si="3"/>
        <v>3.2553744202332785E-2</v>
      </c>
      <c r="I22" s="5" t="s">
        <v>9</v>
      </c>
      <c r="J22" s="154" t="s">
        <v>212</v>
      </c>
      <c r="K22" s="6">
        <f>'Feedstock MIX per IVC'!J68</f>
        <v>5.7043807430355322</v>
      </c>
      <c r="L22" s="2">
        <f t="shared" si="4"/>
        <v>31733505.247111633</v>
      </c>
      <c r="M22" t="s">
        <v>250</v>
      </c>
      <c r="N22" s="35">
        <v>0.03</v>
      </c>
      <c r="O22" s="2">
        <f t="shared" si="5"/>
        <v>241156317.29908887</v>
      </c>
      <c r="R22" s="104"/>
    </row>
    <row r="23" spans="1:19" x14ac:dyDescent="0.35">
      <c r="F23" s="31"/>
      <c r="H23" s="2">
        <f>SUM(H17:H22)</f>
        <v>1.0000000000000002</v>
      </c>
      <c r="I23" s="5" t="s">
        <v>10</v>
      </c>
      <c r="J23" s="178" t="s">
        <v>256</v>
      </c>
      <c r="K23" s="6">
        <f>'Feedstock MIX per IVC'!J69</f>
        <v>44.060666332863036</v>
      </c>
      <c r="L23" s="2">
        <f t="shared" si="4"/>
        <v>245109758.49082357</v>
      </c>
      <c r="N23" s="123"/>
      <c r="O23" s="2"/>
      <c r="P23" s="18"/>
      <c r="Q23" s="123"/>
      <c r="R23" s="2"/>
    </row>
    <row r="24" spans="1:19" x14ac:dyDescent="0.35">
      <c r="F24" s="31"/>
      <c r="I24" s="5" t="s">
        <v>11</v>
      </c>
      <c r="J24" s="156" t="s">
        <v>209</v>
      </c>
      <c r="K24" s="6">
        <f>'Feedstock MIX per IVC'!J70</f>
        <v>54.0084114390473</v>
      </c>
      <c r="L24" s="2">
        <f t="shared" si="4"/>
        <v>300449125.85500884</v>
      </c>
      <c r="N24" s="123"/>
      <c r="O24" s="2"/>
      <c r="P24" s="18"/>
      <c r="Q24" s="123"/>
      <c r="R24" s="104"/>
    </row>
    <row r="25" spans="1:19" x14ac:dyDescent="0.35">
      <c r="F25" s="31"/>
      <c r="I25" s="5" t="s">
        <v>12</v>
      </c>
      <c r="J25" s="159" t="s">
        <v>213</v>
      </c>
      <c r="K25" s="6">
        <f>'Feedstock MIX per IVC'!J71</f>
        <v>0</v>
      </c>
      <c r="L25" s="2">
        <f t="shared" si="4"/>
        <v>0</v>
      </c>
      <c r="M25" s="2"/>
      <c r="N25" s="123"/>
      <c r="O25" s="2"/>
      <c r="P25" s="18"/>
      <c r="Q25" s="123"/>
      <c r="R25" s="104"/>
    </row>
    <row r="26" spans="1:19" x14ac:dyDescent="0.35">
      <c r="F26" s="31"/>
      <c r="I26" s="13" t="s">
        <v>33</v>
      </c>
      <c r="J26" s="158" t="s">
        <v>104</v>
      </c>
      <c r="K26" s="6">
        <f>'Feedstock MIX per IVC'!J72</f>
        <v>9.6456412837472971</v>
      </c>
      <c r="L26" s="2">
        <f>K26*F$16</f>
        <v>53658761.937175415</v>
      </c>
      <c r="M26" s="2"/>
      <c r="N26" s="123"/>
      <c r="O26" s="2"/>
      <c r="P26" s="18"/>
      <c r="Q26" s="123"/>
      <c r="R26" s="104"/>
    </row>
    <row r="27" spans="1:19" x14ac:dyDescent="0.35">
      <c r="F27" s="31"/>
      <c r="I27" t="s">
        <v>361</v>
      </c>
      <c r="K27" s="6"/>
      <c r="L27" s="2">
        <f>SUM(L17:L26)</f>
        <v>1648313066.6527224</v>
      </c>
      <c r="M27" s="2"/>
      <c r="N27" s="123"/>
      <c r="O27" s="2"/>
      <c r="P27" s="18"/>
      <c r="Q27" s="123"/>
      <c r="R27" s="104"/>
    </row>
    <row r="28" spans="1:19" s="218" customFormat="1" x14ac:dyDescent="0.35">
      <c r="A28" s="218" t="s">
        <v>335</v>
      </c>
      <c r="B28" s="218">
        <v>1750</v>
      </c>
      <c r="C28" s="220">
        <f>B28*F28</f>
        <v>6482606061.0973587</v>
      </c>
      <c r="D28" s="220">
        <f>'[1]GAP analysis Sc. 3'!$J$29</f>
        <v>3.7043463206270619</v>
      </c>
      <c r="E28" s="218">
        <f>'[2]Conversion factors selected IV '!$O$89</f>
        <v>1</v>
      </c>
      <c r="F28" s="219">
        <f>D28*E28*1000000</f>
        <v>3704346.3206270621</v>
      </c>
      <c r="G28" s="225">
        <f>'LCoP 2030 HIGH'!E20</f>
        <v>1597.3359772734975</v>
      </c>
      <c r="H28" s="220">
        <f>G28*F28</f>
        <v>5917085650.2183132</v>
      </c>
      <c r="I28" s="220">
        <f>'LCoP 2030 HIGH'!H20</f>
        <v>0.13167923359024397</v>
      </c>
      <c r="L28" s="219">
        <f>I28*H28</f>
        <v>779157303.50857794</v>
      </c>
      <c r="M28" s="220">
        <f>'LCoP 2030 HIGH'!F20</f>
        <v>0.50396410739715469</v>
      </c>
      <c r="O28" s="219">
        <f>M28*H28</f>
        <v>2981998788.104785</v>
      </c>
      <c r="P28" s="243">
        <f>'LCoP 2030 HIGH'!G20</f>
        <v>0.36435665901260128</v>
      </c>
      <c r="R28" s="219">
        <f>P28*H28</f>
        <v>2155929558.60495</v>
      </c>
      <c r="S28" s="219">
        <f>L28+O28+R28</f>
        <v>5917085650.2183132</v>
      </c>
    </row>
    <row r="29" spans="1:19" x14ac:dyDescent="0.35">
      <c r="D29" s="2"/>
      <c r="F29" s="31"/>
      <c r="G29" s="159" t="s">
        <v>213</v>
      </c>
      <c r="H29" s="2">
        <f>SUMIF($J$29:$J$36,G29,$L$29:$L$36)/$L$28</f>
        <v>0</v>
      </c>
      <c r="I29" s="12" t="s">
        <v>5</v>
      </c>
      <c r="J29" s="154" t="s">
        <v>212</v>
      </c>
      <c r="K29" s="6">
        <f>'Feedstock MIX per IVC'!J89</f>
        <v>115.98101375146399</v>
      </c>
      <c r="L29" s="2">
        <f>K29*F$28</f>
        <v>429633841.55283231</v>
      </c>
      <c r="M29" s="5" t="s">
        <v>245</v>
      </c>
      <c r="N29" s="174">
        <v>0.15</v>
      </c>
      <c r="O29" s="2">
        <f>N29*O$28</f>
        <v>447299818.21571773</v>
      </c>
      <c r="P29" s="18" t="s">
        <v>251</v>
      </c>
      <c r="Q29" s="123">
        <v>0.15</v>
      </c>
      <c r="R29" s="2">
        <f>Q29*R$28</f>
        <v>323389433.79074246</v>
      </c>
    </row>
    <row r="30" spans="1:19" x14ac:dyDescent="0.35">
      <c r="D30" s="2"/>
      <c r="F30" s="31"/>
      <c r="G30" s="157" t="s">
        <v>211</v>
      </c>
      <c r="H30" s="2">
        <f t="shared" ref="H30:H33" si="7">SUMIF($J$29:$J$36,G30,$L$29:$L$36)/$L$28</f>
        <v>1.4626928700643058E-2</v>
      </c>
      <c r="I30" s="12" t="s">
        <v>6</v>
      </c>
      <c r="J30" s="154" t="s">
        <v>212</v>
      </c>
      <c r="K30" s="6">
        <f>'Feedstock MIX per IVC'!J90</f>
        <v>6.0665214463321062</v>
      </c>
      <c r="L30" s="2">
        <f t="shared" ref="L30:L36" si="8">K30*F$28</f>
        <v>22472496.398725502</v>
      </c>
      <c r="M30" t="s">
        <v>246</v>
      </c>
      <c r="N30" s="35">
        <v>0.02</v>
      </c>
      <c r="O30" s="2">
        <f t="shared" ref="O30:O34" si="9">N30*O$28</f>
        <v>59639975.762095697</v>
      </c>
      <c r="P30" s="18" t="s">
        <v>210</v>
      </c>
      <c r="Q30" s="123">
        <v>0.25</v>
      </c>
      <c r="R30" s="2">
        <f t="shared" ref="R30:R33" si="10">Q30*R$28</f>
        <v>538982389.65123749</v>
      </c>
    </row>
    <row r="31" spans="1:19" x14ac:dyDescent="0.35">
      <c r="D31" s="2"/>
      <c r="F31" s="31"/>
      <c r="G31" s="154" t="s">
        <v>212</v>
      </c>
      <c r="H31" s="2">
        <f t="shared" si="7"/>
        <v>0.62730453013416398</v>
      </c>
      <c r="I31" s="12" t="s">
        <v>7</v>
      </c>
      <c r="J31" s="157" t="s">
        <v>211</v>
      </c>
      <c r="K31" s="6">
        <f>'Feedstock MIX per IVC'!J91</f>
        <v>3.0765693427595271</v>
      </c>
      <c r="L31" s="2">
        <f t="shared" si="8"/>
        <v>11396678.325005272</v>
      </c>
      <c r="M31" s="5" t="s">
        <v>244</v>
      </c>
      <c r="N31" s="174">
        <v>0.45</v>
      </c>
      <c r="O31" s="2">
        <f t="shared" si="9"/>
        <v>1341899454.6471534</v>
      </c>
      <c r="P31" s="18" t="s">
        <v>252</v>
      </c>
      <c r="Q31" s="123">
        <v>0.2</v>
      </c>
      <c r="R31" s="2">
        <f t="shared" si="10"/>
        <v>431185911.72099</v>
      </c>
    </row>
    <row r="32" spans="1:19" x14ac:dyDescent="0.35">
      <c r="D32" s="2"/>
      <c r="F32" s="31"/>
      <c r="G32" s="178" t="s">
        <v>256</v>
      </c>
      <c r="H32" s="2">
        <f t="shared" si="7"/>
        <v>0.16087373181247036</v>
      </c>
      <c r="I32" s="12" t="s">
        <v>8</v>
      </c>
      <c r="J32" s="154" t="s">
        <v>212</v>
      </c>
      <c r="K32" s="6">
        <f>'Feedstock MIX per IVC'!J92</f>
        <v>5.8129923958756571</v>
      </c>
      <c r="L32" s="2">
        <f t="shared" si="8"/>
        <v>21533336.993495081</v>
      </c>
      <c r="M32" t="s">
        <v>247</v>
      </c>
      <c r="N32" s="35">
        <v>0.1</v>
      </c>
      <c r="O32" s="2">
        <f t="shared" si="9"/>
        <v>298199878.81047851</v>
      </c>
      <c r="P32" s="18" t="s">
        <v>253</v>
      </c>
      <c r="Q32" s="123">
        <v>0.3</v>
      </c>
      <c r="R32" s="2">
        <f t="shared" si="10"/>
        <v>646778867.58148491</v>
      </c>
      <c r="S32" s="2"/>
    </row>
    <row r="33" spans="1:18" x14ac:dyDescent="0.35">
      <c r="D33" s="2"/>
      <c r="F33" s="31"/>
      <c r="G33" s="156" t="s">
        <v>209</v>
      </c>
      <c r="H33" s="2">
        <f t="shared" si="7"/>
        <v>0.1971948093527226</v>
      </c>
      <c r="I33" s="12" t="s">
        <v>9</v>
      </c>
      <c r="J33" s="154" t="s">
        <v>212</v>
      </c>
      <c r="K33" s="6">
        <f>'Feedstock MIX per IVC'!J93</f>
        <v>4.0841838001898028</v>
      </c>
      <c r="L33" s="2">
        <f t="shared" si="8"/>
        <v>15129231.232997749</v>
      </c>
      <c r="M33" t="s">
        <v>248</v>
      </c>
      <c r="N33" s="35">
        <v>0.25</v>
      </c>
      <c r="O33" s="2">
        <f t="shared" si="9"/>
        <v>745499697.02619624</v>
      </c>
      <c r="P33" s="18" t="s">
        <v>254</v>
      </c>
      <c r="Q33" s="123">
        <v>0.1</v>
      </c>
      <c r="R33" s="2">
        <f t="shared" si="10"/>
        <v>215592955.860495</v>
      </c>
    </row>
    <row r="34" spans="1:18" x14ac:dyDescent="0.35">
      <c r="D34" s="2"/>
      <c r="F34" s="31"/>
      <c r="G34" s="158" t="s">
        <v>104</v>
      </c>
      <c r="H34" s="6"/>
      <c r="I34" s="12" t="s">
        <v>10</v>
      </c>
      <c r="J34" s="178" t="s">
        <v>256</v>
      </c>
      <c r="K34" s="6">
        <f>'Feedstock MIX per IVC'!J94</f>
        <v>33.837533598410502</v>
      </c>
      <c r="L34" s="2">
        <f t="shared" si="8"/>
        <v>125345943.08436653</v>
      </c>
      <c r="M34" t="s">
        <v>250</v>
      </c>
      <c r="N34" s="35">
        <v>0.03</v>
      </c>
      <c r="O34" s="2">
        <f t="shared" si="9"/>
        <v>89459963.64314355</v>
      </c>
      <c r="P34" s="18"/>
      <c r="Q34" s="123">
        <f>SUM(Q29:Q33)</f>
        <v>1.0000000000000002</v>
      </c>
      <c r="R34" s="2"/>
    </row>
    <row r="35" spans="1:18" x14ac:dyDescent="0.35">
      <c r="D35" s="2"/>
      <c r="F35" s="31"/>
      <c r="G35" s="6"/>
      <c r="H35" s="2">
        <f>SUM(H29:H34)</f>
        <v>1</v>
      </c>
      <c r="I35" s="12" t="s">
        <v>11</v>
      </c>
      <c r="J35" s="156" t="s">
        <v>209</v>
      </c>
      <c r="K35" s="6">
        <f>'Feedstock MIX per IVC'!J95</f>
        <v>41.477162938465945</v>
      </c>
      <c r="L35" s="2">
        <f t="shared" si="8"/>
        <v>153645775.92115545</v>
      </c>
    </row>
    <row r="36" spans="1:18" x14ac:dyDescent="0.35">
      <c r="D36" s="2"/>
      <c r="F36" s="31"/>
      <c r="G36" s="6"/>
      <c r="H36" s="6"/>
      <c r="I36" s="12" t="s">
        <v>12</v>
      </c>
      <c r="J36" s="159" t="s">
        <v>213</v>
      </c>
      <c r="K36" s="6">
        <f>'Feedstock MIX per IVC'!J96</f>
        <v>0</v>
      </c>
      <c r="L36" s="2">
        <f t="shared" si="8"/>
        <v>0</v>
      </c>
      <c r="M36" s="2"/>
    </row>
    <row r="37" spans="1:18" x14ac:dyDescent="0.35">
      <c r="D37" s="2"/>
      <c r="F37" s="31"/>
      <c r="G37" s="6"/>
      <c r="H37" s="6"/>
      <c r="I37" s="107" t="s">
        <v>360</v>
      </c>
      <c r="J37" s="256"/>
      <c r="K37" s="6"/>
      <c r="L37" s="2">
        <f>SUM(L29:L36)</f>
        <v>779157303.50857794</v>
      </c>
      <c r="M37" s="2"/>
    </row>
    <row r="38" spans="1:18" x14ac:dyDescent="0.35">
      <c r="D38" s="6"/>
      <c r="E38" s="6"/>
      <c r="F38" s="31"/>
      <c r="G38" s="6"/>
      <c r="H38" s="6"/>
      <c r="I38" s="229" t="s">
        <v>321</v>
      </c>
      <c r="J38" s="6"/>
      <c r="K38" s="6"/>
      <c r="L38" s="2"/>
      <c r="M38" s="80" t="s">
        <v>214</v>
      </c>
      <c r="O38" s="92">
        <f ca="1">SUM(O39:O44)</f>
        <v>12874577582.762499</v>
      </c>
      <c r="P38" s="80" t="s">
        <v>214</v>
      </c>
      <c r="Q38" s="80"/>
      <c r="R38" s="92">
        <f ca="1">SUM(R39:R43)</f>
        <v>9784705256.8000336</v>
      </c>
    </row>
    <row r="39" spans="1:18" x14ac:dyDescent="0.35">
      <c r="D39" s="6"/>
      <c r="E39" s="6"/>
      <c r="F39" s="31"/>
      <c r="G39" s="6"/>
      <c r="H39" s="6"/>
      <c r="I39" s="6"/>
      <c r="J39" s="154" t="s">
        <v>212</v>
      </c>
      <c r="K39" s="6"/>
      <c r="L39" s="2">
        <f ca="1">SUMIF($J$10:$J$190, J39, $L$10:$L$191)</f>
        <v>2629847991.3891726</v>
      </c>
      <c r="M39" s="5" t="s">
        <v>245</v>
      </c>
      <c r="O39" s="2">
        <f ca="1">SUMIF($M$10:$M$188, M39, $O$10:$O$188)</f>
        <v>713343819.30839193</v>
      </c>
      <c r="P39" s="18" t="s">
        <v>251</v>
      </c>
      <c r="R39" s="2">
        <f ca="1">SUMIF($P$10:$P$187, P39, $R$10:$R$187)</f>
        <v>2035291084.0879023</v>
      </c>
    </row>
    <row r="40" spans="1:18" x14ac:dyDescent="0.35">
      <c r="D40" s="6"/>
      <c r="E40" s="6"/>
      <c r="F40" s="31"/>
      <c r="G40" s="6"/>
      <c r="H40" s="6"/>
      <c r="I40" s="6"/>
      <c r="J40" s="178" t="s">
        <v>256</v>
      </c>
      <c r="K40" s="6"/>
      <c r="L40" s="2">
        <f ca="1">SUMIF($J$10:$J$190, J40, $L$10:$L$191)</f>
        <v>605811070.94197392</v>
      </c>
      <c r="M40" t="s">
        <v>246</v>
      </c>
      <c r="O40" s="2">
        <f ca="1">SUMIF($M$10:$M$188, M40, $O$10:$O$188)</f>
        <v>257491551.65524995</v>
      </c>
      <c r="P40" s="18" t="s">
        <v>210</v>
      </c>
      <c r="R40" s="2">
        <f ca="1">SUMIF($P$10:$P$187, P40, $R$10:$R$187)</f>
        <v>1914909225.3404238</v>
      </c>
    </row>
    <row r="41" spans="1:18" x14ac:dyDescent="0.35">
      <c r="D41" s="6"/>
      <c r="E41" s="6"/>
      <c r="F41" s="31"/>
      <c r="G41" s="6"/>
      <c r="H41" s="6"/>
      <c r="I41" s="6"/>
      <c r="J41" s="156" t="s">
        <v>209</v>
      </c>
      <c r="K41" s="6"/>
      <c r="L41" s="2">
        <f ca="1">SUMIF($J$10:$J$190, J41, $L$10:$L$191)</f>
        <v>742587352.77819276</v>
      </c>
      <c r="M41" s="5" t="s">
        <v>244</v>
      </c>
      <c r="O41" s="2">
        <f ca="1">SUMIF($M$10:$M$188, M41, $O$10:$O$188)</f>
        <v>6597414303.2400875</v>
      </c>
      <c r="P41" s="18" t="s">
        <v>252</v>
      </c>
      <c r="R41" s="2">
        <f ca="1">SUMIF($P$10:$P$187, P41, $R$10:$R$187)</f>
        <v>2488208140.2195911</v>
      </c>
    </row>
    <row r="42" spans="1:18" x14ac:dyDescent="0.35">
      <c r="D42" s="6"/>
      <c r="E42" s="6"/>
      <c r="F42" s="31"/>
      <c r="G42" s="6"/>
      <c r="H42" s="6"/>
      <c r="I42" s="6"/>
      <c r="J42" s="157" t="s">
        <v>211</v>
      </c>
      <c r="K42" s="6"/>
      <c r="L42" s="2">
        <f ca="1">SUMIF($J$10:$J$190, J42, $L$10:$L$191)</f>
        <v>58939524.186117716</v>
      </c>
      <c r="M42" t="s">
        <v>247</v>
      </c>
      <c r="O42" s="2">
        <f ca="1">SUMIF($M$10:$M$188, M42, $O$10:$O$188)</f>
        <v>1293488374.0815191</v>
      </c>
      <c r="P42" s="18" t="s">
        <v>253</v>
      </c>
      <c r="R42" s="2">
        <f ca="1">SUMIF($P$10:$P$187, P42, $R$10:$R$187)</f>
        <v>2908172922.0087752</v>
      </c>
    </row>
    <row r="43" spans="1:18" x14ac:dyDescent="0.35">
      <c r="D43" s="6"/>
      <c r="E43" s="6"/>
      <c r="F43" s="31"/>
      <c r="G43" s="6"/>
      <c r="H43" s="6"/>
      <c r="I43" s="6"/>
      <c r="J43" s="159" t="s">
        <v>213</v>
      </c>
      <c r="K43" s="6"/>
      <c r="L43" s="2">
        <f ca="1">SUMIF($J$10:$J$190, J43, $L$10:$L$191)</f>
        <v>0</v>
      </c>
      <c r="M43" t="s">
        <v>248</v>
      </c>
      <c r="O43" s="2">
        <f ca="1">SUMIF($M$10:$M$188, M43, $O$10:$O$188)</f>
        <v>3626602206.9943752</v>
      </c>
      <c r="P43" s="18" t="s">
        <v>254</v>
      </c>
      <c r="R43" s="2">
        <f ca="1">SUMIF($P$10:$P$187, P43, $R$10:$R$187)</f>
        <v>438123885.14334065</v>
      </c>
    </row>
    <row r="44" spans="1:18" x14ac:dyDescent="0.35">
      <c r="D44" s="6"/>
      <c r="E44" s="6"/>
      <c r="F44" s="31"/>
      <c r="G44" s="6"/>
      <c r="H44" s="6"/>
      <c r="J44" s="158" t="s">
        <v>104</v>
      </c>
      <c r="K44" s="6"/>
      <c r="L44" s="2">
        <f ca="1">SUMIF($J$10:$J$190, J44, $L$10:$L$191)</f>
        <v>236521304.31809264</v>
      </c>
      <c r="M44" t="s">
        <v>250</v>
      </c>
      <c r="O44" s="2">
        <f ca="1">SUMIF($M$10:$M$188, M44, $O$10:$O$188)</f>
        <v>386237327.48287493</v>
      </c>
    </row>
    <row r="45" spans="1:18" x14ac:dyDescent="0.35">
      <c r="D45" s="6"/>
      <c r="E45" s="6"/>
      <c r="F45" s="31"/>
      <c r="G45" s="6"/>
      <c r="H45" s="6"/>
      <c r="J45" s="258" t="s">
        <v>210</v>
      </c>
      <c r="L45" s="2">
        <f ca="1">SUMIF($J$10:$J$190, J45, $L$10:$L$191)</f>
        <v>32269860.420161862</v>
      </c>
      <c r="O45" s="2"/>
    </row>
    <row r="46" spans="1:18" x14ac:dyDescent="0.35">
      <c r="D46" s="6"/>
      <c r="E46" s="6"/>
      <c r="F46" s="31"/>
      <c r="G46" s="6"/>
      <c r="I46" s="229" t="s">
        <v>360</v>
      </c>
      <c r="J46" s="107"/>
      <c r="K46" s="6"/>
      <c r="L46" s="92">
        <f ca="1">SUM(L39:L45)</f>
        <v>4305977104.0337114</v>
      </c>
    </row>
    <row r="47" spans="1:18" s="93" customFormat="1" ht="41" customHeight="1" x14ac:dyDescent="0.35">
      <c r="A47" s="93" t="s">
        <v>105</v>
      </c>
      <c r="F47" s="176"/>
    </row>
    <row r="48" spans="1:18" ht="17.5" customHeight="1" x14ac:dyDescent="0.35">
      <c r="C48" s="2">
        <f>C49+C56+C63+C72</f>
        <v>37929669293.499664</v>
      </c>
      <c r="D48" s="2">
        <f>D49+D56+D63+D72</f>
        <v>25.938201866341462</v>
      </c>
      <c r="F48" s="2">
        <f>F49+F56+F63+F72</f>
        <v>34016962.011250272</v>
      </c>
      <c r="L48" s="2">
        <f>L49+L56+L63+L72</f>
        <v>9582085114.5686493</v>
      </c>
      <c r="O48" s="2">
        <f>O49+O56+O63+O72</f>
        <v>16674879805.479946</v>
      </c>
      <c r="R48" s="2">
        <f>R49+R56+R63+R72</f>
        <v>18447407171.472179</v>
      </c>
    </row>
    <row r="49" spans="1:19" s="218" customFormat="1" ht="17.5" customHeight="1" x14ac:dyDescent="0.35">
      <c r="A49" s="218" t="s">
        <v>337</v>
      </c>
      <c r="B49" s="218">
        <v>1000</v>
      </c>
      <c r="C49" s="220">
        <f>B49*F49</f>
        <v>7898337636.6593208</v>
      </c>
      <c r="D49" s="220">
        <f>'[1]GAP analysis Sc. 3'!$J$31</f>
        <v>5.0935109436753994</v>
      </c>
      <c r="E49" s="227">
        <f>'[2]Conversion factors selected IV '!$O$17</f>
        <v>1.5506666666666669</v>
      </c>
      <c r="F49" s="219">
        <f>D49*E49*1000000</f>
        <v>7898337.6366593204</v>
      </c>
      <c r="G49" s="225">
        <f>'LCoP 2030 HIGH'!E5</f>
        <v>1387.0526477152616</v>
      </c>
      <c r="H49" s="220">
        <f>G49*F49</f>
        <v>10955410131.477413</v>
      </c>
      <c r="I49" s="225">
        <f>'LCoP 2030 HIGH'!H5</f>
        <v>0.22785915749907551</v>
      </c>
      <c r="L49" s="219">
        <f>I49*H49</f>
        <v>2496290522.6152792</v>
      </c>
      <c r="M49" s="225">
        <f>'LCoP 2030 HIGH'!F5</f>
        <v>0.40012900801868634</v>
      </c>
      <c r="O49" s="219">
        <f>M49*H49</f>
        <v>4383577388.3459234</v>
      </c>
      <c r="P49" s="225">
        <f>'LCoP 2030 HIGH'!G5</f>
        <v>0.37201183448223807</v>
      </c>
      <c r="R49" s="219">
        <f>P49*H49</f>
        <v>4075542220.5162096</v>
      </c>
      <c r="S49" s="220">
        <f>R49+O49+L49</f>
        <v>10955410131.477413</v>
      </c>
    </row>
    <row r="50" spans="1:19" ht="15" customHeight="1" x14ac:dyDescent="0.35">
      <c r="C50">
        <f>C49/C48</f>
        <v>0.20823639603978639</v>
      </c>
      <c r="F50" s="154" t="s">
        <v>212</v>
      </c>
      <c r="G50" s="2">
        <f>(SUMIF($J$50:$J$53, F50,$L$50:$L$53)/$L$49)</f>
        <v>0.79882413557184262</v>
      </c>
      <c r="H50" s="209" t="s">
        <v>292</v>
      </c>
      <c r="I50" s="7" t="s">
        <v>5</v>
      </c>
      <c r="J50" s="154" t="s">
        <v>212</v>
      </c>
      <c r="K50" s="6">
        <f>'Feedstock MIX per IVC'!J13</f>
        <v>232.61998432929801</v>
      </c>
      <c r="L50">
        <f>K50*F$49</f>
        <v>1837311177.2671957</v>
      </c>
      <c r="M50" s="5" t="s">
        <v>245</v>
      </c>
      <c r="N50" s="35">
        <v>0</v>
      </c>
      <c r="O50" s="2">
        <f>N50*O$49</f>
        <v>0</v>
      </c>
      <c r="P50" s="18" t="s">
        <v>251</v>
      </c>
      <c r="Q50" s="35">
        <v>0.2</v>
      </c>
      <c r="R50" s="2">
        <f>Q50*R$49</f>
        <v>815108444.10324192</v>
      </c>
    </row>
    <row r="51" spans="1:19" ht="15" customHeight="1" x14ac:dyDescent="0.35">
      <c r="F51" s="156" t="s">
        <v>209</v>
      </c>
      <c r="G51" s="2">
        <f>(SUMIF($J$50:$J$53, F51,$L$50:$L$53)/$L$49)</f>
        <v>0.20117586442815738</v>
      </c>
      <c r="H51" s="209" t="s">
        <v>292</v>
      </c>
      <c r="I51" s="7" t="s">
        <v>8</v>
      </c>
      <c r="J51" s="154" t="s">
        <v>212</v>
      </c>
      <c r="K51" s="6">
        <f>'Feedstock MIX per IVC'!J14</f>
        <v>11.65896172396454</v>
      </c>
      <c r="L51">
        <f t="shared" ref="L51:L53" si="11">K51*F$49</f>
        <v>92086416.18875955</v>
      </c>
      <c r="M51" t="s">
        <v>246</v>
      </c>
      <c r="N51" s="35">
        <v>0.02</v>
      </c>
      <c r="O51" s="2">
        <f t="shared" ref="O51:O55" si="12">N51*O$49</f>
        <v>87671547.766918465</v>
      </c>
      <c r="P51" s="18" t="s">
        <v>210</v>
      </c>
      <c r="Q51" s="35">
        <v>0.5</v>
      </c>
      <c r="R51" s="2">
        <f t="shared" ref="R51:R54" si="13">Q51*R$49</f>
        <v>2037771110.2581048</v>
      </c>
    </row>
    <row r="52" spans="1:19" ht="15" customHeight="1" x14ac:dyDescent="0.35">
      <c r="F52" s="31"/>
      <c r="H52" s="209" t="s">
        <v>292</v>
      </c>
      <c r="I52" s="7" t="s">
        <v>9</v>
      </c>
      <c r="J52" s="154" t="s">
        <v>212</v>
      </c>
      <c r="K52" s="6">
        <f>'Feedstock MIX per IVC'!J15</f>
        <v>8.1915370530733291</v>
      </c>
      <c r="L52">
        <f t="shared" si="11"/>
        <v>64699525.408378452</v>
      </c>
      <c r="M52" s="5" t="s">
        <v>244</v>
      </c>
      <c r="N52" s="35">
        <v>0.5</v>
      </c>
      <c r="O52" s="2">
        <f t="shared" si="12"/>
        <v>2191788694.1729617</v>
      </c>
      <c r="P52" s="18" t="s">
        <v>252</v>
      </c>
      <c r="Q52" s="35">
        <v>0.15</v>
      </c>
      <c r="R52" s="2">
        <f t="shared" si="13"/>
        <v>611331333.07743144</v>
      </c>
    </row>
    <row r="53" spans="1:19" ht="15" customHeight="1" x14ac:dyDescent="0.35">
      <c r="F53" s="31"/>
      <c r="H53" s="209" t="s">
        <v>292</v>
      </c>
      <c r="I53" s="7" t="s">
        <v>11</v>
      </c>
      <c r="J53" s="156" t="s">
        <v>209</v>
      </c>
      <c r="K53" s="6">
        <f>'Feedstock MIX per IVC'!J16</f>
        <v>63.58216460892563</v>
      </c>
      <c r="L53">
        <f t="shared" si="11"/>
        <v>502193403.75094557</v>
      </c>
      <c r="M53" t="s">
        <v>247</v>
      </c>
      <c r="N53" s="35">
        <v>0.15</v>
      </c>
      <c r="O53" s="2">
        <f t="shared" si="12"/>
        <v>657536608.25188851</v>
      </c>
      <c r="P53" s="18" t="s">
        <v>253</v>
      </c>
      <c r="Q53" s="35">
        <v>0.1</v>
      </c>
      <c r="R53" s="2">
        <f t="shared" si="13"/>
        <v>407554222.05162096</v>
      </c>
    </row>
    <row r="54" spans="1:19" ht="15" customHeight="1" x14ac:dyDescent="0.35">
      <c r="F54" s="31"/>
      <c r="M54" t="s">
        <v>248</v>
      </c>
      <c r="N54" s="35">
        <v>0.3</v>
      </c>
      <c r="O54" s="2">
        <f t="shared" si="12"/>
        <v>1315073216.503777</v>
      </c>
      <c r="P54" s="18" t="s">
        <v>254</v>
      </c>
      <c r="Q54" s="35">
        <v>0.05</v>
      </c>
      <c r="R54" s="2">
        <f t="shared" si="13"/>
        <v>203777111.02581048</v>
      </c>
    </row>
    <row r="55" spans="1:19" ht="15" customHeight="1" x14ac:dyDescent="0.35">
      <c r="F55" s="31"/>
      <c r="M55" t="s">
        <v>250</v>
      </c>
      <c r="N55" s="35">
        <v>0.03</v>
      </c>
      <c r="O55" s="2">
        <f t="shared" si="12"/>
        <v>131507321.65037769</v>
      </c>
      <c r="R55" s="2"/>
    </row>
    <row r="56" spans="1:19" s="218" customFormat="1" ht="17.5" customHeight="1" x14ac:dyDescent="0.35">
      <c r="A56" s="218" t="s">
        <v>344</v>
      </c>
      <c r="B56" s="218">
        <v>1000</v>
      </c>
      <c r="C56" s="220">
        <f>B56*F56</f>
        <v>14851294442.103264</v>
      </c>
      <c r="D56" s="225">
        <f>'[1]GAP analysis Sc. 3'!$J$32</f>
        <v>9.5773609901783718</v>
      </c>
      <c r="E56" s="228">
        <f>'[2]Conversion factors selected IV '!$O$86</f>
        <v>1.5506666666666669</v>
      </c>
      <c r="F56" s="219">
        <f>D56*E56*1000000</f>
        <v>14851294.442103263</v>
      </c>
      <c r="G56" s="225">
        <f>'LCoP 2030 HIGH'!E18</f>
        <v>988.03814186666671</v>
      </c>
      <c r="H56" s="220">
        <f>G56*F56</f>
        <v>14673645364.890463</v>
      </c>
      <c r="I56" s="223">
        <f>'LCoP 2030 HIGH'!H18</f>
        <v>0.32087642008201966</v>
      </c>
      <c r="L56" s="219">
        <f>I56*H56</f>
        <v>4708426794.2391729</v>
      </c>
      <c r="M56" s="223">
        <f>'LCoP 2030 HIGH'!F18</f>
        <v>0.28136565606139868</v>
      </c>
      <c r="O56" s="219">
        <f>M56*H56</f>
        <v>4128659854.904707</v>
      </c>
      <c r="P56" s="236">
        <f>'LCoP 2030 HIGH'!G18</f>
        <v>0.3977579238565816</v>
      </c>
      <c r="R56" s="219">
        <f>P56*H56</f>
        <v>5836558715.746582</v>
      </c>
      <c r="S56" s="220">
        <f>R56+O56+L56</f>
        <v>14673645364.890461</v>
      </c>
    </row>
    <row r="57" spans="1:19" ht="14.5" customHeight="1" x14ac:dyDescent="0.35">
      <c r="D57" s="6"/>
      <c r="F57" s="31"/>
      <c r="G57" s="207" t="s">
        <v>106</v>
      </c>
      <c r="H57">
        <v>1</v>
      </c>
      <c r="I57" s="16" t="s">
        <v>37</v>
      </c>
      <c r="J57" s="207" t="s">
        <v>106</v>
      </c>
      <c r="K57" s="6">
        <f>'Feedstock MIX per IVC'!J85</f>
        <v>317.03814186666671</v>
      </c>
      <c r="L57" s="31">
        <f>K57*F56</f>
        <v>4708426794.2391729</v>
      </c>
      <c r="M57" s="5" t="s">
        <v>245</v>
      </c>
      <c r="N57" s="35">
        <v>0</v>
      </c>
      <c r="O57" s="2">
        <f>N57*O$56</f>
        <v>0</v>
      </c>
      <c r="P57" s="18" t="s">
        <v>251</v>
      </c>
      <c r="Q57" s="35">
        <v>0.2</v>
      </c>
      <c r="R57" s="2">
        <f>Q57*R$56</f>
        <v>1167311743.1493165</v>
      </c>
    </row>
    <row r="58" spans="1:19" ht="14.5" customHeight="1" x14ac:dyDescent="0.35">
      <c r="D58" s="6"/>
      <c r="F58" s="31"/>
      <c r="M58" t="s">
        <v>246</v>
      </c>
      <c r="N58" s="35">
        <v>0.02</v>
      </c>
      <c r="O58" s="2">
        <f t="shared" ref="O58:O62" si="14">N58*O$56</f>
        <v>82573197.098094136</v>
      </c>
      <c r="P58" s="18" t="s">
        <v>210</v>
      </c>
      <c r="Q58" s="35">
        <v>0.5</v>
      </c>
      <c r="R58" s="2">
        <f t="shared" ref="R58:R61" si="15">Q58*R$56</f>
        <v>2918279357.873291</v>
      </c>
    </row>
    <row r="59" spans="1:19" ht="14.5" customHeight="1" x14ac:dyDescent="0.35">
      <c r="D59" s="6"/>
      <c r="F59" s="31"/>
      <c r="M59" s="5" t="s">
        <v>244</v>
      </c>
      <c r="N59" s="35">
        <v>0.5</v>
      </c>
      <c r="O59" s="2">
        <f t="shared" si="14"/>
        <v>2064329927.4523535</v>
      </c>
      <c r="P59" s="18" t="s">
        <v>252</v>
      </c>
      <c r="Q59" s="35">
        <v>0.15</v>
      </c>
      <c r="R59" s="2">
        <f t="shared" si="15"/>
        <v>875483807.36198723</v>
      </c>
    </row>
    <row r="60" spans="1:19" ht="14.5" customHeight="1" x14ac:dyDescent="0.35">
      <c r="D60" s="6"/>
      <c r="F60" s="31"/>
      <c r="M60" t="s">
        <v>247</v>
      </c>
      <c r="N60" s="35">
        <v>0.15</v>
      </c>
      <c r="O60" s="2">
        <f t="shared" si="14"/>
        <v>619298978.23570597</v>
      </c>
      <c r="P60" s="18" t="s">
        <v>253</v>
      </c>
      <c r="Q60" s="35">
        <v>0.1</v>
      </c>
      <c r="R60" s="2">
        <f t="shared" si="15"/>
        <v>583655871.57465827</v>
      </c>
    </row>
    <row r="61" spans="1:19" ht="14.5" customHeight="1" x14ac:dyDescent="0.35">
      <c r="F61" s="31"/>
      <c r="M61" t="s">
        <v>248</v>
      </c>
      <c r="N61" s="35">
        <v>0.3</v>
      </c>
      <c r="O61" s="2">
        <f t="shared" si="14"/>
        <v>1238597956.4714119</v>
      </c>
      <c r="P61" s="18" t="s">
        <v>254</v>
      </c>
      <c r="Q61" s="35">
        <v>0.05</v>
      </c>
      <c r="R61" s="2">
        <f t="shared" si="15"/>
        <v>291827935.78732914</v>
      </c>
    </row>
    <row r="62" spans="1:19" ht="14.5" customHeight="1" x14ac:dyDescent="0.35">
      <c r="F62" s="31"/>
      <c r="M62" t="s">
        <v>250</v>
      </c>
      <c r="N62" s="35">
        <v>0.03</v>
      </c>
      <c r="O62" s="2">
        <f t="shared" si="14"/>
        <v>123859795.6471412</v>
      </c>
    </row>
    <row r="63" spans="1:19" s="218" customFormat="1" x14ac:dyDescent="0.35">
      <c r="A63" s="218" t="s">
        <v>335</v>
      </c>
      <c r="B63" s="218">
        <v>1750</v>
      </c>
      <c r="C63" s="220">
        <f>B63*F63</f>
        <v>6482606061.0973587</v>
      </c>
      <c r="D63" s="220">
        <f>'[1]GAP analysis Sc. 3'!$J$33</f>
        <v>3.7043463206270619</v>
      </c>
      <c r="E63" s="218">
        <f>'[2]Conversion factors selected IV '!$O$89</f>
        <v>1</v>
      </c>
      <c r="F63" s="219">
        <f>D63*E63*1000000</f>
        <v>3704346.3206270621</v>
      </c>
      <c r="G63" s="225">
        <f>'LCoP 2030 HIGH'!E20</f>
        <v>1597.3359772734975</v>
      </c>
      <c r="H63" s="220">
        <f>G63*F63</f>
        <v>5917085650.2183132</v>
      </c>
      <c r="I63" s="223">
        <f>'LCoP 2030 HIGH'!H20</f>
        <v>0.13167923359024397</v>
      </c>
      <c r="L63" s="219">
        <f>I63*H63</f>
        <v>779157303.50857794</v>
      </c>
      <c r="M63" s="223">
        <f>'LCoP 2030 HIGH'!F20</f>
        <v>0.50396410739715469</v>
      </c>
      <c r="O63" s="219">
        <f>M63*H63</f>
        <v>2981998788.104785</v>
      </c>
      <c r="P63" s="236">
        <f>'LCoP 2030 HIGH'!G20</f>
        <v>0.36435665901260128</v>
      </c>
      <c r="R63" s="219">
        <f>P63*H63</f>
        <v>2155929558.60495</v>
      </c>
      <c r="S63" s="219">
        <f>L63+O63+R63</f>
        <v>5917085650.2183132</v>
      </c>
    </row>
    <row r="64" spans="1:19" ht="17.5" customHeight="1" x14ac:dyDescent="0.35">
      <c r="F64" s="159" t="s">
        <v>213</v>
      </c>
      <c r="G64" s="2">
        <f>(SUMIF($J$64:$J$71, F64,$L$64:$L$71)/$L$63)</f>
        <v>0</v>
      </c>
      <c r="H64" s="209" t="s">
        <v>292</v>
      </c>
      <c r="I64" s="5" t="s">
        <v>5</v>
      </c>
      <c r="J64" s="154" t="s">
        <v>212</v>
      </c>
      <c r="K64" s="6">
        <f>'Feedstock MIX per IVC'!J89</f>
        <v>115.98101375146399</v>
      </c>
      <c r="L64">
        <f>K64*F$63</f>
        <v>429633841.55283231</v>
      </c>
      <c r="M64" s="5" t="s">
        <v>245</v>
      </c>
      <c r="N64" s="174">
        <v>0.15</v>
      </c>
      <c r="O64" s="2">
        <f>N64*O$63</f>
        <v>447299818.21571773</v>
      </c>
      <c r="P64" s="18" t="s">
        <v>251</v>
      </c>
      <c r="Q64" s="123">
        <v>0.15</v>
      </c>
      <c r="R64" s="2">
        <f>Q64*R$63</f>
        <v>323389433.79074246</v>
      </c>
    </row>
    <row r="65" spans="1:19" ht="17.5" customHeight="1" x14ac:dyDescent="0.35">
      <c r="F65" s="157" t="s">
        <v>211</v>
      </c>
      <c r="G65" s="2">
        <f t="shared" ref="G65:G69" si="16">(SUMIF($J$64:$J$71, F65,$L$64:$L$71)/$L$63)</f>
        <v>1.4626928700643058E-2</v>
      </c>
      <c r="H65" s="209" t="s">
        <v>292</v>
      </c>
      <c r="I65" s="5" t="s">
        <v>6</v>
      </c>
      <c r="J65" s="154" t="s">
        <v>212</v>
      </c>
      <c r="K65" s="6">
        <f>'Feedstock MIX per IVC'!J90</f>
        <v>6.0665214463321062</v>
      </c>
      <c r="L65">
        <f t="shared" ref="L65:L71" si="17">K65*F$63</f>
        <v>22472496.398725502</v>
      </c>
      <c r="M65" t="s">
        <v>246</v>
      </c>
      <c r="N65" s="35">
        <v>0.02</v>
      </c>
      <c r="O65" s="2">
        <f t="shared" ref="O65:O68" si="18">N65*O$63</f>
        <v>59639975.762095697</v>
      </c>
      <c r="P65" s="18" t="s">
        <v>210</v>
      </c>
      <c r="Q65" s="123">
        <v>0.25</v>
      </c>
      <c r="R65" s="2">
        <f t="shared" ref="R65:R68" si="19">Q65*R$63</f>
        <v>538982389.65123749</v>
      </c>
    </row>
    <row r="66" spans="1:19" ht="17.5" customHeight="1" x14ac:dyDescent="0.35">
      <c r="F66" s="154" t="s">
        <v>212</v>
      </c>
      <c r="G66" s="2">
        <f t="shared" si="16"/>
        <v>0.62730453013416398</v>
      </c>
      <c r="H66" s="209" t="s">
        <v>292</v>
      </c>
      <c r="I66" s="5" t="s">
        <v>7</v>
      </c>
      <c r="J66" s="157" t="s">
        <v>211</v>
      </c>
      <c r="K66" s="6">
        <f>'Feedstock MIX per IVC'!J91</f>
        <v>3.0765693427595271</v>
      </c>
      <c r="L66">
        <f t="shared" si="17"/>
        <v>11396678.325005272</v>
      </c>
      <c r="M66" s="5" t="s">
        <v>244</v>
      </c>
      <c r="N66" s="174">
        <v>0.45</v>
      </c>
      <c r="O66" s="2">
        <f t="shared" si="18"/>
        <v>1341899454.6471534</v>
      </c>
      <c r="P66" s="18" t="s">
        <v>252</v>
      </c>
      <c r="Q66" s="123">
        <v>0.2</v>
      </c>
      <c r="R66" s="2">
        <f t="shared" si="19"/>
        <v>431185911.72099</v>
      </c>
    </row>
    <row r="67" spans="1:19" ht="17.5" customHeight="1" x14ac:dyDescent="0.35">
      <c r="F67" s="178" t="s">
        <v>256</v>
      </c>
      <c r="G67" s="2">
        <f t="shared" si="16"/>
        <v>0.16087373181247036</v>
      </c>
      <c r="H67" s="209" t="s">
        <v>292</v>
      </c>
      <c r="I67" s="5" t="s">
        <v>8</v>
      </c>
      <c r="J67" s="154" t="s">
        <v>212</v>
      </c>
      <c r="K67" s="6">
        <f>'Feedstock MIX per IVC'!J92</f>
        <v>5.8129923958756571</v>
      </c>
      <c r="L67">
        <f t="shared" si="17"/>
        <v>21533336.993495081</v>
      </c>
      <c r="M67" t="s">
        <v>247</v>
      </c>
      <c r="N67" s="35">
        <v>0.1</v>
      </c>
      <c r="O67" s="2">
        <f t="shared" si="18"/>
        <v>298199878.81047851</v>
      </c>
      <c r="P67" s="18" t="s">
        <v>253</v>
      </c>
      <c r="Q67" s="123">
        <v>0.3</v>
      </c>
      <c r="R67" s="2">
        <f t="shared" si="19"/>
        <v>646778867.58148491</v>
      </c>
    </row>
    <row r="68" spans="1:19" ht="17.5" customHeight="1" x14ac:dyDescent="0.35">
      <c r="F68" s="156" t="s">
        <v>209</v>
      </c>
      <c r="G68" s="2">
        <f t="shared" si="16"/>
        <v>0.1971948093527226</v>
      </c>
      <c r="H68" s="209" t="s">
        <v>292</v>
      </c>
      <c r="I68" s="5" t="s">
        <v>9</v>
      </c>
      <c r="J68" s="154" t="s">
        <v>212</v>
      </c>
      <c r="K68" s="6">
        <f>'Feedstock MIX per IVC'!J93</f>
        <v>4.0841838001898028</v>
      </c>
      <c r="L68">
        <f t="shared" si="17"/>
        <v>15129231.232997749</v>
      </c>
      <c r="M68" t="s">
        <v>248</v>
      </c>
      <c r="N68" s="35">
        <v>0.25</v>
      </c>
      <c r="O68" s="2">
        <f t="shared" si="18"/>
        <v>745499697.02619624</v>
      </c>
      <c r="P68" s="18" t="s">
        <v>254</v>
      </c>
      <c r="Q68" s="123">
        <v>0.1</v>
      </c>
      <c r="R68" s="2">
        <f t="shared" si="19"/>
        <v>215592955.860495</v>
      </c>
    </row>
    <row r="69" spans="1:19" ht="17.5" customHeight="1" x14ac:dyDescent="0.35">
      <c r="F69" s="158" t="s">
        <v>104</v>
      </c>
      <c r="G69" s="2">
        <f t="shared" si="16"/>
        <v>0</v>
      </c>
      <c r="H69" s="209" t="s">
        <v>292</v>
      </c>
      <c r="I69" s="5" t="s">
        <v>10</v>
      </c>
      <c r="J69" s="178" t="s">
        <v>256</v>
      </c>
      <c r="K69" s="6">
        <f>'Feedstock MIX per IVC'!J94</f>
        <v>33.837533598410502</v>
      </c>
      <c r="L69">
        <f t="shared" si="17"/>
        <v>125345943.08436653</v>
      </c>
      <c r="M69" t="s">
        <v>250</v>
      </c>
      <c r="N69" s="35">
        <v>0.03</v>
      </c>
      <c r="O69" s="2">
        <f>N69*O$63</f>
        <v>89459963.64314355</v>
      </c>
      <c r="Q69" s="35"/>
      <c r="R69" s="2"/>
    </row>
    <row r="70" spans="1:19" ht="17.5" customHeight="1" x14ac:dyDescent="0.35">
      <c r="F70" s="31"/>
      <c r="G70" s="2">
        <f>SUM(G64:G69)</f>
        <v>1</v>
      </c>
      <c r="H70" s="209" t="s">
        <v>292</v>
      </c>
      <c r="I70" s="5" t="s">
        <v>11</v>
      </c>
      <c r="J70" s="156" t="s">
        <v>209</v>
      </c>
      <c r="K70" s="6">
        <f>'Feedstock MIX per IVC'!J95</f>
        <v>41.477162938465945</v>
      </c>
      <c r="L70">
        <f t="shared" si="17"/>
        <v>153645775.92115545</v>
      </c>
      <c r="O70" s="2"/>
    </row>
    <row r="71" spans="1:19" ht="17.5" customHeight="1" x14ac:dyDescent="0.35">
      <c r="F71" s="31"/>
      <c r="H71" s="209" t="s">
        <v>292</v>
      </c>
      <c r="I71" s="5" t="s">
        <v>12</v>
      </c>
      <c r="J71" s="159" t="s">
        <v>213</v>
      </c>
      <c r="K71" s="6">
        <f>'Feedstock MIX per IVC'!J96</f>
        <v>0</v>
      </c>
      <c r="L71">
        <f t="shared" si="17"/>
        <v>0</v>
      </c>
    </row>
    <row r="72" spans="1:19" s="218" customFormat="1" x14ac:dyDescent="0.35">
      <c r="A72" s="218" t="s">
        <v>338</v>
      </c>
      <c r="B72" s="218">
        <v>1150</v>
      </c>
      <c r="C72" s="220">
        <f>B72*F72</f>
        <v>8697431153.6397228</v>
      </c>
      <c r="D72" s="225">
        <f>'[1]GAP analysis Sc. 3'!$J$34</f>
        <v>7.562983611860628</v>
      </c>
      <c r="E72" s="225">
        <f>'[2]Conversion factors selected IV '!$O$125</f>
        <v>1</v>
      </c>
      <c r="F72" s="219">
        <f>D72*E72*1000000</f>
        <v>7562983.6118606282</v>
      </c>
      <c r="G72" s="225">
        <f>'LCoP 2030 HIGH'!E22</f>
        <v>1739.8201054276026</v>
      </c>
      <c r="H72" s="220">
        <f>G72*F72</f>
        <v>13158230944.934589</v>
      </c>
      <c r="I72" s="223">
        <f>'LCoP 2030 HIGH'!H22</f>
        <v>0.12146089401332999</v>
      </c>
      <c r="L72" s="219">
        <f>I72*H72</f>
        <v>1598210494.2056191</v>
      </c>
      <c r="M72" s="223">
        <f>'LCoP 2030 HIGH'!F22</f>
        <v>0.39371886660181155</v>
      </c>
      <c r="O72" s="219">
        <f>M72*H72</f>
        <v>5180643774.1245298</v>
      </c>
      <c r="P72" s="236">
        <f>'LCoP 2030 HIGH'!G22</f>
        <v>0.48482023938485846</v>
      </c>
      <c r="R72" s="219">
        <f>P72*H72</f>
        <v>6379376676.6044397</v>
      </c>
      <c r="S72" s="219">
        <f>L72+O72+R72</f>
        <v>13158230944.934589</v>
      </c>
    </row>
    <row r="73" spans="1:19" x14ac:dyDescent="0.35">
      <c r="D73" s="6"/>
      <c r="E73" s="6"/>
      <c r="F73" s="159" t="s">
        <v>213</v>
      </c>
      <c r="G73" s="2">
        <f>(SUMIF($J$73:$J$80, F73,$L$73:$L$80)/$L$72)</f>
        <v>0</v>
      </c>
      <c r="H73" s="209" t="s">
        <v>292</v>
      </c>
      <c r="I73" s="5" t="s">
        <v>5</v>
      </c>
      <c r="J73" s="154" t="s">
        <v>212</v>
      </c>
      <c r="K73" s="6">
        <f>'Feedstock MIX per IVC'!J107</f>
        <v>113.38994625349989</v>
      </c>
      <c r="L73" s="2">
        <f>K73*F$72</f>
        <v>857566305.2649771</v>
      </c>
      <c r="M73" s="5" t="s">
        <v>245</v>
      </c>
      <c r="N73" s="174">
        <v>0.15</v>
      </c>
      <c r="O73" s="2">
        <f>N73*O$72</f>
        <v>777096566.1186794</v>
      </c>
      <c r="P73" s="18" t="s">
        <v>251</v>
      </c>
      <c r="Q73" s="123">
        <v>0.15</v>
      </c>
      <c r="R73" s="2">
        <f>Q73*R$72</f>
        <v>956906501.49066591</v>
      </c>
    </row>
    <row r="74" spans="1:19" x14ac:dyDescent="0.35">
      <c r="D74" s="6"/>
      <c r="E74" s="6"/>
      <c r="F74" s="157" t="s">
        <v>211</v>
      </c>
      <c r="G74" s="2">
        <f t="shared" ref="G74:G78" si="20">(SUMIF($J$73:$J$80, F74,$L$73:$L$80)/$L$72)</f>
        <v>1.4233560064919689E-2</v>
      </c>
      <c r="H74" s="209" t="s">
        <v>292</v>
      </c>
      <c r="I74" s="5" t="s">
        <v>6</v>
      </c>
      <c r="J74" s="154" t="s">
        <v>212</v>
      </c>
      <c r="K74" s="6">
        <f>'Feedstock MIX per IVC'!J108</f>
        <v>5.9309926555683274</v>
      </c>
      <c r="L74" s="2">
        <f t="shared" ref="L74:L79" si="21">K74*F$72</f>
        <v>44856000.256129012</v>
      </c>
      <c r="M74" t="s">
        <v>246</v>
      </c>
      <c r="N74" s="35">
        <v>0.02</v>
      </c>
      <c r="O74" s="2">
        <f t="shared" ref="O74:O78" si="22">N74*O$72</f>
        <v>103612875.4824906</v>
      </c>
      <c r="P74" s="18" t="s">
        <v>210</v>
      </c>
      <c r="Q74" s="123">
        <v>0.25</v>
      </c>
      <c r="R74" s="2">
        <f>Q74*R$72</f>
        <v>1594844169.1511099</v>
      </c>
    </row>
    <row r="75" spans="1:19" x14ac:dyDescent="0.35">
      <c r="D75" s="6"/>
      <c r="E75" s="6"/>
      <c r="F75" s="154" t="s">
        <v>212</v>
      </c>
      <c r="G75" s="2">
        <f t="shared" si="20"/>
        <v>0.63732759864853772</v>
      </c>
      <c r="H75" s="209" t="s">
        <v>292</v>
      </c>
      <c r="I75" s="5" t="s">
        <v>7</v>
      </c>
      <c r="J75" s="157" t="s">
        <v>211</v>
      </c>
      <c r="K75" s="6">
        <f>'Feedstock MIX per IVC'!J109</f>
        <v>3.0078374135289434</v>
      </c>
      <c r="L75" s="2">
        <f t="shared" si="21"/>
        <v>22748225.065660659</v>
      </c>
      <c r="M75" s="5" t="s">
        <v>244</v>
      </c>
      <c r="N75" s="174">
        <v>0.45</v>
      </c>
      <c r="O75" s="2">
        <f t="shared" si="22"/>
        <v>2331289698.3560386</v>
      </c>
      <c r="P75" s="18" t="s">
        <v>252</v>
      </c>
      <c r="Q75" s="123">
        <v>0.2</v>
      </c>
      <c r="R75" s="2">
        <f>Q75*R$72</f>
        <v>1275875335.320888</v>
      </c>
    </row>
    <row r="76" spans="1:19" x14ac:dyDescent="0.35">
      <c r="D76" s="6"/>
      <c r="E76" s="6"/>
      <c r="F76" s="178" t="s">
        <v>256</v>
      </c>
      <c r="G76" s="2">
        <f t="shared" si="20"/>
        <v>0.15654728148910091</v>
      </c>
      <c r="H76" s="209" t="s">
        <v>292</v>
      </c>
      <c r="I76" s="5" t="s">
        <v>8</v>
      </c>
      <c r="J76" s="154" t="s">
        <v>212</v>
      </c>
      <c r="K76" s="6">
        <f>'Feedstock MIX per IVC'!J110</f>
        <v>11.366255114010404</v>
      </c>
      <c r="L76" s="2">
        <f t="shared" si="21"/>
        <v>85962801.155487746</v>
      </c>
      <c r="M76" t="s">
        <v>247</v>
      </c>
      <c r="N76" s="35">
        <v>0.1</v>
      </c>
      <c r="O76" s="2">
        <f t="shared" si="22"/>
        <v>518064377.412453</v>
      </c>
      <c r="P76" s="18" t="s">
        <v>253</v>
      </c>
      <c r="Q76" s="123">
        <v>0.3</v>
      </c>
      <c r="R76" s="2">
        <f>Q76*R$72</f>
        <v>1913813002.9813318</v>
      </c>
    </row>
    <row r="77" spans="1:19" x14ac:dyDescent="0.35">
      <c r="D77" s="6"/>
      <c r="E77" s="6"/>
      <c r="F77" s="156" t="s">
        <v>209</v>
      </c>
      <c r="G77" s="2">
        <f t="shared" si="20"/>
        <v>0.19189155979744174</v>
      </c>
      <c r="H77" s="209" t="s">
        <v>292</v>
      </c>
      <c r="I77" s="5" t="s">
        <v>9</v>
      </c>
      <c r="J77" s="154" t="s">
        <v>212</v>
      </c>
      <c r="K77" s="6">
        <f>'Feedstock MIX per IVC'!J111</f>
        <v>3.9929413152511879</v>
      </c>
      <c r="L77" s="2">
        <f t="shared" si="21"/>
        <v>30198549.730365958</v>
      </c>
      <c r="M77" t="s">
        <v>248</v>
      </c>
      <c r="N77" s="35">
        <v>0.25</v>
      </c>
      <c r="O77" s="2">
        <f t="shared" si="22"/>
        <v>1295160943.5311325</v>
      </c>
      <c r="P77" s="18" t="s">
        <v>254</v>
      </c>
      <c r="Q77" s="123">
        <v>0.1</v>
      </c>
      <c r="R77" s="2">
        <f>Q77*R$72</f>
        <v>637937667.66044402</v>
      </c>
    </row>
    <row r="78" spans="1:19" x14ac:dyDescent="0.35">
      <c r="D78" s="6"/>
      <c r="E78" s="6"/>
      <c r="F78" s="158" t="s">
        <v>104</v>
      </c>
      <c r="G78" s="2">
        <f t="shared" si="20"/>
        <v>0</v>
      </c>
      <c r="H78" s="209" t="s">
        <v>292</v>
      </c>
      <c r="I78" s="5" t="s">
        <v>10</v>
      </c>
      <c r="J78" s="178" t="s">
        <v>256</v>
      </c>
      <c r="K78" s="6">
        <f>'Feedstock MIX per IVC'!J112</f>
        <v>33.081588028681395</v>
      </c>
      <c r="L78" s="2">
        <f t="shared" si="21"/>
        <v>250195508.11524212</v>
      </c>
      <c r="M78" t="s">
        <v>250</v>
      </c>
      <c r="N78" s="35">
        <v>0.03</v>
      </c>
      <c r="O78" s="2">
        <f t="shared" si="22"/>
        <v>155419313.2237359</v>
      </c>
      <c r="Q78" s="35"/>
      <c r="R78" s="2"/>
    </row>
    <row r="79" spans="1:19" x14ac:dyDescent="0.35">
      <c r="D79" s="6"/>
      <c r="E79" s="6"/>
      <c r="F79" s="31"/>
      <c r="G79" s="2">
        <f>SUM(G73:G78)</f>
        <v>1</v>
      </c>
      <c r="H79" s="209" t="s">
        <v>292</v>
      </c>
      <c r="I79" s="5" t="s">
        <v>11</v>
      </c>
      <c r="J79" s="156" t="s">
        <v>209</v>
      </c>
      <c r="K79" s="6">
        <f>'Feedstock MIX per IVC'!J113</f>
        <v>40.550544647062509</v>
      </c>
      <c r="L79" s="2">
        <f t="shared" si="21"/>
        <v>306683104.61775649</v>
      </c>
      <c r="M79" s="2"/>
      <c r="R79" s="2"/>
    </row>
    <row r="80" spans="1:19" x14ac:dyDescent="0.35">
      <c r="D80" s="6"/>
      <c r="E80" s="6"/>
      <c r="F80" s="31"/>
      <c r="G80" s="6"/>
      <c r="H80" s="209" t="s">
        <v>292</v>
      </c>
      <c r="I80" s="5" t="s">
        <v>12</v>
      </c>
      <c r="J80" s="159" t="s">
        <v>213</v>
      </c>
      <c r="K80" s="6">
        <f>'Feedstock MIX per IVC'!J114</f>
        <v>0</v>
      </c>
      <c r="L80" s="2">
        <f>K80*F$72</f>
        <v>0</v>
      </c>
    </row>
    <row r="81" spans="1:19" s="80" customFormat="1" x14ac:dyDescent="0.35">
      <c r="D81" s="92"/>
      <c r="E81" s="92"/>
      <c r="F81" s="230"/>
      <c r="G81" s="6"/>
      <c r="L81" s="92"/>
    </row>
    <row r="82" spans="1:19" s="80" customFormat="1" x14ac:dyDescent="0.35">
      <c r="F82" s="230"/>
      <c r="I82" s="80" t="s">
        <v>321</v>
      </c>
      <c r="L82" s="230">
        <f>SUM(L83:L88)</f>
        <v>9582085114.5686493</v>
      </c>
      <c r="M82" s="80" t="s">
        <v>214</v>
      </c>
      <c r="O82" s="92">
        <f>SUM(O83:O88)</f>
        <v>16674879805.479946</v>
      </c>
      <c r="P82" s="80" t="s">
        <v>214</v>
      </c>
      <c r="R82" s="92">
        <f>SUM(R83:R87)</f>
        <v>18447407171.472179</v>
      </c>
    </row>
    <row r="83" spans="1:19" x14ac:dyDescent="0.35">
      <c r="D83" s="2"/>
      <c r="E83" s="2"/>
      <c r="G83" s="2"/>
      <c r="H83" s="6"/>
      <c r="J83" s="154" t="s">
        <v>212</v>
      </c>
      <c r="L83" s="2">
        <f>SUMIF($J$50:$J$80, J83, $L$50:$L$80)</f>
        <v>3501449681.4493432</v>
      </c>
      <c r="M83" s="5" t="s">
        <v>245</v>
      </c>
      <c r="O83" s="2">
        <f>SUMIF($M$50:$M$78, M83, $O$50:$O$78)</f>
        <v>1224396384.3343971</v>
      </c>
      <c r="P83" s="18" t="s">
        <v>251</v>
      </c>
      <c r="R83" s="2">
        <f>SUMIF($P$50:$P$77, P83, $R$50:$R$77)</f>
        <v>3262716122.533967</v>
      </c>
    </row>
    <row r="84" spans="1:19" x14ac:dyDescent="0.35">
      <c r="D84" s="2"/>
      <c r="E84" s="2"/>
      <c r="G84" s="2"/>
      <c r="H84" s="6"/>
      <c r="J84" s="178" t="s">
        <v>256</v>
      </c>
      <c r="L84" s="2">
        <f t="shared" ref="L84:L88" si="23">SUMIF($J$50:$J$80, J84, $L$50:$L$80)</f>
        <v>375541451.19960868</v>
      </c>
      <c r="M84" t="s">
        <v>246</v>
      </c>
      <c r="O84" s="2">
        <f t="shared" ref="O84:O88" si="24">SUMIF($M$50:$M$78, M84, $O$50:$O$78)</f>
        <v>333497596.10959888</v>
      </c>
      <c r="P84" s="18" t="s">
        <v>210</v>
      </c>
      <c r="R84" s="2">
        <f t="shared" ref="R84:R87" si="25">SUMIF($P$50:$P$77, P84, $R$50:$R$77)</f>
        <v>7089877026.9337425</v>
      </c>
    </row>
    <row r="85" spans="1:19" x14ac:dyDescent="0.35">
      <c r="D85" s="1"/>
      <c r="E85" s="1"/>
      <c r="G85" s="2"/>
      <c r="H85" s="6"/>
      <c r="J85" s="156" t="s">
        <v>209</v>
      </c>
      <c r="L85" s="2">
        <f t="shared" si="23"/>
        <v>962522284.28985751</v>
      </c>
      <c r="M85" s="5" t="s">
        <v>244</v>
      </c>
      <c r="O85" s="2">
        <f t="shared" si="24"/>
        <v>7929307774.6285076</v>
      </c>
      <c r="P85" s="18" t="s">
        <v>252</v>
      </c>
      <c r="R85" s="2">
        <f t="shared" si="25"/>
        <v>3193876387.4812965</v>
      </c>
    </row>
    <row r="86" spans="1:19" x14ac:dyDescent="0.35">
      <c r="D86" s="1"/>
      <c r="E86" s="1"/>
      <c r="G86" s="2"/>
      <c r="H86" s="6"/>
      <c r="J86" s="157" t="s">
        <v>211</v>
      </c>
      <c r="L86" s="2">
        <f>SUMIF($J$50:$J$80, J86, $L$50:$L$80)</f>
        <v>34144903.390665933</v>
      </c>
      <c r="M86" t="s">
        <v>247</v>
      </c>
      <c r="O86" s="2">
        <f>SUMIF($M$50:$M$78, M86, $O$50:$O$78)</f>
        <v>2093099842.710526</v>
      </c>
      <c r="P86" s="18" t="s">
        <v>253</v>
      </c>
      <c r="R86" s="2">
        <f t="shared" si="25"/>
        <v>3551801964.189096</v>
      </c>
    </row>
    <row r="87" spans="1:19" s="80" customFormat="1" x14ac:dyDescent="0.35">
      <c r="D87" s="92"/>
      <c r="E87" s="92"/>
      <c r="F87" s="230"/>
      <c r="G87" s="1"/>
      <c r="H87" s="6"/>
      <c r="J87" s="159" t="s">
        <v>213</v>
      </c>
      <c r="L87" s="2">
        <f t="shared" si="23"/>
        <v>0</v>
      </c>
      <c r="M87" t="s">
        <v>248</v>
      </c>
      <c r="O87" s="2">
        <f t="shared" si="24"/>
        <v>4594331813.5325184</v>
      </c>
      <c r="P87" s="18" t="s">
        <v>254</v>
      </c>
      <c r="R87" s="2">
        <f t="shared" si="25"/>
        <v>1349135670.3340788</v>
      </c>
    </row>
    <row r="88" spans="1:19" s="80" customFormat="1" x14ac:dyDescent="0.35">
      <c r="D88" s="92"/>
      <c r="E88" s="92"/>
      <c r="F88" s="230"/>
      <c r="G88" s="1"/>
      <c r="H88" s="6"/>
      <c r="J88" s="207" t="s">
        <v>106</v>
      </c>
      <c r="L88" s="2">
        <f t="shared" si="23"/>
        <v>4708426794.2391729</v>
      </c>
      <c r="M88" t="s">
        <v>250</v>
      </c>
      <c r="O88" s="2">
        <f t="shared" si="24"/>
        <v>500246394.16439831</v>
      </c>
    </row>
    <row r="89" spans="1:19" s="93" customFormat="1" ht="32.5" customHeight="1" x14ac:dyDescent="0.35">
      <c r="A89" s="93" t="s">
        <v>106</v>
      </c>
      <c r="D89" s="231"/>
      <c r="E89" s="94"/>
      <c r="F89" s="176"/>
    </row>
    <row r="90" spans="1:19" ht="16.5" customHeight="1" x14ac:dyDescent="0.35">
      <c r="C90" s="102">
        <f>C91+C101</f>
        <v>51658113888.374962</v>
      </c>
      <c r="D90" s="102">
        <f>D91+D101</f>
        <v>48.424310559129495</v>
      </c>
      <c r="E90" s="2"/>
      <c r="F90" s="31"/>
      <c r="L90" s="2">
        <f>L91+L101</f>
        <v>1161433436.5280087</v>
      </c>
      <c r="O90" s="2">
        <f>O91+O101</f>
        <v>26053346467.090088</v>
      </c>
      <c r="R90" s="2">
        <f>R91+R101</f>
        <v>14665472038.086058</v>
      </c>
    </row>
    <row r="91" spans="1:19" s="219" customFormat="1" x14ac:dyDescent="0.35">
      <c r="A91" s="219" t="s">
        <v>59</v>
      </c>
      <c r="B91" s="219">
        <v>1275</v>
      </c>
      <c r="C91" s="220">
        <f>B91*F91</f>
        <v>41581919821.333878</v>
      </c>
      <c r="D91" s="219">
        <f>'[1]GAP analysis Sc. 3'!$J$36</f>
        <v>38.978887293951807</v>
      </c>
      <c r="E91" s="219">
        <f>'[2]Conversion factors selected IV '!$O$29</f>
        <v>0.83669064748201449</v>
      </c>
      <c r="F91" s="219">
        <f>D91*E91*1000000</f>
        <v>32613270.448105004</v>
      </c>
      <c r="G91" s="219">
        <f>'LCoP 2030 HIGH'!E10</f>
        <v>1029.7034823638371</v>
      </c>
      <c r="H91" s="219">
        <f>G91*F91</f>
        <v>33581998151.68734</v>
      </c>
      <c r="I91" s="226">
        <f>'LCoP 2030 HIGH'!H10</f>
        <v>-1.534084122926304E-2</v>
      </c>
      <c r="L91" s="219">
        <f>I91*H91</f>
        <v>-515176101.80644035</v>
      </c>
      <c r="M91" s="226">
        <f>'LCoP 2030 HIGH'!F10</f>
        <v>0.58754778473811975</v>
      </c>
      <c r="O91" s="219">
        <f>M91*H91</f>
        <v>19731028621.103527</v>
      </c>
      <c r="P91" s="226">
        <f>'LCoP 2030 HIGH'!G10</f>
        <v>0.42779305649114335</v>
      </c>
      <c r="R91" s="219">
        <f>P91*H91</f>
        <v>14366145632.390253</v>
      </c>
      <c r="S91" s="219">
        <f>L91+O91+R91</f>
        <v>33581998151.68734</v>
      </c>
    </row>
    <row r="92" spans="1:19" x14ac:dyDescent="0.35">
      <c r="D92" s="2"/>
      <c r="E92" s="2"/>
      <c r="G92" s="157" t="s">
        <v>211</v>
      </c>
      <c r="H92" s="2">
        <f>(SUMIF($J$92:$J$100,G92,$L$92:$L$100)/$L$91)</f>
        <v>-0.27065849773126127</v>
      </c>
      <c r="I92" s="5" t="s">
        <v>20</v>
      </c>
      <c r="J92" s="154" t="s">
        <v>212</v>
      </c>
      <c r="K92" s="6">
        <f>'Feedstock MIX per IVC'!J25</f>
        <v>0.89326982561933999</v>
      </c>
      <c r="L92" s="2">
        <f>K92*F$91</f>
        <v>29132450.40605513</v>
      </c>
      <c r="M92" s="5" t="s">
        <v>245</v>
      </c>
      <c r="N92" s="35">
        <v>0.05</v>
      </c>
      <c r="O92" s="2">
        <f>N92*O$91</f>
        <v>986551431.05517638</v>
      </c>
      <c r="P92" s="18" t="s">
        <v>251</v>
      </c>
      <c r="Q92" s="35">
        <v>0.2</v>
      </c>
      <c r="R92" s="2">
        <f>Q92*R$91</f>
        <v>2873229126.4780507</v>
      </c>
    </row>
    <row r="93" spans="1:19" x14ac:dyDescent="0.35">
      <c r="D93" s="2"/>
      <c r="E93" s="2"/>
      <c r="G93" s="154" t="s">
        <v>212</v>
      </c>
      <c r="H93" s="2">
        <f t="shared" ref="H93:H95" si="26">(SUMIF($J$92:$J$100,G93,$L$92:$L$100)/$L$91)</f>
        <v>-1.2300084378216753</v>
      </c>
      <c r="I93" s="5" t="s">
        <v>8</v>
      </c>
      <c r="J93" s="154" t="s">
        <v>212</v>
      </c>
      <c r="K93" s="6">
        <f>'Feedstock MIX per IVC'!J26</f>
        <v>0.85601008031509007</v>
      </c>
      <c r="L93" s="2">
        <f t="shared" ref="L93:L100" si="27">K93*F$91</f>
        <v>27917288.255620118</v>
      </c>
      <c r="M93" t="s">
        <v>246</v>
      </c>
      <c r="N93" s="35">
        <v>0.02</v>
      </c>
      <c r="O93" s="2">
        <f t="shared" ref="O93:O97" si="28">N93*O$91</f>
        <v>394620572.42207056</v>
      </c>
      <c r="P93" s="18" t="s">
        <v>210</v>
      </c>
      <c r="Q93" s="35">
        <v>0.5</v>
      </c>
      <c r="R93" s="2">
        <f t="shared" ref="R93:R96" si="29">Q93*R$91</f>
        <v>7183072816.1951265</v>
      </c>
    </row>
    <row r="94" spans="1:19" x14ac:dyDescent="0.35">
      <c r="D94" s="2"/>
      <c r="E94" s="2"/>
      <c r="G94" s="159" t="s">
        <v>213</v>
      </c>
      <c r="H94" s="2">
        <f t="shared" si="26"/>
        <v>2.5334434664742993</v>
      </c>
      <c r="I94" s="5" t="s">
        <v>9</v>
      </c>
      <c r="J94" s="154" t="s">
        <v>212</v>
      </c>
      <c r="K94" s="6">
        <f>'Feedstock MIX per IVC'!J27</f>
        <v>0.60142905146453718</v>
      </c>
      <c r="L94" s="2">
        <f t="shared" si="27"/>
        <v>19614568.310760215</v>
      </c>
      <c r="M94" s="5" t="s">
        <v>244</v>
      </c>
      <c r="N94" s="35">
        <v>0.4</v>
      </c>
      <c r="O94" s="2">
        <f t="shared" si="28"/>
        <v>7892411448.441411</v>
      </c>
      <c r="P94" s="18" t="s">
        <v>252</v>
      </c>
      <c r="Q94" s="35">
        <v>0.15</v>
      </c>
      <c r="R94" s="2">
        <f t="shared" si="29"/>
        <v>2154921844.8585377</v>
      </c>
    </row>
    <row r="95" spans="1:19" x14ac:dyDescent="0.35">
      <c r="D95" s="2"/>
      <c r="E95" s="2"/>
      <c r="G95" s="258" t="s">
        <v>298</v>
      </c>
      <c r="H95" s="2">
        <f t="shared" si="26"/>
        <v>-3.2776530921362471E-2</v>
      </c>
      <c r="I95" s="5" t="s">
        <v>21</v>
      </c>
      <c r="J95" s="157" t="s">
        <v>211</v>
      </c>
      <c r="K95" s="6">
        <f>'Feedstock MIX per IVC'!J28</f>
        <v>4.2754617327892195</v>
      </c>
      <c r="L95" s="2">
        <f t="shared" si="27"/>
        <v>139436789.78197846</v>
      </c>
      <c r="M95" t="s">
        <v>247</v>
      </c>
      <c r="N95" s="35">
        <v>0.3</v>
      </c>
      <c r="O95" s="2">
        <f t="shared" si="28"/>
        <v>5919308586.3310575</v>
      </c>
      <c r="P95" s="18" t="s">
        <v>253</v>
      </c>
      <c r="Q95" s="35">
        <v>0.1</v>
      </c>
      <c r="R95" s="2">
        <f t="shared" si="29"/>
        <v>1436614563.2390254</v>
      </c>
    </row>
    <row r="96" spans="1:19" x14ac:dyDescent="0.35">
      <c r="D96" s="2"/>
      <c r="E96" s="2"/>
      <c r="G96" s="1"/>
      <c r="H96" s="2">
        <f>SUM(H92:H95)</f>
        <v>1</v>
      </c>
      <c r="I96" s="5" t="s">
        <v>5</v>
      </c>
      <c r="J96" s="154" t="s">
        <v>212</v>
      </c>
      <c r="K96" s="6">
        <f>'Feedstock MIX per IVC'!J29</f>
        <v>17.079141023280282</v>
      </c>
      <c r="L96" s="2">
        <f t="shared" si="27"/>
        <v>557006645.21356463</v>
      </c>
      <c r="M96" t="s">
        <v>248</v>
      </c>
      <c r="N96" s="35">
        <v>0.2</v>
      </c>
      <c r="O96" s="2">
        <f t="shared" si="28"/>
        <v>3946205724.2207055</v>
      </c>
      <c r="P96" s="18" t="s">
        <v>254</v>
      </c>
      <c r="Q96" s="35">
        <v>0.05</v>
      </c>
      <c r="R96" s="2">
        <f t="shared" si="29"/>
        <v>718307281.61951268</v>
      </c>
    </row>
    <row r="97" spans="1:18" x14ac:dyDescent="0.35">
      <c r="D97" s="2"/>
      <c r="E97" s="2"/>
      <c r="G97" s="1"/>
      <c r="I97" s="5" t="s">
        <v>22</v>
      </c>
      <c r="J97" s="154" t="s">
        <v>212</v>
      </c>
      <c r="K97" s="6">
        <f>'Feedstock MIX per IVC'!J30</f>
        <v>0</v>
      </c>
      <c r="L97" s="2">
        <f t="shared" si="27"/>
        <v>0</v>
      </c>
      <c r="M97" t="s">
        <v>250</v>
      </c>
      <c r="N97" s="35">
        <v>0.03</v>
      </c>
      <c r="O97" s="2">
        <f t="shared" si="28"/>
        <v>591930858.63310575</v>
      </c>
      <c r="R97" s="2"/>
    </row>
    <row r="98" spans="1:18" x14ac:dyDescent="0.35">
      <c r="D98" s="2"/>
      <c r="E98" s="2"/>
      <c r="G98" s="2"/>
      <c r="I98" s="5" t="s">
        <v>23</v>
      </c>
      <c r="J98" s="159" t="s">
        <v>213</v>
      </c>
      <c r="K98" s="6">
        <f>'Feedstock MIX per IVC'!J31</f>
        <v>0</v>
      </c>
      <c r="L98" s="2">
        <f t="shared" si="27"/>
        <v>0</v>
      </c>
      <c r="N98" s="35">
        <f>SUM(N92:N97)</f>
        <v>1</v>
      </c>
      <c r="O98" s="2"/>
    </row>
    <row r="99" spans="1:18" x14ac:dyDescent="0.35">
      <c r="D99" s="2"/>
      <c r="E99" s="2"/>
      <c r="G99" s="2"/>
      <c r="I99" s="12" t="s">
        <v>24</v>
      </c>
      <c r="J99" s="159" t="s">
        <v>213</v>
      </c>
      <c r="K99" s="6">
        <f>'Feedstock MIX per IVC'!J32</f>
        <v>-40.019584398382889</v>
      </c>
      <c r="L99" s="2">
        <f t="shared" si="27"/>
        <v>-1305169529.2052248</v>
      </c>
      <c r="M99" s="2"/>
    </row>
    <row r="100" spans="1:18" s="80" customFormat="1" x14ac:dyDescent="0.35">
      <c r="D100" s="95"/>
      <c r="E100" s="95"/>
      <c r="F100" s="230"/>
      <c r="G100" s="237"/>
      <c r="I100" s="13" t="s">
        <v>25</v>
      </c>
      <c r="J100" s="258" t="s">
        <v>298</v>
      </c>
      <c r="K100" s="6">
        <f>'Feedstock MIX per IVC'!J33</f>
        <v>0.51775504875154021</v>
      </c>
      <c r="L100" s="2">
        <f t="shared" si="27"/>
        <v>16885685.430805773</v>
      </c>
    </row>
    <row r="101" spans="1:18" s="219" customFormat="1" x14ac:dyDescent="0.35">
      <c r="A101" s="219" t="s">
        <v>60</v>
      </c>
      <c r="B101" s="219">
        <v>1275</v>
      </c>
      <c r="C101" s="220">
        <f>B101*F101</f>
        <v>10076194067.041082</v>
      </c>
      <c r="D101" s="219">
        <f>'[1]GAP analysis Sc. 3'!$J$37</f>
        <v>9.4454232651776859</v>
      </c>
      <c r="E101" s="219">
        <f>'[2]Conversion factors selected IV '!$O$52</f>
        <v>0.83669064748201449</v>
      </c>
      <c r="F101" s="219">
        <f>D101*E101*1000000</f>
        <v>7902897.3074832018</v>
      </c>
      <c r="G101" s="219">
        <f>'LCoP 2030 HIGH'!E14</f>
        <v>1372.151249485031</v>
      </c>
      <c r="H101" s="219">
        <f>G101*F101</f>
        <v>10843970415.014963</v>
      </c>
      <c r="I101" s="226">
        <f>'LCoP 2030 HIGH'!H14</f>
        <v>0.15461214612066382</v>
      </c>
      <c r="L101" s="219">
        <f>I101*H101</f>
        <v>1676609538.3344491</v>
      </c>
      <c r="M101" s="226">
        <f>'LCoP 2030 HIGH'!F14</f>
        <v>0.58302610612368011</v>
      </c>
      <c r="O101" s="219">
        <f>M101*H101</f>
        <v>6322317845.9865618</v>
      </c>
      <c r="P101" s="226">
        <f>'LCoP 2030 HIGH'!G14</f>
        <v>0.26236174775565607</v>
      </c>
      <c r="R101" s="219">
        <v>299326405.69580394</v>
      </c>
    </row>
    <row r="102" spans="1:18" s="80" customFormat="1" x14ac:dyDescent="0.35">
      <c r="D102" s="95"/>
      <c r="E102" s="95"/>
      <c r="F102" s="230"/>
      <c r="G102" s="159" t="s">
        <v>213</v>
      </c>
      <c r="H102" s="2">
        <f>(SUMIF($J$102:$J$111,G102,$L$102:$L$111)/$L$101)</f>
        <v>0</v>
      </c>
      <c r="I102" s="5" t="s">
        <v>5</v>
      </c>
      <c r="J102" s="154" t="s">
        <v>212</v>
      </c>
      <c r="K102" s="229">
        <f>'Feedstock MIX per IVC'!J50</f>
        <v>117.73884028764297</v>
      </c>
      <c r="L102" s="2">
        <f>K102*F$101</f>
        <v>930477963.89540839</v>
      </c>
      <c r="M102" s="5" t="s">
        <v>245</v>
      </c>
      <c r="N102" s="35">
        <v>0</v>
      </c>
      <c r="O102" s="2">
        <f>N102*O$101</f>
        <v>0</v>
      </c>
      <c r="P102" s="18" t="s">
        <v>251</v>
      </c>
      <c r="Q102" s="35">
        <v>0.25</v>
      </c>
      <c r="R102" s="104">
        <f>Q102*R$101</f>
        <v>74831601.423950985</v>
      </c>
    </row>
    <row r="103" spans="1:18" s="80" customFormat="1" x14ac:dyDescent="0.35">
      <c r="D103" s="95"/>
      <c r="E103" s="95"/>
      <c r="F103" s="230"/>
      <c r="G103" s="157" t="s">
        <v>211</v>
      </c>
      <c r="H103" s="2">
        <f t="shared" ref="H103:H107" si="30">(SUMIF($J$102:$J$111,G103,$L$102:$L$111)/$L$101)</f>
        <v>1.472156454659493E-2</v>
      </c>
      <c r="I103" s="5" t="s">
        <v>6</v>
      </c>
      <c r="J103" s="154" t="s">
        <v>212</v>
      </c>
      <c r="K103" s="229">
        <f>'Feedstock MIX per IVC'!J51</f>
        <v>6.1584666021445331</v>
      </c>
      <c r="L103" s="2">
        <f t="shared" ref="L103:L111" si="31">K103*F$101</f>
        <v>48669729.128313251</v>
      </c>
      <c r="M103" t="s">
        <v>246</v>
      </c>
      <c r="N103" s="35">
        <v>0.02</v>
      </c>
      <c r="O103" s="2">
        <f t="shared" ref="O103:O107" si="32">N103*O$101</f>
        <v>126446356.91973124</v>
      </c>
      <c r="P103" s="18" t="s">
        <v>210</v>
      </c>
      <c r="Q103" s="35">
        <v>0.15</v>
      </c>
      <c r="R103" s="104">
        <f t="shared" ref="R103:R106" si="33">Q103*R$101</f>
        <v>44898960.854370587</v>
      </c>
    </row>
    <row r="104" spans="1:18" s="80" customFormat="1" x14ac:dyDescent="0.35">
      <c r="D104" s="95"/>
      <c r="E104" s="95"/>
      <c r="F104" s="230"/>
      <c r="G104" s="154" t="s">
        <v>212</v>
      </c>
      <c r="H104" s="2">
        <f t="shared" si="30"/>
        <v>0.63136317402952102</v>
      </c>
      <c r="I104" s="5" t="s">
        <v>23</v>
      </c>
      <c r="J104" s="159" t="s">
        <v>213</v>
      </c>
      <c r="K104" s="229">
        <f>'Feedstock MIX per IVC'!J52</f>
        <v>0</v>
      </c>
      <c r="L104" s="2">
        <f t="shared" si="31"/>
        <v>0</v>
      </c>
      <c r="M104" s="5" t="s">
        <v>244</v>
      </c>
      <c r="N104" s="35">
        <v>0.55000000000000004</v>
      </c>
      <c r="O104" s="2">
        <f t="shared" si="32"/>
        <v>3477274815.2926092</v>
      </c>
      <c r="P104" s="18" t="s">
        <v>252</v>
      </c>
      <c r="Q104" s="35">
        <v>0.3</v>
      </c>
      <c r="R104" s="104">
        <f t="shared" si="33"/>
        <v>89797921.708741173</v>
      </c>
    </row>
    <row r="105" spans="1:18" s="80" customFormat="1" x14ac:dyDescent="0.35">
      <c r="D105" s="95"/>
      <c r="E105" s="95"/>
      <c r="F105" s="230"/>
      <c r="G105" s="178" t="s">
        <v>256</v>
      </c>
      <c r="H105" s="2">
        <f t="shared" si="30"/>
        <v>0.15095068681282589</v>
      </c>
      <c r="I105" s="5" t="s">
        <v>7</v>
      </c>
      <c r="J105" s="157" t="s">
        <v>211</v>
      </c>
      <c r="K105" s="229">
        <f>'Feedstock MIX per IVC'!J53</f>
        <v>3.1231983129346497</v>
      </c>
      <c r="L105" s="2">
        <f t="shared" si="31"/>
        <v>24682315.53802732</v>
      </c>
      <c r="M105" t="s">
        <v>247</v>
      </c>
      <c r="N105" s="35">
        <v>0.1</v>
      </c>
      <c r="O105" s="2">
        <f t="shared" si="32"/>
        <v>632231784.59865618</v>
      </c>
      <c r="P105" s="18" t="s">
        <v>253</v>
      </c>
      <c r="Q105" s="35">
        <v>0.3</v>
      </c>
      <c r="R105" s="104">
        <f t="shared" si="33"/>
        <v>89797921.708741173</v>
      </c>
    </row>
    <row r="106" spans="1:18" s="80" customFormat="1" x14ac:dyDescent="0.35">
      <c r="D106" s="95"/>
      <c r="E106" s="95"/>
      <c r="F106" s="230"/>
      <c r="G106" s="156" t="s">
        <v>209</v>
      </c>
      <c r="H106" s="2">
        <f t="shared" si="30"/>
        <v>0.18503140054223777</v>
      </c>
      <c r="I106" s="5" t="s">
        <v>8</v>
      </c>
      <c r="J106" s="154" t="s">
        <v>212</v>
      </c>
      <c r="K106" s="229">
        <f>'Feedstock MIX per IVC'!J54</f>
        <v>5.9010950254144312</v>
      </c>
      <c r="L106" s="2">
        <f t="shared" si="31"/>
        <v>46635747.987550221</v>
      </c>
      <c r="M106" t="s">
        <v>248</v>
      </c>
      <c r="N106" s="35">
        <v>0.3</v>
      </c>
      <c r="O106" s="2">
        <f t="shared" si="32"/>
        <v>1896695353.7959685</v>
      </c>
      <c r="P106" s="18" t="s">
        <v>254</v>
      </c>
      <c r="Q106" s="240">
        <v>0</v>
      </c>
      <c r="R106" s="104">
        <f t="shared" si="33"/>
        <v>0</v>
      </c>
    </row>
    <row r="107" spans="1:18" s="80" customFormat="1" x14ac:dyDescent="0.35">
      <c r="D107" s="95"/>
      <c r="E107" s="95"/>
      <c r="F107" s="230"/>
      <c r="G107" s="158" t="s">
        <v>104</v>
      </c>
      <c r="H107" s="2">
        <f t="shared" si="30"/>
        <v>1.7933174068820414E-2</v>
      </c>
      <c r="I107" s="5" t="s">
        <v>9</v>
      </c>
      <c r="J107" s="154" t="s">
        <v>212</v>
      </c>
      <c r="K107" s="229">
        <f>'Feedstock MIX per IVC'!J55</f>
        <v>4.1460843339960558</v>
      </c>
      <c r="L107" s="2">
        <f t="shared" si="31"/>
        <v>32766078.719735712</v>
      </c>
      <c r="M107" t="s">
        <v>250</v>
      </c>
      <c r="N107" s="35">
        <v>0.03</v>
      </c>
      <c r="O107" s="2">
        <f t="shared" si="32"/>
        <v>189669535.37959686</v>
      </c>
      <c r="P107"/>
      <c r="Q107"/>
      <c r="R107" s="104"/>
    </row>
    <row r="108" spans="1:18" s="80" customFormat="1" x14ac:dyDescent="0.35">
      <c r="D108" s="95"/>
      <c r="E108" s="95"/>
      <c r="F108" s="230"/>
      <c r="G108" s="237"/>
      <c r="I108" s="5" t="s">
        <v>10</v>
      </c>
      <c r="J108" s="178" t="s">
        <v>256</v>
      </c>
      <c r="K108" s="229">
        <f>'Feedstock MIX per IVC'!J56</f>
        <v>32.024376817964615</v>
      </c>
      <c r="L108" s="2">
        <f t="shared" si="31"/>
        <v>253085361.32852003</v>
      </c>
      <c r="M108"/>
      <c r="N108" s="123"/>
      <c r="O108" s="2"/>
      <c r="P108" s="18"/>
      <c r="Q108" s="123"/>
      <c r="R108" s="2"/>
    </row>
    <row r="109" spans="1:18" s="80" customFormat="1" x14ac:dyDescent="0.35">
      <c r="D109" s="95"/>
      <c r="E109" s="95"/>
      <c r="F109" s="230"/>
      <c r="G109" s="237"/>
      <c r="H109" s="2">
        <f>SUM(H102:H107)</f>
        <v>1</v>
      </c>
      <c r="I109" s="5" t="s">
        <v>11</v>
      </c>
      <c r="J109" s="156" t="s">
        <v>209</v>
      </c>
      <c r="K109" s="229">
        <f>'Feedstock MIX per IVC'!J57</f>
        <v>39.254642819000999</v>
      </c>
      <c r="L109" s="2">
        <f t="shared" si="31"/>
        <v>310225411.04049778</v>
      </c>
    </row>
    <row r="110" spans="1:18" s="80" customFormat="1" x14ac:dyDescent="0.35">
      <c r="D110" s="95"/>
      <c r="E110" s="95"/>
      <c r="F110" s="230"/>
      <c r="G110" s="237"/>
      <c r="I110" s="5" t="s">
        <v>12</v>
      </c>
      <c r="J110" s="159" t="s">
        <v>213</v>
      </c>
      <c r="K110" s="229">
        <f>'Feedstock MIX per IVC'!J58</f>
        <v>0</v>
      </c>
      <c r="L110" s="2">
        <f t="shared" si="31"/>
        <v>0</v>
      </c>
    </row>
    <row r="111" spans="1:18" s="80" customFormat="1" x14ac:dyDescent="0.35">
      <c r="D111" s="95"/>
      <c r="E111" s="95"/>
      <c r="F111" s="230"/>
      <c r="G111" s="237"/>
      <c r="I111" s="253" t="s">
        <v>33</v>
      </c>
      <c r="J111" s="158" t="s">
        <v>104</v>
      </c>
      <c r="K111" s="229">
        <f>'Feedstock MIX per IVC'!J59</f>
        <v>3.8045452859328091</v>
      </c>
      <c r="L111" s="2">
        <f t="shared" si="31"/>
        <v>30066930.696396306</v>
      </c>
    </row>
    <row r="112" spans="1:18" s="80" customFormat="1" x14ac:dyDescent="0.35">
      <c r="D112" s="95"/>
      <c r="E112" s="95"/>
      <c r="F112" s="230"/>
      <c r="G112" s="237"/>
      <c r="I112" s="14"/>
      <c r="K112" s="6"/>
      <c r="L112" s="2"/>
    </row>
    <row r="113" spans="1:19" s="80" customFormat="1" x14ac:dyDescent="0.35">
      <c r="D113" s="95"/>
      <c r="E113" s="95"/>
      <c r="F113" s="230"/>
      <c r="G113" s="237"/>
      <c r="I113" s="14" t="s">
        <v>214</v>
      </c>
      <c r="K113" s="6"/>
      <c r="L113" s="2">
        <f>SUM(L114:L120)</f>
        <v>1161433436.5280087</v>
      </c>
      <c r="O113" s="2">
        <f>SUM(O114:O120)</f>
        <v>26053346467.090092</v>
      </c>
      <c r="R113" s="2">
        <f>SUM(R114:R120)</f>
        <v>14665472038.086056</v>
      </c>
    </row>
    <row r="114" spans="1:19" s="80" customFormat="1" x14ac:dyDescent="0.35">
      <c r="D114" s="95"/>
      <c r="E114" s="95"/>
      <c r="F114" s="230"/>
      <c r="G114" s="237"/>
      <c r="J114" s="157" t="s">
        <v>211</v>
      </c>
      <c r="K114" s="6"/>
      <c r="L114" s="2">
        <f>SUMIF($J$92:$J$111, J114, $L$92:$L$111)</f>
        <v>164119105.32000577</v>
      </c>
      <c r="M114" s="5" t="s">
        <v>245</v>
      </c>
      <c r="O114" s="2">
        <f>SUMIF(M92:M107,M114,O92:O107)</f>
        <v>986551431.05517638</v>
      </c>
      <c r="P114" s="18" t="s">
        <v>251</v>
      </c>
      <c r="R114">
        <f>SUMIF($P$92:$P$106, P114, $R$92:$R$106)</f>
        <v>2948060727.9020019</v>
      </c>
    </row>
    <row r="115" spans="1:19" s="80" customFormat="1" x14ac:dyDescent="0.35">
      <c r="D115" s="95"/>
      <c r="E115" s="95"/>
      <c r="F115" s="230"/>
      <c r="G115" s="237"/>
      <c r="I115" s="14"/>
      <c r="J115" s="154" t="s">
        <v>212</v>
      </c>
      <c r="K115" s="6"/>
      <c r="L115" s="2">
        <f>SUMIF($J$92:$J$111, J115, $L$92:$L$111)</f>
        <v>1692220471.9170077</v>
      </c>
      <c r="M115" t="s">
        <v>246</v>
      </c>
      <c r="O115" s="2">
        <f t="shared" ref="O115:O119" si="34">SUMIF(M93:M108,M115,O93:O108)</f>
        <v>521066929.34180182</v>
      </c>
      <c r="P115" s="18" t="s">
        <v>210</v>
      </c>
      <c r="R115">
        <f t="shared" ref="R115:R117" si="35">SUMIF($P$92:$P$106, P115, $R$92:$R$106)</f>
        <v>7227971777.0494967</v>
      </c>
    </row>
    <row r="116" spans="1:19" s="80" customFormat="1" x14ac:dyDescent="0.35">
      <c r="D116" s="95"/>
      <c r="E116" s="95"/>
      <c r="F116" s="230"/>
      <c r="G116" s="237"/>
      <c r="I116" s="14"/>
      <c r="J116" s="178" t="s">
        <v>256</v>
      </c>
      <c r="K116" s="6"/>
      <c r="L116" s="2">
        <f>SUMIF($J$92:$J$111, J116, $L$92:$L$111)</f>
        <v>253085361.32852003</v>
      </c>
      <c r="M116" s="5" t="s">
        <v>244</v>
      </c>
      <c r="O116" s="2">
        <f t="shared" si="34"/>
        <v>11369686263.73402</v>
      </c>
      <c r="P116" s="18" t="s">
        <v>252</v>
      </c>
      <c r="R116">
        <f t="shared" si="35"/>
        <v>2244719766.5672789</v>
      </c>
    </row>
    <row r="117" spans="1:19" s="80" customFormat="1" x14ac:dyDescent="0.35">
      <c r="D117" s="95"/>
      <c r="E117" s="95"/>
      <c r="F117" s="230"/>
      <c r="G117" s="237"/>
      <c r="I117" s="14"/>
      <c r="J117" s="156" t="s">
        <v>209</v>
      </c>
      <c r="K117" s="6"/>
      <c r="L117" s="2">
        <f t="shared" ref="L117:L120" si="36">SUMIF($J$92:$J$111, J117, $L$92:$L$111)</f>
        <v>310225411.04049778</v>
      </c>
      <c r="M117" t="s">
        <v>247</v>
      </c>
      <c r="O117" s="2">
        <f t="shared" si="34"/>
        <v>6551540370.9297142</v>
      </c>
      <c r="P117" s="18" t="s">
        <v>253</v>
      </c>
      <c r="R117">
        <f t="shared" si="35"/>
        <v>1526412484.9477665</v>
      </c>
    </row>
    <row r="118" spans="1:19" s="80" customFormat="1" x14ac:dyDescent="0.35">
      <c r="D118" s="95"/>
      <c r="E118" s="95"/>
      <c r="F118" s="230"/>
      <c r="G118" s="237"/>
      <c r="I118" s="14"/>
      <c r="J118" s="159" t="s">
        <v>213</v>
      </c>
      <c r="K118" s="6"/>
      <c r="L118" s="2">
        <f t="shared" si="36"/>
        <v>-1305169529.2052248</v>
      </c>
      <c r="M118" t="s">
        <v>248</v>
      </c>
      <c r="O118" s="2">
        <f t="shared" si="34"/>
        <v>5842901078.016674</v>
      </c>
      <c r="P118" s="18" t="s">
        <v>254</v>
      </c>
      <c r="R118">
        <f>SUMIF($P$92:$P$106, P118, $R$92:$R$106)</f>
        <v>718307281.61951268</v>
      </c>
    </row>
    <row r="119" spans="1:19" s="80" customFormat="1" x14ac:dyDescent="0.35">
      <c r="D119" s="95"/>
      <c r="E119" s="95"/>
      <c r="F119" s="230"/>
      <c r="G119" s="237"/>
      <c r="I119" s="14"/>
      <c r="J119" s="158" t="s">
        <v>104</v>
      </c>
      <c r="K119" s="6"/>
      <c r="L119" s="2">
        <f t="shared" si="36"/>
        <v>30066930.696396306</v>
      </c>
      <c r="M119" t="s">
        <v>250</v>
      </c>
      <c r="O119" s="2">
        <f t="shared" si="34"/>
        <v>781600394.01270258</v>
      </c>
      <c r="R119">
        <f t="shared" ref="R119" si="37">SUMIF(P97:P111, P119, R97:R111)</f>
        <v>0</v>
      </c>
    </row>
    <row r="120" spans="1:19" s="80" customFormat="1" x14ac:dyDescent="0.35">
      <c r="D120" s="95"/>
      <c r="E120" s="95"/>
      <c r="F120" s="230"/>
      <c r="G120" s="237"/>
      <c r="I120" s="14"/>
      <c r="J120" s="258" t="s">
        <v>298</v>
      </c>
      <c r="K120" s="6"/>
      <c r="L120" s="2">
        <f t="shared" si="36"/>
        <v>16885685.430805773</v>
      </c>
      <c r="O120" s="2">
        <f>SUMIF(M98:M113,M120,O98:O113)</f>
        <v>0</v>
      </c>
    </row>
    <row r="121" spans="1:19" s="80" customFormat="1" x14ac:dyDescent="0.35">
      <c r="D121" s="95"/>
      <c r="E121" s="95"/>
      <c r="F121" s="230"/>
      <c r="G121" s="237"/>
      <c r="I121" s="14"/>
      <c r="K121" s="6"/>
    </row>
    <row r="122" spans="1:19" s="93" customFormat="1" ht="26" customHeight="1" x14ac:dyDescent="0.35">
      <c r="A122" s="93" t="s">
        <v>107</v>
      </c>
      <c r="D122" s="94"/>
      <c r="E122" s="94"/>
      <c r="F122" s="176"/>
      <c r="I122" s="96"/>
    </row>
    <row r="123" spans="1:19" ht="16" customHeight="1" x14ac:dyDescent="0.35">
      <c r="C123" s="2">
        <f>C124+C131+C138</f>
        <v>5923879343.844862</v>
      </c>
      <c r="D123" s="2">
        <f>D124+D131+D138</f>
        <v>2.5563215863836266</v>
      </c>
      <c r="E123" s="2"/>
      <c r="F123" s="31"/>
      <c r="I123" s="6"/>
      <c r="L123" s="2">
        <f>SUM(L124+L131+L138)</f>
        <v>1795259275.2696965</v>
      </c>
      <c r="O123" s="2">
        <f>SUM(O124+O131+O138)</f>
        <v>2569024232.2975149</v>
      </c>
      <c r="R123" s="2">
        <f>SUM(R124+R131+R138)</f>
        <v>2003077807.3076503</v>
      </c>
    </row>
    <row r="124" spans="1:19" s="219" customFormat="1" x14ac:dyDescent="0.35">
      <c r="A124" s="219" t="s">
        <v>91</v>
      </c>
      <c r="B124" s="219">
        <v>2380</v>
      </c>
      <c r="C124" s="220">
        <f>B124*F124</f>
        <v>2287865275.0119176</v>
      </c>
      <c r="D124" s="219">
        <f>'[1]GAP analysis Sc. 3'!$J$39</f>
        <v>0.98727861419515794</v>
      </c>
      <c r="E124" s="219">
        <f>'[2]Conversion factors selected IV '!$O$78</f>
        <v>0.97367441860465131</v>
      </c>
      <c r="F124" s="219">
        <f>D124*E124*1000000</f>
        <v>961287.93067727622</v>
      </c>
      <c r="G124" s="219">
        <f>'LCoP 2030 HIGH'!E4</f>
        <v>1896.9094630842587</v>
      </c>
      <c r="H124" s="219">
        <f>G124*F124</f>
        <v>1823476172.4504101</v>
      </c>
      <c r="I124" s="226">
        <f>'LCoP 2030 HIGH'!H4</f>
        <v>0.50340276205467094</v>
      </c>
      <c r="L124" s="219">
        <f>I124*H124</f>
        <v>917942941.7524159</v>
      </c>
      <c r="M124" s="226">
        <f>'LCoP 2030 HIGH'!F4</f>
        <v>0.19821715654718017</v>
      </c>
      <c r="O124" s="219">
        <f>M124*H124</f>
        <v>361444261.93465585</v>
      </c>
      <c r="P124" s="226">
        <f>'LCoP 2030 HIGH'!G4</f>
        <v>0.29838008139814887</v>
      </c>
      <c r="R124" s="219">
        <f>P124*H124</f>
        <v>544088968.76333833</v>
      </c>
      <c r="S124" s="219">
        <f>L124+O124+R124</f>
        <v>1823476172.4504101</v>
      </c>
    </row>
    <row r="125" spans="1:19" x14ac:dyDescent="0.35">
      <c r="D125" s="2"/>
      <c r="E125" s="2"/>
      <c r="G125" s="154" t="s">
        <v>212</v>
      </c>
      <c r="H125" s="2">
        <f>(SUMIF($J$125:$J$128,G125,$L$125:$L$128)/$L$124)</f>
        <v>0.70197315346193834</v>
      </c>
      <c r="I125" s="4" t="s">
        <v>2</v>
      </c>
      <c r="J125" s="154" t="s">
        <v>212</v>
      </c>
      <c r="K125" s="6">
        <f>'Feedstock MIX per IVC'!J9</f>
        <v>499.57299247876324</v>
      </c>
      <c r="L125" s="2">
        <f>K125*F$124</f>
        <v>480233488.16216481</v>
      </c>
      <c r="M125" s="5" t="s">
        <v>245</v>
      </c>
      <c r="N125" s="123">
        <v>0.05</v>
      </c>
      <c r="O125" s="2">
        <f>N125*O$124</f>
        <v>18072213.096732792</v>
      </c>
      <c r="P125" s="18" t="s">
        <v>251</v>
      </c>
      <c r="Q125" s="123">
        <v>0.35</v>
      </c>
      <c r="R125" s="2">
        <f>Q125*R$124</f>
        <v>190431139.06716841</v>
      </c>
    </row>
    <row r="126" spans="1:19" x14ac:dyDescent="0.35">
      <c r="D126" s="2"/>
      <c r="E126" s="2"/>
      <c r="G126" s="158" t="s">
        <v>104</v>
      </c>
      <c r="H126" s="2">
        <f t="shared" ref="H126:H127" si="38">(SUMIF($J$125:$J$128,G126,$L$125:$L$128)/$L$124)</f>
        <v>0.14901342326903089</v>
      </c>
      <c r="I126" s="232" t="s">
        <v>162</v>
      </c>
      <c r="J126" s="154" t="s">
        <v>212</v>
      </c>
      <c r="K126" s="6">
        <f>'Feedstock MIX per IVC'!J10</f>
        <v>170.74781459314019</v>
      </c>
      <c r="L126" s="2">
        <f t="shared" ref="L126:L128" si="39">K126*F$124</f>
        <v>164137813.35790697</v>
      </c>
      <c r="M126" t="s">
        <v>246</v>
      </c>
      <c r="N126" s="123">
        <v>0.02</v>
      </c>
      <c r="O126" s="2">
        <f t="shared" ref="O126:O130" si="40">N126*O$124</f>
        <v>7228885.2386931172</v>
      </c>
      <c r="P126" s="18" t="s">
        <v>210</v>
      </c>
      <c r="Q126" s="123">
        <v>0.25</v>
      </c>
      <c r="R126" s="2">
        <f t="shared" ref="R126:R129" si="41">Q126*R$124</f>
        <v>136022242.19083458</v>
      </c>
    </row>
    <row r="127" spans="1:19" x14ac:dyDescent="0.35">
      <c r="D127" s="2"/>
      <c r="E127" s="2"/>
      <c r="G127" s="258" t="s">
        <v>298</v>
      </c>
      <c r="H127" s="2">
        <f t="shared" si="38"/>
        <v>0.14901342326903089</v>
      </c>
      <c r="I127" s="233" t="s">
        <v>341</v>
      </c>
      <c r="J127" s="158" t="s">
        <v>104</v>
      </c>
      <c r="K127" s="6">
        <f>'Feedstock MIX per IVC'!J11/2</f>
        <v>142.29432800617766</v>
      </c>
      <c r="L127" s="2">
        <f t="shared" si="39"/>
        <v>136785820.11617211</v>
      </c>
      <c r="M127" s="5" t="s">
        <v>244</v>
      </c>
      <c r="N127" s="123">
        <v>0.45</v>
      </c>
      <c r="O127" s="2">
        <f t="shared" si="40"/>
        <v>162649917.87059513</v>
      </c>
      <c r="P127" s="18" t="s">
        <v>252</v>
      </c>
      <c r="Q127" s="123">
        <v>0.2</v>
      </c>
      <c r="R127" s="2">
        <f t="shared" si="41"/>
        <v>108817793.75266767</v>
      </c>
    </row>
    <row r="128" spans="1:19" x14ac:dyDescent="0.35">
      <c r="D128" s="2"/>
      <c r="E128" s="2"/>
      <c r="G128" s="2"/>
      <c r="H128" s="2">
        <f>SUM(H125:H127)</f>
        <v>1</v>
      </c>
      <c r="I128" s="234" t="s">
        <v>342</v>
      </c>
      <c r="J128" s="258" t="s">
        <v>298</v>
      </c>
      <c r="K128" s="6">
        <f>'Feedstock MIX per IVC'!J11/2</f>
        <v>142.29432800617766</v>
      </c>
      <c r="L128" s="2">
        <f t="shared" si="39"/>
        <v>136785820.11617211</v>
      </c>
      <c r="M128" t="s">
        <v>247</v>
      </c>
      <c r="N128" s="123">
        <v>0.15</v>
      </c>
      <c r="O128" s="2">
        <f t="shared" si="40"/>
        <v>54216639.290198378</v>
      </c>
      <c r="P128" s="18" t="s">
        <v>253</v>
      </c>
      <c r="Q128" s="123">
        <v>0.15</v>
      </c>
      <c r="R128" s="2">
        <f t="shared" si="41"/>
        <v>81613345.314500749</v>
      </c>
    </row>
    <row r="129" spans="1:18" x14ac:dyDescent="0.35">
      <c r="D129" s="2"/>
      <c r="E129" s="2"/>
      <c r="G129" s="2"/>
      <c r="L129" s="2"/>
      <c r="M129" t="s">
        <v>248</v>
      </c>
      <c r="N129" s="123">
        <v>0.3</v>
      </c>
      <c r="O129" s="2">
        <f t="shared" si="40"/>
        <v>108433278.58039676</v>
      </c>
      <c r="P129" s="18" t="s">
        <v>254</v>
      </c>
      <c r="Q129" s="123">
        <v>0.05</v>
      </c>
      <c r="R129" s="2">
        <f t="shared" si="41"/>
        <v>27204448.438166916</v>
      </c>
    </row>
    <row r="130" spans="1:18" x14ac:dyDescent="0.35">
      <c r="D130" s="2"/>
      <c r="E130" s="2"/>
      <c r="G130" s="2"/>
      <c r="L130" s="2">
        <f>SUM(L125:L128)</f>
        <v>917942941.7524159</v>
      </c>
      <c r="M130" t="s">
        <v>250</v>
      </c>
      <c r="N130" s="123">
        <v>0.03</v>
      </c>
      <c r="O130" s="2">
        <f t="shared" si="40"/>
        <v>10843327.858039675</v>
      </c>
      <c r="Q130" s="123"/>
    </row>
    <row r="131" spans="1:18" s="219" customFormat="1" x14ac:dyDescent="0.35">
      <c r="A131" s="219" t="s">
        <v>116</v>
      </c>
      <c r="B131" s="219">
        <v>2380</v>
      </c>
      <c r="C131" s="220">
        <f>B131*F131</f>
        <v>0</v>
      </c>
      <c r="D131" s="219">
        <v>0</v>
      </c>
      <c r="E131" s="219">
        <v>0</v>
      </c>
      <c r="F131" s="219">
        <f>D131*E131*1000000</f>
        <v>0</v>
      </c>
      <c r="G131" s="248" t="s">
        <v>393</v>
      </c>
      <c r="L131" s="219">
        <v>0</v>
      </c>
    </row>
    <row r="132" spans="1:18" x14ac:dyDescent="0.35">
      <c r="D132" s="2"/>
      <c r="E132" s="2"/>
      <c r="G132" s="2"/>
      <c r="I132" s="8" t="s">
        <v>17</v>
      </c>
      <c r="J132" s="260" t="s">
        <v>108</v>
      </c>
      <c r="L132" s="2"/>
      <c r="M132" s="5" t="s">
        <v>245</v>
      </c>
      <c r="N132" s="35">
        <v>0</v>
      </c>
      <c r="O132" s="2"/>
      <c r="P132" s="18" t="s">
        <v>251</v>
      </c>
      <c r="Q132" s="35">
        <v>0.2</v>
      </c>
    </row>
    <row r="133" spans="1:18" x14ac:dyDescent="0.35">
      <c r="D133" s="2"/>
      <c r="E133" s="2"/>
      <c r="G133" s="2"/>
      <c r="L133" s="2"/>
      <c r="M133" t="s">
        <v>246</v>
      </c>
      <c r="N133" s="35">
        <v>0.02</v>
      </c>
      <c r="O133" s="2"/>
      <c r="P133" s="18" t="s">
        <v>210</v>
      </c>
      <c r="Q133" s="35">
        <v>0.5</v>
      </c>
    </row>
    <row r="134" spans="1:18" x14ac:dyDescent="0.35">
      <c r="D134" s="2"/>
      <c r="E134" s="2"/>
      <c r="G134" s="2"/>
      <c r="L134" s="2"/>
      <c r="M134" s="5" t="s">
        <v>244</v>
      </c>
      <c r="N134" s="35">
        <v>0.5</v>
      </c>
      <c r="O134" s="2"/>
      <c r="P134" s="18" t="s">
        <v>252</v>
      </c>
      <c r="Q134" s="35">
        <v>0.15</v>
      </c>
    </row>
    <row r="135" spans="1:18" x14ac:dyDescent="0.35">
      <c r="D135" s="2"/>
      <c r="E135" s="2"/>
      <c r="G135" s="2"/>
      <c r="L135" s="2"/>
      <c r="M135" t="s">
        <v>247</v>
      </c>
      <c r="N135" s="35">
        <v>0.15</v>
      </c>
      <c r="O135" s="2"/>
      <c r="P135" s="18" t="s">
        <v>253</v>
      </c>
      <c r="Q135" s="35">
        <v>0.1</v>
      </c>
    </row>
    <row r="136" spans="1:18" x14ac:dyDescent="0.35">
      <c r="D136" s="2"/>
      <c r="E136" s="2"/>
      <c r="G136" s="2"/>
      <c r="L136" s="2"/>
      <c r="M136" t="s">
        <v>248</v>
      </c>
      <c r="N136" s="35">
        <v>0.3</v>
      </c>
      <c r="O136" s="2"/>
      <c r="P136" s="18" t="s">
        <v>254</v>
      </c>
      <c r="Q136" s="35">
        <v>0.05</v>
      </c>
    </row>
    <row r="137" spans="1:18" x14ac:dyDescent="0.35">
      <c r="D137" s="2"/>
      <c r="E137" s="2"/>
      <c r="G137" s="2"/>
      <c r="L137" s="2"/>
      <c r="M137" t="s">
        <v>250</v>
      </c>
      <c r="N137" s="35">
        <v>0.03</v>
      </c>
      <c r="O137" s="2"/>
      <c r="Q137" s="123"/>
    </row>
    <row r="138" spans="1:18" s="219" customFormat="1" x14ac:dyDescent="0.35">
      <c r="A138" s="219" t="s">
        <v>345</v>
      </c>
      <c r="B138" s="219">
        <v>2380</v>
      </c>
      <c r="C138" s="220">
        <f>B138*F138</f>
        <v>3636014068.8329449</v>
      </c>
      <c r="D138" s="219">
        <f>'[1]GAP analysis Sc. 3'!$J$41</f>
        <v>1.5690429721884687</v>
      </c>
      <c r="E138" s="219">
        <f>'[2]Conversion factors selected IV '!$O$76</f>
        <v>0.97367441860465131</v>
      </c>
      <c r="F138" s="219">
        <f>D138*E138*1000000</f>
        <v>1527737.0037113214</v>
      </c>
      <c r="G138" s="219">
        <f>'LCoP 2030 HIGH'!E17</f>
        <v>2974.2587443951556</v>
      </c>
      <c r="H138" s="219">
        <f>G138*F138</f>
        <v>4543885142.4244518</v>
      </c>
      <c r="I138" s="226">
        <f>'LCoP 2030 HIGH'!H17</f>
        <v>0.19307625655545874</v>
      </c>
      <c r="L138" s="219">
        <f>I138*H138</f>
        <v>877316333.51728058</v>
      </c>
      <c r="M138" s="226">
        <f>'LCoP 2030 HIGH'!F17</f>
        <v>0.48583533719890087</v>
      </c>
      <c r="O138" s="219">
        <f>M138*H138</f>
        <v>2207579970.3628592</v>
      </c>
      <c r="P138" s="226">
        <f>'LCoP 2030 HIGH'!G17</f>
        <v>0.32108840624564039</v>
      </c>
      <c r="R138" s="219">
        <f>P138*H138</f>
        <v>1458988838.544312</v>
      </c>
    </row>
    <row r="139" spans="1:18" s="80" customFormat="1" x14ac:dyDescent="0.35">
      <c r="F139" s="230"/>
      <c r="G139" s="159" t="s">
        <v>213</v>
      </c>
      <c r="H139" s="2">
        <f>SUMIF($J$139:$J$148,G139,$L$139:$L$148)/$L$138</f>
        <v>0</v>
      </c>
      <c r="I139" s="5" t="s">
        <v>5</v>
      </c>
      <c r="J139" s="154" t="s">
        <v>212</v>
      </c>
      <c r="K139" s="6">
        <f>'Feedstock MIX per IVC'!J74</f>
        <v>323.98143363226905</v>
      </c>
      <c r="L139" s="2">
        <f>K139*F$138</f>
        <v>494958424.67546105</v>
      </c>
      <c r="M139" s="5" t="s">
        <v>245</v>
      </c>
      <c r="N139" s="35">
        <v>0</v>
      </c>
      <c r="O139" s="2">
        <f>N139*O$138</f>
        <v>0</v>
      </c>
      <c r="P139" s="18" t="s">
        <v>251</v>
      </c>
      <c r="Q139" s="35">
        <v>0.25</v>
      </c>
      <c r="R139" s="2">
        <f>Q139*R$138</f>
        <v>364747209.636078</v>
      </c>
    </row>
    <row r="140" spans="1:18" x14ac:dyDescent="0.35">
      <c r="G140" s="157" t="s">
        <v>211</v>
      </c>
      <c r="H140" s="2">
        <f t="shared" ref="H140:H144" si="42">SUMIF($J$139:$J$148,G140,$L$139:$L$148)/$L$138</f>
        <v>1.4965537291325891E-2</v>
      </c>
      <c r="I140" s="5" t="s">
        <v>6</v>
      </c>
      <c r="J140" s="154" t="s">
        <v>212</v>
      </c>
      <c r="K140" s="6">
        <f>'Feedstock MIX per IVC'!J75</f>
        <v>16.946224660144196</v>
      </c>
      <c r="L140" s="2">
        <f t="shared" ref="L140:L148" si="43">K140*F$138</f>
        <v>25889374.486507598</v>
      </c>
      <c r="M140" t="s">
        <v>246</v>
      </c>
      <c r="N140" s="35">
        <v>0.02</v>
      </c>
      <c r="O140" s="2">
        <f t="shared" ref="O140:O144" si="44">N140*O$138</f>
        <v>44151599.407257184</v>
      </c>
      <c r="P140" s="18" t="s">
        <v>210</v>
      </c>
      <c r="Q140" s="35">
        <v>0.15</v>
      </c>
      <c r="R140" s="2">
        <f t="shared" ref="R140:R143" si="45">Q140*R$138</f>
        <v>218848325.78164679</v>
      </c>
    </row>
    <row r="141" spans="1:18" x14ac:dyDescent="0.35">
      <c r="G141" s="154" t="s">
        <v>212</v>
      </c>
      <c r="H141" s="2">
        <f t="shared" si="42"/>
        <v>0.64182642377464827</v>
      </c>
      <c r="I141" s="5" t="s">
        <v>23</v>
      </c>
      <c r="J141" s="159" t="s">
        <v>213</v>
      </c>
      <c r="K141" s="6">
        <f>'Feedstock MIX per IVC'!J76</f>
        <v>0</v>
      </c>
      <c r="L141" s="2">
        <f t="shared" si="43"/>
        <v>0</v>
      </c>
      <c r="M141" s="5" t="s">
        <v>244</v>
      </c>
      <c r="N141" s="35">
        <v>0.55000000000000004</v>
      </c>
      <c r="O141" s="2">
        <f t="shared" si="44"/>
        <v>1214168983.6995728</v>
      </c>
      <c r="P141" s="18" t="s">
        <v>252</v>
      </c>
      <c r="Q141" s="35">
        <v>0.3</v>
      </c>
      <c r="R141" s="2">
        <f t="shared" si="45"/>
        <v>437696651.56329358</v>
      </c>
    </row>
    <row r="142" spans="1:18" x14ac:dyDescent="0.35">
      <c r="G142" s="178" t="s">
        <v>256</v>
      </c>
      <c r="H142" s="2">
        <f t="shared" si="42"/>
        <v>0.15345231313550278</v>
      </c>
      <c r="I142" s="5" t="s">
        <v>7</v>
      </c>
      <c r="J142" s="157" t="s">
        <v>211</v>
      </c>
      <c r="K142" s="6">
        <f>'Feedstock MIX per IVC'!J77</f>
        <v>8.5940906541156838</v>
      </c>
      <c r="L142" s="2">
        <f t="shared" si="43"/>
        <v>13129510.305542165</v>
      </c>
      <c r="M142" t="s">
        <v>247</v>
      </c>
      <c r="N142" s="35">
        <v>0.1</v>
      </c>
      <c r="O142" s="2">
        <f t="shared" si="44"/>
        <v>220757997.03628594</v>
      </c>
      <c r="P142" s="18" t="s">
        <v>253</v>
      </c>
      <c r="Q142" s="35">
        <v>0.3</v>
      </c>
      <c r="R142" s="2">
        <f t="shared" si="45"/>
        <v>437696651.56329358</v>
      </c>
    </row>
    <row r="143" spans="1:18" s="80" customFormat="1" x14ac:dyDescent="0.35">
      <c r="F143" s="230"/>
      <c r="G143" s="156" t="s">
        <v>209</v>
      </c>
      <c r="H143" s="2">
        <f t="shared" si="42"/>
        <v>0.18809782860488178</v>
      </c>
      <c r="I143" s="5" t="s">
        <v>8</v>
      </c>
      <c r="J143" s="154" t="s">
        <v>212</v>
      </c>
      <c r="K143" s="6">
        <f>'Feedstock MIX per IVC'!J78</f>
        <v>16.238016457978244</v>
      </c>
      <c r="L143" s="2">
        <f t="shared" si="43"/>
        <v>24807418.609726805</v>
      </c>
      <c r="M143" t="s">
        <v>248</v>
      </c>
      <c r="N143" s="35">
        <v>0.3</v>
      </c>
      <c r="O143" s="2">
        <f t="shared" si="44"/>
        <v>662273991.10885775</v>
      </c>
      <c r="P143" s="18" t="s">
        <v>254</v>
      </c>
      <c r="Q143" s="240">
        <v>0</v>
      </c>
      <c r="R143" s="2">
        <f t="shared" si="45"/>
        <v>0</v>
      </c>
    </row>
    <row r="144" spans="1:18" x14ac:dyDescent="0.35">
      <c r="G144" s="158" t="s">
        <v>104</v>
      </c>
      <c r="H144" s="2">
        <f t="shared" si="42"/>
        <v>1.6578971936414544E-3</v>
      </c>
      <c r="I144" s="5" t="s">
        <v>9</v>
      </c>
      <c r="J144" s="154" t="s">
        <v>212</v>
      </c>
      <c r="K144" s="6">
        <f>'Feedstock MIX per IVC'!J79</f>
        <v>11.408761486071064</v>
      </c>
      <c r="L144" s="2">
        <f t="shared" si="43"/>
        <v>17429587.088787332</v>
      </c>
      <c r="M144" t="s">
        <v>250</v>
      </c>
      <c r="N144" s="35">
        <v>0.03</v>
      </c>
      <c r="O144" s="2">
        <f t="shared" si="44"/>
        <v>66227399.110885777</v>
      </c>
    </row>
    <row r="145" spans="1:18" x14ac:dyDescent="0.35">
      <c r="H145" s="2">
        <f>SUM(H139:H144)</f>
        <v>1.0000000000000002</v>
      </c>
      <c r="I145" s="5" t="s">
        <v>10</v>
      </c>
      <c r="J145" s="178" t="s">
        <v>256</v>
      </c>
      <c r="K145" s="6">
        <f>'Feedstock MIX per IVC'!J80</f>
        <v>88.121332665726072</v>
      </c>
      <c r="L145" s="2">
        <f t="shared" si="43"/>
        <v>134626220.72978494</v>
      </c>
      <c r="N145" s="35"/>
    </row>
    <row r="146" spans="1:18" x14ac:dyDescent="0.35">
      <c r="I146" s="5" t="s">
        <v>11</v>
      </c>
      <c r="J146" s="156" t="s">
        <v>209</v>
      </c>
      <c r="K146" s="6">
        <f>'Feedstock MIX per IVC'!J81</f>
        <v>108.0168228780946</v>
      </c>
      <c r="L146" s="2">
        <f t="shared" si="43"/>
        <v>165021297.33419675</v>
      </c>
    </row>
    <row r="147" spans="1:18" x14ac:dyDescent="0.35">
      <c r="I147" s="5" t="s">
        <v>12</v>
      </c>
      <c r="J147" s="159" t="s">
        <v>213</v>
      </c>
      <c r="K147" s="6">
        <f>'Feedstock MIX per IVC'!J82</f>
        <v>0</v>
      </c>
      <c r="L147" s="2">
        <f t="shared" si="43"/>
        <v>0</v>
      </c>
    </row>
    <row r="148" spans="1:18" x14ac:dyDescent="0.35">
      <c r="H148" t="s">
        <v>125</v>
      </c>
      <c r="I148" s="13" t="s">
        <v>33</v>
      </c>
      <c r="J148" s="158" t="s">
        <v>104</v>
      </c>
      <c r="K148" s="6">
        <f>'Feedstock MIX per IVC'!J83</f>
        <v>0.95206196075679372</v>
      </c>
      <c r="L148" s="2">
        <f t="shared" si="43"/>
        <v>1454500.2872741097</v>
      </c>
    </row>
    <row r="149" spans="1:18" x14ac:dyDescent="0.35">
      <c r="A149" s="80"/>
      <c r="B149" s="80"/>
      <c r="C149" s="80"/>
      <c r="D149" s="92"/>
      <c r="E149" s="92"/>
      <c r="F149" s="230"/>
      <c r="G149" s="101"/>
      <c r="L149" s="2">
        <f>SUM(L139:L148)</f>
        <v>877316333.51728082</v>
      </c>
    </row>
    <row r="150" spans="1:18" x14ac:dyDescent="0.35">
      <c r="A150" s="80"/>
      <c r="B150" s="80"/>
      <c r="C150" s="80"/>
      <c r="D150" s="92"/>
      <c r="E150" s="92"/>
      <c r="F150" s="230"/>
      <c r="G150" s="230"/>
      <c r="L150" s="2"/>
    </row>
    <row r="151" spans="1:18" x14ac:dyDescent="0.35">
      <c r="A151" s="80"/>
      <c r="B151" s="80"/>
      <c r="C151" s="80"/>
      <c r="D151" s="92"/>
      <c r="E151" s="92"/>
      <c r="F151" s="230"/>
      <c r="G151" s="230"/>
      <c r="I151" s="21" t="s">
        <v>214</v>
      </c>
      <c r="L151" s="92">
        <f>SUM(L152:L160)</f>
        <v>1795259275.269697</v>
      </c>
      <c r="O151" s="230">
        <f>SUM(O152:O157)</f>
        <v>2569024232.2975159</v>
      </c>
      <c r="P151" s="230"/>
      <c r="Q151" s="230"/>
      <c r="R151" s="230">
        <f>SUM(R152:R157)</f>
        <v>2003077807.3076501</v>
      </c>
    </row>
    <row r="152" spans="1:18" x14ac:dyDescent="0.35">
      <c r="A152" s="80"/>
      <c r="B152" s="80"/>
      <c r="C152" s="80"/>
      <c r="D152" s="92"/>
      <c r="E152" s="92"/>
      <c r="F152" s="230"/>
      <c r="G152" s="230"/>
      <c r="J152" s="159" t="s">
        <v>213</v>
      </c>
      <c r="L152" s="2">
        <f t="shared" ref="L152:L160" si="46">SUMIF($J$125:$J$149, J152, $L$125:$L$149)</f>
        <v>0</v>
      </c>
      <c r="M152" s="5" t="s">
        <v>245</v>
      </c>
      <c r="O152">
        <f t="shared" ref="O152:O157" si="47">SUMIF($M$125:$M$149, M152, $O$125:$O$149)</f>
        <v>18072213.096732792</v>
      </c>
      <c r="P152" s="18" t="s">
        <v>251</v>
      </c>
      <c r="R152">
        <f>SUMIF($P$125:$P$149, P152, $R$125:$R$149)</f>
        <v>555178348.70324636</v>
      </c>
    </row>
    <row r="153" spans="1:18" x14ac:dyDescent="0.35">
      <c r="A153" s="80"/>
      <c r="B153" s="80"/>
      <c r="C153" s="80"/>
      <c r="D153" s="92"/>
      <c r="E153" s="92"/>
      <c r="F153" s="230"/>
      <c r="G153" s="230"/>
      <c r="J153" s="157" t="s">
        <v>211</v>
      </c>
      <c r="L153" s="2">
        <f t="shared" si="46"/>
        <v>13129510.305542165</v>
      </c>
      <c r="M153" t="s">
        <v>246</v>
      </c>
      <c r="O153">
        <f t="shared" si="47"/>
        <v>51380484.645950302</v>
      </c>
      <c r="P153" s="18" t="s">
        <v>210</v>
      </c>
      <c r="R153">
        <f>SUMIF($P$125:$P$149, P153, $R$125:$R$149)</f>
        <v>354870567.97248137</v>
      </c>
    </row>
    <row r="154" spans="1:18" x14ac:dyDescent="0.35">
      <c r="A154" s="80"/>
      <c r="B154" s="80"/>
      <c r="C154" s="80"/>
      <c r="D154" s="92"/>
      <c r="E154" s="92"/>
      <c r="F154" s="230"/>
      <c r="G154" s="230"/>
      <c r="J154" s="154" t="s">
        <v>212</v>
      </c>
      <c r="L154" s="2">
        <f t="shared" si="46"/>
        <v>1207456106.3805547</v>
      </c>
      <c r="M154" s="5" t="s">
        <v>244</v>
      </c>
      <c r="O154">
        <f t="shared" si="47"/>
        <v>1376818901.570168</v>
      </c>
      <c r="P154" s="18" t="s">
        <v>252</v>
      </c>
      <c r="R154">
        <f>SUMIF($P$125:$P$149, P154, $R$125:$R$149)</f>
        <v>546514445.31596124</v>
      </c>
    </row>
    <row r="155" spans="1:18" x14ac:dyDescent="0.35">
      <c r="A155" s="80"/>
      <c r="B155" s="80"/>
      <c r="C155" s="80"/>
      <c r="D155" s="92"/>
      <c r="E155" s="92"/>
      <c r="F155" s="230"/>
      <c r="G155" s="230"/>
      <c r="J155" s="178" t="s">
        <v>256</v>
      </c>
      <c r="L155" s="2">
        <f t="shared" si="46"/>
        <v>134626220.72978494</v>
      </c>
      <c r="M155" t="s">
        <v>247</v>
      </c>
      <c r="O155">
        <f t="shared" si="47"/>
        <v>274974636.32648432</v>
      </c>
      <c r="P155" s="18" t="s">
        <v>253</v>
      </c>
      <c r="R155">
        <f>SUMIF($P$125:$P$149, P155, $R$125:$R$149)</f>
        <v>519309996.87779433</v>
      </c>
    </row>
    <row r="156" spans="1:18" x14ac:dyDescent="0.35">
      <c r="A156" s="80"/>
      <c r="B156" s="80"/>
      <c r="C156" s="80"/>
      <c r="D156" s="92"/>
      <c r="E156" s="92"/>
      <c r="F156" s="230"/>
      <c r="G156" s="230"/>
      <c r="J156" s="156" t="s">
        <v>209</v>
      </c>
      <c r="L156" s="2">
        <f t="shared" si="46"/>
        <v>165021297.33419675</v>
      </c>
      <c r="M156" t="s">
        <v>248</v>
      </c>
      <c r="O156">
        <f t="shared" si="47"/>
        <v>770707269.68925452</v>
      </c>
      <c r="P156" s="18" t="s">
        <v>254</v>
      </c>
      <c r="R156">
        <f>SUMIF($P$125:$P$149, P156, $R$125:$R$149)</f>
        <v>27204448.438166916</v>
      </c>
    </row>
    <row r="157" spans="1:18" x14ac:dyDescent="0.35">
      <c r="A157" s="80"/>
      <c r="B157" s="80"/>
      <c r="C157" s="80"/>
      <c r="D157" s="92"/>
      <c r="E157" s="92"/>
      <c r="F157" s="230"/>
      <c r="G157" s="230"/>
      <c r="J157" s="159" t="s">
        <v>213</v>
      </c>
      <c r="L157" s="2">
        <f t="shared" si="46"/>
        <v>0</v>
      </c>
      <c r="M157" t="s">
        <v>250</v>
      </c>
      <c r="O157">
        <f t="shared" si="47"/>
        <v>77070726.968925446</v>
      </c>
    </row>
    <row r="158" spans="1:18" x14ac:dyDescent="0.35">
      <c r="A158" s="80"/>
      <c r="B158" s="80"/>
      <c r="C158" s="80"/>
      <c r="D158" s="92"/>
      <c r="E158" s="92"/>
      <c r="F158" s="230"/>
      <c r="G158" s="230"/>
      <c r="J158" s="158" t="s">
        <v>104</v>
      </c>
      <c r="L158" s="2">
        <f t="shared" si="46"/>
        <v>138240320.40344623</v>
      </c>
    </row>
    <row r="159" spans="1:18" x14ac:dyDescent="0.35">
      <c r="A159" s="80"/>
      <c r="B159" s="80"/>
      <c r="C159" s="80"/>
      <c r="D159" s="92"/>
      <c r="E159" s="92"/>
      <c r="F159" s="230"/>
      <c r="G159" s="230"/>
      <c r="J159" s="258" t="s">
        <v>298</v>
      </c>
      <c r="L159" s="2">
        <f t="shared" si="46"/>
        <v>136785820.11617211</v>
      </c>
    </row>
    <row r="160" spans="1:18" x14ac:dyDescent="0.35">
      <c r="A160" s="80"/>
      <c r="B160" s="80"/>
      <c r="C160" s="80"/>
      <c r="D160" s="92"/>
      <c r="E160" s="92"/>
      <c r="F160" s="230"/>
      <c r="G160" s="230"/>
      <c r="J160" s="260" t="s">
        <v>108</v>
      </c>
      <c r="L160" s="2">
        <f t="shared" si="46"/>
        <v>0</v>
      </c>
    </row>
    <row r="161" spans="1:18" x14ac:dyDescent="0.35">
      <c r="A161" s="80"/>
      <c r="B161" s="80"/>
      <c r="C161" s="80"/>
      <c r="D161" s="92"/>
      <c r="E161" s="92"/>
      <c r="F161" s="230"/>
      <c r="G161" s="230"/>
    </row>
    <row r="162" spans="1:18" s="93" customFormat="1" ht="34" customHeight="1" x14ac:dyDescent="0.35">
      <c r="A162" s="93" t="s">
        <v>108</v>
      </c>
      <c r="F162" s="176"/>
    </row>
    <row r="163" spans="1:18" ht="19" customHeight="1" x14ac:dyDescent="0.35">
      <c r="B163" s="2"/>
      <c r="C163" s="2">
        <f>C164+C175+C182</f>
        <v>28167889628.14378</v>
      </c>
      <c r="D163" s="2">
        <f>D164+D175+D182</f>
        <v>15.434743520863686</v>
      </c>
      <c r="E163" s="2"/>
      <c r="F163" s="31"/>
      <c r="L163" s="92">
        <f>L164+L175+L182</f>
        <v>4866892418.7047119</v>
      </c>
      <c r="O163" s="92">
        <f>O164+O175+O182</f>
        <v>9324258638.7427464</v>
      </c>
      <c r="R163" s="92">
        <f>R164+R175+R182</f>
        <v>7159052954.1707306</v>
      </c>
    </row>
    <row r="164" spans="1:18" s="219" customFormat="1" x14ac:dyDescent="0.35">
      <c r="A164" s="219" t="s">
        <v>350</v>
      </c>
      <c r="B164" s="219">
        <v>935</v>
      </c>
      <c r="C164" s="220">
        <f>B164*F164</f>
        <v>25257764148.041439</v>
      </c>
      <c r="D164" s="219">
        <f>'[1]GAP analysis Sc. 3'!$J$43</f>
        <v>12.904199625122519</v>
      </c>
      <c r="E164" s="219">
        <f>'[2]Conversion factors selected IV '!$O$49</f>
        <v>2.0934000000000004</v>
      </c>
      <c r="F164" s="219">
        <f>D164*E164*1000000</f>
        <v>27013651.495231487</v>
      </c>
      <c r="G164" s="219">
        <f>'LCoP 2030 HIGH'!E11</f>
        <v>587.71547294709171</v>
      </c>
      <c r="H164" s="219">
        <f>G164*F164</f>
        <v>15876340964.547884</v>
      </c>
      <c r="I164" s="226">
        <f>'LCoP 2030 HIGH'!H11</f>
        <v>0.20539781323395415</v>
      </c>
      <c r="L164" s="219">
        <f>I164*H164</f>
        <v>3260965716.2747817</v>
      </c>
      <c r="M164" s="226">
        <f>'LCoP 2030 HIGH'!F11</f>
        <v>0.47812251494916258</v>
      </c>
      <c r="O164" s="219">
        <f>M164*H164</f>
        <v>7590836070.1600475</v>
      </c>
      <c r="P164" s="226">
        <f>'LCoP 2030 HIGH'!G11</f>
        <v>0.31647967181688341</v>
      </c>
      <c r="R164" s="219">
        <f>P164*H164</f>
        <v>5024539178.1130562</v>
      </c>
    </row>
    <row r="165" spans="1:18" x14ac:dyDescent="0.35">
      <c r="D165" s="2"/>
      <c r="E165" s="2"/>
      <c r="G165" s="159" t="s">
        <v>213</v>
      </c>
      <c r="H165" s="2">
        <f>SUMIF($J$165:$J$174,G165,$L$165:$L$174)/$L$164</f>
        <v>0</v>
      </c>
      <c r="I165" s="5" t="s">
        <v>5</v>
      </c>
      <c r="J165" s="154" t="s">
        <v>212</v>
      </c>
      <c r="K165" s="6">
        <f>'Feedstock MIX per IVC'!J35</f>
        <v>66.067553565058759</v>
      </c>
      <c r="L165" s="2">
        <f>K165*F$164</f>
        <v>1784725867.1490359</v>
      </c>
      <c r="M165" s="5" t="s">
        <v>245</v>
      </c>
      <c r="N165" s="35">
        <v>0</v>
      </c>
      <c r="O165" s="2">
        <f>N165*O$164</f>
        <v>0</v>
      </c>
      <c r="P165" s="18" t="s">
        <v>251</v>
      </c>
      <c r="Q165" s="35">
        <v>0.25</v>
      </c>
      <c r="R165" s="2">
        <f>Q165*R$164</f>
        <v>1256134794.528264</v>
      </c>
    </row>
    <row r="166" spans="1:18" x14ac:dyDescent="0.35">
      <c r="D166" s="2"/>
      <c r="E166" s="2"/>
      <c r="G166" s="157" t="s">
        <v>211</v>
      </c>
      <c r="H166" s="2">
        <f t="shared" ref="H166:H170" si="48">SUMIF($J$165:$J$174,G166,$L$165:$L$174)/$L$164</f>
        <v>1.4517943198727606E-2</v>
      </c>
      <c r="I166" s="5" t="s">
        <v>6</v>
      </c>
      <c r="J166" s="154" t="s">
        <v>212</v>
      </c>
      <c r="K166" s="6">
        <f>'Feedstock MIX per IVC'!J36</f>
        <v>3.4557400185171687</v>
      </c>
      <c r="L166" s="2">
        <f t="shared" ref="L166:L174" si="49">K166*F$164</f>
        <v>93352156.518347606</v>
      </c>
      <c r="M166" t="s">
        <v>246</v>
      </c>
      <c r="N166" s="35">
        <v>0.02</v>
      </c>
      <c r="O166" s="2">
        <f t="shared" ref="O166:O170" si="50">N166*O$164</f>
        <v>151816721.40320095</v>
      </c>
      <c r="P166" s="18" t="s">
        <v>210</v>
      </c>
      <c r="Q166" s="35">
        <v>0.15</v>
      </c>
      <c r="R166" s="2">
        <f t="shared" ref="R166:R169" si="51">Q166*R$164</f>
        <v>753680876.7169584</v>
      </c>
    </row>
    <row r="167" spans="1:18" x14ac:dyDescent="0.35">
      <c r="D167" s="2"/>
      <c r="E167" s="2"/>
      <c r="G167" s="154" t="s">
        <v>212</v>
      </c>
      <c r="H167" s="2">
        <f t="shared" si="48"/>
        <v>0.62263047309391151</v>
      </c>
      <c r="I167" s="5" t="s">
        <v>23</v>
      </c>
      <c r="J167" s="159" t="s">
        <v>213</v>
      </c>
      <c r="K167" s="6">
        <f>'Feedstock MIX per IVC'!J37</f>
        <v>0</v>
      </c>
      <c r="L167" s="2">
        <f t="shared" si="49"/>
        <v>0</v>
      </c>
      <c r="M167" s="5" t="s">
        <v>244</v>
      </c>
      <c r="N167" s="35">
        <v>0.55000000000000004</v>
      </c>
      <c r="O167" s="2">
        <f t="shared" si="50"/>
        <v>4174959838.5880265</v>
      </c>
      <c r="P167" s="18" t="s">
        <v>252</v>
      </c>
      <c r="Q167" s="35">
        <v>0.3</v>
      </c>
      <c r="R167" s="2">
        <f t="shared" si="51"/>
        <v>1507361753.4339168</v>
      </c>
    </row>
    <row r="168" spans="1:18" x14ac:dyDescent="0.35">
      <c r="D168" s="2"/>
      <c r="E168" s="2"/>
      <c r="G168" s="178" t="s">
        <v>256</v>
      </c>
      <c r="H168" s="2">
        <f t="shared" si="48"/>
        <v>0.14886281210269964</v>
      </c>
      <c r="I168" s="5" t="s">
        <v>7</v>
      </c>
      <c r="J168" s="157" t="s">
        <v>211</v>
      </c>
      <c r="K168" s="6">
        <f>'Feedstock MIX per IVC'!J38</f>
        <v>1.7525403794534171</v>
      </c>
      <c r="L168" s="2">
        <f t="shared" si="49"/>
        <v>47342515.041875362</v>
      </c>
      <c r="M168" t="s">
        <v>247</v>
      </c>
      <c r="N168" s="35">
        <v>0.1</v>
      </c>
      <c r="O168" s="2">
        <f t="shared" si="50"/>
        <v>759083607.0160048</v>
      </c>
      <c r="P168" s="18" t="s">
        <v>253</v>
      </c>
      <c r="Q168" s="35">
        <v>0.3</v>
      </c>
      <c r="R168" s="2">
        <f t="shared" si="51"/>
        <v>1507361753.4339168</v>
      </c>
    </row>
    <row r="169" spans="1:18" x14ac:dyDescent="0.35">
      <c r="D169" s="2"/>
      <c r="E169" s="2"/>
      <c r="G169" s="156" t="s">
        <v>209</v>
      </c>
      <c r="H169" s="2">
        <f t="shared" si="48"/>
        <v>0.18247213837571047</v>
      </c>
      <c r="I169" s="5" t="s">
        <v>8</v>
      </c>
      <c r="J169" s="154" t="s">
        <v>212</v>
      </c>
      <c r="K169" s="6">
        <f>'Feedstock MIX per IVC'!J39</f>
        <v>3.3113194484640065</v>
      </c>
      <c r="L169" s="2">
        <f t="shared" si="49"/>
        <v>89450829.570188805</v>
      </c>
      <c r="M169" t="s">
        <v>248</v>
      </c>
      <c r="N169" s="35">
        <v>0.3</v>
      </c>
      <c r="O169" s="2">
        <f t="shared" si="50"/>
        <v>2277250821.0480142</v>
      </c>
      <c r="P169" s="18" t="s">
        <v>254</v>
      </c>
      <c r="Q169" s="240">
        <v>0</v>
      </c>
      <c r="R169" s="2">
        <f t="shared" si="51"/>
        <v>0</v>
      </c>
    </row>
    <row r="170" spans="1:18" x14ac:dyDescent="0.35">
      <c r="D170" s="2"/>
      <c r="E170" s="2"/>
      <c r="G170" s="158" t="s">
        <v>104</v>
      </c>
      <c r="H170" s="2">
        <f t="shared" si="48"/>
        <v>3.151663322895068E-2</v>
      </c>
      <c r="I170" s="5" t="s">
        <v>9</v>
      </c>
      <c r="J170" s="154" t="s">
        <v>212</v>
      </c>
      <c r="K170" s="6">
        <f>'Feedstock MIX per IVC'!J40</f>
        <v>2.3265189987630972</v>
      </c>
      <c r="L170" s="2">
        <f t="shared" si="49"/>
        <v>62847773.429621205</v>
      </c>
      <c r="M170" t="s">
        <v>250</v>
      </c>
      <c r="N170" s="35">
        <v>0.03</v>
      </c>
      <c r="O170" s="2">
        <f t="shared" si="50"/>
        <v>227725082.10480142</v>
      </c>
    </row>
    <row r="171" spans="1:18" x14ac:dyDescent="0.35">
      <c r="D171" s="2"/>
      <c r="E171" s="2"/>
      <c r="G171" s="2"/>
      <c r="H171" s="2">
        <f>SUM(H165:H170)</f>
        <v>0.99999999999999978</v>
      </c>
      <c r="I171" s="5" t="s">
        <v>10</v>
      </c>
      <c r="J171" s="178" t="s">
        <v>256</v>
      </c>
      <c r="K171" s="6">
        <f>'Feedstock MIX per IVC'!J41</f>
        <v>17.970044767211444</v>
      </c>
      <c r="L171" s="2">
        <f t="shared" si="49"/>
        <v>485436526.69515818</v>
      </c>
      <c r="M171" s="2"/>
    </row>
    <row r="172" spans="1:18" x14ac:dyDescent="0.35">
      <c r="D172" s="2"/>
      <c r="E172" s="2"/>
      <c r="G172" s="2"/>
      <c r="I172" s="5" t="s">
        <v>11</v>
      </c>
      <c r="J172" s="156" t="s">
        <v>209</v>
      </c>
      <c r="K172" s="6">
        <f>'Feedstock MIX per IVC'!J42</f>
        <v>22.027210483691064</v>
      </c>
      <c r="L172" s="2">
        <f t="shared" si="49"/>
        <v>595035387.41853976</v>
      </c>
    </row>
    <row r="173" spans="1:18" s="31" customFormat="1" x14ac:dyDescent="0.35">
      <c r="I173" s="5" t="s">
        <v>12</v>
      </c>
      <c r="J173" s="159" t="s">
        <v>213</v>
      </c>
      <c r="K173" s="6">
        <f>'Feedstock MIX per IVC'!J43</f>
        <v>0</v>
      </c>
      <c r="L173" s="2">
        <f t="shared" si="49"/>
        <v>0</v>
      </c>
    </row>
    <row r="174" spans="1:18" x14ac:dyDescent="0.35">
      <c r="D174" s="2"/>
      <c r="E174" s="2"/>
      <c r="I174" s="13" t="s">
        <v>26</v>
      </c>
      <c r="J174" s="158" t="s">
        <v>104</v>
      </c>
      <c r="K174" s="6">
        <f>'Feedstock MIX per IVC'!J44</f>
        <v>3.8045452859328091</v>
      </c>
      <c r="L174" s="2">
        <f t="shared" si="49"/>
        <v>102774660.45201473</v>
      </c>
      <c r="M174" s="2"/>
    </row>
    <row r="175" spans="1:18" s="219" customFormat="1" x14ac:dyDescent="0.35">
      <c r="A175" s="219" t="s">
        <v>28</v>
      </c>
      <c r="D175" s="219">
        <f>'[1]GAP analysis Sc. 3'!$J$44</f>
        <v>0</v>
      </c>
      <c r="E175" s="219">
        <f>'[2]Conversion factors selected IV '!$O$49</f>
        <v>2.0934000000000004</v>
      </c>
      <c r="F175" s="219">
        <f>D175*E175*1000000</f>
        <v>0</v>
      </c>
      <c r="G175" s="219">
        <f>'LCoP 2030 HIGH'!E12</f>
        <v>936</v>
      </c>
      <c r="H175" s="219">
        <f>G175*F175</f>
        <v>0</v>
      </c>
      <c r="I175" s="226">
        <f>'LCoP 2030 HIGH'!H12</f>
        <v>0.75641025641025639</v>
      </c>
      <c r="L175" s="219">
        <f>I175*H175</f>
        <v>0</v>
      </c>
      <c r="M175" s="226">
        <f>'LCoP 2030 HIGH'!F12</f>
        <v>0.14529914529914531</v>
      </c>
      <c r="O175" s="219">
        <f>M175*H175</f>
        <v>0</v>
      </c>
      <c r="P175" s="226">
        <f>'LCoP 2030 HIGH'!G12</f>
        <v>9.8290598290598288E-2</v>
      </c>
      <c r="R175" s="219">
        <f>P175*H175</f>
        <v>0</v>
      </c>
    </row>
    <row r="176" spans="1:18" x14ac:dyDescent="0.35">
      <c r="I176" s="13" t="s">
        <v>29</v>
      </c>
      <c r="J176" s="207" t="s">
        <v>106</v>
      </c>
      <c r="L176" s="2">
        <f>L175</f>
        <v>0</v>
      </c>
      <c r="M176" s="5" t="s">
        <v>245</v>
      </c>
      <c r="N176" s="35">
        <v>0</v>
      </c>
      <c r="O176" s="2">
        <f>N176*O$175</f>
        <v>0</v>
      </c>
      <c r="P176" s="18" t="s">
        <v>251</v>
      </c>
      <c r="Q176" s="35">
        <v>0.25</v>
      </c>
      <c r="R176" s="2">
        <f>Q176*R$175</f>
        <v>0</v>
      </c>
    </row>
    <row r="177" spans="1:19" x14ac:dyDescent="0.35">
      <c r="M177" t="s">
        <v>246</v>
      </c>
      <c r="N177" s="35">
        <v>0.02</v>
      </c>
      <c r="O177" s="2">
        <f t="shared" ref="O177:O181" si="52">N177*O$175</f>
        <v>0</v>
      </c>
      <c r="P177" s="18" t="s">
        <v>210</v>
      </c>
      <c r="Q177" s="35">
        <v>0.15</v>
      </c>
      <c r="R177" s="2">
        <f t="shared" ref="R177:R180" si="53">Q177*R$175</f>
        <v>0</v>
      </c>
    </row>
    <row r="178" spans="1:19" x14ac:dyDescent="0.35">
      <c r="M178" s="5" t="s">
        <v>244</v>
      </c>
      <c r="N178" s="35">
        <v>0.55000000000000004</v>
      </c>
      <c r="O178" s="2">
        <f t="shared" si="52"/>
        <v>0</v>
      </c>
      <c r="P178" s="18" t="s">
        <v>252</v>
      </c>
      <c r="Q178" s="35">
        <v>0.3</v>
      </c>
      <c r="R178" s="2">
        <f t="shared" si="53"/>
        <v>0</v>
      </c>
    </row>
    <row r="179" spans="1:19" x14ac:dyDescent="0.35">
      <c r="M179" t="s">
        <v>247</v>
      </c>
      <c r="N179" s="35">
        <v>0.1</v>
      </c>
      <c r="O179" s="2">
        <f t="shared" si="52"/>
        <v>0</v>
      </c>
      <c r="P179" s="18" t="s">
        <v>253</v>
      </c>
      <c r="Q179" s="35">
        <v>0.3</v>
      </c>
      <c r="R179" s="2">
        <f t="shared" si="53"/>
        <v>0</v>
      </c>
    </row>
    <row r="180" spans="1:19" x14ac:dyDescent="0.35">
      <c r="M180" t="s">
        <v>248</v>
      </c>
      <c r="N180" s="35">
        <v>0.3</v>
      </c>
      <c r="O180" s="2">
        <f t="shared" si="52"/>
        <v>0</v>
      </c>
      <c r="P180" s="18" t="s">
        <v>254</v>
      </c>
      <c r="Q180" s="240">
        <v>0</v>
      </c>
      <c r="R180" s="2">
        <f t="shared" si="53"/>
        <v>0</v>
      </c>
    </row>
    <row r="181" spans="1:19" x14ac:dyDescent="0.35">
      <c r="M181" t="s">
        <v>250</v>
      </c>
      <c r="N181" s="35">
        <v>0.03</v>
      </c>
      <c r="O181" s="2">
        <f t="shared" si="52"/>
        <v>0</v>
      </c>
    </row>
    <row r="182" spans="1:19" s="219" customFormat="1" x14ac:dyDescent="0.35">
      <c r="A182" s="218" t="s">
        <v>336</v>
      </c>
      <c r="B182" s="219">
        <v>1150</v>
      </c>
      <c r="C182" s="220">
        <f>B182*F182</f>
        <v>2910125480.1023421</v>
      </c>
      <c r="D182" s="225">
        <f>'[1]GAP analysis Sc. 3'!$J$45</f>
        <v>2.5305438957411668</v>
      </c>
      <c r="E182" s="225">
        <f>'[2]Conversion factors selected IV '!$O$125</f>
        <v>1</v>
      </c>
      <c r="F182" s="219">
        <f>D182*E182*1000000</f>
        <v>2530543.895741167</v>
      </c>
      <c r="G182" s="225">
        <f>'LCoP 2030 HIGH'!E23</f>
        <v>2163.1172082344269</v>
      </c>
      <c r="H182" s="220">
        <f>G182*F182</f>
        <v>5473863047.0703039</v>
      </c>
      <c r="I182" s="223">
        <f>'LCoP 2030 HIGH'!H23</f>
        <v>0.29338086989396761</v>
      </c>
      <c r="J182" s="218"/>
      <c r="K182" s="218"/>
      <c r="L182" s="219">
        <f>I182*H182</f>
        <v>1605926702.42993</v>
      </c>
      <c r="M182" s="223">
        <f>'LCoP 2030 HIGH'!F23</f>
        <v>0.31667262291307308</v>
      </c>
      <c r="N182" s="218"/>
      <c r="O182" s="219">
        <f>M182*H182</f>
        <v>1733422568.5826995</v>
      </c>
      <c r="P182" s="236">
        <f>'LCoP 2030 HIGH'!G23</f>
        <v>0.38994650719295931</v>
      </c>
      <c r="Q182" s="218"/>
      <c r="R182" s="219">
        <f>P182*H182</f>
        <v>2134513776.0576744</v>
      </c>
      <c r="S182" s="220">
        <f>R182+O182+L182</f>
        <v>5473863047.0703039</v>
      </c>
    </row>
    <row r="183" spans="1:19" x14ac:dyDescent="0.35">
      <c r="D183" s="6"/>
      <c r="E183" s="6"/>
      <c r="F183" s="31"/>
      <c r="G183" s="159" t="s">
        <v>213</v>
      </c>
      <c r="H183" s="2">
        <f>SUMIF($J$183:$J$190,G183,$L$183:$L$190)/$L$182</f>
        <v>0</v>
      </c>
      <c r="I183" s="5" t="s">
        <v>5</v>
      </c>
      <c r="J183" s="154" t="s">
        <v>212</v>
      </c>
      <c r="K183" s="6">
        <f>'Feedstock MIX per IVC'!J116</f>
        <v>352.14667333355487</v>
      </c>
      <c r="L183" s="2">
        <f>K183*F$182</f>
        <v>891122614.60978603</v>
      </c>
      <c r="M183" s="5" t="s">
        <v>245</v>
      </c>
      <c r="N183" s="174">
        <v>0.15</v>
      </c>
      <c r="O183" s="2">
        <f>N183*O$182</f>
        <v>260013385.28740492</v>
      </c>
      <c r="P183" s="18" t="s">
        <v>251</v>
      </c>
      <c r="Q183" s="123">
        <v>0.15</v>
      </c>
      <c r="R183" s="2">
        <f>Q183*R$182</f>
        <v>320177066.40865117</v>
      </c>
    </row>
    <row r="184" spans="1:19" x14ac:dyDescent="0.35">
      <c r="D184" s="6"/>
      <c r="E184" s="6"/>
      <c r="F184" s="31"/>
      <c r="G184" s="157" t="s">
        <v>211</v>
      </c>
      <c r="H184" s="2">
        <f>SUMIF($J$183:$J$190,G184,$L$183:$L$190)/$L$182</f>
        <v>1.471944901037182E-2</v>
      </c>
      <c r="I184" s="5" t="s">
        <v>6</v>
      </c>
      <c r="J184" s="154" t="s">
        <v>212</v>
      </c>
      <c r="K184" s="6">
        <f>'Feedstock MIX per IVC'!J117</f>
        <v>18.419440190533358</v>
      </c>
      <c r="L184" s="2">
        <f>K184*F$182</f>
        <v>46611201.937123708</v>
      </c>
      <c r="M184" t="s">
        <v>246</v>
      </c>
      <c r="N184" s="35">
        <v>0.02</v>
      </c>
      <c r="O184" s="2">
        <f>N184*O$182</f>
        <v>34668451.371653989</v>
      </c>
      <c r="P184" s="18" t="s">
        <v>210</v>
      </c>
      <c r="Q184" s="123">
        <v>0.25</v>
      </c>
      <c r="R184" s="2">
        <f>Q184*R$182</f>
        <v>533628444.0144186</v>
      </c>
    </row>
    <row r="185" spans="1:19" x14ac:dyDescent="0.35">
      <c r="D185" s="6"/>
      <c r="E185" s="6"/>
      <c r="F185" s="31"/>
      <c r="G185" s="154" t="s">
        <v>212</v>
      </c>
      <c r="H185" s="2">
        <f>SUMIF($J$183:$J$190,G185,$L$183:$L$190)/$L$182</f>
        <v>0.65908395710014511</v>
      </c>
      <c r="I185" s="5" t="s">
        <v>7</v>
      </c>
      <c r="J185" s="157" t="s">
        <v>211</v>
      </c>
      <c r="K185" s="6">
        <f>'Feedstock MIX per IVC'!J118</f>
        <v>9.3412156377111621</v>
      </c>
      <c r="L185" s="2">
        <f>K185*F$182</f>
        <v>23638356.210811913</v>
      </c>
      <c r="M185" s="5" t="s">
        <v>244</v>
      </c>
      <c r="N185" s="174">
        <v>0.45</v>
      </c>
      <c r="O185" s="2">
        <f>N185*O$182</f>
        <v>780040155.8622148</v>
      </c>
      <c r="P185" s="18" t="s">
        <v>252</v>
      </c>
      <c r="Q185" s="123">
        <v>0.2</v>
      </c>
      <c r="R185" s="2">
        <f>Q185*R$182</f>
        <v>426902755.21153492</v>
      </c>
      <c r="S185" s="2"/>
    </row>
    <row r="186" spans="1:19" x14ac:dyDescent="0.35">
      <c r="D186" s="6"/>
      <c r="E186" s="6"/>
      <c r="F186" s="31"/>
      <c r="G186" s="178" t="s">
        <v>256</v>
      </c>
      <c r="H186" s="2">
        <f>SUMIF($J$183:$J$190,G186,$L$183:$L$190)/$L$182</f>
        <v>0.14655424124318212</v>
      </c>
      <c r="I186" s="5" t="s">
        <v>8</v>
      </c>
      <c r="J186" s="154" t="s">
        <v>212</v>
      </c>
      <c r="K186" s="6">
        <f>'Feedstock MIX per IVC'!J119</f>
        <v>35.29932819362039</v>
      </c>
      <c r="L186" s="2">
        <f>K186*F$182</f>
        <v>89326499.484130159</v>
      </c>
      <c r="M186" t="s">
        <v>247</v>
      </c>
      <c r="N186" s="35">
        <v>0.1</v>
      </c>
      <c r="O186" s="2">
        <f>N186*O$182</f>
        <v>173342256.85826996</v>
      </c>
      <c r="P186" s="18" t="s">
        <v>253</v>
      </c>
      <c r="Q186" s="123">
        <v>0.3</v>
      </c>
      <c r="R186" s="2">
        <f>Q186*R$182</f>
        <v>640354132.81730235</v>
      </c>
    </row>
    <row r="187" spans="1:19" x14ac:dyDescent="0.35">
      <c r="D187" s="6"/>
      <c r="E187" s="6"/>
      <c r="F187" s="31"/>
      <c r="G187" s="156" t="s">
        <v>209</v>
      </c>
      <c r="H187" s="2">
        <f>SUMIF($J$183:$J$190,G187,$L$183:$L$190)/$L$182</f>
        <v>0.17964235264630082</v>
      </c>
      <c r="I187" s="5" t="s">
        <v>9</v>
      </c>
      <c r="J187" s="154" t="s">
        <v>212</v>
      </c>
      <c r="K187" s="6">
        <f>'Feedstock MIX per IVC'!J120</f>
        <v>12.400579129284262</v>
      </c>
      <c r="L187" s="2">
        <f>K187*F$182</f>
        <v>31380209.819265604</v>
      </c>
      <c r="M187" t="s">
        <v>248</v>
      </c>
      <c r="N187" s="35">
        <v>0.25</v>
      </c>
      <c r="O187" s="2">
        <f>N187*O$182</f>
        <v>433355642.14567488</v>
      </c>
      <c r="P187" s="18" t="s">
        <v>254</v>
      </c>
      <c r="Q187" s="123">
        <v>0.1</v>
      </c>
      <c r="R187" s="2">
        <f>Q187*R$182</f>
        <v>213451377.60576746</v>
      </c>
    </row>
    <row r="188" spans="1:19" x14ac:dyDescent="0.35">
      <c r="D188" s="6"/>
      <c r="E188" s="6"/>
      <c r="F188" s="31"/>
      <c r="G188" s="158" t="s">
        <v>104</v>
      </c>
      <c r="H188" s="2">
        <f>SUMIF($J$183:$J$190,G188,$L$183:$L$190)/$L$182</f>
        <v>0</v>
      </c>
      <c r="I188" s="5" t="s">
        <v>10</v>
      </c>
      <c r="J188" s="178" t="s">
        <v>256</v>
      </c>
      <c r="K188" s="6">
        <f>'Feedstock MIX per IVC'!J121</f>
        <v>93.005843432662942</v>
      </c>
      <c r="L188" s="2">
        <f>K188*F$182</f>
        <v>235355369.36678392</v>
      </c>
      <c r="M188" t="s">
        <v>250</v>
      </c>
      <c r="N188" s="35">
        <v>0.03</v>
      </c>
      <c r="O188" s="2">
        <f>N188*O$182</f>
        <v>52002677.057480983</v>
      </c>
      <c r="Q188" s="35"/>
      <c r="R188" s="2"/>
    </row>
    <row r="189" spans="1:19" x14ac:dyDescent="0.35">
      <c r="D189" s="6"/>
      <c r="E189" s="6"/>
      <c r="F189" s="31"/>
      <c r="G189" s="6"/>
      <c r="H189" s="2">
        <f>SUM(H183:H188)</f>
        <v>0.99999999999999989</v>
      </c>
      <c r="I189" s="5" t="s">
        <v>11</v>
      </c>
      <c r="J189" s="156" t="s">
        <v>209</v>
      </c>
      <c r="K189" s="6">
        <f>'Feedstock MIX per IVC'!J122</f>
        <v>114.00412831705982</v>
      </c>
      <c r="L189" s="2">
        <f>K189*F$182</f>
        <v>288492451.00202847</v>
      </c>
    </row>
    <row r="190" spans="1:19" x14ac:dyDescent="0.35">
      <c r="D190" s="6"/>
      <c r="E190" s="6"/>
      <c r="F190" s="31"/>
      <c r="G190" s="6"/>
      <c r="H190" s="257"/>
      <c r="I190" s="5" t="s">
        <v>12</v>
      </c>
      <c r="J190" s="159" t="s">
        <v>213</v>
      </c>
      <c r="K190" s="6">
        <f>'Feedstock MIX per IVC'!J123</f>
        <v>0</v>
      </c>
      <c r="L190" s="2">
        <f>K190*F$182</f>
        <v>0</v>
      </c>
    </row>
    <row r="191" spans="1:19" x14ac:dyDescent="0.35">
      <c r="D191" s="6"/>
      <c r="E191" s="6"/>
      <c r="F191" s="31"/>
      <c r="G191" s="6"/>
      <c r="H191" s="6"/>
      <c r="I191" s="6" t="s">
        <v>360</v>
      </c>
      <c r="J191" s="6"/>
      <c r="K191" s="6"/>
      <c r="L191" s="2">
        <f>SUM(L183:L190)</f>
        <v>1605926702.4299297</v>
      </c>
    </row>
    <row r="192" spans="1:19" x14ac:dyDescent="0.35">
      <c r="I192" s="80"/>
      <c r="L192" s="230"/>
      <c r="O192" s="230"/>
      <c r="R192" s="230"/>
    </row>
    <row r="193" spans="1:18" x14ac:dyDescent="0.35">
      <c r="J193" s="159" t="s">
        <v>213</v>
      </c>
      <c r="L193">
        <f>SUMIF($J$165:$J$190,J193,$L$165:$L$190)</f>
        <v>0</v>
      </c>
      <c r="M193" s="5" t="s">
        <v>245</v>
      </c>
      <c r="O193">
        <f>SUMIF($M$165:$M$190,M193,$O$165:$O$190)</f>
        <v>260013385.28740492</v>
      </c>
      <c r="P193" s="18" t="s">
        <v>251</v>
      </c>
      <c r="R193">
        <f>SUMIF($P$165:$P$190,P193,$R$165:$R$190)</f>
        <v>1576311860.9369152</v>
      </c>
    </row>
    <row r="194" spans="1:18" x14ac:dyDescent="0.35">
      <c r="J194" s="157" t="s">
        <v>211</v>
      </c>
      <c r="L194">
        <f>SUMIF($J$165:$J$190,J194,$L$165:$L$190)</f>
        <v>70980871.252687275</v>
      </c>
      <c r="M194" t="s">
        <v>246</v>
      </c>
      <c r="O194">
        <f>SUMIF($M$165:$M$190,M194,$O$165:$O$190)</f>
        <v>186485172.77485496</v>
      </c>
      <c r="P194" s="18" t="s">
        <v>210</v>
      </c>
      <c r="R194">
        <f>SUMIF($P$165:$P$190,P194,$R$165:$R$190)</f>
        <v>1287309320.7313771</v>
      </c>
    </row>
    <row r="195" spans="1:18" x14ac:dyDescent="0.35">
      <c r="J195" s="154" t="s">
        <v>212</v>
      </c>
      <c r="L195">
        <f>SUMIF($J$165:$J$190,J195,$L$165:$L$190)</f>
        <v>3088817152.517499</v>
      </c>
      <c r="M195" s="5" t="s">
        <v>244</v>
      </c>
      <c r="O195">
        <f>SUMIF($M$165:$M$190,M195,$O$165:$O$190)</f>
        <v>4954999994.4502411</v>
      </c>
      <c r="P195" s="18" t="s">
        <v>252</v>
      </c>
      <c r="R195">
        <f>SUMIF($P$165:$P$190,P195,$R$165:$R$190)</f>
        <v>1934264508.6454518</v>
      </c>
    </row>
    <row r="196" spans="1:18" x14ac:dyDescent="0.35">
      <c r="J196" s="178" t="s">
        <v>256</v>
      </c>
      <c r="L196">
        <f>SUMIF($J$165:$J$190,J196,$L$165:$L$190)</f>
        <v>720791896.0619421</v>
      </c>
      <c r="M196" t="s">
        <v>247</v>
      </c>
      <c r="O196">
        <f>SUMIF($M$165:$M$190,M196,$O$165:$O$190)</f>
        <v>932425863.87427473</v>
      </c>
      <c r="P196" s="18" t="s">
        <v>253</v>
      </c>
      <c r="R196">
        <f>SUMIF($P$165:$P$190,P196,$R$165:$R$190)</f>
        <v>2147715886.2512193</v>
      </c>
    </row>
    <row r="197" spans="1:18" x14ac:dyDescent="0.35">
      <c r="J197" s="156" t="s">
        <v>209</v>
      </c>
      <c r="L197">
        <f>SUMIF($J$165:$J$190,J197,$L$165:$L$190)</f>
        <v>883527838.42056823</v>
      </c>
      <c r="M197" t="s">
        <v>248</v>
      </c>
      <c r="O197">
        <f>SUMIF($M$165:$M$190,M197,$O$165:$O$190)</f>
        <v>2710606463.1936889</v>
      </c>
      <c r="P197" s="18" t="s">
        <v>254</v>
      </c>
      <c r="R197">
        <f>SUMIF($P$165:$P$190,P197,$R$165:$R$190)</f>
        <v>213451377.60576746</v>
      </c>
    </row>
    <row r="198" spans="1:18" x14ac:dyDescent="0.35">
      <c r="J198" s="159" t="s">
        <v>213</v>
      </c>
      <c r="L198">
        <f>SUMIF($J$165:$J$190,J198,$L$165:$L$190)</f>
        <v>0</v>
      </c>
      <c r="M198" t="s">
        <v>250</v>
      </c>
      <c r="O198">
        <f>SUMIF($M$165:$M$190,M198,$O$165:$O$190)</f>
        <v>279727759.16228241</v>
      </c>
    </row>
    <row r="199" spans="1:18" x14ac:dyDescent="0.35">
      <c r="J199" s="158" t="s">
        <v>104</v>
      </c>
      <c r="L199">
        <f>SUMIF($J$165:$J$190,J199,$L$165:$L$190)</f>
        <v>102774660.45201473</v>
      </c>
    </row>
    <row r="200" spans="1:18" s="207" customFormat="1" ht="32.5" customHeight="1" x14ac:dyDescent="0.35">
      <c r="A200" s="246" t="s">
        <v>394</v>
      </c>
      <c r="B200" s="246"/>
      <c r="C200" s="246"/>
      <c r="F200" s="215"/>
    </row>
    <row r="201" spans="1:18" ht="16.5" customHeight="1" x14ac:dyDescent="0.35">
      <c r="C201" s="2">
        <f>C202+C209</f>
        <v>17729895555.056118</v>
      </c>
      <c r="D201" s="2">
        <f>D202+D209</f>
        <v>12.254999999999999</v>
      </c>
      <c r="F201"/>
      <c r="L201" s="2">
        <f>L202+L209</f>
        <v>13168487700.000002</v>
      </c>
      <c r="O201" s="2">
        <f>O202+O209</f>
        <v>1376401031.3392806</v>
      </c>
      <c r="R201" s="2">
        <f>R202+R209</f>
        <v>1205125257.6080577</v>
      </c>
    </row>
    <row r="202" spans="1:18" s="219" customFormat="1" x14ac:dyDescent="0.35">
      <c r="A202" s="219" t="s">
        <v>395</v>
      </c>
      <c r="B202" s="219">
        <v>935</v>
      </c>
      <c r="C202" s="220">
        <f>B202*F202</f>
        <v>10234481875.200001</v>
      </c>
      <c r="D202" s="219">
        <f>'[1]GAP analysis Sc. 3'!$J$48</f>
        <v>5.2287999999999997</v>
      </c>
      <c r="E202" s="219">
        <f>'[2]Conversion factors selected IV '!$O$50</f>
        <v>2.0934000000000004</v>
      </c>
      <c r="F202" s="219">
        <f>D202*E202*1000000</f>
        <v>10945969.920000002</v>
      </c>
      <c r="G202" s="219">
        <f>'LCoP 2030 HIGH'!E13</f>
        <v>377.86968567880001</v>
      </c>
      <c r="H202" s="219">
        <f>G202*F202</f>
        <v>4136150213.1200004</v>
      </c>
      <c r="I202" s="226">
        <f>'LCoP 2030 HIGH'!H13</f>
        <v>0.77240831096172546</v>
      </c>
      <c r="L202" s="219">
        <f>I202*H202</f>
        <v>3194796800.0000005</v>
      </c>
      <c r="M202" s="226">
        <f>'LCoP 2030 HIGH'!F13</f>
        <v>0.15084565436257732</v>
      </c>
      <c r="O202" s="219">
        <f>M202*H202</f>
        <v>623920285.44000006</v>
      </c>
      <c r="P202" s="226">
        <f>'LCoP 2030 HIGH'!G13</f>
        <v>7.6746034675697239E-2</v>
      </c>
      <c r="R202" s="219">
        <f>P202*H202</f>
        <v>317433127.68000007</v>
      </c>
    </row>
    <row r="203" spans="1:18" x14ac:dyDescent="0.35">
      <c r="C203">
        <f>C202/C201</f>
        <v>0.57724434097308519</v>
      </c>
      <c r="E203" s="1"/>
      <c r="I203" s="15" t="s">
        <v>31</v>
      </c>
      <c r="J203" s="261" t="s">
        <v>210</v>
      </c>
      <c r="L203" s="2">
        <f>L202</f>
        <v>3194796800.0000005</v>
      </c>
      <c r="M203" s="5" t="s">
        <v>245</v>
      </c>
      <c r="N203" s="35">
        <v>0.2</v>
      </c>
      <c r="O203" s="2">
        <f>N203*O$202</f>
        <v>124784057.08800001</v>
      </c>
      <c r="P203" s="18" t="s">
        <v>251</v>
      </c>
      <c r="Q203" s="35">
        <v>0.35</v>
      </c>
      <c r="R203" s="2">
        <f>Q203*$R$202</f>
        <v>111101594.68800002</v>
      </c>
    </row>
    <row r="204" spans="1:18" x14ac:dyDescent="0.35">
      <c r="E204" s="1"/>
      <c r="M204" t="s">
        <v>246</v>
      </c>
      <c r="N204" s="35">
        <v>7.0000000000000007E-2</v>
      </c>
      <c r="O204" s="2">
        <f t="shared" ref="O204:O208" si="54">N204*O$202</f>
        <v>43674419.98080001</v>
      </c>
      <c r="P204" s="18" t="s">
        <v>210</v>
      </c>
      <c r="Q204" s="35">
        <v>0.15</v>
      </c>
      <c r="R204" s="2">
        <f t="shared" ref="R204:R207" si="55">Q204*$R$202</f>
        <v>47614969.15200001</v>
      </c>
    </row>
    <row r="205" spans="1:18" x14ac:dyDescent="0.35">
      <c r="E205" s="1"/>
      <c r="M205" s="5" t="s">
        <v>244</v>
      </c>
      <c r="N205" s="35">
        <v>0.4</v>
      </c>
      <c r="O205" s="2">
        <f t="shared" si="54"/>
        <v>249568114.17600003</v>
      </c>
      <c r="P205" s="18" t="s">
        <v>252</v>
      </c>
      <c r="Q205" s="35">
        <v>0.12</v>
      </c>
      <c r="R205" s="2">
        <f t="shared" si="55"/>
        <v>38091975.321600005</v>
      </c>
    </row>
    <row r="206" spans="1:18" x14ac:dyDescent="0.35">
      <c r="E206" s="1"/>
      <c r="M206" t="s">
        <v>247</v>
      </c>
      <c r="N206" s="35">
        <v>0.15</v>
      </c>
      <c r="O206" s="2">
        <f t="shared" si="54"/>
        <v>93588042.816</v>
      </c>
      <c r="P206" s="18" t="s">
        <v>253</v>
      </c>
      <c r="Q206" s="35">
        <v>0.3</v>
      </c>
      <c r="R206" s="2">
        <f t="shared" si="55"/>
        <v>95229938.30400002</v>
      </c>
    </row>
    <row r="207" spans="1:18" x14ac:dyDescent="0.35">
      <c r="E207" s="1"/>
      <c r="M207" t="s">
        <v>248</v>
      </c>
      <c r="N207" s="35">
        <v>0.15</v>
      </c>
      <c r="O207" s="2">
        <f t="shared" si="54"/>
        <v>93588042.816</v>
      </c>
      <c r="P207" s="18" t="s">
        <v>254</v>
      </c>
      <c r="Q207" s="35">
        <v>0.08</v>
      </c>
      <c r="R207" s="2">
        <f t="shared" si="55"/>
        <v>25394650.214400005</v>
      </c>
    </row>
    <row r="208" spans="1:18" x14ac:dyDescent="0.35">
      <c r="E208" s="1"/>
      <c r="M208" t="s">
        <v>250</v>
      </c>
      <c r="N208" s="35">
        <v>0.03</v>
      </c>
      <c r="O208" s="2">
        <f t="shared" si="54"/>
        <v>18717608.563200001</v>
      </c>
      <c r="Q208">
        <f>SUM(Q203:Q207)</f>
        <v>0.99999999999999989</v>
      </c>
    </row>
    <row r="209" spans="1:18" s="219" customFormat="1" x14ac:dyDescent="0.35">
      <c r="A209" s="219" t="s">
        <v>396</v>
      </c>
      <c r="B209" s="219">
        <v>1275</v>
      </c>
      <c r="C209" s="220">
        <f>B209*F209</f>
        <v>7495413679.8561163</v>
      </c>
      <c r="D209" s="219">
        <f>'[1]GAP analysis Sc. 3'!$J$49</f>
        <v>7.0262000000000002</v>
      </c>
      <c r="E209" s="219">
        <f>'[2]Conversion factors selected IV '!$O$62</f>
        <v>0.83669064748201449</v>
      </c>
      <c r="F209" s="219">
        <f>D209*E209*1000000</f>
        <v>5878755.8273381302</v>
      </c>
      <c r="G209" s="219">
        <f>'LCoP 2030 HIGH'!E15</f>
        <v>1975.5649183147032</v>
      </c>
      <c r="H209" s="219">
        <f>G209*F209</f>
        <v>11613863775.827339</v>
      </c>
      <c r="I209" s="226">
        <f>'LCoP 2030 HIGH'!H15</f>
        <v>0.85877457257238266</v>
      </c>
      <c r="L209" s="219">
        <f>I209*H209</f>
        <v>9973690900.0000019</v>
      </c>
      <c r="M209" s="226">
        <f>'LCoP 2030 HIGH'!F15</f>
        <v>6.4791593945286829E-2</v>
      </c>
      <c r="O209" s="219">
        <f>M209*H209</f>
        <v>752480745.89928067</v>
      </c>
      <c r="P209" s="226">
        <f>'LCoP 2030 HIGH'!G15</f>
        <v>7.6433833482330557E-2</v>
      </c>
      <c r="R209" s="219">
        <f>P209*H209</f>
        <v>887692129.92805767</v>
      </c>
    </row>
    <row r="210" spans="1:18" x14ac:dyDescent="0.35">
      <c r="C210">
        <f>C209/C201</f>
        <v>0.42275565902691481</v>
      </c>
      <c r="E210" s="1"/>
      <c r="I210" s="15" t="s">
        <v>31</v>
      </c>
      <c r="J210" s="261" t="s">
        <v>210</v>
      </c>
      <c r="L210" s="2">
        <f>L209</f>
        <v>9973690900.0000019</v>
      </c>
      <c r="M210" s="5" t="s">
        <v>245</v>
      </c>
      <c r="N210" s="35">
        <v>0.2</v>
      </c>
      <c r="O210" s="2">
        <f>N210*O$209</f>
        <v>150496149.17985615</v>
      </c>
      <c r="P210" s="18" t="s">
        <v>251</v>
      </c>
      <c r="Q210" s="35">
        <v>0.35</v>
      </c>
      <c r="R210" s="2">
        <f>Q210*$R$209</f>
        <v>310692245.47482014</v>
      </c>
    </row>
    <row r="211" spans="1:18" x14ac:dyDescent="0.35">
      <c r="M211" t="s">
        <v>246</v>
      </c>
      <c r="N211" s="35">
        <v>7.0000000000000007E-2</v>
      </c>
      <c r="O211" s="2">
        <f t="shared" ref="O211:O215" si="56">N211*O$209</f>
        <v>52673652.212949648</v>
      </c>
      <c r="P211" s="18" t="s">
        <v>210</v>
      </c>
      <c r="Q211" s="35">
        <v>0.15</v>
      </c>
      <c r="R211" s="2">
        <f t="shared" ref="R211:R214" si="57">Q211*$R$209</f>
        <v>133153819.48920864</v>
      </c>
    </row>
    <row r="212" spans="1:18" x14ac:dyDescent="0.35">
      <c r="M212" s="5" t="s">
        <v>244</v>
      </c>
      <c r="N212" s="35">
        <v>0.4</v>
      </c>
      <c r="O212" s="2">
        <f t="shared" si="56"/>
        <v>300992298.3597123</v>
      </c>
      <c r="P212" s="18" t="s">
        <v>252</v>
      </c>
      <c r="Q212" s="35">
        <v>0.12</v>
      </c>
      <c r="R212" s="2">
        <f t="shared" si="57"/>
        <v>106523055.59136692</v>
      </c>
    </row>
    <row r="213" spans="1:18" x14ac:dyDescent="0.35">
      <c r="M213" t="s">
        <v>247</v>
      </c>
      <c r="N213" s="35">
        <v>0.15</v>
      </c>
      <c r="O213" s="2">
        <f t="shared" si="56"/>
        <v>112872111.88489209</v>
      </c>
      <c r="P213" s="18" t="s">
        <v>253</v>
      </c>
      <c r="Q213" s="35">
        <v>0.3</v>
      </c>
      <c r="R213" s="2">
        <f t="shared" si="57"/>
        <v>266307638.97841728</v>
      </c>
    </row>
    <row r="214" spans="1:18" x14ac:dyDescent="0.35">
      <c r="M214" t="s">
        <v>248</v>
      </c>
      <c r="N214" s="35">
        <v>0.15</v>
      </c>
      <c r="O214" s="2">
        <f t="shared" si="56"/>
        <v>112872111.88489209</v>
      </c>
      <c r="P214" s="18" t="s">
        <v>254</v>
      </c>
      <c r="Q214" s="35">
        <v>0.08</v>
      </c>
      <c r="R214" s="2">
        <f t="shared" si="57"/>
        <v>71015370.394244611</v>
      </c>
    </row>
    <row r="215" spans="1:18" x14ac:dyDescent="0.35">
      <c r="M215" t="s">
        <v>250</v>
      </c>
      <c r="N215" s="35">
        <v>0.03</v>
      </c>
      <c r="O215" s="2">
        <f t="shared" si="56"/>
        <v>22574422.37697842</v>
      </c>
      <c r="Q215">
        <f>SUM(Q210:Q214)</f>
        <v>0.99999999999999989</v>
      </c>
    </row>
    <row r="216" spans="1:18" x14ac:dyDescent="0.35">
      <c r="O216" s="2">
        <f>SUM(O210:O215)</f>
        <v>752480745.89928067</v>
      </c>
      <c r="R216" s="2">
        <f>SUM(R210:R215)</f>
        <v>887692129.92805767</v>
      </c>
    </row>
    <row r="218" spans="1:18" x14ac:dyDescent="0.35">
      <c r="I218" s="80" t="s">
        <v>214</v>
      </c>
      <c r="J218" s="80"/>
      <c r="K218" s="80"/>
      <c r="L218" s="92">
        <f>SUM(L219:L224)</f>
        <v>13168487700.000002</v>
      </c>
      <c r="M218" s="80"/>
      <c r="N218" s="80"/>
      <c r="O218" s="92">
        <f>SUM(O219:O224)</f>
        <v>1376401031.3392806</v>
      </c>
      <c r="P218" s="80"/>
      <c r="Q218" s="80"/>
      <c r="R218" s="92">
        <f>SUM(R219:R224)</f>
        <v>1205125257.6080577</v>
      </c>
    </row>
    <row r="219" spans="1:18" x14ac:dyDescent="0.35">
      <c r="J219" s="261" t="s">
        <v>210</v>
      </c>
      <c r="L219" s="2">
        <f>L203+L210</f>
        <v>13168487700.000002</v>
      </c>
      <c r="M219" s="5" t="s">
        <v>245</v>
      </c>
      <c r="O219">
        <f>SUMIF($M$203:$M$215, M219, $O$203:$O$215)</f>
        <v>275280206.26785618</v>
      </c>
      <c r="P219" s="18" t="s">
        <v>251</v>
      </c>
      <c r="R219">
        <f>SUMIF($P$203:$P$214, P219, $R$203:$R$214)</f>
        <v>421793840.16282016</v>
      </c>
    </row>
    <row r="220" spans="1:18" x14ac:dyDescent="0.35">
      <c r="M220" t="s">
        <v>246</v>
      </c>
      <c r="O220">
        <f>SUMIF($M$203:$M$215, M220, $O$203:$O$215)</f>
        <v>96348072.193749666</v>
      </c>
      <c r="P220" s="18" t="s">
        <v>210</v>
      </c>
      <c r="R220">
        <f t="shared" ref="R220:R223" si="58">SUMIF($P$203:$P$214, P220, $R$203:$R$214)</f>
        <v>180768788.64120865</v>
      </c>
    </row>
    <row r="221" spans="1:18" x14ac:dyDescent="0.35">
      <c r="M221" s="5" t="s">
        <v>244</v>
      </c>
      <c r="O221">
        <f t="shared" ref="O221:O224" si="59">SUMIF($M$203:$M$215, M221, $O$203:$O$215)</f>
        <v>550560412.53571236</v>
      </c>
      <c r="P221" s="18" t="s">
        <v>252</v>
      </c>
      <c r="R221">
        <f t="shared" si="58"/>
        <v>144615030.91296691</v>
      </c>
    </row>
    <row r="222" spans="1:18" x14ac:dyDescent="0.35">
      <c r="M222" t="s">
        <v>247</v>
      </c>
      <c r="O222">
        <f t="shared" si="59"/>
        <v>206460154.70089209</v>
      </c>
      <c r="P222" s="18" t="s">
        <v>253</v>
      </c>
      <c r="R222">
        <f t="shared" si="58"/>
        <v>361537577.2824173</v>
      </c>
    </row>
    <row r="223" spans="1:18" x14ac:dyDescent="0.35">
      <c r="M223" t="s">
        <v>248</v>
      </c>
      <c r="O223">
        <f t="shared" si="59"/>
        <v>206460154.70089209</v>
      </c>
      <c r="P223" s="18" t="s">
        <v>254</v>
      </c>
      <c r="R223">
        <f t="shared" si="58"/>
        <v>96410020.60864462</v>
      </c>
    </row>
    <row r="224" spans="1:18" x14ac:dyDescent="0.35">
      <c r="M224" t="s">
        <v>250</v>
      </c>
      <c r="O224">
        <f t="shared" si="59"/>
        <v>41292030.940178424</v>
      </c>
    </row>
    <row r="226" spans="1:19" s="207" customFormat="1" ht="32.5" customHeight="1" x14ac:dyDescent="0.35">
      <c r="A226" s="246" t="s">
        <v>366</v>
      </c>
      <c r="B226" s="246"/>
      <c r="C226" s="246"/>
      <c r="F226" s="215"/>
    </row>
    <row r="227" spans="1:19" x14ac:dyDescent="0.35">
      <c r="B227" s="2">
        <f>B229+B261</f>
        <v>23057.371445805584</v>
      </c>
      <c r="C227" s="2">
        <f>C229+C261</f>
        <v>23057371445.805584</v>
      </c>
      <c r="D227" s="2">
        <f>D229+D261</f>
        <v>17.363545945723608</v>
      </c>
    </row>
    <row r="228" spans="1:19" s="158" customFormat="1" ht="29.5" customHeight="1" x14ac:dyDescent="0.35">
      <c r="A228" s="158" t="s">
        <v>259</v>
      </c>
      <c r="F228" s="247"/>
    </row>
    <row r="229" spans="1:19" ht="17.5" customHeight="1" x14ac:dyDescent="0.35">
      <c r="B229" s="2">
        <f>C229/1000000</f>
        <v>15867.820045058934</v>
      </c>
      <c r="C229" s="2">
        <f>SUM(C230:C256)</f>
        <v>15867820045.058933</v>
      </c>
      <c r="D229" s="262">
        <f>D230+D238+D245+D253</f>
        <v>12.813433577476269</v>
      </c>
      <c r="E229" s="2">
        <f>E230+E238+E245+E253</f>
        <v>4.1662260442260441</v>
      </c>
      <c r="F229" s="2">
        <f>F230+F238+F245+F253</f>
        <v>13613129.930803733</v>
      </c>
    </row>
    <row r="230" spans="1:19" s="119" customFormat="1" x14ac:dyDescent="0.35">
      <c r="A230" s="119" t="s">
        <v>401</v>
      </c>
      <c r="B230" s="119">
        <v>1165.6261363636365</v>
      </c>
      <c r="C230" s="119">
        <f>B230*F230</f>
        <v>4238632579.4089346</v>
      </c>
      <c r="D230" s="119">
        <f>'[1]GAP analysis Sc. 2'!$K$20</f>
        <v>3.2135569708726672</v>
      </c>
      <c r="E230" s="119">
        <f>'[2]Conversion factors selected IV '!$O$4</f>
        <v>1.1315675675675676</v>
      </c>
      <c r="F230" s="119">
        <f>D230*E230*1000000</f>
        <v>3636356.8447701847</v>
      </c>
      <c r="G230" s="119">
        <v>629</v>
      </c>
      <c r="H230" s="119">
        <f>G230*F230</f>
        <v>2287268455.360446</v>
      </c>
      <c r="I230" s="119">
        <v>0.75</v>
      </c>
      <c r="K230" s="119">
        <f>I230*G230</f>
        <v>471.75</v>
      </c>
      <c r="L230" s="119">
        <f>I230*H230</f>
        <v>1715451341.5203345</v>
      </c>
      <c r="M230" s="119">
        <v>6.5000000000000002E-2</v>
      </c>
      <c r="O230" s="119">
        <f>M230*H230</f>
        <v>148672449.59842899</v>
      </c>
      <c r="P230" s="119">
        <v>0.185</v>
      </c>
      <c r="R230" s="119">
        <f>P230*H230</f>
        <v>423144664.24168253</v>
      </c>
      <c r="S230" s="119">
        <f>I230+M230+P230</f>
        <v>1</v>
      </c>
    </row>
    <row r="231" spans="1:19" x14ac:dyDescent="0.35">
      <c r="D231" s="2"/>
      <c r="E231" s="209" t="s">
        <v>292</v>
      </c>
      <c r="F231" s="161" t="s">
        <v>211</v>
      </c>
      <c r="G231">
        <f>(L231+L233)/L230</f>
        <v>0.80055384228082316</v>
      </c>
      <c r="H231" s="209" t="s">
        <v>292</v>
      </c>
      <c r="I231" s="18" t="s">
        <v>260</v>
      </c>
      <c r="J231" s="161" t="s">
        <v>211</v>
      </c>
      <c r="K231" s="112">
        <f>'Feedtstocks only CONVENTIONAL'!$J$4</f>
        <v>0.76052615016678204</v>
      </c>
      <c r="L231" s="2">
        <f>K231*$L$230</f>
        <v>1304645604.5649016</v>
      </c>
      <c r="M231" t="s">
        <v>296</v>
      </c>
      <c r="N231" s="61">
        <v>0.45</v>
      </c>
      <c r="O231" s="2">
        <f>N231*$O$230</f>
        <v>66902602.319293052</v>
      </c>
      <c r="P231" t="s">
        <v>298</v>
      </c>
      <c r="Q231" s="61">
        <v>0.3</v>
      </c>
      <c r="R231" s="2">
        <f>Q231*$R$230</f>
        <v>126943399.27250475</v>
      </c>
    </row>
    <row r="232" spans="1:19" x14ac:dyDescent="0.35">
      <c r="D232" s="2"/>
      <c r="E232" s="208" t="s">
        <v>290</v>
      </c>
      <c r="F232" s="161" t="s">
        <v>211</v>
      </c>
      <c r="G232">
        <f>(L232+L234)/L230</f>
        <v>0.19944615771917679</v>
      </c>
      <c r="H232" s="208" t="s">
        <v>290</v>
      </c>
      <c r="I232" s="18" t="s">
        <v>261</v>
      </c>
      <c r="J232" s="161" t="s">
        <v>211</v>
      </c>
      <c r="K232" s="112">
        <f>'Feedtstocks only CONVENTIONAL'!$J$5</f>
        <v>0.16011076845616465</v>
      </c>
      <c r="L232" s="2">
        <f>K232*$L$230</f>
        <v>274662232.53997928</v>
      </c>
      <c r="M232" t="s">
        <v>297</v>
      </c>
      <c r="N232" s="61">
        <v>0.3</v>
      </c>
      <c r="O232" s="2">
        <f>N232*$O$230</f>
        <v>44601734.879528694</v>
      </c>
      <c r="P232" t="s">
        <v>299</v>
      </c>
      <c r="Q232" s="61">
        <v>0.2</v>
      </c>
      <c r="R232" s="2">
        <f>Q232*$R$230</f>
        <v>84628932.848336518</v>
      </c>
    </row>
    <row r="233" spans="1:19" x14ac:dyDescent="0.35">
      <c r="D233" s="2"/>
      <c r="H233" s="209" t="s">
        <v>292</v>
      </c>
      <c r="I233" s="18" t="s">
        <v>263</v>
      </c>
      <c r="J233" s="161" t="s">
        <v>211</v>
      </c>
      <c r="K233" s="112">
        <f>'Feedtstocks only CONVENTIONAL'!$J$6</f>
        <v>4.0027692114041162E-2</v>
      </c>
      <c r="L233" s="2">
        <f>K233*$L$230</f>
        <v>68665558.13499482</v>
      </c>
      <c r="M233" t="s">
        <v>247</v>
      </c>
      <c r="N233" s="61">
        <v>0.15</v>
      </c>
      <c r="O233" s="2">
        <f>N233*$O$230</f>
        <v>22300867.439764347</v>
      </c>
      <c r="P233" t="s">
        <v>252</v>
      </c>
      <c r="Q233" s="61">
        <v>0.25</v>
      </c>
      <c r="R233" s="2">
        <f>Q233*$R$230</f>
        <v>105786166.06042063</v>
      </c>
    </row>
    <row r="234" spans="1:19" x14ac:dyDescent="0.35">
      <c r="D234" s="2"/>
      <c r="H234" s="208" t="s">
        <v>290</v>
      </c>
      <c r="I234" s="18" t="s">
        <v>262</v>
      </c>
      <c r="J234" s="161" t="s">
        <v>211</v>
      </c>
      <c r="K234" s="112">
        <f>'Feedtstocks only CONVENTIONAL'!$J$7</f>
        <v>3.9335389263012145E-2</v>
      </c>
      <c r="L234" s="2">
        <f>K234*$L$230</f>
        <v>67477946.280458748</v>
      </c>
      <c r="M234" t="s">
        <v>245</v>
      </c>
      <c r="N234" s="61">
        <v>7.0000000000000007E-2</v>
      </c>
      <c r="O234" s="2">
        <f>N234*$O$230</f>
        <v>10407071.47189003</v>
      </c>
      <c r="P234" t="s">
        <v>300</v>
      </c>
      <c r="Q234" s="61">
        <v>0.15</v>
      </c>
      <c r="R234" s="2">
        <f>Q234*$R$230</f>
        <v>63471699.636252373</v>
      </c>
    </row>
    <row r="235" spans="1:19" x14ac:dyDescent="0.35">
      <c r="D235" s="2"/>
      <c r="L235" s="2">
        <f>SUM(L231:L234)</f>
        <v>1715451341.5203342</v>
      </c>
      <c r="M235" t="s">
        <v>250</v>
      </c>
      <c r="N235" s="61">
        <v>0.03</v>
      </c>
      <c r="O235" s="2">
        <f>N235*$O$230</f>
        <v>4460173.4879528694</v>
      </c>
      <c r="P235" s="18" t="s">
        <v>254</v>
      </c>
      <c r="Q235" s="61">
        <v>0.1</v>
      </c>
      <c r="R235" s="2">
        <f>Q235*$R$230</f>
        <v>42314466.424168259</v>
      </c>
    </row>
    <row r="236" spans="1:19" x14ac:dyDescent="0.35">
      <c r="D236" s="2"/>
      <c r="O236" s="2">
        <f>SUM(O231:O235)</f>
        <v>148672449.59842899</v>
      </c>
      <c r="P236" t="s">
        <v>213</v>
      </c>
      <c r="Q236" s="61">
        <v>0</v>
      </c>
      <c r="R236" s="2">
        <f>Q236*$R$230</f>
        <v>0</v>
      </c>
    </row>
    <row r="237" spans="1:19" s="122" customFormat="1" x14ac:dyDescent="0.35">
      <c r="R237" s="2">
        <f>SUM(R231:R236)</f>
        <v>423144664.24168253</v>
      </c>
    </row>
    <row r="238" spans="1:19" s="119" customFormat="1" x14ac:dyDescent="0.35">
      <c r="A238" s="119" t="s">
        <v>373</v>
      </c>
      <c r="B238" s="119">
        <v>1165.6261363636365</v>
      </c>
      <c r="C238" s="119">
        <f>B238*F238</f>
        <v>5006112138.5829525</v>
      </c>
      <c r="D238" s="119">
        <f>'[1]GAP analysis Sc. 2'!$K$21</f>
        <v>4.513482447113156</v>
      </c>
      <c r="E238" s="119">
        <f>'[2]Conversion factors selected IV '!$O$7</f>
        <v>0.95154545454545458</v>
      </c>
      <c r="F238" s="119">
        <f>D238*E238*1000000</f>
        <v>4294783.7067212192</v>
      </c>
      <c r="G238" s="119">
        <v>665.824761904762</v>
      </c>
      <c r="H238" s="119">
        <f>G238*F238</f>
        <v>2859573338.9601068</v>
      </c>
      <c r="I238" s="119">
        <v>0.67</v>
      </c>
      <c r="K238" s="119">
        <f>'Feedtstocks only CONVENTIONAL'!I113</f>
        <v>0</v>
      </c>
      <c r="L238" s="119">
        <f>I238*H238</f>
        <v>1915914137.1032717</v>
      </c>
      <c r="M238" s="119">
        <v>0.13</v>
      </c>
      <c r="O238" s="119">
        <f>M238*H238</f>
        <v>371744534.06481391</v>
      </c>
      <c r="P238" s="119">
        <v>0.2</v>
      </c>
      <c r="R238" s="119">
        <f>P238*H238</f>
        <v>571914667.79202139</v>
      </c>
      <c r="S238" s="119">
        <f>I238+M238+P238</f>
        <v>1</v>
      </c>
    </row>
    <row r="239" spans="1:19" x14ac:dyDescent="0.35">
      <c r="D239" s="2"/>
      <c r="E239" s="209" t="s">
        <v>292</v>
      </c>
      <c r="F239" s="161" t="s">
        <v>211</v>
      </c>
      <c r="H239" s="209" t="s">
        <v>292</v>
      </c>
      <c r="I239" s="18" t="s">
        <v>260</v>
      </c>
      <c r="J239" s="161" t="s">
        <v>211</v>
      </c>
      <c r="K239" s="112">
        <f>'Feedtstocks only CONVENTIONAL'!$J$4</f>
        <v>0.76052615016678204</v>
      </c>
      <c r="L239" s="2">
        <f>K239*$L$238</f>
        <v>1457102802.7412634</v>
      </c>
      <c r="M239" t="s">
        <v>296</v>
      </c>
      <c r="N239" s="61">
        <v>0.55000000000000004</v>
      </c>
      <c r="O239" s="2">
        <f>N239*$O$238</f>
        <v>204459493.73564768</v>
      </c>
      <c r="P239" t="s">
        <v>298</v>
      </c>
      <c r="Q239" s="61">
        <v>0.4</v>
      </c>
      <c r="R239" s="2">
        <f>Q239*$R$238</f>
        <v>228765867.11680856</v>
      </c>
    </row>
    <row r="240" spans="1:19" x14ac:dyDescent="0.35">
      <c r="D240" s="2"/>
      <c r="E240" s="208" t="s">
        <v>290</v>
      </c>
      <c r="F240" s="161" t="s">
        <v>211</v>
      </c>
      <c r="H240" s="208" t="s">
        <v>290</v>
      </c>
      <c r="I240" s="18" t="s">
        <v>261</v>
      </c>
      <c r="J240" s="161" t="s">
        <v>211</v>
      </c>
      <c r="K240" s="112">
        <f>'Feedtstocks only CONVENTIONAL'!$J$5</f>
        <v>0.16011076845616465</v>
      </c>
      <c r="L240" s="2">
        <f>K240*$L$238</f>
        <v>306758484.78763443</v>
      </c>
      <c r="M240" t="s">
        <v>297</v>
      </c>
      <c r="N240" s="61">
        <v>0.25</v>
      </c>
      <c r="O240" s="2">
        <f>N240*$O$238</f>
        <v>92936133.516203478</v>
      </c>
      <c r="P240" t="s">
        <v>299</v>
      </c>
      <c r="Q240" s="61">
        <v>0.2</v>
      </c>
      <c r="R240" s="2">
        <f>Q240*$R$238</f>
        <v>114382933.55840428</v>
      </c>
    </row>
    <row r="241" spans="1:19" x14ac:dyDescent="0.35">
      <c r="D241" s="2"/>
      <c r="H241" s="209" t="s">
        <v>292</v>
      </c>
      <c r="I241" s="18" t="s">
        <v>263</v>
      </c>
      <c r="J241" s="161" t="s">
        <v>211</v>
      </c>
      <c r="K241" s="112">
        <f>'Feedtstocks only CONVENTIONAL'!$J$6</f>
        <v>4.0027692114041162E-2</v>
      </c>
      <c r="L241" s="2">
        <f>K241*$L$238</f>
        <v>76689621.196908608</v>
      </c>
      <c r="M241" t="s">
        <v>247</v>
      </c>
      <c r="N241" s="61">
        <v>0.1</v>
      </c>
      <c r="O241" s="2">
        <f>N241*$O$238</f>
        <v>37174453.406481393</v>
      </c>
      <c r="P241" t="s">
        <v>252</v>
      </c>
      <c r="Q241" s="61">
        <v>0.2</v>
      </c>
      <c r="R241" s="2">
        <f>Q241*$R$238</f>
        <v>114382933.55840428</v>
      </c>
    </row>
    <row r="242" spans="1:19" x14ac:dyDescent="0.35">
      <c r="D242" s="2"/>
      <c r="H242" s="208" t="s">
        <v>290</v>
      </c>
      <c r="I242" s="18" t="s">
        <v>262</v>
      </c>
      <c r="J242" s="161" t="s">
        <v>211</v>
      </c>
      <c r="K242" s="112">
        <f>'Feedtstocks only CONVENTIONAL'!$J$7</f>
        <v>3.9335389263012145E-2</v>
      </c>
      <c r="L242" s="2">
        <f>K242*$L$238</f>
        <v>75363228.377465218</v>
      </c>
      <c r="M242" t="s">
        <v>245</v>
      </c>
      <c r="N242" s="61">
        <v>7.0000000000000007E-2</v>
      </c>
      <c r="O242" s="2">
        <f>N242*$O$238</f>
        <v>26022117.384536978</v>
      </c>
      <c r="P242" t="s">
        <v>300</v>
      </c>
      <c r="Q242" s="61">
        <v>0.15</v>
      </c>
      <c r="R242" s="2">
        <f>Q242*$R$238</f>
        <v>85787200.1688032</v>
      </c>
    </row>
    <row r="243" spans="1:19" x14ac:dyDescent="0.35">
      <c r="D243" s="2"/>
      <c r="M243" t="s">
        <v>250</v>
      </c>
      <c r="N243" s="61">
        <v>0.03</v>
      </c>
      <c r="O243" s="2">
        <f>N243*$O$238</f>
        <v>11152336.021944417</v>
      </c>
      <c r="P243" s="216" t="s">
        <v>254</v>
      </c>
      <c r="Q243" s="61">
        <v>0.05</v>
      </c>
      <c r="R243" s="2">
        <f>Q243*$R$238</f>
        <v>28595733.38960107</v>
      </c>
    </row>
    <row r="244" spans="1:19" x14ac:dyDescent="0.35">
      <c r="D244" s="2"/>
      <c r="P244" t="s">
        <v>213</v>
      </c>
      <c r="Q244" s="61">
        <v>0</v>
      </c>
      <c r="R244" s="2">
        <f>Q244*$R$238</f>
        <v>0</v>
      </c>
    </row>
    <row r="245" spans="1:19" s="119" customFormat="1" x14ac:dyDescent="0.35">
      <c r="A245" s="119" t="s">
        <v>283</v>
      </c>
      <c r="B245" s="119">
        <v>1165.6261363636365</v>
      </c>
      <c r="C245" s="119">
        <f>B245*F245</f>
        <v>6169556234.9997654</v>
      </c>
      <c r="D245" s="119">
        <f>'[1]GAP analysis Sc. 2'!$K$24</f>
        <v>4.6775039059741133</v>
      </c>
      <c r="E245" s="119">
        <f>'[2]Conversion factors selected IV '!$O$4</f>
        <v>1.1315675675675676</v>
      </c>
      <c r="F245" s="119">
        <f>D245*E245*1000000</f>
        <v>5292911.7171709239</v>
      </c>
      <c r="G245" s="119">
        <v>1253</v>
      </c>
      <c r="H245" s="119">
        <f>G245*F245</f>
        <v>6632018381.6151676</v>
      </c>
      <c r="I245" s="119">
        <v>0.74</v>
      </c>
      <c r="L245" s="119">
        <f>I245*H245</f>
        <v>4907693602.3952236</v>
      </c>
      <c r="M245" s="119">
        <v>0.04</v>
      </c>
      <c r="O245" s="119">
        <f>M245*H245</f>
        <v>265280735.26460671</v>
      </c>
      <c r="P245" s="119">
        <v>0.22</v>
      </c>
      <c r="R245" s="119">
        <f>P245*H245</f>
        <v>1459044043.9553368</v>
      </c>
      <c r="S245" s="119">
        <f>I245+M245+P245</f>
        <v>1</v>
      </c>
    </row>
    <row r="246" spans="1:19" x14ac:dyDescent="0.35">
      <c r="H246" s="209" t="s">
        <v>292</v>
      </c>
      <c r="I246" s="18" t="s">
        <v>308</v>
      </c>
      <c r="J246" s="161" t="s">
        <v>211</v>
      </c>
      <c r="K246" s="61">
        <v>0.42676656092472537</v>
      </c>
      <c r="L246" s="2">
        <f>K246*$L$245</f>
        <v>2094439520.7664862</v>
      </c>
      <c r="M246" t="s">
        <v>296</v>
      </c>
      <c r="N246" s="61">
        <v>0.45</v>
      </c>
      <c r="O246" s="2">
        <f>N246*$O$245</f>
        <v>119376330.86907302</v>
      </c>
      <c r="P246" t="s">
        <v>298</v>
      </c>
      <c r="Q246" s="61">
        <v>0.3</v>
      </c>
      <c r="R246" s="2">
        <f>Q246*$R$245</f>
        <v>437713213.18660104</v>
      </c>
    </row>
    <row r="247" spans="1:19" x14ac:dyDescent="0.35">
      <c r="H247" s="208" t="s">
        <v>290</v>
      </c>
      <c r="I247" s="18" t="s">
        <v>309</v>
      </c>
      <c r="J247" s="161" t="s">
        <v>211</v>
      </c>
      <c r="K247" s="61">
        <v>0.28451104061648358</v>
      </c>
      <c r="L247" s="2">
        <f>K247*$L$245</f>
        <v>1396293013.8443241</v>
      </c>
      <c r="M247" t="s">
        <v>297</v>
      </c>
      <c r="N247" s="61">
        <v>0.3</v>
      </c>
      <c r="O247" s="2">
        <f>N247*$O$245</f>
        <v>79584220.579382017</v>
      </c>
      <c r="P247" t="s">
        <v>299</v>
      </c>
      <c r="Q247" s="61">
        <v>0.2</v>
      </c>
      <c r="R247" s="2">
        <f>Q247*$R$245</f>
        <v>291808808.79106736</v>
      </c>
    </row>
    <row r="248" spans="1:19" x14ac:dyDescent="0.35">
      <c r="H248" s="209" t="s">
        <v>292</v>
      </c>
      <c r="I248" s="18" t="s">
        <v>307</v>
      </c>
      <c r="J248" s="161" t="s">
        <v>211</v>
      </c>
      <c r="K248" s="61">
        <v>0.288722398458791</v>
      </c>
      <c r="L248" s="2">
        <f>K248*$L$245</f>
        <v>1416961067.7844131</v>
      </c>
      <c r="M248" t="s">
        <v>247</v>
      </c>
      <c r="N248" s="61">
        <v>0.15</v>
      </c>
      <c r="O248" s="2">
        <f>N248*$O$245</f>
        <v>39792110.289691009</v>
      </c>
      <c r="P248" t="s">
        <v>252</v>
      </c>
      <c r="Q248" s="61">
        <v>0.25</v>
      </c>
      <c r="R248" s="2">
        <f>Q248*$R$245</f>
        <v>364761010.9888342</v>
      </c>
    </row>
    <row r="249" spans="1:19" x14ac:dyDescent="0.35">
      <c r="M249" t="s">
        <v>245</v>
      </c>
      <c r="N249" s="61">
        <v>7.0000000000000007E-2</v>
      </c>
      <c r="O249" s="2">
        <f>N249*$O$245</f>
        <v>18569651.46852247</v>
      </c>
      <c r="P249" t="s">
        <v>300</v>
      </c>
      <c r="Q249" s="61">
        <v>0.15</v>
      </c>
      <c r="R249" s="2">
        <f>Q249*$R$245</f>
        <v>218856606.59330052</v>
      </c>
    </row>
    <row r="250" spans="1:19" s="119" customFormat="1" x14ac:dyDescent="0.35">
      <c r="A250"/>
      <c r="B250"/>
      <c r="C250"/>
      <c r="D250"/>
      <c r="E250"/>
      <c r="F250" s="1"/>
      <c r="G250"/>
      <c r="H250"/>
      <c r="I250"/>
      <c r="J250"/>
      <c r="K250"/>
      <c r="L250"/>
      <c r="M250" t="s">
        <v>250</v>
      </c>
      <c r="N250" s="61">
        <v>0.03</v>
      </c>
      <c r="O250" s="2">
        <f>N250*$O$245</f>
        <v>7958422.0579382014</v>
      </c>
      <c r="P250" s="18" t="s">
        <v>254</v>
      </c>
      <c r="Q250" s="61">
        <v>0.1</v>
      </c>
      <c r="R250" s="2">
        <f>Q250*$R$245</f>
        <v>145904404.39553368</v>
      </c>
      <c r="S250"/>
    </row>
    <row r="251" spans="1:19" x14ac:dyDescent="0.35">
      <c r="O251" s="2">
        <f>SUM(O246:O250)</f>
        <v>265280735.26460668</v>
      </c>
      <c r="P251" t="s">
        <v>213</v>
      </c>
      <c r="Q251" s="61">
        <v>0</v>
      </c>
      <c r="R251" s="2">
        <f>Q251*$R$245</f>
        <v>0</v>
      </c>
    </row>
    <row r="252" spans="1:19" x14ac:dyDescent="0.35">
      <c r="C252" s="31">
        <f>B252*F252</f>
        <v>0</v>
      </c>
      <c r="R252" s="2">
        <f>SUM(R246:R251)</f>
        <v>1459044043.955337</v>
      </c>
    </row>
    <row r="253" spans="1:19" x14ac:dyDescent="0.35">
      <c r="A253" s="119" t="s">
        <v>400</v>
      </c>
      <c r="B253" s="119">
        <v>1165.6261363636365</v>
      </c>
      <c r="C253" s="119">
        <f>B253*F253</f>
        <v>453519092.06728184</v>
      </c>
      <c r="D253" s="119">
        <f>'[1]GAP analysis Sc. 2'!$K$23</f>
        <v>0.4088902535163324</v>
      </c>
      <c r="E253" s="119">
        <f>'[2]Conversion factors selected IV '!$O$7</f>
        <v>0.95154545454545458</v>
      </c>
      <c r="F253" s="119">
        <f>D253*E253*1000000</f>
        <v>389077.66214140464</v>
      </c>
      <c r="G253" s="119">
        <v>1218</v>
      </c>
      <c r="H253" s="119">
        <f>G253*F253</f>
        <v>473896592.48823082</v>
      </c>
      <c r="I253" s="119">
        <v>0.67</v>
      </c>
      <c r="J253" s="119"/>
      <c r="K253" s="119"/>
      <c r="L253" s="119">
        <f>I253*H253</f>
        <v>317510716.96711469</v>
      </c>
      <c r="M253" s="119">
        <v>0.13</v>
      </c>
      <c r="N253" s="119"/>
      <c r="O253" s="119">
        <f>M253*H253</f>
        <v>61606557.023470007</v>
      </c>
      <c r="P253" s="119">
        <v>0.2</v>
      </c>
      <c r="Q253" s="119"/>
      <c r="R253" s="119">
        <f>P253*H253</f>
        <v>94779318.497646168</v>
      </c>
      <c r="S253" s="119">
        <v>0.2</v>
      </c>
    </row>
    <row r="254" spans="1:19" x14ac:dyDescent="0.35">
      <c r="I254" t="s">
        <v>397</v>
      </c>
      <c r="J254" s="154" t="s">
        <v>212</v>
      </c>
      <c r="L254">
        <f>$L$253</f>
        <v>317510716.96711469</v>
      </c>
      <c r="M254" t="s">
        <v>296</v>
      </c>
      <c r="N254" s="61">
        <v>0.55000000000000004</v>
      </c>
      <c r="O254" s="2">
        <f>N254*$O$253</f>
        <v>33883606.362908505</v>
      </c>
      <c r="P254" t="s">
        <v>298</v>
      </c>
      <c r="Q254" s="61">
        <v>0.4</v>
      </c>
      <c r="R254" s="2">
        <f>Q254*$R$253</f>
        <v>37911727.399058469</v>
      </c>
    </row>
    <row r="255" spans="1:19" x14ac:dyDescent="0.35">
      <c r="M255" t="s">
        <v>297</v>
      </c>
      <c r="N255" s="61">
        <v>0.25</v>
      </c>
      <c r="O255" s="2">
        <f>N255*$O$253</f>
        <v>15401639.255867502</v>
      </c>
      <c r="P255" t="s">
        <v>299</v>
      </c>
      <c r="Q255" s="61">
        <v>0.2</v>
      </c>
      <c r="R255" s="2">
        <f>Q255*$R$253</f>
        <v>18955863.699529234</v>
      </c>
    </row>
    <row r="256" spans="1:19" x14ac:dyDescent="0.35">
      <c r="M256" t="s">
        <v>247</v>
      </c>
      <c r="N256" s="61">
        <v>0.1</v>
      </c>
      <c r="O256" s="2">
        <f>N256*$O$253</f>
        <v>6160655.7023470011</v>
      </c>
      <c r="P256" t="s">
        <v>252</v>
      </c>
      <c r="Q256" s="61">
        <v>0.2</v>
      </c>
      <c r="R256" s="2">
        <f>Q256*$R$253</f>
        <v>18955863.699529234</v>
      </c>
    </row>
    <row r="257" spans="1:18" x14ac:dyDescent="0.35">
      <c r="M257" t="s">
        <v>245</v>
      </c>
      <c r="N257" s="61">
        <v>7.0000000000000007E-2</v>
      </c>
      <c r="O257" s="2">
        <f>N257*$O$253</f>
        <v>4312458.9916429007</v>
      </c>
      <c r="P257" t="s">
        <v>300</v>
      </c>
      <c r="Q257" s="61">
        <v>0.15</v>
      </c>
      <c r="R257" s="2">
        <f>Q257*$R$253</f>
        <v>14216897.774646925</v>
      </c>
    </row>
    <row r="258" spans="1:18" x14ac:dyDescent="0.35">
      <c r="M258" t="s">
        <v>250</v>
      </c>
      <c r="N258" s="61">
        <v>0.03</v>
      </c>
      <c r="O258" s="2">
        <f>N258*$O$253</f>
        <v>1848196.7107041001</v>
      </c>
      <c r="P258" s="216" t="s">
        <v>254</v>
      </c>
      <c r="Q258" s="61">
        <v>0.05</v>
      </c>
      <c r="R258" s="2">
        <f>Q258*$R$253</f>
        <v>4738965.9248823086</v>
      </c>
    </row>
    <row r="259" spans="1:18" x14ac:dyDescent="0.35">
      <c r="R259" s="2">
        <f>Q259*$R$253</f>
        <v>0</v>
      </c>
    </row>
    <row r="260" spans="1:18" s="158" customFormat="1" ht="29.5" customHeight="1" x14ac:dyDescent="0.35">
      <c r="A260" s="158" t="s">
        <v>371</v>
      </c>
      <c r="F260" s="247"/>
    </row>
    <row r="261" spans="1:18" x14ac:dyDescent="0.35">
      <c r="B261" s="2">
        <f>C261/1000000</f>
        <v>7189.5514007466509</v>
      </c>
      <c r="C261" s="2">
        <f>C262</f>
        <v>7189551400.7466507</v>
      </c>
      <c r="D261" s="2">
        <f>D262</f>
        <v>4.550112368247337</v>
      </c>
      <c r="F261" s="1">
        <f>F262</f>
        <v>7055707.5790288709</v>
      </c>
    </row>
    <row r="262" spans="1:18" s="119" customFormat="1" x14ac:dyDescent="0.35">
      <c r="A262" s="119" t="s">
        <v>372</v>
      </c>
      <c r="B262" s="119">
        <v>1018.96958174905</v>
      </c>
      <c r="C262" s="119">
        <f>B262*F262</f>
        <v>7189551400.7466507</v>
      </c>
      <c r="D262" s="119">
        <f>'[1]GAP analysis Sc. 3'!$K$30</f>
        <v>4.550112368247337</v>
      </c>
      <c r="E262" s="119">
        <f>'[2]Conversion factors selected IV '!$O$17</f>
        <v>1.5506666666666669</v>
      </c>
      <c r="F262" s="119">
        <f>D262*E262*1000000</f>
        <v>7055707.5790288709</v>
      </c>
      <c r="G262" s="119">
        <f>'LCoP CONVENTIONAL'!B53</f>
        <v>903.57</v>
      </c>
      <c r="H262" s="119">
        <f>G262*F262</f>
        <v>6375325697.1831169</v>
      </c>
      <c r="I262" s="119">
        <v>0.7</v>
      </c>
      <c r="L262" s="119">
        <f>H262*I262</f>
        <v>4462727988.028182</v>
      </c>
      <c r="M262" s="119">
        <v>0.1</v>
      </c>
      <c r="O262" s="119">
        <f>M262*H262</f>
        <v>637532569.71831167</v>
      </c>
      <c r="P262" s="119">
        <v>0.2</v>
      </c>
      <c r="R262" s="119">
        <f>P262*H262</f>
        <v>1275065139.4366233</v>
      </c>
    </row>
    <row r="263" spans="1:18" x14ac:dyDescent="0.35">
      <c r="I263" t="s">
        <v>406</v>
      </c>
      <c r="J263" s="154" t="s">
        <v>212</v>
      </c>
      <c r="L263" s="2">
        <f>L262</f>
        <v>4462727988.028182</v>
      </c>
      <c r="M263" t="s">
        <v>296</v>
      </c>
      <c r="N263" s="61">
        <v>0.5</v>
      </c>
      <c r="O263" s="2">
        <f>N263*$O$262</f>
        <v>318766284.85915583</v>
      </c>
      <c r="P263" t="s">
        <v>298</v>
      </c>
      <c r="Q263" s="61">
        <v>0.15</v>
      </c>
      <c r="R263" s="2">
        <f>Q263*$R$262</f>
        <v>191259770.91549349</v>
      </c>
    </row>
    <row r="264" spans="1:18" x14ac:dyDescent="0.35">
      <c r="M264" t="s">
        <v>297</v>
      </c>
      <c r="N264" s="61">
        <v>0.25</v>
      </c>
      <c r="O264" s="2">
        <f t="shared" ref="O264:O267" si="60">N264*$O$262</f>
        <v>159383142.42957792</v>
      </c>
      <c r="P264" t="s">
        <v>299</v>
      </c>
      <c r="Q264" s="61">
        <v>0.4</v>
      </c>
      <c r="R264" s="2">
        <f t="shared" ref="R264:R268" si="61">Q264*$R$262</f>
        <v>510026055.77464938</v>
      </c>
    </row>
    <row r="265" spans="1:18" x14ac:dyDescent="0.35">
      <c r="M265" t="s">
        <v>247</v>
      </c>
      <c r="N265" s="61">
        <v>0.15</v>
      </c>
      <c r="O265" s="2">
        <f t="shared" si="60"/>
        <v>95629885.457746744</v>
      </c>
      <c r="P265" t="s">
        <v>252</v>
      </c>
      <c r="Q265" s="61">
        <v>0.2</v>
      </c>
      <c r="R265" s="2">
        <f t="shared" si="61"/>
        <v>255013027.88732469</v>
      </c>
    </row>
    <row r="266" spans="1:18" x14ac:dyDescent="0.35">
      <c r="M266" t="s">
        <v>245</v>
      </c>
      <c r="N266" s="61">
        <v>7.0000000000000007E-2</v>
      </c>
      <c r="O266" s="2">
        <f t="shared" si="60"/>
        <v>44627279.880281821</v>
      </c>
      <c r="P266" t="s">
        <v>300</v>
      </c>
      <c r="Q266" s="61">
        <v>0.15</v>
      </c>
      <c r="R266" s="2">
        <f t="shared" si="61"/>
        <v>191259770.91549349</v>
      </c>
    </row>
    <row r="267" spans="1:18" x14ac:dyDescent="0.35">
      <c r="M267" t="s">
        <v>250</v>
      </c>
      <c r="N267" s="61">
        <v>0.03</v>
      </c>
      <c r="O267" s="2">
        <f t="shared" si="60"/>
        <v>19125977.091549348</v>
      </c>
      <c r="P267" s="104" t="s">
        <v>254</v>
      </c>
      <c r="Q267" s="61">
        <v>0.1</v>
      </c>
      <c r="R267" s="2">
        <f t="shared" si="61"/>
        <v>127506513.94366235</v>
      </c>
    </row>
    <row r="268" spans="1:18" x14ac:dyDescent="0.35">
      <c r="N268" s="61"/>
      <c r="P268" t="s">
        <v>213</v>
      </c>
      <c r="Q268" s="61">
        <v>0</v>
      </c>
      <c r="R268" s="2">
        <f t="shared" si="61"/>
        <v>0</v>
      </c>
    </row>
  </sheetData>
  <pageMargins left="0.7" right="0.7" top="0.78740157499999996" bottom="0.78740157499999996"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C35A-DC34-4048-A78B-25866E3CBA11}">
  <sheetPr>
    <tabColor theme="4" tint="0.39997558519241921"/>
  </sheetPr>
  <dimension ref="A1:S216"/>
  <sheetViews>
    <sheetView topLeftCell="A123" zoomScale="85" zoomScaleNormal="85" workbookViewId="0">
      <selection activeCell="F175" sqref="F175"/>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5.7265625" customWidth="1"/>
    <col min="13" max="13" width="15.7265625" bestFit="1" customWidth="1"/>
    <col min="15" max="15" width="18.1796875" customWidth="1"/>
    <col min="17" max="17" width="14.36328125" bestFit="1" customWidth="1"/>
    <col min="18" max="18" width="16.81640625" customWidth="1"/>
    <col min="19" max="19" width="15.453125" customWidth="1"/>
  </cols>
  <sheetData>
    <row r="1" spans="1:19" s="48" customFormat="1" ht="24" customHeight="1" x14ac:dyDescent="0.35">
      <c r="A1" s="48" t="s">
        <v>376</v>
      </c>
      <c r="F1" s="241"/>
    </row>
    <row r="2" spans="1:19" s="48" customFormat="1" ht="24" customHeight="1" x14ac:dyDescent="0.35">
      <c r="A2" s="48" t="s">
        <v>326</v>
      </c>
      <c r="F2" s="241"/>
    </row>
    <row r="3" spans="1:19" s="48" customFormat="1" ht="24" customHeight="1" x14ac:dyDescent="0.35">
      <c r="A3" s="48" t="s">
        <v>377</v>
      </c>
      <c r="E3" s="48" t="s">
        <v>381</v>
      </c>
      <c r="F3" s="241"/>
    </row>
    <row r="4" spans="1:19" ht="19" customHeight="1" x14ac:dyDescent="0.35">
      <c r="A4" s="48" t="s">
        <v>382</v>
      </c>
      <c r="B4" s="48"/>
      <c r="C4" s="48"/>
    </row>
    <row r="5" spans="1:19" s="49" customFormat="1" ht="37" customHeight="1" x14ac:dyDescent="0.35">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207" customFormat="1" ht="37" customHeight="1" x14ac:dyDescent="0.35">
      <c r="A6" s="246" t="s">
        <v>365</v>
      </c>
      <c r="B6" s="246"/>
      <c r="C6" s="246"/>
      <c r="D6" s="297">
        <f>D8+D42+D84+D96+D129</f>
        <v>7.2164117151307385</v>
      </c>
      <c r="F6" s="245">
        <f>F8+F42+F84+F96+F129</f>
        <v>8134018.704520978</v>
      </c>
      <c r="I6" s="246"/>
      <c r="M6" s="246"/>
      <c r="P6" s="246"/>
    </row>
    <row r="7" spans="1:19" s="93" customFormat="1" ht="40" customHeight="1" x14ac:dyDescent="0.35">
      <c r="A7" s="93" t="s">
        <v>104</v>
      </c>
      <c r="F7" s="176"/>
    </row>
    <row r="8" spans="1:19" s="217" customFormat="1" x14ac:dyDescent="0.35">
      <c r="A8" s="217" t="s">
        <v>189</v>
      </c>
      <c r="C8" s="224">
        <f>C9+C23+C16</f>
        <v>4083938421.662046</v>
      </c>
      <c r="D8" s="221">
        <f>D9+D23+D41+D16</f>
        <v>2.4737706260492134</v>
      </c>
      <c r="F8" s="224">
        <f>F9+F23+F16</f>
        <v>2675247.4157980578</v>
      </c>
      <c r="L8" s="224">
        <f>L9+L16+L23</f>
        <v>2375291236.4792213</v>
      </c>
      <c r="M8" s="224"/>
      <c r="N8" s="224"/>
      <c r="O8" s="224">
        <f>O9+O16+O23</f>
        <v>397230843.07651198</v>
      </c>
      <c r="P8" s="235"/>
      <c r="Q8" s="224"/>
      <c r="R8" s="224">
        <f>R9+R16+R23</f>
        <v>824426497.92497241</v>
      </c>
    </row>
    <row r="9" spans="1:19" s="219" customFormat="1" ht="16" customHeight="1" x14ac:dyDescent="0.35">
      <c r="A9" s="219" t="s">
        <v>186</v>
      </c>
      <c r="B9" s="270">
        <v>1450</v>
      </c>
      <c r="C9" s="219">
        <f>B9*F9</f>
        <v>2889098687.2586827</v>
      </c>
      <c r="D9" s="219">
        <f>'[1]GAP analysis Sc. 1'!$C$64</f>
        <v>1.7608156246161375</v>
      </c>
      <c r="E9" s="219">
        <f>'[2]Conversion factors selected IV '!$O$4</f>
        <v>1.1315675675675676</v>
      </c>
      <c r="F9" s="219">
        <f>D9*E9*1000000</f>
        <v>1992481.85328185</v>
      </c>
      <c r="G9" s="219">
        <f>'LCoP 2030 MEDIUM'!E2</f>
        <v>1350</v>
      </c>
      <c r="H9" s="219">
        <f>G9*F9</f>
        <v>2689850501.9304976</v>
      </c>
      <c r="I9" s="226">
        <f>'LCoP 2030 MEDIUM'!H2</f>
        <v>0.7407407407407407</v>
      </c>
      <c r="L9" s="219">
        <f>I9*H9</f>
        <v>1992481853.2818501</v>
      </c>
      <c r="M9" s="219">
        <f>'LCoP 2030 MEDIUM'!F2</f>
        <v>6.1481481481481484E-2</v>
      </c>
      <c r="O9" s="219">
        <f>M9*H9</f>
        <v>165375993.82239357</v>
      </c>
      <c r="P9" s="236">
        <f>'LCoP 2030 MEDIUM'!G2</f>
        <v>0.19777777777777777</v>
      </c>
      <c r="R9" s="219">
        <f>P9*H9</f>
        <v>531992654.82625395</v>
      </c>
      <c r="S9" s="219">
        <f>L9+O9+R9</f>
        <v>2689850501.9304976</v>
      </c>
    </row>
    <row r="10" spans="1:19" x14ac:dyDescent="0.35">
      <c r="C10">
        <f>C9/$C$8</f>
        <v>0.70742954201618502</v>
      </c>
      <c r="D10" s="31"/>
      <c r="E10" s="31"/>
      <c r="F10" s="31"/>
      <c r="G10" s="2"/>
      <c r="H10" s="222" t="s">
        <v>290</v>
      </c>
      <c r="I10" s="104" t="s">
        <v>304</v>
      </c>
      <c r="J10" s="157" t="s">
        <v>211</v>
      </c>
      <c r="K10" s="104">
        <f>'Feedstock MIX per IVC'!F8</f>
        <v>1</v>
      </c>
      <c r="L10" s="104">
        <f>L9</f>
        <v>1992481853.2818501</v>
      </c>
      <c r="M10" s="5" t="s">
        <v>245</v>
      </c>
      <c r="N10" s="123">
        <v>0.05</v>
      </c>
      <c r="O10" s="122">
        <f>N10*O$9</f>
        <v>8268799.6911196783</v>
      </c>
      <c r="P10" s="18" t="s">
        <v>251</v>
      </c>
      <c r="Q10" s="123">
        <v>0.35</v>
      </c>
      <c r="R10" s="104">
        <f>Q10*R$9</f>
        <v>186197429.18918887</v>
      </c>
      <c r="S10" s="18"/>
    </row>
    <row r="11" spans="1:19" x14ac:dyDescent="0.35">
      <c r="D11" s="31"/>
      <c r="E11" s="31"/>
      <c r="F11" s="31"/>
      <c r="G11" s="2"/>
      <c r="H11" s="24"/>
      <c r="I11" s="104"/>
      <c r="J11" s="112"/>
      <c r="K11" s="104"/>
      <c r="L11" s="104"/>
      <c r="M11" t="s">
        <v>246</v>
      </c>
      <c r="N11" s="123">
        <v>0.02</v>
      </c>
      <c r="O11" s="122">
        <f t="shared" ref="O11:O15" si="0">N11*O$9</f>
        <v>3307519.8764478713</v>
      </c>
      <c r="P11" s="18" t="s">
        <v>210</v>
      </c>
      <c r="Q11" s="123">
        <v>0.25</v>
      </c>
      <c r="R11" s="104">
        <f t="shared" ref="R11:R14" si="1">Q11*R$9</f>
        <v>132998163.70656349</v>
      </c>
      <c r="S11" s="18"/>
    </row>
    <row r="12" spans="1:19" x14ac:dyDescent="0.35">
      <c r="D12" s="31"/>
      <c r="E12" s="31"/>
      <c r="F12" s="31"/>
      <c r="G12" s="2"/>
      <c r="H12" s="24"/>
      <c r="I12" s="104"/>
      <c r="J12" s="112"/>
      <c r="K12" s="104"/>
      <c r="L12" s="104"/>
      <c r="M12" s="5" t="s">
        <v>244</v>
      </c>
      <c r="N12" s="123">
        <v>0.45</v>
      </c>
      <c r="O12" s="122">
        <f t="shared" si="0"/>
        <v>74419197.220077112</v>
      </c>
      <c r="P12" s="18" t="s">
        <v>252</v>
      </c>
      <c r="Q12" s="123">
        <v>0.2</v>
      </c>
      <c r="R12" s="104">
        <f t="shared" si="1"/>
        <v>106398530.96525079</v>
      </c>
      <c r="S12" s="18"/>
    </row>
    <row r="13" spans="1:19" x14ac:dyDescent="0.35">
      <c r="D13" s="31"/>
      <c r="E13" s="31"/>
      <c r="F13" s="31"/>
      <c r="G13" s="2"/>
      <c r="H13" s="24"/>
      <c r="I13" s="104"/>
      <c r="J13" s="112"/>
      <c r="K13" s="104"/>
      <c r="L13" s="104"/>
      <c r="M13" t="s">
        <v>247</v>
      </c>
      <c r="N13" s="123">
        <v>0.15</v>
      </c>
      <c r="O13" s="122">
        <f t="shared" si="0"/>
        <v>24806399.073359035</v>
      </c>
      <c r="P13" s="18" t="s">
        <v>253</v>
      </c>
      <c r="Q13" s="123">
        <v>0.15</v>
      </c>
      <c r="R13" s="104">
        <f t="shared" si="1"/>
        <v>79798898.223938093</v>
      </c>
      <c r="S13" s="104"/>
    </row>
    <row r="14" spans="1:19" x14ac:dyDescent="0.35">
      <c r="D14" s="31"/>
      <c r="E14" s="31"/>
      <c r="F14" s="31"/>
      <c r="G14" s="2"/>
      <c r="H14" s="24"/>
      <c r="I14" s="104"/>
      <c r="J14" s="112"/>
      <c r="K14" s="104"/>
      <c r="L14" s="104"/>
      <c r="M14" t="s">
        <v>248</v>
      </c>
      <c r="N14" s="123">
        <v>0.3</v>
      </c>
      <c r="O14" s="122">
        <f t="shared" si="0"/>
        <v>49612798.14671807</v>
      </c>
      <c r="P14" s="18" t="s">
        <v>254</v>
      </c>
      <c r="Q14" s="123">
        <v>0.05</v>
      </c>
      <c r="R14" s="104">
        <f t="shared" si="1"/>
        <v>26599632.741312698</v>
      </c>
      <c r="S14" s="18"/>
    </row>
    <row r="15" spans="1:19" x14ac:dyDescent="0.35">
      <c r="D15" s="31"/>
      <c r="E15" s="31"/>
      <c r="F15" s="31"/>
      <c r="G15" s="2"/>
      <c r="H15" s="24"/>
      <c r="I15" s="104"/>
      <c r="J15" s="112"/>
      <c r="K15" s="104"/>
      <c r="L15" s="104"/>
      <c r="M15" t="s">
        <v>250</v>
      </c>
      <c r="N15" s="123">
        <v>0.03</v>
      </c>
      <c r="O15" s="122">
        <f t="shared" si="0"/>
        <v>4961279.814671807</v>
      </c>
      <c r="P15" s="18"/>
      <c r="Q15" s="104"/>
      <c r="R15" s="104"/>
      <c r="S15" s="18"/>
    </row>
    <row r="16" spans="1:19" s="218" customFormat="1" x14ac:dyDescent="0.35">
      <c r="A16" s="218" t="s">
        <v>334</v>
      </c>
      <c r="B16" s="218">
        <v>1750</v>
      </c>
      <c r="C16" s="219">
        <f>B16*F16</f>
        <v>1037500000.0000006</v>
      </c>
      <c r="D16" s="220">
        <f>'[1]GAP analysis Sc. 1'!$C$65</f>
        <v>0.62304658177401118</v>
      </c>
      <c r="E16" s="225">
        <f>'[2]Conversion factors selected IV '!$O$7</f>
        <v>0.95154545454545458</v>
      </c>
      <c r="F16" s="219">
        <f>D16*E16*1000000</f>
        <v>592857.14285714319</v>
      </c>
      <c r="G16" s="225">
        <f>'LCoP 2030 MEDIUM'!E3</f>
        <v>1287.6834512512307</v>
      </c>
      <c r="H16" s="219">
        <f>G16*F16</f>
        <v>763412331.81323004</v>
      </c>
      <c r="I16" s="223">
        <f>'LCoP 2030 MEDIUM'!H3</f>
        <v>0.47657943468553543</v>
      </c>
      <c r="L16" s="219">
        <f>I16*H16</f>
        <v>363826617.52751559</v>
      </c>
      <c r="M16" s="223">
        <f>'LCoP 2030 MEDIUM'!F3</f>
        <v>0.20890227310028334</v>
      </c>
      <c r="O16" s="219">
        <f>M16*H16</f>
        <v>159478571.42857149</v>
      </c>
      <c r="P16" s="236">
        <f>'LCoP 2030 MEDIUM'!G3</f>
        <v>0.31451829221418126</v>
      </c>
      <c r="R16" s="219">
        <f>P16*H16</f>
        <v>240107142.85714298</v>
      </c>
      <c r="S16" s="219">
        <f>L16+O16+R16</f>
        <v>763412331.81323004</v>
      </c>
    </row>
    <row r="17" spans="1:19" x14ac:dyDescent="0.35">
      <c r="C17">
        <f>C16/$C$8</f>
        <v>0.25404398717103277</v>
      </c>
      <c r="F17" s="31"/>
      <c r="H17" s="222" t="s">
        <v>290</v>
      </c>
      <c r="I17" s="104" t="s">
        <v>304</v>
      </c>
      <c r="J17" s="157" t="s">
        <v>211</v>
      </c>
      <c r="L17" s="2">
        <f>L16</f>
        <v>363826617.52751559</v>
      </c>
      <c r="M17" s="5" t="s">
        <v>245</v>
      </c>
      <c r="N17" s="123">
        <v>0.05</v>
      </c>
      <c r="O17" s="2">
        <f>N17*O$16</f>
        <v>7973928.5714285746</v>
      </c>
      <c r="P17" s="18" t="s">
        <v>251</v>
      </c>
      <c r="Q17" s="123">
        <v>0.35</v>
      </c>
      <c r="R17" s="104">
        <f>Q17*R$16</f>
        <v>84037500.000000045</v>
      </c>
    </row>
    <row r="18" spans="1:19" x14ac:dyDescent="0.35">
      <c r="F18" s="31"/>
      <c r="M18" t="s">
        <v>246</v>
      </c>
      <c r="N18" s="123">
        <v>0.02</v>
      </c>
      <c r="O18" s="2">
        <f t="shared" ref="O18:O22" si="2">N18*O$16</f>
        <v>3189571.42857143</v>
      </c>
      <c r="P18" s="18" t="s">
        <v>210</v>
      </c>
      <c r="Q18" s="123">
        <v>0.25</v>
      </c>
      <c r="R18" s="104">
        <f t="shared" ref="R18:R21" si="3">Q18*R$16</f>
        <v>60026785.714285746</v>
      </c>
    </row>
    <row r="19" spans="1:19" x14ac:dyDescent="0.35">
      <c r="F19" s="31"/>
      <c r="M19" s="5" t="s">
        <v>244</v>
      </c>
      <c r="N19" s="123">
        <v>0.45</v>
      </c>
      <c r="O19" s="2">
        <f t="shared" si="2"/>
        <v>71765357.142857179</v>
      </c>
      <c r="P19" s="18" t="s">
        <v>252</v>
      </c>
      <c r="Q19" s="123">
        <v>0.2</v>
      </c>
      <c r="R19" s="104">
        <f t="shared" si="3"/>
        <v>48021428.571428597</v>
      </c>
      <c r="S19" s="2"/>
    </row>
    <row r="20" spans="1:19" x14ac:dyDescent="0.35">
      <c r="F20" s="31"/>
      <c r="M20" t="s">
        <v>247</v>
      </c>
      <c r="N20" s="123">
        <v>0.15</v>
      </c>
      <c r="O20" s="2">
        <f t="shared" si="2"/>
        <v>23921785.714285724</v>
      </c>
      <c r="P20" s="18" t="s">
        <v>253</v>
      </c>
      <c r="Q20" s="123">
        <v>0.15</v>
      </c>
      <c r="R20" s="104">
        <f t="shared" si="3"/>
        <v>36016071.428571448</v>
      </c>
    </row>
    <row r="21" spans="1:19" x14ac:dyDescent="0.35">
      <c r="F21" s="31"/>
      <c r="M21" t="s">
        <v>248</v>
      </c>
      <c r="N21" s="123">
        <v>0.3</v>
      </c>
      <c r="O21" s="2">
        <f t="shared" si="2"/>
        <v>47843571.428571448</v>
      </c>
      <c r="P21" s="18" t="s">
        <v>254</v>
      </c>
      <c r="Q21" s="123">
        <v>0.05</v>
      </c>
      <c r="R21" s="104">
        <f t="shared" si="3"/>
        <v>12005357.142857149</v>
      </c>
    </row>
    <row r="22" spans="1:19" x14ac:dyDescent="0.35">
      <c r="F22" s="31"/>
      <c r="M22" t="s">
        <v>250</v>
      </c>
      <c r="N22" s="123">
        <v>0.03</v>
      </c>
      <c r="O22" s="2">
        <f t="shared" si="2"/>
        <v>4784357.1428571446</v>
      </c>
      <c r="P22" s="18"/>
      <c r="Q22" s="123"/>
      <c r="R22" s="104"/>
    </row>
    <row r="23" spans="1:19" s="218" customFormat="1" x14ac:dyDescent="0.35">
      <c r="A23" s="218" t="s">
        <v>335</v>
      </c>
      <c r="B23" s="218">
        <v>1750</v>
      </c>
      <c r="C23" s="219">
        <f>B23*F23</f>
        <v>157339734.40336281</v>
      </c>
      <c r="D23" s="220">
        <f>'[1]GAP analysis Sc. 1'!$C$66</f>
        <v>8.9908419659064473E-2</v>
      </c>
      <c r="E23" s="218">
        <f>'[2]Conversion factors selected IV '!$O$89</f>
        <v>1</v>
      </c>
      <c r="F23" s="219">
        <f>D23*E23*1000000</f>
        <v>89908.419659064471</v>
      </c>
      <c r="G23" s="225">
        <f>'LCoP 2030 MEDIUM'!E20</f>
        <v>1598.1344603969103</v>
      </c>
      <c r="H23" s="220">
        <f>G23*F23</f>
        <v>143685743.73697796</v>
      </c>
      <c r="I23" s="223">
        <f>'LCoP 2030 MEDIUM'!H20</f>
        <v>0.13211307660838084</v>
      </c>
      <c r="L23" s="219">
        <f>I23*H23</f>
        <v>18982765.669855546</v>
      </c>
      <c r="M23" s="223">
        <f>'LCoP 2030 MEDIUM'!F20</f>
        <v>0.50371230953875523</v>
      </c>
      <c r="O23" s="219">
        <f>M23*H23</f>
        <v>72376277.825546905</v>
      </c>
      <c r="P23" s="236">
        <f>'LCoP 2030 MEDIUM'!G20</f>
        <v>0.36417461385286404</v>
      </c>
      <c r="R23" s="219">
        <f>P23*H23</f>
        <v>52326700.241575524</v>
      </c>
      <c r="S23" s="219">
        <f>L23+O23+R23</f>
        <v>143685743.73697799</v>
      </c>
    </row>
    <row r="24" spans="1:19" x14ac:dyDescent="0.35">
      <c r="C24">
        <f>C23/$C$8</f>
        <v>3.8526470812782244E-2</v>
      </c>
      <c r="D24" s="2"/>
      <c r="F24" s="154" t="s">
        <v>212</v>
      </c>
      <c r="G24" s="6">
        <f>SUMIF($J$24:$J$31,F24,$L$24:$L$31)/$L$23</f>
        <v>0.55703650838519014</v>
      </c>
      <c r="H24" s="209" t="s">
        <v>292</v>
      </c>
      <c r="I24" s="12" t="s">
        <v>5</v>
      </c>
      <c r="J24" s="154" t="s">
        <v>212</v>
      </c>
      <c r="K24" s="6">
        <f>'Feedstock MIX per IVC'!G89</f>
        <v>104.52293969276826</v>
      </c>
      <c r="L24" s="2">
        <f>K24*F$23</f>
        <v>9397492.325896496</v>
      </c>
      <c r="M24" s="5" t="s">
        <v>245</v>
      </c>
      <c r="N24" s="174">
        <v>0.15</v>
      </c>
      <c r="O24" s="2">
        <f>N24*O$23</f>
        <v>10856441.673832035</v>
      </c>
      <c r="P24" s="18" t="s">
        <v>251</v>
      </c>
      <c r="Q24" s="123">
        <v>0.15</v>
      </c>
      <c r="R24" s="2">
        <f>Q24*R$23</f>
        <v>7849005.0362363281</v>
      </c>
    </row>
    <row r="25" spans="1:19" x14ac:dyDescent="0.35">
      <c r="D25" s="2"/>
      <c r="F25" s="178" t="s">
        <v>256</v>
      </c>
      <c r="G25" s="6">
        <f t="shared" ref="G25:G28" si="4">SUMIF($J$24:$J$31,F25,$L$24:$L$31)/$L$23</f>
        <v>0.22886406110067606</v>
      </c>
      <c r="H25" s="209" t="s">
        <v>292</v>
      </c>
      <c r="I25" s="12" t="s">
        <v>6</v>
      </c>
      <c r="J25" s="154" t="s">
        <v>212</v>
      </c>
      <c r="K25" s="6">
        <f>'Feedstock MIX per IVC'!G90</f>
        <v>6.0040707909944153</v>
      </c>
      <c r="L25" s="2">
        <f t="shared" ref="L25:L31" si="5">K25*F$23</f>
        <v>539816.51633945701</v>
      </c>
      <c r="M25" t="s">
        <v>246</v>
      </c>
      <c r="N25" s="35">
        <v>0.02</v>
      </c>
      <c r="O25" s="2">
        <f t="shared" ref="O25:O29" si="6">N25*O$23</f>
        <v>1447525.5565109381</v>
      </c>
      <c r="P25" s="18" t="s">
        <v>210</v>
      </c>
      <c r="Q25" s="123">
        <v>0.25</v>
      </c>
      <c r="R25" s="2">
        <f t="shared" ref="R25:R28" si="7">Q25*R$23</f>
        <v>13081675.060393881</v>
      </c>
    </row>
    <row r="26" spans="1:19" x14ac:dyDescent="0.35">
      <c r="D26" s="2"/>
      <c r="F26" s="156" t="s">
        <v>209</v>
      </c>
      <c r="G26" s="6">
        <f t="shared" si="4"/>
        <v>0.200226942792888</v>
      </c>
      <c r="H26" s="209" t="s">
        <v>292</v>
      </c>
      <c r="I26" s="12" t="s">
        <v>7</v>
      </c>
      <c r="J26" s="157" t="s">
        <v>211</v>
      </c>
      <c r="K26" s="6">
        <f>'Feedstock MIX per IVC'!G91</f>
        <v>2.9289602093879772</v>
      </c>
      <c r="L26" s="2">
        <f t="shared" si="5"/>
        <v>263338.18367035559</v>
      </c>
      <c r="M26" s="5" t="s">
        <v>244</v>
      </c>
      <c r="N26" s="174">
        <v>0.45</v>
      </c>
      <c r="O26" s="2">
        <f t="shared" si="6"/>
        <v>32569325.02149611</v>
      </c>
      <c r="P26" s="18" t="s">
        <v>252</v>
      </c>
      <c r="Q26" s="123">
        <v>0.2</v>
      </c>
      <c r="R26" s="2">
        <f t="shared" si="7"/>
        <v>10465340.048315106</v>
      </c>
    </row>
    <row r="27" spans="1:19" x14ac:dyDescent="0.35">
      <c r="D27" s="2"/>
      <c r="F27" s="157" t="s">
        <v>211</v>
      </c>
      <c r="G27" s="6">
        <f t="shared" si="4"/>
        <v>1.3872487721245707E-2</v>
      </c>
      <c r="H27" s="209" t="s">
        <v>292</v>
      </c>
      <c r="I27" s="12" t="s">
        <v>8</v>
      </c>
      <c r="J27" s="154" t="s">
        <v>212</v>
      </c>
      <c r="K27" s="6">
        <f>'Feedstock MIX per IVC'!G92</f>
        <v>4.8668637567806563</v>
      </c>
      <c r="L27" s="2">
        <f t="shared" si="5"/>
        <v>437572.02906812634</v>
      </c>
      <c r="M27" t="s">
        <v>247</v>
      </c>
      <c r="N27" s="35">
        <v>0.1</v>
      </c>
      <c r="O27" s="2">
        <f t="shared" si="6"/>
        <v>7237627.7825546907</v>
      </c>
      <c r="P27" s="18" t="s">
        <v>253</v>
      </c>
      <c r="Q27" s="123">
        <v>0.3</v>
      </c>
      <c r="R27" s="2">
        <f t="shared" si="7"/>
        <v>15698010.072472656</v>
      </c>
      <c r="S27" s="2"/>
    </row>
    <row r="28" spans="1:19" x14ac:dyDescent="0.35">
      <c r="D28" s="2"/>
      <c r="F28" s="159" t="s">
        <v>213</v>
      </c>
      <c r="G28" s="6">
        <f t="shared" si="4"/>
        <v>0</v>
      </c>
      <c r="H28" s="209" t="s">
        <v>292</v>
      </c>
      <c r="I28" s="12" t="s">
        <v>9</v>
      </c>
      <c r="J28" s="154" t="s">
        <v>212</v>
      </c>
      <c r="K28" s="6">
        <f>'Feedstock MIX per IVC'!G93</f>
        <v>2.2157283787428326</v>
      </c>
      <c r="L28" s="2">
        <f t="shared" si="5"/>
        <v>199212.63692650915</v>
      </c>
      <c r="M28" t="s">
        <v>248</v>
      </c>
      <c r="N28" s="35">
        <v>0.25</v>
      </c>
      <c r="O28" s="2">
        <f t="shared" si="6"/>
        <v>18094069.456386726</v>
      </c>
      <c r="P28" s="18" t="s">
        <v>254</v>
      </c>
      <c r="Q28" s="123">
        <v>0.1</v>
      </c>
      <c r="R28" s="2">
        <f t="shared" si="7"/>
        <v>5232670.024157553</v>
      </c>
    </row>
    <row r="29" spans="1:19" x14ac:dyDescent="0.35">
      <c r="D29" s="2"/>
      <c r="F29" s="31"/>
      <c r="G29" s="6">
        <f>SUM(G24:G28)</f>
        <v>0.99999999999999989</v>
      </c>
      <c r="H29" s="209" t="s">
        <v>292</v>
      </c>
      <c r="I29" s="12" t="s">
        <v>10</v>
      </c>
      <c r="J29" s="178" t="s">
        <v>256</v>
      </c>
      <c r="K29" s="6">
        <f>'Feedstock MIX per IVC'!G94</f>
        <v>48.321090044736764</v>
      </c>
      <c r="L29" s="2">
        <f t="shared" si="5"/>
        <v>4344472.8421256356</v>
      </c>
      <c r="M29" t="s">
        <v>250</v>
      </c>
      <c r="N29" s="35">
        <v>0.03</v>
      </c>
      <c r="O29" s="2">
        <f t="shared" si="6"/>
        <v>2171288.334766407</v>
      </c>
      <c r="P29" s="18"/>
      <c r="Q29" s="123">
        <f>SUM(Q24:Q28)</f>
        <v>1.0000000000000002</v>
      </c>
      <c r="R29" s="2"/>
    </row>
    <row r="30" spans="1:19" x14ac:dyDescent="0.35">
      <c r="D30" s="2"/>
      <c r="F30" s="31"/>
      <c r="G30" s="6"/>
      <c r="H30" s="209" t="s">
        <v>292</v>
      </c>
      <c r="I30" s="12" t="s">
        <v>11</v>
      </c>
      <c r="J30" s="156" t="s">
        <v>209</v>
      </c>
      <c r="K30" s="6">
        <f>'Feedstock MIX per IVC'!G95</f>
        <v>42.274807523499447</v>
      </c>
      <c r="L30" s="2">
        <f t="shared" si="5"/>
        <v>3800861.1358289644</v>
      </c>
    </row>
    <row r="31" spans="1:19" x14ac:dyDescent="0.35">
      <c r="D31" s="2"/>
      <c r="F31" s="31"/>
      <c r="G31" s="6"/>
      <c r="H31" s="209" t="s">
        <v>292</v>
      </c>
      <c r="I31" s="12" t="s">
        <v>12</v>
      </c>
      <c r="J31" s="159" t="s">
        <v>213</v>
      </c>
      <c r="K31" s="6">
        <f>'Feedstock MIX per IVC'!G96</f>
        <v>0</v>
      </c>
      <c r="L31" s="2">
        <f t="shared" si="5"/>
        <v>0</v>
      </c>
    </row>
    <row r="32" spans="1:19" x14ac:dyDescent="0.35">
      <c r="D32" s="6"/>
      <c r="E32" s="6"/>
      <c r="F32" s="31"/>
      <c r="G32" s="6"/>
      <c r="H32" s="6"/>
      <c r="I32" s="6"/>
      <c r="J32" s="6"/>
      <c r="K32" s="6"/>
      <c r="L32" s="2"/>
    </row>
    <row r="33" spans="1:19" x14ac:dyDescent="0.35">
      <c r="D33" s="6"/>
      <c r="E33" s="6"/>
      <c r="F33" s="31"/>
      <c r="G33" s="6"/>
      <c r="H33" s="6"/>
      <c r="I33" s="229" t="s">
        <v>321</v>
      </c>
      <c r="J33" s="6"/>
      <c r="K33" s="6"/>
      <c r="L33" s="2"/>
      <c r="M33" s="80" t="s">
        <v>214</v>
      </c>
      <c r="O33" s="92">
        <f>SUM(O34:O39)</f>
        <v>397230843.07651192</v>
      </c>
      <c r="P33" s="80" t="s">
        <v>214</v>
      </c>
      <c r="Q33" s="80"/>
      <c r="R33" s="92">
        <f>SUM(R34:R38)</f>
        <v>824426497.92497253</v>
      </c>
    </row>
    <row r="34" spans="1:19" x14ac:dyDescent="0.35">
      <c r="D34" s="6"/>
      <c r="E34" s="6"/>
      <c r="F34" s="31"/>
      <c r="G34" s="6"/>
      <c r="H34" s="6"/>
      <c r="I34" s="6"/>
      <c r="J34" s="154" t="s">
        <v>212</v>
      </c>
      <c r="K34" s="6"/>
      <c r="L34" s="2">
        <f>L24+L25+L27+L28</f>
        <v>10574093.508230589</v>
      </c>
      <c r="M34" s="5" t="s">
        <v>245</v>
      </c>
      <c r="O34" s="2">
        <f>O10+O17+O24</f>
        <v>27099169.936380289</v>
      </c>
      <c r="P34" s="18" t="s">
        <v>251</v>
      </c>
      <c r="R34" s="2">
        <f>R10+R17+R24</f>
        <v>278083934.22542524</v>
      </c>
    </row>
    <row r="35" spans="1:19" x14ac:dyDescent="0.35">
      <c r="D35" s="6"/>
      <c r="E35" s="6"/>
      <c r="F35" s="31"/>
      <c r="G35" s="6"/>
      <c r="H35" s="6"/>
      <c r="I35" s="6"/>
      <c r="J35" s="178" t="s">
        <v>256</v>
      </c>
      <c r="K35" s="6"/>
      <c r="L35" s="2">
        <f>L29</f>
        <v>4344472.8421256356</v>
      </c>
      <c r="M35" t="s">
        <v>246</v>
      </c>
      <c r="O35" s="2">
        <f>O11+O18+O25</f>
        <v>7944616.8615302397</v>
      </c>
      <c r="P35" s="18" t="s">
        <v>210</v>
      </c>
      <c r="R35" s="2">
        <f>R11+R18+R25</f>
        <v>206106624.4812431</v>
      </c>
    </row>
    <row r="36" spans="1:19" x14ac:dyDescent="0.35">
      <c r="D36" s="6"/>
      <c r="E36" s="6"/>
      <c r="F36" s="31"/>
      <c r="G36" s="6"/>
      <c r="H36" s="6"/>
      <c r="I36" s="6"/>
      <c r="J36" s="156" t="s">
        <v>209</v>
      </c>
      <c r="K36" s="6"/>
      <c r="L36" s="2">
        <v>0</v>
      </c>
      <c r="M36" s="5" t="s">
        <v>244</v>
      </c>
      <c r="O36" s="2">
        <f>O12+O19+O26</f>
        <v>178753879.38443041</v>
      </c>
      <c r="P36" s="18" t="s">
        <v>252</v>
      </c>
      <c r="R36" s="2">
        <f>R12+R19+R26</f>
        <v>164885299.58499449</v>
      </c>
    </row>
    <row r="37" spans="1:19" x14ac:dyDescent="0.35">
      <c r="D37" s="6"/>
      <c r="E37" s="6"/>
      <c r="F37" s="31"/>
      <c r="G37" s="6"/>
      <c r="H37" s="6"/>
      <c r="I37" s="6"/>
      <c r="J37" s="157" t="s">
        <v>211</v>
      </c>
      <c r="K37" s="6"/>
      <c r="L37" s="2">
        <f>L26</f>
        <v>263338.18367035559</v>
      </c>
      <c r="M37" t="s">
        <v>247</v>
      </c>
      <c r="O37" s="2">
        <f>O13+O20+O27</f>
        <v>55965812.570199452</v>
      </c>
      <c r="P37" s="18" t="s">
        <v>253</v>
      </c>
      <c r="R37" s="2">
        <f>R13+R20+R27</f>
        <v>131512979.7249822</v>
      </c>
    </row>
    <row r="38" spans="1:19" x14ac:dyDescent="0.35">
      <c r="D38" s="6"/>
      <c r="E38" s="6"/>
      <c r="F38" s="31"/>
      <c r="G38" s="6"/>
      <c r="H38" s="6"/>
      <c r="I38" s="6"/>
      <c r="J38" s="159" t="s">
        <v>213</v>
      </c>
      <c r="K38" s="6"/>
      <c r="L38" s="2">
        <f>L31</f>
        <v>0</v>
      </c>
      <c r="M38" t="s">
        <v>248</v>
      </c>
      <c r="O38" s="2">
        <f>O14+O21+O28</f>
        <v>115550439.03167625</v>
      </c>
      <c r="P38" s="18" t="s">
        <v>254</v>
      </c>
      <c r="R38" s="2">
        <f>R14+R21+R28</f>
        <v>43837659.908327401</v>
      </c>
    </row>
    <row r="39" spans="1:19" x14ac:dyDescent="0.35">
      <c r="D39" s="6"/>
      <c r="E39" s="6"/>
      <c r="F39" s="31"/>
      <c r="G39" s="6"/>
      <c r="H39" s="6"/>
      <c r="I39" s="229" t="s">
        <v>339</v>
      </c>
      <c r="J39" s="107"/>
      <c r="K39" s="6"/>
      <c r="L39" s="2"/>
      <c r="M39" t="s">
        <v>250</v>
      </c>
      <c r="O39" s="2">
        <f>O15+O22+O29</f>
        <v>11916925.292295359</v>
      </c>
    </row>
    <row r="40" spans="1:19" x14ac:dyDescent="0.35">
      <c r="D40" s="6"/>
      <c r="E40" s="6"/>
      <c r="F40" s="31"/>
      <c r="G40" s="6"/>
      <c r="J40" s="154" t="s">
        <v>212</v>
      </c>
      <c r="L40" s="2">
        <f>L10+L17</f>
        <v>2356308470.8093657</v>
      </c>
    </row>
    <row r="41" spans="1:19" s="93" customFormat="1" ht="41" customHeight="1" x14ac:dyDescent="0.35">
      <c r="A41" s="93" t="s">
        <v>105</v>
      </c>
      <c r="F41" s="176"/>
    </row>
    <row r="42" spans="1:19" ht="17.5" customHeight="1" x14ac:dyDescent="0.35">
      <c r="C42" s="2">
        <f>C43+C50+C57+C66</f>
        <v>936805946.65766382</v>
      </c>
      <c r="D42" s="2">
        <f>D43+D50+D57+D66</f>
        <v>0.59662031124903658</v>
      </c>
      <c r="F42" s="2">
        <f>F43+F50+F57+F66</f>
        <v>867025.41191582242</v>
      </c>
      <c r="L42" s="2">
        <f>L43+L50+L57+L66</f>
        <v>262779423.41809794</v>
      </c>
      <c r="O42" s="2">
        <f>O43+O50+O57+O66</f>
        <v>393717590.02816468</v>
      </c>
      <c r="R42" s="2">
        <f>R43+R50+R57+R66</f>
        <v>408717740.35300791</v>
      </c>
    </row>
    <row r="43" spans="1:19" s="218" customFormat="1" ht="17.5" customHeight="1" x14ac:dyDescent="0.35">
      <c r="A43" s="218" t="s">
        <v>337</v>
      </c>
      <c r="B43" s="218">
        <v>1000</v>
      </c>
      <c r="C43" s="219">
        <f>B43*F43</f>
        <v>357142857.14285773</v>
      </c>
      <c r="D43" s="220">
        <f>'[1]GAP analysis Sc. 1'!$C$68</f>
        <v>0.23031568603365718</v>
      </c>
      <c r="E43" s="227">
        <f>'[2]Conversion factors selected IV '!$O$17</f>
        <v>1.5506666666666669</v>
      </c>
      <c r="F43" s="219">
        <f>D43*E43*1000000</f>
        <v>357142.85714285774</v>
      </c>
      <c r="G43" s="225">
        <f>'LCoP 2030 MEDIUM'!E5</f>
        <v>1385.4252403270348</v>
      </c>
      <c r="H43" s="220">
        <f>G43*F43</f>
        <v>494794728.68822753</v>
      </c>
      <c r="I43" s="223">
        <f>'LCoP 2030 MEDIUM'!H5</f>
        <v>0.22695215243286143</v>
      </c>
      <c r="L43" s="219">
        <f>I43*H43</f>
        <v>112294728.68822692</v>
      </c>
      <c r="M43" s="223">
        <f>'LCoP 2030 MEDIUM'!F5</f>
        <v>0.40059902464963765</v>
      </c>
      <c r="O43" s="219">
        <f>M43*H43</f>
        <v>198214285.71428603</v>
      </c>
      <c r="P43" s="236">
        <f>'LCoP 2030 MEDIUM'!G5</f>
        <v>0.37244882291750098</v>
      </c>
      <c r="R43" s="219">
        <f>P43*H43</f>
        <v>184285714.2857146</v>
      </c>
      <c r="S43" s="220">
        <f>R43+O43+L43</f>
        <v>494794728.68822753</v>
      </c>
    </row>
    <row r="44" spans="1:19" ht="15" customHeight="1" x14ac:dyDescent="0.35">
      <c r="C44">
        <f>C43/$C$42</f>
        <v>0.38123461792388486</v>
      </c>
      <c r="F44" s="154" t="s">
        <v>212</v>
      </c>
      <c r="G44" s="2">
        <f>SUMIF($J$44:$J$47,F44,$L$44:$L$47)/$L$43</f>
        <v>0.77548896797828348</v>
      </c>
      <c r="H44" s="209" t="s">
        <v>292</v>
      </c>
      <c r="I44" s="7" t="s">
        <v>5</v>
      </c>
      <c r="J44" s="154" t="s">
        <v>212</v>
      </c>
      <c r="K44" s="6">
        <f>'Feedstock MIX per IVC'!G13</f>
        <v>228.35941399522207</v>
      </c>
      <c r="L44">
        <f>K44*F$43</f>
        <v>81556933.56972231</v>
      </c>
      <c r="M44" s="5" t="s">
        <v>245</v>
      </c>
      <c r="N44" s="35">
        <v>0</v>
      </c>
      <c r="O44" s="2">
        <f>N44*O$43</f>
        <v>0</v>
      </c>
      <c r="P44" s="18" t="s">
        <v>251</v>
      </c>
      <c r="Q44" s="35">
        <v>0.2</v>
      </c>
      <c r="R44" s="2">
        <f>Q44*R$43</f>
        <v>36857142.857142918</v>
      </c>
    </row>
    <row r="45" spans="1:19" ht="15" customHeight="1" x14ac:dyDescent="0.35">
      <c r="F45" s="156" t="s">
        <v>209</v>
      </c>
      <c r="G45" s="2">
        <f>SUMIF($J$44:$J$47,F45,$L$44:$L$47)/$L$43</f>
        <v>0.22451103202171679</v>
      </c>
      <c r="H45" s="209" t="s">
        <v>292</v>
      </c>
      <c r="I45" s="7" t="s">
        <v>8</v>
      </c>
      <c r="J45" s="154" t="s">
        <v>212</v>
      </c>
      <c r="K45" s="6">
        <f>'Feedstock MIX per IVC'!G14</f>
        <v>10.633016625439506</v>
      </c>
      <c r="L45">
        <f t="shared" ref="L45:L47" si="8">K45*F$43</f>
        <v>3797505.9376569726</v>
      </c>
      <c r="M45" t="s">
        <v>246</v>
      </c>
      <c r="N45" s="35">
        <v>0.02</v>
      </c>
      <c r="O45" s="2">
        <f t="shared" ref="O45:O49" si="9">N45*O$43</f>
        <v>3964285.7142857206</v>
      </c>
      <c r="P45" s="18" t="s">
        <v>210</v>
      </c>
      <c r="Q45" s="35">
        <v>0.5</v>
      </c>
      <c r="R45" s="2">
        <f t="shared" ref="R45:R48" si="10">Q45*R$43</f>
        <v>92142857.142857298</v>
      </c>
    </row>
    <row r="46" spans="1:19" ht="15" customHeight="1" x14ac:dyDescent="0.35">
      <c r="F46" s="31"/>
      <c r="H46" s="209" t="s">
        <v>292</v>
      </c>
      <c r="I46" s="7" t="s">
        <v>9</v>
      </c>
      <c r="J46" s="154" t="s">
        <v>212</v>
      </c>
      <c r="K46" s="6">
        <f>'Feedstock MIX per IVC'!G15</f>
        <v>4.8408745068744423</v>
      </c>
      <c r="L46">
        <f t="shared" si="8"/>
        <v>1728883.752455161</v>
      </c>
      <c r="M46" s="5" t="s">
        <v>244</v>
      </c>
      <c r="N46" s="35">
        <v>0.5</v>
      </c>
      <c r="O46" s="2">
        <f t="shared" si="9"/>
        <v>99107142.857143015</v>
      </c>
      <c r="P46" s="18" t="s">
        <v>252</v>
      </c>
      <c r="Q46" s="35">
        <v>0.15</v>
      </c>
      <c r="R46" s="2">
        <f t="shared" si="10"/>
        <v>27642857.14285719</v>
      </c>
    </row>
    <row r="47" spans="1:19" ht="15" customHeight="1" x14ac:dyDescent="0.35">
      <c r="F47" s="31"/>
      <c r="H47" s="209" t="s">
        <v>292</v>
      </c>
      <c r="I47" s="7" t="s">
        <v>11</v>
      </c>
      <c r="J47" s="156" t="s">
        <v>209</v>
      </c>
      <c r="K47" s="6">
        <f>'Feedstock MIX per IVC'!G16</f>
        <v>70.59193519949892</v>
      </c>
      <c r="L47">
        <f t="shared" si="8"/>
        <v>25211405.428392515</v>
      </c>
      <c r="M47" t="s">
        <v>247</v>
      </c>
      <c r="N47" s="35">
        <v>0.15</v>
      </c>
      <c r="O47" s="2">
        <f t="shared" si="9"/>
        <v>29732142.857142903</v>
      </c>
      <c r="P47" s="18" t="s">
        <v>253</v>
      </c>
      <c r="Q47" s="35">
        <v>0.1</v>
      </c>
      <c r="R47" s="2">
        <f t="shared" si="10"/>
        <v>18428571.428571459</v>
      </c>
    </row>
    <row r="48" spans="1:19" ht="15" customHeight="1" x14ac:dyDescent="0.35">
      <c r="F48" s="31"/>
      <c r="M48" t="s">
        <v>248</v>
      </c>
      <c r="N48" s="35">
        <v>0.3</v>
      </c>
      <c r="O48" s="2">
        <f t="shared" si="9"/>
        <v>59464285.714285806</v>
      </c>
      <c r="P48" s="18" t="s">
        <v>254</v>
      </c>
      <c r="Q48" s="35">
        <v>0.05</v>
      </c>
      <c r="R48" s="2">
        <f t="shared" si="10"/>
        <v>9214285.7142857295</v>
      </c>
    </row>
    <row r="49" spans="1:19" ht="15" customHeight="1" x14ac:dyDescent="0.35">
      <c r="F49" s="31"/>
      <c r="M49" t="s">
        <v>250</v>
      </c>
      <c r="N49" s="35">
        <v>0.03</v>
      </c>
      <c r="O49" s="2">
        <f t="shared" si="9"/>
        <v>5946428.5714285802</v>
      </c>
      <c r="R49" s="2"/>
    </row>
    <row r="50" spans="1:19" s="218" customFormat="1" ht="17.5" customHeight="1" x14ac:dyDescent="0.35">
      <c r="A50" s="218" t="s">
        <v>344</v>
      </c>
      <c r="B50" s="218">
        <v>1000</v>
      </c>
      <c r="C50" s="219">
        <f>B50*F50</f>
        <v>404312668.46361142</v>
      </c>
      <c r="D50" s="225">
        <f>'[1]GAP analysis Sc. 1'!$C$69</f>
        <v>0.26073473890602628</v>
      </c>
      <c r="E50" s="218">
        <f>'[2]Conversion factors selected IV '!$O$86</f>
        <v>1.5506666666666669</v>
      </c>
      <c r="F50" s="219">
        <f>D50*E50*1000000</f>
        <v>404312.66846361145</v>
      </c>
      <c r="G50" s="225">
        <f>'LCoP 2030 MEDIUM'!E18</f>
        <v>988.03814186666671</v>
      </c>
      <c r="H50" s="220">
        <f>G50*F50</f>
        <v>399476337.68194032</v>
      </c>
      <c r="I50" s="223">
        <f>'LCoP 2030 MEDIUM'!H18</f>
        <v>0.32087642008201966</v>
      </c>
      <c r="L50" s="219">
        <f>I50*H50</f>
        <v>128182537.14285703</v>
      </c>
      <c r="M50" s="223">
        <f>'LCoP 2030 MEDIUM'!F18</f>
        <v>0.28136565606139868</v>
      </c>
      <c r="O50" s="219">
        <f>M50*H50</f>
        <v>112398921.83288398</v>
      </c>
      <c r="P50" s="236">
        <f>'LCoP 2030 MEDIUM'!G18</f>
        <v>0.3977579238565816</v>
      </c>
      <c r="R50" s="219">
        <f>P50*H50</f>
        <v>158894878.70619929</v>
      </c>
      <c r="S50" s="220">
        <f>R50+O50+L50</f>
        <v>399476337.68194026</v>
      </c>
    </row>
    <row r="51" spans="1:19" ht="14.5" customHeight="1" x14ac:dyDescent="0.35">
      <c r="C51">
        <f>C50/$C$42</f>
        <v>0.43158635991383076</v>
      </c>
      <c r="D51" s="6"/>
      <c r="F51" s="31"/>
      <c r="I51" s="16" t="s">
        <v>37</v>
      </c>
      <c r="J51" s="207" t="s">
        <v>106</v>
      </c>
      <c r="K51" s="6">
        <f>'Feedstock MIX per IVC'!G85</f>
        <v>317.03814186666671</v>
      </c>
      <c r="L51" s="31">
        <f>K51*F50</f>
        <v>128182537.14285703</v>
      </c>
      <c r="M51" s="5" t="s">
        <v>245</v>
      </c>
      <c r="N51" s="35">
        <v>0</v>
      </c>
      <c r="O51" s="2">
        <f>N51*O$50</f>
        <v>0</v>
      </c>
      <c r="P51" s="18" t="s">
        <v>251</v>
      </c>
      <c r="Q51" s="35">
        <v>0.2</v>
      </c>
      <c r="R51" s="2">
        <f>Q51*R$50</f>
        <v>31778975.741239861</v>
      </c>
    </row>
    <row r="52" spans="1:19" ht="14.5" customHeight="1" x14ac:dyDescent="0.35">
      <c r="D52" s="6"/>
      <c r="F52" s="31"/>
      <c r="M52" t="s">
        <v>246</v>
      </c>
      <c r="N52" s="35">
        <v>0.02</v>
      </c>
      <c r="O52" s="2">
        <f t="shared" ref="O52:O56" si="11">N52*O$50</f>
        <v>2247978.4366576797</v>
      </c>
      <c r="P52" s="18" t="s">
        <v>210</v>
      </c>
      <c r="Q52" s="35">
        <v>0.5</v>
      </c>
      <c r="R52" s="2">
        <f t="shared" ref="R52:R55" si="12">Q52*R$50</f>
        <v>79447439.353099644</v>
      </c>
    </row>
    <row r="53" spans="1:19" ht="14.5" customHeight="1" x14ac:dyDescent="0.35">
      <c r="D53" s="6"/>
      <c r="F53" s="31"/>
      <c r="M53" s="5" t="s">
        <v>244</v>
      </c>
      <c r="N53" s="35">
        <v>0.5</v>
      </c>
      <c r="O53" s="2">
        <f t="shared" si="11"/>
        <v>56199460.916441992</v>
      </c>
      <c r="P53" s="18" t="s">
        <v>252</v>
      </c>
      <c r="Q53" s="35">
        <v>0.15</v>
      </c>
      <c r="R53" s="2">
        <f t="shared" si="12"/>
        <v>23834231.805929892</v>
      </c>
    </row>
    <row r="54" spans="1:19" ht="14.5" customHeight="1" x14ac:dyDescent="0.35">
      <c r="D54" s="6"/>
      <c r="F54" s="31"/>
      <c r="M54" t="s">
        <v>247</v>
      </c>
      <c r="N54" s="35">
        <v>0.15</v>
      </c>
      <c r="O54" s="2">
        <f t="shared" si="11"/>
        <v>16859838.274932597</v>
      </c>
      <c r="P54" s="18" t="s">
        <v>253</v>
      </c>
      <c r="Q54" s="35">
        <v>0.1</v>
      </c>
      <c r="R54" s="2">
        <f t="shared" si="12"/>
        <v>15889487.87061993</v>
      </c>
    </row>
    <row r="55" spans="1:19" ht="14.5" customHeight="1" x14ac:dyDescent="0.35">
      <c r="F55" s="31"/>
      <c r="M55" t="s">
        <v>248</v>
      </c>
      <c r="N55" s="35">
        <v>0.3</v>
      </c>
      <c r="O55" s="2">
        <f t="shared" si="11"/>
        <v>33719676.549865194</v>
      </c>
      <c r="P55" s="18" t="s">
        <v>254</v>
      </c>
      <c r="Q55" s="35">
        <v>0.05</v>
      </c>
      <c r="R55" s="2">
        <f t="shared" si="12"/>
        <v>7944743.9353099652</v>
      </c>
    </row>
    <row r="56" spans="1:19" ht="14.5" customHeight="1" x14ac:dyDescent="0.35">
      <c r="F56" s="31"/>
      <c r="M56" t="s">
        <v>250</v>
      </c>
      <c r="N56" s="35">
        <v>0.03</v>
      </c>
      <c r="O56" s="2">
        <f t="shared" si="11"/>
        <v>3371967.6549865194</v>
      </c>
    </row>
    <row r="57" spans="1:19" s="218" customFormat="1" ht="17.5" customHeight="1" x14ac:dyDescent="0.35">
      <c r="A57" s="218" t="s">
        <v>335</v>
      </c>
      <c r="B57" s="218">
        <v>1750</v>
      </c>
      <c r="C57" s="219">
        <f>B57*F57</f>
        <v>157339734.40336281</v>
      </c>
      <c r="D57" s="220">
        <f>'[1]GAP analysis Sc. 1'!$C$70</f>
        <v>8.9908419659064473E-2</v>
      </c>
      <c r="E57" s="218">
        <f>'[2]Conversion factors selected IV '!$O$89</f>
        <v>1</v>
      </c>
      <c r="F57" s="219">
        <f>D57*E57*1000000</f>
        <v>89908.419659064471</v>
      </c>
      <c r="G57" s="225">
        <f>'LCoP 2030 MEDIUM'!E20</f>
        <v>1598.1344603969103</v>
      </c>
      <c r="H57" s="220">
        <f>G57*F57</f>
        <v>143685743.73697796</v>
      </c>
      <c r="I57" s="223">
        <f>'LCoP 2030 MEDIUM'!H20</f>
        <v>0.13211307660838084</v>
      </c>
      <c r="L57" s="219">
        <f>I57*H57</f>
        <v>18982765.669855546</v>
      </c>
      <c r="M57" s="223">
        <f>'LCoP 2030 MEDIUM'!F20</f>
        <v>0.50371230953875523</v>
      </c>
      <c r="O57" s="219">
        <f>M57*H57</f>
        <v>72376277.825546905</v>
      </c>
      <c r="P57" s="236">
        <f>'LCoP 2030 MEDIUM'!G20</f>
        <v>0.36417461385286404</v>
      </c>
      <c r="R57" s="219">
        <f>P57*H57</f>
        <v>52326700.241575524</v>
      </c>
      <c r="S57" s="220">
        <f>R57+O57+L57</f>
        <v>143685743.73697796</v>
      </c>
    </row>
    <row r="58" spans="1:19" ht="17.5" customHeight="1" x14ac:dyDescent="0.35">
      <c r="C58">
        <f>C57/$C$42</f>
        <v>0.16795338988263206</v>
      </c>
      <c r="F58" s="154" t="s">
        <v>212</v>
      </c>
      <c r="G58" s="2">
        <f>SUMIF($J$58:$J$65,F58,$L$58:$L$65)/$L$57</f>
        <v>0.55703650838519014</v>
      </c>
      <c r="H58" s="209" t="s">
        <v>292</v>
      </c>
      <c r="I58" s="5" t="s">
        <v>5</v>
      </c>
      <c r="J58" s="154" t="s">
        <v>212</v>
      </c>
      <c r="K58" s="6">
        <f>'Feedstock MIX per IVC'!G89</f>
        <v>104.52293969276826</v>
      </c>
      <c r="L58">
        <f>K58*F$57</f>
        <v>9397492.325896496</v>
      </c>
      <c r="M58" s="5" t="s">
        <v>245</v>
      </c>
      <c r="N58" s="174">
        <v>0.15</v>
      </c>
      <c r="O58" s="2">
        <f>N58*O$57</f>
        <v>10856441.673832035</v>
      </c>
      <c r="P58" s="18" t="s">
        <v>251</v>
      </c>
      <c r="Q58" s="123">
        <v>0.15</v>
      </c>
      <c r="R58" s="2">
        <f>Q58*R$57</f>
        <v>7849005.0362363281</v>
      </c>
    </row>
    <row r="59" spans="1:19" ht="17.5" customHeight="1" x14ac:dyDescent="0.35">
      <c r="F59" s="178" t="s">
        <v>256</v>
      </c>
      <c r="G59" s="2">
        <f t="shared" ref="G59:G63" si="13">SUMIF($J$58:$J$65,F59,$L$58:$L$65)/$L$57</f>
        <v>0.22886406110067606</v>
      </c>
      <c r="H59" s="209" t="s">
        <v>292</v>
      </c>
      <c r="I59" s="5" t="s">
        <v>6</v>
      </c>
      <c r="J59" s="154" t="s">
        <v>212</v>
      </c>
      <c r="K59" s="6">
        <f>'Feedstock MIX per IVC'!G90</f>
        <v>6.0040707909944153</v>
      </c>
      <c r="L59">
        <f t="shared" ref="L59:L65" si="14">K59*F$57</f>
        <v>539816.51633945701</v>
      </c>
      <c r="M59" t="s">
        <v>246</v>
      </c>
      <c r="N59" s="35">
        <v>0.02</v>
      </c>
      <c r="O59" s="2">
        <f t="shared" ref="O59:O62" si="15">N59*O$57</f>
        <v>1447525.5565109381</v>
      </c>
      <c r="P59" s="18" t="s">
        <v>210</v>
      </c>
      <c r="Q59" s="123">
        <v>0.25</v>
      </c>
      <c r="R59" s="2">
        <f t="shared" ref="R59:R62" si="16">Q59*R$57</f>
        <v>13081675.060393881</v>
      </c>
    </row>
    <row r="60" spans="1:19" ht="17.5" customHeight="1" x14ac:dyDescent="0.35">
      <c r="F60" s="156" t="s">
        <v>209</v>
      </c>
      <c r="G60" s="2">
        <f t="shared" si="13"/>
        <v>0.200226942792888</v>
      </c>
      <c r="H60" s="209" t="s">
        <v>292</v>
      </c>
      <c r="I60" s="5" t="s">
        <v>7</v>
      </c>
      <c r="J60" s="157" t="s">
        <v>211</v>
      </c>
      <c r="K60" s="6">
        <f>'Feedstock MIX per IVC'!G91</f>
        <v>2.9289602093879772</v>
      </c>
      <c r="L60">
        <f t="shared" si="14"/>
        <v>263338.18367035559</v>
      </c>
      <c r="M60" s="5" t="s">
        <v>244</v>
      </c>
      <c r="N60" s="174">
        <v>0.45</v>
      </c>
      <c r="O60" s="2">
        <f t="shared" si="15"/>
        <v>32569325.02149611</v>
      </c>
      <c r="P60" s="18" t="s">
        <v>252</v>
      </c>
      <c r="Q60" s="123">
        <v>0.2</v>
      </c>
      <c r="R60" s="2">
        <f t="shared" si="16"/>
        <v>10465340.048315106</v>
      </c>
    </row>
    <row r="61" spans="1:19" ht="17.5" customHeight="1" x14ac:dyDescent="0.35">
      <c r="F61" s="157" t="s">
        <v>211</v>
      </c>
      <c r="G61" s="2">
        <f t="shared" si="13"/>
        <v>1.3872487721245707E-2</v>
      </c>
      <c r="H61" s="209" t="s">
        <v>292</v>
      </c>
      <c r="I61" s="5" t="s">
        <v>8</v>
      </c>
      <c r="J61" s="154" t="s">
        <v>212</v>
      </c>
      <c r="K61" s="6">
        <f>'Feedstock MIX per IVC'!G92</f>
        <v>4.8668637567806563</v>
      </c>
      <c r="L61">
        <f t="shared" si="14"/>
        <v>437572.02906812634</v>
      </c>
      <c r="M61" t="s">
        <v>247</v>
      </c>
      <c r="N61" s="35">
        <v>0.1</v>
      </c>
      <c r="O61" s="2">
        <f t="shared" si="15"/>
        <v>7237627.7825546907</v>
      </c>
      <c r="P61" s="18" t="s">
        <v>253</v>
      </c>
      <c r="Q61" s="123">
        <v>0.3</v>
      </c>
      <c r="R61" s="2">
        <f t="shared" si="16"/>
        <v>15698010.072472656</v>
      </c>
    </row>
    <row r="62" spans="1:19" ht="17.5" customHeight="1" x14ac:dyDescent="0.35">
      <c r="F62" s="159" t="s">
        <v>213</v>
      </c>
      <c r="G62" s="2">
        <f t="shared" si="13"/>
        <v>0</v>
      </c>
      <c r="H62" s="209" t="s">
        <v>292</v>
      </c>
      <c r="I62" s="5" t="s">
        <v>9</v>
      </c>
      <c r="J62" s="154" t="s">
        <v>212</v>
      </c>
      <c r="K62" s="6">
        <f>'Feedstock MIX per IVC'!G93</f>
        <v>2.2157283787428326</v>
      </c>
      <c r="L62">
        <f t="shared" si="14"/>
        <v>199212.63692650915</v>
      </c>
      <c r="M62" t="s">
        <v>248</v>
      </c>
      <c r="N62" s="35">
        <v>0.25</v>
      </c>
      <c r="O62" s="2">
        <f t="shared" si="15"/>
        <v>18094069.456386726</v>
      </c>
      <c r="P62" s="18" t="s">
        <v>254</v>
      </c>
      <c r="Q62" s="123">
        <v>0.1</v>
      </c>
      <c r="R62" s="2">
        <f t="shared" si="16"/>
        <v>5232670.024157553</v>
      </c>
    </row>
    <row r="63" spans="1:19" ht="17.5" customHeight="1" x14ac:dyDescent="0.35">
      <c r="F63" s="207" t="s">
        <v>106</v>
      </c>
      <c r="G63" s="2">
        <f t="shared" si="13"/>
        <v>0</v>
      </c>
      <c r="H63" s="209" t="s">
        <v>292</v>
      </c>
      <c r="I63" s="5" t="s">
        <v>10</v>
      </c>
      <c r="J63" s="178" t="s">
        <v>256</v>
      </c>
      <c r="K63" s="6">
        <f>'Feedstock MIX per IVC'!G94</f>
        <v>48.321090044736764</v>
      </c>
      <c r="L63">
        <f t="shared" si="14"/>
        <v>4344472.8421256356</v>
      </c>
      <c r="M63" t="s">
        <v>250</v>
      </c>
      <c r="N63" s="35">
        <v>0.03</v>
      </c>
      <c r="O63" s="2">
        <f>N63*O$57</f>
        <v>2171288.334766407</v>
      </c>
      <c r="Q63" s="35"/>
      <c r="R63" s="2"/>
    </row>
    <row r="64" spans="1:19" ht="17.5" customHeight="1" x14ac:dyDescent="0.35">
      <c r="F64" s="31"/>
      <c r="G64" s="2">
        <f>SUM(G58:G63)</f>
        <v>0.99999999999999989</v>
      </c>
      <c r="H64" s="209" t="s">
        <v>292</v>
      </c>
      <c r="I64" s="5" t="s">
        <v>11</v>
      </c>
      <c r="J64" s="156" t="s">
        <v>209</v>
      </c>
      <c r="K64" s="6">
        <f>'Feedstock MIX per IVC'!G95</f>
        <v>42.274807523499447</v>
      </c>
      <c r="L64">
        <f t="shared" si="14"/>
        <v>3800861.1358289644</v>
      </c>
      <c r="O64" s="2"/>
    </row>
    <row r="65" spans="1:19" ht="17.5" customHeight="1" x14ac:dyDescent="0.35">
      <c r="F65" s="31"/>
      <c r="H65" s="209" t="s">
        <v>292</v>
      </c>
      <c r="I65" s="5" t="s">
        <v>12</v>
      </c>
      <c r="J65" s="159" t="s">
        <v>213</v>
      </c>
      <c r="K65" s="6">
        <f>'Feedstock MIX per IVC'!G96</f>
        <v>0</v>
      </c>
      <c r="L65">
        <f t="shared" si="14"/>
        <v>0</v>
      </c>
    </row>
    <row r="66" spans="1:19" s="218" customFormat="1" x14ac:dyDescent="0.35">
      <c r="A66" s="218" t="s">
        <v>338</v>
      </c>
      <c r="B66" s="218">
        <v>1150</v>
      </c>
      <c r="C66" s="219">
        <f>B66*F66</f>
        <v>18010686.64783195</v>
      </c>
      <c r="D66" s="225">
        <f>'[1]GAP analysis Sc. 1'!$C$71</f>
        <v>1.5661466650288652E-2</v>
      </c>
      <c r="E66" s="225">
        <f>'[2]Conversion factors selected IV '!$O$125</f>
        <v>1</v>
      </c>
      <c r="F66" s="219">
        <f>D66*E66*1000000</f>
        <v>15661.466650288652</v>
      </c>
      <c r="G66" s="225">
        <f>'LCoP 2030 MEDIUM'!$E$22</f>
        <v>1740.4464282163694</v>
      </c>
      <c r="H66" s="220">
        <f>G66*F66</f>
        <v>27257943.692124672</v>
      </c>
      <c r="I66" s="223">
        <f>'LCoP 2030 MEDIUM'!H$22</f>
        <v>0.12177704799197682</v>
      </c>
      <c r="L66" s="219">
        <f>I66*H66</f>
        <v>3319391.9171584682</v>
      </c>
      <c r="M66" s="223">
        <f>'LCoP 2030 MEDIUM'!F22</f>
        <v>0.39357718163264371</v>
      </c>
      <c r="O66" s="219">
        <f>M66*H66</f>
        <v>10728104.655447727</v>
      </c>
      <c r="P66" s="236">
        <f>'LCoP 2030 MEDIUM'!G22</f>
        <v>0.48464577037537948</v>
      </c>
      <c r="R66" s="219">
        <f>P66*H66</f>
        <v>13210447.119518477</v>
      </c>
      <c r="S66" s="219">
        <f>L66+O66+R66</f>
        <v>27257943.692124672</v>
      </c>
    </row>
    <row r="67" spans="1:19" x14ac:dyDescent="0.35">
      <c r="C67">
        <f>C66/$C$42</f>
        <v>1.9225632279652446E-2</v>
      </c>
      <c r="D67" s="6"/>
      <c r="E67" s="6"/>
      <c r="F67" s="154" t="s">
        <v>212</v>
      </c>
      <c r="G67" s="2">
        <f>SUMIF($J$67:$J$74,F67,$L$67:$L$74)/$L$66</f>
        <v>0.55490249875417674</v>
      </c>
      <c r="H67" s="209" t="s">
        <v>292</v>
      </c>
      <c r="I67" s="5" t="s">
        <v>5</v>
      </c>
      <c r="J67" s="154" t="s">
        <v>212</v>
      </c>
      <c r="K67" s="6">
        <f>'Feedstock MIX per IVC'!G89</f>
        <v>104.52293969276826</v>
      </c>
      <c r="L67" s="2">
        <f>K67*F$66</f>
        <v>1636982.5341884221</v>
      </c>
      <c r="M67" s="5" t="s">
        <v>245</v>
      </c>
      <c r="N67" s="174">
        <v>0.15</v>
      </c>
      <c r="O67" s="2">
        <f>N67*O$66</f>
        <v>1609215.698317159</v>
      </c>
      <c r="P67" s="18" t="s">
        <v>251</v>
      </c>
      <c r="Q67" s="123">
        <v>0.15</v>
      </c>
      <c r="R67" s="2">
        <f>Q67*R$66</f>
        <v>1981567.0679277715</v>
      </c>
    </row>
    <row r="68" spans="1:19" x14ac:dyDescent="0.35">
      <c r="D68" s="6"/>
      <c r="E68" s="6"/>
      <c r="F68" s="178" t="s">
        <v>256</v>
      </c>
      <c r="G68" s="2">
        <f t="shared" ref="G68:G72" si="17">SUMIF($J$67:$J$74,F68,$L$67:$L$74)/$L$66</f>
        <v>0.22798728174558938</v>
      </c>
      <c r="H68" s="209" t="s">
        <v>292</v>
      </c>
      <c r="I68" s="5" t="s">
        <v>6</v>
      </c>
      <c r="J68" s="154" t="s">
        <v>212</v>
      </c>
      <c r="K68" s="6">
        <f>'Feedstock MIX per IVC'!G90</f>
        <v>6.0040707909944153</v>
      </c>
      <c r="L68" s="2">
        <f t="shared" ref="L68:L73" si="18">K68*F$66</f>
        <v>94032.55445913125</v>
      </c>
      <c r="M68" t="s">
        <v>246</v>
      </c>
      <c r="N68" s="35">
        <v>0.02</v>
      </c>
      <c r="O68" s="2">
        <f t="shared" ref="O68:O72" si="19">N68*O$66</f>
        <v>214562.09310895455</v>
      </c>
      <c r="P68" s="18" t="s">
        <v>210</v>
      </c>
      <c r="Q68" s="123">
        <v>0.25</v>
      </c>
      <c r="R68" s="2">
        <f>Q68*R$66</f>
        <v>3302611.7798796194</v>
      </c>
    </row>
    <row r="69" spans="1:19" x14ac:dyDescent="0.35">
      <c r="D69" s="6"/>
      <c r="E69" s="6"/>
      <c r="F69" s="156" t="s">
        <v>209</v>
      </c>
      <c r="G69" s="2">
        <f t="shared" si="17"/>
        <v>0.19945987238030935</v>
      </c>
      <c r="H69" s="209" t="s">
        <v>292</v>
      </c>
      <c r="I69" s="5" t="s">
        <v>7</v>
      </c>
      <c r="J69" s="157" t="s">
        <v>211</v>
      </c>
      <c r="K69" s="6">
        <f>'Feedstock MIX per IVC'!G91</f>
        <v>2.9289602093879772</v>
      </c>
      <c r="L69" s="2">
        <f t="shared" si="18"/>
        <v>45871.812639352269</v>
      </c>
      <c r="M69" s="5" t="s">
        <v>244</v>
      </c>
      <c r="N69" s="174">
        <v>0.45</v>
      </c>
      <c r="O69" s="2">
        <f t="shared" si="19"/>
        <v>4827647.0949514769</v>
      </c>
      <c r="P69" s="18" t="s">
        <v>252</v>
      </c>
      <c r="Q69" s="123">
        <v>0.2</v>
      </c>
      <c r="R69" s="2">
        <f>Q69*R$66</f>
        <v>2642089.4239036958</v>
      </c>
    </row>
    <row r="70" spans="1:19" x14ac:dyDescent="0.35">
      <c r="D70" s="6"/>
      <c r="E70" s="6"/>
      <c r="F70" s="157" t="s">
        <v>211</v>
      </c>
      <c r="G70" s="2">
        <f t="shared" si="17"/>
        <v>1.3819342151866289E-2</v>
      </c>
      <c r="H70" s="209" t="s">
        <v>292</v>
      </c>
      <c r="I70" s="5" t="s">
        <v>8</v>
      </c>
      <c r="J70" s="154" t="s">
        <v>212</v>
      </c>
      <c r="K70" s="6">
        <f>'Feedstock MIX per IVC'!G92</f>
        <v>4.8668637567806563</v>
      </c>
      <c r="L70" s="2">
        <f t="shared" si="18"/>
        <v>76222.224418318787</v>
      </c>
      <c r="M70" t="s">
        <v>247</v>
      </c>
      <c r="N70" s="35">
        <v>0.1</v>
      </c>
      <c r="O70" s="2">
        <f t="shared" si="19"/>
        <v>1072810.4655447728</v>
      </c>
      <c r="P70" s="18" t="s">
        <v>253</v>
      </c>
      <c r="Q70" s="123">
        <v>0.3</v>
      </c>
      <c r="R70" s="2">
        <f>Q70*R$66</f>
        <v>3963134.135855543</v>
      </c>
    </row>
    <row r="71" spans="1:19" x14ac:dyDescent="0.35">
      <c r="D71" s="6"/>
      <c r="E71" s="6"/>
      <c r="F71" s="159" t="s">
        <v>213</v>
      </c>
      <c r="G71" s="2">
        <f t="shared" si="17"/>
        <v>0</v>
      </c>
      <c r="H71" s="209" t="s">
        <v>292</v>
      </c>
      <c r="I71" s="5" t="s">
        <v>9</v>
      </c>
      <c r="J71" s="154" t="s">
        <v>212</v>
      </c>
      <c r="K71" s="6">
        <f>'Feedstock MIX per IVC'!G93</f>
        <v>2.2157283787428326</v>
      </c>
      <c r="L71" s="2">
        <f t="shared" si="18"/>
        <v>34701.556109779012</v>
      </c>
      <c r="M71" t="s">
        <v>248</v>
      </c>
      <c r="N71" s="35">
        <v>0.25</v>
      </c>
      <c r="O71" s="2">
        <f t="shared" si="19"/>
        <v>2682026.1638619318</v>
      </c>
      <c r="P71" s="18" t="s">
        <v>254</v>
      </c>
      <c r="Q71" s="123">
        <v>0.1</v>
      </c>
      <c r="R71" s="2">
        <f>Q71*R$66</f>
        <v>1321044.7119518479</v>
      </c>
    </row>
    <row r="72" spans="1:19" x14ac:dyDescent="0.35">
      <c r="D72" s="6"/>
      <c r="E72" s="6"/>
      <c r="F72" s="207" t="s">
        <v>106</v>
      </c>
      <c r="G72" s="2">
        <f t="shared" si="17"/>
        <v>0</v>
      </c>
      <c r="H72" s="209" t="s">
        <v>292</v>
      </c>
      <c r="I72" s="5" t="s">
        <v>10</v>
      </c>
      <c r="J72" s="178" t="s">
        <v>256</v>
      </c>
      <c r="K72" s="6">
        <f>'Feedstock MIX per IVC'!G94</f>
        <v>48.321090044736764</v>
      </c>
      <c r="L72" s="2">
        <f t="shared" si="18"/>
        <v>756779.1402412398</v>
      </c>
      <c r="M72" t="s">
        <v>250</v>
      </c>
      <c r="N72" s="35">
        <v>0.03</v>
      </c>
      <c r="O72" s="2">
        <f t="shared" si="19"/>
        <v>321843.13966343179</v>
      </c>
      <c r="Q72" s="35"/>
      <c r="R72" s="2"/>
    </row>
    <row r="73" spans="1:19" x14ac:dyDescent="0.35">
      <c r="D73" s="6"/>
      <c r="E73" s="6"/>
      <c r="F73" s="31"/>
      <c r="G73" s="2">
        <f>SUM(G67:G72)</f>
        <v>0.99616899503194178</v>
      </c>
      <c r="H73" s="209" t="s">
        <v>292</v>
      </c>
      <c r="I73" s="5" t="s">
        <v>11</v>
      </c>
      <c r="J73" s="156" t="s">
        <v>209</v>
      </c>
      <c r="K73" s="6">
        <f>'Feedstock MIX per IVC'!G95</f>
        <v>42.274807523499447</v>
      </c>
      <c r="L73" s="2">
        <f t="shared" si="18"/>
        <v>662085.4881766584</v>
      </c>
      <c r="M73" s="2"/>
      <c r="R73" s="2"/>
    </row>
    <row r="74" spans="1:19" x14ac:dyDescent="0.35">
      <c r="D74" s="6"/>
      <c r="E74" s="6"/>
      <c r="F74" s="31"/>
      <c r="G74" s="6"/>
      <c r="H74" s="209" t="s">
        <v>292</v>
      </c>
      <c r="I74" s="5" t="s">
        <v>12</v>
      </c>
      <c r="J74" s="159" t="s">
        <v>213</v>
      </c>
      <c r="K74" s="6">
        <f>'Feedstock MIX per IVC'!G96</f>
        <v>0</v>
      </c>
      <c r="L74" s="2">
        <f>K74*F$66</f>
        <v>0</v>
      </c>
    </row>
    <row r="75" spans="1:19" s="80" customFormat="1" x14ac:dyDescent="0.35">
      <c r="D75" s="92"/>
      <c r="E75" s="92"/>
      <c r="F75" s="230"/>
      <c r="G75" s="6"/>
      <c r="L75" s="92"/>
    </row>
    <row r="76" spans="1:19" s="80" customFormat="1" x14ac:dyDescent="0.35">
      <c r="F76" s="230"/>
      <c r="I76" s="80" t="s">
        <v>321</v>
      </c>
      <c r="L76" s="230">
        <f>SUM(L77:L82)</f>
        <v>262766706.81117243</v>
      </c>
      <c r="M76" s="80" t="s">
        <v>214</v>
      </c>
      <c r="O76" s="92">
        <f>SUM(O77:O82)</f>
        <v>393717590.02816468</v>
      </c>
      <c r="P76" s="80" t="s">
        <v>214</v>
      </c>
      <c r="R76" s="92">
        <f>SUM(R77:R81)</f>
        <v>408717740.35300797</v>
      </c>
    </row>
    <row r="77" spans="1:19" x14ac:dyDescent="0.35">
      <c r="D77" s="2"/>
      <c r="E77" s="2"/>
      <c r="G77" s="2"/>
      <c r="H77" s="6"/>
      <c r="J77" s="154" t="s">
        <v>212</v>
      </c>
      <c r="L77" s="2">
        <f>L44+L45+L46+L58+L59+L61+L62+L67+L68+L70+L71</f>
        <v>99499355.637240663</v>
      </c>
      <c r="M77" s="5" t="s">
        <v>245</v>
      </c>
      <c r="O77" s="2">
        <f>O44+O51+O58+O67</f>
        <v>12465657.372149194</v>
      </c>
      <c r="P77" s="18" t="s">
        <v>251</v>
      </c>
      <c r="R77" s="2">
        <f>R44+R51+R58+R67</f>
        <v>78466690.70254688</v>
      </c>
    </row>
    <row r="78" spans="1:19" x14ac:dyDescent="0.35">
      <c r="D78" s="2"/>
      <c r="E78" s="2"/>
      <c r="G78" s="2"/>
      <c r="H78" s="6"/>
      <c r="J78" s="178" t="s">
        <v>256</v>
      </c>
      <c r="L78" s="2">
        <f>L72+L63</f>
        <v>5101251.9823668757</v>
      </c>
      <c r="M78" t="s">
        <v>246</v>
      </c>
      <c r="O78" s="2">
        <f t="shared" ref="O78:O82" si="20">O45+O52+O59+O68</f>
        <v>7874351.8005632935</v>
      </c>
      <c r="P78" s="18" t="s">
        <v>210</v>
      </c>
      <c r="R78" s="2">
        <f>R45+R52+R59+R68</f>
        <v>187974583.33623046</v>
      </c>
    </row>
    <row r="79" spans="1:19" x14ac:dyDescent="0.35">
      <c r="D79" s="1"/>
      <c r="E79" s="1"/>
      <c r="G79" s="2"/>
      <c r="H79" s="6"/>
      <c r="J79" s="156" t="s">
        <v>209</v>
      </c>
      <c r="L79" s="2">
        <f>L64+L47+L73</f>
        <v>29674352.052398138</v>
      </c>
      <c r="M79" s="5" t="s">
        <v>244</v>
      </c>
      <c r="O79" s="2">
        <f t="shared" si="20"/>
        <v>192703575.89003262</v>
      </c>
      <c r="P79" s="18" t="s">
        <v>252</v>
      </c>
      <c r="R79" s="2">
        <f t="shared" ref="R79:R81" si="21">R46+R53+R60+R69</f>
        <v>64584518.421005882</v>
      </c>
    </row>
    <row r="80" spans="1:19" x14ac:dyDescent="0.35">
      <c r="D80" s="1"/>
      <c r="E80" s="1"/>
      <c r="G80" s="2"/>
      <c r="H80" s="6"/>
      <c r="J80" s="157" t="s">
        <v>211</v>
      </c>
      <c r="L80" s="2">
        <f>L60+L69</f>
        <v>309209.99630970787</v>
      </c>
      <c r="M80" t="s">
        <v>247</v>
      </c>
      <c r="O80" s="2">
        <f t="shared" si="20"/>
        <v>54902419.380174972</v>
      </c>
      <c r="P80" s="18" t="s">
        <v>253</v>
      </c>
      <c r="R80" s="2">
        <f t="shared" si="21"/>
        <v>53979203.50751958</v>
      </c>
    </row>
    <row r="81" spans="1:19" s="80" customFormat="1" x14ac:dyDescent="0.35">
      <c r="D81" s="92"/>
      <c r="E81" s="92"/>
      <c r="F81" s="230"/>
      <c r="G81" s="1"/>
      <c r="H81" s="6"/>
      <c r="J81" s="159" t="s">
        <v>213</v>
      </c>
      <c r="L81" s="92">
        <f>L65+L74</f>
        <v>0</v>
      </c>
      <c r="M81" t="s">
        <v>248</v>
      </c>
      <c r="O81" s="2">
        <f t="shared" si="20"/>
        <v>113960057.88439967</v>
      </c>
      <c r="P81" s="18" t="s">
        <v>254</v>
      </c>
      <c r="R81" s="2">
        <f t="shared" si="21"/>
        <v>23712744.385705095</v>
      </c>
    </row>
    <row r="82" spans="1:19" s="80" customFormat="1" x14ac:dyDescent="0.35">
      <c r="D82" s="92"/>
      <c r="E82" s="92"/>
      <c r="F82" s="230"/>
      <c r="G82" s="1"/>
      <c r="H82" s="6"/>
      <c r="J82" s="207" t="s">
        <v>106</v>
      </c>
      <c r="L82" s="2">
        <f>L51</f>
        <v>128182537.14285703</v>
      </c>
      <c r="M82" t="s">
        <v>250</v>
      </c>
      <c r="O82" s="2">
        <f t="shared" si="20"/>
        <v>11811527.700844938</v>
      </c>
    </row>
    <row r="83" spans="1:19" s="93" customFormat="1" ht="32.5" customHeight="1" x14ac:dyDescent="0.35">
      <c r="A83" s="93" t="s">
        <v>106</v>
      </c>
      <c r="D83" s="231"/>
      <c r="E83" s="94"/>
      <c r="F83" s="176"/>
    </row>
    <row r="84" spans="1:19" ht="16.5" customHeight="1" x14ac:dyDescent="0.35">
      <c r="C84" s="104">
        <f>C85</f>
        <v>2120228707.0119448</v>
      </c>
      <c r="D84" s="104">
        <f>D85</f>
        <v>1.9875021683250571</v>
      </c>
      <c r="E84" s="104"/>
      <c r="F84" s="104">
        <f>F85</f>
        <v>1662924.4760877998</v>
      </c>
    </row>
    <row r="85" spans="1:19" s="219" customFormat="1" x14ac:dyDescent="0.35">
      <c r="A85" s="219" t="s">
        <v>59</v>
      </c>
      <c r="B85" s="219">
        <v>1275</v>
      </c>
      <c r="C85" s="219">
        <f>B85*F85</f>
        <v>2120228707.0119448</v>
      </c>
      <c r="D85" s="219">
        <f>'[1]GAP analysis Sc. 1'!$C$73+'[1]GAP analysis Sc. 1'!$C$82</f>
        <v>1.9875021683250571</v>
      </c>
      <c r="E85" s="219">
        <f>'[2]Conversion factors selected IV '!$O$29</f>
        <v>0.83669064748201449</v>
      </c>
      <c r="F85" s="219">
        <f>D85*E85*1000000</f>
        <v>1662924.4760877998</v>
      </c>
      <c r="G85" s="219">
        <f>'LCoP 2030 MEDIUM'!E10</f>
        <v>1024.4184684225595</v>
      </c>
      <c r="H85" s="219">
        <f>G85*F85</f>
        <v>1703530544.896251</v>
      </c>
      <c r="I85" s="226">
        <f>'LCoP 2030 MEDIUM'!H10</f>
        <v>-2.0579023345706264E-2</v>
      </c>
      <c r="L85" s="219">
        <f>I85*H85</f>
        <v>-35056994.853543662</v>
      </c>
      <c r="M85" s="226">
        <f>'LCoP 2030 MEDIUM'!F10</f>
        <v>0.59057896616370376</v>
      </c>
      <c r="O85" s="219">
        <f>M85*H85</f>
        <v>1006069308.0331188</v>
      </c>
      <c r="P85" s="236">
        <f>'LCoP 2030 MEDIUM'!G10</f>
        <v>0.43000005718200252</v>
      </c>
      <c r="R85" s="219">
        <f>P85*H85</f>
        <v>732518231.71667576</v>
      </c>
      <c r="S85" s="219">
        <f>L85+O85+R85</f>
        <v>1703530544.896251</v>
      </c>
    </row>
    <row r="86" spans="1:19" x14ac:dyDescent="0.35">
      <c r="C86">
        <f>100%</f>
        <v>1</v>
      </c>
      <c r="D86" s="2"/>
      <c r="E86" s="2"/>
      <c r="F86" s="157" t="s">
        <v>211</v>
      </c>
      <c r="G86" s="2">
        <f>SUMIF($J$86:$J$94,F86,$L$86:$L$94)/$L$85</f>
        <v>-0.18587855812972953</v>
      </c>
      <c r="I86" s="5" t="s">
        <v>20</v>
      </c>
      <c r="J86" s="154" t="s">
        <v>212</v>
      </c>
      <c r="K86" s="6">
        <f>'Feedstock MIX per IVC'!G25</f>
        <v>0.84774671077551111</v>
      </c>
      <c r="L86" s="2">
        <f>K86*F$85</f>
        <v>1409738.7548715223</v>
      </c>
      <c r="M86" s="5" t="s">
        <v>245</v>
      </c>
      <c r="N86" s="35">
        <v>0.05</v>
      </c>
      <c r="O86" s="2">
        <f>N86*O$85</f>
        <v>50303465.401655942</v>
      </c>
      <c r="P86" s="18" t="s">
        <v>251</v>
      </c>
      <c r="Q86" s="35">
        <v>0.2</v>
      </c>
      <c r="R86" s="2">
        <f>Q86*R$85</f>
        <v>146503646.34333515</v>
      </c>
    </row>
    <row r="87" spans="1:19" x14ac:dyDescent="0.35">
      <c r="D87" s="2"/>
      <c r="E87" s="2"/>
      <c r="F87" s="154" t="s">
        <v>212</v>
      </c>
      <c r="G87" s="2">
        <f t="shared" ref="G87:G88" si="22">SUMIF($J$86:$J$94,F87,$L$86:$L$94)/$L$85</f>
        <v>-0.7877001579724151</v>
      </c>
      <c r="I87" s="5" t="s">
        <v>8</v>
      </c>
      <c r="J87" s="154" t="s">
        <v>212</v>
      </c>
      <c r="K87" s="6">
        <f>'Feedstock MIX per IVC'!G26</f>
        <v>0.68717839699555039</v>
      </c>
      <c r="L87" s="2">
        <f t="shared" ref="L87:L94" si="23">K87*F$85</f>
        <v>1142725.7758026796</v>
      </c>
      <c r="M87" t="s">
        <v>246</v>
      </c>
      <c r="N87" s="35">
        <v>0.02</v>
      </c>
      <c r="O87" s="2">
        <f t="shared" ref="O87:O91" si="24">N87*O$85</f>
        <v>20121386.160662379</v>
      </c>
      <c r="P87" s="18" t="s">
        <v>210</v>
      </c>
      <c r="Q87" s="35">
        <v>0.5</v>
      </c>
      <c r="R87" s="2">
        <f t="shared" ref="R87:R90" si="25">Q87*R$85</f>
        <v>366259115.85833788</v>
      </c>
    </row>
    <row r="88" spans="1:19" x14ac:dyDescent="0.35">
      <c r="D88" s="2"/>
      <c r="E88" s="2"/>
      <c r="F88" s="159" t="s">
        <v>213</v>
      </c>
      <c r="G88" s="2">
        <f t="shared" si="22"/>
        <v>2.0072067433849279</v>
      </c>
      <c r="I88" s="5" t="s">
        <v>9</v>
      </c>
      <c r="J88" s="154" t="s">
        <v>212</v>
      </c>
      <c r="K88" s="6">
        <f>'Feedstock MIX per IVC'!G27</f>
        <v>0.31285048268727833</v>
      </c>
      <c r="L88" s="2">
        <f t="shared" si="23"/>
        <v>520246.72501655761</v>
      </c>
      <c r="M88" s="5" t="s">
        <v>244</v>
      </c>
      <c r="N88" s="35">
        <v>0.4</v>
      </c>
      <c r="O88" s="2">
        <f t="shared" si="24"/>
        <v>402427723.21324754</v>
      </c>
      <c r="P88" s="18" t="s">
        <v>252</v>
      </c>
      <c r="Q88" s="35">
        <v>0.15</v>
      </c>
      <c r="R88" s="2">
        <f t="shared" si="25"/>
        <v>109877734.75750136</v>
      </c>
    </row>
    <row r="89" spans="1:19" x14ac:dyDescent="0.35">
      <c r="D89" s="2"/>
      <c r="E89" s="2"/>
      <c r="G89" s="2"/>
      <c r="I89" s="5" t="s">
        <v>21</v>
      </c>
      <c r="J89" s="157" t="s">
        <v>211</v>
      </c>
      <c r="K89" s="6">
        <f>'Feedstock MIX per IVC'!G28</f>
        <v>3.9186046927810039</v>
      </c>
      <c r="L89" s="2">
        <f t="shared" si="23"/>
        <v>6516343.6557380445</v>
      </c>
      <c r="M89" t="s">
        <v>247</v>
      </c>
      <c r="N89" s="35">
        <v>0.3</v>
      </c>
      <c r="O89" s="2">
        <f t="shared" si="24"/>
        <v>301820792.40993565</v>
      </c>
      <c r="P89" s="18" t="s">
        <v>253</v>
      </c>
      <c r="Q89" s="35">
        <v>0.1</v>
      </c>
      <c r="R89" s="2">
        <f t="shared" si="25"/>
        <v>73251823.171667576</v>
      </c>
    </row>
    <row r="90" spans="1:19" x14ac:dyDescent="0.35">
      <c r="D90" s="2"/>
      <c r="E90" s="2"/>
      <c r="G90" s="2"/>
      <c r="I90" s="5" t="s">
        <v>5</v>
      </c>
      <c r="J90" s="154" t="s">
        <v>212</v>
      </c>
      <c r="K90" s="6">
        <f>'Feedstock MIX per IVC'!G29</f>
        <v>14.758150163392003</v>
      </c>
      <c r="L90" s="2">
        <f t="shared" si="23"/>
        <v>24541689.128483724</v>
      </c>
      <c r="M90" t="s">
        <v>248</v>
      </c>
      <c r="N90" s="35">
        <v>0.2</v>
      </c>
      <c r="O90" s="2">
        <f t="shared" si="24"/>
        <v>201213861.60662377</v>
      </c>
      <c r="P90" s="18" t="s">
        <v>254</v>
      </c>
      <c r="Q90" s="35">
        <v>0.05</v>
      </c>
      <c r="R90" s="2">
        <f t="shared" si="25"/>
        <v>36625911.585833788</v>
      </c>
    </row>
    <row r="91" spans="1:19" x14ac:dyDescent="0.35">
      <c r="D91" s="2"/>
      <c r="E91" s="2"/>
      <c r="G91" s="2"/>
      <c r="I91" s="5" t="s">
        <v>22</v>
      </c>
      <c r="J91" s="154" t="s">
        <v>212</v>
      </c>
      <c r="K91" s="6">
        <f>'Feedstock MIX per IVC'!G30</f>
        <v>0</v>
      </c>
      <c r="L91" s="2">
        <f t="shared" si="23"/>
        <v>0</v>
      </c>
      <c r="M91" t="s">
        <v>250</v>
      </c>
      <c r="N91" s="35">
        <v>0.03</v>
      </c>
      <c r="O91" s="2">
        <f t="shared" si="24"/>
        <v>30182079.240993563</v>
      </c>
      <c r="R91" s="2"/>
    </row>
    <row r="92" spans="1:19" x14ac:dyDescent="0.35">
      <c r="D92" s="2"/>
      <c r="E92" s="2"/>
      <c r="G92" s="2"/>
      <c r="I92" s="5" t="s">
        <v>23</v>
      </c>
      <c r="J92" s="159" t="s">
        <v>213</v>
      </c>
      <c r="K92" s="6">
        <f>'Feedstock MIX per IVC'!G31</f>
        <v>0</v>
      </c>
      <c r="L92" s="2">
        <f t="shared" si="23"/>
        <v>0</v>
      </c>
      <c r="N92" s="35">
        <f>SUM(N86:N91)</f>
        <v>1</v>
      </c>
      <c r="O92" s="2"/>
    </row>
    <row r="93" spans="1:19" x14ac:dyDescent="0.35">
      <c r="D93" s="2"/>
      <c r="E93" s="2"/>
      <c r="G93" s="2"/>
      <c r="I93" s="12" t="s">
        <v>24</v>
      </c>
      <c r="J93" s="159" t="s">
        <v>213</v>
      </c>
      <c r="K93" s="6">
        <f>'Feedstock MIX per IVC'!G32</f>
        <v>-42.314992343120878</v>
      </c>
      <c r="L93" s="2">
        <f t="shared" si="23"/>
        <v>-70366636.472843543</v>
      </c>
      <c r="M93" s="2"/>
    </row>
    <row r="94" spans="1:19" s="80" customFormat="1" x14ac:dyDescent="0.35">
      <c r="D94" s="95"/>
      <c r="E94" s="95"/>
      <c r="F94" s="230"/>
      <c r="G94" s="237"/>
      <c r="H94" s="80" t="s">
        <v>125</v>
      </c>
      <c r="I94" s="13" t="s">
        <v>25</v>
      </c>
      <c r="J94" s="258" t="s">
        <v>298</v>
      </c>
      <c r="K94" s="6">
        <f>'Feedstock MIX per IVC'!G33</f>
        <v>0.70893031904902382</v>
      </c>
      <c r="L94" s="2">
        <f t="shared" si="23"/>
        <v>1178897.5793873547</v>
      </c>
    </row>
    <row r="95" spans="1:19" s="93" customFormat="1" ht="26" customHeight="1" x14ac:dyDescent="0.35">
      <c r="A95" s="93" t="s">
        <v>107</v>
      </c>
      <c r="D95" s="94"/>
      <c r="E95" s="94"/>
      <c r="F95" s="176"/>
      <c r="I95" s="96"/>
    </row>
    <row r="96" spans="1:19" ht="16" customHeight="1" x14ac:dyDescent="0.35">
      <c r="C96" s="2">
        <f>C97+C104+C116</f>
        <v>3213661588.9139953</v>
      </c>
      <c r="D96" s="2">
        <f>D97+D104+D116</f>
        <v>1.3853744421242267</v>
      </c>
      <c r="E96" s="2"/>
      <c r="F96" s="2">
        <f>F97+F104+F116</f>
        <v>1350277.978535292</v>
      </c>
      <c r="I96" s="6"/>
    </row>
    <row r="97" spans="1:19" s="219" customFormat="1" x14ac:dyDescent="0.35">
      <c r="A97" s="219" t="s">
        <v>91</v>
      </c>
      <c r="B97" s="219">
        <v>2380</v>
      </c>
      <c r="C97" s="219">
        <f>B97*F97</f>
        <v>2880669767.4418602</v>
      </c>
      <c r="D97" s="219">
        <f>'[1]GAP analysis Sc. 1'!$C$85</f>
        <v>1.24309052941899</v>
      </c>
      <c r="E97" s="219">
        <f>'[2]Conversion factors selected IV '!$O$78</f>
        <v>0.97367441860465131</v>
      </c>
      <c r="F97" s="219">
        <f>D97*E97*1000000</f>
        <v>1210365.4485049832</v>
      </c>
      <c r="G97" s="219">
        <f>'LCoP 2030 MEDIUM'!E4</f>
        <v>1811.2943993289186</v>
      </c>
      <c r="H97" s="219">
        <f>G97*F97</f>
        <v>2192328158.0183105</v>
      </c>
      <c r="I97" s="226">
        <f>'LCoP 2030 MEDIUM'!H4</f>
        <v>0.47992993278783985</v>
      </c>
      <c r="L97" s="219">
        <f>I97*H97</f>
        <v>1052163905.5266166</v>
      </c>
      <c r="M97" s="226">
        <f>'LCoP 2030 MEDIUM'!F4</f>
        <v>0.20758635379169027</v>
      </c>
      <c r="O97" s="219">
        <f>M97*H97</f>
        <v>455097408.63787365</v>
      </c>
      <c r="P97" s="236">
        <f>'LCoP 2030 MEDIUM'!G4</f>
        <v>0.31248371342046993</v>
      </c>
      <c r="R97" s="219">
        <f>P97*H97</f>
        <v>685066843.85382044</v>
      </c>
      <c r="S97" s="219">
        <f>L97+O97+R97</f>
        <v>2192328158.0183105</v>
      </c>
    </row>
    <row r="98" spans="1:19" x14ac:dyDescent="0.35">
      <c r="C98">
        <f>C97/$C$96</f>
        <v>0.89638242476406349</v>
      </c>
      <c r="D98" s="2"/>
      <c r="E98" s="2"/>
      <c r="F98" s="154" t="s">
        <v>212</v>
      </c>
      <c r="G98" s="2">
        <f>SUMIF($J$98:$J$101,F98,$L$98:$L$101)/$L$97</f>
        <v>0.56992974375775241</v>
      </c>
      <c r="I98" s="4" t="s">
        <v>2</v>
      </c>
      <c r="J98" s="154" t="s">
        <v>212</v>
      </c>
      <c r="K98" s="6">
        <f>'Feedstock MIX per IVC'!G9</f>
        <v>353.01401558416768</v>
      </c>
      <c r="L98" s="2">
        <f>K98*F$97</f>
        <v>427275967.30107623</v>
      </c>
      <c r="M98" s="5" t="s">
        <v>245</v>
      </c>
      <c r="N98" s="123">
        <v>0.05</v>
      </c>
      <c r="O98" s="2">
        <f>N98*O$97</f>
        <v>22754870.431893684</v>
      </c>
      <c r="P98" s="18" t="s">
        <v>251</v>
      </c>
      <c r="Q98" s="123">
        <v>0.35</v>
      </c>
      <c r="R98" s="2">
        <f>Q98*R$97</f>
        <v>239773395.34883714</v>
      </c>
    </row>
    <row r="99" spans="1:19" x14ac:dyDescent="0.35">
      <c r="D99" s="2"/>
      <c r="E99" s="2"/>
      <c r="F99" s="158" t="s">
        <v>104</v>
      </c>
      <c r="G99" s="2">
        <f t="shared" ref="G99:G100" si="26">SUMIF($J$98:$J$101,F99,$L$98:$L$101)/$L$97</f>
        <v>0.2150351281211238</v>
      </c>
      <c r="I99" s="232" t="s">
        <v>162</v>
      </c>
      <c r="J99" s="154" t="s">
        <v>212</v>
      </c>
      <c r="K99" s="6">
        <f>'Feedstock MIX per IVC'!G10</f>
        <v>142.4227186754122</v>
      </c>
      <c r="L99" s="2">
        <f t="shared" ref="L99:L101" si="27">K99*F$97</f>
        <v>172383537.76686433</v>
      </c>
      <c r="M99" t="s">
        <v>246</v>
      </c>
      <c r="N99" s="123">
        <v>0.02</v>
      </c>
      <c r="O99" s="2">
        <f t="shared" ref="O99:O103" si="28">N99*O$97</f>
        <v>9101948.1727574728</v>
      </c>
      <c r="P99" s="18" t="s">
        <v>210</v>
      </c>
      <c r="Q99" s="123">
        <v>0.25</v>
      </c>
      <c r="R99" s="2">
        <f t="shared" ref="R99:R102" si="29">Q99*R$97</f>
        <v>171266710.96345511</v>
      </c>
    </row>
    <row r="100" spans="1:19" x14ac:dyDescent="0.35">
      <c r="D100" s="2"/>
      <c r="E100" s="2"/>
      <c r="F100" s="258" t="s">
        <v>298</v>
      </c>
      <c r="G100" s="2">
        <f t="shared" si="26"/>
        <v>0.2150351281211238</v>
      </c>
      <c r="I100" s="233" t="s">
        <v>341</v>
      </c>
      <c r="J100" s="158" t="s">
        <v>104</v>
      </c>
      <c r="K100" s="6">
        <f>'Feedstock MIX per IVC'!G11/2</f>
        <v>186.92883253466937</v>
      </c>
      <c r="L100" s="2">
        <f t="shared" si="27"/>
        <v>226252200.22933799</v>
      </c>
      <c r="M100" s="5" t="s">
        <v>244</v>
      </c>
      <c r="N100" s="123">
        <v>0.45</v>
      </c>
      <c r="O100" s="2">
        <f t="shared" si="28"/>
        <v>204793833.88704315</v>
      </c>
      <c r="P100" s="18" t="s">
        <v>252</v>
      </c>
      <c r="Q100" s="123">
        <v>0.2</v>
      </c>
      <c r="R100" s="2">
        <f t="shared" si="29"/>
        <v>137013368.77076408</v>
      </c>
    </row>
    <row r="101" spans="1:19" x14ac:dyDescent="0.35">
      <c r="D101" s="2"/>
      <c r="E101" s="2"/>
      <c r="G101" s="2">
        <f>SUM(G98:G100)</f>
        <v>1</v>
      </c>
      <c r="I101" s="234" t="s">
        <v>342</v>
      </c>
      <c r="J101" s="258" t="s">
        <v>298</v>
      </c>
      <c r="K101" s="6">
        <f>'Feedstock MIX per IVC'!G11/2</f>
        <v>186.92883253466937</v>
      </c>
      <c r="L101" s="2">
        <f t="shared" si="27"/>
        <v>226252200.22933799</v>
      </c>
      <c r="M101" t="s">
        <v>247</v>
      </c>
      <c r="N101" s="123">
        <v>0.15</v>
      </c>
      <c r="O101" s="2">
        <f t="shared" si="28"/>
        <v>68264611.295681044</v>
      </c>
      <c r="P101" s="18" t="s">
        <v>253</v>
      </c>
      <c r="Q101" s="123">
        <v>0.15</v>
      </c>
      <c r="R101" s="2">
        <f t="shared" si="29"/>
        <v>102760026.57807307</v>
      </c>
    </row>
    <row r="102" spans="1:19" x14ac:dyDescent="0.35">
      <c r="D102" s="2"/>
      <c r="E102" s="2"/>
      <c r="G102" s="2"/>
      <c r="L102" s="2"/>
      <c r="M102" t="s">
        <v>248</v>
      </c>
      <c r="N102" s="123">
        <v>0.3</v>
      </c>
      <c r="O102" s="2">
        <f t="shared" si="28"/>
        <v>136529222.59136209</v>
      </c>
      <c r="P102" s="18" t="s">
        <v>254</v>
      </c>
      <c r="Q102" s="123">
        <v>0.05</v>
      </c>
      <c r="R102" s="2">
        <f t="shared" si="29"/>
        <v>34253342.192691021</v>
      </c>
    </row>
    <row r="103" spans="1:19" x14ac:dyDescent="0.35">
      <c r="D103" s="2"/>
      <c r="E103" s="2"/>
      <c r="G103" s="2"/>
      <c r="M103" t="s">
        <v>250</v>
      </c>
      <c r="N103" s="123">
        <v>0.03</v>
      </c>
      <c r="O103" s="2">
        <f t="shared" si="28"/>
        <v>13652922.259136209</v>
      </c>
      <c r="Q103" s="123"/>
    </row>
    <row r="104" spans="1:19" s="219" customFormat="1" x14ac:dyDescent="0.35">
      <c r="A104" s="219" t="s">
        <v>345</v>
      </c>
      <c r="B104" s="219">
        <v>2380</v>
      </c>
      <c r="C104" s="219">
        <f>B104*F104</f>
        <v>208744186.04651168</v>
      </c>
      <c r="D104" s="219">
        <f>'[1]GAP analysis Sc. 1'!$C$87</f>
        <v>9.0079023870941327E-2</v>
      </c>
      <c r="E104" s="219">
        <f>'[2]Conversion factors selected IV '!$O$76</f>
        <v>0.97367441860465131</v>
      </c>
      <c r="F104" s="219">
        <f>D104*E104*1000000</f>
        <v>87707.641196013312</v>
      </c>
      <c r="G104" s="219">
        <f>'LCoP 2030 MEDIUM'!E17</f>
        <v>2967.0172413782047</v>
      </c>
      <c r="H104" s="219">
        <f>G104*F104</f>
        <v>260230083.62918481</v>
      </c>
      <c r="I104" s="239">
        <f>'LCoP 2030 MEDIUM'!H17</f>
        <v>0.19110682387366934</v>
      </c>
      <c r="L104" s="219">
        <f>I104*H104</f>
        <v>49731744.758752868</v>
      </c>
      <c r="M104" s="219">
        <f>'LCoP 2030 MEDIUM'!F17</f>
        <v>0.48702109979272828</v>
      </c>
      <c r="O104" s="219">
        <f>M104*H104</f>
        <v>126737541.52823925</v>
      </c>
      <c r="P104" s="219">
        <f>'LCoP 2030 MEDIUM'!G17</f>
        <v>0.32187207633360243</v>
      </c>
      <c r="R104" s="219">
        <f>P104*H104</f>
        <v>83760797.342192724</v>
      </c>
    </row>
    <row r="105" spans="1:19" s="80" customFormat="1" x14ac:dyDescent="0.35">
      <c r="C105">
        <f>C104/$C$96</f>
        <v>6.4955248171308974E-2</v>
      </c>
      <c r="F105" s="154" t="s">
        <v>212</v>
      </c>
      <c r="G105" s="2">
        <f>SUMIF($J$105:$J$114,F105,$L$105:$L$114)/$L$104</f>
        <v>0.57275357487437228</v>
      </c>
      <c r="I105" s="5" t="s">
        <v>5</v>
      </c>
      <c r="J105" s="154" t="s">
        <v>212</v>
      </c>
      <c r="K105" s="6">
        <f>'Feedstock MIX per IVC'!G74</f>
        <v>288.62430916017291</v>
      </c>
      <c r="L105" s="92">
        <f>K105*F$104</f>
        <v>25314557.348267663</v>
      </c>
      <c r="M105" s="5" t="s">
        <v>245</v>
      </c>
      <c r="N105" s="35">
        <v>0</v>
      </c>
      <c r="O105" s="2">
        <f>N105*O$104</f>
        <v>0</v>
      </c>
      <c r="P105" s="18" t="s">
        <v>251</v>
      </c>
      <c r="Q105" s="35">
        <v>0.25</v>
      </c>
      <c r="R105" s="2">
        <f>Q105*R$104</f>
        <v>20940199.335548181</v>
      </c>
    </row>
    <row r="106" spans="1:19" x14ac:dyDescent="0.35">
      <c r="F106" s="178" t="s">
        <v>256</v>
      </c>
      <c r="G106" s="2">
        <f t="shared" ref="G106:G110" si="30">SUMIF($J$105:$J$114,F106,$L$105:$L$114)/$L$104</f>
        <v>0.21938699657299526</v>
      </c>
      <c r="I106" s="5" t="s">
        <v>6</v>
      </c>
      <c r="J106" s="154" t="s">
        <v>212</v>
      </c>
      <c r="K106" s="6">
        <f>'Feedstock MIX per IVC'!G75</f>
        <v>16.579334539319635</v>
      </c>
      <c r="L106" s="92">
        <f t="shared" ref="L106:L114" si="31">K106*F$104</f>
        <v>1454134.3250433172</v>
      </c>
      <c r="M106" t="s">
        <v>246</v>
      </c>
      <c r="N106" s="35">
        <v>0.02</v>
      </c>
      <c r="O106" s="2">
        <f t="shared" ref="O106:O110" si="32">N106*O$104</f>
        <v>2534750.8305647853</v>
      </c>
      <c r="P106" s="18" t="s">
        <v>210</v>
      </c>
      <c r="Q106" s="35">
        <v>0.15</v>
      </c>
      <c r="R106" s="2">
        <f t="shared" ref="R106:R109" si="33">Q106*R$104</f>
        <v>12564119.601328908</v>
      </c>
    </row>
    <row r="107" spans="1:19" x14ac:dyDescent="0.35">
      <c r="F107" s="156" t="s">
        <v>209</v>
      </c>
      <c r="G107" s="2">
        <f t="shared" si="30"/>
        <v>0.19193571677905907</v>
      </c>
      <c r="I107" s="5" t="s">
        <v>23</v>
      </c>
      <c r="J107" s="159" t="s">
        <v>213</v>
      </c>
      <c r="K107" s="6">
        <f>'Feedstock MIX per IVC'!G76</f>
        <v>0</v>
      </c>
      <c r="L107" s="92">
        <f t="shared" si="31"/>
        <v>0</v>
      </c>
      <c r="M107" s="5" t="s">
        <v>244</v>
      </c>
      <c r="N107" s="35">
        <v>0.55000000000000004</v>
      </c>
      <c r="O107" s="2">
        <f t="shared" si="32"/>
        <v>69705647.840531588</v>
      </c>
      <c r="P107" s="18" t="s">
        <v>252</v>
      </c>
      <c r="Q107" s="35">
        <v>0.3</v>
      </c>
      <c r="R107" s="2">
        <f t="shared" si="33"/>
        <v>25128239.202657815</v>
      </c>
    </row>
    <row r="108" spans="1:19" x14ac:dyDescent="0.35">
      <c r="F108" s="159" t="s">
        <v>213</v>
      </c>
      <c r="G108" s="2">
        <f t="shared" si="30"/>
        <v>0</v>
      </c>
      <c r="H108" s="24"/>
      <c r="I108" s="5" t="s">
        <v>7</v>
      </c>
      <c r="J108" s="157" t="s">
        <v>211</v>
      </c>
      <c r="K108" s="6">
        <f>'Feedstock MIX per IVC'!G77</f>
        <v>8.0878811816534633</v>
      </c>
      <c r="L108" s="92">
        <f t="shared" si="31"/>
        <v>709368.98071645014</v>
      </c>
      <c r="M108" t="s">
        <v>247</v>
      </c>
      <c r="N108" s="35">
        <v>0.1</v>
      </c>
      <c r="O108" s="2">
        <f t="shared" si="32"/>
        <v>12673754.152823925</v>
      </c>
      <c r="P108" s="18" t="s">
        <v>253</v>
      </c>
      <c r="Q108" s="35">
        <v>0.3</v>
      </c>
      <c r="R108" s="2">
        <f t="shared" si="33"/>
        <v>25128239.202657815</v>
      </c>
    </row>
    <row r="109" spans="1:19" s="80" customFormat="1" x14ac:dyDescent="0.35">
      <c r="F109" s="157" t="s">
        <v>211</v>
      </c>
      <c r="G109" s="2">
        <f t="shared" si="30"/>
        <v>1.4263906970438636E-2</v>
      </c>
      <c r="I109" s="5" t="s">
        <v>8</v>
      </c>
      <c r="J109" s="154" t="s">
        <v>212</v>
      </c>
      <c r="K109" s="6">
        <f>'Feedstock MIX per IVC'!G78</f>
        <v>13.439109096112505</v>
      </c>
      <c r="L109" s="92">
        <f t="shared" si="31"/>
        <v>1178712.5585959144</v>
      </c>
      <c r="M109" t="s">
        <v>248</v>
      </c>
      <c r="N109" s="35">
        <v>0.3</v>
      </c>
      <c r="O109" s="2">
        <f t="shared" si="32"/>
        <v>38021262.458471775</v>
      </c>
      <c r="P109" s="18" t="s">
        <v>254</v>
      </c>
      <c r="Q109" s="240">
        <v>0</v>
      </c>
      <c r="R109" s="2">
        <f t="shared" si="33"/>
        <v>0</v>
      </c>
    </row>
    <row r="110" spans="1:19" x14ac:dyDescent="0.35">
      <c r="F110" s="158" t="s">
        <v>104</v>
      </c>
      <c r="G110" s="2">
        <f t="shared" si="30"/>
        <v>1.6598048031344734E-3</v>
      </c>
      <c r="I110" s="5" t="s">
        <v>9</v>
      </c>
      <c r="J110" s="154" t="s">
        <v>212</v>
      </c>
      <c r="K110" s="6">
        <f>'Feedstock MIX per IVC'!G79</f>
        <v>6.1183992191666858</v>
      </c>
      <c r="L110" s="92">
        <f t="shared" si="31"/>
        <v>536630.36340863968</v>
      </c>
      <c r="M110" t="s">
        <v>250</v>
      </c>
      <c r="N110" s="35">
        <v>0.03</v>
      </c>
      <c r="O110" s="2">
        <f t="shared" si="32"/>
        <v>3802126.2458471772</v>
      </c>
    </row>
    <row r="111" spans="1:19" x14ac:dyDescent="0.35">
      <c r="G111" s="2">
        <f>SUM(G105:G110)</f>
        <v>0.99999999999999967</v>
      </c>
      <c r="I111" s="5" t="s">
        <v>10</v>
      </c>
      <c r="J111" s="178" t="s">
        <v>256</v>
      </c>
      <c r="K111" s="6">
        <f>'Feedstock MIX per IVC'!G80</f>
        <v>124.39620959106945</v>
      </c>
      <c r="L111" s="92">
        <f t="shared" si="31"/>
        <v>10910498.11695759</v>
      </c>
      <c r="N111" s="35"/>
    </row>
    <row r="112" spans="1:19" x14ac:dyDescent="0.35">
      <c r="I112" s="5" t="s">
        <v>11</v>
      </c>
      <c r="J112" s="156" t="s">
        <v>209</v>
      </c>
      <c r="K112" s="6">
        <f>'Feedstock MIX per IVC'!G81</f>
        <v>108.83086065001051</v>
      </c>
      <c r="L112" s="92">
        <f t="shared" si="31"/>
        <v>9545298.0769444462</v>
      </c>
    </row>
    <row r="113" spans="1:19" x14ac:dyDescent="0.35">
      <c r="I113" s="5" t="s">
        <v>12</v>
      </c>
      <c r="J113" s="159" t="s">
        <v>213</v>
      </c>
      <c r="K113" s="6">
        <f>'Feedstock MIX per IVC'!G82</f>
        <v>0</v>
      </c>
      <c r="L113" s="92">
        <f t="shared" si="31"/>
        <v>0</v>
      </c>
    </row>
    <row r="114" spans="1:19" x14ac:dyDescent="0.35">
      <c r="H114" t="s">
        <v>125</v>
      </c>
      <c r="I114" s="13" t="s">
        <v>33</v>
      </c>
      <c r="J114" s="158" t="s">
        <v>104</v>
      </c>
      <c r="K114" s="6">
        <f>'Feedstock MIX per IVC'!G83</f>
        <v>0.94113794069960355</v>
      </c>
      <c r="L114" s="92">
        <f t="shared" si="31"/>
        <v>82544.988818835685</v>
      </c>
    </row>
    <row r="115" spans="1:19" x14ac:dyDescent="0.35">
      <c r="A115" s="80"/>
      <c r="B115" s="80"/>
      <c r="C115" s="80"/>
      <c r="D115" s="92"/>
      <c r="E115" s="92"/>
      <c r="F115" s="230"/>
      <c r="L115" s="2">
        <f>SUM(L105:L114)</f>
        <v>49731744.75875286</v>
      </c>
    </row>
    <row r="116" spans="1:19" s="218" customFormat="1" x14ac:dyDescent="0.35">
      <c r="A116" s="218" t="s">
        <v>378</v>
      </c>
      <c r="B116" s="219">
        <v>2380</v>
      </c>
      <c r="C116" s="219">
        <f>B116*F116</f>
        <v>124247635.4256233</v>
      </c>
      <c r="D116" s="225">
        <f>'[1]GAP analysis Sc. 1'!$C$88</f>
        <v>5.2204888834295506E-2</v>
      </c>
      <c r="E116" s="225">
        <f>'[2]Conversion factors selected IV '!$O$125</f>
        <v>1</v>
      </c>
      <c r="F116" s="219">
        <f>D116*E116*1000000</f>
        <v>52204.888834295503</v>
      </c>
      <c r="G116" s="225">
        <f>'LCoP 2030 MEDIUM'!E23</f>
        <v>2160.571681766708</v>
      </c>
      <c r="H116" s="220">
        <f>G116*F116</f>
        <v>112792404.46515787</v>
      </c>
      <c r="I116" s="223">
        <f>'LCoP 2030 MEDIUM'!H23</f>
        <v>0.29254835055963535</v>
      </c>
      <c r="L116" s="219">
        <f>I116*H116</f>
        <v>32997231.881937183</v>
      </c>
      <c r="M116" s="223">
        <f>'LCoP 2030 MEDIUM'!F23</f>
        <v>0.31704571793696418</v>
      </c>
      <c r="O116" s="219">
        <f>M116*H116</f>
        <v>35760348.85149242</v>
      </c>
      <c r="P116" s="236">
        <f>'LCoP 2030 MEDIUM'!G23</f>
        <v>0.39040593150340042</v>
      </c>
      <c r="R116" s="219">
        <f>P116*H116</f>
        <v>44034823.731728256</v>
      </c>
      <c r="S116" s="219">
        <f>L116+O116+R116</f>
        <v>112792404.46515787</v>
      </c>
    </row>
    <row r="117" spans="1:19" x14ac:dyDescent="0.35">
      <c r="A117" s="80"/>
      <c r="B117" s="80"/>
      <c r="C117">
        <f>C116/$C$96</f>
        <v>3.8662327064627473E-2</v>
      </c>
      <c r="D117" s="92"/>
      <c r="E117" s="92"/>
      <c r="F117" s="154" t="s">
        <v>212</v>
      </c>
      <c r="G117" s="2">
        <f>SUMIF($J$117:$J$124,F117,$L$117:$L$124)/$L$116</f>
        <v>0.5904797978608185</v>
      </c>
      <c r="H117" s="209" t="s">
        <v>292</v>
      </c>
      <c r="I117" s="5" t="s">
        <v>5</v>
      </c>
      <c r="J117" s="154" t="s">
        <v>212</v>
      </c>
      <c r="K117" s="6">
        <f>'Feedstock MIX per IVC'!G116</f>
        <v>318.51533390227388</v>
      </c>
      <c r="L117" s="2">
        <f>K117*F$116</f>
        <v>16628057.598386722</v>
      </c>
      <c r="M117" s="5" t="s">
        <v>245</v>
      </c>
      <c r="N117" s="174">
        <v>0.15</v>
      </c>
      <c r="O117" s="2">
        <f>N117*O$116</f>
        <v>5364052.3277238626</v>
      </c>
      <c r="P117" s="18" t="s">
        <v>251</v>
      </c>
      <c r="Q117" s="123">
        <v>0.15</v>
      </c>
      <c r="R117" s="2">
        <f>Q117*R$116</f>
        <v>6605223.5597592378</v>
      </c>
    </row>
    <row r="118" spans="1:19" x14ac:dyDescent="0.35">
      <c r="A118" s="80"/>
      <c r="B118" s="80"/>
      <c r="C118" s="80"/>
      <c r="D118" s="92"/>
      <c r="E118" s="92"/>
      <c r="F118" s="178" t="s">
        <v>256</v>
      </c>
      <c r="G118" s="2">
        <f t="shared" ref="G118:G121" si="34">SUMIF($J$117:$J$124,F118,$L$117:$L$124)/$L$116</f>
        <v>0.21089387391457676</v>
      </c>
      <c r="H118" s="209" t="s">
        <v>292</v>
      </c>
      <c r="I118" s="5" t="s">
        <v>6</v>
      </c>
      <c r="J118" s="154" t="s">
        <v>212</v>
      </c>
      <c r="K118" s="6">
        <f>'Feedstock MIX per IVC'!G117</f>
        <v>18.296353110500878</v>
      </c>
      <c r="L118" s="2">
        <f t="shared" ref="L118:L124" si="35">K118*F$116</f>
        <v>955159.08020671504</v>
      </c>
      <c r="M118" t="s">
        <v>246</v>
      </c>
      <c r="N118" s="35">
        <v>0.02</v>
      </c>
      <c r="O118" s="2">
        <f t="shared" ref="O118:O122" si="36">N118*O$116</f>
        <v>715206.97702984838</v>
      </c>
      <c r="P118" s="18" t="s">
        <v>210</v>
      </c>
      <c r="Q118" s="123">
        <v>0.25</v>
      </c>
      <c r="R118" s="2">
        <f t="shared" ref="R118:R121" si="37">Q118*R$116</f>
        <v>11008705.932932064</v>
      </c>
    </row>
    <row r="119" spans="1:19" x14ac:dyDescent="0.35">
      <c r="A119" s="80"/>
      <c r="B119" s="80"/>
      <c r="C119" s="80"/>
      <c r="D119" s="92"/>
      <c r="E119" s="92"/>
      <c r="F119" s="156" t="s">
        <v>209</v>
      </c>
      <c r="G119" s="2">
        <f t="shared" si="34"/>
        <v>0.1845053147470333</v>
      </c>
      <c r="H119" s="209" t="s">
        <v>292</v>
      </c>
      <c r="I119" s="5" t="s">
        <v>7</v>
      </c>
      <c r="J119" s="157" t="s">
        <v>211</v>
      </c>
      <c r="K119" s="6">
        <f>'Feedstock MIX per IVC'!G118</f>
        <v>8.9254927370190735</v>
      </c>
      <c r="L119" s="2">
        <f t="shared" si="35"/>
        <v>465954.35612739262</v>
      </c>
      <c r="M119" s="5" t="s">
        <v>244</v>
      </c>
      <c r="N119" s="174">
        <v>0.45</v>
      </c>
      <c r="O119" s="2">
        <f t="shared" si="36"/>
        <v>16092156.98317159</v>
      </c>
      <c r="P119" s="18" t="s">
        <v>252</v>
      </c>
      <c r="Q119" s="123">
        <v>0.2</v>
      </c>
      <c r="R119" s="2">
        <f t="shared" si="37"/>
        <v>8806964.7463456523</v>
      </c>
    </row>
    <row r="120" spans="1:19" x14ac:dyDescent="0.35">
      <c r="A120" s="80"/>
      <c r="B120" s="80"/>
      <c r="C120" s="80"/>
      <c r="D120" s="92"/>
      <c r="E120" s="92"/>
      <c r="F120" s="159" t="s">
        <v>213</v>
      </c>
      <c r="G120" s="2">
        <f t="shared" si="34"/>
        <v>0</v>
      </c>
      <c r="H120" s="209" t="s">
        <v>292</v>
      </c>
      <c r="I120" s="5" t="s">
        <v>8</v>
      </c>
      <c r="J120" s="154" t="s">
        <v>212</v>
      </c>
      <c r="K120" s="6">
        <f>'Feedstock MIX per IVC'!G119</f>
        <v>29.661828094471769</v>
      </c>
      <c r="L120" s="2">
        <f t="shared" si="35"/>
        <v>1548492.4382938819</v>
      </c>
      <c r="M120" t="s">
        <v>247</v>
      </c>
      <c r="N120" s="35">
        <v>0.1</v>
      </c>
      <c r="O120" s="2">
        <f t="shared" si="36"/>
        <v>3576034.8851492424</v>
      </c>
      <c r="P120" s="18" t="s">
        <v>253</v>
      </c>
      <c r="Q120" s="123">
        <v>0.3</v>
      </c>
      <c r="R120" s="2">
        <f t="shared" si="37"/>
        <v>13210447.119518476</v>
      </c>
    </row>
    <row r="121" spans="1:19" x14ac:dyDescent="0.35">
      <c r="A121" s="80"/>
      <c r="B121" s="80"/>
      <c r="C121" s="80"/>
      <c r="D121" s="92"/>
      <c r="E121" s="92"/>
      <c r="F121" s="157" t="s">
        <v>211</v>
      </c>
      <c r="G121" s="2">
        <f t="shared" si="34"/>
        <v>1.4121013477571671E-2</v>
      </c>
      <c r="H121" s="209" t="s">
        <v>292</v>
      </c>
      <c r="I121" s="5" t="s">
        <v>9</v>
      </c>
      <c r="J121" s="154" t="s">
        <v>212</v>
      </c>
      <c r="K121" s="6">
        <f>'Feedstock MIX per IVC'!G120</f>
        <v>6.7520437759066034</v>
      </c>
      <c r="L121" s="2">
        <f t="shared" si="35"/>
        <v>352489.69472550112</v>
      </c>
      <c r="M121" t="s">
        <v>248</v>
      </c>
      <c r="N121" s="35">
        <v>0.25</v>
      </c>
      <c r="O121" s="2">
        <f t="shared" si="36"/>
        <v>8940087.212873105</v>
      </c>
      <c r="P121" s="18" t="s">
        <v>254</v>
      </c>
      <c r="Q121" s="123">
        <v>0.1</v>
      </c>
      <c r="R121" s="2">
        <f t="shared" si="37"/>
        <v>4403482.3731728261</v>
      </c>
    </row>
    <row r="122" spans="1:19" x14ac:dyDescent="0.35">
      <c r="A122" s="80"/>
      <c r="B122" s="80"/>
      <c r="C122" s="80"/>
      <c r="D122" s="92"/>
      <c r="E122" s="92"/>
      <c r="F122" s="230"/>
      <c r="G122" s="2">
        <f>SUM(G117:G121)</f>
        <v>1.0000000000000002</v>
      </c>
      <c r="H122" s="209" t="s">
        <v>292</v>
      </c>
      <c r="I122" s="5" t="s">
        <v>10</v>
      </c>
      <c r="J122" s="178" t="s">
        <v>256</v>
      </c>
      <c r="K122" s="6">
        <f>'Feedstock MIX per IVC'!G121</f>
        <v>133.30004555948256</v>
      </c>
      <c r="L122" s="2">
        <f t="shared" si="35"/>
        <v>6958914.0600393126</v>
      </c>
      <c r="M122" t="s">
        <v>250</v>
      </c>
      <c r="N122" s="35">
        <v>0.03</v>
      </c>
      <c r="O122" s="2">
        <f t="shared" si="36"/>
        <v>1072810.4655447726</v>
      </c>
      <c r="Q122" s="35"/>
    </row>
    <row r="123" spans="1:19" x14ac:dyDescent="0.35">
      <c r="A123" s="80"/>
      <c r="B123" s="80"/>
      <c r="C123" s="80"/>
      <c r="D123" s="92"/>
      <c r="E123" s="92"/>
      <c r="F123" s="230"/>
      <c r="H123" s="209" t="s">
        <v>292</v>
      </c>
      <c r="I123" s="5" t="s">
        <v>11</v>
      </c>
      <c r="J123" s="156" t="s">
        <v>209</v>
      </c>
      <c r="K123" s="6">
        <f>'Feedstock MIX per IVC'!G122</f>
        <v>116.62058458705309</v>
      </c>
      <c r="L123" s="2">
        <f t="shared" si="35"/>
        <v>6088164.6541576618</v>
      </c>
      <c r="M123" s="2"/>
      <c r="O123" s="2"/>
    </row>
    <row r="124" spans="1:19" x14ac:dyDescent="0.35">
      <c r="A124" s="80"/>
      <c r="B124" s="80"/>
      <c r="C124" s="80"/>
      <c r="D124" s="92"/>
      <c r="E124" s="92"/>
      <c r="F124" s="230"/>
      <c r="H124" s="209" t="s">
        <v>292</v>
      </c>
      <c r="I124" s="5" t="s">
        <v>12</v>
      </c>
      <c r="J124" s="159" t="s">
        <v>213</v>
      </c>
      <c r="K124" s="6">
        <f>'Feedstock MIX per IVC'!G123</f>
        <v>0</v>
      </c>
      <c r="L124" s="2">
        <f t="shared" si="35"/>
        <v>0</v>
      </c>
    </row>
    <row r="125" spans="1:19" x14ac:dyDescent="0.35">
      <c r="A125" s="80"/>
      <c r="B125" s="80"/>
      <c r="C125" s="80"/>
      <c r="D125" s="92"/>
      <c r="E125" s="92"/>
      <c r="F125" s="230"/>
      <c r="L125" s="2"/>
    </row>
    <row r="126" spans="1:19" x14ac:dyDescent="0.35">
      <c r="A126" s="80"/>
      <c r="B126" s="80"/>
      <c r="C126" s="80"/>
      <c r="D126" s="92"/>
      <c r="E126" s="92"/>
      <c r="F126" s="230"/>
      <c r="L126" s="2"/>
    </row>
    <row r="127" spans="1:19" x14ac:dyDescent="0.35">
      <c r="A127" s="80"/>
      <c r="B127" s="80"/>
      <c r="C127" s="80"/>
      <c r="D127" s="92"/>
      <c r="E127" s="92"/>
      <c r="F127" s="230"/>
      <c r="L127" s="2"/>
    </row>
    <row r="128" spans="1:19" s="93" customFormat="1" ht="34" customHeight="1" x14ac:dyDescent="0.35">
      <c r="A128" s="93" t="s">
        <v>108</v>
      </c>
      <c r="F128" s="176"/>
    </row>
    <row r="129" spans="1:19" ht="19" customHeight="1" x14ac:dyDescent="0.35">
      <c r="C129" s="2">
        <f>C130+C141+C149</f>
        <v>762909935.51160789</v>
      </c>
      <c r="D129" s="2">
        <f>D130+D141+D149</f>
        <v>0.77314416738320424</v>
      </c>
      <c r="E129" s="2"/>
      <c r="F129" s="2">
        <f>F130+F141+F149</f>
        <v>1578543.4221840068</v>
      </c>
    </row>
    <row r="130" spans="1:19" s="219" customFormat="1" x14ac:dyDescent="0.35">
      <c r="A130" s="219" t="s">
        <v>350</v>
      </c>
      <c r="B130" s="219">
        <v>935</v>
      </c>
      <c r="C130" s="219">
        <f>B130*F130</f>
        <v>720885000</v>
      </c>
      <c r="D130" s="219">
        <f>'[1]GAP analysis Sc. 1'!$C$79</f>
        <v>0.36830037259959869</v>
      </c>
      <c r="E130" s="219">
        <f>'[2]Conversion factors selected IV '!$O$49</f>
        <v>2.0934000000000004</v>
      </c>
      <c r="F130" s="219">
        <f>D130*E130*1000000</f>
        <v>771000</v>
      </c>
      <c r="G130" s="219">
        <f>'LCoP 2030 MEDIUM'!E11</f>
        <v>586.19733156917277</v>
      </c>
      <c r="H130" s="219">
        <f>G130*F130</f>
        <v>451958142.6398322</v>
      </c>
      <c r="I130" s="226">
        <f>'LCoP 2030 MEDIUM'!H11</f>
        <v>0.2033399422854712</v>
      </c>
      <c r="L130" s="219">
        <f>I130*H130</f>
        <v>91901142.639832243</v>
      </c>
      <c r="M130" s="226">
        <f>'LCoP 2030 MEDIUM'!F11</f>
        <v>0.47936076277897777</v>
      </c>
      <c r="O130" s="219">
        <f>M130*H130</f>
        <v>216651000</v>
      </c>
      <c r="P130" s="226">
        <f>'LCoP 2030 MEDIUM'!G11</f>
        <v>0.31729929493555109</v>
      </c>
      <c r="R130" s="219">
        <f>P130*H130</f>
        <v>143406000</v>
      </c>
    </row>
    <row r="131" spans="1:19" x14ac:dyDescent="0.35">
      <c r="C131">
        <f>C130/C129</f>
        <v>0.94491494532257481</v>
      </c>
      <c r="D131" s="2"/>
      <c r="E131" s="2"/>
      <c r="F131" s="154" t="s">
        <v>212</v>
      </c>
      <c r="G131" s="2">
        <f>SUMIF($J$131:$J$140,F131,$L$131:$L$140)/$L$130</f>
        <v>0.55560435705459066</v>
      </c>
      <c r="I131" s="5" t="s">
        <v>5</v>
      </c>
      <c r="J131" s="154" t="s">
        <v>212</v>
      </c>
      <c r="K131" s="6">
        <f>'Feedstock MIX per IVC'!G35</f>
        <v>58.857391276505943</v>
      </c>
      <c r="L131" s="2">
        <f>K131*F$130</f>
        <v>45379048.674186081</v>
      </c>
      <c r="M131" s="5" t="s">
        <v>245</v>
      </c>
      <c r="N131" s="35">
        <v>0</v>
      </c>
      <c r="O131" s="2">
        <f>N131*O$130</f>
        <v>0</v>
      </c>
      <c r="P131" s="18" t="s">
        <v>251</v>
      </c>
      <c r="Q131" s="35">
        <v>0.25</v>
      </c>
      <c r="R131" s="2">
        <f>Q131*R$130</f>
        <v>35851500</v>
      </c>
    </row>
    <row r="132" spans="1:19" x14ac:dyDescent="0.35">
      <c r="D132" s="2"/>
      <c r="E132" s="2"/>
      <c r="F132" s="178" t="s">
        <v>256</v>
      </c>
      <c r="G132" s="2">
        <f t="shared" ref="G132:G136" si="38">SUMIF($J$131:$J$140,F132,$L$131:$L$140)/$L$130</f>
        <v>0.21281817613065537</v>
      </c>
      <c r="I132" s="5" t="s">
        <v>6</v>
      </c>
      <c r="J132" s="154" t="s">
        <v>212</v>
      </c>
      <c r="K132" s="6">
        <f>'Feedstock MIX per IVC'!G36</f>
        <v>3.3809223586336699</v>
      </c>
      <c r="L132" s="2">
        <f t="shared" ref="L132:L140" si="39">K132*F$130</f>
        <v>2606691.1385065597</v>
      </c>
      <c r="M132" t="s">
        <v>246</v>
      </c>
      <c r="N132" s="35">
        <v>0.02</v>
      </c>
      <c r="O132" s="2">
        <f t="shared" ref="O132:O136" si="40">N132*O$130</f>
        <v>4333020</v>
      </c>
      <c r="P132" s="18" t="s">
        <v>210</v>
      </c>
      <c r="Q132" s="35">
        <v>0.15</v>
      </c>
      <c r="R132" s="2">
        <f t="shared" ref="R132:R135" si="41">Q132*R$130</f>
        <v>21510900</v>
      </c>
    </row>
    <row r="133" spans="1:19" x14ac:dyDescent="0.35">
      <c r="D133" s="2"/>
      <c r="E133" s="2"/>
      <c r="F133" s="156" t="s">
        <v>209</v>
      </c>
      <c r="G133" s="2">
        <f t="shared" si="38"/>
        <v>0.18618883442190923</v>
      </c>
      <c r="I133" s="5" t="s">
        <v>23</v>
      </c>
      <c r="J133" s="159" t="s">
        <v>213</v>
      </c>
      <c r="K133" s="6">
        <f>'Feedstock MIX per IVC'!G37</f>
        <v>0</v>
      </c>
      <c r="L133" s="2">
        <f t="shared" si="39"/>
        <v>0</v>
      </c>
      <c r="M133" s="5" t="s">
        <v>244</v>
      </c>
      <c r="N133" s="35">
        <v>0.55000000000000004</v>
      </c>
      <c r="O133" s="2">
        <f t="shared" si="40"/>
        <v>119158050.00000001</v>
      </c>
      <c r="P133" s="18" t="s">
        <v>252</v>
      </c>
      <c r="Q133" s="35">
        <v>0.3</v>
      </c>
      <c r="R133" s="2">
        <f t="shared" si="41"/>
        <v>43021800</v>
      </c>
    </row>
    <row r="134" spans="1:19" x14ac:dyDescent="0.35">
      <c r="D134" s="2"/>
      <c r="E134" s="2"/>
      <c r="F134" s="159" t="s">
        <v>213</v>
      </c>
      <c r="G134" s="2">
        <f t="shared" si="38"/>
        <v>0</v>
      </c>
      <c r="I134" s="5" t="s">
        <v>7</v>
      </c>
      <c r="J134" s="157" t="s">
        <v>211</v>
      </c>
      <c r="K134" s="6">
        <f>'Feedstock MIX per IVC'!G38</f>
        <v>1.649312175719378</v>
      </c>
      <c r="L134" s="2">
        <f t="shared" si="39"/>
        <v>1271619.6874796406</v>
      </c>
      <c r="M134" t="s">
        <v>247</v>
      </c>
      <c r="N134" s="35">
        <v>0.1</v>
      </c>
      <c r="O134" s="2">
        <f t="shared" si="40"/>
        <v>21665100</v>
      </c>
      <c r="P134" s="18" t="s">
        <v>253</v>
      </c>
      <c r="Q134" s="35">
        <v>0.3</v>
      </c>
      <c r="R134" s="2">
        <f t="shared" si="41"/>
        <v>43021800</v>
      </c>
    </row>
    <row r="135" spans="1:19" x14ac:dyDescent="0.35">
      <c r="D135" s="2"/>
      <c r="E135" s="2"/>
      <c r="F135" s="157" t="s">
        <v>211</v>
      </c>
      <c r="G135" s="2">
        <f t="shared" si="38"/>
        <v>1.383682129462979E-2</v>
      </c>
      <c r="I135" s="5" t="s">
        <v>8</v>
      </c>
      <c r="J135" s="154" t="s">
        <v>212</v>
      </c>
      <c r="K135" s="6">
        <f>'Feedstock MIX per IVC'!G39</f>
        <v>2.7405553772623534</v>
      </c>
      <c r="L135" s="2">
        <f t="shared" si="39"/>
        <v>2112968.1958692744</v>
      </c>
      <c r="M135" t="s">
        <v>248</v>
      </c>
      <c r="N135" s="35">
        <v>0.3</v>
      </c>
      <c r="O135" s="2">
        <f t="shared" si="40"/>
        <v>64995300</v>
      </c>
      <c r="P135" s="18" t="s">
        <v>254</v>
      </c>
      <c r="Q135" s="240">
        <v>0</v>
      </c>
      <c r="R135" s="2">
        <f t="shared" si="41"/>
        <v>0</v>
      </c>
    </row>
    <row r="136" spans="1:19" x14ac:dyDescent="0.35">
      <c r="D136" s="2"/>
      <c r="E136" s="2"/>
      <c r="F136" s="158" t="s">
        <v>104</v>
      </c>
      <c r="G136" s="2">
        <f t="shared" si="38"/>
        <v>3.1551811098215012E-2</v>
      </c>
      <c r="I136" s="5" t="s">
        <v>9</v>
      </c>
      <c r="J136" s="154" t="s">
        <v>212</v>
      </c>
      <c r="K136" s="6">
        <f>'Feedstock MIX per IVC'!G40</f>
        <v>1.2476877567111517</v>
      </c>
      <c r="L136" s="2">
        <f t="shared" si="39"/>
        <v>961967.260424298</v>
      </c>
      <c r="M136" t="s">
        <v>250</v>
      </c>
      <c r="N136" s="35">
        <v>0.03</v>
      </c>
      <c r="O136" s="2">
        <f t="shared" si="40"/>
        <v>6499530</v>
      </c>
    </row>
    <row r="137" spans="1:19" x14ac:dyDescent="0.35">
      <c r="D137" s="2"/>
      <c r="E137" s="2"/>
      <c r="G137" s="2">
        <f>SUM(G131:G136)</f>
        <v>1</v>
      </c>
      <c r="I137" s="5" t="s">
        <v>10</v>
      </c>
      <c r="J137" s="178" t="s">
        <v>256</v>
      </c>
      <c r="K137" s="6">
        <f>'Feedstock MIX per IVC'!G41</f>
        <v>25.367358704192348</v>
      </c>
      <c r="L137" s="2">
        <f t="shared" si="39"/>
        <v>19558233.560932301</v>
      </c>
      <c r="M137" s="2"/>
    </row>
    <row r="138" spans="1:19" x14ac:dyDescent="0.35">
      <c r="D138" s="2"/>
      <c r="E138" s="2"/>
      <c r="G138" s="2"/>
      <c r="I138" s="5" t="s">
        <v>11</v>
      </c>
      <c r="J138" s="156" t="s">
        <v>209</v>
      </c>
      <c r="K138" s="6">
        <f>'Feedstock MIX per IVC'!G42</f>
        <v>22.193212231066131</v>
      </c>
      <c r="L138" s="2">
        <f t="shared" si="39"/>
        <v>17110966.630151987</v>
      </c>
    </row>
    <row r="139" spans="1:19" s="31" customFormat="1" x14ac:dyDescent="0.35">
      <c r="I139" s="5" t="s">
        <v>12</v>
      </c>
      <c r="J139" s="159" t="s">
        <v>213</v>
      </c>
      <c r="K139" s="6">
        <f>'Feedstock MIX per IVC'!G43</f>
        <v>0</v>
      </c>
      <c r="L139" s="2">
        <f t="shared" si="39"/>
        <v>0</v>
      </c>
    </row>
    <row r="140" spans="1:19" x14ac:dyDescent="0.35">
      <c r="D140" s="2"/>
      <c r="E140" s="2"/>
      <c r="I140" s="13" t="s">
        <v>26</v>
      </c>
      <c r="J140" s="158" t="s">
        <v>104</v>
      </c>
      <c r="K140" s="6">
        <f>'Feedstock MIX per IVC'!G44</f>
        <v>3.7608916890818413</v>
      </c>
      <c r="L140" s="2">
        <f t="shared" si="39"/>
        <v>2899647.4922820996</v>
      </c>
    </row>
    <row r="141" spans="1:19" s="219" customFormat="1" x14ac:dyDescent="0.35">
      <c r="A141" s="219" t="s">
        <v>28</v>
      </c>
      <c r="C141" s="219">
        <f>B141*F141</f>
        <v>0</v>
      </c>
      <c r="D141" s="219">
        <f>'[1]GAP analysis Sc. 1'!$C$80</f>
        <v>0.36830037259959869</v>
      </c>
      <c r="E141" s="219">
        <f>'[2]Conversion factors selected IV '!$O$49</f>
        <v>2.0934000000000004</v>
      </c>
      <c r="F141" s="219">
        <f>D141*E141*1000000</f>
        <v>771000</v>
      </c>
      <c r="G141" s="219">
        <f>'LCoP 2030 MEDIUM'!E12</f>
        <v>936</v>
      </c>
      <c r="H141" s="219">
        <f>G141*F141</f>
        <v>721656000</v>
      </c>
      <c r="I141" s="226">
        <f>'LCoP 2030 MEDIUM'!H12</f>
        <v>0.75641025641025639</v>
      </c>
      <c r="L141" s="219">
        <f>I141*H141</f>
        <v>545868000</v>
      </c>
      <c r="M141" s="226">
        <f>'LCoP 2030 MEDIUM'!F12</f>
        <v>0.14529914529914531</v>
      </c>
      <c r="O141" s="219">
        <f>M141*H141</f>
        <v>104856000.00000001</v>
      </c>
      <c r="P141" s="226">
        <f>'LCoP 2030 MEDIUM'!G12</f>
        <v>9.8290598290598288E-2</v>
      </c>
      <c r="R141" s="219">
        <f>P141*H141</f>
        <v>70932000</v>
      </c>
      <c r="S141" s="226"/>
    </row>
    <row r="142" spans="1:19" x14ac:dyDescent="0.35">
      <c r="I142" s="13" t="s">
        <v>29</v>
      </c>
      <c r="L142" s="2">
        <f>L141</f>
        <v>545868000</v>
      </c>
      <c r="M142" s="5" t="s">
        <v>245</v>
      </c>
      <c r="N142" s="35">
        <v>0</v>
      </c>
      <c r="O142" s="2">
        <f>N142*O$141</f>
        <v>0</v>
      </c>
      <c r="P142" s="18" t="s">
        <v>251</v>
      </c>
      <c r="Q142" s="35">
        <v>0.25</v>
      </c>
      <c r="R142" s="2">
        <f>Q142*R$141</f>
        <v>17733000</v>
      </c>
    </row>
    <row r="143" spans="1:19" x14ac:dyDescent="0.35">
      <c r="M143" t="s">
        <v>246</v>
      </c>
      <c r="N143" s="35">
        <v>0.02</v>
      </c>
      <c r="O143" s="2">
        <f t="shared" ref="O143:O147" si="42">N143*O$141</f>
        <v>2097120.0000000002</v>
      </c>
      <c r="P143" s="18" t="s">
        <v>210</v>
      </c>
      <c r="Q143" s="35">
        <v>0.15</v>
      </c>
      <c r="R143" s="2">
        <f t="shared" ref="R143:R147" si="43">Q143*R$141</f>
        <v>10639800</v>
      </c>
    </row>
    <row r="144" spans="1:19" x14ac:dyDescent="0.35">
      <c r="M144" s="5" t="s">
        <v>244</v>
      </c>
      <c r="N144" s="35">
        <v>0.55000000000000004</v>
      </c>
      <c r="O144" s="2">
        <f t="shared" si="42"/>
        <v>57670800.000000015</v>
      </c>
      <c r="P144" s="18" t="s">
        <v>252</v>
      </c>
      <c r="Q144" s="35">
        <v>0.3</v>
      </c>
      <c r="R144" s="2">
        <f t="shared" si="43"/>
        <v>21279600</v>
      </c>
    </row>
    <row r="145" spans="1:19" x14ac:dyDescent="0.35">
      <c r="M145" t="s">
        <v>247</v>
      </c>
      <c r="N145" s="35">
        <v>0.1</v>
      </c>
      <c r="O145" s="2">
        <f t="shared" si="42"/>
        <v>10485600.000000002</v>
      </c>
      <c r="P145" s="18" t="s">
        <v>253</v>
      </c>
      <c r="Q145" s="35">
        <v>0.3</v>
      </c>
      <c r="R145" s="2">
        <f t="shared" si="43"/>
        <v>21279600</v>
      </c>
    </row>
    <row r="146" spans="1:19" x14ac:dyDescent="0.35">
      <c r="M146" t="s">
        <v>248</v>
      </c>
      <c r="N146" s="35">
        <v>0.3</v>
      </c>
      <c r="O146" s="2">
        <f t="shared" si="42"/>
        <v>31456800.000000004</v>
      </c>
      <c r="P146" s="18" t="s">
        <v>254</v>
      </c>
      <c r="Q146" s="240">
        <v>0</v>
      </c>
      <c r="R146" s="2">
        <f t="shared" si="43"/>
        <v>0</v>
      </c>
    </row>
    <row r="147" spans="1:19" x14ac:dyDescent="0.35">
      <c r="M147" t="s">
        <v>250</v>
      </c>
      <c r="N147" s="35">
        <v>0.03</v>
      </c>
      <c r="O147" s="2">
        <f t="shared" si="42"/>
        <v>3145680.0000000005</v>
      </c>
      <c r="R147" s="2">
        <f t="shared" si="43"/>
        <v>0</v>
      </c>
    </row>
    <row r="149" spans="1:19" x14ac:dyDescent="0.35">
      <c r="A149" s="218" t="s">
        <v>336</v>
      </c>
      <c r="B149" s="218">
        <v>1150</v>
      </c>
      <c r="C149" s="219">
        <f>B149*F149</f>
        <v>42024935.511607878</v>
      </c>
      <c r="D149" s="225">
        <f>'[1]GAP analysis Sc. 1'!$C$77</f>
        <v>3.654342218400685E-2</v>
      </c>
      <c r="E149" s="225">
        <f>'[2]Conversion factors selected IV '!$O$125</f>
        <v>1</v>
      </c>
      <c r="F149" s="219">
        <f>D149*E149*1000000</f>
        <v>36543.422184006849</v>
      </c>
      <c r="G149" s="225">
        <f>'LCoP 2030 MEDIUM'!E23</f>
        <v>2160.571681766708</v>
      </c>
      <c r="H149" s="220">
        <f>G149*F149</f>
        <v>78954683.125610501</v>
      </c>
      <c r="I149" s="223">
        <f>'LCoP 2030 MEDIUM'!H23</f>
        <v>0.29254835055963535</v>
      </c>
      <c r="J149" s="218"/>
      <c r="K149" s="218"/>
      <c r="L149" s="219">
        <f>I149*H149</f>
        <v>23098062.317356028</v>
      </c>
      <c r="M149" s="223">
        <f>'LCoP 2030 MEDIUM'!F23</f>
        <v>0.31704571793696418</v>
      </c>
      <c r="N149" s="218"/>
      <c r="O149" s="219">
        <f>M149*H149</f>
        <v>25032244.196044691</v>
      </c>
      <c r="P149" s="236">
        <f>'LCoP 2030 MEDIUM'!G23</f>
        <v>0.39040593150340042</v>
      </c>
      <c r="Q149" s="218"/>
      <c r="R149" s="219">
        <f>P149*H149</f>
        <v>30824376.612209778</v>
      </c>
      <c r="S149" s="220">
        <f>R149+O149+L149</f>
        <v>78954683.125610501</v>
      </c>
    </row>
    <row r="150" spans="1:19" x14ac:dyDescent="0.35">
      <c r="C150">
        <f>C149/$C$129</f>
        <v>5.5085054677425228E-2</v>
      </c>
      <c r="D150" s="6"/>
      <c r="E150" s="6"/>
      <c r="F150" s="154" t="s">
        <v>212</v>
      </c>
      <c r="G150" s="6">
        <f>SUMIF($J$150:$J$157,F150,$L$150:$L$157)/$L$149</f>
        <v>0.59047979786081839</v>
      </c>
      <c r="H150" s="209" t="s">
        <v>292</v>
      </c>
      <c r="I150" s="5" t="s">
        <v>5</v>
      </c>
      <c r="J150" s="154" t="s">
        <v>212</v>
      </c>
      <c r="K150" s="6">
        <f>'Feedstock MIX per IVC'!G116</f>
        <v>318.51533390227388</v>
      </c>
      <c r="L150" s="2">
        <f>K150*F$149</f>
        <v>11639640.318870705</v>
      </c>
      <c r="M150" s="5" t="s">
        <v>245</v>
      </c>
      <c r="N150" s="174">
        <v>0.15</v>
      </c>
      <c r="O150" s="2">
        <f>N150*O$149</f>
        <v>3754836.6294067036</v>
      </c>
      <c r="P150" s="18" t="s">
        <v>251</v>
      </c>
      <c r="Q150" s="123">
        <v>0.15</v>
      </c>
      <c r="R150" s="2">
        <f>Q150*R$149</f>
        <v>4623656.4918314666</v>
      </c>
    </row>
    <row r="151" spans="1:19" x14ac:dyDescent="0.35">
      <c r="D151" s="6"/>
      <c r="E151" s="6"/>
      <c r="F151" s="178" t="s">
        <v>256</v>
      </c>
      <c r="G151" s="6">
        <f>SUMIF($J$150:$J$157,F151,$L$150:$L$157)/$L$149</f>
        <v>0.21089387391457676</v>
      </c>
      <c r="H151" s="209" t="s">
        <v>292</v>
      </c>
      <c r="I151" s="5" t="s">
        <v>6</v>
      </c>
      <c r="J151" s="154" t="s">
        <v>212</v>
      </c>
      <c r="K151" s="6">
        <f>'Feedstock MIX per IVC'!G117</f>
        <v>18.296353110500878</v>
      </c>
      <c r="L151" s="2">
        <f>K151*F$149</f>
        <v>668611.35614470055</v>
      </c>
      <c r="M151" t="s">
        <v>246</v>
      </c>
      <c r="N151" s="35">
        <v>0.02</v>
      </c>
      <c r="O151" s="2">
        <f>N151*O$149</f>
        <v>500644.88392089383</v>
      </c>
      <c r="P151" s="18" t="s">
        <v>210</v>
      </c>
      <c r="Q151" s="123">
        <v>0.25</v>
      </c>
      <c r="R151" s="2">
        <f>Q151*R$149</f>
        <v>7706094.1530524446</v>
      </c>
    </row>
    <row r="152" spans="1:19" x14ac:dyDescent="0.35">
      <c r="D152" s="6"/>
      <c r="E152" s="6"/>
      <c r="F152" s="156" t="s">
        <v>209</v>
      </c>
      <c r="G152" s="6">
        <f>SUMIF($J$150:$J$157,F152,$L$150:$L$157)/$L$149</f>
        <v>0.1845053147470333</v>
      </c>
      <c r="H152" s="209" t="s">
        <v>292</v>
      </c>
      <c r="I152" s="5" t="s">
        <v>7</v>
      </c>
      <c r="J152" s="157" t="s">
        <v>211</v>
      </c>
      <c r="K152" s="6">
        <f>'Feedstock MIX per IVC'!G118</f>
        <v>8.9254927370190735</v>
      </c>
      <c r="L152" s="2">
        <f>K152*F$149</f>
        <v>326168.04928917484</v>
      </c>
      <c r="M152" s="5" t="s">
        <v>244</v>
      </c>
      <c r="N152" s="174">
        <v>0.45</v>
      </c>
      <c r="O152" s="2">
        <f>N152*O$149</f>
        <v>11264509.888220111</v>
      </c>
      <c r="P152" s="18" t="s">
        <v>252</v>
      </c>
      <c r="Q152" s="123">
        <v>0.2</v>
      </c>
      <c r="R152" s="2">
        <f>Q152*R$149</f>
        <v>6164875.322441956</v>
      </c>
      <c r="S152" s="2"/>
    </row>
    <row r="153" spans="1:19" x14ac:dyDescent="0.35">
      <c r="D153" s="6"/>
      <c r="E153" s="6"/>
      <c r="F153" s="157" t="s">
        <v>211</v>
      </c>
      <c r="G153" s="6">
        <f>SUMIF($J$150:$J$157,F153,$L$150:$L$157)/$L$149</f>
        <v>1.4121013477571673E-2</v>
      </c>
      <c r="H153" s="209" t="s">
        <v>292</v>
      </c>
      <c r="I153" s="5" t="s">
        <v>8</v>
      </c>
      <c r="J153" s="154" t="s">
        <v>212</v>
      </c>
      <c r="K153" s="6">
        <f>'Feedstock MIX per IVC'!G119</f>
        <v>29.661828094471769</v>
      </c>
      <c r="L153" s="2">
        <f>K153*F$149</f>
        <v>1083944.7068057172</v>
      </c>
      <c r="M153" t="s">
        <v>247</v>
      </c>
      <c r="N153" s="35">
        <v>0.1</v>
      </c>
      <c r="O153" s="2">
        <f>N153*O$149</f>
        <v>2503224.4196044691</v>
      </c>
      <c r="P153" s="18" t="s">
        <v>253</v>
      </c>
      <c r="Q153" s="123">
        <v>0.3</v>
      </c>
      <c r="R153" s="2">
        <f>Q153*R$149</f>
        <v>9247312.9836629331</v>
      </c>
    </row>
    <row r="154" spans="1:19" x14ac:dyDescent="0.35">
      <c r="D154" s="6"/>
      <c r="E154" s="6"/>
      <c r="F154" s="159" t="s">
        <v>213</v>
      </c>
      <c r="G154" s="6">
        <f>SUMIF($J$150:$J$157,F154,$L$150:$L$157)/$L$149</f>
        <v>0</v>
      </c>
      <c r="H154" s="209" t="s">
        <v>292</v>
      </c>
      <c r="I154" s="5" t="s">
        <v>9</v>
      </c>
      <c r="J154" s="154" t="s">
        <v>212</v>
      </c>
      <c r="K154" s="6">
        <f>'Feedstock MIX per IVC'!G120</f>
        <v>6.7520437759066034</v>
      </c>
      <c r="L154" s="2">
        <f>K154*F$149</f>
        <v>246742.78630785074</v>
      </c>
      <c r="M154" t="s">
        <v>248</v>
      </c>
      <c r="N154" s="35">
        <v>0.25</v>
      </c>
      <c r="O154" s="2">
        <f>N154*O$149</f>
        <v>6258061.0490111727</v>
      </c>
      <c r="P154" s="18" t="s">
        <v>254</v>
      </c>
      <c r="Q154" s="123">
        <v>0.1</v>
      </c>
      <c r="R154" s="2">
        <f>Q154*R$149</f>
        <v>3082437.661220978</v>
      </c>
    </row>
    <row r="155" spans="1:19" x14ac:dyDescent="0.35">
      <c r="D155" s="6"/>
      <c r="E155" s="6"/>
      <c r="F155" s="31"/>
      <c r="G155" s="6">
        <f>SUM(G150:G154)</f>
        <v>1.0000000000000002</v>
      </c>
      <c r="H155" s="209" t="s">
        <v>292</v>
      </c>
      <c r="I155" s="5" t="s">
        <v>10</v>
      </c>
      <c r="J155" s="178" t="s">
        <v>256</v>
      </c>
      <c r="K155" s="6">
        <f>'Feedstock MIX per IVC'!G121</f>
        <v>133.30004555948256</v>
      </c>
      <c r="L155" s="2">
        <f>K155*F$149</f>
        <v>4871239.8420275189</v>
      </c>
      <c r="M155" t="s">
        <v>250</v>
      </c>
      <c r="N155" s="35">
        <v>0.03</v>
      </c>
      <c r="O155" s="2">
        <f>N155*O$149</f>
        <v>750967.32588134066</v>
      </c>
      <c r="Q155" s="35"/>
      <c r="R155" s="2"/>
    </row>
    <row r="156" spans="1:19" x14ac:dyDescent="0.35">
      <c r="D156" s="6"/>
      <c r="E156" s="6"/>
      <c r="F156" s="31"/>
      <c r="G156" s="6"/>
      <c r="H156" s="209" t="s">
        <v>292</v>
      </c>
      <c r="I156" s="5" t="s">
        <v>11</v>
      </c>
      <c r="J156" s="156" t="s">
        <v>209</v>
      </c>
      <c r="K156" s="6">
        <f>'Feedstock MIX per IVC'!G122</f>
        <v>116.62058458705309</v>
      </c>
      <c r="L156" s="2">
        <f>K156*F$149</f>
        <v>4261715.2579103634</v>
      </c>
    </row>
    <row r="157" spans="1:19" x14ac:dyDescent="0.35">
      <c r="D157" s="6"/>
      <c r="E157" s="6"/>
      <c r="F157" s="31"/>
      <c r="G157" s="6"/>
      <c r="H157" s="209" t="s">
        <v>292</v>
      </c>
      <c r="I157" s="5" t="s">
        <v>12</v>
      </c>
      <c r="J157" s="159" t="s">
        <v>213</v>
      </c>
      <c r="K157" s="6">
        <f>'Feedstock MIX per IVC'!G123</f>
        <v>0</v>
      </c>
      <c r="L157" s="2">
        <f>K157*F$149</f>
        <v>0</v>
      </c>
    </row>
    <row r="158" spans="1:19" x14ac:dyDescent="0.35">
      <c r="D158" s="6"/>
      <c r="E158" s="6"/>
      <c r="F158" s="31"/>
      <c r="G158" s="6"/>
      <c r="H158" s="209"/>
      <c r="I158" s="313"/>
      <c r="J158" s="314"/>
      <c r="K158" s="6"/>
      <c r="L158" s="2"/>
    </row>
    <row r="159" spans="1:19" ht="23" customHeight="1" x14ac:dyDescent="0.35">
      <c r="A159" s="246" t="s">
        <v>394</v>
      </c>
      <c r="B159" s="246"/>
      <c r="C159" s="246"/>
      <c r="D159" s="207"/>
      <c r="E159" s="207"/>
      <c r="F159" s="215"/>
      <c r="G159" s="207"/>
      <c r="H159" s="207"/>
      <c r="I159" s="207"/>
      <c r="J159" s="207"/>
      <c r="K159" s="207"/>
      <c r="L159" s="207"/>
      <c r="M159" s="207"/>
      <c r="N159" s="207"/>
      <c r="O159" s="207"/>
      <c r="P159" s="207"/>
      <c r="Q159" s="207"/>
      <c r="R159" s="207"/>
      <c r="S159" s="207"/>
    </row>
    <row r="160" spans="1:19" x14ac:dyDescent="0.35">
      <c r="B160" s="2">
        <f>C160/1000000</f>
        <v>0</v>
      </c>
      <c r="C160" s="2">
        <f>C161+C169</f>
        <v>0</v>
      </c>
      <c r="D160" s="2">
        <f>D161+D169</f>
        <v>0</v>
      </c>
      <c r="F160" s="2">
        <f>F161+F169</f>
        <v>0</v>
      </c>
      <c r="H160" s="2">
        <f>H161+H169</f>
        <v>0</v>
      </c>
      <c r="L160" s="2" t="e">
        <f>L161+L169</f>
        <v>#REF!</v>
      </c>
      <c r="O160" s="2" t="e">
        <f>O161+O169</f>
        <v>#REF!</v>
      </c>
      <c r="R160" s="2" t="e">
        <f>R161+R169</f>
        <v>#REF!</v>
      </c>
    </row>
    <row r="161" spans="1:19" x14ac:dyDescent="0.35">
      <c r="A161" s="219" t="s">
        <v>395</v>
      </c>
      <c r="B161" s="219">
        <v>935</v>
      </c>
      <c r="C161" s="270">
        <f>B161*F161</f>
        <v>0</v>
      </c>
      <c r="D161" s="308"/>
      <c r="E161" s="219">
        <f>'[2]Conversion factors selected IV '!$O$50</f>
        <v>2.0934000000000004</v>
      </c>
      <c r="F161" s="219">
        <f>D161*E161*1000000</f>
        <v>0</v>
      </c>
      <c r="G161" s="219">
        <f>'LCoP 2030 MEDIUM'!$E$13</f>
        <v>377.86968567880001</v>
      </c>
      <c r="H161" s="219">
        <f>G161*F161</f>
        <v>0</v>
      </c>
      <c r="I161" s="219" t="e">
        <f>'LCoP 2030 MEDIUM'!#REF!</f>
        <v>#REF!</v>
      </c>
      <c r="J161" s="219"/>
      <c r="K161" s="219"/>
      <c r="L161" s="219" t="e">
        <f>I161*H161</f>
        <v>#REF!</v>
      </c>
      <c r="M161" s="273" t="e">
        <f>'LCoP 2030 MEDIUM'!#REF!</f>
        <v>#REF!</v>
      </c>
      <c r="N161" s="219"/>
      <c r="O161" s="219" t="e">
        <f>M161*H161</f>
        <v>#REF!</v>
      </c>
      <c r="P161" s="273" t="e">
        <f>'LCoP 2030 MEDIUM'!#REF!</f>
        <v>#REF!</v>
      </c>
      <c r="Q161" s="219"/>
      <c r="R161" s="219" t="e">
        <f>P161*H161</f>
        <v>#REF!</v>
      </c>
      <c r="S161" s="219"/>
    </row>
    <row r="162" spans="1:19" x14ac:dyDescent="0.35">
      <c r="E162" s="1"/>
      <c r="I162" s="15" t="s">
        <v>31</v>
      </c>
      <c r="J162" s="261" t="s">
        <v>210</v>
      </c>
      <c r="L162" s="2" t="e">
        <f>L161</f>
        <v>#REF!</v>
      </c>
      <c r="M162" s="5" t="s">
        <v>245</v>
      </c>
      <c r="N162" s="79">
        <v>0.2</v>
      </c>
      <c r="O162" s="2" t="e">
        <f>N162*#REF!</f>
        <v>#REF!</v>
      </c>
      <c r="P162" s="18" t="s">
        <v>251</v>
      </c>
      <c r="Q162" s="79">
        <v>0.35</v>
      </c>
      <c r="R162" s="2" t="e">
        <f>Q162*#REF!</f>
        <v>#REF!</v>
      </c>
    </row>
    <row r="163" spans="1:19" x14ac:dyDescent="0.35">
      <c r="E163" s="1"/>
      <c r="M163" t="s">
        <v>246</v>
      </c>
      <c r="N163" s="79">
        <v>7.0000000000000007E-2</v>
      </c>
      <c r="O163" s="2" t="e">
        <f>N163*#REF!</f>
        <v>#REF!</v>
      </c>
      <c r="P163" s="18" t="s">
        <v>210</v>
      </c>
      <c r="Q163" s="79">
        <v>0.15</v>
      </c>
      <c r="R163" s="2" t="e">
        <f>Q163*#REF!</f>
        <v>#REF!</v>
      </c>
    </row>
    <row r="164" spans="1:19" x14ac:dyDescent="0.35">
      <c r="E164" s="1"/>
      <c r="M164" s="5" t="s">
        <v>244</v>
      </c>
      <c r="N164" s="79">
        <v>0.4</v>
      </c>
      <c r="O164" s="2" t="e">
        <f>N164*#REF!</f>
        <v>#REF!</v>
      </c>
      <c r="P164" s="18" t="s">
        <v>252</v>
      </c>
      <c r="Q164" s="79">
        <v>0.12</v>
      </c>
      <c r="R164" s="2" t="e">
        <f>Q164*#REF!</f>
        <v>#REF!</v>
      </c>
    </row>
    <row r="165" spans="1:19" x14ac:dyDescent="0.35">
      <c r="E165" s="1"/>
      <c r="M165" t="s">
        <v>247</v>
      </c>
      <c r="N165" s="79">
        <v>0.15</v>
      </c>
      <c r="O165" s="2" t="e">
        <f>N165*#REF!</f>
        <v>#REF!</v>
      </c>
      <c r="P165" s="18" t="s">
        <v>253</v>
      </c>
      <c r="Q165" s="79">
        <v>0.3</v>
      </c>
      <c r="R165" s="2" t="e">
        <f>Q165*#REF!</f>
        <v>#REF!</v>
      </c>
    </row>
    <row r="166" spans="1:19" x14ac:dyDescent="0.35">
      <c r="E166" s="1"/>
      <c r="M166" t="s">
        <v>248</v>
      </c>
      <c r="N166" s="79">
        <v>0.15</v>
      </c>
      <c r="O166" s="2" t="e">
        <f>N166*#REF!</f>
        <v>#REF!</v>
      </c>
      <c r="P166" s="18" t="s">
        <v>254</v>
      </c>
      <c r="Q166" s="79">
        <v>0.08</v>
      </c>
      <c r="R166" s="2" t="e">
        <f>Q166*#REF!</f>
        <v>#REF!</v>
      </c>
    </row>
    <row r="167" spans="1:19" x14ac:dyDescent="0.35">
      <c r="E167" s="1"/>
      <c r="M167" t="s">
        <v>250</v>
      </c>
      <c r="N167" s="79">
        <v>0.03</v>
      </c>
      <c r="O167" s="2" t="e">
        <f>N167*#REF!</f>
        <v>#REF!</v>
      </c>
      <c r="Q167">
        <f>SUM(Q162:Q166)</f>
        <v>0.99999999999999989</v>
      </c>
    </row>
    <row r="168" spans="1:19" x14ac:dyDescent="0.35">
      <c r="E168" s="1"/>
      <c r="O168" s="2" t="e">
        <f>SUM(O162:O167)</f>
        <v>#REF!</v>
      </c>
      <c r="R168" s="2" t="e">
        <f>SUM(R162:R167)</f>
        <v>#REF!</v>
      </c>
    </row>
    <row r="169" spans="1:19" x14ac:dyDescent="0.35">
      <c r="A169" s="219" t="s">
        <v>396</v>
      </c>
      <c r="B169" s="219">
        <v>1275</v>
      </c>
      <c r="C169" s="270">
        <f>B169*F169</f>
        <v>0</v>
      </c>
      <c r="D169" s="308"/>
      <c r="E169" s="219">
        <f>'[2]Conversion factors selected IV '!$O$62</f>
        <v>0.83669064748201449</v>
      </c>
      <c r="F169" s="219">
        <f>D169*E169*1000000</f>
        <v>0</v>
      </c>
      <c r="G169" s="219">
        <f>'LCoP 2030 MEDIUM'!$E$15</f>
        <v>1975.5649183147032</v>
      </c>
      <c r="H169" s="219">
        <f>G169*F169</f>
        <v>0</v>
      </c>
      <c r="I169" s="219">
        <f>'LCoP 2030 MEDIUM'!$H$15</f>
        <v>0.85877457257238266</v>
      </c>
      <c r="J169" s="219"/>
      <c r="K169" s="219"/>
      <c r="L169" s="219">
        <f>I169*H169</f>
        <v>0</v>
      </c>
      <c r="M169" s="273">
        <f>'LCoP 2030 MEDIUM'!$F$15</f>
        <v>6.4791593945286829E-2</v>
      </c>
      <c r="N169" s="219"/>
      <c r="O169" s="219">
        <f>M169*H169</f>
        <v>0</v>
      </c>
      <c r="P169" s="273">
        <f>'LCoP 2030 MEDIUM'!$G$15</f>
        <v>7.6433833482330557E-2</v>
      </c>
      <c r="Q169" s="219"/>
      <c r="R169" s="219">
        <f>P169*H169</f>
        <v>0</v>
      </c>
      <c r="S169" s="219"/>
    </row>
    <row r="170" spans="1:19" x14ac:dyDescent="0.35">
      <c r="E170" s="1"/>
      <c r="I170" s="15" t="s">
        <v>31</v>
      </c>
      <c r="J170" s="261" t="s">
        <v>210</v>
      </c>
      <c r="L170" s="2">
        <f>L169</f>
        <v>0</v>
      </c>
      <c r="M170" s="5" t="s">
        <v>245</v>
      </c>
      <c r="N170" s="79">
        <v>0.2</v>
      </c>
      <c r="O170" s="2" t="e">
        <f>N170*#REF!</f>
        <v>#REF!</v>
      </c>
      <c r="P170" s="18" t="s">
        <v>251</v>
      </c>
      <c r="Q170" s="79">
        <v>0.35</v>
      </c>
      <c r="R170" s="2" t="e">
        <f>Q170*#REF!</f>
        <v>#REF!</v>
      </c>
    </row>
    <row r="171" spans="1:19" x14ac:dyDescent="0.35">
      <c r="M171" t="s">
        <v>246</v>
      </c>
      <c r="N171" s="79">
        <v>7.0000000000000007E-2</v>
      </c>
      <c r="O171" s="2" t="e">
        <f>N171*#REF!</f>
        <v>#REF!</v>
      </c>
      <c r="P171" s="18" t="s">
        <v>210</v>
      </c>
      <c r="Q171" s="79">
        <v>0.15</v>
      </c>
      <c r="R171" s="2" t="e">
        <f>Q171*#REF!</f>
        <v>#REF!</v>
      </c>
    </row>
    <row r="172" spans="1:19" x14ac:dyDescent="0.35">
      <c r="M172" s="5" t="s">
        <v>244</v>
      </c>
      <c r="N172" s="79">
        <v>0.4</v>
      </c>
      <c r="O172" s="2" t="e">
        <f>N172*#REF!</f>
        <v>#REF!</v>
      </c>
      <c r="P172" s="18" t="s">
        <v>252</v>
      </c>
      <c r="Q172" s="79">
        <v>0.12</v>
      </c>
      <c r="R172" s="2" t="e">
        <f>Q172*#REF!</f>
        <v>#REF!</v>
      </c>
    </row>
    <row r="173" spans="1:19" x14ac:dyDescent="0.35">
      <c r="M173" t="s">
        <v>247</v>
      </c>
      <c r="N173" s="79">
        <v>0.15</v>
      </c>
      <c r="O173" s="2" t="e">
        <f>N173*#REF!</f>
        <v>#REF!</v>
      </c>
      <c r="P173" s="18" t="s">
        <v>253</v>
      </c>
      <c r="Q173" s="79">
        <v>0.3</v>
      </c>
      <c r="R173" s="2" t="e">
        <f>Q173*#REF!</f>
        <v>#REF!</v>
      </c>
    </row>
    <row r="174" spans="1:19" x14ac:dyDescent="0.35">
      <c r="M174" t="s">
        <v>248</v>
      </c>
      <c r="N174" s="79">
        <v>0.15</v>
      </c>
      <c r="O174" s="2" t="e">
        <f>N174*#REF!</f>
        <v>#REF!</v>
      </c>
      <c r="P174" s="18" t="s">
        <v>254</v>
      </c>
      <c r="Q174" s="79">
        <v>0.08</v>
      </c>
      <c r="R174" s="2" t="e">
        <f>Q174*#REF!</f>
        <v>#REF!</v>
      </c>
    </row>
    <row r="175" spans="1:19" x14ac:dyDescent="0.35">
      <c r="M175" t="s">
        <v>250</v>
      </c>
      <c r="N175" s="79">
        <v>0.03</v>
      </c>
      <c r="O175" s="2" t="e">
        <f>N175*#REF!</f>
        <v>#REF!</v>
      </c>
      <c r="Q175">
        <f>SUM(Q170:Q174)</f>
        <v>0.99999999999999989</v>
      </c>
    </row>
    <row r="176" spans="1:19" x14ac:dyDescent="0.35">
      <c r="O176" s="2" t="e">
        <f>SUM(O170:O175)</f>
        <v>#REF!</v>
      </c>
      <c r="R176" s="2" t="e">
        <f>SUM(R170:R175)</f>
        <v>#REF!</v>
      </c>
    </row>
    <row r="177" spans="1:18" s="207" customFormat="1" ht="32.5" customHeight="1" x14ac:dyDescent="0.35">
      <c r="A177" s="246" t="s">
        <v>366</v>
      </c>
      <c r="B177" s="246"/>
      <c r="C177" s="246"/>
      <c r="F177" s="215"/>
    </row>
    <row r="178" spans="1:18" x14ac:dyDescent="0.35">
      <c r="D178" s="2">
        <f>D180+D215</f>
        <v>15.871813427331979</v>
      </c>
    </row>
    <row r="179" spans="1:18" s="158" customFormat="1" ht="29.5" customHeight="1" x14ac:dyDescent="0.35">
      <c r="A179" s="158" t="s">
        <v>259</v>
      </c>
      <c r="F179" s="247"/>
    </row>
    <row r="180" spans="1:18" ht="17.5" customHeight="1" x14ac:dyDescent="0.35">
      <c r="D180" s="2">
        <f>D181+D189+D196+D204</f>
        <v>13.315858973089972</v>
      </c>
      <c r="E180" s="2"/>
      <c r="F180" s="2">
        <f t="shared" ref="F180" si="44">F181+F189+F196+F204</f>
        <v>14139827.661393406</v>
      </c>
    </row>
    <row r="181" spans="1:18" s="119" customFormat="1" x14ac:dyDescent="0.35">
      <c r="A181" s="119" t="s">
        <v>305</v>
      </c>
      <c r="D181" s="119">
        <f>'[1]GAP analysis Sc. 1'!$S$18</f>
        <v>3.3132335769261889</v>
      </c>
      <c r="E181" s="119">
        <f>'[2]Conversion factors selected IV '!$O$4</f>
        <v>1.1315675675675676</v>
      </c>
      <c r="F181" s="119">
        <f>D181*E181*1000000</f>
        <v>3749147.659425559</v>
      </c>
      <c r="G181" s="119">
        <v>629</v>
      </c>
      <c r="H181" s="119">
        <f>G181*F181</f>
        <v>2358213877.7786765</v>
      </c>
      <c r="I181" s="119">
        <v>0.75</v>
      </c>
      <c r="K181" s="119">
        <f>I181*G181</f>
        <v>471.75</v>
      </c>
      <c r="L181" s="119">
        <f>I181*H181</f>
        <v>1768660408.3340073</v>
      </c>
      <c r="M181" s="119">
        <v>6.5000000000000002E-2</v>
      </c>
      <c r="O181" s="119">
        <f>M181*H181</f>
        <v>153283902.05561396</v>
      </c>
      <c r="P181" s="119">
        <v>0.185</v>
      </c>
      <c r="R181" s="119">
        <f>P181*H181</f>
        <v>436269567.38905513</v>
      </c>
    </row>
    <row r="182" spans="1:18" x14ac:dyDescent="0.35">
      <c r="D182" s="2"/>
      <c r="H182" s="209" t="s">
        <v>292</v>
      </c>
      <c r="I182" s="18" t="s">
        <v>260</v>
      </c>
      <c r="J182" s="161" t="s">
        <v>211</v>
      </c>
      <c r="K182" s="112">
        <f>'Feedtstocks only CONVENTIONAL'!$J$4</f>
        <v>0.76052615016678204</v>
      </c>
      <c r="L182" s="2">
        <f>K182*F$181</f>
        <v>2851324.8358297222</v>
      </c>
      <c r="M182" t="s">
        <v>296</v>
      </c>
      <c r="N182" s="61">
        <v>0.45</v>
      </c>
      <c r="O182" s="2">
        <f>N182*O$181</f>
        <v>68977755.925026283</v>
      </c>
      <c r="P182" t="s">
        <v>298</v>
      </c>
      <c r="Q182" s="61">
        <v>0.3</v>
      </c>
      <c r="R182" s="2">
        <f>Q182*R$181</f>
        <v>130880870.21671653</v>
      </c>
    </row>
    <row r="183" spans="1:18" x14ac:dyDescent="0.35">
      <c r="D183" s="2"/>
      <c r="H183" s="208" t="s">
        <v>290</v>
      </c>
      <c r="I183" s="18" t="s">
        <v>261</v>
      </c>
      <c r="J183" s="161" t="s">
        <v>211</v>
      </c>
      <c r="K183" s="112">
        <f>'Feedtstocks only CONVENTIONAL'!$J$5</f>
        <v>0.16011076845616465</v>
      </c>
      <c r="L183" s="2">
        <f t="shared" ref="L183:L185" si="45">K183*F$181</f>
        <v>600278.91280625726</v>
      </c>
      <c r="M183" t="s">
        <v>297</v>
      </c>
      <c r="N183" s="61">
        <v>0.3</v>
      </c>
      <c r="O183" s="2">
        <f t="shared" ref="O183:O186" si="46">N183*O$181</f>
        <v>45985170.616684191</v>
      </c>
      <c r="P183" t="s">
        <v>299</v>
      </c>
      <c r="Q183" s="61">
        <v>0.2</v>
      </c>
      <c r="R183" s="2">
        <f t="shared" ref="R183:R186" si="47">Q183*R$181</f>
        <v>87253913.477811038</v>
      </c>
    </row>
    <row r="184" spans="1:18" x14ac:dyDescent="0.35">
      <c r="D184" s="2"/>
      <c r="H184" s="209" t="s">
        <v>292</v>
      </c>
      <c r="I184" s="18" t="s">
        <v>263</v>
      </c>
      <c r="J184" s="161" t="s">
        <v>211</v>
      </c>
      <c r="K184" s="112">
        <f>'Feedtstocks only CONVENTIONAL'!$J$6</f>
        <v>4.0027692114041162E-2</v>
      </c>
      <c r="L184" s="2">
        <f t="shared" si="45"/>
        <v>150069.72820156431</v>
      </c>
      <c r="M184" t="s">
        <v>247</v>
      </c>
      <c r="N184" s="61">
        <v>0.15</v>
      </c>
      <c r="O184" s="2">
        <f t="shared" si="46"/>
        <v>22992585.308342095</v>
      </c>
      <c r="P184" t="s">
        <v>252</v>
      </c>
      <c r="Q184" s="61">
        <v>0.25</v>
      </c>
      <c r="R184" s="2">
        <f t="shared" si="47"/>
        <v>109067391.84726378</v>
      </c>
    </row>
    <row r="185" spans="1:18" x14ac:dyDescent="0.35">
      <c r="D185" s="2"/>
      <c r="H185" s="208" t="s">
        <v>290</v>
      </c>
      <c r="I185" s="18" t="s">
        <v>262</v>
      </c>
      <c r="J185" s="161" t="s">
        <v>211</v>
      </c>
      <c r="K185" s="112">
        <f>'Feedtstocks only CONVENTIONAL'!$J$7</f>
        <v>3.9335389263012145E-2</v>
      </c>
      <c r="L185" s="2">
        <f t="shared" si="45"/>
        <v>147474.18258801525</v>
      </c>
      <c r="M185" t="s">
        <v>245</v>
      </c>
      <c r="N185" s="61">
        <v>7.0000000000000007E-2</v>
      </c>
      <c r="O185" s="2">
        <f t="shared" si="46"/>
        <v>10729873.143892979</v>
      </c>
      <c r="P185" t="s">
        <v>300</v>
      </c>
      <c r="Q185" s="61">
        <v>0.15</v>
      </c>
      <c r="R185" s="2">
        <f t="shared" si="47"/>
        <v>65440435.108358264</v>
      </c>
    </row>
    <row r="186" spans="1:18" x14ac:dyDescent="0.35">
      <c r="D186" s="2"/>
      <c r="L186" s="2">
        <f>SUM(L182:L185)</f>
        <v>3749147.659425559</v>
      </c>
      <c r="M186" t="s">
        <v>250</v>
      </c>
      <c r="N186" s="61">
        <v>0.03</v>
      </c>
      <c r="O186" s="2">
        <f t="shared" si="46"/>
        <v>4598517.0616684183</v>
      </c>
      <c r="P186" s="18" t="s">
        <v>254</v>
      </c>
      <c r="Q186" s="61">
        <v>0.1</v>
      </c>
      <c r="R186" s="2">
        <f t="shared" si="47"/>
        <v>43626956.738905519</v>
      </c>
    </row>
    <row r="187" spans="1:18" x14ac:dyDescent="0.35">
      <c r="D187" s="2"/>
      <c r="O187" s="2">
        <f>SUM(O182:O186)</f>
        <v>153283902.05561396</v>
      </c>
      <c r="P187" t="s">
        <v>213</v>
      </c>
      <c r="Q187" s="61">
        <v>0</v>
      </c>
      <c r="R187" s="2">
        <f t="shared" ref="R187" si="48">Q187*R186</f>
        <v>0</v>
      </c>
    </row>
    <row r="188" spans="1:18" s="122" customFormat="1" x14ac:dyDescent="0.35"/>
    <row r="189" spans="1:18" s="119" customFormat="1" x14ac:dyDescent="0.35">
      <c r="A189" s="119" t="s">
        <v>373</v>
      </c>
      <c r="D189" s="119">
        <f>'[1]GAP analysis Sc. 1'!$S$19</f>
        <v>3.0083331306763323</v>
      </c>
      <c r="E189" s="119">
        <f>'[2]Conversion factors selected IV '!$O$7</f>
        <v>0.95154545454545458</v>
      </c>
      <c r="F189" s="119">
        <f>D189*E189*1000000</f>
        <v>2862565.716253561</v>
      </c>
      <c r="G189" s="119">
        <v>665.824761904762</v>
      </c>
      <c r="H189" s="119">
        <f>G189*F189</f>
        <v>1905967136.4612617</v>
      </c>
      <c r="I189" s="119">
        <v>0.7</v>
      </c>
      <c r="K189" s="119">
        <f>'Feedtstocks only CONVENTIONAL'!I82</f>
        <v>0</v>
      </c>
      <c r="L189" s="119">
        <f>I189*H189</f>
        <v>1334176995.5228832</v>
      </c>
      <c r="M189" s="119">
        <v>0.1</v>
      </c>
      <c r="O189" s="119">
        <f>M189*H189</f>
        <v>190596713.64612618</v>
      </c>
      <c r="P189" s="119">
        <v>0.2</v>
      </c>
      <c r="R189" s="119">
        <f>P189*H189</f>
        <v>381193427.29225236</v>
      </c>
    </row>
    <row r="190" spans="1:18" x14ac:dyDescent="0.35">
      <c r="D190" s="2"/>
      <c r="I190" s="18" t="s">
        <v>260</v>
      </c>
      <c r="J190" s="161" t="s">
        <v>211</v>
      </c>
      <c r="M190" t="s">
        <v>296</v>
      </c>
      <c r="N190" s="61">
        <v>0.55000000000000004</v>
      </c>
      <c r="P190" t="s">
        <v>298</v>
      </c>
      <c r="Q190" s="61">
        <v>0.4</v>
      </c>
    </row>
    <row r="191" spans="1:18" x14ac:dyDescent="0.35">
      <c r="D191" s="2"/>
      <c r="I191" s="18" t="s">
        <v>261</v>
      </c>
      <c r="J191" s="161" t="s">
        <v>211</v>
      </c>
      <c r="M191" t="s">
        <v>297</v>
      </c>
      <c r="N191" s="61">
        <v>0.25</v>
      </c>
      <c r="P191" t="s">
        <v>299</v>
      </c>
      <c r="Q191" s="61">
        <v>0.2</v>
      </c>
    </row>
    <row r="192" spans="1:18" x14ac:dyDescent="0.35">
      <c r="D192" s="2"/>
      <c r="I192" s="18" t="s">
        <v>263</v>
      </c>
      <c r="J192" s="161" t="s">
        <v>211</v>
      </c>
      <c r="M192" t="s">
        <v>247</v>
      </c>
      <c r="N192" s="61">
        <v>0.1</v>
      </c>
      <c r="P192" t="s">
        <v>252</v>
      </c>
      <c r="Q192" s="61">
        <v>0.2</v>
      </c>
    </row>
    <row r="193" spans="1:18" x14ac:dyDescent="0.35">
      <c r="D193" s="2"/>
      <c r="I193" s="18" t="s">
        <v>262</v>
      </c>
      <c r="J193" s="161" t="s">
        <v>211</v>
      </c>
      <c r="M193" t="s">
        <v>245</v>
      </c>
      <c r="N193" s="61">
        <v>7.0000000000000007E-2</v>
      </c>
      <c r="P193" t="s">
        <v>300</v>
      </c>
      <c r="Q193" s="61">
        <v>0.15</v>
      </c>
    </row>
    <row r="194" spans="1:18" x14ac:dyDescent="0.35">
      <c r="D194" s="2"/>
      <c r="M194" t="s">
        <v>250</v>
      </c>
      <c r="N194" s="61">
        <v>0.03</v>
      </c>
      <c r="P194" s="216" t="s">
        <v>254</v>
      </c>
      <c r="Q194" s="61">
        <v>0.05</v>
      </c>
    </row>
    <row r="195" spans="1:18" x14ac:dyDescent="0.35">
      <c r="D195" s="2"/>
      <c r="P195" t="s">
        <v>213</v>
      </c>
      <c r="Q195" s="61">
        <v>0</v>
      </c>
    </row>
    <row r="196" spans="1:18" s="119" customFormat="1" x14ac:dyDescent="0.35">
      <c r="A196" s="119" t="s">
        <v>282</v>
      </c>
      <c r="D196" s="119">
        <f>'[1]GAP analysis Sc. 1'!$S$21</f>
        <v>4.8478892846906607</v>
      </c>
      <c r="E196" s="119">
        <f>'[2]Conversion factors selected IV '!$O$4</f>
        <v>1.1315675675675676</v>
      </c>
      <c r="F196" s="119">
        <f>D196*E196*1000000</f>
        <v>5485714.2857142854</v>
      </c>
    </row>
    <row r="204" spans="1:18" s="119" customFormat="1" x14ac:dyDescent="0.35">
      <c r="A204" s="119" t="s">
        <v>284</v>
      </c>
      <c r="D204" s="119">
        <f>'[1]GAP analysis Sc. 1'!$S$22*0.74</f>
        <v>2.1464029807967897</v>
      </c>
      <c r="E204" s="119">
        <f>'[2]Conversion factors selected IV '!$O$7</f>
        <v>0.95154545454545458</v>
      </c>
      <c r="F204" s="119">
        <f>D204*E204*1000000</f>
        <v>2042399.9999999998</v>
      </c>
      <c r="G204" s="119">
        <v>1218</v>
      </c>
      <c r="H204" s="119">
        <f>G204*F204</f>
        <v>2487643199.9999995</v>
      </c>
      <c r="I204" s="119">
        <v>0.67</v>
      </c>
      <c r="L204" s="119">
        <f>I204*H204</f>
        <v>1666720943.9999998</v>
      </c>
      <c r="M204" s="119">
        <v>0.13</v>
      </c>
      <c r="O204" s="119">
        <f>M204*H204</f>
        <v>323393615.99999994</v>
      </c>
      <c r="P204" s="119">
        <v>0.2</v>
      </c>
      <c r="R204" s="119">
        <f>P204*H204</f>
        <v>497528639.99999994</v>
      </c>
    </row>
    <row r="205" spans="1:18" s="122" customFormat="1" x14ac:dyDescent="0.35">
      <c r="I205" t="s">
        <v>397</v>
      </c>
      <c r="J205" s="154" t="s">
        <v>212</v>
      </c>
      <c r="K205"/>
      <c r="L205" s="2">
        <f>$L$204</f>
        <v>1666720943.9999998</v>
      </c>
      <c r="M205" t="s">
        <v>296</v>
      </c>
      <c r="N205" s="61">
        <v>0.55000000000000004</v>
      </c>
      <c r="O205" s="2">
        <f>N205*$O$204</f>
        <v>177866488.79999998</v>
      </c>
      <c r="P205" t="s">
        <v>298</v>
      </c>
      <c r="Q205" s="61">
        <v>0.4</v>
      </c>
      <c r="R205" s="2">
        <f>Q205*$R$204</f>
        <v>199011456</v>
      </c>
    </row>
    <row r="206" spans="1:18" s="122" customFormat="1" x14ac:dyDescent="0.35">
      <c r="I206"/>
      <c r="J206"/>
      <c r="K206"/>
      <c r="L206"/>
      <c r="M206" t="s">
        <v>297</v>
      </c>
      <c r="N206" s="61">
        <v>0.25</v>
      </c>
      <c r="O206" s="2">
        <f t="shared" ref="O206:O209" si="49">N206*$O$204</f>
        <v>80848403.999999985</v>
      </c>
      <c r="P206" t="s">
        <v>299</v>
      </c>
      <c r="Q206" s="61">
        <v>0.2</v>
      </c>
      <c r="R206" s="2">
        <f t="shared" ref="R206:R209" si="50">Q206*$R$204</f>
        <v>99505728</v>
      </c>
    </row>
    <row r="207" spans="1:18" s="122" customFormat="1" x14ac:dyDescent="0.35">
      <c r="I207"/>
      <c r="J207"/>
      <c r="K207"/>
      <c r="L207"/>
      <c r="M207" t="s">
        <v>247</v>
      </c>
      <c r="N207" s="61">
        <v>0.1</v>
      </c>
      <c r="O207" s="2">
        <f t="shared" si="49"/>
        <v>32339361.599999994</v>
      </c>
      <c r="P207" t="s">
        <v>252</v>
      </c>
      <c r="Q207" s="61">
        <v>0.2</v>
      </c>
      <c r="R207" s="2">
        <f t="shared" si="50"/>
        <v>99505728</v>
      </c>
    </row>
    <row r="208" spans="1:18" s="122" customFormat="1" x14ac:dyDescent="0.35">
      <c r="I208"/>
      <c r="J208"/>
      <c r="K208"/>
      <c r="L208"/>
      <c r="M208" t="s">
        <v>245</v>
      </c>
      <c r="N208" s="61">
        <v>7.0000000000000007E-2</v>
      </c>
      <c r="O208" s="2">
        <f t="shared" si="49"/>
        <v>22637553.119999997</v>
      </c>
      <c r="P208" t="s">
        <v>300</v>
      </c>
      <c r="Q208" s="61">
        <v>0.15</v>
      </c>
      <c r="R208" s="2">
        <f t="shared" si="50"/>
        <v>74629295.999999985</v>
      </c>
    </row>
    <row r="209" spans="1:18" s="122" customFormat="1" x14ac:dyDescent="0.35">
      <c r="I209"/>
      <c r="J209"/>
      <c r="K209"/>
      <c r="L209"/>
      <c r="M209" t="s">
        <v>250</v>
      </c>
      <c r="N209" s="61">
        <v>0.03</v>
      </c>
      <c r="O209" s="2">
        <f t="shared" si="49"/>
        <v>9701808.4799999986</v>
      </c>
      <c r="P209" s="216" t="s">
        <v>254</v>
      </c>
      <c r="Q209" s="61">
        <v>0.05</v>
      </c>
      <c r="R209" s="2">
        <f t="shared" si="50"/>
        <v>24876432</v>
      </c>
    </row>
    <row r="210" spans="1:18" s="122" customFormat="1" x14ac:dyDescent="0.35"/>
    <row r="211" spans="1:18" s="122" customFormat="1" x14ac:dyDescent="0.35"/>
    <row r="213" spans="1:18" ht="15.5" customHeight="1" x14ac:dyDescent="0.35"/>
    <row r="214" spans="1:18" s="158" customFormat="1" ht="29" customHeight="1" x14ac:dyDescent="0.35">
      <c r="A214" s="158" t="s">
        <v>371</v>
      </c>
    </row>
    <row r="215" spans="1:18" x14ac:dyDescent="0.35">
      <c r="D215" s="2">
        <f>D216</f>
        <v>2.5559544542420078</v>
      </c>
      <c r="F215" s="2">
        <f>F216</f>
        <v>3963433.373711274</v>
      </c>
    </row>
    <row r="216" spans="1:18" x14ac:dyDescent="0.35">
      <c r="A216" t="s">
        <v>372</v>
      </c>
      <c r="D216" s="2">
        <f>'[1]GAP analysis Sc. 1'!$F$67</f>
        <v>2.5559544542420078</v>
      </c>
      <c r="E216">
        <f>'[2]Conversion factors selected IV '!$O$17</f>
        <v>1.5506666666666669</v>
      </c>
      <c r="F216" s="1">
        <f>D216*E216*1000000</f>
        <v>3963433.373711274</v>
      </c>
    </row>
  </sheetData>
  <pageMargins left="0.7" right="0.7" top="0.78740157499999996" bottom="0.78740157499999996"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A0BB-A502-4BD8-ACF3-C6B9ABB09610}">
  <sheetPr>
    <tabColor theme="7" tint="0.59999389629810485"/>
  </sheetPr>
  <dimension ref="A1:S267"/>
  <sheetViews>
    <sheetView zoomScale="96" zoomScaleNormal="96" workbookViewId="0">
      <pane ySplit="5" topLeftCell="A158" activePane="bottomLeft" state="frozen"/>
      <selection pane="bottomLeft" activeCell="H220" sqref="H220"/>
    </sheetView>
  </sheetViews>
  <sheetFormatPr baseColWidth="10" defaultRowHeight="14.5" x14ac:dyDescent="0.35"/>
  <cols>
    <col min="1" max="3" width="24.90625" customWidth="1"/>
    <col min="4" max="5" width="23" customWidth="1"/>
    <col min="6" max="6" width="23" style="1" customWidth="1"/>
    <col min="7" max="7" width="21.90625" customWidth="1"/>
    <col min="8" max="8" width="23" customWidth="1"/>
    <col min="10" max="10" width="13.26953125" customWidth="1"/>
    <col min="11" max="11" width="10.453125" customWidth="1"/>
    <col min="12" max="12" width="15.7265625" customWidth="1"/>
    <col min="13" max="13" width="15.7265625" bestFit="1" customWidth="1"/>
    <col min="15" max="15" width="18.1796875" customWidth="1"/>
    <col min="18" max="18" width="16.81640625" customWidth="1"/>
    <col min="19" max="19" width="19.1796875" customWidth="1"/>
  </cols>
  <sheetData>
    <row r="1" spans="1:19" s="48" customFormat="1" ht="24" customHeight="1" x14ac:dyDescent="0.35">
      <c r="A1" s="48" t="s">
        <v>355</v>
      </c>
      <c r="F1" s="241"/>
    </row>
    <row r="2" spans="1:19" s="48" customFormat="1" ht="24" customHeight="1" x14ac:dyDescent="0.35">
      <c r="A2" s="48" t="s">
        <v>326</v>
      </c>
      <c r="F2" s="241"/>
    </row>
    <row r="3" spans="1:19" s="48" customFormat="1" ht="24" customHeight="1" x14ac:dyDescent="0.35">
      <c r="A3" s="48" t="s">
        <v>354</v>
      </c>
      <c r="E3" s="48" t="s">
        <v>353</v>
      </c>
      <c r="F3" s="241"/>
    </row>
    <row r="4" spans="1:19" ht="19" customHeight="1" x14ac:dyDescent="0.35"/>
    <row r="5" spans="1:19" s="49" customFormat="1" ht="37" customHeight="1" x14ac:dyDescent="0.35">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187" customFormat="1" ht="37" customHeight="1" x14ac:dyDescent="0.35">
      <c r="A6" s="187" t="s">
        <v>390</v>
      </c>
      <c r="B6" s="187" t="s">
        <v>424</v>
      </c>
      <c r="C6" s="187" t="s">
        <v>425</v>
      </c>
      <c r="D6" s="252">
        <f>D8+D45+D87+D122+D169</f>
        <v>21.196679026127441</v>
      </c>
      <c r="F6" s="251"/>
      <c r="I6" s="200"/>
      <c r="M6" s="200"/>
      <c r="P6" s="200"/>
    </row>
    <row r="7" spans="1:19" s="93" customFormat="1" ht="40" customHeight="1" x14ac:dyDescent="0.35">
      <c r="A7" s="93" t="s">
        <v>104</v>
      </c>
      <c r="F7" s="176"/>
    </row>
    <row r="8" spans="1:19" s="217" customFormat="1" x14ac:dyDescent="0.35">
      <c r="A8" s="217" t="s">
        <v>189</v>
      </c>
      <c r="C8" s="224">
        <f>C9+C16+C27</f>
        <v>17066996781.462765</v>
      </c>
      <c r="D8" s="224">
        <f>D9+D16+D27</f>
        <v>10.132329931621543</v>
      </c>
      <c r="E8" s="224">
        <f>E9+E16+E27</f>
        <v>2.9030909090909112</v>
      </c>
      <c r="F8" s="224">
        <f>F9+F16+F27</f>
        <v>9752569.589407295</v>
      </c>
      <c r="L8" s="224">
        <f>L9+L16+L27</f>
        <v>2822121914.1389189</v>
      </c>
      <c r="M8" s="224"/>
      <c r="N8" s="224"/>
      <c r="O8" s="224">
        <f>O9+O16+O27</f>
        <v>12134223095.775679</v>
      </c>
      <c r="P8" s="235"/>
      <c r="Q8" s="224"/>
      <c r="R8" s="224">
        <f>R9+R16+R27</f>
        <v>8228773463.799901</v>
      </c>
    </row>
    <row r="9" spans="1:19" s="218" customFormat="1" x14ac:dyDescent="0.35">
      <c r="A9" s="218" t="s">
        <v>334</v>
      </c>
      <c r="B9" s="218">
        <v>1750</v>
      </c>
      <c r="C9" s="220">
        <f>B9*F9</f>
        <v>728452833.47542882</v>
      </c>
      <c r="D9" s="220">
        <f>'[1]GAP analysis Sc. 2'!$C$123</f>
        <v>0.43745546783658662</v>
      </c>
      <c r="E9" s="225">
        <f>'[2]Conversion factors selected IV '!$O$7</f>
        <v>0.95154545454545458</v>
      </c>
      <c r="F9" s="219">
        <f>D9*E9*1000000</f>
        <v>416258.76198595931</v>
      </c>
      <c r="G9" s="225">
        <f>'LCoP 2030 HIGH'!E3</f>
        <v>1281.9315183199119</v>
      </c>
      <c r="H9" s="219">
        <f>G9*F9</f>
        <v>533615226.76662767</v>
      </c>
      <c r="I9" s="220">
        <f>'LCoP 2030 HIGH'!H3</f>
        <v>0.47423088490457077</v>
      </c>
      <c r="L9" s="219">
        <f>I9*H9</f>
        <v>253056821.18809104</v>
      </c>
      <c r="M9" s="220">
        <f>'LCoP 2030 HIGH'!F3</f>
        <v>0.20983960231553478</v>
      </c>
      <c r="O9" s="219">
        <f>M9*H9</f>
        <v>111973606.97422306</v>
      </c>
      <c r="P9" s="243">
        <f>'LCoP 2030 HIGH'!G3</f>
        <v>0.31592951277989439</v>
      </c>
      <c r="R9" s="219">
        <f>P9*H9</f>
        <v>168584798.60431355</v>
      </c>
      <c r="S9" s="219">
        <f>L9+O9+R9</f>
        <v>533615226.76662767</v>
      </c>
    </row>
    <row r="10" spans="1:19" x14ac:dyDescent="0.35">
      <c r="C10">
        <f>C9/$C$8</f>
        <v>4.2681957628692722E-2</v>
      </c>
      <c r="F10" s="31"/>
      <c r="H10" s="209" t="s">
        <v>292</v>
      </c>
      <c r="I10" s="232" t="s">
        <v>162</v>
      </c>
      <c r="J10" s="154" t="s">
        <v>212</v>
      </c>
      <c r="L10" s="2">
        <f>L9</f>
        <v>253056821.18809104</v>
      </c>
      <c r="M10" s="5" t="s">
        <v>245</v>
      </c>
      <c r="N10" s="123">
        <v>0.05</v>
      </c>
      <c r="O10" s="2">
        <f>N10*O$9</f>
        <v>5598680.3487111535</v>
      </c>
      <c r="P10" s="18" t="s">
        <v>251</v>
      </c>
      <c r="Q10" s="123">
        <v>0.35</v>
      </c>
      <c r="R10" s="104">
        <f>Q10*R$9</f>
        <v>59004679.511509739</v>
      </c>
    </row>
    <row r="11" spans="1:19" x14ac:dyDescent="0.35">
      <c r="F11" s="31"/>
      <c r="I11" s="233" t="s">
        <v>341</v>
      </c>
      <c r="M11" t="s">
        <v>246</v>
      </c>
      <c r="N11" s="123">
        <v>0.02</v>
      </c>
      <c r="O11" s="2">
        <f t="shared" ref="O11:O15" si="0">N11*O$9</f>
        <v>2239472.1394844614</v>
      </c>
      <c r="P11" s="18" t="s">
        <v>210</v>
      </c>
      <c r="Q11" s="123">
        <v>0.25</v>
      </c>
      <c r="R11" s="104">
        <f t="shared" ref="R11:R14" si="1">Q11*R$9</f>
        <v>42146199.651078388</v>
      </c>
    </row>
    <row r="12" spans="1:19" x14ac:dyDescent="0.35">
      <c r="F12" s="31"/>
      <c r="I12" s="234" t="s">
        <v>357</v>
      </c>
      <c r="M12" s="5" t="s">
        <v>244</v>
      </c>
      <c r="N12" s="123">
        <v>0.45</v>
      </c>
      <c r="O12" s="2">
        <f t="shared" si="0"/>
        <v>50388123.138400376</v>
      </c>
      <c r="P12" s="18" t="s">
        <v>252</v>
      </c>
      <c r="Q12" s="123">
        <v>0.2</v>
      </c>
      <c r="R12" s="104">
        <f t="shared" si="1"/>
        <v>33716959.720862709</v>
      </c>
      <c r="S12" s="2"/>
    </row>
    <row r="13" spans="1:19" x14ac:dyDescent="0.35">
      <c r="F13" s="31"/>
      <c r="M13" t="s">
        <v>247</v>
      </c>
      <c r="N13" s="123">
        <v>0.15</v>
      </c>
      <c r="O13" s="2">
        <f t="shared" si="0"/>
        <v>16796041.046133459</v>
      </c>
      <c r="P13" s="18" t="s">
        <v>253</v>
      </c>
      <c r="Q13" s="123">
        <v>0.15</v>
      </c>
      <c r="R13" s="104">
        <f t="shared" si="1"/>
        <v>25287719.790647034</v>
      </c>
    </row>
    <row r="14" spans="1:19" x14ac:dyDescent="0.35">
      <c r="F14" s="31"/>
      <c r="M14" t="s">
        <v>248</v>
      </c>
      <c r="N14" s="123">
        <v>0.3</v>
      </c>
      <c r="O14" s="2">
        <f t="shared" si="0"/>
        <v>33592082.092266917</v>
      </c>
      <c r="P14" s="18" t="s">
        <v>254</v>
      </c>
      <c r="Q14" s="123">
        <v>0.05</v>
      </c>
      <c r="R14" s="104">
        <f t="shared" si="1"/>
        <v>8429239.9302156772</v>
      </c>
    </row>
    <row r="15" spans="1:19" x14ac:dyDescent="0.35">
      <c r="F15" s="31"/>
      <c r="M15" t="s">
        <v>250</v>
      </c>
      <c r="N15" s="123">
        <v>0.03</v>
      </c>
      <c r="O15" s="2">
        <f t="shared" si="0"/>
        <v>3359208.2092266916</v>
      </c>
      <c r="P15" s="18"/>
      <c r="Q15" s="123"/>
      <c r="R15" s="104"/>
    </row>
    <row r="16" spans="1:19" s="218" customFormat="1" x14ac:dyDescent="0.35">
      <c r="A16" s="218" t="s">
        <v>356</v>
      </c>
      <c r="B16" s="218">
        <v>1750</v>
      </c>
      <c r="C16" s="220">
        <f>B16*F16</f>
        <v>12322513636.363663</v>
      </c>
      <c r="D16" s="225">
        <f>'[1]GAP analysis Sc. 2'!$C$124</f>
        <v>7.4</v>
      </c>
      <c r="E16" s="227">
        <f>'[2]Conversion factors selected IV '!$O$64</f>
        <v>0.95154545454545658</v>
      </c>
      <c r="F16" s="219">
        <f>D16*E16*1000000</f>
        <v>7041436.3636363791</v>
      </c>
      <c r="G16" s="220">
        <f>'LCoP 2030 HIGH'!E16</f>
        <v>2696.2989825009467</v>
      </c>
      <c r="H16" s="219">
        <f>G16*F16</f>
        <v>18985817702.617935</v>
      </c>
      <c r="I16" s="220">
        <f>'LCoP 2030 HIGH'!H16</f>
        <v>0.10989099666763039</v>
      </c>
      <c r="L16" s="219">
        <f>I16*H16</f>
        <v>2086370429.8906255</v>
      </c>
      <c r="M16" s="220">
        <f>'LCoP 2030 HIGH'!F16</f>
        <v>0.53591979575636417</v>
      </c>
      <c r="O16" s="219">
        <f>M16*H16</f>
        <v>10174875545.454567</v>
      </c>
      <c r="P16" s="220">
        <f>'LCoP 2030 HIGH'!G16</f>
        <v>0.35418920757600542</v>
      </c>
      <c r="R16" s="219">
        <f>P16*H16</f>
        <v>6724571727.2727423</v>
      </c>
      <c r="S16" s="219">
        <f>L16+O16+R16</f>
        <v>18985817702.617935</v>
      </c>
    </row>
    <row r="17" spans="1:19" x14ac:dyDescent="0.35">
      <c r="C17">
        <f>C16/$C$8</f>
        <v>0.72200831781650654</v>
      </c>
      <c r="F17" s="31"/>
      <c r="G17" s="154" t="s">
        <v>212</v>
      </c>
      <c r="H17" s="2">
        <f>SUMIF($J$17:$J$26,G17,$L$17:$L$26)/$L$16</f>
        <v>0.62196372246280818</v>
      </c>
      <c r="I17" s="5" t="s">
        <v>5</v>
      </c>
      <c r="J17" s="154" t="s">
        <v>212</v>
      </c>
      <c r="K17" s="6">
        <f>'Feedstock MIX per IVC'!J63</f>
        <v>161.99071681613452</v>
      </c>
      <c r="L17" s="2">
        <f>K17*F$16</f>
        <v>1140647323.9606528</v>
      </c>
      <c r="M17" s="5" t="s">
        <v>245</v>
      </c>
      <c r="N17" s="35">
        <v>0</v>
      </c>
      <c r="O17" s="2">
        <f>N17*O$16</f>
        <v>0</v>
      </c>
      <c r="P17" s="18" t="s">
        <v>251</v>
      </c>
      <c r="Q17" s="35">
        <v>0.25</v>
      </c>
      <c r="R17" s="104">
        <f>Q17*R$16</f>
        <v>1681142931.8181856</v>
      </c>
    </row>
    <row r="18" spans="1:19" x14ac:dyDescent="0.35">
      <c r="F18" s="31"/>
      <c r="G18" s="178" t="s">
        <v>256</v>
      </c>
      <c r="H18" s="2">
        <f t="shared" ref="H18:H21" si="2">SUMIF($J$17:$J$26,G18,$L$17:$L$26)/$L$16</f>
        <v>0.14870340073720048</v>
      </c>
      <c r="I18" s="5" t="s">
        <v>6</v>
      </c>
      <c r="J18" s="154" t="s">
        <v>212</v>
      </c>
      <c r="K18" s="6">
        <f>'Feedstock MIX per IVC'!J64</f>
        <v>8.4731123300720981</v>
      </c>
      <c r="L18" s="2">
        <f t="shared" ref="L18:L26" si="3">K18*F$16</f>
        <v>59662881.274145439</v>
      </c>
      <c r="M18" t="s">
        <v>246</v>
      </c>
      <c r="N18" s="35">
        <v>0.02</v>
      </c>
      <c r="O18" s="2">
        <f t="shared" ref="O18:O22" si="4">N18*O$16</f>
        <v>203497510.90909135</v>
      </c>
      <c r="P18" s="18" t="s">
        <v>210</v>
      </c>
      <c r="Q18" s="35">
        <v>0.15</v>
      </c>
      <c r="R18" s="104">
        <f t="shared" ref="R18:R21" si="5">Q18*R$16</f>
        <v>1008685759.0909113</v>
      </c>
    </row>
    <row r="19" spans="1:19" x14ac:dyDescent="0.35">
      <c r="F19" s="31"/>
      <c r="G19" s="156" t="s">
        <v>209</v>
      </c>
      <c r="H19" s="2">
        <f t="shared" si="2"/>
        <v>0.18227673609670508</v>
      </c>
      <c r="I19" s="5" t="s">
        <v>23</v>
      </c>
      <c r="J19" s="159" t="s">
        <v>213</v>
      </c>
      <c r="K19" s="6">
        <f>'Feedstock MIX per IVC'!J65</f>
        <v>0</v>
      </c>
      <c r="L19" s="2">
        <f t="shared" si="3"/>
        <v>0</v>
      </c>
      <c r="M19" s="5" t="s">
        <v>244</v>
      </c>
      <c r="N19" s="35">
        <v>0.55000000000000004</v>
      </c>
      <c r="O19" s="2">
        <f t="shared" si="4"/>
        <v>5596181550.0000124</v>
      </c>
      <c r="P19" s="18" t="s">
        <v>252</v>
      </c>
      <c r="Q19" s="35">
        <v>0.3</v>
      </c>
      <c r="R19" s="104">
        <f t="shared" si="5"/>
        <v>2017371518.1818225</v>
      </c>
    </row>
    <row r="20" spans="1:19" x14ac:dyDescent="0.35">
      <c r="F20" s="31"/>
      <c r="G20" s="157" t="s">
        <v>211</v>
      </c>
      <c r="H20" s="2">
        <f t="shared" si="2"/>
        <v>1.4502396500953601E-2</v>
      </c>
      <c r="I20" s="5" t="s">
        <v>7</v>
      </c>
      <c r="J20" s="157" t="s">
        <v>211</v>
      </c>
      <c r="K20" s="6">
        <f>'Feedstock MIX per IVC'!J66</f>
        <v>4.2970453270578419</v>
      </c>
      <c r="L20" s="2">
        <f t="shared" si="3"/>
        <v>30257371.222138867</v>
      </c>
      <c r="M20" t="s">
        <v>247</v>
      </c>
      <c r="N20" s="35">
        <v>0.1</v>
      </c>
      <c r="O20" s="2">
        <f t="shared" si="4"/>
        <v>1017487554.5454568</v>
      </c>
      <c r="P20" s="18" t="s">
        <v>253</v>
      </c>
      <c r="Q20" s="35">
        <v>0.3</v>
      </c>
      <c r="R20" s="104">
        <f t="shared" si="5"/>
        <v>2017371518.1818225</v>
      </c>
    </row>
    <row r="21" spans="1:19" x14ac:dyDescent="0.35">
      <c r="F21" s="31"/>
      <c r="G21" s="159" t="s">
        <v>213</v>
      </c>
      <c r="H21" s="2">
        <f t="shared" si="2"/>
        <v>0</v>
      </c>
      <c r="I21" s="5" t="s">
        <v>8</v>
      </c>
      <c r="J21" s="154" t="s">
        <v>212</v>
      </c>
      <c r="K21" s="6">
        <f>'Feedstock MIX per IVC'!J67</f>
        <v>8.1190082289891219</v>
      </c>
      <c r="L21" s="2">
        <f t="shared" si="3"/>
        <v>57169479.780267</v>
      </c>
      <c r="M21" t="s">
        <v>248</v>
      </c>
      <c r="N21" s="35">
        <v>0.3</v>
      </c>
      <c r="O21" s="2">
        <f t="shared" si="4"/>
        <v>3052462663.6363702</v>
      </c>
      <c r="P21" s="18" t="s">
        <v>254</v>
      </c>
      <c r="Q21" s="240">
        <v>0</v>
      </c>
      <c r="R21" s="104">
        <f t="shared" si="5"/>
        <v>0</v>
      </c>
    </row>
    <row r="22" spans="1:19" x14ac:dyDescent="0.35">
      <c r="F22" s="31"/>
      <c r="G22" s="158" t="s">
        <v>104</v>
      </c>
      <c r="H22" s="2">
        <f>SUMIF($J$17:$J$26,G22,$L$17:$L$26)/$L$16/2</f>
        <v>1.6276872101166392E-2</v>
      </c>
      <c r="I22" s="5" t="s">
        <v>9</v>
      </c>
      <c r="J22" s="154" t="s">
        <v>212</v>
      </c>
      <c r="K22" s="6">
        <f>'Feedstock MIX per IVC'!J68</f>
        <v>5.7043807430355322</v>
      </c>
      <c r="L22" s="2">
        <f t="shared" si="3"/>
        <v>40167033.996037506</v>
      </c>
      <c r="M22" t="s">
        <v>250</v>
      </c>
      <c r="N22" s="35">
        <v>0.03</v>
      </c>
      <c r="O22" s="2">
        <f t="shared" si="4"/>
        <v>305246266.36363697</v>
      </c>
      <c r="R22" s="104"/>
    </row>
    <row r="23" spans="1:19" x14ac:dyDescent="0.35">
      <c r="F23" s="31"/>
      <c r="G23" s="207" t="s">
        <v>426</v>
      </c>
      <c r="H23" s="2">
        <f>H22</f>
        <v>1.6276872101166392E-2</v>
      </c>
      <c r="I23" s="5" t="s">
        <v>10</v>
      </c>
      <c r="J23" s="178" t="s">
        <v>256</v>
      </c>
      <c r="K23" s="6">
        <f>'Feedstock MIX per IVC'!J69</f>
        <v>44.060666332863036</v>
      </c>
      <c r="L23" s="2">
        <f t="shared" si="3"/>
        <v>310250378.12227094</v>
      </c>
      <c r="N23" s="123"/>
      <c r="O23" s="2"/>
      <c r="P23" s="18"/>
      <c r="Q23" s="123"/>
      <c r="R23" s="2"/>
    </row>
    <row r="24" spans="1:19" x14ac:dyDescent="0.35">
      <c r="F24" s="31"/>
      <c r="H24" s="2">
        <f>SUM(H17:H22)</f>
        <v>0.98372312789883365</v>
      </c>
      <c r="I24" s="5" t="s">
        <v>11</v>
      </c>
      <c r="J24" s="156" t="s">
        <v>209</v>
      </c>
      <c r="K24" s="6">
        <f>'Feedstock MIX per IVC'!J70</f>
        <v>54.0084114390473</v>
      </c>
      <c r="L24" s="2">
        <f t="shared" si="3"/>
        <v>380296792.24914265</v>
      </c>
      <c r="N24" s="123"/>
      <c r="O24" s="2"/>
      <c r="P24" s="18"/>
      <c r="Q24" s="123"/>
      <c r="R24" s="104"/>
    </row>
    <row r="25" spans="1:19" x14ac:dyDescent="0.35">
      <c r="F25" s="31"/>
      <c r="I25" s="5" t="s">
        <v>12</v>
      </c>
      <c r="J25" s="159" t="s">
        <v>213</v>
      </c>
      <c r="K25" s="6">
        <f>'Feedstock MIX per IVC'!J71</f>
        <v>0</v>
      </c>
      <c r="L25" s="2">
        <f t="shared" si="3"/>
        <v>0</v>
      </c>
      <c r="M25" s="2"/>
      <c r="N25" s="123"/>
      <c r="O25" s="2"/>
      <c r="P25" s="18"/>
      <c r="Q25" s="123"/>
      <c r="R25" s="104"/>
    </row>
    <row r="26" spans="1:19" x14ac:dyDescent="0.35">
      <c r="F26" s="31"/>
      <c r="I26" s="13" t="s">
        <v>33</v>
      </c>
      <c r="J26" s="158" t="s">
        <v>104</v>
      </c>
      <c r="K26" s="6">
        <f>'Feedstock MIX per IVC'!J72</f>
        <v>9.6456412837472971</v>
      </c>
      <c r="L26" s="2">
        <f t="shared" si="3"/>
        <v>67919169.285970509</v>
      </c>
      <c r="N26" s="123"/>
      <c r="O26" s="2"/>
      <c r="P26" s="18"/>
      <c r="Q26" s="123"/>
      <c r="R26" s="104"/>
    </row>
    <row r="27" spans="1:19" s="218" customFormat="1" x14ac:dyDescent="0.35">
      <c r="A27" s="218" t="s">
        <v>335</v>
      </c>
      <c r="B27" s="218">
        <v>1750</v>
      </c>
      <c r="C27" s="220">
        <f>B27*F27</f>
        <v>4016030311.6236734</v>
      </c>
      <c r="D27" s="220">
        <f>'[1]GAP analysis Sc. 2'!$C$125</f>
        <v>2.2948744637849563</v>
      </c>
      <c r="E27" s="218">
        <f>'[2]Conversion factors selected IV '!$O$89</f>
        <v>1</v>
      </c>
      <c r="F27" s="219">
        <f>D27*E27*1000000</f>
        <v>2294874.4637849564</v>
      </c>
      <c r="G27" s="225">
        <f>'LCoP 2030 HIGH'!E20</f>
        <v>1597.3359772734975</v>
      </c>
      <c r="H27" s="220">
        <f>G27*F27</f>
        <v>3665685544.329937</v>
      </c>
      <c r="I27" s="220">
        <f>'LCoP 2030 HIGH'!H20</f>
        <v>0.13167923359024397</v>
      </c>
      <c r="L27" s="219">
        <f>I27*H27</f>
        <v>482694663.06020242</v>
      </c>
      <c r="M27" s="220">
        <f>'LCoP 2030 HIGH'!F20</f>
        <v>0.50396410739715469</v>
      </c>
      <c r="O27" s="219">
        <f>M27*H27</f>
        <v>1847373943.3468897</v>
      </c>
      <c r="P27" s="243">
        <f>'LCoP 2030 HIGH'!G20</f>
        <v>0.36435665901260128</v>
      </c>
      <c r="R27" s="219">
        <f>P27*H27</f>
        <v>1335616937.9228446</v>
      </c>
      <c r="S27" s="219">
        <f>L27+O27+R27</f>
        <v>3665685544.329937</v>
      </c>
    </row>
    <row r="28" spans="1:19" x14ac:dyDescent="0.35">
      <c r="C28">
        <f>C27/$C$8</f>
        <v>0.2353097245548007</v>
      </c>
      <c r="D28" s="2"/>
      <c r="F28" s="154" t="s">
        <v>212</v>
      </c>
      <c r="G28" s="2">
        <f>SUMIF($J$28:$J$35,F28,$L$28:$L$35)/$L$27</f>
        <v>0.62730453013416398</v>
      </c>
      <c r="H28" s="209" t="s">
        <v>292</v>
      </c>
      <c r="I28" s="12" t="s">
        <v>5</v>
      </c>
      <c r="J28" s="154" t="s">
        <v>212</v>
      </c>
      <c r="K28" s="6">
        <f>'Feedstock MIX per IVC'!J89</f>
        <v>115.98101375146399</v>
      </c>
      <c r="L28" s="2">
        <f>K28*F$27</f>
        <v>266161866.74212658</v>
      </c>
      <c r="M28" s="5" t="s">
        <v>245</v>
      </c>
      <c r="N28" s="174">
        <v>0.15</v>
      </c>
      <c r="O28" s="2">
        <f>N28*O$27</f>
        <v>277106091.50203347</v>
      </c>
      <c r="P28" s="18" t="s">
        <v>251</v>
      </c>
      <c r="Q28" s="123">
        <v>0.15</v>
      </c>
      <c r="R28" s="2">
        <f>Q28*R$27</f>
        <v>200342540.6884267</v>
      </c>
    </row>
    <row r="29" spans="1:19" x14ac:dyDescent="0.35">
      <c r="D29" s="2"/>
      <c r="F29" s="178" t="s">
        <v>256</v>
      </c>
      <c r="G29" s="2">
        <f t="shared" ref="G29:G33" si="6">SUMIF($J$28:$J$35,F29,$L$28:$L$35)/$L$27</f>
        <v>0.16087373181247036</v>
      </c>
      <c r="H29" s="209" t="s">
        <v>292</v>
      </c>
      <c r="I29" s="12" t="s">
        <v>6</v>
      </c>
      <c r="J29" s="154" t="s">
        <v>212</v>
      </c>
      <c r="K29" s="6">
        <f>'Feedstock MIX per IVC'!J90</f>
        <v>6.0665214463321062</v>
      </c>
      <c r="L29" s="2">
        <f>K29*F$27</f>
        <v>13921905.15119133</v>
      </c>
      <c r="M29" t="s">
        <v>246</v>
      </c>
      <c r="N29" s="35">
        <v>0.02</v>
      </c>
      <c r="O29" s="2">
        <f t="shared" ref="O29:O33" si="7">N29*O$27</f>
        <v>36947478.866937794</v>
      </c>
      <c r="P29" s="18" t="s">
        <v>210</v>
      </c>
      <c r="Q29" s="123">
        <v>0.25</v>
      </c>
      <c r="R29" s="2">
        <f t="shared" ref="R29:R32" si="8">Q29*R$27</f>
        <v>333904234.48071116</v>
      </c>
    </row>
    <row r="30" spans="1:19" x14ac:dyDescent="0.35">
      <c r="D30" s="2"/>
      <c r="F30" s="156" t="s">
        <v>209</v>
      </c>
      <c r="G30" s="2">
        <f t="shared" si="6"/>
        <v>0.19719480935272263</v>
      </c>
      <c r="H30" s="209" t="s">
        <v>292</v>
      </c>
      <c r="I30" s="12" t="s">
        <v>7</v>
      </c>
      <c r="J30" s="157" t="s">
        <v>211</v>
      </c>
      <c r="K30" s="6">
        <f>'Feedstock MIX per IVC'!J91</f>
        <v>3.0765693427595271</v>
      </c>
      <c r="L30" s="2">
        <f t="shared" ref="L30:L35" si="9">K30*F$27</f>
        <v>7060340.4207625054</v>
      </c>
      <c r="M30" s="5" t="s">
        <v>244</v>
      </c>
      <c r="N30" s="174">
        <v>0.45</v>
      </c>
      <c r="O30" s="2">
        <f t="shared" si="7"/>
        <v>831318274.50610042</v>
      </c>
      <c r="P30" s="18" t="s">
        <v>252</v>
      </c>
      <c r="Q30" s="123">
        <v>0.2</v>
      </c>
      <c r="R30" s="2">
        <f t="shared" si="8"/>
        <v>267123387.58456895</v>
      </c>
    </row>
    <row r="31" spans="1:19" x14ac:dyDescent="0.35">
      <c r="D31" s="2"/>
      <c r="F31" s="157" t="s">
        <v>211</v>
      </c>
      <c r="G31" s="2">
        <f t="shared" si="6"/>
        <v>1.4626928700643058E-2</v>
      </c>
      <c r="H31" s="209" t="s">
        <v>292</v>
      </c>
      <c r="I31" s="12" t="s">
        <v>8</v>
      </c>
      <c r="J31" s="154" t="s">
        <v>212</v>
      </c>
      <c r="K31" s="6">
        <f>'Feedstock MIX per IVC'!J92</f>
        <v>5.8129923958756571</v>
      </c>
      <c r="L31" s="2">
        <f t="shared" si="9"/>
        <v>13340087.807471177</v>
      </c>
      <c r="M31" t="s">
        <v>247</v>
      </c>
      <c r="N31" s="35">
        <v>0.1</v>
      </c>
      <c r="O31" s="2">
        <f t="shared" si="7"/>
        <v>184737394.33468899</v>
      </c>
      <c r="P31" s="18" t="s">
        <v>253</v>
      </c>
      <c r="Q31" s="123">
        <v>0.3</v>
      </c>
      <c r="R31" s="2">
        <f t="shared" si="8"/>
        <v>400685081.37685341</v>
      </c>
      <c r="S31" s="2"/>
    </row>
    <row r="32" spans="1:19" x14ac:dyDescent="0.35">
      <c r="D32" s="2"/>
      <c r="F32" s="159" t="s">
        <v>213</v>
      </c>
      <c r="G32" s="2">
        <f t="shared" si="6"/>
        <v>0</v>
      </c>
      <c r="H32" s="209" t="s">
        <v>292</v>
      </c>
      <c r="I32" s="12" t="s">
        <v>9</v>
      </c>
      <c r="J32" s="154" t="s">
        <v>212</v>
      </c>
      <c r="K32" s="6">
        <f>'Feedstock MIX per IVC'!J93</f>
        <v>4.0841838001898028</v>
      </c>
      <c r="L32" s="2">
        <f t="shared" si="9"/>
        <v>9372689.1084597781</v>
      </c>
      <c r="M32" t="s">
        <v>248</v>
      </c>
      <c r="N32" s="35">
        <v>0.25</v>
      </c>
      <c r="O32" s="2">
        <f t="shared" si="7"/>
        <v>461843485.83672243</v>
      </c>
      <c r="P32" s="18" t="s">
        <v>254</v>
      </c>
      <c r="Q32" s="123">
        <v>0.1</v>
      </c>
      <c r="R32" s="2">
        <f t="shared" si="8"/>
        <v>133561693.79228447</v>
      </c>
    </row>
    <row r="33" spans="1:19" x14ac:dyDescent="0.35">
      <c r="D33" s="2"/>
      <c r="F33" s="158" t="s">
        <v>104</v>
      </c>
      <c r="G33" s="2">
        <f t="shared" si="6"/>
        <v>0</v>
      </c>
      <c r="H33" s="209" t="s">
        <v>292</v>
      </c>
      <c r="I33" s="12" t="s">
        <v>10</v>
      </c>
      <c r="J33" s="178" t="s">
        <v>256</v>
      </c>
      <c r="K33" s="6">
        <f>'Feedstock MIX per IVC'!J94</f>
        <v>33.837533598410502</v>
      </c>
      <c r="L33" s="2">
        <f t="shared" si="9"/>
        <v>77652891.772457749</v>
      </c>
      <c r="M33" t="s">
        <v>250</v>
      </c>
      <c r="N33" s="35">
        <v>0.03</v>
      </c>
      <c r="O33" s="2">
        <f t="shared" si="7"/>
        <v>55421218.300406687</v>
      </c>
      <c r="P33" s="18"/>
      <c r="Q33" s="123">
        <f>SUM(Q28:Q32)</f>
        <v>1.0000000000000002</v>
      </c>
      <c r="R33" s="2"/>
    </row>
    <row r="34" spans="1:19" x14ac:dyDescent="0.35">
      <c r="D34" s="2"/>
      <c r="F34"/>
      <c r="G34" s="2">
        <f>SUM(G28:G33)</f>
        <v>1</v>
      </c>
      <c r="H34" s="209" t="s">
        <v>292</v>
      </c>
      <c r="I34" s="12" t="s">
        <v>11</v>
      </c>
      <c r="J34" s="156" t="s">
        <v>209</v>
      </c>
      <c r="K34" s="6">
        <f>'Feedstock MIX per IVC'!J95</f>
        <v>41.477162938465945</v>
      </c>
      <c r="L34" s="2">
        <f t="shared" si="9"/>
        <v>95184882.057733297</v>
      </c>
    </row>
    <row r="35" spans="1:19" x14ac:dyDescent="0.35">
      <c r="D35" s="2"/>
      <c r="F35" s="31"/>
      <c r="G35" s="6"/>
      <c r="H35" s="209" t="s">
        <v>292</v>
      </c>
      <c r="I35" s="12" t="s">
        <v>12</v>
      </c>
      <c r="J35" s="159" t="s">
        <v>213</v>
      </c>
      <c r="K35" s="6">
        <f>'Feedstock MIX per IVC'!J96</f>
        <v>0</v>
      </c>
      <c r="L35" s="2">
        <f t="shared" si="9"/>
        <v>0</v>
      </c>
    </row>
    <row r="36" spans="1:19" x14ac:dyDescent="0.35">
      <c r="D36" s="6"/>
      <c r="E36" s="6"/>
      <c r="F36" s="31"/>
      <c r="G36" s="6"/>
      <c r="H36" s="6" t="s">
        <v>358</v>
      </c>
      <c r="I36" s="229" t="s">
        <v>321</v>
      </c>
      <c r="J36" s="6"/>
      <c r="K36" s="6"/>
      <c r="L36" s="2"/>
      <c r="M36" s="80" t="s">
        <v>214</v>
      </c>
      <c r="O36" s="92">
        <f>SUM(O37:O42)</f>
        <v>12134223095.775681</v>
      </c>
      <c r="P36" s="80" t="s">
        <v>214</v>
      </c>
      <c r="Q36" s="80"/>
      <c r="R36" s="92">
        <f>SUM(R37:R41)</f>
        <v>8228773463.7999001</v>
      </c>
    </row>
    <row r="37" spans="1:19" x14ac:dyDescent="0.35">
      <c r="D37" s="6"/>
      <c r="E37" s="6"/>
      <c r="F37" s="31"/>
      <c r="G37" s="6"/>
      <c r="H37" s="6"/>
      <c r="I37" s="6"/>
      <c r="J37" s="154" t="s">
        <v>212</v>
      </c>
      <c r="K37" s="6"/>
      <c r="L37" s="2">
        <f>L28+L29+L31+L32</f>
        <v>302796548.80924886</v>
      </c>
      <c r="M37" s="5" t="s">
        <v>245</v>
      </c>
      <c r="O37" s="2">
        <f>O10+O17+O28</f>
        <v>282704771.85074461</v>
      </c>
      <c r="P37" s="18" t="s">
        <v>251</v>
      </c>
      <c r="R37" s="2">
        <f>R10+R17+R28</f>
        <v>1940490152.018122</v>
      </c>
    </row>
    <row r="38" spans="1:19" x14ac:dyDescent="0.35">
      <c r="D38" s="6"/>
      <c r="E38" s="6"/>
      <c r="F38" s="31"/>
      <c r="G38" s="6"/>
      <c r="H38" s="6"/>
      <c r="I38" s="6"/>
      <c r="J38" s="178" t="s">
        <v>256</v>
      </c>
      <c r="K38" s="6"/>
      <c r="L38" s="2">
        <f>L33</f>
        <v>77652891.772457749</v>
      </c>
      <c r="M38" t="s">
        <v>246</v>
      </c>
      <c r="O38" s="2">
        <f>O11+O18+O29</f>
        <v>242684461.9155136</v>
      </c>
      <c r="P38" s="18" t="s">
        <v>210</v>
      </c>
      <c r="R38" s="2">
        <f>R11+R18+R29</f>
        <v>1384736193.2227008</v>
      </c>
    </row>
    <row r="39" spans="1:19" x14ac:dyDescent="0.35">
      <c r="D39" s="6"/>
      <c r="E39" s="6"/>
      <c r="F39" s="31"/>
      <c r="G39" s="6"/>
      <c r="H39" s="6"/>
      <c r="I39" s="6"/>
      <c r="J39" s="156" t="s">
        <v>209</v>
      </c>
      <c r="K39" s="6"/>
      <c r="L39" s="2">
        <v>0</v>
      </c>
      <c r="M39" s="5" t="s">
        <v>244</v>
      </c>
      <c r="O39" s="2">
        <f>O12+O19+O30</f>
        <v>6477887947.6445131</v>
      </c>
      <c r="P39" s="18" t="s">
        <v>252</v>
      </c>
      <c r="R39" s="2">
        <f>R12+R19+R30</f>
        <v>2318211865.4872541</v>
      </c>
    </row>
    <row r="40" spans="1:19" x14ac:dyDescent="0.35">
      <c r="D40" s="6"/>
      <c r="E40" s="6"/>
      <c r="F40" s="31"/>
      <c r="G40" s="6"/>
      <c r="H40" s="6"/>
      <c r="I40" s="6"/>
      <c r="J40" s="157" t="s">
        <v>211</v>
      </c>
      <c r="K40" s="6"/>
      <c r="L40" s="2">
        <f>L30</f>
        <v>7060340.4207625054</v>
      </c>
      <c r="M40" t="s">
        <v>247</v>
      </c>
      <c r="O40" s="2">
        <f>O13+O20+O31</f>
        <v>1219020989.9262791</v>
      </c>
      <c r="P40" s="18" t="s">
        <v>253</v>
      </c>
      <c r="R40" s="2">
        <f>R13+R20+R31</f>
        <v>2443344319.3493228</v>
      </c>
    </row>
    <row r="41" spans="1:19" x14ac:dyDescent="0.35">
      <c r="D41" s="6"/>
      <c r="E41" s="6"/>
      <c r="F41" s="31"/>
      <c r="G41" s="6"/>
      <c r="H41" s="6"/>
      <c r="I41" s="6"/>
      <c r="J41" s="159" t="s">
        <v>213</v>
      </c>
      <c r="K41" s="6"/>
      <c r="L41" s="2">
        <f>L35</f>
        <v>0</v>
      </c>
      <c r="M41" t="s">
        <v>248</v>
      </c>
      <c r="O41" s="2">
        <f>O14+O21+O32</f>
        <v>3547898231.5653596</v>
      </c>
      <c r="P41" s="18" t="s">
        <v>254</v>
      </c>
      <c r="R41" s="2">
        <f>R14+R21+R32</f>
        <v>141990933.72250015</v>
      </c>
    </row>
    <row r="42" spans="1:19" x14ac:dyDescent="0.35">
      <c r="D42" s="6"/>
      <c r="E42" s="6"/>
      <c r="F42" s="31"/>
      <c r="G42" s="6"/>
      <c r="H42" s="6"/>
      <c r="I42" s="229"/>
      <c r="J42" s="107"/>
      <c r="K42" s="6"/>
      <c r="L42" s="2"/>
      <c r="M42" t="s">
        <v>250</v>
      </c>
      <c r="O42" s="2">
        <f>O15+O22+O33</f>
        <v>364026692.87327033</v>
      </c>
    </row>
    <row r="43" spans="1:19" x14ac:dyDescent="0.35">
      <c r="D43" s="6"/>
      <c r="E43" s="6"/>
      <c r="F43" s="31"/>
      <c r="G43" s="6"/>
      <c r="J43" s="112"/>
      <c r="L43" s="2"/>
    </row>
    <row r="44" spans="1:19" s="93" customFormat="1" ht="41" customHeight="1" x14ac:dyDescent="0.35">
      <c r="A44" s="93" t="s">
        <v>105</v>
      </c>
      <c r="F44" s="176"/>
    </row>
    <row r="45" spans="1:19" ht="17.5" customHeight="1" x14ac:dyDescent="0.35">
      <c r="C45" s="2">
        <f>C46+C53+C60+C69</f>
        <v>8266616718.0902576</v>
      </c>
      <c r="D45" s="2">
        <f>D46+D53+D60+D69</f>
        <v>5.2370350293568846</v>
      </c>
      <c r="F45" s="2">
        <f>F46+F53+F60+F69</f>
        <v>6577191.5193812177</v>
      </c>
      <c r="L45" s="2">
        <f>L46+L53+L60+L69</f>
        <v>1784916452.3458357</v>
      </c>
      <c r="O45" s="2">
        <f>O46+O53+O60+O69</f>
        <v>3745881135.0606112</v>
      </c>
      <c r="R45" s="2">
        <f>R46+R53+R60+R69</f>
        <v>3526791889.6150503</v>
      </c>
    </row>
    <row r="46" spans="1:19" s="218" customFormat="1" ht="17.5" customHeight="1" x14ac:dyDescent="0.35">
      <c r="A46" s="218" t="s">
        <v>337</v>
      </c>
      <c r="B46" s="218">
        <v>1000</v>
      </c>
      <c r="C46" s="220">
        <f>B46*F46</f>
        <v>1886927358.2303877</v>
      </c>
      <c r="D46" s="220">
        <f>'[1]GAP analysis Sc. 2'!$C$127</f>
        <v>1.2168491132182206</v>
      </c>
      <c r="E46" s="227">
        <f>'[2]Conversion factors selected IV '!$O$17</f>
        <v>1.5506666666666669</v>
      </c>
      <c r="F46" s="219">
        <f>D46*E46*1000000</f>
        <v>1886927.3582303878</v>
      </c>
      <c r="G46" s="225">
        <f>'LCoP 2030 HIGH'!E5</f>
        <v>1387.0526477152616</v>
      </c>
      <c r="H46" s="220">
        <f>G46*F46</f>
        <v>2617267588.2798233</v>
      </c>
      <c r="I46" s="220">
        <f>'LCoP 2030 HIGH'!H5</f>
        <v>0.22785915749907551</v>
      </c>
      <c r="L46" s="219">
        <f>I46*H46</f>
        <v>596368387.61507773</v>
      </c>
      <c r="M46" s="220">
        <f>'LCoP 2030 HIGH'!F5</f>
        <v>0.40012900801868634</v>
      </c>
      <c r="O46" s="219">
        <f>M46*H46</f>
        <v>1047244683.8178653</v>
      </c>
      <c r="P46" s="243">
        <f>'LCoP 2030 HIGH'!G5</f>
        <v>0.37201183448223807</v>
      </c>
      <c r="R46" s="219">
        <f>P46*H46</f>
        <v>973654516.84688008</v>
      </c>
      <c r="S46" s="220">
        <f>R46+O46+L46</f>
        <v>2617267588.2798233</v>
      </c>
    </row>
    <row r="47" spans="1:19" ht="15" customHeight="1" x14ac:dyDescent="0.35">
      <c r="C47">
        <f>C46/$C$45</f>
        <v>0.22825872089861485</v>
      </c>
      <c r="F47" s="154" t="s">
        <v>212</v>
      </c>
      <c r="G47" s="2">
        <f>SUMIF($J$47:$J$50, F47,$L$47:$L$50)/$L$46</f>
        <v>0.79882413557184262</v>
      </c>
      <c r="H47" s="209" t="s">
        <v>292</v>
      </c>
      <c r="I47" s="7" t="s">
        <v>5</v>
      </c>
      <c r="J47" s="154" t="s">
        <v>212</v>
      </c>
      <c r="K47" s="6">
        <f>'Feedstock MIX per IVC'!J13</f>
        <v>232.61998432929801</v>
      </c>
      <c r="L47">
        <f>K47*F$46</f>
        <v>438937012.50207651</v>
      </c>
      <c r="M47" s="5" t="s">
        <v>245</v>
      </c>
      <c r="N47" s="35">
        <v>0</v>
      </c>
      <c r="O47" s="2">
        <f>N47*O$46</f>
        <v>0</v>
      </c>
      <c r="P47" s="18" t="s">
        <v>251</v>
      </c>
      <c r="Q47" s="35">
        <v>0.2</v>
      </c>
      <c r="R47" s="2">
        <f>Q47*R$46</f>
        <v>194730903.36937603</v>
      </c>
    </row>
    <row r="48" spans="1:19" ht="15" customHeight="1" x14ac:dyDescent="0.35">
      <c r="F48" s="156" t="s">
        <v>209</v>
      </c>
      <c r="G48" s="2">
        <f>SUMIF($J$47:$J$50, F48,$L$47:$L$50)/$L$46</f>
        <v>0.20117586442815741</v>
      </c>
      <c r="H48" s="209" t="s">
        <v>292</v>
      </c>
      <c r="I48" s="7" t="s">
        <v>8</v>
      </c>
      <c r="J48" s="154" t="s">
        <v>212</v>
      </c>
      <c r="K48" s="6">
        <f>'Feedstock MIX per IVC'!J14</f>
        <v>11.65896172396454</v>
      </c>
      <c r="L48">
        <f t="shared" ref="L48:L50" si="10">K48*F$46</f>
        <v>21999613.845509615</v>
      </c>
      <c r="M48" t="s">
        <v>246</v>
      </c>
      <c r="N48" s="35">
        <v>0.02</v>
      </c>
      <c r="O48" s="2">
        <f t="shared" ref="O48:O52" si="11">N48*O$46</f>
        <v>20944893.676357307</v>
      </c>
      <c r="P48" s="18" t="s">
        <v>210</v>
      </c>
      <c r="Q48" s="35">
        <v>0.5</v>
      </c>
      <c r="R48" s="2">
        <f t="shared" ref="R48:R51" si="12">Q48*R$46</f>
        <v>486827258.42344004</v>
      </c>
    </row>
    <row r="49" spans="1:19" ht="15" customHeight="1" x14ac:dyDescent="0.35">
      <c r="F49" s="31"/>
      <c r="H49" s="209" t="s">
        <v>292</v>
      </c>
      <c r="I49" s="7" t="s">
        <v>9</v>
      </c>
      <c r="J49" s="154" t="s">
        <v>212</v>
      </c>
      <c r="K49" s="6">
        <f>'Feedstock MIX per IVC'!J15</f>
        <v>8.1915370530733291</v>
      </c>
      <c r="L49">
        <f t="shared" si="10"/>
        <v>15456835.371401994</v>
      </c>
      <c r="M49" s="5" t="s">
        <v>244</v>
      </c>
      <c r="N49" s="35">
        <v>0.5</v>
      </c>
      <c r="O49" s="2">
        <f t="shared" si="11"/>
        <v>523622341.90893263</v>
      </c>
      <c r="P49" s="18" t="s">
        <v>252</v>
      </c>
      <c r="Q49" s="35">
        <v>0.15</v>
      </c>
      <c r="R49" s="2">
        <f t="shared" si="12"/>
        <v>146048177.52703202</v>
      </c>
    </row>
    <row r="50" spans="1:19" ht="15" customHeight="1" x14ac:dyDescent="0.35">
      <c r="F50" s="31"/>
      <c r="H50" s="209" t="s">
        <v>292</v>
      </c>
      <c r="I50" s="7" t="s">
        <v>11</v>
      </c>
      <c r="J50" s="156" t="s">
        <v>209</v>
      </c>
      <c r="K50" s="6">
        <f>'Feedstock MIX per IVC'!J16</f>
        <v>63.58216460892563</v>
      </c>
      <c r="L50">
        <f t="shared" si="10"/>
        <v>119974925.8960897</v>
      </c>
      <c r="M50" t="s">
        <v>247</v>
      </c>
      <c r="N50" s="35">
        <v>0.15</v>
      </c>
      <c r="O50" s="2">
        <f t="shared" si="11"/>
        <v>157086702.57267979</v>
      </c>
      <c r="P50" s="18" t="s">
        <v>253</v>
      </c>
      <c r="Q50" s="35">
        <v>0.1</v>
      </c>
      <c r="R50" s="2">
        <f t="shared" si="12"/>
        <v>97365451.684688017</v>
      </c>
    </row>
    <row r="51" spans="1:19" ht="15" customHeight="1" x14ac:dyDescent="0.35">
      <c r="F51" s="31"/>
      <c r="M51" t="s">
        <v>248</v>
      </c>
      <c r="N51" s="35">
        <v>0.3</v>
      </c>
      <c r="O51" s="2">
        <f t="shared" si="11"/>
        <v>314173405.14535958</v>
      </c>
      <c r="P51" s="18" t="s">
        <v>254</v>
      </c>
      <c r="Q51" s="35">
        <v>0.05</v>
      </c>
      <c r="R51" s="2">
        <f t="shared" si="12"/>
        <v>48682725.842344008</v>
      </c>
    </row>
    <row r="52" spans="1:19" ht="15" customHeight="1" x14ac:dyDescent="0.35">
      <c r="F52" s="31"/>
      <c r="M52" t="s">
        <v>250</v>
      </c>
      <c r="N52" s="35">
        <v>0.03</v>
      </c>
      <c r="O52" s="2">
        <f t="shared" si="11"/>
        <v>31417340.514535956</v>
      </c>
      <c r="R52" s="2"/>
    </row>
    <row r="53" spans="1:19" s="218" customFormat="1" ht="17.5" customHeight="1" x14ac:dyDescent="0.35">
      <c r="A53" s="218" t="s">
        <v>344</v>
      </c>
      <c r="B53" s="218">
        <v>1000</v>
      </c>
      <c r="C53" s="220">
        <f>B53*F53</f>
        <v>1886927358.2303877</v>
      </c>
      <c r="D53" s="225">
        <f>'[1]GAP analysis Sc. 2'!$C$128</f>
        <v>1.2168491132182206</v>
      </c>
      <c r="E53" s="228">
        <f>'[2]Conversion factors selected IV '!$O$86</f>
        <v>1.5506666666666669</v>
      </c>
      <c r="F53" s="219">
        <f>D53*E53*1000000</f>
        <v>1886927.3582303878</v>
      </c>
      <c r="G53" s="225">
        <f>'LCoP 2030 HIGH'!E18</f>
        <v>988.03814186666671</v>
      </c>
      <c r="H53" s="220">
        <f>G53*F53</f>
        <v>1864356200.8633306</v>
      </c>
      <c r="I53" s="220">
        <f>'LCoP 2030 HIGH'!H18</f>
        <v>0.32087642008201966</v>
      </c>
      <c r="L53" s="219">
        <f>I53*H53</f>
        <v>598227943.4907403</v>
      </c>
      <c r="M53" s="220">
        <f>'LCoP 2030 HIGH'!F18</f>
        <v>0.28136565606139868</v>
      </c>
      <c r="O53" s="219">
        <f>M53*H53</f>
        <v>524565805.5880478</v>
      </c>
      <c r="P53" s="243">
        <f>'LCoP 2030 HIGH'!G18</f>
        <v>0.3977579238565816</v>
      </c>
      <c r="R53" s="219">
        <f>P53*H53</f>
        <v>741562451.78454244</v>
      </c>
      <c r="S53" s="220">
        <f>R53+O53+L53</f>
        <v>1864356200.8633306</v>
      </c>
    </row>
    <row r="54" spans="1:19" ht="14.5" customHeight="1" x14ac:dyDescent="0.35">
      <c r="C54">
        <f>C53/$C$45</f>
        <v>0.22825872089861485</v>
      </c>
      <c r="D54" s="6"/>
      <c r="F54" s="31"/>
      <c r="I54" s="16" t="s">
        <v>37</v>
      </c>
      <c r="J54" s="207" t="s">
        <v>106</v>
      </c>
      <c r="K54" s="6">
        <f>'Feedstock MIX per IVC'!J85</f>
        <v>317.03814186666671</v>
      </c>
      <c r="L54" s="31">
        <f>K54*F53</f>
        <v>598227943.4907403</v>
      </c>
      <c r="M54" s="5" t="s">
        <v>245</v>
      </c>
      <c r="N54" s="35">
        <v>0</v>
      </c>
      <c r="O54" s="2">
        <f>N54*O$53</f>
        <v>0</v>
      </c>
      <c r="P54" s="18" t="s">
        <v>251</v>
      </c>
      <c r="Q54" s="35">
        <v>0.2</v>
      </c>
      <c r="R54" s="2">
        <f>Q54*R$53</f>
        <v>148312490.3569085</v>
      </c>
    </row>
    <row r="55" spans="1:19" ht="14.5" customHeight="1" x14ac:dyDescent="0.35">
      <c r="D55" s="6"/>
      <c r="F55" s="31"/>
      <c r="M55" t="s">
        <v>246</v>
      </c>
      <c r="N55" s="35">
        <v>0.02</v>
      </c>
      <c r="O55" s="2">
        <f t="shared" ref="O55:O59" si="13">N55*O$53</f>
        <v>10491316.111760957</v>
      </c>
      <c r="P55" s="18" t="s">
        <v>210</v>
      </c>
      <c r="Q55" s="35">
        <v>0.5</v>
      </c>
      <c r="R55" s="2">
        <f t="shared" ref="R55:R58" si="14">Q55*R$53</f>
        <v>370781225.89227122</v>
      </c>
    </row>
    <row r="56" spans="1:19" ht="14.5" customHeight="1" x14ac:dyDescent="0.35">
      <c r="D56" s="6"/>
      <c r="F56" s="31"/>
      <c r="M56" s="5" t="s">
        <v>244</v>
      </c>
      <c r="N56" s="35">
        <v>0.5</v>
      </c>
      <c r="O56" s="2">
        <f t="shared" si="13"/>
        <v>262282902.7940239</v>
      </c>
      <c r="P56" s="18" t="s">
        <v>252</v>
      </c>
      <c r="Q56" s="35">
        <v>0.15</v>
      </c>
      <c r="R56" s="2">
        <f t="shared" si="14"/>
        <v>111234367.76768136</v>
      </c>
    </row>
    <row r="57" spans="1:19" ht="14.5" customHeight="1" x14ac:dyDescent="0.35">
      <c r="D57" s="6"/>
      <c r="F57" s="31"/>
      <c r="M57" t="s">
        <v>247</v>
      </c>
      <c r="N57" s="35">
        <v>0.15</v>
      </c>
      <c r="O57" s="2">
        <f t="shared" si="13"/>
        <v>78684870.83820717</v>
      </c>
      <c r="P57" s="18" t="s">
        <v>253</v>
      </c>
      <c r="Q57" s="35">
        <v>0.1</v>
      </c>
      <c r="R57" s="2">
        <f t="shared" si="14"/>
        <v>74156245.17845425</v>
      </c>
    </row>
    <row r="58" spans="1:19" ht="14.5" customHeight="1" x14ac:dyDescent="0.35">
      <c r="F58" s="31"/>
      <c r="M58" t="s">
        <v>248</v>
      </c>
      <c r="N58" s="35">
        <v>0.3</v>
      </c>
      <c r="O58" s="2">
        <f t="shared" si="13"/>
        <v>157369741.67641434</v>
      </c>
      <c r="P58" s="18" t="s">
        <v>254</v>
      </c>
      <c r="Q58" s="35">
        <v>0.05</v>
      </c>
      <c r="R58" s="2">
        <f t="shared" si="14"/>
        <v>37078122.589227125</v>
      </c>
    </row>
    <row r="59" spans="1:19" ht="14.5" customHeight="1" x14ac:dyDescent="0.35">
      <c r="F59" s="31"/>
      <c r="M59" t="s">
        <v>250</v>
      </c>
      <c r="N59" s="35">
        <v>0.03</v>
      </c>
      <c r="O59" s="2">
        <f t="shared" si="13"/>
        <v>15736974.167641433</v>
      </c>
    </row>
    <row r="60" spans="1:19" s="218" customFormat="1" ht="17.5" customHeight="1" x14ac:dyDescent="0.35">
      <c r="A60" s="218" t="s">
        <v>335</v>
      </c>
      <c r="B60" s="218">
        <v>1750</v>
      </c>
      <c r="C60" s="220">
        <f>B60*F60</f>
        <v>3701030311.623673</v>
      </c>
      <c r="D60" s="220">
        <f>'[1]GAP analysis Sc. 2'!$C$129</f>
        <v>2.1148744637849561</v>
      </c>
      <c r="E60" s="218">
        <f>'[2]Conversion factors selected IV '!$O$89</f>
        <v>1</v>
      </c>
      <c r="F60" s="219">
        <f>D60*E60*1000000</f>
        <v>2114874.4637849559</v>
      </c>
      <c r="G60" s="225">
        <f>'LCoP 2030 HIGH'!E20</f>
        <v>1597.3359772734975</v>
      </c>
      <c r="H60" s="220">
        <f>G60*F60</f>
        <v>3378165068.4207067</v>
      </c>
      <c r="I60" s="220">
        <f>'LCoP 2030 HIGH'!H20</f>
        <v>0.13167923359024397</v>
      </c>
      <c r="L60" s="219">
        <f>I60*H60</f>
        <v>444834187.15097272</v>
      </c>
      <c r="M60" s="220">
        <f>'LCoP 2030 HIGH'!F20</f>
        <v>0.50396410739715469</v>
      </c>
      <c r="O60" s="219">
        <f>M60*H60</f>
        <v>1702473943.3468895</v>
      </c>
      <c r="P60" s="243">
        <f>'LCoP 2030 HIGH'!G20</f>
        <v>0.36435665901260128</v>
      </c>
      <c r="R60" s="219">
        <f>P60*H60</f>
        <v>1230856937.9228444</v>
      </c>
      <c r="S60" s="220">
        <f>R60+O60+L60</f>
        <v>3378165068.4207067</v>
      </c>
    </row>
    <row r="61" spans="1:19" ht="17.5" customHeight="1" x14ac:dyDescent="0.35">
      <c r="C61">
        <f>C60/$C$45</f>
        <v>0.44770798475808371</v>
      </c>
      <c r="F61" s="154" t="s">
        <v>212</v>
      </c>
      <c r="G61" s="2">
        <f>SUMIF($J$61:$J$68, F61,$L$61:$L$68)/$L$60</f>
        <v>0.6273045301341641</v>
      </c>
      <c r="H61" s="209" t="s">
        <v>292</v>
      </c>
      <c r="I61" s="5" t="s">
        <v>5</v>
      </c>
      <c r="J61" s="154" t="s">
        <v>212</v>
      </c>
      <c r="K61" s="6">
        <f>'Feedstock MIX per IVC'!J89</f>
        <v>115.98101375146399</v>
      </c>
      <c r="L61">
        <f>K61*F$60</f>
        <v>245285284.26686302</v>
      </c>
      <c r="M61" s="5" t="s">
        <v>245</v>
      </c>
      <c r="N61" s="174">
        <v>0.15</v>
      </c>
      <c r="O61" s="2">
        <f>N61*O$60</f>
        <v>255371091.50203341</v>
      </c>
      <c r="P61" s="18" t="s">
        <v>251</v>
      </c>
      <c r="Q61" s="123">
        <v>0.15</v>
      </c>
      <c r="R61" s="2">
        <f>Q61*R$60</f>
        <v>184628540.68842664</v>
      </c>
    </row>
    <row r="62" spans="1:19" ht="17.5" customHeight="1" x14ac:dyDescent="0.35">
      <c r="F62" s="178" t="s">
        <v>256</v>
      </c>
      <c r="G62" s="2">
        <f t="shared" ref="G62:G65" si="15">SUMIF($J$61:$J$68, F62,$L$61:$L$68)/$L$60</f>
        <v>0.16087373181247039</v>
      </c>
      <c r="H62" s="209" t="s">
        <v>292</v>
      </c>
      <c r="I62" s="5" t="s">
        <v>6</v>
      </c>
      <c r="J62" s="154" t="s">
        <v>212</v>
      </c>
      <c r="K62" s="6">
        <f>'Feedstock MIX per IVC'!J90</f>
        <v>6.0665214463321062</v>
      </c>
      <c r="L62">
        <f t="shared" ref="L62:L68" si="16">K62*F$60</f>
        <v>12829931.290851548</v>
      </c>
      <c r="M62" t="s">
        <v>246</v>
      </c>
      <c r="N62" s="35">
        <v>0.02</v>
      </c>
      <c r="O62" s="2">
        <f t="shared" ref="O62:O65" si="17">N62*O$60</f>
        <v>34049478.866937794</v>
      </c>
      <c r="P62" s="18" t="s">
        <v>210</v>
      </c>
      <c r="Q62" s="123">
        <v>0.25</v>
      </c>
      <c r="R62" s="2">
        <f t="shared" ref="R62:R65" si="18">Q62*R$60</f>
        <v>307714234.4807111</v>
      </c>
    </row>
    <row r="63" spans="1:19" ht="17.5" customHeight="1" x14ac:dyDescent="0.35">
      <c r="F63" s="156" t="s">
        <v>209</v>
      </c>
      <c r="G63" s="2">
        <f t="shared" si="15"/>
        <v>0.19719480935272266</v>
      </c>
      <c r="H63" s="209" t="s">
        <v>292</v>
      </c>
      <c r="I63" s="5" t="s">
        <v>7</v>
      </c>
      <c r="J63" s="157" t="s">
        <v>211</v>
      </c>
      <c r="K63" s="6">
        <f>'Feedstock MIX per IVC'!J91</f>
        <v>3.0765693427595271</v>
      </c>
      <c r="L63">
        <f t="shared" si="16"/>
        <v>6506557.9390657889</v>
      </c>
      <c r="M63" s="5" t="s">
        <v>244</v>
      </c>
      <c r="N63" s="174">
        <v>0.45</v>
      </c>
      <c r="O63" s="2">
        <f t="shared" si="17"/>
        <v>766113274.5061003</v>
      </c>
      <c r="P63" s="18" t="s">
        <v>252</v>
      </c>
      <c r="Q63" s="123">
        <v>0.2</v>
      </c>
      <c r="R63" s="2">
        <f t="shared" si="18"/>
        <v>246171387.58456889</v>
      </c>
    </row>
    <row r="64" spans="1:19" ht="17.5" customHeight="1" x14ac:dyDescent="0.35">
      <c r="F64" s="157" t="s">
        <v>211</v>
      </c>
      <c r="G64" s="2">
        <f t="shared" si="15"/>
        <v>1.4626928700643058E-2</v>
      </c>
      <c r="H64" s="209" t="s">
        <v>292</v>
      </c>
      <c r="I64" s="5" t="s">
        <v>8</v>
      </c>
      <c r="J64" s="154" t="s">
        <v>212</v>
      </c>
      <c r="K64" s="6">
        <f>'Feedstock MIX per IVC'!J92</f>
        <v>5.8129923958756571</v>
      </c>
      <c r="L64">
        <f t="shared" si="16"/>
        <v>12293749.176213557</v>
      </c>
      <c r="M64" t="s">
        <v>247</v>
      </c>
      <c r="N64" s="35">
        <v>0.1</v>
      </c>
      <c r="O64" s="2">
        <f t="shared" si="17"/>
        <v>170247394.33468896</v>
      </c>
      <c r="P64" s="18" t="s">
        <v>253</v>
      </c>
      <c r="Q64" s="123">
        <v>0.3</v>
      </c>
      <c r="R64" s="2">
        <f t="shared" si="18"/>
        <v>369257081.37685329</v>
      </c>
    </row>
    <row r="65" spans="1:19" ht="17.5" customHeight="1" x14ac:dyDescent="0.35">
      <c r="F65" s="159" t="s">
        <v>213</v>
      </c>
      <c r="G65" s="2">
        <f t="shared" si="15"/>
        <v>0</v>
      </c>
      <c r="H65" s="209" t="s">
        <v>292</v>
      </c>
      <c r="I65" s="5" t="s">
        <v>9</v>
      </c>
      <c r="J65" s="154" t="s">
        <v>212</v>
      </c>
      <c r="K65" s="6">
        <f>'Feedstock MIX per IVC'!J93</f>
        <v>4.0841838001898028</v>
      </c>
      <c r="L65">
        <f t="shared" si="16"/>
        <v>8637536.0244256128</v>
      </c>
      <c r="M65" t="s">
        <v>248</v>
      </c>
      <c r="N65" s="35">
        <v>0.25</v>
      </c>
      <c r="O65" s="2">
        <f t="shared" si="17"/>
        <v>425618485.83672237</v>
      </c>
      <c r="P65" s="18" t="s">
        <v>254</v>
      </c>
      <c r="Q65" s="123">
        <v>0.1</v>
      </c>
      <c r="R65" s="2">
        <f t="shared" si="18"/>
        <v>123085693.79228444</v>
      </c>
    </row>
    <row r="66" spans="1:19" ht="17.5" customHeight="1" x14ac:dyDescent="0.35">
      <c r="F66"/>
      <c r="G66" s="2"/>
      <c r="H66" s="209" t="s">
        <v>292</v>
      </c>
      <c r="I66" s="5" t="s">
        <v>10</v>
      </c>
      <c r="J66" s="178" t="s">
        <v>256</v>
      </c>
      <c r="K66" s="6">
        <f>'Feedstock MIX per IVC'!J94</f>
        <v>33.837533598410502</v>
      </c>
      <c r="L66">
        <f t="shared" si="16"/>
        <v>71562135.724743843</v>
      </c>
      <c r="M66" t="s">
        <v>250</v>
      </c>
      <c r="N66" s="35">
        <v>0.03</v>
      </c>
      <c r="O66" s="2">
        <f>N66*O$60</f>
        <v>51074218.30040668</v>
      </c>
      <c r="Q66" s="35"/>
      <c r="R66" s="2"/>
    </row>
    <row r="67" spans="1:19" ht="17.5" customHeight="1" x14ac:dyDescent="0.35">
      <c r="F67" s="31"/>
      <c r="G67" s="2">
        <f>SUM(G61:G66)</f>
        <v>1.0000000000000002</v>
      </c>
      <c r="H67" s="209" t="s">
        <v>292</v>
      </c>
      <c r="I67" s="5" t="s">
        <v>11</v>
      </c>
      <c r="J67" s="156" t="s">
        <v>209</v>
      </c>
      <c r="K67" s="6">
        <f>'Feedstock MIX per IVC'!J95</f>
        <v>41.477162938465945</v>
      </c>
      <c r="L67">
        <f t="shared" si="16"/>
        <v>87718992.728809416</v>
      </c>
      <c r="O67" s="2"/>
    </row>
    <row r="68" spans="1:19" ht="17.5" customHeight="1" x14ac:dyDescent="0.35">
      <c r="F68" s="31"/>
      <c r="H68" s="209" t="s">
        <v>292</v>
      </c>
      <c r="I68" s="5" t="s">
        <v>12</v>
      </c>
      <c r="J68" s="159" t="s">
        <v>213</v>
      </c>
      <c r="K68" s="6">
        <f>'Feedstock MIX per IVC'!J96</f>
        <v>0</v>
      </c>
      <c r="L68">
        <f t="shared" si="16"/>
        <v>0</v>
      </c>
    </row>
    <row r="69" spans="1:19" s="218" customFormat="1" x14ac:dyDescent="0.35">
      <c r="A69" s="218" t="s">
        <v>338</v>
      </c>
      <c r="B69" s="218">
        <v>1150</v>
      </c>
      <c r="C69" s="220">
        <f>B69*F69</f>
        <v>791731690.0058099</v>
      </c>
      <c r="D69" s="225">
        <f>'[1]GAP analysis Sc. 2'!$C$130</f>
        <v>0.68846233913548682</v>
      </c>
      <c r="E69" s="225">
        <f>'[2]Conversion factors selected IV '!$O$125</f>
        <v>1</v>
      </c>
      <c r="F69" s="219">
        <f>D69*E69*1000000</f>
        <v>688462.33913548687</v>
      </c>
      <c r="G69" s="225">
        <f>'LCoP 2030 HIGH'!E22</f>
        <v>1739.8201054276026</v>
      </c>
      <c r="H69" s="220">
        <f>G69*F69</f>
        <v>1197800619.4576366</v>
      </c>
      <c r="I69" s="220">
        <f>'LCoP 2030 HIGH'!H22</f>
        <v>0.12146089401332999</v>
      </c>
      <c r="L69" s="219">
        <f>I69*H69</f>
        <v>145485934.08904502</v>
      </c>
      <c r="M69" s="220">
        <f>'LCoP 2030 HIGH'!F22</f>
        <v>0.39371886660181155</v>
      </c>
      <c r="O69" s="219">
        <f>M69*H69</f>
        <v>471596702.30780846</v>
      </c>
      <c r="P69" s="243">
        <f>'LCoP 2030 HIGH'!G22</f>
        <v>0.48482023938485846</v>
      </c>
      <c r="R69" s="219">
        <f>P69*H69</f>
        <v>580717983.06078315</v>
      </c>
      <c r="S69" s="219">
        <f>L69+O69+R69</f>
        <v>1197800619.4576366</v>
      </c>
    </row>
    <row r="70" spans="1:19" x14ac:dyDescent="0.35">
      <c r="C70">
        <f>C69/$C$45</f>
        <v>9.577457344468665E-2</v>
      </c>
      <c r="D70" s="6"/>
      <c r="E70" s="6"/>
      <c r="F70" s="154" t="s">
        <v>212</v>
      </c>
      <c r="G70" s="2">
        <f>SUMIF($J$70:$J$77, F70,$L$70:$L$77)/$L$69</f>
        <v>0.62438314199623213</v>
      </c>
      <c r="H70" s="209" t="s">
        <v>292</v>
      </c>
      <c r="I70" s="5" t="s">
        <v>5</v>
      </c>
      <c r="J70" s="154" t="s">
        <v>212</v>
      </c>
      <c r="K70" s="6">
        <f>'Feedstock MIX per IVC'!J89</f>
        <v>115.98101375146399</v>
      </c>
      <c r="L70" s="2">
        <f>K70*F$69</f>
        <v>79848560.022637963</v>
      </c>
      <c r="M70" s="5" t="s">
        <v>245</v>
      </c>
      <c r="N70" s="174">
        <v>0.15</v>
      </c>
      <c r="O70" s="2">
        <f>N70*O$69</f>
        <v>70739505.34617126</v>
      </c>
      <c r="P70" s="18" t="s">
        <v>251</v>
      </c>
      <c r="Q70" s="123">
        <v>0.15</v>
      </c>
      <c r="R70" s="2">
        <f>Q70*R$69</f>
        <v>87107697.459117472</v>
      </c>
    </row>
    <row r="71" spans="1:19" x14ac:dyDescent="0.35">
      <c r="D71" s="6"/>
      <c r="E71" s="6"/>
      <c r="F71" s="178" t="s">
        <v>256</v>
      </c>
      <c r="G71" s="2">
        <f t="shared" ref="G71:G74" si="19">SUMIF($J$70:$J$77, F71,$L$70:$L$77)/$L$69</f>
        <v>0.16012453490850209</v>
      </c>
      <c r="H71" s="209" t="s">
        <v>292</v>
      </c>
      <c r="I71" s="5" t="s">
        <v>6</v>
      </c>
      <c r="J71" s="154" t="s">
        <v>212</v>
      </c>
      <c r="K71" s="6">
        <f>'Feedstock MIX per IVC'!J90</f>
        <v>6.0665214463321062</v>
      </c>
      <c r="L71" s="2">
        <f t="shared" ref="L71:L76" si="20">K71*F$69</f>
        <v>4176571.5453573987</v>
      </c>
      <c r="M71" t="s">
        <v>246</v>
      </c>
      <c r="N71" s="35">
        <v>0.02</v>
      </c>
      <c r="O71" s="2">
        <f t="shared" ref="O71:O75" si="21">N71*O$69</f>
        <v>9431934.0461561698</v>
      </c>
      <c r="P71" s="18" t="s">
        <v>210</v>
      </c>
      <c r="Q71" s="123">
        <v>0.25</v>
      </c>
      <c r="R71" s="2">
        <f>Q71*R$69</f>
        <v>145179495.76519579</v>
      </c>
    </row>
    <row r="72" spans="1:19" x14ac:dyDescent="0.35">
      <c r="D72" s="6"/>
      <c r="E72" s="6"/>
      <c r="F72" s="156" t="s">
        <v>209</v>
      </c>
      <c r="G72" s="2">
        <f t="shared" si="19"/>
        <v>0.19627646339915272</v>
      </c>
      <c r="H72" s="209" t="s">
        <v>292</v>
      </c>
      <c r="I72" s="5" t="s">
        <v>7</v>
      </c>
      <c r="J72" s="157" t="s">
        <v>211</v>
      </c>
      <c r="K72" s="6">
        <f>'Feedstock MIX per IVC'!J91</f>
        <v>3.0765693427595271</v>
      </c>
      <c r="L72" s="2">
        <f t="shared" si="20"/>
        <v>2118102.1262287516</v>
      </c>
      <c r="M72" s="5" t="s">
        <v>244</v>
      </c>
      <c r="N72" s="174">
        <v>0.45</v>
      </c>
      <c r="O72" s="2">
        <f t="shared" si="21"/>
        <v>212218516.03851381</v>
      </c>
      <c r="P72" s="18" t="s">
        <v>252</v>
      </c>
      <c r="Q72" s="123">
        <v>0.2</v>
      </c>
      <c r="R72" s="2">
        <f>Q72*R$69</f>
        <v>116143596.61215663</v>
      </c>
    </row>
    <row r="73" spans="1:19" x14ac:dyDescent="0.35">
      <c r="D73" s="6"/>
      <c r="E73" s="6"/>
      <c r="F73" s="157" t="s">
        <v>211</v>
      </c>
      <c r="G73" s="2">
        <f t="shared" si="19"/>
        <v>1.4558810372227202E-2</v>
      </c>
      <c r="H73" s="209" t="s">
        <v>292</v>
      </c>
      <c r="I73" s="5" t="s">
        <v>8</v>
      </c>
      <c r="J73" s="154" t="s">
        <v>212</v>
      </c>
      <c r="K73" s="6">
        <f>'Feedstock MIX per IVC'!J92</f>
        <v>5.8129923958756571</v>
      </c>
      <c r="L73" s="2">
        <f t="shared" si="20"/>
        <v>4002026.3422413529</v>
      </c>
      <c r="M73" t="s">
        <v>247</v>
      </c>
      <c r="N73" s="35">
        <v>0.1</v>
      </c>
      <c r="O73" s="2">
        <f t="shared" si="21"/>
        <v>47159670.230780847</v>
      </c>
      <c r="P73" s="18" t="s">
        <v>253</v>
      </c>
      <c r="Q73" s="123">
        <v>0.3</v>
      </c>
      <c r="R73" s="2">
        <f>Q73*R$69</f>
        <v>174215394.91823494</v>
      </c>
    </row>
    <row r="74" spans="1:19" x14ac:dyDescent="0.35">
      <c r="D74" s="6"/>
      <c r="E74" s="6"/>
      <c r="F74" s="159" t="s">
        <v>213</v>
      </c>
      <c r="G74" s="2">
        <f t="shared" si="19"/>
        <v>0</v>
      </c>
      <c r="H74" s="209" t="s">
        <v>292</v>
      </c>
      <c r="I74" s="5" t="s">
        <v>9</v>
      </c>
      <c r="J74" s="154" t="s">
        <v>212</v>
      </c>
      <c r="K74" s="6">
        <f>'Feedstock MIX per IVC'!J93</f>
        <v>4.0841838001898028</v>
      </c>
      <c r="L74" s="2">
        <f t="shared" si="20"/>
        <v>2811806.7325379336</v>
      </c>
      <c r="M74" t="s">
        <v>248</v>
      </c>
      <c r="N74" s="35">
        <v>0.25</v>
      </c>
      <c r="O74" s="2">
        <f t="shared" si="21"/>
        <v>117899175.57695211</v>
      </c>
      <c r="P74" s="18" t="s">
        <v>254</v>
      </c>
      <c r="Q74" s="123">
        <v>0.1</v>
      </c>
      <c r="R74" s="2">
        <f>Q74*R$69</f>
        <v>58071798.306078315</v>
      </c>
    </row>
    <row r="75" spans="1:19" x14ac:dyDescent="0.35">
      <c r="D75" s="6"/>
      <c r="E75" s="6"/>
      <c r="F75"/>
      <c r="G75" s="2"/>
      <c r="H75" s="209" t="s">
        <v>292</v>
      </c>
      <c r="I75" s="5" t="s">
        <v>10</v>
      </c>
      <c r="J75" s="178" t="s">
        <v>256</v>
      </c>
      <c r="K75" s="6">
        <f>'Feedstock MIX per IVC'!J94</f>
        <v>33.837533598410502</v>
      </c>
      <c r="L75" s="2">
        <f t="shared" si="20"/>
        <v>23295867.531737324</v>
      </c>
      <c r="M75" t="s">
        <v>250</v>
      </c>
      <c r="N75" s="35">
        <v>0.03</v>
      </c>
      <c r="O75" s="2">
        <f t="shared" si="21"/>
        <v>14147901.069234254</v>
      </c>
      <c r="Q75" s="35"/>
      <c r="R75" s="2"/>
    </row>
    <row r="76" spans="1:19" x14ac:dyDescent="0.35">
      <c r="D76" s="6"/>
      <c r="E76" s="6"/>
      <c r="F76" s="31"/>
      <c r="G76" s="2">
        <f>SUM(G70:G75)</f>
        <v>0.99534295067611411</v>
      </c>
      <c r="H76" s="209" t="s">
        <v>292</v>
      </c>
      <c r="I76" s="5" t="s">
        <v>11</v>
      </c>
      <c r="J76" s="156" t="s">
        <v>209</v>
      </c>
      <c r="K76" s="6">
        <f>'Feedstock MIX per IVC'!J95</f>
        <v>41.477162938465945</v>
      </c>
      <c r="L76" s="2">
        <f t="shared" si="20"/>
        <v>28555464.61731999</v>
      </c>
      <c r="M76" s="2"/>
      <c r="R76" s="2"/>
    </row>
    <row r="77" spans="1:19" x14ac:dyDescent="0.35">
      <c r="D77" s="6"/>
      <c r="E77" s="6"/>
      <c r="F77" s="31"/>
      <c r="G77" s="6"/>
      <c r="H77" s="209" t="s">
        <v>292</v>
      </c>
      <c r="I77" s="5" t="s">
        <v>12</v>
      </c>
      <c r="J77" s="159" t="s">
        <v>213</v>
      </c>
      <c r="K77" s="6">
        <f>'Feedstock MIX per IVC'!J96</f>
        <v>0</v>
      </c>
      <c r="L77" s="2">
        <f>K77*F$69</f>
        <v>0</v>
      </c>
    </row>
    <row r="78" spans="1:19" s="80" customFormat="1" x14ac:dyDescent="0.35">
      <c r="D78" s="92"/>
      <c r="E78" s="92"/>
      <c r="F78" s="230"/>
      <c r="G78" s="6"/>
      <c r="L78" s="92"/>
    </row>
    <row r="79" spans="1:19" s="80" customFormat="1" x14ac:dyDescent="0.35">
      <c r="F79" s="230"/>
      <c r="I79" s="80" t="s">
        <v>321</v>
      </c>
      <c r="L79" s="230">
        <f>SUM(L80:L85)</f>
        <v>1784238917.1748517</v>
      </c>
      <c r="M79" s="80" t="s">
        <v>214</v>
      </c>
      <c r="O79" s="92">
        <f>SUM(O80:O85)</f>
        <v>3745881135.0606108</v>
      </c>
      <c r="P79" s="80" t="s">
        <v>214</v>
      </c>
      <c r="R79" s="92">
        <f>SUM(R80:R84)</f>
        <v>3526791889.6150498</v>
      </c>
    </row>
    <row r="80" spans="1:19" x14ac:dyDescent="0.35">
      <c r="D80" s="2"/>
      <c r="E80" s="2"/>
      <c r="G80" s="2"/>
      <c r="H80" s="6"/>
      <c r="J80" s="154" t="s">
        <v>212</v>
      </c>
      <c r="L80" s="2">
        <f>L47+L48+L49+L61+L62+L64+L65+L70+L71+L73+L74</f>
        <v>846278927.12011647</v>
      </c>
      <c r="M80" s="5" t="s">
        <v>245</v>
      </c>
      <c r="O80" s="2">
        <f>O47+O54+O61+O70</f>
        <v>326110596.84820467</v>
      </c>
      <c r="P80" s="18" t="s">
        <v>251</v>
      </c>
      <c r="R80" s="2">
        <f>R47+R54+R61+R70</f>
        <v>614779631.87382865</v>
      </c>
    </row>
    <row r="81" spans="1:19" x14ac:dyDescent="0.35">
      <c r="D81" s="2"/>
      <c r="E81" s="2"/>
      <c r="G81" s="2"/>
      <c r="H81" s="6"/>
      <c r="J81" s="178" t="s">
        <v>256</v>
      </c>
      <c r="L81" s="2">
        <f>L75+L66</f>
        <v>94858003.256481171</v>
      </c>
      <c r="M81" t="s">
        <v>246</v>
      </c>
      <c r="O81" s="2">
        <f t="shared" ref="O81:O85" si="22">O48+O55+O62+O71</f>
        <v>74917622.701212227</v>
      </c>
      <c r="P81" s="18" t="s">
        <v>210</v>
      </c>
      <c r="R81" s="2">
        <f>R48+R55+R62+R71</f>
        <v>1310502214.5616183</v>
      </c>
    </row>
    <row r="82" spans="1:19" x14ac:dyDescent="0.35">
      <c r="D82" s="1"/>
      <c r="E82" s="1"/>
      <c r="G82" s="2"/>
      <c r="H82" s="6"/>
      <c r="J82" s="156" t="s">
        <v>209</v>
      </c>
      <c r="L82" s="2">
        <f>L67+L50+L76</f>
        <v>236249383.24221912</v>
      </c>
      <c r="M82" s="5" t="s">
        <v>244</v>
      </c>
      <c r="O82" s="2">
        <f t="shared" si="22"/>
        <v>1764237035.2475708</v>
      </c>
      <c r="P82" s="18" t="s">
        <v>252</v>
      </c>
      <c r="R82" s="2">
        <f t="shared" ref="R82:R84" si="23">R49+R56+R63+R72</f>
        <v>619597529.49143887</v>
      </c>
    </row>
    <row r="83" spans="1:19" x14ac:dyDescent="0.35">
      <c r="D83" s="1"/>
      <c r="E83" s="1"/>
      <c r="G83" s="2"/>
      <c r="H83" s="6"/>
      <c r="J83" s="157" t="s">
        <v>211</v>
      </c>
      <c r="L83" s="2">
        <f>L63+L72</f>
        <v>8624660.0652945414</v>
      </c>
      <c r="M83" t="s">
        <v>247</v>
      </c>
      <c r="O83" s="2">
        <f t="shared" si="22"/>
        <v>453178637.97635674</v>
      </c>
      <c r="P83" s="18" t="s">
        <v>253</v>
      </c>
      <c r="R83" s="2">
        <f t="shared" si="23"/>
        <v>714994173.15823042</v>
      </c>
    </row>
    <row r="84" spans="1:19" s="80" customFormat="1" x14ac:dyDescent="0.35">
      <c r="D84" s="92"/>
      <c r="E84" s="92"/>
      <c r="F84" s="230"/>
      <c r="G84" s="1"/>
      <c r="H84" s="6"/>
      <c r="J84" s="159" t="s">
        <v>213</v>
      </c>
      <c r="L84" s="92">
        <f>L68+L77</f>
        <v>0</v>
      </c>
      <c r="M84" t="s">
        <v>248</v>
      </c>
      <c r="O84" s="2">
        <f t="shared" si="22"/>
        <v>1015060808.2354484</v>
      </c>
      <c r="P84" s="18" t="s">
        <v>254</v>
      </c>
      <c r="R84" s="2">
        <f t="shared" si="23"/>
        <v>266918340.52993387</v>
      </c>
    </row>
    <row r="85" spans="1:19" s="80" customFormat="1" x14ac:dyDescent="0.35">
      <c r="D85" s="92"/>
      <c r="E85" s="92"/>
      <c r="F85" s="230"/>
      <c r="G85" s="1"/>
      <c r="H85" s="6"/>
      <c r="J85" s="207" t="s">
        <v>106</v>
      </c>
      <c r="L85" s="2">
        <f>L54</f>
        <v>598227943.4907403</v>
      </c>
      <c r="M85" t="s">
        <v>250</v>
      </c>
      <c r="O85" s="2">
        <f t="shared" si="22"/>
        <v>112376434.05181831</v>
      </c>
    </row>
    <row r="86" spans="1:19" s="93" customFormat="1" ht="32.5" customHeight="1" x14ac:dyDescent="0.35">
      <c r="A86" s="93" t="s">
        <v>106</v>
      </c>
      <c r="D86" s="231"/>
      <c r="E86" s="94"/>
      <c r="F86" s="176"/>
    </row>
    <row r="87" spans="1:19" s="18" customFormat="1" ht="16.5" customHeight="1" x14ac:dyDescent="0.35">
      <c r="C87" s="104">
        <f>C88+C98</f>
        <v>2120228707.0119448</v>
      </c>
      <c r="D87" s="104">
        <f>D88+D98</f>
        <v>1.9875021683250571</v>
      </c>
      <c r="E87" s="104"/>
      <c r="F87" s="104">
        <f>F88+F98</f>
        <v>1662924.4760877998</v>
      </c>
      <c r="L87" s="104">
        <f>L88+L98</f>
        <v>163261544.79356974</v>
      </c>
      <c r="O87" s="104">
        <f>O88+O98</f>
        <v>1168204444.4516792</v>
      </c>
      <c r="R87" s="104">
        <f>R88+R98</f>
        <v>665585521.55414176</v>
      </c>
    </row>
    <row r="88" spans="1:19" s="219" customFormat="1" x14ac:dyDescent="0.35">
      <c r="A88" s="219" t="s">
        <v>59</v>
      </c>
      <c r="B88" s="219">
        <v>1275</v>
      </c>
      <c r="C88" s="220">
        <f>B88*F88</f>
        <v>1060114353.5059724</v>
      </c>
      <c r="D88" s="219">
        <f>'[1]GAP analysis Sc. 2'!$C$132+'[1]GAP analysis Sc. 2'!$C$141</f>
        <v>0.99375108416252855</v>
      </c>
      <c r="E88" s="219">
        <f>'[2]Conversion factors selected IV '!$O$29</f>
        <v>0.83669064748201449</v>
      </c>
      <c r="F88" s="219">
        <f>D88*E88*1000000</f>
        <v>831462.23804389988</v>
      </c>
      <c r="G88" s="219">
        <f>'LCoP 2030 HIGH'!E10</f>
        <v>1029.7034823638371</v>
      </c>
      <c r="H88" s="219">
        <f>G88*F88</f>
        <v>856159561.9678334</v>
      </c>
      <c r="I88" s="219">
        <f>'LCoP 2030 HIGH'!H10</f>
        <v>-1.534084122926304E-2</v>
      </c>
      <c r="L88" s="219">
        <f>I88*H88</f>
        <v>-13134207.907063924</v>
      </c>
      <c r="M88" s="219">
        <f>'LCoP 2030 HIGH'!F10</f>
        <v>0.58754778473811975</v>
      </c>
      <c r="O88" s="219">
        <f>M88*H88</f>
        <v>503034654.01655948</v>
      </c>
      <c r="P88" s="243">
        <f>'LCoP 2030 HIGH'!G10</f>
        <v>0.42779305649114335</v>
      </c>
      <c r="R88" s="219">
        <f>P88*H88</f>
        <v>366259115.85833788</v>
      </c>
      <c r="S88" s="219">
        <f>L88+O88+R88</f>
        <v>856159561.96783352</v>
      </c>
    </row>
    <row r="89" spans="1:19" x14ac:dyDescent="0.35">
      <c r="C89">
        <f>C88/C87</f>
        <v>0.5</v>
      </c>
      <c r="D89" s="2"/>
      <c r="E89" s="2"/>
      <c r="G89" s="154" t="s">
        <v>212</v>
      </c>
      <c r="H89" s="2">
        <f>SUMIF($J$89:$J$97, G89,$L$89:$L$97)/$L$88</f>
        <v>-1.2300084378216753</v>
      </c>
      <c r="I89" s="5" t="s">
        <v>20</v>
      </c>
      <c r="J89" s="154" t="s">
        <v>212</v>
      </c>
      <c r="K89" s="6">
        <f>'Feedstock MIX per IVC'!J25</f>
        <v>0.89326982561933999</v>
      </c>
      <c r="L89" s="2">
        <f>K89*F$88</f>
        <v>742720.12838654057</v>
      </c>
      <c r="M89" s="5" t="s">
        <v>245</v>
      </c>
      <c r="N89" s="35">
        <v>0.05</v>
      </c>
      <c r="O89" s="2">
        <f>N89*O$88</f>
        <v>25151732.700827975</v>
      </c>
      <c r="P89" s="18" t="s">
        <v>251</v>
      </c>
      <c r="Q89" s="35">
        <v>0.2</v>
      </c>
      <c r="R89" s="2">
        <f>Q89*R$88</f>
        <v>73251823.171667576</v>
      </c>
    </row>
    <row r="90" spans="1:19" x14ac:dyDescent="0.35">
      <c r="D90" s="2"/>
      <c r="E90" s="2"/>
      <c r="G90" s="159" t="s">
        <v>213</v>
      </c>
      <c r="H90" s="2">
        <f t="shared" ref="H90:H95" si="24">SUMIF($J$89:$J$97, G90,$L$89:$L$97)/$L$88</f>
        <v>2.5334434664742989</v>
      </c>
      <c r="I90" s="5" t="s">
        <v>8</v>
      </c>
      <c r="J90" s="154" t="s">
        <v>212</v>
      </c>
      <c r="K90" s="6">
        <f>'Feedstock MIX per IVC'!J26</f>
        <v>0.85601008031509007</v>
      </c>
      <c r="L90" s="2">
        <f t="shared" ref="L90:L97" si="25">K90*F$88</f>
        <v>711740.0571669233</v>
      </c>
      <c r="M90" t="s">
        <v>246</v>
      </c>
      <c r="N90" s="35">
        <v>0.02</v>
      </c>
      <c r="O90" s="2">
        <f t="shared" ref="O90:O94" si="26">N90*O$88</f>
        <v>10060693.08033119</v>
      </c>
      <c r="P90" s="18" t="s">
        <v>210</v>
      </c>
      <c r="Q90" s="35">
        <v>0.5</v>
      </c>
      <c r="R90" s="2">
        <f t="shared" ref="R90:R93" si="27">Q90*R$88</f>
        <v>183129557.92916894</v>
      </c>
    </row>
    <row r="91" spans="1:19" x14ac:dyDescent="0.35">
      <c r="D91" s="2"/>
      <c r="E91" s="2"/>
      <c r="G91" s="157" t="s">
        <v>211</v>
      </c>
      <c r="H91" s="2">
        <f t="shared" si="24"/>
        <v>-0.27065849773126127</v>
      </c>
      <c r="I91" s="5" t="s">
        <v>9</v>
      </c>
      <c r="J91" s="154" t="s">
        <v>212</v>
      </c>
      <c r="K91" s="6">
        <f>'Feedstock MIX per IVC'!J27</f>
        <v>0.60142905146453718</v>
      </c>
      <c r="L91" s="2">
        <f t="shared" si="25"/>
        <v>500065.54515532393</v>
      </c>
      <c r="M91" s="5" t="s">
        <v>244</v>
      </c>
      <c r="N91" s="35">
        <v>0.4</v>
      </c>
      <c r="O91" s="2">
        <f t="shared" si="26"/>
        <v>201213861.6066238</v>
      </c>
      <c r="P91" s="18" t="s">
        <v>252</v>
      </c>
      <c r="Q91" s="35">
        <v>0.15</v>
      </c>
      <c r="R91" s="2">
        <f t="shared" si="27"/>
        <v>54938867.378750682</v>
      </c>
    </row>
    <row r="92" spans="1:19" x14ac:dyDescent="0.35">
      <c r="D92" s="2"/>
      <c r="E92" s="2"/>
      <c r="G92" s="178" t="s">
        <v>256</v>
      </c>
      <c r="H92" s="2">
        <f t="shared" si="24"/>
        <v>0</v>
      </c>
      <c r="I92" s="5" t="s">
        <v>21</v>
      </c>
      <c r="J92" s="157" t="s">
        <v>211</v>
      </c>
      <c r="K92" s="6">
        <f>'Feedstock MIX per IVC'!J28</f>
        <v>4.2754617327892195</v>
      </c>
      <c r="L92" s="2">
        <f t="shared" si="25"/>
        <v>3554884.9810159747</v>
      </c>
      <c r="M92" t="s">
        <v>247</v>
      </c>
      <c r="N92" s="35">
        <v>0.3</v>
      </c>
      <c r="O92" s="2">
        <f t="shared" si="26"/>
        <v>150910396.20496783</v>
      </c>
      <c r="P92" s="18" t="s">
        <v>253</v>
      </c>
      <c r="Q92" s="35">
        <v>0.1</v>
      </c>
      <c r="R92" s="2">
        <f t="shared" si="27"/>
        <v>36625911.585833788</v>
      </c>
    </row>
    <row r="93" spans="1:19" x14ac:dyDescent="0.35">
      <c r="D93" s="2"/>
      <c r="E93" s="2"/>
      <c r="G93" s="156" t="s">
        <v>209</v>
      </c>
      <c r="H93" s="2">
        <f t="shared" si="24"/>
        <v>0</v>
      </c>
      <c r="I93" s="5" t="s">
        <v>5</v>
      </c>
      <c r="J93" s="154" t="s">
        <v>212</v>
      </c>
      <c r="K93" s="6">
        <f>'Feedstock MIX per IVC'!J29</f>
        <v>17.079141023280282</v>
      </c>
      <c r="L93" s="2">
        <f t="shared" si="25"/>
        <v>14200660.819084005</v>
      </c>
      <c r="M93" t="s">
        <v>248</v>
      </c>
      <c r="N93" s="35">
        <v>0.2</v>
      </c>
      <c r="O93" s="2">
        <f t="shared" si="26"/>
        <v>100606930.8033119</v>
      </c>
      <c r="P93" s="18" t="s">
        <v>254</v>
      </c>
      <c r="Q93" s="35">
        <v>0.05</v>
      </c>
      <c r="R93" s="2">
        <f t="shared" si="27"/>
        <v>18312955.792916894</v>
      </c>
    </row>
    <row r="94" spans="1:19" x14ac:dyDescent="0.35">
      <c r="D94" s="2"/>
      <c r="E94" s="2"/>
      <c r="G94" s="258" t="s">
        <v>298</v>
      </c>
      <c r="H94" s="2">
        <f t="shared" si="24"/>
        <v>-3.2776530921362464E-2</v>
      </c>
      <c r="I94" s="5" t="s">
        <v>22</v>
      </c>
      <c r="J94" s="154" t="s">
        <v>212</v>
      </c>
      <c r="K94" s="6">
        <f>'Feedstock MIX per IVC'!J30</f>
        <v>0</v>
      </c>
      <c r="L94" s="2">
        <f t="shared" si="25"/>
        <v>0</v>
      </c>
      <c r="M94" t="s">
        <v>250</v>
      </c>
      <c r="N94" s="35">
        <v>0.03</v>
      </c>
      <c r="O94" s="2">
        <f t="shared" si="26"/>
        <v>15091039.620496783</v>
      </c>
      <c r="R94" s="2"/>
    </row>
    <row r="95" spans="1:19" x14ac:dyDescent="0.35">
      <c r="D95" s="2"/>
      <c r="E95" s="2"/>
      <c r="G95" s="158" t="s">
        <v>104</v>
      </c>
      <c r="H95" s="2">
        <f t="shared" si="24"/>
        <v>0</v>
      </c>
      <c r="I95" s="5" t="s">
        <v>23</v>
      </c>
      <c r="J95" s="159" t="s">
        <v>213</v>
      </c>
      <c r="K95" s="6">
        <f>'Feedstock MIX per IVC'!J31</f>
        <v>0</v>
      </c>
      <c r="L95" s="2">
        <f t="shared" si="25"/>
        <v>0</v>
      </c>
      <c r="N95" s="35">
        <f>SUM(N89:N94)</f>
        <v>1</v>
      </c>
      <c r="O95" s="2"/>
    </row>
    <row r="96" spans="1:19" x14ac:dyDescent="0.35">
      <c r="D96" s="2"/>
      <c r="E96" s="2"/>
      <c r="H96" s="2">
        <f>SUM(H89:H95)</f>
        <v>0.99999999999999967</v>
      </c>
      <c r="I96" s="12" t="s">
        <v>24</v>
      </c>
      <c r="J96" s="159" t="s">
        <v>213</v>
      </c>
      <c r="K96" s="6">
        <f>'Feedstock MIX per IVC'!J32</f>
        <v>-40.019584398382889</v>
      </c>
      <c r="L96" s="2">
        <f t="shared" si="25"/>
        <v>-33274773.209466174</v>
      </c>
      <c r="M96" s="2"/>
    </row>
    <row r="97" spans="1:18" s="80" customFormat="1" x14ac:dyDescent="0.35">
      <c r="D97" s="95"/>
      <c r="E97" s="95"/>
      <c r="F97" s="230"/>
      <c r="G97" s="237"/>
      <c r="I97" s="13" t="s">
        <v>25</v>
      </c>
      <c r="J97" s="258" t="s">
        <v>298</v>
      </c>
      <c r="K97" s="6">
        <f>'Feedstock MIX per IVC'!J33</f>
        <v>0.51775504875154021</v>
      </c>
      <c r="L97" s="2">
        <f t="shared" si="25"/>
        <v>430493.7715934841</v>
      </c>
    </row>
    <row r="98" spans="1:18" s="219" customFormat="1" x14ac:dyDescent="0.35">
      <c r="A98" s="219" t="s">
        <v>60</v>
      </c>
      <c r="B98" s="219">
        <v>1275</v>
      </c>
      <c r="C98" s="220">
        <f>B98*F98</f>
        <v>1060114353.5059724</v>
      </c>
      <c r="D98" s="219">
        <f>'[1]GAP analysis Sc. 2'!$C$133+'[1]GAP analysis Sc. 2'!$C$142</f>
        <v>0.99375108416252855</v>
      </c>
      <c r="E98" s="219">
        <f>'[2]Conversion factors selected IV '!$O$52</f>
        <v>0.83669064748201449</v>
      </c>
      <c r="F98" s="219">
        <f>D98*E98*1000000</f>
        <v>831462.23804389988</v>
      </c>
      <c r="G98" s="219">
        <f>'LCoP 2030 HIGH'!E14</f>
        <v>1372.151249485031</v>
      </c>
      <c r="H98" s="219">
        <f>G98*F98</f>
        <v>1140891948.8315575</v>
      </c>
      <c r="I98" s="219">
        <f>'LCoP 2030 HIGH'!H14</f>
        <v>0.15461214612066382</v>
      </c>
      <c r="L98" s="219">
        <f>I98*H98</f>
        <v>176395752.70063367</v>
      </c>
      <c r="M98" s="219">
        <f>'LCoP 2030 HIGH'!F14</f>
        <v>0.58302610612368011</v>
      </c>
      <c r="O98" s="219">
        <f>M98*H98</f>
        <v>665169790.43511987</v>
      </c>
      <c r="P98" s="219">
        <f>'LCoP 2030 HIGH'!G14</f>
        <v>0.26236174775565607</v>
      </c>
      <c r="R98" s="219">
        <f>P98*H98</f>
        <v>299326405.69580394</v>
      </c>
    </row>
    <row r="99" spans="1:18" s="80" customFormat="1" x14ac:dyDescent="0.35">
      <c r="C99" s="80">
        <f>C98/C87</f>
        <v>0.5</v>
      </c>
      <c r="D99" s="95"/>
      <c r="E99" s="95"/>
      <c r="F99" s="230"/>
      <c r="G99" s="154" t="s">
        <v>212</v>
      </c>
      <c r="H99" s="2">
        <f>SUMIF($J$99:$J$108, G99,$L$99:$L$108)/$L$98</f>
        <v>0.63136317402952113</v>
      </c>
      <c r="I99" s="5" t="s">
        <v>5</v>
      </c>
      <c r="J99" s="154" t="s">
        <v>212</v>
      </c>
      <c r="K99" s="6">
        <f>'Feedstock MIX per IVC'!J50</f>
        <v>117.73884028764297</v>
      </c>
      <c r="L99" s="2">
        <f>K99*F$98</f>
        <v>97895399.650256917</v>
      </c>
      <c r="M99" s="5" t="s">
        <v>245</v>
      </c>
      <c r="N99" s="35">
        <v>0</v>
      </c>
      <c r="O99" s="2">
        <f>N99*O$98</f>
        <v>0</v>
      </c>
      <c r="P99" s="18" t="s">
        <v>251</v>
      </c>
      <c r="Q99" s="35">
        <v>0.25</v>
      </c>
      <c r="R99" s="2">
        <f>Q99*R$98</f>
        <v>74831601.423950985</v>
      </c>
    </row>
    <row r="100" spans="1:18" s="80" customFormat="1" x14ac:dyDescent="0.35">
      <c r="D100" s="95"/>
      <c r="E100" s="95"/>
      <c r="F100" s="230"/>
      <c r="G100" s="159" t="s">
        <v>213</v>
      </c>
      <c r="H100" s="2">
        <f t="shared" ref="H100:H104" si="28">SUMIF($J$99:$J$108, G100,$L$99:$L$108)/$L$98</f>
        <v>0</v>
      </c>
      <c r="I100" s="5" t="s">
        <v>6</v>
      </c>
      <c r="J100" s="154" t="s">
        <v>212</v>
      </c>
      <c r="K100" s="6">
        <f>'Feedstock MIX per IVC'!J51</f>
        <v>6.1584666021445331</v>
      </c>
      <c r="L100" s="2">
        <f t="shared" ref="L100:L108" si="29">K100*F$98</f>
        <v>5120532.4239377053</v>
      </c>
      <c r="M100" t="s">
        <v>246</v>
      </c>
      <c r="N100" s="35">
        <v>0.02</v>
      </c>
      <c r="O100" s="2">
        <f t="shared" ref="O100:O104" si="30">N100*O$98</f>
        <v>13303395.808702398</v>
      </c>
      <c r="P100" s="18" t="s">
        <v>210</v>
      </c>
      <c r="Q100" s="35">
        <v>0.15</v>
      </c>
      <c r="R100" s="2">
        <f t="shared" ref="R100:R103" si="31">Q100*R$98</f>
        <v>44898960.854370587</v>
      </c>
    </row>
    <row r="101" spans="1:18" s="80" customFormat="1" x14ac:dyDescent="0.35">
      <c r="D101" s="95"/>
      <c r="E101" s="95"/>
      <c r="F101" s="230"/>
      <c r="G101" s="157" t="s">
        <v>211</v>
      </c>
      <c r="H101" s="2">
        <f t="shared" si="28"/>
        <v>1.4721564546594934E-2</v>
      </c>
      <c r="I101" s="5" t="s">
        <v>23</v>
      </c>
      <c r="J101" s="159" t="s">
        <v>213</v>
      </c>
      <c r="K101" s="6">
        <f>'Feedstock MIX per IVC'!J52</f>
        <v>0</v>
      </c>
      <c r="L101" s="2">
        <f t="shared" si="29"/>
        <v>0</v>
      </c>
      <c r="M101" s="5" t="s">
        <v>244</v>
      </c>
      <c r="N101" s="35">
        <v>0.55000000000000004</v>
      </c>
      <c r="O101" s="2">
        <f t="shared" si="30"/>
        <v>365843384.73931593</v>
      </c>
      <c r="P101" s="18" t="s">
        <v>252</v>
      </c>
      <c r="Q101" s="35">
        <v>0.3</v>
      </c>
      <c r="R101" s="2">
        <f t="shared" si="31"/>
        <v>89797921.708741173</v>
      </c>
    </row>
    <row r="102" spans="1:18" s="80" customFormat="1" x14ac:dyDescent="0.35">
      <c r="D102" s="95"/>
      <c r="E102" s="95"/>
      <c r="F102" s="230"/>
      <c r="G102" s="178" t="s">
        <v>256</v>
      </c>
      <c r="H102" s="2">
        <f t="shared" si="28"/>
        <v>0.15095068681282592</v>
      </c>
      <c r="I102" s="5" t="s">
        <v>7</v>
      </c>
      <c r="J102" s="157" t="s">
        <v>211</v>
      </c>
      <c r="K102" s="6">
        <f>'Feedstock MIX per IVC'!J53</f>
        <v>3.1231983129346497</v>
      </c>
      <c r="L102" s="2">
        <f t="shared" si="29"/>
        <v>2596821.4591275761</v>
      </c>
      <c r="M102" t="s">
        <v>247</v>
      </c>
      <c r="N102" s="35">
        <v>0.1</v>
      </c>
      <c r="O102" s="2">
        <f t="shared" si="30"/>
        <v>66516979.043511987</v>
      </c>
      <c r="P102" s="18" t="s">
        <v>253</v>
      </c>
      <c r="Q102" s="35">
        <v>0.3</v>
      </c>
      <c r="R102" s="2">
        <f t="shared" si="31"/>
        <v>89797921.708741173</v>
      </c>
    </row>
    <row r="103" spans="1:18" s="80" customFormat="1" x14ac:dyDescent="0.35">
      <c r="D103" s="95"/>
      <c r="E103" s="95"/>
      <c r="F103" s="230"/>
      <c r="G103" s="156" t="s">
        <v>209</v>
      </c>
      <c r="H103" s="2">
        <f t="shared" si="28"/>
        <v>0.18503140054223779</v>
      </c>
      <c r="I103" s="5" t="s">
        <v>8</v>
      </c>
      <c r="J103" s="154" t="s">
        <v>212</v>
      </c>
      <c r="K103" s="6">
        <f>'Feedstock MIX per IVC'!J54</f>
        <v>5.9010950254144312</v>
      </c>
      <c r="L103" s="2">
        <f t="shared" si="29"/>
        <v>4906537.6767408075</v>
      </c>
      <c r="M103" t="s">
        <v>248</v>
      </c>
      <c r="N103" s="35">
        <v>0.3</v>
      </c>
      <c r="O103" s="2">
        <f t="shared" si="30"/>
        <v>199550937.13053596</v>
      </c>
      <c r="P103" s="18" t="s">
        <v>254</v>
      </c>
      <c r="Q103" s="240">
        <v>0</v>
      </c>
      <c r="R103" s="2">
        <f t="shared" si="31"/>
        <v>0</v>
      </c>
    </row>
    <row r="104" spans="1:18" s="80" customFormat="1" x14ac:dyDescent="0.35">
      <c r="D104" s="95"/>
      <c r="E104" s="95"/>
      <c r="F104" s="230"/>
      <c r="G104" s="258" t="s">
        <v>298</v>
      </c>
      <c r="H104" s="2">
        <f t="shared" si="28"/>
        <v>0</v>
      </c>
      <c r="I104" s="5" t="s">
        <v>9</v>
      </c>
      <c r="J104" s="154" t="s">
        <v>212</v>
      </c>
      <c r="K104" s="6">
        <f>'Feedstock MIX per IVC'!J55</f>
        <v>4.1460843339960558</v>
      </c>
      <c r="L104" s="2">
        <f t="shared" si="29"/>
        <v>3447312.5594631126</v>
      </c>
      <c r="M104" t="s">
        <v>250</v>
      </c>
      <c r="N104" s="35">
        <v>0.03</v>
      </c>
      <c r="O104" s="2">
        <f t="shared" si="30"/>
        <v>19955093.713053595</v>
      </c>
      <c r="R104"/>
    </row>
    <row r="105" spans="1:18" s="80" customFormat="1" x14ac:dyDescent="0.35">
      <c r="D105" s="95"/>
      <c r="E105" s="95"/>
      <c r="F105" s="230"/>
      <c r="G105" s="158" t="s">
        <v>104</v>
      </c>
      <c r="H105" s="2">
        <f>SUMIF($J$99:$J$108, G105,$L$99:$L$108)/$L$98/2</f>
        <v>8.9665870344102071E-3</v>
      </c>
      <c r="I105" s="5" t="s">
        <v>10</v>
      </c>
      <c r="J105" s="178" t="s">
        <v>256</v>
      </c>
      <c r="K105" s="6">
        <f>'Feedstock MIX per IVC'!J56</f>
        <v>32.024376817964615</v>
      </c>
      <c r="L105" s="2">
        <f t="shared" si="29"/>
        <v>26627060.021026045</v>
      </c>
      <c r="M105" s="80" t="s">
        <v>361</v>
      </c>
      <c r="O105" s="92">
        <f>SUM(O99:O104)</f>
        <v>665169790.43511987</v>
      </c>
      <c r="R105" s="92">
        <f>SUM(R99:R104)</f>
        <v>299326405.69580394</v>
      </c>
    </row>
    <row r="106" spans="1:18" s="80" customFormat="1" x14ac:dyDescent="0.35">
      <c r="D106" s="95"/>
      <c r="E106" s="95"/>
      <c r="F106" s="230"/>
      <c r="G106" s="207" t="s">
        <v>426</v>
      </c>
      <c r="H106" s="2">
        <f>H105</f>
        <v>8.9665870344102071E-3</v>
      </c>
      <c r="I106" s="5" t="s">
        <v>11</v>
      </c>
      <c r="J106" s="156" t="s">
        <v>209</v>
      </c>
      <c r="K106" s="6">
        <f>'Feedstock MIX per IVC'!J57</f>
        <v>39.254642819000999</v>
      </c>
      <c r="L106" s="2">
        <f t="shared" si="29"/>
        <v>32638753.171900474</v>
      </c>
    </row>
    <row r="107" spans="1:18" s="80" customFormat="1" x14ac:dyDescent="0.35">
      <c r="D107" s="95"/>
      <c r="E107" s="95"/>
      <c r="F107" s="230"/>
      <c r="G107" s="237"/>
      <c r="H107" s="92">
        <f>SUM(H99:H106)</f>
        <v>1.0000000000000002</v>
      </c>
      <c r="I107" s="5" t="s">
        <v>12</v>
      </c>
      <c r="J107" s="159" t="s">
        <v>213</v>
      </c>
      <c r="K107" s="6">
        <f>'Feedstock MIX per IVC'!J58</f>
        <v>0</v>
      </c>
      <c r="L107" s="2">
        <f t="shared" si="29"/>
        <v>0</v>
      </c>
    </row>
    <row r="108" spans="1:18" s="80" customFormat="1" x14ac:dyDescent="0.35">
      <c r="D108" s="95"/>
      <c r="E108" s="95"/>
      <c r="F108" s="230"/>
      <c r="G108" s="237"/>
      <c r="I108" s="13" t="s">
        <v>33</v>
      </c>
      <c r="J108" s="158" t="s">
        <v>104</v>
      </c>
      <c r="K108" s="6">
        <f>'Feedstock MIX per IVC'!J59</f>
        <v>3.8045452859328091</v>
      </c>
      <c r="L108" s="2">
        <f t="shared" si="29"/>
        <v>3163335.7381810625</v>
      </c>
    </row>
    <row r="109" spans="1:18" s="80" customFormat="1" x14ac:dyDescent="0.35">
      <c r="D109" s="95"/>
      <c r="E109" s="95"/>
      <c r="F109" s="230"/>
      <c r="G109" s="237"/>
      <c r="I109" s="14"/>
      <c r="K109" s="6" t="s">
        <v>360</v>
      </c>
      <c r="L109" s="2">
        <f>SUM(L99:L108)</f>
        <v>176395752.7006337</v>
      </c>
    </row>
    <row r="110" spans="1:18" s="80" customFormat="1" x14ac:dyDescent="0.35">
      <c r="D110" s="95"/>
      <c r="E110" s="95"/>
      <c r="F110" s="230"/>
      <c r="G110" s="237"/>
      <c r="I110" s="14"/>
      <c r="K110" s="6"/>
      <c r="L110" s="2"/>
    </row>
    <row r="111" spans="1:18" s="80" customFormat="1" x14ac:dyDescent="0.35">
      <c r="D111" s="95"/>
      <c r="E111" s="95"/>
      <c r="F111" s="230"/>
      <c r="G111" s="237"/>
      <c r="I111" s="152" t="s">
        <v>214</v>
      </c>
      <c r="K111" s="6"/>
      <c r="L111" s="2"/>
    </row>
    <row r="112" spans="1:18" s="80" customFormat="1" x14ac:dyDescent="0.35">
      <c r="D112" s="95"/>
      <c r="E112" s="95"/>
      <c r="F112" s="230"/>
      <c r="G112" s="237"/>
      <c r="I112" s="14"/>
      <c r="J112" s="154" t="s">
        <v>212</v>
      </c>
      <c r="K112" s="6"/>
      <c r="L112" s="2">
        <f>L89+L90+L91+L93+L94+L99+L100+L103+L104</f>
        <v>127524968.86019135</v>
      </c>
      <c r="M112" s="5" t="s">
        <v>245</v>
      </c>
      <c r="O112" s="2">
        <f>O89+O99</f>
        <v>25151732.700827975</v>
      </c>
      <c r="P112" s="18" t="s">
        <v>251</v>
      </c>
      <c r="R112" s="2">
        <f>R89+R99</f>
        <v>148083424.59561855</v>
      </c>
    </row>
    <row r="113" spans="1:19" s="80" customFormat="1" x14ac:dyDescent="0.35">
      <c r="D113" s="95"/>
      <c r="E113" s="95"/>
      <c r="F113" s="230"/>
      <c r="G113" s="237"/>
      <c r="I113" s="14"/>
      <c r="J113" s="159" t="s">
        <v>213</v>
      </c>
      <c r="K113" s="6"/>
      <c r="L113" s="2">
        <f>L95+L96+L101+L107</f>
        <v>-33274773.209466174</v>
      </c>
      <c r="M113" t="s">
        <v>246</v>
      </c>
      <c r="O113" s="2">
        <f t="shared" ref="O113:O117" si="32">O90+O100</f>
        <v>23364088.889033586</v>
      </c>
      <c r="P113" s="18" t="s">
        <v>210</v>
      </c>
      <c r="R113" s="2">
        <f t="shared" ref="R113:R116" si="33">R90+R100</f>
        <v>228028518.78353953</v>
      </c>
    </row>
    <row r="114" spans="1:19" s="80" customFormat="1" x14ac:dyDescent="0.35">
      <c r="D114" s="95"/>
      <c r="E114" s="95"/>
      <c r="F114" s="230"/>
      <c r="G114" s="237"/>
      <c r="I114" s="14"/>
      <c r="J114" s="157" t="s">
        <v>211</v>
      </c>
      <c r="K114" s="6"/>
      <c r="L114" s="2">
        <f>L92+L102</f>
        <v>6151706.4401435507</v>
      </c>
      <c r="M114" s="5" t="s">
        <v>244</v>
      </c>
      <c r="O114" s="2">
        <f t="shared" si="32"/>
        <v>567057246.34593976</v>
      </c>
      <c r="P114" s="18" t="s">
        <v>252</v>
      </c>
      <c r="R114" s="2">
        <f t="shared" si="33"/>
        <v>144736789.08749187</v>
      </c>
    </row>
    <row r="115" spans="1:19" s="80" customFormat="1" x14ac:dyDescent="0.35">
      <c r="D115" s="95"/>
      <c r="E115" s="95"/>
      <c r="F115" s="230"/>
      <c r="G115" s="237"/>
      <c r="I115" s="14"/>
      <c r="J115" s="178" t="s">
        <v>256</v>
      </c>
      <c r="K115" s="6"/>
      <c r="L115" s="2">
        <f>L105</f>
        <v>26627060.021026045</v>
      </c>
      <c r="M115" t="s">
        <v>247</v>
      </c>
      <c r="O115" s="2">
        <f t="shared" si="32"/>
        <v>217427375.24847981</v>
      </c>
      <c r="P115" s="18" t="s">
        <v>253</v>
      </c>
      <c r="R115" s="2">
        <f t="shared" si="33"/>
        <v>126423833.29457496</v>
      </c>
    </row>
    <row r="116" spans="1:19" s="80" customFormat="1" x14ac:dyDescent="0.35">
      <c r="D116" s="95"/>
      <c r="E116" s="95"/>
      <c r="F116" s="230"/>
      <c r="G116" s="237"/>
      <c r="I116" s="14"/>
      <c r="J116" s="156" t="s">
        <v>209</v>
      </c>
      <c r="K116" s="6"/>
      <c r="L116" s="2">
        <f>L106</f>
        <v>32638753.171900474</v>
      </c>
      <c r="M116" t="s">
        <v>248</v>
      </c>
      <c r="O116" s="2">
        <f t="shared" si="32"/>
        <v>300157867.93384784</v>
      </c>
      <c r="P116" s="18" t="s">
        <v>254</v>
      </c>
      <c r="R116" s="2">
        <f t="shared" si="33"/>
        <v>18312955.792916894</v>
      </c>
    </row>
    <row r="117" spans="1:19" s="80" customFormat="1" x14ac:dyDescent="0.35">
      <c r="D117" s="95"/>
      <c r="E117" s="95"/>
      <c r="F117" s="230"/>
      <c r="G117" s="237"/>
      <c r="I117" s="14" t="s">
        <v>144</v>
      </c>
      <c r="J117" s="258" t="s">
        <v>298</v>
      </c>
      <c r="K117" s="6"/>
      <c r="L117" s="2">
        <f>L97+L108</f>
        <v>3593829.5097745466</v>
      </c>
      <c r="M117" t="s">
        <v>250</v>
      </c>
      <c r="O117" s="2">
        <f t="shared" si="32"/>
        <v>35046133.333550379</v>
      </c>
    </row>
    <row r="118" spans="1:19" s="80" customFormat="1" x14ac:dyDescent="0.35">
      <c r="D118" s="95"/>
      <c r="E118" s="95"/>
      <c r="F118" s="230"/>
      <c r="G118" s="237"/>
      <c r="J118" s="158" t="s">
        <v>104</v>
      </c>
      <c r="O118" s="2">
        <f>SUM(O112:O117)</f>
        <v>1168204444.4516795</v>
      </c>
      <c r="R118" s="2">
        <f>SUM(R112:R117)</f>
        <v>665585521.55414176</v>
      </c>
    </row>
    <row r="119" spans="1:19" s="80" customFormat="1" x14ac:dyDescent="0.35">
      <c r="D119" s="95"/>
      <c r="E119" s="95"/>
      <c r="F119" s="230"/>
      <c r="G119" s="237"/>
      <c r="I119" s="152" t="s">
        <v>360</v>
      </c>
      <c r="K119" s="6"/>
      <c r="L119" s="2">
        <f>SUM(L112:L117)</f>
        <v>163261544.79356977</v>
      </c>
    </row>
    <row r="120" spans="1:19" s="80" customFormat="1" x14ac:dyDescent="0.35">
      <c r="D120" s="95"/>
      <c r="E120" s="95"/>
      <c r="F120" s="230"/>
      <c r="G120" s="237"/>
      <c r="I120" s="14"/>
      <c r="K120" s="6"/>
      <c r="L120" s="2"/>
    </row>
    <row r="121" spans="1:19" s="93" customFormat="1" ht="26" customHeight="1" x14ac:dyDescent="0.35">
      <c r="A121" s="93" t="s">
        <v>107</v>
      </c>
      <c r="D121" s="94"/>
      <c r="E121" s="94"/>
      <c r="F121" s="176"/>
      <c r="I121" s="96"/>
    </row>
    <row r="122" spans="1:19" ht="16" customHeight="1" x14ac:dyDescent="0.35">
      <c r="C122" s="2">
        <f>C123+C130+C137+C150</f>
        <v>8244827779.7994766</v>
      </c>
      <c r="D122" s="2"/>
      <c r="E122" s="2"/>
      <c r="F122" s="2">
        <f>F123+F130+F137+F150</f>
        <v>3464213.3528569229</v>
      </c>
      <c r="I122" s="6"/>
      <c r="L122" s="92">
        <f>SUM(L124:L127)+SUM(L138:L147)</f>
        <v>819469627.30620968</v>
      </c>
      <c r="M122" s="2"/>
      <c r="O122" s="92">
        <f>SUM(O124:O129)+SUM(O138:O147)</f>
        <v>678708492.05850124</v>
      </c>
      <c r="R122" s="92">
        <f>SUM(R124:R129)+SUM(R138:R147)</f>
        <v>665253671.67984939</v>
      </c>
    </row>
    <row r="123" spans="1:19" s="219" customFormat="1" x14ac:dyDescent="0.35">
      <c r="A123" s="219" t="s">
        <v>91</v>
      </c>
      <c r="B123" s="219">
        <v>2380</v>
      </c>
      <c r="C123" s="220">
        <f>B123*F123</f>
        <v>1624353997.8517456</v>
      </c>
      <c r="D123" s="219">
        <f>'[1]GAP analysis Sc. 2'!$C$144</f>
        <v>0.70095472031371353</v>
      </c>
      <c r="E123" s="219">
        <f>'[2]Conversion factors selected IV '!$O$78</f>
        <v>0.97367441860465131</v>
      </c>
      <c r="F123" s="219">
        <f>D123*E123*1000000</f>
        <v>682501.67976964102</v>
      </c>
      <c r="G123" s="219">
        <f>'LCoP 2030 HIGH'!E4</f>
        <v>1896.9094630842587</v>
      </c>
      <c r="H123" s="219">
        <f>G123*F123</f>
        <v>1294643894.9259346</v>
      </c>
      <c r="I123" s="219">
        <f>'LCoP 2030 HIGH'!H4</f>
        <v>0.50340276205467094</v>
      </c>
      <c r="L123" s="219">
        <f>I123*H123</f>
        <v>651727312.58293259</v>
      </c>
      <c r="M123" s="219">
        <f>'LCoP 2030 HIGH'!F4</f>
        <v>0.19821715654718017</v>
      </c>
      <c r="O123" s="219">
        <f>M123*H123</f>
        <v>256620631.59338504</v>
      </c>
      <c r="P123" s="243">
        <f>'LCoP 2030 HIGH'!G4</f>
        <v>0.29838008139814887</v>
      </c>
      <c r="R123" s="219">
        <f>P123*H123</f>
        <v>386295950.74961686</v>
      </c>
      <c r="S123" s="219">
        <f>L123+O123+R123</f>
        <v>1294643894.9259346</v>
      </c>
    </row>
    <row r="124" spans="1:19" x14ac:dyDescent="0.35">
      <c r="C124">
        <f>C123/$C$122</f>
        <v>0.19701490937525099</v>
      </c>
      <c r="D124" s="2"/>
      <c r="E124" s="2"/>
      <c r="G124" s="154" t="s">
        <v>212</v>
      </c>
      <c r="H124" s="2">
        <f>SUMIF($J$124:$J$127,G124,$L$124:$L$127)/$L$123</f>
        <v>0.70197315346193834</v>
      </c>
      <c r="I124" s="4" t="s">
        <v>2</v>
      </c>
      <c r="J124" s="154" t="s">
        <v>212</v>
      </c>
      <c r="K124" s="6">
        <f>'Feedstock MIX per IVC'!J9</f>
        <v>499.57299247876324</v>
      </c>
      <c r="L124" s="2">
        <f>K124*F$123</f>
        <v>340959406.53430218</v>
      </c>
      <c r="M124" s="5" t="s">
        <v>245</v>
      </c>
      <c r="N124" s="123">
        <v>0.05</v>
      </c>
      <c r="O124" s="2">
        <f>N124*O$123</f>
        <v>12831031.579669252</v>
      </c>
      <c r="P124" s="18" t="s">
        <v>251</v>
      </c>
      <c r="Q124" s="123">
        <v>0.35</v>
      </c>
      <c r="R124" s="2">
        <f>Q124*R$123</f>
        <v>135203582.76236591</v>
      </c>
    </row>
    <row r="125" spans="1:19" x14ac:dyDescent="0.35">
      <c r="D125" s="2"/>
      <c r="E125" s="2"/>
      <c r="G125" s="207" t="s">
        <v>426</v>
      </c>
      <c r="H125" s="2">
        <f>SUMIF($J$124:$J$127,G125,$L$124:$L$127)/$L$123/2</f>
        <v>7.4506711634515443E-2</v>
      </c>
      <c r="I125" s="232" t="s">
        <v>162</v>
      </c>
      <c r="J125" s="154" t="s">
        <v>212</v>
      </c>
      <c r="K125" s="6">
        <f>'Feedstock MIX per IVC'!J10</f>
        <v>170.74781459314019</v>
      </c>
      <c r="L125" s="2">
        <f t="shared" ref="L125:L127" si="34">K125*F$123</f>
        <v>116535670.2768134</v>
      </c>
      <c r="M125" t="s">
        <v>246</v>
      </c>
      <c r="N125" s="123">
        <v>0.02</v>
      </c>
      <c r="O125" s="2">
        <f t="shared" ref="O125:O129" si="35">N125*O$123</f>
        <v>5132412.6318677012</v>
      </c>
      <c r="P125" s="18" t="s">
        <v>210</v>
      </c>
      <c r="Q125" s="123">
        <v>0.25</v>
      </c>
      <c r="R125" s="2">
        <f t="shared" ref="R125:R128" si="36">Q125*R$123</f>
        <v>96573987.687404215</v>
      </c>
    </row>
    <row r="126" spans="1:19" x14ac:dyDescent="0.35">
      <c r="D126" s="2"/>
      <c r="E126" s="2"/>
      <c r="G126" s="258" t="s">
        <v>298</v>
      </c>
      <c r="H126" s="2">
        <f t="shared" ref="H126" si="37">SUMIF($J$124:$J$127,G126,$L$124:$L$127)/$L$123</f>
        <v>0.14901342326903089</v>
      </c>
      <c r="I126" s="233" t="s">
        <v>341</v>
      </c>
      <c r="J126" s="207" t="s">
        <v>426</v>
      </c>
      <c r="K126" s="6">
        <f>'Feedstock MIX per IVC'!J11/2</f>
        <v>142.29432800617766</v>
      </c>
      <c r="L126" s="2">
        <f t="shared" si="34"/>
        <v>97116117.885908529</v>
      </c>
      <c r="M126" s="5" t="s">
        <v>244</v>
      </c>
      <c r="N126" s="123">
        <v>0.45</v>
      </c>
      <c r="O126" s="2">
        <f t="shared" si="35"/>
        <v>115479284.21702327</v>
      </c>
      <c r="P126" s="18" t="s">
        <v>252</v>
      </c>
      <c r="Q126" s="123">
        <v>0.2</v>
      </c>
      <c r="R126" s="2">
        <f t="shared" si="36"/>
        <v>77259190.149923369</v>
      </c>
    </row>
    <row r="127" spans="1:19" x14ac:dyDescent="0.35">
      <c r="D127" s="2"/>
      <c r="E127" s="2"/>
      <c r="G127" s="158" t="s">
        <v>104</v>
      </c>
      <c r="H127" s="2">
        <f>H125</f>
        <v>7.4506711634515443E-2</v>
      </c>
      <c r="I127" s="234" t="s">
        <v>342</v>
      </c>
      <c r="J127" s="258" t="s">
        <v>298</v>
      </c>
      <c r="K127" s="6">
        <f>K126</f>
        <v>142.29432800617766</v>
      </c>
      <c r="L127" s="2">
        <f t="shared" si="34"/>
        <v>97116117.885908529</v>
      </c>
      <c r="M127" t="s">
        <v>247</v>
      </c>
      <c r="N127" s="123">
        <v>0.15</v>
      </c>
      <c r="O127" s="2">
        <f t="shared" si="35"/>
        <v>38493094.739007756</v>
      </c>
      <c r="P127" s="18" t="s">
        <v>253</v>
      </c>
      <c r="Q127" s="123">
        <v>0.15</v>
      </c>
      <c r="R127" s="2">
        <f t="shared" si="36"/>
        <v>57944392.612442531</v>
      </c>
    </row>
    <row r="128" spans="1:19" x14ac:dyDescent="0.35">
      <c r="D128" s="2"/>
      <c r="E128" s="2"/>
      <c r="G128" s="2"/>
      <c r="H128" s="2">
        <f>SUM(H124:H127)</f>
        <v>1</v>
      </c>
      <c r="L128" s="2"/>
      <c r="M128" t="s">
        <v>248</v>
      </c>
      <c r="N128" s="123">
        <v>0.3</v>
      </c>
      <c r="O128" s="2">
        <f t="shared" si="35"/>
        <v>76986189.478015512</v>
      </c>
      <c r="P128" s="18" t="s">
        <v>254</v>
      </c>
      <c r="Q128" s="123">
        <v>0.05</v>
      </c>
      <c r="R128" s="2">
        <f t="shared" si="36"/>
        <v>19314797.537480842</v>
      </c>
    </row>
    <row r="129" spans="1:19" x14ac:dyDescent="0.35">
      <c r="D129" s="2"/>
      <c r="E129" s="2"/>
      <c r="G129" s="2"/>
      <c r="M129" t="s">
        <v>250</v>
      </c>
      <c r="N129" s="123">
        <v>0.03</v>
      </c>
      <c r="O129" s="2">
        <f t="shared" si="35"/>
        <v>7698618.9478015509</v>
      </c>
      <c r="Q129" s="123"/>
    </row>
    <row r="130" spans="1:19" s="219" customFormat="1" x14ac:dyDescent="0.35">
      <c r="A130" s="219" t="s">
        <v>116</v>
      </c>
      <c r="B130" s="219">
        <v>2380</v>
      </c>
      <c r="C130" s="220">
        <f>B130*F130</f>
        <v>463469023.25581408</v>
      </c>
      <c r="D130" s="219">
        <f>'[1]GAP analysis Sc. 2'!$C$145</f>
        <v>0.2</v>
      </c>
      <c r="E130" s="219">
        <f>'[2]Conversion factors selected IV '!$O$27</f>
        <v>0.97367441860465131</v>
      </c>
      <c r="F130" s="219">
        <f>D130*E130*1000000</f>
        <v>194734.88372093029</v>
      </c>
      <c r="G130" s="248" t="s">
        <v>125</v>
      </c>
    </row>
    <row r="131" spans="1:19" x14ac:dyDescent="0.35">
      <c r="C131">
        <f>C130/$C$122</f>
        <v>5.6213305557619074E-2</v>
      </c>
      <c r="D131" s="2"/>
      <c r="E131" s="2"/>
      <c r="G131" s="2"/>
      <c r="N131" s="123"/>
      <c r="O131" s="2"/>
      <c r="Q131" s="123"/>
    </row>
    <row r="132" spans="1:19" x14ac:dyDescent="0.35">
      <c r="D132" s="2"/>
      <c r="E132" s="2"/>
      <c r="G132" s="2"/>
      <c r="N132" s="123"/>
      <c r="O132" s="2"/>
      <c r="Q132" s="123"/>
    </row>
    <row r="133" spans="1:19" x14ac:dyDescent="0.35">
      <c r="D133" s="2"/>
      <c r="E133" s="2"/>
      <c r="G133" s="2"/>
      <c r="N133" s="123"/>
      <c r="O133" s="2"/>
      <c r="Q133" s="123"/>
    </row>
    <row r="134" spans="1:19" x14ac:dyDescent="0.35">
      <c r="D134" s="2"/>
      <c r="E134" s="2"/>
      <c r="G134" s="2"/>
      <c r="N134" s="123"/>
      <c r="O134" s="2"/>
      <c r="Q134" s="123"/>
    </row>
    <row r="135" spans="1:19" x14ac:dyDescent="0.35">
      <c r="D135" s="2"/>
      <c r="E135" s="2"/>
      <c r="G135" s="2"/>
      <c r="N135" s="123"/>
      <c r="O135" s="2"/>
      <c r="Q135" s="123"/>
    </row>
    <row r="136" spans="1:19" x14ac:dyDescent="0.35">
      <c r="D136" s="2"/>
      <c r="E136" s="2"/>
      <c r="G136" s="2"/>
      <c r="N136" s="123"/>
      <c r="O136" s="2"/>
      <c r="Q136" s="123"/>
    </row>
    <row r="137" spans="1:19" s="219" customFormat="1" x14ac:dyDescent="0.35">
      <c r="A137" s="219" t="s">
        <v>359</v>
      </c>
      <c r="B137" s="219">
        <v>2380</v>
      </c>
      <c r="C137" s="220">
        <f>B137*F137</f>
        <v>695203534.88372099</v>
      </c>
      <c r="D137" s="219">
        <f>'[1]GAP analysis Sc. 2'!$C$146</f>
        <v>0.3</v>
      </c>
      <c r="E137" s="219">
        <f>'[2]Conversion factors selected IV '!$O$76</f>
        <v>0.97367441860465131</v>
      </c>
      <c r="F137" s="219">
        <f>D137*E137*1000000</f>
        <v>292102.32558139536</v>
      </c>
      <c r="G137" s="219">
        <f>'LCoP 2030 HIGH'!E17</f>
        <v>2974.2587443951556</v>
      </c>
      <c r="H137" s="219">
        <f>G137*F137</f>
        <v>868787896.11862588</v>
      </c>
      <c r="I137" s="219">
        <f>'LCoP 2030 HIGH'!H17</f>
        <v>0.19307625655545874</v>
      </c>
      <c r="L137" s="219">
        <f>I137*H137</f>
        <v>167742314.72327703</v>
      </c>
      <c r="M137" s="219">
        <f>'LCoP 2030 HIGH'!F17</f>
        <v>0.48583533719890087</v>
      </c>
      <c r="O137" s="219">
        <f>M137*H137</f>
        <v>422087860.46511626</v>
      </c>
      <c r="P137" s="219">
        <f>'LCoP 2030 HIGH'!G17</f>
        <v>0.32108840624564039</v>
      </c>
      <c r="R137" s="219">
        <f>P137*H137</f>
        <v>278957720.93023258</v>
      </c>
      <c r="S137" s="219">
        <f>L137+O137+R137</f>
        <v>868787896.11862588</v>
      </c>
    </row>
    <row r="138" spans="1:19" s="80" customFormat="1" x14ac:dyDescent="0.35">
      <c r="C138">
        <f>C137/$C$122</f>
        <v>8.4319958336428608E-2</v>
      </c>
      <c r="F138" s="230"/>
      <c r="G138" s="159" t="s">
        <v>213</v>
      </c>
      <c r="H138" s="2">
        <f>SUMIF($J$138:$J$147,G138,$L$138:$L$147)/$L$137</f>
        <v>0</v>
      </c>
      <c r="I138" s="5" t="s">
        <v>5</v>
      </c>
      <c r="J138" s="154" t="s">
        <v>212</v>
      </c>
      <c r="K138" s="6">
        <f>'Feedstock MIX per IVC'!J74</f>
        <v>323.98143363226905</v>
      </c>
      <c r="L138" s="2">
        <f>K138*F$137</f>
        <v>94635730.209180281</v>
      </c>
      <c r="M138" s="5" t="s">
        <v>245</v>
      </c>
      <c r="N138" s="35">
        <v>0</v>
      </c>
      <c r="O138" s="2">
        <f>N138*O$137</f>
        <v>0</v>
      </c>
      <c r="P138" s="18" t="s">
        <v>251</v>
      </c>
      <c r="Q138" s="35">
        <v>0.25</v>
      </c>
      <c r="R138" s="2">
        <f>Q138*R$137</f>
        <v>69739430.232558146</v>
      </c>
    </row>
    <row r="139" spans="1:19" x14ac:dyDescent="0.35">
      <c r="G139" s="157" t="s">
        <v>211</v>
      </c>
      <c r="H139" s="2">
        <f>SUMIF($J$138:$J$147,G139,$L$138:$L$147)/$L$137</f>
        <v>1.496553729132589E-2</v>
      </c>
      <c r="I139" s="5" t="s">
        <v>6</v>
      </c>
      <c r="J139" s="154" t="s">
        <v>212</v>
      </c>
      <c r="K139" s="6">
        <f>'Feedstock MIX per IVC'!J75</f>
        <v>16.946224660144196</v>
      </c>
      <c r="L139" s="2">
        <f t="shared" ref="L139:L147" si="38">K139*F$137</f>
        <v>4950031.6330529107</v>
      </c>
      <c r="M139" t="s">
        <v>246</v>
      </c>
      <c r="N139" s="35">
        <v>0.02</v>
      </c>
      <c r="O139" s="2">
        <f t="shared" ref="O139:O143" si="39">N139*O$137</f>
        <v>8441757.2093023248</v>
      </c>
      <c r="P139" s="18" t="s">
        <v>210</v>
      </c>
      <c r="Q139" s="35">
        <v>0.15</v>
      </c>
      <c r="R139" s="2">
        <f t="shared" ref="R139:R142" si="40">Q139*R$137</f>
        <v>41843658.139534883</v>
      </c>
    </row>
    <row r="140" spans="1:19" x14ac:dyDescent="0.35">
      <c r="G140" s="154" t="s">
        <v>212</v>
      </c>
      <c r="H140" s="2">
        <f t="shared" ref="H140:H142" si="41">SUMIF($J$138:$J$147,G140,$L$138:$L$147)/$L$137</f>
        <v>0.64182642377464827</v>
      </c>
      <c r="I140" s="5" t="s">
        <v>23</v>
      </c>
      <c r="J140" s="159" t="s">
        <v>213</v>
      </c>
      <c r="K140" s="6">
        <f>'Feedstock MIX per IVC'!J76</f>
        <v>0</v>
      </c>
      <c r="L140" s="2">
        <f t="shared" si="38"/>
        <v>0</v>
      </c>
      <c r="M140" s="5" t="s">
        <v>244</v>
      </c>
      <c r="N140" s="35">
        <v>0.55000000000000004</v>
      </c>
      <c r="O140" s="2">
        <f t="shared" si="39"/>
        <v>232148323.25581396</v>
      </c>
      <c r="P140" s="18" t="s">
        <v>252</v>
      </c>
      <c r="Q140" s="35">
        <v>0.3</v>
      </c>
      <c r="R140" s="2">
        <f t="shared" si="40"/>
        <v>83687316.279069766</v>
      </c>
    </row>
    <row r="141" spans="1:19" x14ac:dyDescent="0.35">
      <c r="G141" s="178" t="s">
        <v>256</v>
      </c>
      <c r="H141" s="2">
        <f t="shared" si="41"/>
        <v>0.15345231313550281</v>
      </c>
      <c r="I141" s="5" t="s">
        <v>7</v>
      </c>
      <c r="J141" s="157" t="s">
        <v>211</v>
      </c>
      <c r="K141" s="6">
        <f>'Feedstock MIX per IVC'!J77</f>
        <v>8.5940906541156838</v>
      </c>
      <c r="L141" s="2">
        <f t="shared" si="38"/>
        <v>2510353.8663245263</v>
      </c>
      <c r="M141" t="s">
        <v>247</v>
      </c>
      <c r="N141" s="35">
        <v>0.1</v>
      </c>
      <c r="O141" s="2">
        <f t="shared" si="39"/>
        <v>42208786.046511628</v>
      </c>
      <c r="P141" s="18" t="s">
        <v>253</v>
      </c>
      <c r="Q141" s="35">
        <v>0.3</v>
      </c>
      <c r="R141" s="2">
        <f t="shared" si="40"/>
        <v>83687316.279069766</v>
      </c>
    </row>
    <row r="142" spans="1:19" s="80" customFormat="1" x14ac:dyDescent="0.35">
      <c r="F142" s="230"/>
      <c r="G142" s="156" t="s">
        <v>209</v>
      </c>
      <c r="H142" s="2">
        <f t="shared" si="41"/>
        <v>0.18809782860488181</v>
      </c>
      <c r="I142" s="5" t="s">
        <v>8</v>
      </c>
      <c r="J142" s="154" t="s">
        <v>212</v>
      </c>
      <c r="K142" s="6">
        <f>'Feedstock MIX per IVC'!J78</f>
        <v>16.238016457978244</v>
      </c>
      <c r="L142" s="2">
        <f t="shared" si="38"/>
        <v>4743162.370204417</v>
      </c>
      <c r="M142" t="s">
        <v>248</v>
      </c>
      <c r="N142" s="35">
        <v>0.3</v>
      </c>
      <c r="O142" s="2">
        <f t="shared" si="39"/>
        <v>126626358.13953488</v>
      </c>
      <c r="P142" s="18" t="s">
        <v>254</v>
      </c>
      <c r="Q142" s="240">
        <v>0</v>
      </c>
      <c r="R142" s="2">
        <f t="shared" si="40"/>
        <v>0</v>
      </c>
    </row>
    <row r="143" spans="1:19" x14ac:dyDescent="0.35">
      <c r="G143" s="158" t="s">
        <v>104</v>
      </c>
      <c r="H143" s="262">
        <f>SUMIF($J$138:$J$147,G143,$L$138:$L$147)/$L$137/2</f>
        <v>8.289485968207272E-4</v>
      </c>
      <c r="I143" s="5" t="s">
        <v>9</v>
      </c>
      <c r="J143" s="154" t="s">
        <v>212</v>
      </c>
      <c r="K143" s="6">
        <f>'Feedstock MIX per IVC'!J79</f>
        <v>11.408761486071064</v>
      </c>
      <c r="L143" s="2">
        <f t="shared" si="38"/>
        <v>3332525.7620848138</v>
      </c>
      <c r="M143" t="s">
        <v>250</v>
      </c>
      <c r="N143" s="35">
        <v>0.03</v>
      </c>
      <c r="O143" s="2">
        <f t="shared" si="39"/>
        <v>12662635.813953487</v>
      </c>
    </row>
    <row r="144" spans="1:19" x14ac:dyDescent="0.35">
      <c r="G144" s="207" t="s">
        <v>426</v>
      </c>
      <c r="H144" s="2">
        <f>H143</f>
        <v>8.289485968207272E-4</v>
      </c>
      <c r="I144" s="5" t="s">
        <v>10</v>
      </c>
      <c r="J144" s="178" t="s">
        <v>256</v>
      </c>
      <c r="K144" s="6">
        <f>'Feedstock MIX per IVC'!J80</f>
        <v>88.121332665726072</v>
      </c>
      <c r="L144" s="2">
        <f t="shared" si="38"/>
        <v>25740446.204990368</v>
      </c>
      <c r="N144" s="35"/>
    </row>
    <row r="145" spans="1:18" x14ac:dyDescent="0.35">
      <c r="H145" s="92">
        <f>SUM(H138:H144)</f>
        <v>1.0000000000000002</v>
      </c>
      <c r="I145" s="5" t="s">
        <v>11</v>
      </c>
      <c r="J145" s="156" t="s">
        <v>209</v>
      </c>
      <c r="K145" s="6">
        <f>'Feedstock MIX per IVC'!J81</f>
        <v>108.0168228780946</v>
      </c>
      <c r="L145" s="2">
        <f t="shared" si="38"/>
        <v>31551965.164605103</v>
      </c>
    </row>
    <row r="146" spans="1:18" x14ac:dyDescent="0.35">
      <c r="I146" s="5" t="s">
        <v>12</v>
      </c>
      <c r="J146" s="159" t="s">
        <v>213</v>
      </c>
      <c r="K146" s="6">
        <f>'Feedstock MIX per IVC'!J82</f>
        <v>0</v>
      </c>
      <c r="L146" s="2">
        <f t="shared" si="38"/>
        <v>0</v>
      </c>
    </row>
    <row r="147" spans="1:18" x14ac:dyDescent="0.35">
      <c r="F147" s="31"/>
      <c r="H147" t="s">
        <v>125</v>
      </c>
      <c r="I147" s="13" t="s">
        <v>33</v>
      </c>
      <c r="J147" s="158" t="s">
        <v>104</v>
      </c>
      <c r="K147" s="6">
        <f>'Feedstock MIX per IVC'!J83</f>
        <v>0.95206196075679372</v>
      </c>
      <c r="L147" s="2">
        <f t="shared" si="38"/>
        <v>278099.51283464261</v>
      </c>
    </row>
    <row r="148" spans="1:18" x14ac:dyDescent="0.35">
      <c r="A148" s="80"/>
      <c r="B148" s="80"/>
      <c r="C148" s="80"/>
      <c r="D148" s="92"/>
      <c r="E148" s="92"/>
      <c r="F148" s="237"/>
      <c r="G148" s="237"/>
      <c r="L148" s="2">
        <f>SUM(L138:L147)</f>
        <v>167742314.72327706</v>
      </c>
    </row>
    <row r="149" spans="1:18" x14ac:dyDescent="0.35">
      <c r="A149" s="80"/>
      <c r="B149" s="80"/>
      <c r="C149" s="80"/>
      <c r="D149" s="92"/>
      <c r="E149" s="92"/>
      <c r="F149" s="237"/>
      <c r="G149" s="237"/>
      <c r="L149" s="2"/>
    </row>
    <row r="150" spans="1:18" s="219" customFormat="1" x14ac:dyDescent="0.35">
      <c r="A150" s="219" t="s">
        <v>375</v>
      </c>
      <c r="B150" s="219">
        <v>2380</v>
      </c>
      <c r="C150" s="219">
        <f>B150*F150</f>
        <v>5461801223.8081961</v>
      </c>
      <c r="D150" s="219">
        <f>'[1]GAP analysis Sc. 2'!$C$147</f>
        <v>2.2948744637849563</v>
      </c>
      <c r="E150" s="219">
        <f>'[2]Conversion factors selected IV '!$O$108</f>
        <v>1</v>
      </c>
      <c r="F150" s="219">
        <f>D150*E150*1000000</f>
        <v>2294874.4637849564</v>
      </c>
      <c r="G150" s="219">
        <f>'LCoP 2030 HIGH'!$E$23</f>
        <v>2163.1172082344269</v>
      </c>
      <c r="H150" s="219">
        <f>G150*F150</f>
        <v>4964082443.3509922</v>
      </c>
      <c r="I150" s="226">
        <f>'LCoP 2030 HIGH'!H23</f>
        <v>0.29338086989396761</v>
      </c>
      <c r="L150" s="219">
        <f>I150*H150</f>
        <v>1456366825.4556863</v>
      </c>
      <c r="M150" s="226">
        <f>'LCoP 2030 HIGH'!F23</f>
        <v>0.31667262291307308</v>
      </c>
      <c r="O150" s="219">
        <f>M150*H150</f>
        <v>1571989007.6926951</v>
      </c>
      <c r="P150" s="226">
        <f>'LCoP 2030 HIGH'!G23</f>
        <v>0.38994650719295931</v>
      </c>
      <c r="R150" s="219">
        <f>P150*H150</f>
        <v>1935726610.2026107</v>
      </c>
    </row>
    <row r="151" spans="1:18" x14ac:dyDescent="0.35">
      <c r="A151" s="80"/>
      <c r="B151" s="80"/>
      <c r="C151" s="80"/>
      <c r="D151" s="92"/>
      <c r="E151" s="92"/>
      <c r="G151" s="157" t="s">
        <v>211</v>
      </c>
      <c r="H151" s="2">
        <f>SUMIF($J$151:$J$158,G151,$L$151:$L$158)/$L$150</f>
        <v>1.471944901037182E-2</v>
      </c>
      <c r="I151" s="5" t="s">
        <v>5</v>
      </c>
      <c r="J151" s="154" t="s">
        <v>212</v>
      </c>
      <c r="K151" s="6">
        <f>'Feedstock MIX per IVC'!J116</f>
        <v>352.14667333355487</v>
      </c>
      <c r="L151" s="2">
        <f>K151*$F$150</f>
        <v>808132408.13999796</v>
      </c>
      <c r="M151" s="5" t="s">
        <v>245</v>
      </c>
      <c r="N151" s="174">
        <v>0.15</v>
      </c>
      <c r="O151" s="2">
        <f>N151*$O$150</f>
        <v>235798351.15390426</v>
      </c>
      <c r="P151" s="18" t="s">
        <v>251</v>
      </c>
      <c r="Q151" s="123">
        <v>0.15</v>
      </c>
      <c r="R151" s="2">
        <f>Q151*$R$150</f>
        <v>290358991.53039157</v>
      </c>
    </row>
    <row r="152" spans="1:18" x14ac:dyDescent="0.35">
      <c r="A152" s="80"/>
      <c r="B152" s="80"/>
      <c r="C152" s="80"/>
      <c r="D152" s="92"/>
      <c r="E152" s="92"/>
      <c r="G152" s="154" t="s">
        <v>212</v>
      </c>
      <c r="H152" s="2">
        <f t="shared" ref="H152:H156" si="42">SUMIF($J$151:$J$158,G152,$L$151:$L$158)/$L$150</f>
        <v>0.65908395710014522</v>
      </c>
      <c r="I152" s="5" t="s">
        <v>6</v>
      </c>
      <c r="J152" s="154" t="s">
        <v>212</v>
      </c>
      <c r="K152" s="6">
        <f>'Feedstock MIX per IVC'!J117</f>
        <v>18.419440190533358</v>
      </c>
      <c r="L152" s="2">
        <f t="shared" ref="L152:L158" si="43">K152*$F$150</f>
        <v>42270302.930469312</v>
      </c>
      <c r="M152" t="s">
        <v>246</v>
      </c>
      <c r="N152" s="35">
        <v>0.02</v>
      </c>
      <c r="O152" s="2">
        <f t="shared" ref="O152:O155" si="44">N152*$O$150</f>
        <v>31439780.153853904</v>
      </c>
      <c r="P152" s="18" t="s">
        <v>210</v>
      </c>
      <c r="Q152" s="123">
        <v>0.25</v>
      </c>
      <c r="R152" s="2">
        <f t="shared" ref="R152:R155" si="45">Q152*$R$150</f>
        <v>483931652.55065268</v>
      </c>
    </row>
    <row r="153" spans="1:18" x14ac:dyDescent="0.35">
      <c r="A153" s="80"/>
      <c r="B153" s="80"/>
      <c r="C153" s="80"/>
      <c r="D153" s="92"/>
      <c r="E153" s="92"/>
      <c r="G153" s="178" t="s">
        <v>256</v>
      </c>
      <c r="H153" s="2">
        <f t="shared" si="42"/>
        <v>0.14655424124318214</v>
      </c>
      <c r="I153" s="5" t="s">
        <v>7</v>
      </c>
      <c r="J153" s="157" t="s">
        <v>211</v>
      </c>
      <c r="K153" s="6">
        <f>'Feedstock MIX per IVC'!J118</f>
        <v>9.3412156377111621</v>
      </c>
      <c r="L153" s="2">
        <f t="shared" si="43"/>
        <v>21436917.227692053</v>
      </c>
      <c r="M153" s="5" t="s">
        <v>244</v>
      </c>
      <c r="N153" s="174">
        <v>0.45</v>
      </c>
      <c r="O153" s="2">
        <f t="shared" si="44"/>
        <v>707395053.46171284</v>
      </c>
      <c r="P153" s="18" t="s">
        <v>252</v>
      </c>
      <c r="Q153" s="123">
        <v>0.2</v>
      </c>
      <c r="R153" s="2">
        <f t="shared" si="45"/>
        <v>387145322.04052216</v>
      </c>
    </row>
    <row r="154" spans="1:18" x14ac:dyDescent="0.35">
      <c r="A154" s="80"/>
      <c r="B154" s="80"/>
      <c r="C154" s="80"/>
      <c r="D154" s="92"/>
      <c r="E154" s="92"/>
      <c r="G154" s="156" t="s">
        <v>209</v>
      </c>
      <c r="H154" s="2">
        <f t="shared" si="42"/>
        <v>0.17964235264630082</v>
      </c>
      <c r="I154" s="5" t="s">
        <v>8</v>
      </c>
      <c r="J154" s="154" t="s">
        <v>212</v>
      </c>
      <c r="K154" s="6">
        <f>'Feedstock MIX per IVC'!J119</f>
        <v>35.29932819362039</v>
      </c>
      <c r="L154" s="2">
        <f t="shared" si="43"/>
        <v>81007526.860303789</v>
      </c>
      <c r="M154" t="s">
        <v>247</v>
      </c>
      <c r="N154" s="35">
        <v>0.1</v>
      </c>
      <c r="O154" s="2">
        <f t="shared" si="44"/>
        <v>157198900.76926953</v>
      </c>
      <c r="P154" s="18" t="s">
        <v>253</v>
      </c>
      <c r="Q154" s="123">
        <v>0.3</v>
      </c>
      <c r="R154" s="2">
        <f t="shared" si="45"/>
        <v>580717983.06078315</v>
      </c>
    </row>
    <row r="155" spans="1:18" x14ac:dyDescent="0.35">
      <c r="A155" s="80"/>
      <c r="B155" s="80"/>
      <c r="C155" s="80"/>
      <c r="D155" s="92"/>
      <c r="E155" s="92"/>
      <c r="G155" s="159" t="s">
        <v>213</v>
      </c>
      <c r="H155" s="2">
        <f t="shared" si="42"/>
        <v>0</v>
      </c>
      <c r="I155" s="5" t="s">
        <v>9</v>
      </c>
      <c r="J155" s="154" t="s">
        <v>212</v>
      </c>
      <c r="K155" s="6">
        <f>'Feedstock MIX per IVC'!J120</f>
        <v>12.400579129284262</v>
      </c>
      <c r="L155" s="2">
        <f t="shared" si="43"/>
        <v>28457772.379939143</v>
      </c>
      <c r="M155" t="s">
        <v>248</v>
      </c>
      <c r="N155" s="35">
        <v>0.25</v>
      </c>
      <c r="O155" s="2">
        <f t="shared" si="44"/>
        <v>392997251.92317379</v>
      </c>
      <c r="P155" s="18" t="s">
        <v>254</v>
      </c>
      <c r="Q155" s="123">
        <v>0.1</v>
      </c>
      <c r="R155" s="2">
        <f t="shared" si="45"/>
        <v>193572661.02026108</v>
      </c>
    </row>
    <row r="156" spans="1:18" x14ac:dyDescent="0.35">
      <c r="A156" s="80"/>
      <c r="B156" s="80"/>
      <c r="C156" s="80"/>
      <c r="D156" s="92"/>
      <c r="E156" s="92"/>
      <c r="G156" s="158" t="s">
        <v>104</v>
      </c>
      <c r="H156" s="2">
        <f t="shared" si="42"/>
        <v>0</v>
      </c>
      <c r="I156" s="5" t="s">
        <v>10</v>
      </c>
      <c r="J156" s="178" t="s">
        <v>256</v>
      </c>
      <c r="K156" s="6">
        <f>'Feedstock MIX per IVC'!J121</f>
        <v>93.005843432662942</v>
      </c>
      <c r="L156" s="2">
        <f t="shared" si="43"/>
        <v>213436735.07639998</v>
      </c>
      <c r="M156" t="s">
        <v>250</v>
      </c>
      <c r="N156" s="35">
        <v>0.03</v>
      </c>
      <c r="O156" s="2">
        <f>N156*$O$150</f>
        <v>47159670.230780855</v>
      </c>
      <c r="Q156" s="35"/>
      <c r="R156" s="2"/>
    </row>
    <row r="157" spans="1:18" x14ac:dyDescent="0.35">
      <c r="A157" s="80"/>
      <c r="B157" s="80"/>
      <c r="C157" s="80"/>
      <c r="D157" s="92"/>
      <c r="E157" s="92"/>
      <c r="G157" s="230"/>
      <c r="H157" s="299">
        <f>SUM(H151:H156)</f>
        <v>1</v>
      </c>
      <c r="I157" s="5" t="s">
        <v>11</v>
      </c>
      <c r="J157" s="156" t="s">
        <v>209</v>
      </c>
      <c r="K157" s="6">
        <f>'Feedstock MIX per IVC'!J122</f>
        <v>114.00412831705982</v>
      </c>
      <c r="L157" s="2">
        <f t="shared" si="43"/>
        <v>261625162.84088403</v>
      </c>
      <c r="M157" s="2"/>
      <c r="R157" s="2"/>
    </row>
    <row r="158" spans="1:18" x14ac:dyDescent="0.35">
      <c r="A158" s="80"/>
      <c r="B158" s="80"/>
      <c r="C158" s="80"/>
      <c r="D158" s="92"/>
      <c r="E158" s="92"/>
      <c r="F158" s="230"/>
      <c r="G158" s="230"/>
      <c r="I158" s="5" t="s">
        <v>12</v>
      </c>
      <c r="J158" s="159" t="s">
        <v>213</v>
      </c>
      <c r="K158" s="6">
        <f>'Feedstock MIX per IVC'!J123</f>
        <v>0</v>
      </c>
      <c r="L158" s="2">
        <f t="shared" si="43"/>
        <v>0</v>
      </c>
    </row>
    <row r="159" spans="1:18" x14ac:dyDescent="0.35">
      <c r="A159" s="80"/>
      <c r="B159" s="80"/>
      <c r="C159" s="80"/>
      <c r="D159" s="92"/>
      <c r="E159" s="92"/>
      <c r="F159" s="230"/>
      <c r="G159" s="230"/>
      <c r="I159" s="80"/>
      <c r="J159" s="80"/>
      <c r="K159" s="80"/>
      <c r="L159" s="2">
        <f>SUM(L151:L158)</f>
        <v>1456366825.4556861</v>
      </c>
      <c r="M159" s="80"/>
      <c r="N159" s="80"/>
      <c r="O159" s="2">
        <f>SUM(O151:O158)</f>
        <v>1571989007.6926949</v>
      </c>
      <c r="P159" s="80"/>
      <c r="Q159" s="80"/>
      <c r="R159" s="2">
        <f>SUM(R151:R158)</f>
        <v>1935726610.2026105</v>
      </c>
    </row>
    <row r="160" spans="1:18" x14ac:dyDescent="0.35">
      <c r="A160" s="80"/>
      <c r="B160" s="80"/>
      <c r="C160" s="80"/>
      <c r="D160" s="92"/>
      <c r="E160" s="92"/>
      <c r="F160" s="237"/>
      <c r="G160" s="237"/>
      <c r="J160" s="159" t="s">
        <v>213</v>
      </c>
      <c r="L160" s="2">
        <f>L140+L146</f>
        <v>0</v>
      </c>
      <c r="M160" s="5" t="s">
        <v>245</v>
      </c>
      <c r="O160" s="2">
        <f t="shared" ref="O160:O165" si="46">O124+O138</f>
        <v>12831031.579669252</v>
      </c>
      <c r="P160" s="18" t="s">
        <v>251</v>
      </c>
      <c r="R160" s="2">
        <f>R124+R138</f>
        <v>204943012.99492407</v>
      </c>
    </row>
    <row r="161" spans="1:18" x14ac:dyDescent="0.35">
      <c r="A161" s="80"/>
      <c r="B161" s="80"/>
      <c r="C161" s="80"/>
      <c r="D161" s="92"/>
      <c r="E161" s="92"/>
      <c r="F161" s="237"/>
      <c r="G161" s="237"/>
      <c r="J161" s="157" t="s">
        <v>211</v>
      </c>
      <c r="L161" s="2">
        <f>L141</f>
        <v>2510353.8663245263</v>
      </c>
      <c r="M161" t="s">
        <v>246</v>
      </c>
      <c r="O161" s="2">
        <f t="shared" si="46"/>
        <v>13574169.841170026</v>
      </c>
      <c r="P161" s="18" t="s">
        <v>210</v>
      </c>
      <c r="R161" s="2">
        <f>R125+R139</f>
        <v>138417645.82693911</v>
      </c>
    </row>
    <row r="162" spans="1:18" x14ac:dyDescent="0.35">
      <c r="A162" s="80"/>
      <c r="B162" s="80"/>
      <c r="C162" s="80"/>
      <c r="D162" s="92"/>
      <c r="E162" s="92"/>
      <c r="F162" s="237"/>
      <c r="G162" s="237"/>
      <c r="J162" s="154" t="s">
        <v>212</v>
      </c>
      <c r="L162" s="2">
        <f>L124+L125+L138+L139+L142+L143</f>
        <v>565156526.78563809</v>
      </c>
      <c r="M162" s="5" t="s">
        <v>244</v>
      </c>
      <c r="O162" s="2">
        <f t="shared" si="46"/>
        <v>347627607.47283721</v>
      </c>
      <c r="P162" s="18" t="s">
        <v>252</v>
      </c>
      <c r="R162" s="2">
        <f>R126+R140</f>
        <v>160946506.42899314</v>
      </c>
    </row>
    <row r="163" spans="1:18" x14ac:dyDescent="0.35">
      <c r="A163" s="80"/>
      <c r="B163" s="80"/>
      <c r="C163" s="80"/>
      <c r="D163" s="92"/>
      <c r="E163" s="92"/>
      <c r="F163" s="237"/>
      <c r="G163" s="237"/>
      <c r="J163" s="178" t="s">
        <v>256</v>
      </c>
      <c r="L163" s="2">
        <f>L144</f>
        <v>25740446.204990368</v>
      </c>
      <c r="M163" t="s">
        <v>247</v>
      </c>
      <c r="O163" s="2">
        <f t="shared" si="46"/>
        <v>80701880.785519391</v>
      </c>
      <c r="P163" s="18" t="s">
        <v>253</v>
      </c>
      <c r="R163" s="2">
        <f>R127+R141</f>
        <v>141631708.8915123</v>
      </c>
    </row>
    <row r="164" spans="1:18" x14ac:dyDescent="0.35">
      <c r="A164" s="80"/>
      <c r="B164" s="80"/>
      <c r="C164" s="80"/>
      <c r="D164" s="92"/>
      <c r="E164" s="92"/>
      <c r="F164" s="237"/>
      <c r="G164" s="237"/>
      <c r="J164" s="156" t="s">
        <v>209</v>
      </c>
      <c r="L164" s="2">
        <f>L145</f>
        <v>31551965.164605103</v>
      </c>
      <c r="M164" t="s">
        <v>248</v>
      </c>
      <c r="O164" s="2">
        <f t="shared" si="46"/>
        <v>203612547.61755037</v>
      </c>
      <c r="P164" s="18" t="s">
        <v>254</v>
      </c>
      <c r="R164" s="2">
        <f>R128+R142</f>
        <v>19314797.537480842</v>
      </c>
    </row>
    <row r="165" spans="1:18" x14ac:dyDescent="0.35">
      <c r="A165" s="80"/>
      <c r="B165" s="80"/>
      <c r="C165" s="80"/>
      <c r="D165" s="92"/>
      <c r="E165" s="92"/>
      <c r="F165" s="237"/>
      <c r="G165" s="237"/>
      <c r="J165" s="18" t="s">
        <v>210</v>
      </c>
      <c r="L165" s="2">
        <f>L127+L147</f>
        <v>97394217.398743168</v>
      </c>
      <c r="M165" t="s">
        <v>250</v>
      </c>
      <c r="O165" s="2">
        <f t="shared" si="46"/>
        <v>20361254.761755038</v>
      </c>
    </row>
    <row r="166" spans="1:18" x14ac:dyDescent="0.35">
      <c r="A166" s="80"/>
      <c r="B166" s="80"/>
      <c r="C166" s="80"/>
      <c r="D166" s="92"/>
      <c r="E166" s="92"/>
      <c r="F166" s="237"/>
      <c r="G166" s="237"/>
      <c r="J166" s="207" t="s">
        <v>343</v>
      </c>
      <c r="L166" s="2">
        <f>L126</f>
        <v>97116117.885908529</v>
      </c>
    </row>
    <row r="167" spans="1:18" x14ac:dyDescent="0.35">
      <c r="A167" s="80"/>
      <c r="B167" s="80"/>
      <c r="C167" s="80"/>
      <c r="D167" s="92"/>
      <c r="E167" s="92"/>
      <c r="F167" s="237"/>
      <c r="G167" s="237"/>
      <c r="I167" t="s">
        <v>360</v>
      </c>
      <c r="L167" s="2">
        <f>SUM(L160:L166)</f>
        <v>819469627.3062098</v>
      </c>
      <c r="O167" s="2">
        <f>SUM(O160:O166)</f>
        <v>678708492.05850124</v>
      </c>
      <c r="R167" s="2">
        <f>SUM(R160:R166)</f>
        <v>665253671.67984939</v>
      </c>
    </row>
    <row r="168" spans="1:18" s="93" customFormat="1" ht="34" customHeight="1" x14ac:dyDescent="0.35">
      <c r="A168" s="93" t="s">
        <v>108</v>
      </c>
      <c r="F168" s="176"/>
    </row>
    <row r="169" spans="1:18" ht="19" customHeight="1" x14ac:dyDescent="0.35">
      <c r="D169" s="2">
        <f>D170+D181+D189</f>
        <v>3.8398118968239574</v>
      </c>
      <c r="E169" s="2"/>
      <c r="F169" s="2">
        <f>F170+F181+F189</f>
        <v>6281811.2077195439</v>
      </c>
    </row>
    <row r="170" spans="1:18" s="219" customFormat="1" x14ac:dyDescent="0.35">
      <c r="A170" s="219" t="s">
        <v>350</v>
      </c>
      <c r="B170" s="219">
        <v>935</v>
      </c>
      <c r="C170" s="220">
        <f>B170*F170</f>
        <v>2185749071.3352599</v>
      </c>
      <c r="D170" s="219">
        <f>'[1]GAP analysis Sc. 2'!$C$138</f>
        <v>1.1166998860872441</v>
      </c>
      <c r="E170" s="219">
        <f>'[2]Conversion factors selected IV '!$O$49</f>
        <v>2.0934000000000004</v>
      </c>
      <c r="F170" s="219">
        <f>D170*E170*1000000</f>
        <v>2337699.5415350376</v>
      </c>
      <c r="G170" s="219">
        <f>'LCoP 2030 HIGH'!E11</f>
        <v>587.71547294709171</v>
      </c>
      <c r="H170" s="219">
        <f>G170*F170</f>
        <v>1373902191.661464</v>
      </c>
      <c r="I170" s="219">
        <f>'LCoP 2030 HIGH'!H11</f>
        <v>0.20539781323395415</v>
      </c>
      <c r="L170" s="219">
        <f>I170*H170</f>
        <v>282196505.76460165</v>
      </c>
      <c r="M170" s="219">
        <f>'LCoP 2030 HIGH'!F11</f>
        <v>0.47812251494916258</v>
      </c>
      <c r="O170" s="219">
        <f>M170*H170</f>
        <v>656893571.17134559</v>
      </c>
      <c r="P170" s="219">
        <f>'LCoP 2030 HIGH'!G11</f>
        <v>0.31647967181688341</v>
      </c>
      <c r="R170" s="219">
        <f>P170*H170</f>
        <v>434812114.72551697</v>
      </c>
    </row>
    <row r="171" spans="1:18" x14ac:dyDescent="0.35">
      <c r="D171" s="2"/>
      <c r="E171" s="2"/>
      <c r="G171" s="157" t="s">
        <v>211</v>
      </c>
      <c r="H171" s="2">
        <f>SUMIF($J$171:$J$180,G171,$L$171:$L$180)/$L$170</f>
        <v>1.4517943198727606E-2</v>
      </c>
      <c r="I171" s="5" t="s">
        <v>5</v>
      </c>
      <c r="J171" s="154" t="s">
        <v>212</v>
      </c>
      <c r="K171" s="6">
        <f>'Feedstock MIX per IVC'!J35</f>
        <v>66.067553565058759</v>
      </c>
      <c r="L171" s="2">
        <f>K171*F$170</f>
        <v>154446089.6793794</v>
      </c>
      <c r="M171" s="5" t="s">
        <v>245</v>
      </c>
      <c r="N171" s="35">
        <v>0</v>
      </c>
      <c r="O171" s="2">
        <f>N171*O$170</f>
        <v>0</v>
      </c>
      <c r="P171" s="18" t="s">
        <v>251</v>
      </c>
      <c r="Q171" s="35">
        <v>0.25</v>
      </c>
      <c r="R171" s="2">
        <f>Q171*R$170</f>
        <v>108703028.68137924</v>
      </c>
    </row>
    <row r="172" spans="1:18" x14ac:dyDescent="0.35">
      <c r="D172" s="2"/>
      <c r="E172" s="2"/>
      <c r="G172" s="154" t="s">
        <v>212</v>
      </c>
      <c r="H172" s="2">
        <f t="shared" ref="H172:H175" si="47">SUMIF($J$171:$J$180,G172,$L$171:$L$180)/$L$170</f>
        <v>0.62263047309391162</v>
      </c>
      <c r="I172" s="5" t="s">
        <v>6</v>
      </c>
      <c r="J172" s="154" t="s">
        <v>212</v>
      </c>
      <c r="K172" s="6">
        <f>'Feedstock MIX per IVC'!J36</f>
        <v>3.4557400185171687</v>
      </c>
      <c r="L172" s="2">
        <f t="shared" ref="L172:L180" si="48">K172*F$170</f>
        <v>8078481.8569518672</v>
      </c>
      <c r="M172" t="s">
        <v>246</v>
      </c>
      <c r="N172" s="35">
        <v>0.02</v>
      </c>
      <c r="O172" s="2">
        <f t="shared" ref="O172:O176" si="49">N172*O$170</f>
        <v>13137871.423426911</v>
      </c>
      <c r="P172" s="18" t="s">
        <v>210</v>
      </c>
      <c r="Q172" s="35">
        <v>0.15</v>
      </c>
      <c r="R172" s="2">
        <f t="shared" ref="R172:R175" si="50">Q172*R$170</f>
        <v>65221817.20882754</v>
      </c>
    </row>
    <row r="173" spans="1:18" x14ac:dyDescent="0.35">
      <c r="D173" s="2"/>
      <c r="E173" s="2"/>
      <c r="G173" s="178" t="s">
        <v>256</v>
      </c>
      <c r="H173" s="2">
        <f t="shared" si="47"/>
        <v>0.14886281210269967</v>
      </c>
      <c r="I173" s="5" t="s">
        <v>23</v>
      </c>
      <c r="J173" s="159" t="s">
        <v>213</v>
      </c>
      <c r="K173" s="6">
        <f>'Feedstock MIX per IVC'!J37</f>
        <v>0</v>
      </c>
      <c r="L173" s="2">
        <f t="shared" si="48"/>
        <v>0</v>
      </c>
      <c r="M173" s="5" t="s">
        <v>244</v>
      </c>
      <c r="N173" s="35">
        <v>0.55000000000000004</v>
      </c>
      <c r="O173" s="2">
        <f t="shared" si="49"/>
        <v>361291464.14424008</v>
      </c>
      <c r="P173" s="18" t="s">
        <v>252</v>
      </c>
      <c r="Q173" s="35">
        <v>0.3</v>
      </c>
      <c r="R173" s="2">
        <f t="shared" si="50"/>
        <v>130443634.41765508</v>
      </c>
    </row>
    <row r="174" spans="1:18" x14ac:dyDescent="0.35">
      <c r="D174" s="2"/>
      <c r="E174" s="2"/>
      <c r="G174" s="156" t="s">
        <v>209</v>
      </c>
      <c r="H174" s="2">
        <f t="shared" si="47"/>
        <v>0.1824721383757105</v>
      </c>
      <c r="I174" s="5" t="s">
        <v>7</v>
      </c>
      <c r="J174" s="157" t="s">
        <v>211</v>
      </c>
      <c r="K174" s="6">
        <f>'Feedstock MIX per IVC'!J38</f>
        <v>1.7525403794534171</v>
      </c>
      <c r="L174" s="2">
        <f t="shared" si="48"/>
        <v>4096912.841569894</v>
      </c>
      <c r="M174" t="s">
        <v>247</v>
      </c>
      <c r="N174" s="35">
        <v>0.1</v>
      </c>
      <c r="O174" s="2">
        <f t="shared" si="49"/>
        <v>65689357.117134564</v>
      </c>
      <c r="P174" s="18" t="s">
        <v>253</v>
      </c>
      <c r="Q174" s="35">
        <v>0.3</v>
      </c>
      <c r="R174" s="2">
        <f t="shared" si="50"/>
        <v>130443634.41765508</v>
      </c>
    </row>
    <row r="175" spans="1:18" x14ac:dyDescent="0.35">
      <c r="D175" s="2"/>
      <c r="E175" s="2"/>
      <c r="G175" s="159" t="s">
        <v>213</v>
      </c>
      <c r="H175" s="2">
        <f t="shared" si="47"/>
        <v>0</v>
      </c>
      <c r="I175" s="5" t="s">
        <v>8</v>
      </c>
      <c r="J175" s="154" t="s">
        <v>212</v>
      </c>
      <c r="K175" s="6">
        <f>'Feedstock MIX per IVC'!J39</f>
        <v>3.3113194484640065</v>
      </c>
      <c r="L175" s="2">
        <f t="shared" si="48"/>
        <v>7740869.9565503616</v>
      </c>
      <c r="M175" t="s">
        <v>248</v>
      </c>
      <c r="N175" s="35">
        <v>0.3</v>
      </c>
      <c r="O175" s="2">
        <f t="shared" si="49"/>
        <v>197068071.35140368</v>
      </c>
      <c r="P175" s="18" t="s">
        <v>254</v>
      </c>
      <c r="Q175" s="240">
        <v>0</v>
      </c>
      <c r="R175" s="2">
        <f t="shared" si="50"/>
        <v>0</v>
      </c>
    </row>
    <row r="176" spans="1:18" x14ac:dyDescent="0.35">
      <c r="D176" s="2"/>
      <c r="E176" s="2"/>
      <c r="G176" s="207" t="s">
        <v>426</v>
      </c>
      <c r="H176" s="2">
        <f>SUMIF($J$171:$J$180,G176,$L$171:$L$180)/$L$170/2</f>
        <v>1.575831661447534E-2</v>
      </c>
      <c r="I176" s="5" t="s">
        <v>9</v>
      </c>
      <c r="J176" s="154" t="s">
        <v>212</v>
      </c>
      <c r="K176" s="6">
        <f>'Feedstock MIX per IVC'!J40</f>
        <v>2.3265189987630972</v>
      </c>
      <c r="L176" s="2">
        <f t="shared" si="48"/>
        <v>5438702.3967810469</v>
      </c>
      <c r="M176" t="s">
        <v>250</v>
      </c>
      <c r="N176" s="35">
        <v>0.03</v>
      </c>
      <c r="O176" s="2">
        <f t="shared" si="49"/>
        <v>19706807.135140367</v>
      </c>
    </row>
    <row r="177" spans="1:19" x14ac:dyDescent="0.35">
      <c r="D177" s="2"/>
      <c r="E177" s="2"/>
      <c r="G177" s="158" t="s">
        <v>104</v>
      </c>
      <c r="H177" s="2">
        <f>H176</f>
        <v>1.575831661447534E-2</v>
      </c>
      <c r="I177" s="5" t="s">
        <v>10</v>
      </c>
      <c r="J177" s="178" t="s">
        <v>256</v>
      </c>
      <c r="K177" s="6">
        <f>'Feedstock MIX per IVC'!J41</f>
        <v>17.970044767211444</v>
      </c>
      <c r="L177" s="2">
        <f t="shared" si="48"/>
        <v>42008565.413674295</v>
      </c>
      <c r="M177" s="2"/>
    </row>
    <row r="178" spans="1:19" x14ac:dyDescent="0.35">
      <c r="D178" s="2"/>
      <c r="E178" s="2"/>
      <c r="G178" s="2"/>
      <c r="H178" s="299">
        <f>SUM(H171:H177)</f>
        <v>1</v>
      </c>
      <c r="I178" s="5" t="s">
        <v>11</v>
      </c>
      <c r="J178" s="156" t="s">
        <v>209</v>
      </c>
      <c r="K178" s="6">
        <f>'Feedstock MIX per IVC'!J42</f>
        <v>22.027210483691064</v>
      </c>
      <c r="L178" s="2">
        <f t="shared" si="48"/>
        <v>51492999.849020377</v>
      </c>
    </row>
    <row r="179" spans="1:19" s="31" customFormat="1" x14ac:dyDescent="0.35">
      <c r="I179" s="5" t="s">
        <v>12</v>
      </c>
      <c r="J179" s="159" t="s">
        <v>213</v>
      </c>
      <c r="K179" s="6">
        <f>'Feedstock MIX per IVC'!J43</f>
        <v>0</v>
      </c>
      <c r="L179" s="2">
        <f t="shared" si="48"/>
        <v>0</v>
      </c>
    </row>
    <row r="180" spans="1:19" x14ac:dyDescent="0.35">
      <c r="D180" s="2"/>
      <c r="E180" s="2"/>
      <c r="I180" s="13" t="s">
        <v>26</v>
      </c>
      <c r="J180" s="207" t="s">
        <v>426</v>
      </c>
      <c r="K180" s="6">
        <f>'Feedstock MIX per IVC'!J44</f>
        <v>3.8045452859328091</v>
      </c>
      <c r="L180" s="2">
        <f t="shared" si="48"/>
        <v>8893883.7706744168</v>
      </c>
    </row>
    <row r="181" spans="1:19" s="219" customFormat="1" x14ac:dyDescent="0.35">
      <c r="A181" s="219" t="s">
        <v>28</v>
      </c>
      <c r="D181" s="219">
        <f>'[1]GAP analysis Sc. 2'!$C$139</f>
        <v>1.1166998860872441</v>
      </c>
      <c r="E181" s="219">
        <f>'[2]Conversion factors selected IV '!$O$49</f>
        <v>2.0934000000000004</v>
      </c>
      <c r="F181" s="219">
        <f>D181*E181*1000000</f>
        <v>2337699.5415350376</v>
      </c>
      <c r="G181" s="219">
        <f>'LCoP 2030 HIGH'!E12</f>
        <v>936</v>
      </c>
      <c r="H181" s="219">
        <f>G181*F181</f>
        <v>2188086770.8767953</v>
      </c>
      <c r="I181" s="219">
        <f>'LCoP 2030 HIGH'!H12</f>
        <v>0.75641025641025639</v>
      </c>
      <c r="L181" s="219">
        <f>I181*H181</f>
        <v>1655091275.4068067</v>
      </c>
      <c r="M181" s="219">
        <f>'LCoP 2030 HIGH'!F12</f>
        <v>0.14529914529914531</v>
      </c>
      <c r="O181" s="219">
        <f>M181*H181</f>
        <v>317927137.64876515</v>
      </c>
      <c r="P181" s="219">
        <f>'LCoP 2030 HIGH'!G12</f>
        <v>9.8290598290598288E-2</v>
      </c>
      <c r="R181" s="219">
        <f>P181*H181</f>
        <v>215068357.82122347</v>
      </c>
      <c r="S181" s="219">
        <f>I181+M181+P181</f>
        <v>1</v>
      </c>
    </row>
    <row r="182" spans="1:19" x14ac:dyDescent="0.35">
      <c r="G182" s="158" t="s">
        <v>106</v>
      </c>
      <c r="H182">
        <v>1</v>
      </c>
      <c r="I182" s="13" t="s">
        <v>29</v>
      </c>
      <c r="J182" s="158" t="s">
        <v>106</v>
      </c>
      <c r="L182" s="2">
        <f>L181</f>
        <v>1655091275.4068067</v>
      </c>
      <c r="M182" s="5" t="s">
        <v>245</v>
      </c>
      <c r="N182" s="35">
        <v>0</v>
      </c>
      <c r="O182" s="2">
        <f>N182*O$181</f>
        <v>0</v>
      </c>
      <c r="P182" s="18" t="s">
        <v>251</v>
      </c>
      <c r="Q182" s="35">
        <v>0.25</v>
      </c>
      <c r="R182" s="2">
        <f>Q182*R181</f>
        <v>53767089.455305867</v>
      </c>
    </row>
    <row r="183" spans="1:19" x14ac:dyDescent="0.35">
      <c r="M183" t="s">
        <v>246</v>
      </c>
      <c r="N183" s="35">
        <v>0.02</v>
      </c>
      <c r="O183" s="2">
        <f t="shared" ref="O183:O186" si="51">N183*O$181</f>
        <v>6358542.7529753027</v>
      </c>
      <c r="P183" s="18" t="s">
        <v>210</v>
      </c>
      <c r="Q183" s="35">
        <v>0.15</v>
      </c>
      <c r="R183" s="2">
        <f t="shared" ref="R183:R186" si="52">Q183*R182</f>
        <v>8065063.4182958798</v>
      </c>
    </row>
    <row r="184" spans="1:19" x14ac:dyDescent="0.35">
      <c r="M184" s="5" t="s">
        <v>244</v>
      </c>
      <c r="N184" s="35">
        <v>0.55000000000000004</v>
      </c>
      <c r="O184" s="2">
        <f t="shared" si="51"/>
        <v>174859925.70682085</v>
      </c>
      <c r="P184" s="18" t="s">
        <v>252</v>
      </c>
      <c r="Q184" s="35">
        <v>0.3</v>
      </c>
      <c r="R184" s="2">
        <f t="shared" si="52"/>
        <v>2419519.025488764</v>
      </c>
    </row>
    <row r="185" spans="1:19" x14ac:dyDescent="0.35">
      <c r="M185" t="s">
        <v>247</v>
      </c>
      <c r="N185" s="35">
        <v>0.1</v>
      </c>
      <c r="O185" s="2">
        <f t="shared" si="51"/>
        <v>31792713.764876515</v>
      </c>
      <c r="P185" s="18" t="s">
        <v>253</v>
      </c>
      <c r="Q185" s="35">
        <v>0.3</v>
      </c>
      <c r="R185" s="2">
        <f t="shared" si="52"/>
        <v>725855.70764662919</v>
      </c>
    </row>
    <row r="186" spans="1:19" x14ac:dyDescent="0.35">
      <c r="M186" t="s">
        <v>248</v>
      </c>
      <c r="N186" s="35">
        <v>0.3</v>
      </c>
      <c r="O186" s="2">
        <f t="shared" si="51"/>
        <v>95378141.294629544</v>
      </c>
      <c r="P186" s="18" t="s">
        <v>254</v>
      </c>
      <c r="Q186" s="240">
        <v>0</v>
      </c>
      <c r="R186" s="2">
        <f t="shared" si="52"/>
        <v>0</v>
      </c>
    </row>
    <row r="187" spans="1:19" x14ac:dyDescent="0.35">
      <c r="M187" t="s">
        <v>250</v>
      </c>
      <c r="N187" s="35">
        <v>0.03</v>
      </c>
      <c r="O187" s="2">
        <f>N187*O$181</f>
        <v>9537814.1294629537</v>
      </c>
    </row>
    <row r="189" spans="1:19" x14ac:dyDescent="0.35">
      <c r="A189" s="218" t="s">
        <v>336</v>
      </c>
      <c r="B189" s="218">
        <v>1150</v>
      </c>
      <c r="C189" s="220">
        <f>B189*F189</f>
        <v>1847373943.3468897</v>
      </c>
      <c r="D189" s="225">
        <f>'[1]GAP analysis Sc. 2'!$C$136</f>
        <v>1.6064121246494694</v>
      </c>
      <c r="E189" s="225">
        <f>'[2]Conversion factors selected IV '!$O$125</f>
        <v>1</v>
      </c>
      <c r="F189" s="219">
        <f>D189*E189*1000000</f>
        <v>1606412.1246494693</v>
      </c>
      <c r="G189" s="225">
        <f>'LCoP 2030 HIGH'!E23</f>
        <v>2163.1172082344269</v>
      </c>
      <c r="H189" s="220">
        <f>G189*F189</f>
        <v>3474857710.3456941</v>
      </c>
      <c r="I189" s="220">
        <f>'LCoP 2030 HIGH'!H23</f>
        <v>0.29338086989396761</v>
      </c>
      <c r="J189" s="218"/>
      <c r="K189" s="218"/>
      <c r="L189" s="219">
        <f>I189*H189</f>
        <v>1019456777.8189802</v>
      </c>
      <c r="M189" s="220">
        <f>'LCoP 2030 HIGH'!F23</f>
        <v>0.31667262291307308</v>
      </c>
      <c r="N189" s="218"/>
      <c r="O189" s="219">
        <f>M189*H189</f>
        <v>1100392305.3848865</v>
      </c>
      <c r="P189" s="243">
        <f>'LCoP 2030 HIGH'!G23</f>
        <v>0.38994650719295931</v>
      </c>
      <c r="Q189" s="218"/>
      <c r="R189" s="219">
        <f>P189*H189</f>
        <v>1355008627.1418273</v>
      </c>
      <c r="S189" s="220">
        <f>R189+O189+L189</f>
        <v>3474857710.3456941</v>
      </c>
    </row>
    <row r="190" spans="1:19" x14ac:dyDescent="0.35">
      <c r="C190">
        <f>C189/$C$8</f>
        <v>0.10824247329520832</v>
      </c>
      <c r="D190" s="6"/>
      <c r="E190" s="6"/>
      <c r="F190" s="154" t="s">
        <v>212</v>
      </c>
      <c r="G190" s="2">
        <f>SUMIF($J$190:$J$197,F190,$L$190:$L$197)/$L$189</f>
        <v>0.65908395710014533</v>
      </c>
      <c r="H190" s="209" t="s">
        <v>292</v>
      </c>
      <c r="I190" s="5" t="s">
        <v>5</v>
      </c>
      <c r="J190" s="154" t="s">
        <v>212</v>
      </c>
      <c r="K190" s="6">
        <f>'Feedstock MIX per IVC'!J116</f>
        <v>352.14667333355487</v>
      </c>
      <c r="L190" s="2">
        <f>K190*F$189</f>
        <v>565692685.69799852</v>
      </c>
      <c r="M190" s="5" t="s">
        <v>245</v>
      </c>
      <c r="N190" s="174">
        <v>0.15</v>
      </c>
      <c r="O190" s="2">
        <f>N190*O$189</f>
        <v>165058845.80773297</v>
      </c>
      <c r="P190" s="18" t="s">
        <v>251</v>
      </c>
      <c r="Q190" s="123">
        <v>0.15</v>
      </c>
      <c r="R190" s="2">
        <f>Q190*R$189</f>
        <v>203251294.0712741</v>
      </c>
    </row>
    <row r="191" spans="1:19" x14ac:dyDescent="0.35">
      <c r="D191" s="6"/>
      <c r="E191" s="6"/>
      <c r="F191" s="178" t="s">
        <v>256</v>
      </c>
      <c r="G191" s="2">
        <f>SUMIF($J$190:$J$197,F191,$L$190:$L$197)/$L$189</f>
        <v>0.14655424124318214</v>
      </c>
      <c r="H191" s="209" t="s">
        <v>292</v>
      </c>
      <c r="I191" s="5" t="s">
        <v>6</v>
      </c>
      <c r="J191" s="154" t="s">
        <v>212</v>
      </c>
      <c r="K191" s="6">
        <f>'Feedstock MIX per IVC'!J117</f>
        <v>18.419440190533358</v>
      </c>
      <c r="L191" s="2">
        <f>K191*F$189</f>
        <v>29589212.051328517</v>
      </c>
      <c r="M191" t="s">
        <v>246</v>
      </c>
      <c r="N191" s="35">
        <v>0.02</v>
      </c>
      <c r="O191" s="2">
        <f>N191*O$189</f>
        <v>22007846.107697729</v>
      </c>
      <c r="P191" s="18" t="s">
        <v>210</v>
      </c>
      <c r="Q191" s="123">
        <v>0.25</v>
      </c>
      <c r="R191" s="2">
        <f>Q191*R$189</f>
        <v>338752156.78545684</v>
      </c>
    </row>
    <row r="192" spans="1:19" x14ac:dyDescent="0.35">
      <c r="D192" s="6"/>
      <c r="E192" s="6"/>
      <c r="F192" s="156" t="s">
        <v>209</v>
      </c>
      <c r="G192" s="2">
        <f>SUMIF($J$190:$J$197,F192,$L$190:$L$197)/$L$189</f>
        <v>0.17964235264630082</v>
      </c>
      <c r="H192" s="209" t="s">
        <v>292</v>
      </c>
      <c r="I192" s="5" t="s">
        <v>7</v>
      </c>
      <c r="J192" s="157" t="s">
        <v>211</v>
      </c>
      <c r="K192" s="6">
        <f>'Feedstock MIX per IVC'!J118</f>
        <v>9.3412156377111621</v>
      </c>
      <c r="L192" s="2">
        <f>K192*F$189</f>
        <v>15005842.059384435</v>
      </c>
      <c r="M192" s="5" t="s">
        <v>244</v>
      </c>
      <c r="N192" s="174">
        <v>0.45</v>
      </c>
      <c r="O192" s="2">
        <f>N192*O$189</f>
        <v>495176537.42319894</v>
      </c>
      <c r="P192" s="18" t="s">
        <v>252</v>
      </c>
      <c r="Q192" s="123">
        <v>0.2</v>
      </c>
      <c r="R192" s="2">
        <f>Q192*R$189</f>
        <v>271001725.42836547</v>
      </c>
      <c r="S192" s="2"/>
    </row>
    <row r="193" spans="1:19" x14ac:dyDescent="0.35">
      <c r="D193" s="6"/>
      <c r="E193" s="6"/>
      <c r="F193" s="157" t="s">
        <v>211</v>
      </c>
      <c r="G193" s="2">
        <f>SUMIF($J$190:$J$197,F193,$L$190:$L$197)/$L$189</f>
        <v>1.4719449010371822E-2</v>
      </c>
      <c r="H193" s="209" t="s">
        <v>292</v>
      </c>
      <c r="I193" s="5" t="s">
        <v>8</v>
      </c>
      <c r="J193" s="154" t="s">
        <v>212</v>
      </c>
      <c r="K193" s="6">
        <f>'Feedstock MIX per IVC'!J119</f>
        <v>35.29932819362039</v>
      </c>
      <c r="L193" s="2">
        <f>K193*F$189</f>
        <v>56705268.802212641</v>
      </c>
      <c r="M193" t="s">
        <v>247</v>
      </c>
      <c r="N193" s="35">
        <v>0.1</v>
      </c>
      <c r="O193" s="2">
        <f>N193*O$189</f>
        <v>110039230.53848866</v>
      </c>
      <c r="P193" s="18" t="s">
        <v>253</v>
      </c>
      <c r="Q193" s="123">
        <v>0.3</v>
      </c>
      <c r="R193" s="2">
        <f>Q193*R$189</f>
        <v>406502588.1425482</v>
      </c>
    </row>
    <row r="194" spans="1:19" x14ac:dyDescent="0.35">
      <c r="D194" s="6"/>
      <c r="E194" s="6"/>
      <c r="F194" s="159" t="s">
        <v>213</v>
      </c>
      <c r="G194" s="2">
        <f>SUMIF($J$190:$J$197,F194,$L$190:$L$197)/$L$189</f>
        <v>0</v>
      </c>
      <c r="H194" s="209" t="s">
        <v>292</v>
      </c>
      <c r="I194" s="5" t="s">
        <v>9</v>
      </c>
      <c r="J194" s="154" t="s">
        <v>212</v>
      </c>
      <c r="K194" s="6">
        <f>'Feedstock MIX per IVC'!J120</f>
        <v>12.400579129284262</v>
      </c>
      <c r="L194" s="2">
        <f>K194*F$189</f>
        <v>19920440.665957399</v>
      </c>
      <c r="M194" t="s">
        <v>248</v>
      </c>
      <c r="N194" s="35">
        <v>0.25</v>
      </c>
      <c r="O194" s="2">
        <f>N194*O$189</f>
        <v>275098076.34622163</v>
      </c>
      <c r="P194" s="18" t="s">
        <v>254</v>
      </c>
      <c r="Q194" s="123">
        <v>0.1</v>
      </c>
      <c r="R194" s="2">
        <f>Q194*R$189</f>
        <v>135500862.71418273</v>
      </c>
    </row>
    <row r="195" spans="1:19" x14ac:dyDescent="0.35">
      <c r="D195" s="6"/>
      <c r="E195" s="6"/>
      <c r="F195" s="31"/>
      <c r="G195" s="2">
        <f>SUM(G190:G194)</f>
        <v>1.0000000000000002</v>
      </c>
      <c r="H195" s="209" t="s">
        <v>292</v>
      </c>
      <c r="I195" s="5" t="s">
        <v>10</v>
      </c>
      <c r="J195" s="178" t="s">
        <v>256</v>
      </c>
      <c r="K195" s="6">
        <f>'Feedstock MIX per IVC'!J121</f>
        <v>93.005843432662942</v>
      </c>
      <c r="L195" s="2">
        <f>K195*F$189</f>
        <v>149405714.55347997</v>
      </c>
      <c r="M195" t="s">
        <v>250</v>
      </c>
      <c r="N195" s="35">
        <v>0.03</v>
      </c>
      <c r="O195" s="2">
        <f>N195*O$189</f>
        <v>33011769.161546595</v>
      </c>
      <c r="Q195" s="35"/>
      <c r="R195" s="2"/>
    </row>
    <row r="196" spans="1:19" x14ac:dyDescent="0.35">
      <c r="D196" s="6"/>
      <c r="E196" s="6"/>
      <c r="F196" s="31"/>
      <c r="G196" s="6"/>
      <c r="H196" s="209" t="s">
        <v>292</v>
      </c>
      <c r="I196" s="5" t="s">
        <v>11</v>
      </c>
      <c r="J196" s="156" t="s">
        <v>209</v>
      </c>
      <c r="K196" s="6">
        <f>'Feedstock MIX per IVC'!J122</f>
        <v>114.00412831705982</v>
      </c>
      <c r="L196" s="2">
        <f>K196*F$189</f>
        <v>183137613.98861879</v>
      </c>
    </row>
    <row r="197" spans="1:19" x14ac:dyDescent="0.35">
      <c r="D197" s="6"/>
      <c r="E197" s="6"/>
      <c r="F197" s="31"/>
      <c r="G197" s="6"/>
      <c r="H197" s="209" t="s">
        <v>292</v>
      </c>
      <c r="I197" s="5" t="s">
        <v>12</v>
      </c>
      <c r="J197" s="159" t="s">
        <v>213</v>
      </c>
      <c r="K197" s="6">
        <f>'Feedstock MIX per IVC'!J123</f>
        <v>0</v>
      </c>
      <c r="L197" s="2">
        <f>K197*F$189</f>
        <v>0</v>
      </c>
    </row>
    <row r="198" spans="1:19" x14ac:dyDescent="0.35">
      <c r="D198" s="6"/>
      <c r="E198" s="6"/>
      <c r="F198" s="31"/>
      <c r="G198" s="6"/>
      <c r="H198" s="6"/>
      <c r="I198" s="6"/>
      <c r="J198" s="6"/>
      <c r="K198" s="6"/>
      <c r="L198" s="2"/>
    </row>
    <row r="199" spans="1:19" x14ac:dyDescent="0.35">
      <c r="I199" s="80" t="s">
        <v>214</v>
      </c>
    </row>
    <row r="200" spans="1:19" x14ac:dyDescent="0.35">
      <c r="J200" s="157" t="s">
        <v>211</v>
      </c>
      <c r="L200" s="2">
        <f>L174+L192</f>
        <v>19102754.900954328</v>
      </c>
    </row>
    <row r="201" spans="1:19" x14ac:dyDescent="0.35">
      <c r="J201" s="154" t="s">
        <v>212</v>
      </c>
      <c r="L201" s="2">
        <f>L171+L172+L175+L176+L190+L191+L193+L194</f>
        <v>847611751.10715985</v>
      </c>
    </row>
    <row r="202" spans="1:19" x14ac:dyDescent="0.35">
      <c r="J202" s="178" t="s">
        <v>256</v>
      </c>
      <c r="L202" s="2">
        <f>L177+L195</f>
        <v>191414279.96715426</v>
      </c>
    </row>
    <row r="203" spans="1:19" x14ac:dyDescent="0.35">
      <c r="J203" s="156" t="s">
        <v>209</v>
      </c>
      <c r="L203" s="2">
        <f>L178+L196</f>
        <v>234630613.83763915</v>
      </c>
    </row>
    <row r="204" spans="1:19" x14ac:dyDescent="0.35">
      <c r="J204" s="159" t="s">
        <v>213</v>
      </c>
      <c r="L204" s="2">
        <f>L179+L173+L197</f>
        <v>0</v>
      </c>
    </row>
    <row r="205" spans="1:19" x14ac:dyDescent="0.35">
      <c r="J205" s="158" t="s">
        <v>106</v>
      </c>
      <c r="L205" s="2">
        <f>L182</f>
        <v>1655091275.4068067</v>
      </c>
    </row>
    <row r="206" spans="1:19" x14ac:dyDescent="0.35">
      <c r="J206" t="s">
        <v>362</v>
      </c>
    </row>
    <row r="208" spans="1:19" x14ac:dyDescent="0.35">
      <c r="A208" s="246" t="s">
        <v>394</v>
      </c>
      <c r="B208" s="246"/>
      <c r="C208" s="246"/>
      <c r="D208" s="207"/>
      <c r="E208" s="207"/>
      <c r="F208" s="215"/>
      <c r="G208" s="207"/>
      <c r="H208" s="207"/>
      <c r="I208" s="207"/>
      <c r="J208" s="207"/>
      <c r="K208" s="207"/>
      <c r="L208" s="207"/>
      <c r="M208" s="207"/>
      <c r="N208" s="207"/>
      <c r="O208" s="207"/>
      <c r="P208" s="207"/>
      <c r="Q208" s="207"/>
      <c r="R208" s="207"/>
      <c r="S208" s="207"/>
    </row>
    <row r="209" spans="1:19" x14ac:dyDescent="0.35">
      <c r="B209" s="2">
        <f>C209/1000000</f>
        <v>0</v>
      </c>
      <c r="C209" s="2">
        <f>C210+C217</f>
        <v>0</v>
      </c>
      <c r="D209" s="2">
        <f>D210+D217</f>
        <v>0</v>
      </c>
      <c r="F209" s="2">
        <f>F210+F217</f>
        <v>0</v>
      </c>
      <c r="L209" s="2">
        <f>L210+L217</f>
        <v>0</v>
      </c>
      <c r="O209" s="2">
        <f>O210+O217</f>
        <v>0</v>
      </c>
      <c r="R209" s="2">
        <f>R210+R217</f>
        <v>0</v>
      </c>
    </row>
    <row r="210" spans="1:19" x14ac:dyDescent="0.35">
      <c r="A210" s="219" t="s">
        <v>395</v>
      </c>
      <c r="B210" s="219">
        <v>935</v>
      </c>
      <c r="C210" s="219">
        <f>B210*F210</f>
        <v>0</v>
      </c>
      <c r="D210" s="308"/>
      <c r="E210" s="219">
        <f>'[2]Conversion factors selected IV '!$O$50</f>
        <v>2.0934000000000004</v>
      </c>
      <c r="F210" s="219">
        <f>D210*E210*1000000</f>
        <v>0</v>
      </c>
      <c r="G210" s="219">
        <f>'LCoP 2030 HIGH'!E13</f>
        <v>377.86968567880001</v>
      </c>
      <c r="H210" s="219">
        <f>G210*F210</f>
        <v>0</v>
      </c>
      <c r="I210" s="226">
        <f>'LCoP 2030 HIGH'!H13</f>
        <v>0.77240831096172546</v>
      </c>
      <c r="J210" s="219"/>
      <c r="K210" s="219"/>
      <c r="L210" s="219">
        <f>I210*H210</f>
        <v>0</v>
      </c>
      <c r="M210" s="226">
        <f>'LCoP 2030 HIGH'!F13</f>
        <v>0.15084565436257732</v>
      </c>
      <c r="N210" s="219"/>
      <c r="O210" s="219">
        <f>M210*H210</f>
        <v>0</v>
      </c>
      <c r="P210" s="226">
        <f>'LCoP 2030 HIGH'!G13</f>
        <v>7.6746034675697239E-2</v>
      </c>
      <c r="Q210" s="219"/>
      <c r="R210" s="219">
        <f>P210*H210</f>
        <v>0</v>
      </c>
      <c r="S210" s="219"/>
    </row>
    <row r="211" spans="1:19" x14ac:dyDescent="0.35">
      <c r="E211" s="1"/>
      <c r="F211" s="261" t="s">
        <v>210</v>
      </c>
      <c r="G211">
        <v>1</v>
      </c>
      <c r="I211" s="15" t="s">
        <v>31</v>
      </c>
      <c r="J211" s="261" t="s">
        <v>210</v>
      </c>
      <c r="L211" s="2">
        <f>L210</f>
        <v>0</v>
      </c>
      <c r="M211" s="5" t="s">
        <v>245</v>
      </c>
      <c r="N211" s="35">
        <v>0.2</v>
      </c>
      <c r="O211" s="2">
        <f>N211*O$210</f>
        <v>0</v>
      </c>
      <c r="P211" s="18" t="s">
        <v>251</v>
      </c>
      <c r="Q211" s="35">
        <v>0.35</v>
      </c>
      <c r="R211" s="2">
        <f>Q211*$R$210</f>
        <v>0</v>
      </c>
    </row>
    <row r="212" spans="1:19" x14ac:dyDescent="0.35">
      <c r="E212" s="1"/>
      <c r="M212" t="s">
        <v>246</v>
      </c>
      <c r="N212" s="35">
        <v>7.0000000000000007E-2</v>
      </c>
      <c r="O212" s="2">
        <f>N212*O$210</f>
        <v>0</v>
      </c>
      <c r="P212" s="18" t="s">
        <v>210</v>
      </c>
      <c r="Q212" s="35">
        <v>0.15</v>
      </c>
      <c r="R212" s="2">
        <f>Q212*$R$210</f>
        <v>0</v>
      </c>
    </row>
    <row r="213" spans="1:19" x14ac:dyDescent="0.35">
      <c r="E213" s="1"/>
      <c r="M213" s="5" t="s">
        <v>244</v>
      </c>
      <c r="N213" s="35">
        <v>0.4</v>
      </c>
      <c r="O213" s="2">
        <f>N213*O$210</f>
        <v>0</v>
      </c>
      <c r="P213" s="18" t="s">
        <v>252</v>
      </c>
      <c r="Q213" s="35">
        <v>0.12</v>
      </c>
      <c r="R213" s="2">
        <f>Q213*$R$210</f>
        <v>0</v>
      </c>
    </row>
    <row r="214" spans="1:19" x14ac:dyDescent="0.35">
      <c r="E214" s="1"/>
      <c r="M214" t="s">
        <v>247</v>
      </c>
      <c r="N214" s="35">
        <v>0.15</v>
      </c>
      <c r="O214" s="2">
        <f>N214*O$210</f>
        <v>0</v>
      </c>
      <c r="P214" s="18" t="s">
        <v>253</v>
      </c>
      <c r="Q214" s="35">
        <v>0.3</v>
      </c>
      <c r="R214" s="2">
        <f>Q214*$R$210</f>
        <v>0</v>
      </c>
    </row>
    <row r="215" spans="1:19" x14ac:dyDescent="0.35">
      <c r="E215" s="1"/>
      <c r="M215" t="s">
        <v>248</v>
      </c>
      <c r="N215" s="35">
        <v>0.15</v>
      </c>
      <c r="O215" s="2">
        <f>N215*O$210</f>
        <v>0</v>
      </c>
      <c r="P215" s="18" t="s">
        <v>254</v>
      </c>
      <c r="Q215" s="35">
        <v>0.08</v>
      </c>
      <c r="R215" s="2">
        <f>Q215*$R$210</f>
        <v>0</v>
      </c>
    </row>
    <row r="216" spans="1:19" x14ac:dyDescent="0.35">
      <c r="E216" s="1"/>
      <c r="M216" t="s">
        <v>250</v>
      </c>
      <c r="N216" s="35">
        <v>0.03</v>
      </c>
      <c r="O216" s="2">
        <f>N216*O$210</f>
        <v>0</v>
      </c>
      <c r="Q216" s="35">
        <f>SUM(Q211:Q215)</f>
        <v>0.99999999999999989</v>
      </c>
    </row>
    <row r="217" spans="1:19" x14ac:dyDescent="0.35">
      <c r="A217" s="219" t="s">
        <v>396</v>
      </c>
      <c r="B217" s="219">
        <v>1275</v>
      </c>
      <c r="C217" s="219">
        <f>B217*F217</f>
        <v>0</v>
      </c>
      <c r="D217" s="308"/>
      <c r="E217" s="219">
        <f>'[2]Conversion factors selected IV '!$O$62</f>
        <v>0.83669064748201449</v>
      </c>
      <c r="F217" s="219">
        <f>D217*E217*1000000</f>
        <v>0</v>
      </c>
      <c r="G217" s="219">
        <f>'LCoP 2030 HIGH'!E15</f>
        <v>1975.5649183147032</v>
      </c>
      <c r="H217" s="219">
        <f>G217*F217</f>
        <v>0</v>
      </c>
      <c r="I217" s="226">
        <f>'LCoP 2030 HIGH'!H15</f>
        <v>0.85877457257238266</v>
      </c>
      <c r="J217" s="219"/>
      <c r="K217" s="219"/>
      <c r="L217" s="219">
        <f>I217*H217</f>
        <v>0</v>
      </c>
      <c r="M217" s="226">
        <f>'LCoP 2030 HIGH'!F15</f>
        <v>6.4791593945286829E-2</v>
      </c>
      <c r="N217" s="219"/>
      <c r="O217" s="219">
        <f>M217*H217</f>
        <v>0</v>
      </c>
      <c r="P217" s="226">
        <f>'LCoP 2030 HIGH'!G15</f>
        <v>7.6433833482330557E-2</v>
      </c>
      <c r="Q217" s="219"/>
      <c r="R217" s="219">
        <f>P217*H217</f>
        <v>0</v>
      </c>
      <c r="S217" s="219"/>
    </row>
    <row r="218" spans="1:19" x14ac:dyDescent="0.35">
      <c r="E218" s="1"/>
      <c r="F218" s="261" t="s">
        <v>210</v>
      </c>
      <c r="G218">
        <v>1</v>
      </c>
      <c r="I218" s="15" t="s">
        <v>31</v>
      </c>
      <c r="J218" s="261" t="s">
        <v>210</v>
      </c>
      <c r="L218" s="2">
        <f>L217</f>
        <v>0</v>
      </c>
      <c r="M218" s="5" t="s">
        <v>245</v>
      </c>
      <c r="N218" s="35">
        <v>0.2</v>
      </c>
      <c r="O218" s="2">
        <f>N218*O$217</f>
        <v>0</v>
      </c>
      <c r="P218" s="18" t="s">
        <v>251</v>
      </c>
      <c r="Q218" s="35">
        <v>0.35</v>
      </c>
      <c r="R218" s="2">
        <f>Q218*$R$217</f>
        <v>0</v>
      </c>
    </row>
    <row r="219" spans="1:19" x14ac:dyDescent="0.35">
      <c r="M219" t="s">
        <v>246</v>
      </c>
      <c r="N219" s="35">
        <v>7.0000000000000007E-2</v>
      </c>
      <c r="O219" s="2">
        <f>N219*O$217</f>
        <v>0</v>
      </c>
      <c r="P219" s="18" t="s">
        <v>210</v>
      </c>
      <c r="Q219" s="35">
        <v>0.15</v>
      </c>
      <c r="R219" s="2">
        <f>Q219*$R$217</f>
        <v>0</v>
      </c>
    </row>
    <row r="220" spans="1:19" x14ac:dyDescent="0.35">
      <c r="M220" s="5" t="s">
        <v>244</v>
      </c>
      <c r="N220" s="35">
        <v>0.4</v>
      </c>
      <c r="O220" s="2">
        <f>N220*O$217</f>
        <v>0</v>
      </c>
      <c r="P220" s="18" t="s">
        <v>252</v>
      </c>
      <c r="Q220" s="35">
        <v>0.12</v>
      </c>
      <c r="R220" s="2">
        <f>Q220*$R$217</f>
        <v>0</v>
      </c>
    </row>
    <row r="221" spans="1:19" x14ac:dyDescent="0.35">
      <c r="M221" t="s">
        <v>247</v>
      </c>
      <c r="N221" s="35">
        <v>0.15</v>
      </c>
      <c r="O221" s="2">
        <f>N221*O$217</f>
        <v>0</v>
      </c>
      <c r="P221" s="18" t="s">
        <v>253</v>
      </c>
      <c r="Q221" s="35">
        <v>0.3</v>
      </c>
      <c r="R221" s="2">
        <f>Q221*$R$217</f>
        <v>0</v>
      </c>
    </row>
    <row r="222" spans="1:19" x14ac:dyDescent="0.35">
      <c r="M222" t="s">
        <v>248</v>
      </c>
      <c r="N222" s="35">
        <v>0.15</v>
      </c>
      <c r="O222" s="2">
        <f>N222*O$217</f>
        <v>0</v>
      </c>
      <c r="P222" s="18" t="s">
        <v>254</v>
      </c>
      <c r="Q222" s="35">
        <v>0.08</v>
      </c>
      <c r="R222" s="2">
        <f>Q222*$R$217</f>
        <v>0</v>
      </c>
    </row>
    <row r="223" spans="1:19" x14ac:dyDescent="0.35">
      <c r="M223" t="s">
        <v>250</v>
      </c>
      <c r="N223" s="35">
        <v>0.03</v>
      </c>
      <c r="O223" s="2">
        <f>N223*O$217</f>
        <v>0</v>
      </c>
      <c r="Q223" s="35">
        <f>SUM(Q218:Q222)</f>
        <v>0.99999999999999989</v>
      </c>
    </row>
    <row r="224" spans="1:19" x14ac:dyDescent="0.35">
      <c r="O224" s="2">
        <f>SUM(O218:O223)</f>
        <v>0</v>
      </c>
      <c r="R224" s="2">
        <f>SUM(R218:R223)</f>
        <v>0</v>
      </c>
    </row>
    <row r="226" spans="1:18" s="105" customFormat="1" ht="34" customHeight="1" x14ac:dyDescent="0.35">
      <c r="A226" s="34" t="s">
        <v>363</v>
      </c>
      <c r="B226" s="34"/>
      <c r="C226" s="34"/>
      <c r="F226" s="244"/>
    </row>
    <row r="227" spans="1:18" x14ac:dyDescent="0.35">
      <c r="D227" s="6">
        <f>SUM(D228+D235+D243+D251)</f>
        <v>12.866573207234707</v>
      </c>
    </row>
    <row r="228" spans="1:18" s="119" customFormat="1" x14ac:dyDescent="0.35">
      <c r="A228" s="119" t="s">
        <v>305</v>
      </c>
      <c r="D228" s="105">
        <f>'[1]GAP analysis Sc. 2'!$I$20</f>
        <v>2.4328447263976689</v>
      </c>
      <c r="E228" s="119">
        <f>'[2]Conversion factors selected IV '!$O$4</f>
        <v>1.1315675675675676</v>
      </c>
      <c r="F228" s="119">
        <f>D228*E228*1000000</f>
        <v>2752928.1893193945</v>
      </c>
      <c r="G228" s="119">
        <v>629</v>
      </c>
      <c r="H228" s="119">
        <f>G228*F228</f>
        <v>1731591831.0818992</v>
      </c>
      <c r="I228" s="119">
        <v>0.75</v>
      </c>
      <c r="K228" s="119">
        <f>I228*G228</f>
        <v>471.75</v>
      </c>
      <c r="L228" s="119">
        <f>I228*H228</f>
        <v>1298693873.3114243</v>
      </c>
      <c r="M228" s="119">
        <v>6.5000000000000002E-2</v>
      </c>
      <c r="O228" s="119">
        <f>M228*H228</f>
        <v>112553469.02032346</v>
      </c>
      <c r="P228" s="119">
        <v>0.185</v>
      </c>
      <c r="R228" s="119">
        <f>P228*H228</f>
        <v>320344488.75015134</v>
      </c>
    </row>
    <row r="229" spans="1:18" x14ac:dyDescent="0.35">
      <c r="E229" s="6"/>
      <c r="H229" s="209" t="s">
        <v>292</v>
      </c>
      <c r="I229" s="18" t="s">
        <v>260</v>
      </c>
      <c r="J229" s="161" t="s">
        <v>211</v>
      </c>
      <c r="K229" s="112">
        <f>'Feedtstocks only CONVENTIONAL'!$J$4</f>
        <v>0.76052615016678204</v>
      </c>
      <c r="L229" s="2">
        <f>K229*L$228</f>
        <v>987690651.71472406</v>
      </c>
      <c r="M229" t="s">
        <v>296</v>
      </c>
      <c r="N229" s="61">
        <v>0.45</v>
      </c>
      <c r="O229" s="2">
        <f>N229*$O$228</f>
        <v>50649061.059145555</v>
      </c>
      <c r="P229" t="s">
        <v>298</v>
      </c>
      <c r="Q229" s="61">
        <v>0.3</v>
      </c>
      <c r="R229" s="2">
        <f>Q229*R$228</f>
        <v>96103346.625045404</v>
      </c>
    </row>
    <row r="230" spans="1:18" x14ac:dyDescent="0.35">
      <c r="D230" s="6"/>
      <c r="E230" s="6"/>
      <c r="H230" s="208" t="s">
        <v>290</v>
      </c>
      <c r="I230" s="18" t="s">
        <v>261</v>
      </c>
      <c r="J230" s="161" t="s">
        <v>211</v>
      </c>
      <c r="K230" s="112">
        <f>'Feedtstocks only CONVENTIONAL'!$J$5</f>
        <v>0.16011076845616465</v>
      </c>
      <c r="L230" s="2">
        <f t="shared" ref="L230:L232" si="53">K230*L$228</f>
        <v>207934874.04520509</v>
      </c>
      <c r="M230" t="s">
        <v>297</v>
      </c>
      <c r="N230" s="61">
        <v>0.3</v>
      </c>
      <c r="O230" s="2">
        <f t="shared" ref="O230:O233" si="54">N230*$O$228</f>
        <v>33766040.706097037</v>
      </c>
      <c r="P230" t="s">
        <v>299</v>
      </c>
      <c r="Q230" s="61">
        <v>0.2</v>
      </c>
      <c r="R230" s="2">
        <f t="shared" ref="R230:R234" si="55">Q230*R$228</f>
        <v>64068897.750030272</v>
      </c>
    </row>
    <row r="231" spans="1:18" x14ac:dyDescent="0.35">
      <c r="D231" s="6"/>
      <c r="E231" s="6"/>
      <c r="H231" s="209" t="s">
        <v>292</v>
      </c>
      <c r="I231" s="18" t="s">
        <v>263</v>
      </c>
      <c r="J231" s="161" t="s">
        <v>211</v>
      </c>
      <c r="K231" s="112">
        <f>'Feedtstocks only CONVENTIONAL'!$J$6</f>
        <v>4.0027692114041162E-2</v>
      </c>
      <c r="L231" s="2">
        <f t="shared" si="53"/>
        <v>51983718.511301272</v>
      </c>
      <c r="M231" t="s">
        <v>247</v>
      </c>
      <c r="N231" s="61">
        <v>0.15</v>
      </c>
      <c r="O231" s="2">
        <f t="shared" si="54"/>
        <v>16883020.353048518</v>
      </c>
      <c r="P231" t="s">
        <v>252</v>
      </c>
      <c r="Q231" s="61">
        <v>0.25</v>
      </c>
      <c r="R231" s="2">
        <f t="shared" si="55"/>
        <v>80086122.187537834</v>
      </c>
    </row>
    <row r="232" spans="1:18" x14ac:dyDescent="0.35">
      <c r="D232" s="6"/>
      <c r="E232" s="6"/>
      <c r="H232" s="208" t="s">
        <v>290</v>
      </c>
      <c r="I232" s="18" t="s">
        <v>262</v>
      </c>
      <c r="J232" s="161" t="s">
        <v>211</v>
      </c>
      <c r="K232" s="112">
        <f>'Feedtstocks only CONVENTIONAL'!$J$7</f>
        <v>3.9335389263012145E-2</v>
      </c>
      <c r="L232" s="2">
        <f t="shared" si="53"/>
        <v>51084629.040193856</v>
      </c>
      <c r="M232" t="s">
        <v>245</v>
      </c>
      <c r="N232" s="61">
        <v>7.0000000000000007E-2</v>
      </c>
      <c r="O232" s="2">
        <f t="shared" si="54"/>
        <v>7878742.8314226428</v>
      </c>
      <c r="P232" t="s">
        <v>300</v>
      </c>
      <c r="Q232" s="61">
        <v>0.15</v>
      </c>
      <c r="R232" s="2">
        <f t="shared" si="55"/>
        <v>48051673.312522702</v>
      </c>
    </row>
    <row r="233" spans="1:18" x14ac:dyDescent="0.35">
      <c r="D233" s="6"/>
      <c r="E233" s="6"/>
      <c r="L233" s="2">
        <f>SUM(L229:L232)</f>
        <v>1298693873.3114243</v>
      </c>
      <c r="M233" t="s">
        <v>250</v>
      </c>
      <c r="N233" s="61">
        <v>0.03</v>
      </c>
      <c r="O233" s="2">
        <f t="shared" si="54"/>
        <v>3376604.0706097037</v>
      </c>
      <c r="P233" s="18" t="s">
        <v>254</v>
      </c>
      <c r="Q233" s="61">
        <v>0.1</v>
      </c>
      <c r="R233" s="2">
        <f t="shared" si="55"/>
        <v>32034448.875015136</v>
      </c>
    </row>
    <row r="234" spans="1:18" x14ac:dyDescent="0.35">
      <c r="D234" s="6"/>
      <c r="E234" s="6"/>
      <c r="O234" s="2">
        <f>SUM(O229:O233)</f>
        <v>112553469.02032346</v>
      </c>
      <c r="P234" t="s">
        <v>213</v>
      </c>
      <c r="Q234" s="61">
        <v>0</v>
      </c>
      <c r="R234" s="2">
        <f t="shared" si="55"/>
        <v>0</v>
      </c>
    </row>
    <row r="235" spans="1:18" s="119" customFormat="1" x14ac:dyDescent="0.35">
      <c r="A235" s="119" t="s">
        <v>373</v>
      </c>
      <c r="D235" s="119">
        <f>'[1]GAP analysis Sc. 2'!$I$21</f>
        <v>3.9873984807654104</v>
      </c>
      <c r="E235" s="119">
        <f>'[2]Conversion factors selected IV '!$O$7</f>
        <v>0.95154545454545458</v>
      </c>
      <c r="F235" s="119">
        <f>D235*E235*1000000</f>
        <v>3794190.8998337775</v>
      </c>
      <c r="G235" s="119">
        <v>665.824761904762</v>
      </c>
      <c r="H235" s="119">
        <f>G235*F235</f>
        <v>2526266252.5030394</v>
      </c>
      <c r="I235" s="119">
        <v>0.7</v>
      </c>
      <c r="K235" s="119">
        <f>'Feedtstocks only CONVENTIONAL'!I125</f>
        <v>0</v>
      </c>
      <c r="L235" s="119">
        <f>I235*H235</f>
        <v>1768386376.7521274</v>
      </c>
      <c r="M235" s="119">
        <v>0.1</v>
      </c>
      <c r="O235" s="119">
        <f>M235*H235</f>
        <v>252626625.25030395</v>
      </c>
      <c r="P235" s="119">
        <v>0.2</v>
      </c>
      <c r="R235" s="119">
        <f>P235*H235</f>
        <v>505253250.50060791</v>
      </c>
    </row>
    <row r="236" spans="1:18" s="122" customFormat="1" x14ac:dyDescent="0.35">
      <c r="D236" s="310"/>
      <c r="H236"/>
      <c r="I236" s="18" t="s">
        <v>260</v>
      </c>
      <c r="J236" s="161" t="s">
        <v>211</v>
      </c>
      <c r="K236"/>
      <c r="L236"/>
      <c r="M236" t="s">
        <v>296</v>
      </c>
      <c r="N236" s="61">
        <v>0.55000000000000004</v>
      </c>
      <c r="O236" s="2">
        <f>N236*$O$235</f>
        <v>138944643.88766718</v>
      </c>
      <c r="P236" t="s">
        <v>298</v>
      </c>
      <c r="Q236" s="61">
        <v>0.4</v>
      </c>
      <c r="R236" s="2">
        <f>Q236*$R$235</f>
        <v>202101300.20024318</v>
      </c>
    </row>
    <row r="237" spans="1:18" s="122" customFormat="1" x14ac:dyDescent="0.35">
      <c r="D237" s="310"/>
      <c r="H237"/>
      <c r="I237" s="18" t="s">
        <v>261</v>
      </c>
      <c r="J237" s="161" t="s">
        <v>211</v>
      </c>
      <c r="K237"/>
      <c r="L237"/>
      <c r="M237" t="s">
        <v>297</v>
      </c>
      <c r="N237" s="61">
        <v>0.25</v>
      </c>
      <c r="O237" s="2">
        <f t="shared" ref="O237:O240" si="56">N237*$O$235</f>
        <v>63156656.312575988</v>
      </c>
      <c r="P237" t="s">
        <v>299</v>
      </c>
      <c r="Q237" s="61">
        <v>0.2</v>
      </c>
      <c r="R237" s="2">
        <f t="shared" ref="R237:R241" si="57">Q237*$R$235</f>
        <v>101050650.10012159</v>
      </c>
    </row>
    <row r="238" spans="1:18" s="122" customFormat="1" x14ac:dyDescent="0.35">
      <c r="D238" s="310"/>
      <c r="H238"/>
      <c r="I238" s="18" t="s">
        <v>263</v>
      </c>
      <c r="J238" s="161" t="s">
        <v>211</v>
      </c>
      <c r="K238"/>
      <c r="L238"/>
      <c r="M238" t="s">
        <v>247</v>
      </c>
      <c r="N238" s="61">
        <v>0.1</v>
      </c>
      <c r="O238" s="2">
        <f t="shared" si="56"/>
        <v>25262662.525030397</v>
      </c>
      <c r="P238" t="s">
        <v>252</v>
      </c>
      <c r="Q238" s="61">
        <v>0.2</v>
      </c>
      <c r="R238" s="2">
        <f t="shared" si="57"/>
        <v>101050650.10012159</v>
      </c>
    </row>
    <row r="239" spans="1:18" s="122" customFormat="1" x14ac:dyDescent="0.35">
      <c r="D239" s="310"/>
      <c r="H239"/>
      <c r="I239" s="18" t="s">
        <v>262</v>
      </c>
      <c r="J239" s="161" t="s">
        <v>211</v>
      </c>
      <c r="K239"/>
      <c r="L239"/>
      <c r="M239" t="s">
        <v>245</v>
      </c>
      <c r="N239" s="61">
        <v>7.0000000000000007E-2</v>
      </c>
      <c r="O239" s="2">
        <f t="shared" si="56"/>
        <v>17683863.767521277</v>
      </c>
      <c r="P239" t="s">
        <v>300</v>
      </c>
      <c r="Q239" s="61">
        <v>0.15</v>
      </c>
      <c r="R239" s="2">
        <f t="shared" si="57"/>
        <v>75787987.575091183</v>
      </c>
    </row>
    <row r="240" spans="1:18" s="122" customFormat="1" x14ac:dyDescent="0.35">
      <c r="D240" s="310"/>
      <c r="H240"/>
      <c r="I240"/>
      <c r="J240"/>
      <c r="K240"/>
      <c r="L240"/>
      <c r="M240" t="s">
        <v>250</v>
      </c>
      <c r="N240" s="61">
        <v>0.03</v>
      </c>
      <c r="O240" s="2">
        <f t="shared" si="56"/>
        <v>7578798.7575091179</v>
      </c>
      <c r="P240" s="216" t="s">
        <v>254</v>
      </c>
      <c r="Q240" s="61">
        <v>0.05</v>
      </c>
      <c r="R240" s="2">
        <f t="shared" si="57"/>
        <v>25262662.525030397</v>
      </c>
    </row>
    <row r="241" spans="1:19" s="310" customFormat="1" x14ac:dyDescent="0.35">
      <c r="E241" s="311"/>
      <c r="F241" s="31"/>
      <c r="H241"/>
      <c r="I241"/>
      <c r="J241"/>
      <c r="K241"/>
      <c r="L241"/>
      <c r="M241"/>
      <c r="N241"/>
      <c r="O241"/>
      <c r="P241" t="s">
        <v>213</v>
      </c>
      <c r="Q241" s="61">
        <v>0</v>
      </c>
      <c r="R241" s="2">
        <f t="shared" si="57"/>
        <v>0</v>
      </c>
    </row>
    <row r="242" spans="1:19" x14ac:dyDescent="0.35">
      <c r="D242" s="6"/>
      <c r="E242" s="6"/>
    </row>
    <row r="243" spans="1:19" x14ac:dyDescent="0.35">
      <c r="A243" s="119" t="s">
        <v>400</v>
      </c>
      <c r="B243" s="119">
        <v>1165.6261363636365</v>
      </c>
      <c r="C243" s="119">
        <f>B243*F243</f>
        <v>777461300.68676889</v>
      </c>
      <c r="D243" s="119">
        <f>'[1]GAP analysis Sc. 2'!$I$23</f>
        <v>0.70095472031371264</v>
      </c>
      <c r="E243" s="119">
        <f>'[2]Conversion factors selected IV '!$O$7</f>
        <v>0.95154545454545458</v>
      </c>
      <c r="F243" s="119">
        <f>D243*E243*1000000</f>
        <v>666990.27795669367</v>
      </c>
      <c r="G243" s="119">
        <v>1218</v>
      </c>
      <c r="H243" s="119">
        <f>G243*F243</f>
        <v>812394158.55125284</v>
      </c>
      <c r="I243" s="119">
        <v>0.67</v>
      </c>
      <c r="J243" s="119"/>
      <c r="K243" s="119"/>
      <c r="L243" s="119">
        <f>I243*H243</f>
        <v>544304086.22933948</v>
      </c>
      <c r="M243" s="119">
        <v>0.13</v>
      </c>
      <c r="N243" s="119"/>
      <c r="O243" s="119">
        <f>M243*H243</f>
        <v>105611240.61166288</v>
      </c>
      <c r="P243" s="119">
        <v>0.2</v>
      </c>
      <c r="Q243" s="119"/>
      <c r="R243" s="119">
        <f>P243*H243</f>
        <v>162478831.71025059</v>
      </c>
      <c r="S243" s="119">
        <v>0.2</v>
      </c>
    </row>
    <row r="244" spans="1:19" x14ac:dyDescent="0.35">
      <c r="E244" s="6"/>
    </row>
    <row r="245" spans="1:19" x14ac:dyDescent="0.35">
      <c r="E245" s="6"/>
    </row>
    <row r="246" spans="1:19" x14ac:dyDescent="0.35">
      <c r="E246" s="6"/>
    </row>
    <row r="247" spans="1:19" x14ac:dyDescent="0.35">
      <c r="E247" s="6"/>
    </row>
    <row r="248" spans="1:19" x14ac:dyDescent="0.35">
      <c r="E248" s="6"/>
    </row>
    <row r="249" spans="1:19" x14ac:dyDescent="0.35">
      <c r="E249" s="6"/>
    </row>
    <row r="250" spans="1:19" x14ac:dyDescent="0.35">
      <c r="D250" s="6"/>
      <c r="E250" s="6"/>
    </row>
    <row r="251" spans="1:19" s="119" customFormat="1" x14ac:dyDescent="0.35">
      <c r="A251" s="119" t="s">
        <v>283</v>
      </c>
      <c r="B251" s="119">
        <v>1165.6261363636365</v>
      </c>
      <c r="C251" s="119">
        <f>B251*F251</f>
        <v>7578062272.5663052</v>
      </c>
      <c r="D251" s="119">
        <f>'[1]GAP analysis Sc. 2'!$E$122-D228-D235-D243</f>
        <v>5.7453752797579147</v>
      </c>
      <c r="E251" s="119">
        <f>'[2]Conversion factors selected IV '!$O$4</f>
        <v>1.1315675675675676</v>
      </c>
      <c r="F251" s="119">
        <f>D251*E251*1000000</f>
        <v>6501280.3300784966</v>
      </c>
      <c r="G251" s="119">
        <v>1253</v>
      </c>
      <c r="H251" s="119">
        <f>G251*F251</f>
        <v>8146104253.588356</v>
      </c>
      <c r="I251" s="119">
        <v>0.74</v>
      </c>
      <c r="L251" s="119">
        <f>I251*H251</f>
        <v>6028117147.6553831</v>
      </c>
      <c r="M251" s="119">
        <v>0.04</v>
      </c>
      <c r="O251" s="119">
        <f>M251*H251</f>
        <v>325844170.14353424</v>
      </c>
      <c r="P251" s="119">
        <v>0.22</v>
      </c>
      <c r="R251" s="119">
        <f>P251*H251</f>
        <v>1792142935.7894382</v>
      </c>
      <c r="S251" s="119">
        <f>I251+M251+P251</f>
        <v>1</v>
      </c>
    </row>
    <row r="252" spans="1:19" x14ac:dyDescent="0.35">
      <c r="A252" s="24" t="s">
        <v>364</v>
      </c>
      <c r="B252" s="24"/>
      <c r="C252" s="24"/>
    </row>
    <row r="253" spans="1:19" s="310" customFormat="1" x14ac:dyDescent="0.35">
      <c r="A253" s="309"/>
      <c r="B253" s="309"/>
      <c r="C253" s="309"/>
      <c r="D253"/>
      <c r="F253" s="31"/>
    </row>
    <row r="254" spans="1:19" x14ac:dyDescent="0.35">
      <c r="A254" s="24"/>
      <c r="B254" s="24"/>
      <c r="C254" s="24"/>
    </row>
    <row r="255" spans="1:19" x14ac:dyDescent="0.35">
      <c r="A255" s="24"/>
      <c r="B255" s="24"/>
      <c r="C255" s="24"/>
    </row>
    <row r="256" spans="1:19" x14ac:dyDescent="0.35">
      <c r="A256" s="24"/>
      <c r="B256" s="24"/>
      <c r="C256" s="24"/>
    </row>
    <row r="259" spans="1:18" s="105" customFormat="1" ht="34" customHeight="1" x14ac:dyDescent="0.35">
      <c r="A259" s="34" t="s">
        <v>388</v>
      </c>
      <c r="B259" s="34"/>
      <c r="C259" s="34"/>
      <c r="F259" s="244"/>
    </row>
    <row r="261" spans="1:18" s="105" customFormat="1" x14ac:dyDescent="0.35">
      <c r="A261" s="105" t="s">
        <v>389</v>
      </c>
      <c r="D261" s="164">
        <f>'[1]GAP analysis Sc. 2'!$E$143</f>
        <v>2.9839751290126495</v>
      </c>
      <c r="E261" s="164">
        <f>'[2]Conversion factors selected IV '!$O$12</f>
        <v>0.97367441860465131</v>
      </c>
      <c r="F261" s="164">
        <f>D261*E261*1000000</f>
        <v>2905420.2488721306</v>
      </c>
      <c r="G261" s="164">
        <f>'LCoP CONVENTIONAL'!B45</f>
        <v>2903</v>
      </c>
      <c r="H261" s="164">
        <f>G261*F261</f>
        <v>8434434982.4757948</v>
      </c>
      <c r="I261" s="164">
        <f>'LCoP CONVENTIONAL'!C38</f>
        <v>0.66567460317460314</v>
      </c>
      <c r="J261" s="164"/>
      <c r="K261" s="164"/>
      <c r="L261" s="244">
        <f>I261*H261</f>
        <v>5614589159.961566</v>
      </c>
      <c r="M261" s="164">
        <f>'LCoP CONVENTIONAL'!F45</f>
        <v>0.12952118498105408</v>
      </c>
      <c r="N261" s="164"/>
      <c r="O261" s="244">
        <f>M261*H261</f>
        <v>1092438013.5759211</v>
      </c>
      <c r="P261" s="254">
        <f>'LCoP CONVENTIONAL'!I45</f>
        <v>0.1949707199448846</v>
      </c>
      <c r="Q261" s="244"/>
      <c r="R261" s="244">
        <f>P261*H261</f>
        <v>1644467860.8616259</v>
      </c>
    </row>
    <row r="262" spans="1:18" x14ac:dyDescent="0.35">
      <c r="I262" t="s">
        <v>269</v>
      </c>
      <c r="M262" t="s">
        <v>296</v>
      </c>
      <c r="N262" s="61">
        <v>0.6</v>
      </c>
      <c r="O262" s="1">
        <f>N262*O$261</f>
        <v>655462808.14555264</v>
      </c>
      <c r="P262" s="1" t="s">
        <v>298</v>
      </c>
      <c r="Q262" s="1">
        <v>0.15</v>
      </c>
      <c r="R262" s="1">
        <f>Q262*R$261</f>
        <v>246670179.12924388</v>
      </c>
    </row>
    <row r="263" spans="1:18" x14ac:dyDescent="0.35">
      <c r="I263" t="s">
        <v>307</v>
      </c>
      <c r="M263" t="s">
        <v>297</v>
      </c>
      <c r="N263" s="61">
        <v>0.25</v>
      </c>
      <c r="O263" s="1">
        <f t="shared" ref="O263:O266" si="58">N263*O$261</f>
        <v>273109503.39398026</v>
      </c>
      <c r="P263" s="1" t="s">
        <v>299</v>
      </c>
      <c r="Q263" s="1">
        <v>0.4</v>
      </c>
      <c r="R263" s="1">
        <f t="shared" ref="R263:R267" si="59">Q263*R$261</f>
        <v>657787144.34465039</v>
      </c>
    </row>
    <row r="264" spans="1:18" x14ac:dyDescent="0.35">
      <c r="M264" t="s">
        <v>247</v>
      </c>
      <c r="N264" s="61">
        <v>7.0000000000000007E-2</v>
      </c>
      <c r="O264" s="1">
        <f t="shared" si="58"/>
        <v>76470660.950314477</v>
      </c>
      <c r="P264" s="1" t="s">
        <v>252</v>
      </c>
      <c r="Q264" s="1">
        <v>0.2</v>
      </c>
      <c r="R264" s="1">
        <f t="shared" si="59"/>
        <v>328893572.17232519</v>
      </c>
    </row>
    <row r="265" spans="1:18" x14ac:dyDescent="0.35">
      <c r="M265" t="s">
        <v>245</v>
      </c>
      <c r="N265" s="61">
        <v>0.05</v>
      </c>
      <c r="O265" s="1">
        <f t="shared" si="58"/>
        <v>54621900.678796053</v>
      </c>
      <c r="P265" s="1" t="s">
        <v>300</v>
      </c>
      <c r="Q265" s="1">
        <v>0.15</v>
      </c>
      <c r="R265" s="1">
        <f t="shared" si="59"/>
        <v>246670179.12924388</v>
      </c>
    </row>
    <row r="266" spans="1:18" x14ac:dyDescent="0.35">
      <c r="M266" t="s">
        <v>250</v>
      </c>
      <c r="N266" s="61">
        <v>0.03</v>
      </c>
      <c r="O266" s="1">
        <f t="shared" si="58"/>
        <v>32773140.407277629</v>
      </c>
      <c r="P266" s="117" t="s">
        <v>254</v>
      </c>
      <c r="Q266" s="1">
        <v>0.1</v>
      </c>
      <c r="R266" s="1">
        <f t="shared" si="59"/>
        <v>164446786.0861626</v>
      </c>
    </row>
    <row r="267" spans="1:18" x14ac:dyDescent="0.35">
      <c r="M267" s="61"/>
      <c r="N267" s="61"/>
      <c r="O267" s="1"/>
      <c r="P267" s="1" t="s">
        <v>301</v>
      </c>
      <c r="Q267" s="1">
        <v>0</v>
      </c>
      <c r="R267" s="1">
        <f t="shared" si="59"/>
        <v>0</v>
      </c>
    </row>
  </sheetData>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8EB8B-6ED4-40A8-8F7A-C5601AE297CE}">
  <sheetPr>
    <tabColor theme="8" tint="0.39997558519241921"/>
  </sheetPr>
  <dimension ref="A1:S195"/>
  <sheetViews>
    <sheetView topLeftCell="A165" zoomScale="85" zoomScaleNormal="85" workbookViewId="0">
      <selection activeCell="G179" sqref="G179"/>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5.7265625" customWidth="1"/>
    <col min="13" max="13" width="15.7265625" bestFit="1" customWidth="1"/>
    <col min="15" max="15" width="18.1796875" customWidth="1"/>
    <col min="17" max="17" width="14.36328125" bestFit="1" customWidth="1"/>
    <col min="18" max="18" width="16.81640625" customWidth="1"/>
    <col min="19" max="19" width="15.453125" customWidth="1"/>
  </cols>
  <sheetData>
    <row r="1" spans="1:19" s="48" customFormat="1" ht="24" customHeight="1" x14ac:dyDescent="0.35">
      <c r="A1" s="48" t="s">
        <v>383</v>
      </c>
      <c r="F1" s="241"/>
    </row>
    <row r="2" spans="1:19" s="48" customFormat="1" ht="24" customHeight="1" x14ac:dyDescent="0.35">
      <c r="A2" s="48" t="s">
        <v>326</v>
      </c>
      <c r="F2" s="241"/>
    </row>
    <row r="3" spans="1:19" s="48" customFormat="1" ht="24" customHeight="1" x14ac:dyDescent="0.35">
      <c r="A3" s="48" t="s">
        <v>377</v>
      </c>
      <c r="E3" s="48" t="s">
        <v>384</v>
      </c>
      <c r="F3" s="241"/>
    </row>
    <row r="4" spans="1:19" ht="19" customHeight="1" x14ac:dyDescent="0.35"/>
    <row r="5" spans="1:19" s="49" customFormat="1" ht="37" customHeight="1" x14ac:dyDescent="0.35">
      <c r="B5" s="49" t="s">
        <v>424</v>
      </c>
      <c r="C5" s="49" t="s">
        <v>425</v>
      </c>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207" customFormat="1" ht="37" customHeight="1" x14ac:dyDescent="0.35">
      <c r="A6" s="246" t="s">
        <v>365</v>
      </c>
      <c r="B6" s="246"/>
      <c r="C6" s="246"/>
      <c r="D6" s="245">
        <f>D8+D51+D93+D105+D137</f>
        <v>9.9749751112474403</v>
      </c>
      <c r="F6" s="215"/>
      <c r="I6" s="246"/>
      <c r="M6" s="246"/>
      <c r="P6" s="246"/>
    </row>
    <row r="7" spans="1:19" s="93" customFormat="1" ht="40" customHeight="1" x14ac:dyDescent="0.35">
      <c r="A7" s="93" t="s">
        <v>104</v>
      </c>
      <c r="F7" s="176"/>
    </row>
    <row r="8" spans="1:19" s="217" customFormat="1" x14ac:dyDescent="0.35">
      <c r="A8" s="217" t="s">
        <v>189</v>
      </c>
      <c r="C8" s="224">
        <f>C9+C23+C16+C32</f>
        <v>4955827187.2621861</v>
      </c>
      <c r="D8" s="221">
        <f>D9+D23+D50+D16+D32</f>
        <v>3.0156959287010836</v>
      </c>
      <c r="F8" s="224">
        <f>F9+F23+F16+F32</f>
        <v>3241358.9760501157</v>
      </c>
      <c r="L8" s="224">
        <f>L9+L16+L23+L32</f>
        <v>2827873673.3792167</v>
      </c>
      <c r="M8" s="224"/>
      <c r="N8" s="224"/>
      <c r="O8" s="224">
        <f>O9+O16+O23+O32</f>
        <v>532194940.66721153</v>
      </c>
      <c r="P8" s="235"/>
      <c r="Q8" s="224"/>
      <c r="R8" s="224">
        <f>R9+R16+R23+R32</f>
        <v>1041173743.198756</v>
      </c>
    </row>
    <row r="9" spans="1:19" s="219" customFormat="1" ht="16" customHeight="1" x14ac:dyDescent="0.35">
      <c r="A9" s="219" t="s">
        <v>186</v>
      </c>
      <c r="B9" s="270">
        <v>1450</v>
      </c>
      <c r="C9" s="219">
        <f>B9*F9</f>
        <v>3313197374.5173678</v>
      </c>
      <c r="D9" s="219">
        <f>'[1]GAP analysis Sc. 1'!$P$92</f>
        <v>2.0192905594453272</v>
      </c>
      <c r="E9" s="219">
        <f>'[2]Conversion factors selected IV '!$O$4</f>
        <v>1.1315675675675676</v>
      </c>
      <c r="F9" s="219">
        <f>D9*E9*1000000</f>
        <v>2284963.7065637019</v>
      </c>
      <c r="G9" s="219">
        <f>'LCoP 2040 medium-high'!E2</f>
        <v>1350</v>
      </c>
      <c r="H9" s="219">
        <f>G9*F9</f>
        <v>3084701003.8609977</v>
      </c>
      <c r="I9" s="226">
        <f>'LCoP 2040 medium-high'!H2</f>
        <v>0.7407407407407407</v>
      </c>
      <c r="L9" s="219">
        <f>I9*H9</f>
        <v>2284963706.5637016</v>
      </c>
      <c r="M9" s="226">
        <f>'LCoP 2040 medium-high'!F2</f>
        <v>6.1481481481481484E-2</v>
      </c>
      <c r="O9" s="219">
        <f>M9*H9</f>
        <v>189651987.64478728</v>
      </c>
      <c r="P9" s="226">
        <f>'LCoP 2040 medium-high'!G2</f>
        <v>0.19777777777777777</v>
      </c>
      <c r="R9" s="219">
        <f>P9*H9</f>
        <v>610085309.65250838</v>
      </c>
      <c r="S9" s="219">
        <f>L9+O9+R9</f>
        <v>3084701003.8609972</v>
      </c>
    </row>
    <row r="10" spans="1:19" x14ac:dyDescent="0.35">
      <c r="C10">
        <f>C9/$C$8</f>
        <v>0.66854578445212531</v>
      </c>
      <c r="D10" s="31"/>
      <c r="E10" s="31"/>
      <c r="F10" s="31"/>
      <c r="G10" s="2"/>
      <c r="H10" s="222" t="s">
        <v>290</v>
      </c>
      <c r="I10" s="104" t="s">
        <v>304</v>
      </c>
      <c r="J10" s="157" t="s">
        <v>211</v>
      </c>
      <c r="K10" s="104">
        <f>'Feedstock MIX per IVC'!F8</f>
        <v>1</v>
      </c>
      <c r="L10" s="104">
        <f>L9</f>
        <v>2284963706.5637016</v>
      </c>
      <c r="M10" s="5" t="s">
        <v>245</v>
      </c>
      <c r="N10" s="123">
        <v>0.05</v>
      </c>
      <c r="O10" s="122">
        <f>N10*O$9</f>
        <v>9482599.3822393641</v>
      </c>
      <c r="P10" s="18" t="s">
        <v>251</v>
      </c>
      <c r="Q10" s="123">
        <v>0.35</v>
      </c>
      <c r="R10" s="104">
        <f>Q10*R$9</f>
        <v>213529858.37837791</v>
      </c>
      <c r="S10" s="18"/>
    </row>
    <row r="11" spans="1:19" x14ac:dyDescent="0.35">
      <c r="D11" s="31"/>
      <c r="E11" s="31"/>
      <c r="F11" s="31"/>
      <c r="G11" s="2"/>
      <c r="H11" s="24"/>
      <c r="I11" s="104"/>
      <c r="J11" s="112"/>
      <c r="K11" s="104"/>
      <c r="L11" s="104"/>
      <c r="M11" t="s">
        <v>246</v>
      </c>
      <c r="N11" s="123">
        <v>0.02</v>
      </c>
      <c r="O11" s="122">
        <f t="shared" ref="O11:O15" si="0">N11*O$9</f>
        <v>3793039.7528957459</v>
      </c>
      <c r="P11" s="18" t="s">
        <v>210</v>
      </c>
      <c r="Q11" s="123">
        <v>0.25</v>
      </c>
      <c r="R11" s="104">
        <f t="shared" ref="R11:R14" si="1">Q11*R$9</f>
        <v>152521327.41312709</v>
      </c>
      <c r="S11" s="18"/>
    </row>
    <row r="12" spans="1:19" x14ac:dyDescent="0.35">
      <c r="D12" s="31"/>
      <c r="E12" s="31"/>
      <c r="F12" s="31"/>
      <c r="G12" s="2"/>
      <c r="H12" s="24"/>
      <c r="I12" s="104"/>
      <c r="J12" s="112"/>
      <c r="K12" s="104"/>
      <c r="L12" s="104"/>
      <c r="M12" s="5" t="s">
        <v>244</v>
      </c>
      <c r="N12" s="123">
        <v>0.45</v>
      </c>
      <c r="O12" s="122">
        <f t="shared" si="0"/>
        <v>85343394.440154284</v>
      </c>
      <c r="P12" s="18" t="s">
        <v>252</v>
      </c>
      <c r="Q12" s="123">
        <v>0.2</v>
      </c>
      <c r="R12" s="104">
        <f t="shared" si="1"/>
        <v>122017061.93050168</v>
      </c>
      <c r="S12" s="18"/>
    </row>
    <row r="13" spans="1:19" x14ac:dyDescent="0.35">
      <c r="D13" s="31"/>
      <c r="E13" s="31"/>
      <c r="F13" s="31"/>
      <c r="G13" s="2"/>
      <c r="H13" s="24"/>
      <c r="I13" s="104"/>
      <c r="J13" s="112"/>
      <c r="K13" s="104"/>
      <c r="L13" s="104"/>
      <c r="M13" t="s">
        <v>247</v>
      </c>
      <c r="N13" s="123">
        <v>0.15</v>
      </c>
      <c r="O13" s="122">
        <f t="shared" si="0"/>
        <v>28447798.146718092</v>
      </c>
      <c r="P13" s="18" t="s">
        <v>253</v>
      </c>
      <c r="Q13" s="123">
        <v>0.15</v>
      </c>
      <c r="R13" s="104">
        <f t="shared" si="1"/>
        <v>91512796.44787626</v>
      </c>
      <c r="S13" s="104"/>
    </row>
    <row r="14" spans="1:19" x14ac:dyDescent="0.35">
      <c r="D14" s="31"/>
      <c r="E14" s="31"/>
      <c r="F14" s="31"/>
      <c r="G14" s="2"/>
      <c r="H14" s="24"/>
      <c r="I14" s="104"/>
      <c r="J14" s="112"/>
      <c r="K14" s="104"/>
      <c r="L14" s="104"/>
      <c r="M14" t="s">
        <v>248</v>
      </c>
      <c r="N14" s="123">
        <v>0.3</v>
      </c>
      <c r="O14" s="122">
        <f t="shared" si="0"/>
        <v>56895596.293436185</v>
      </c>
      <c r="P14" s="18" t="s">
        <v>254</v>
      </c>
      <c r="Q14" s="123">
        <v>0.05</v>
      </c>
      <c r="R14" s="104">
        <f t="shared" si="1"/>
        <v>30504265.482625421</v>
      </c>
      <c r="S14" s="18"/>
    </row>
    <row r="15" spans="1:19" x14ac:dyDescent="0.35">
      <c r="D15" s="31"/>
      <c r="E15" s="31"/>
      <c r="F15" s="31"/>
      <c r="G15" s="2"/>
      <c r="H15" s="24"/>
      <c r="I15" s="104"/>
      <c r="J15" s="112"/>
      <c r="K15" s="104"/>
      <c r="L15" s="104"/>
      <c r="M15" t="s">
        <v>250</v>
      </c>
      <c r="N15" s="123">
        <v>0.03</v>
      </c>
      <c r="O15" s="122">
        <f t="shared" si="0"/>
        <v>5689559.6293436186</v>
      </c>
      <c r="P15" s="18"/>
      <c r="Q15" s="104"/>
      <c r="R15" s="104"/>
      <c r="S15" s="18"/>
    </row>
    <row r="16" spans="1:19" s="218" customFormat="1" x14ac:dyDescent="0.35">
      <c r="A16" s="218" t="s">
        <v>334</v>
      </c>
      <c r="B16" s="218">
        <v>1750</v>
      </c>
      <c r="C16" s="219">
        <f>B16*F16</f>
        <v>1375000000.000001</v>
      </c>
      <c r="D16" s="220">
        <f>'[1]GAP analysis Sc. 1'!$P$93</f>
        <v>0.82572438548362936</v>
      </c>
      <c r="E16" s="225">
        <f>'[2]Conversion factors selected IV '!$O$7</f>
        <v>0.95154545454545458</v>
      </c>
      <c r="F16" s="219">
        <f>D16*E16*1000000</f>
        <v>785714.28571428626</v>
      </c>
      <c r="G16" s="225">
        <f>'LCoP 2040 medium-high'!E3</f>
        <v>1290.4517798968013</v>
      </c>
      <c r="H16" s="219">
        <f>G16*F16</f>
        <v>1013926398.4903446</v>
      </c>
      <c r="I16" s="225">
        <f>'LCoP 2040 medium-high'!H3</f>
        <v>0.47770229736604303</v>
      </c>
      <c r="L16" s="219">
        <f>I16*H16</f>
        <v>484354969.91891563</v>
      </c>
      <c r="M16" s="225">
        <f>'LCoP 2040 medium-high'!F3</f>
        <v>0.20845412760910151</v>
      </c>
      <c r="O16" s="219">
        <f>M16*H16</f>
        <v>211357142.85714301</v>
      </c>
      <c r="P16" s="225">
        <f>'LCoP 2040 medium-high'!G3</f>
        <v>0.31384357502485544</v>
      </c>
      <c r="R16" s="219">
        <f>P16*H16</f>
        <v>318214285.71428597</v>
      </c>
      <c r="S16" s="219">
        <f>L16+O16+R16</f>
        <v>1013926398.4903446</v>
      </c>
    </row>
    <row r="17" spans="1:19" x14ac:dyDescent="0.35">
      <c r="C17">
        <f>C16/$C$8</f>
        <v>0.27745115962358863</v>
      </c>
      <c r="F17" s="31"/>
      <c r="H17" s="222" t="s">
        <v>290</v>
      </c>
      <c r="I17" s="104" t="s">
        <v>304</v>
      </c>
      <c r="J17" s="157" t="s">
        <v>211</v>
      </c>
      <c r="L17" s="2">
        <f>L16</f>
        <v>484354969.91891563</v>
      </c>
      <c r="M17" s="5" t="s">
        <v>245</v>
      </c>
      <c r="N17" s="123">
        <v>0.05</v>
      </c>
      <c r="O17" s="2">
        <f>N17*O$16</f>
        <v>10567857.142857151</v>
      </c>
      <c r="P17" s="18" t="s">
        <v>251</v>
      </c>
      <c r="Q17" s="123">
        <v>0.35</v>
      </c>
      <c r="R17" s="104">
        <f>Q17*R$16</f>
        <v>111375000.00000009</v>
      </c>
    </row>
    <row r="18" spans="1:19" x14ac:dyDescent="0.35">
      <c r="F18" s="31"/>
      <c r="M18" t="s">
        <v>246</v>
      </c>
      <c r="N18" s="123">
        <v>0.02</v>
      </c>
      <c r="O18" s="2">
        <f t="shared" ref="O18:O22" si="2">N18*O$16</f>
        <v>4227142.8571428601</v>
      </c>
      <c r="P18" s="18" t="s">
        <v>210</v>
      </c>
      <c r="Q18" s="123">
        <v>0.25</v>
      </c>
      <c r="R18" s="104">
        <f t="shared" ref="R18:R21" si="3">Q18*R$16</f>
        <v>79553571.428571492</v>
      </c>
    </row>
    <row r="19" spans="1:19" x14ac:dyDescent="0.35">
      <c r="F19" s="31"/>
      <c r="M19" s="5" t="s">
        <v>244</v>
      </c>
      <c r="N19" s="123">
        <v>0.45</v>
      </c>
      <c r="O19" s="2">
        <f t="shared" si="2"/>
        <v>95110714.285714358</v>
      </c>
      <c r="P19" s="18" t="s">
        <v>252</v>
      </c>
      <c r="Q19" s="123">
        <v>0.2</v>
      </c>
      <c r="R19" s="104">
        <f t="shared" si="3"/>
        <v>63642857.142857194</v>
      </c>
      <c r="S19" s="2"/>
    </row>
    <row r="20" spans="1:19" x14ac:dyDescent="0.35">
      <c r="F20" s="31"/>
      <c r="M20" t="s">
        <v>247</v>
      </c>
      <c r="N20" s="123">
        <v>0.15</v>
      </c>
      <c r="O20" s="2">
        <f t="shared" si="2"/>
        <v>31703571.428571451</v>
      </c>
      <c r="P20" s="18" t="s">
        <v>253</v>
      </c>
      <c r="Q20" s="123">
        <v>0.15</v>
      </c>
      <c r="R20" s="104">
        <f t="shared" si="3"/>
        <v>47732142.857142895</v>
      </c>
    </row>
    <row r="21" spans="1:19" x14ac:dyDescent="0.35">
      <c r="F21" s="31"/>
      <c r="M21" t="s">
        <v>248</v>
      </c>
      <c r="N21" s="123">
        <v>0.3</v>
      </c>
      <c r="O21" s="2">
        <f t="shared" si="2"/>
        <v>63407142.857142903</v>
      </c>
      <c r="P21" s="18" t="s">
        <v>254</v>
      </c>
      <c r="Q21" s="123">
        <v>0.05</v>
      </c>
      <c r="R21" s="104">
        <f t="shared" si="3"/>
        <v>15910714.285714298</v>
      </c>
    </row>
    <row r="22" spans="1:19" x14ac:dyDescent="0.35">
      <c r="F22" s="31"/>
      <c r="M22" t="s">
        <v>250</v>
      </c>
      <c r="N22" s="123">
        <v>0.03</v>
      </c>
      <c r="O22" s="2">
        <f t="shared" si="2"/>
        <v>6340714.2857142901</v>
      </c>
      <c r="P22" s="18"/>
      <c r="Q22" s="123"/>
      <c r="R22" s="104"/>
    </row>
    <row r="23" spans="1:19" s="218" customFormat="1" x14ac:dyDescent="0.35">
      <c r="A23" s="218" t="s">
        <v>335</v>
      </c>
      <c r="B23" s="218">
        <v>1750</v>
      </c>
      <c r="C23" s="219">
        <f>B23*F23</f>
        <v>208094487.43670571</v>
      </c>
      <c r="D23" s="220">
        <f>'[1]GAP analysis Sc. 1'!$P$94</f>
        <v>0.11891113567811754</v>
      </c>
      <c r="E23" s="218">
        <f>'[2]Conversion factors selected IV '!$O$89</f>
        <v>1</v>
      </c>
      <c r="F23" s="219">
        <f>D23*E23*1000000</f>
        <v>118911.13567811754</v>
      </c>
      <c r="G23" s="225">
        <f>'LCoP 2040 medium-high'!E20</f>
        <v>1600.3194175829624</v>
      </c>
      <c r="H23" s="220">
        <f>G23*F23</f>
        <v>190295799.39253369</v>
      </c>
      <c r="I23" s="225">
        <f>'LCoP 2040 medium-high'!H20</f>
        <v>0.13329802490627074</v>
      </c>
      <c r="L23" s="219">
        <f>I23*H23</f>
        <v>25366054.206984658</v>
      </c>
      <c r="M23" s="225">
        <f>'LCoP 2040 medium-high'!F20</f>
        <v>0.50302457819066482</v>
      </c>
      <c r="O23" s="219">
        <f>M23*H23</f>
        <v>95723464.220884636</v>
      </c>
      <c r="P23" s="225">
        <f>'LCoP 2040 medium-high'!G20</f>
        <v>0.3636773969030645</v>
      </c>
      <c r="R23" s="219">
        <f>P23*H23</f>
        <v>69206280.964664415</v>
      </c>
      <c r="S23" s="219">
        <f>L23+O23+R23</f>
        <v>190295799.39253372</v>
      </c>
    </row>
    <row r="24" spans="1:19" x14ac:dyDescent="0.35">
      <c r="C24">
        <f>C23/$C$8</f>
        <v>4.1989859527701998E-2</v>
      </c>
      <c r="D24" s="2"/>
      <c r="F24" s="154" t="s">
        <v>212</v>
      </c>
      <c r="G24" s="6">
        <f>SUMIF($J$24:$J$31,F24,$L$24:$L$31)/$L$23</f>
        <v>0.62289870736507413</v>
      </c>
      <c r="H24" s="209" t="s">
        <v>292</v>
      </c>
      <c r="I24" s="12" t="s">
        <v>5</v>
      </c>
      <c r="J24" s="154" t="s">
        <v>212</v>
      </c>
      <c r="K24" s="6">
        <f>'Feedstock MIX per IVC'!L89</f>
        <v>100.3123242906255</v>
      </c>
      <c r="L24" s="2">
        <f>K24*F$23</f>
        <v>11928252.403909894</v>
      </c>
      <c r="M24" s="5" t="s">
        <v>245</v>
      </c>
      <c r="N24" s="174">
        <v>0.15</v>
      </c>
      <c r="O24" s="2">
        <f>N24*O$23</f>
        <v>14358519.633132694</v>
      </c>
      <c r="P24" s="18" t="s">
        <v>251</v>
      </c>
      <c r="Q24" s="123">
        <v>0.15</v>
      </c>
      <c r="R24" s="2">
        <f>Q24*R$23</f>
        <v>10380942.144699661</v>
      </c>
    </row>
    <row r="25" spans="1:19" x14ac:dyDescent="0.35">
      <c r="D25" s="2"/>
      <c r="F25" s="178" t="s">
        <v>256</v>
      </c>
      <c r="G25" s="6">
        <f t="shared" ref="G25:G28" si="4">SUMIF($J$24:$J$31,F25,$L$24:$L$31)/$L$23</f>
        <v>0.18023361884661884</v>
      </c>
      <c r="H25" s="209" t="s">
        <v>292</v>
      </c>
      <c r="I25" s="12" t="s">
        <v>6</v>
      </c>
      <c r="J25" s="154" t="s">
        <v>212</v>
      </c>
      <c r="K25" s="6">
        <f>'Feedstock MIX per IVC'!L90</f>
        <v>5.4499648131295366</v>
      </c>
      <c r="L25" s="2">
        <f t="shared" ref="L25:L31" si="5">K25*F$23</f>
        <v>648061.5053350128</v>
      </c>
      <c r="M25" t="s">
        <v>246</v>
      </c>
      <c r="N25" s="35">
        <v>0.02</v>
      </c>
      <c r="O25" s="2">
        <f t="shared" ref="O25:O29" si="6">N25*O$23</f>
        <v>1914469.2844176928</v>
      </c>
      <c r="P25" s="18" t="s">
        <v>210</v>
      </c>
      <c r="Q25" s="123">
        <v>0.25</v>
      </c>
      <c r="R25" s="2">
        <f t="shared" ref="R25:R28" si="7">Q25*R$23</f>
        <v>17301570.241166104</v>
      </c>
    </row>
    <row r="26" spans="1:19" x14ac:dyDescent="0.35">
      <c r="D26" s="2"/>
      <c r="F26" s="156" t="s">
        <v>209</v>
      </c>
      <c r="G26" s="6">
        <f t="shared" si="4"/>
        <v>0.18487191117797133</v>
      </c>
      <c r="H26" s="209" t="s">
        <v>292</v>
      </c>
      <c r="I26" s="12" t="s">
        <v>7</v>
      </c>
      <c r="J26" s="157" t="s">
        <v>211</v>
      </c>
      <c r="K26" s="6">
        <f>'Feedstock MIX per IVC'!L91</f>
        <v>2.5589290935002591</v>
      </c>
      <c r="L26" s="2">
        <f t="shared" si="5"/>
        <v>304285.16462789162</v>
      </c>
      <c r="M26" s="5" t="s">
        <v>244</v>
      </c>
      <c r="N26" s="174">
        <v>0.45</v>
      </c>
      <c r="O26" s="2">
        <f t="shared" si="6"/>
        <v>43075558.899398088</v>
      </c>
      <c r="P26" s="18" t="s">
        <v>252</v>
      </c>
      <c r="Q26" s="123">
        <v>0.2</v>
      </c>
      <c r="R26" s="2">
        <f t="shared" si="7"/>
        <v>13841256.192932883</v>
      </c>
    </row>
    <row r="27" spans="1:19" x14ac:dyDescent="0.35">
      <c r="D27" s="2"/>
      <c r="F27" s="157" t="s">
        <v>211</v>
      </c>
      <c r="G27" s="6">
        <f t="shared" si="4"/>
        <v>1.1995762610335562E-2</v>
      </c>
      <c r="H27" s="209" t="s">
        <v>292</v>
      </c>
      <c r="I27" s="12" t="s">
        <v>8</v>
      </c>
      <c r="J27" s="154" t="s">
        <v>212</v>
      </c>
      <c r="K27" s="6">
        <f>'Feedstock MIX per IVC'!L92</f>
        <v>22.120308773376749</v>
      </c>
      <c r="L27" s="2">
        <f t="shared" si="5"/>
        <v>2630351.0377928563</v>
      </c>
      <c r="M27" t="s">
        <v>247</v>
      </c>
      <c r="N27" s="35">
        <v>0.1</v>
      </c>
      <c r="O27" s="2">
        <f t="shared" si="6"/>
        <v>9572346.4220884647</v>
      </c>
      <c r="P27" s="18" t="s">
        <v>253</v>
      </c>
      <c r="Q27" s="123">
        <v>0.3</v>
      </c>
      <c r="R27" s="2">
        <f t="shared" si="7"/>
        <v>20761884.289399322</v>
      </c>
      <c r="S27" s="2"/>
    </row>
    <row r="28" spans="1:19" x14ac:dyDescent="0.35">
      <c r="D28" s="2"/>
      <c r="F28" s="159" t="s">
        <v>213</v>
      </c>
      <c r="G28" s="6">
        <f t="shared" si="4"/>
        <v>0</v>
      </c>
      <c r="H28" s="209" t="s">
        <v>292</v>
      </c>
      <c r="I28" s="12" t="s">
        <v>9</v>
      </c>
      <c r="J28" s="154" t="s">
        <v>212</v>
      </c>
      <c r="K28" s="6">
        <f>'Feedstock MIX per IVC'!L93</f>
        <v>4.9937915911659898</v>
      </c>
      <c r="L28" s="2">
        <f t="shared" si="5"/>
        <v>593817.42944538151</v>
      </c>
      <c r="M28" t="s">
        <v>248</v>
      </c>
      <c r="N28" s="35">
        <v>0.25</v>
      </c>
      <c r="O28" s="2">
        <f t="shared" si="6"/>
        <v>23930866.055221159</v>
      </c>
      <c r="P28" s="18" t="s">
        <v>254</v>
      </c>
      <c r="Q28" s="123">
        <v>0.1</v>
      </c>
      <c r="R28" s="2">
        <f t="shared" si="7"/>
        <v>6920628.0964664416</v>
      </c>
    </row>
    <row r="29" spans="1:19" x14ac:dyDescent="0.35">
      <c r="D29" s="2"/>
      <c r="F29" s="31"/>
      <c r="G29" s="6">
        <f>SUM(G24:G28)</f>
        <v>0.99999999999999978</v>
      </c>
      <c r="H29" s="209" t="s">
        <v>292</v>
      </c>
      <c r="I29" s="12" t="s">
        <v>10</v>
      </c>
      <c r="J29" s="178" t="s">
        <v>256</v>
      </c>
      <c r="K29" s="6">
        <f>'Feedstock MIX per IVC'!L94</f>
        <v>38.447330601230377</v>
      </c>
      <c r="L29" s="2">
        <f t="shared" si="5"/>
        <v>4571815.7455843454</v>
      </c>
      <c r="M29" t="s">
        <v>250</v>
      </c>
      <c r="N29" s="35">
        <v>0.03</v>
      </c>
      <c r="O29" s="2">
        <f t="shared" si="6"/>
        <v>2871703.9266265389</v>
      </c>
      <c r="P29" s="18"/>
      <c r="Q29" s="123">
        <f>SUM(Q24:Q28)</f>
        <v>1.0000000000000002</v>
      </c>
      <c r="R29" s="2"/>
    </row>
    <row r="30" spans="1:19" x14ac:dyDescent="0.35">
      <c r="D30" s="2"/>
      <c r="F30" s="31"/>
      <c r="G30" s="6"/>
      <c r="H30" s="209" t="s">
        <v>292</v>
      </c>
      <c r="I30" s="12" t="s">
        <v>11</v>
      </c>
      <c r="J30" s="156" t="s">
        <v>209</v>
      </c>
      <c r="K30" s="6">
        <f>'Feedstock MIX per IVC'!L95</f>
        <v>39.436768419934005</v>
      </c>
      <c r="L30" s="2">
        <f t="shared" si="5"/>
        <v>4689470.9202892734</v>
      </c>
    </row>
    <row r="31" spans="1:19" x14ac:dyDescent="0.35">
      <c r="D31" s="2"/>
      <c r="F31" s="31"/>
      <c r="G31" s="6"/>
      <c r="H31" s="209" t="s">
        <v>292</v>
      </c>
      <c r="I31" s="12" t="s">
        <v>12</v>
      </c>
      <c r="J31" s="159" t="s">
        <v>213</v>
      </c>
      <c r="K31" s="6">
        <f>'Feedstock MIX per IVC'!L96</f>
        <v>0</v>
      </c>
      <c r="L31" s="2">
        <f t="shared" si="5"/>
        <v>0</v>
      </c>
      <c r="M31" s="2"/>
    </row>
    <row r="32" spans="1:19" s="218" customFormat="1" x14ac:dyDescent="0.35">
      <c r="A32" s="218" t="s">
        <v>385</v>
      </c>
      <c r="B32" s="218">
        <v>1150</v>
      </c>
      <c r="C32" s="219">
        <f>B32*F32</f>
        <v>59535325.308111154</v>
      </c>
      <c r="D32" s="225">
        <f>'[1]GAP analysis Sc. 1'!$P$105</f>
        <v>5.1769848094009703E-2</v>
      </c>
      <c r="E32" s="225">
        <f>'[2]Conversion factors selected IV '!$O$125</f>
        <v>1</v>
      </c>
      <c r="F32" s="219">
        <f>D32*E32*1000000</f>
        <v>51769.8480940097</v>
      </c>
      <c r="G32" s="225">
        <f>'LCoP 2040 medium-high'!E23</f>
        <v>2169.5863448806449</v>
      </c>
      <c r="H32" s="220">
        <f>G32*F32</f>
        <v>112319155.50130872</v>
      </c>
      <c r="I32" s="225">
        <f>'LCoP 2040 medium-high'!H23</f>
        <v>0.29548782254891665</v>
      </c>
      <c r="L32" s="219">
        <f>I32*H32</f>
        <v>33188942.689614888</v>
      </c>
      <c r="M32" s="225">
        <f>'LCoP 2040 medium-high'!F23</f>
        <v>0.3157283883244959</v>
      </c>
      <c r="O32" s="219">
        <f>M32*H32</f>
        <v>35462345.944396637</v>
      </c>
      <c r="P32" s="225">
        <f>'LCoP 2040 medium-high'!G23</f>
        <v>0.38878378912658734</v>
      </c>
      <c r="R32" s="219">
        <f>P32*H32</f>
        <v>43667866.86729718</v>
      </c>
      <c r="S32" s="220">
        <f>R32+O32+L32</f>
        <v>112319155.50130871</v>
      </c>
    </row>
    <row r="33" spans="3:19" x14ac:dyDescent="0.35">
      <c r="C33">
        <f>C32/$C$8</f>
        <v>1.2013196396584007E-2</v>
      </c>
      <c r="D33" s="6"/>
      <c r="E33" s="6"/>
      <c r="F33" s="154" t="s">
        <v>212</v>
      </c>
      <c r="G33" s="6">
        <f>SUMIF($J$33:$J$40,F33,$L$33:$L$40)/$L$32</f>
        <v>0.64991459073923752</v>
      </c>
      <c r="H33" s="209" t="s">
        <v>292</v>
      </c>
      <c r="I33" s="5" t="s">
        <v>5</v>
      </c>
      <c r="J33" s="154" t="s">
        <v>212</v>
      </c>
      <c r="K33" s="6">
        <f>'Feedstock MIX per IVC'!L116</f>
        <v>308.48561089552499</v>
      </c>
      <c r="L33" s="2">
        <f>K33*F$32</f>
        <v>15970253.215249112</v>
      </c>
      <c r="M33" s="5" t="s">
        <v>245</v>
      </c>
      <c r="N33" s="174">
        <v>0.15</v>
      </c>
      <c r="O33" s="2">
        <f>N33*O$32</f>
        <v>5319351.8916594954</v>
      </c>
      <c r="P33" s="18" t="s">
        <v>251</v>
      </c>
      <c r="Q33" s="123">
        <v>0.15</v>
      </c>
      <c r="R33" s="2">
        <f>Q33*R$32</f>
        <v>6550180.030094577</v>
      </c>
    </row>
    <row r="34" spans="3:19" x14ac:dyDescent="0.35">
      <c r="D34" s="6"/>
      <c r="E34" s="6"/>
      <c r="F34" s="178" t="s">
        <v>256</v>
      </c>
      <c r="G34" s="6">
        <f t="shared" ref="G34:G37" si="8">SUMIF($J$33:$J$40,F34,$L$33:$L$40)/$L$32</f>
        <v>0.16661719260102875</v>
      </c>
      <c r="H34" s="209" t="s">
        <v>292</v>
      </c>
      <c r="I34" s="5" t="s">
        <v>6</v>
      </c>
      <c r="J34" s="154" t="s">
        <v>212</v>
      </c>
      <c r="K34" s="6">
        <f>'Feedstock MIX per IVC'!L117</f>
        <v>16.750527817040226</v>
      </c>
      <c r="L34" s="2">
        <f t="shared" ref="L34:L40" si="9">K34*F$32</f>
        <v>867172.28058265639</v>
      </c>
      <c r="M34" t="s">
        <v>246</v>
      </c>
      <c r="N34" s="35">
        <v>0.02</v>
      </c>
      <c r="O34" s="2">
        <f t="shared" ref="O34:O38" si="10">N34*O$32</f>
        <v>709246.91888793278</v>
      </c>
      <c r="P34" s="18" t="s">
        <v>210</v>
      </c>
      <c r="Q34" s="123">
        <v>0.25</v>
      </c>
      <c r="R34" s="2">
        <f>Q34*R$32</f>
        <v>10916966.716824295</v>
      </c>
    </row>
    <row r="35" spans="3:19" x14ac:dyDescent="0.35">
      <c r="D35" s="6"/>
      <c r="E35" s="6"/>
      <c r="F35" s="156" t="s">
        <v>209</v>
      </c>
      <c r="G35" s="6">
        <f t="shared" si="8"/>
        <v>0.17120513419093666</v>
      </c>
      <c r="H35" s="209" t="s">
        <v>292</v>
      </c>
      <c r="I35" s="5" t="s">
        <v>7</v>
      </c>
      <c r="J35" s="157" t="s">
        <v>211</v>
      </c>
      <c r="K35" s="6">
        <f>'Feedstock MIX per IVC'!L118</f>
        <v>7.8616947168910425</v>
      </c>
      <c r="L35" s="2">
        <f t="shared" si="9"/>
        <v>406998.74125492788</v>
      </c>
      <c r="M35" s="5" t="s">
        <v>244</v>
      </c>
      <c r="N35" s="174">
        <v>0.45</v>
      </c>
      <c r="O35" s="2">
        <f t="shared" si="10"/>
        <v>15958055.674978487</v>
      </c>
      <c r="P35" s="18" t="s">
        <v>252</v>
      </c>
      <c r="Q35" s="123">
        <v>0.2</v>
      </c>
      <c r="R35" s="2">
        <f>Q35*R$32</f>
        <v>8733573.373459436</v>
      </c>
      <c r="S35" s="2"/>
    </row>
    <row r="36" spans="3:19" x14ac:dyDescent="0.35">
      <c r="D36" s="6"/>
      <c r="E36" s="6"/>
      <c r="F36" s="157" t="s">
        <v>211</v>
      </c>
      <c r="G36" s="6">
        <f t="shared" si="8"/>
        <v>1.2263082468797096E-2</v>
      </c>
      <c r="H36" s="209" t="s">
        <v>292</v>
      </c>
      <c r="I36" s="5" t="s">
        <v>8</v>
      </c>
      <c r="J36" s="154" t="s">
        <v>212</v>
      </c>
      <c r="K36" s="6">
        <f>'Feedstock MIX per IVC'!L119</f>
        <v>75.970974837084853</v>
      </c>
      <c r="L36" s="2">
        <f t="shared" si="9"/>
        <v>3933005.8268697159</v>
      </c>
      <c r="M36" t="s">
        <v>247</v>
      </c>
      <c r="N36" s="35">
        <v>0.1</v>
      </c>
      <c r="O36" s="2">
        <f t="shared" si="10"/>
        <v>3546234.5944396639</v>
      </c>
      <c r="P36" s="18" t="s">
        <v>253</v>
      </c>
      <c r="Q36" s="123">
        <v>0.3</v>
      </c>
      <c r="R36" s="2">
        <f>Q36*R$32</f>
        <v>13100360.060189154</v>
      </c>
    </row>
    <row r="37" spans="3:19" x14ac:dyDescent="0.35">
      <c r="D37" s="6"/>
      <c r="E37" s="6"/>
      <c r="F37" s="159" t="s">
        <v>213</v>
      </c>
      <c r="G37" s="6">
        <f t="shared" si="8"/>
        <v>0</v>
      </c>
      <c r="H37" s="209" t="s">
        <v>292</v>
      </c>
      <c r="I37" s="5" t="s">
        <v>9</v>
      </c>
      <c r="J37" s="154" t="s">
        <v>212</v>
      </c>
      <c r="K37" s="6">
        <f>'Feedstock MIX per IVC'!L120</f>
        <v>15.444255911967806</v>
      </c>
      <c r="L37" s="2">
        <f t="shared" si="9"/>
        <v>799546.78248758463</v>
      </c>
      <c r="M37" t="s">
        <v>248</v>
      </c>
      <c r="N37" s="35">
        <v>0.25</v>
      </c>
      <c r="O37" s="2">
        <f t="shared" si="10"/>
        <v>8865586.4860991593</v>
      </c>
      <c r="P37" s="18" t="s">
        <v>254</v>
      </c>
      <c r="Q37" s="123">
        <v>0.1</v>
      </c>
      <c r="R37" s="2">
        <f>Q37*R$32</f>
        <v>4366786.686729718</v>
      </c>
    </row>
    <row r="38" spans="3:19" x14ac:dyDescent="0.35">
      <c r="D38" s="6"/>
      <c r="E38" s="6"/>
      <c r="F38" s="31"/>
      <c r="G38" s="6">
        <f>SUM(G33:G37)</f>
        <v>1</v>
      </c>
      <c r="H38" s="209" t="s">
        <v>292</v>
      </c>
      <c r="I38" s="5" t="s">
        <v>10</v>
      </c>
      <c r="J38" s="178" t="s">
        <v>256</v>
      </c>
      <c r="K38" s="6">
        <f>'Feedstock MIX per IVC'!L121</f>
        <v>106.81600699886792</v>
      </c>
      <c r="L38" s="2">
        <f t="shared" si="9"/>
        <v>5529848.456340069</v>
      </c>
      <c r="M38" t="s">
        <v>250</v>
      </c>
      <c r="N38" s="35">
        <v>0.03</v>
      </c>
      <c r="O38" s="2">
        <f t="shared" si="10"/>
        <v>1063870.3783318992</v>
      </c>
      <c r="Q38" s="35"/>
      <c r="R38" s="2"/>
    </row>
    <row r="39" spans="3:19" x14ac:dyDescent="0.35">
      <c r="D39" s="6"/>
      <c r="E39" s="6"/>
      <c r="F39" s="31"/>
      <c r="G39" s="6"/>
      <c r="H39" s="209" t="s">
        <v>292</v>
      </c>
      <c r="I39" s="5" t="s">
        <v>11</v>
      </c>
      <c r="J39" s="156" t="s">
        <v>209</v>
      </c>
      <c r="K39" s="6">
        <f>'Feedstock MIX per IVC'!L122</f>
        <v>109.75727370326787</v>
      </c>
      <c r="L39" s="2">
        <f t="shared" si="9"/>
        <v>5682117.3868308235</v>
      </c>
    </row>
    <row r="40" spans="3:19" x14ac:dyDescent="0.35">
      <c r="D40" s="6"/>
      <c r="E40" s="6"/>
      <c r="F40" s="31"/>
      <c r="G40" s="6"/>
      <c r="H40" s="209" t="s">
        <v>292</v>
      </c>
      <c r="I40" s="5" t="s">
        <v>12</v>
      </c>
      <c r="J40" s="159" t="s">
        <v>213</v>
      </c>
      <c r="K40" s="6">
        <f>'Feedstock MIX per IVC'!L123</f>
        <v>0</v>
      </c>
      <c r="L40" s="2">
        <f t="shared" si="9"/>
        <v>0</v>
      </c>
      <c r="M40" s="2"/>
    </row>
    <row r="41" spans="3:19" x14ac:dyDescent="0.35">
      <c r="D41" s="6"/>
      <c r="E41" s="6"/>
      <c r="F41" s="31"/>
      <c r="G41" s="6"/>
      <c r="H41" s="6"/>
      <c r="I41" s="6"/>
      <c r="J41" s="6"/>
      <c r="K41" s="6"/>
      <c r="L41" s="2"/>
    </row>
    <row r="42" spans="3:19" x14ac:dyDescent="0.35">
      <c r="D42" s="6"/>
      <c r="E42" s="6"/>
      <c r="F42" s="31"/>
      <c r="G42" s="6"/>
      <c r="H42" s="6"/>
      <c r="I42" s="229" t="s">
        <v>321</v>
      </c>
      <c r="J42" s="6"/>
      <c r="K42" s="6"/>
      <c r="L42" s="2"/>
      <c r="M42" s="80" t="s">
        <v>214</v>
      </c>
      <c r="O42" s="92">
        <f>SUM(O43:O48)</f>
        <v>532194940.66721159</v>
      </c>
      <c r="P42" s="80" t="s">
        <v>214</v>
      </c>
      <c r="Q42" s="80"/>
      <c r="R42" s="92">
        <f>SUM(R43:R47)</f>
        <v>1041173743.1987559</v>
      </c>
    </row>
    <row r="43" spans="3:19" x14ac:dyDescent="0.35">
      <c r="D43" s="6"/>
      <c r="E43" s="6"/>
      <c r="F43" s="31"/>
      <c r="G43" s="6"/>
      <c r="H43" s="6"/>
      <c r="I43" s="6"/>
      <c r="J43" s="154" t="s">
        <v>212</v>
      </c>
      <c r="K43" s="6"/>
      <c r="L43" s="2">
        <f>L24+L25+L27+L28+L33+L34+L36+L37</f>
        <v>37370460.481672212</v>
      </c>
      <c r="M43" s="5" t="s">
        <v>245</v>
      </c>
      <c r="O43" s="2">
        <f>O10+O17+O33+O24</f>
        <v>39728328.0498887</v>
      </c>
      <c r="P43" s="18" t="s">
        <v>251</v>
      </c>
      <c r="R43" s="2">
        <f>R10+R17+R24+R33</f>
        <v>341835980.55317223</v>
      </c>
    </row>
    <row r="44" spans="3:19" x14ac:dyDescent="0.35">
      <c r="D44" s="6"/>
      <c r="E44" s="6"/>
      <c r="F44" s="31"/>
      <c r="G44" s="6"/>
      <c r="H44" s="6"/>
      <c r="I44" s="6"/>
      <c r="J44" s="178" t="s">
        <v>256</v>
      </c>
      <c r="K44" s="6"/>
      <c r="L44" s="2">
        <f>L29+L38</f>
        <v>10101664.201924413</v>
      </c>
      <c r="M44" t="s">
        <v>246</v>
      </c>
      <c r="O44" s="2">
        <f t="shared" ref="O44:O48" si="11">O11+O18+O34+O25</f>
        <v>10643898.813344233</v>
      </c>
      <c r="P44" s="18" t="s">
        <v>210</v>
      </c>
      <c r="R44" s="2">
        <f t="shared" ref="R44:R47" si="12">R11+R18+R25+R34</f>
        <v>260293435.79968899</v>
      </c>
    </row>
    <row r="45" spans="3:19" x14ac:dyDescent="0.35">
      <c r="D45" s="6"/>
      <c r="E45" s="6"/>
      <c r="F45" s="31"/>
      <c r="G45" s="6"/>
      <c r="H45" s="6"/>
      <c r="I45" s="6"/>
      <c r="J45" s="156" t="s">
        <v>209</v>
      </c>
      <c r="K45" s="6"/>
      <c r="L45" s="2">
        <f>L39</f>
        <v>5682117.3868308235</v>
      </c>
      <c r="M45" s="5" t="s">
        <v>244</v>
      </c>
      <c r="O45" s="2">
        <f t="shared" si="11"/>
        <v>239487723.30024523</v>
      </c>
      <c r="P45" s="18" t="s">
        <v>252</v>
      </c>
      <c r="R45" s="2">
        <f t="shared" si="12"/>
        <v>208234748.6397512</v>
      </c>
    </row>
    <row r="46" spans="3:19" x14ac:dyDescent="0.35">
      <c r="D46" s="6"/>
      <c r="E46" s="6"/>
      <c r="F46" s="31"/>
      <c r="G46" s="6"/>
      <c r="H46" s="6"/>
      <c r="I46" s="6"/>
      <c r="J46" s="157" t="s">
        <v>211</v>
      </c>
      <c r="K46" s="6"/>
      <c r="L46" s="2">
        <f>L35+L26</f>
        <v>711283.90588281956</v>
      </c>
      <c r="M46" t="s">
        <v>247</v>
      </c>
      <c r="O46" s="2">
        <f t="shared" si="11"/>
        <v>73269950.591817677</v>
      </c>
      <c r="P46" s="18" t="s">
        <v>253</v>
      </c>
      <c r="R46" s="2">
        <f t="shared" si="12"/>
        <v>173107183.65460762</v>
      </c>
    </row>
    <row r="47" spans="3:19" x14ac:dyDescent="0.35">
      <c r="D47" s="6"/>
      <c r="E47" s="6"/>
      <c r="F47" s="31"/>
      <c r="G47" s="6"/>
      <c r="H47" s="6"/>
      <c r="I47" s="6"/>
      <c r="J47" s="159" t="s">
        <v>213</v>
      </c>
      <c r="K47" s="6"/>
      <c r="L47" s="2">
        <f>L31+L40</f>
        <v>0</v>
      </c>
      <c r="M47" t="s">
        <v>248</v>
      </c>
      <c r="O47" s="2">
        <f t="shared" si="11"/>
        <v>153099191.69189942</v>
      </c>
      <c r="P47" s="18" t="s">
        <v>254</v>
      </c>
      <c r="R47" s="2">
        <f t="shared" si="12"/>
        <v>57702394.55153589</v>
      </c>
    </row>
    <row r="48" spans="3:19" x14ac:dyDescent="0.35">
      <c r="D48" s="6"/>
      <c r="E48" s="6"/>
      <c r="F48" s="31"/>
      <c r="G48" s="6"/>
      <c r="H48" s="6"/>
      <c r="I48" s="229" t="s">
        <v>339</v>
      </c>
      <c r="J48" s="107"/>
      <c r="K48" s="6"/>
      <c r="L48" s="2"/>
      <c r="M48" t="s">
        <v>250</v>
      </c>
      <c r="O48" s="2">
        <f t="shared" si="11"/>
        <v>15965848.220016347</v>
      </c>
    </row>
    <row r="49" spans="1:19" x14ac:dyDescent="0.35">
      <c r="D49" s="6"/>
      <c r="E49" s="6"/>
      <c r="F49" s="31"/>
      <c r="G49" s="6"/>
      <c r="J49" s="154" t="s">
        <v>212</v>
      </c>
      <c r="L49" s="2">
        <f>L10+L17</f>
        <v>2769318676.4826174</v>
      </c>
    </row>
    <row r="50" spans="1:19" s="93" customFormat="1" ht="41" customHeight="1" x14ac:dyDescent="0.35">
      <c r="A50" s="93" t="s">
        <v>105</v>
      </c>
      <c r="F50" s="176"/>
    </row>
    <row r="51" spans="1:19" ht="17.5" customHeight="1" x14ac:dyDescent="0.35">
      <c r="C51" s="2">
        <f>C52+C59+C66+C75</f>
        <v>1263933076.9892387</v>
      </c>
      <c r="D51" s="2">
        <f>D52+D59+D66+D75</f>
        <v>0.80553723974488423</v>
      </c>
      <c r="F51" s="2">
        <f>F52+F59+F66+F75</f>
        <v>1171421.6635674643</v>
      </c>
      <c r="L51" s="2">
        <f>L52+L59+L66+L75</f>
        <v>358843259.07687014</v>
      </c>
      <c r="O51" s="2">
        <f>O52+O59+O66+O75</f>
        <v>525958674.47737837</v>
      </c>
      <c r="R51" s="2">
        <f>R52+R59+R66+R75</f>
        <v>549945339.81075692</v>
      </c>
    </row>
    <row r="52" spans="1:19" s="218" customFormat="1" ht="17.5" customHeight="1" x14ac:dyDescent="0.35">
      <c r="A52" s="218" t="s">
        <v>337</v>
      </c>
      <c r="B52" s="218">
        <v>1000</v>
      </c>
      <c r="C52" s="219">
        <f>B52*F52</f>
        <v>464285714.28571516</v>
      </c>
      <c r="D52" s="220">
        <f>'[1]GAP analysis Sc. 1'!$P$96</f>
        <v>0.29941039184375434</v>
      </c>
      <c r="E52" s="227">
        <f>'[2]Conversion factors selected IV '!$O$17</f>
        <v>1.5506666666666669</v>
      </c>
      <c r="F52" s="219">
        <f>D52*E52*1000000</f>
        <v>464285.71428571513</v>
      </c>
      <c r="G52" s="225">
        <f>'LCoP 2040 medium-high'!E5</f>
        <v>1392.5255308867304</v>
      </c>
      <c r="H52" s="220">
        <f>G52*F52</f>
        <v>646529710.76884031</v>
      </c>
      <c r="I52" s="225">
        <f>'LCoP 2040 medium-high'!H5</f>
        <v>0.23089381397696165</v>
      </c>
      <c r="L52" s="219">
        <f>I52*H52</f>
        <v>149279710.76883945</v>
      </c>
      <c r="M52" s="225">
        <f>'LCoP 2040 medium-high'!F5</f>
        <v>0.3985564269307062</v>
      </c>
      <c r="O52" s="219">
        <f>M52*H52</f>
        <v>257678571.42857191</v>
      </c>
      <c r="P52" s="225">
        <f>'LCoP 2040 medium-high'!G5</f>
        <v>0.37054975909233223</v>
      </c>
      <c r="R52" s="219">
        <f>P52*H52</f>
        <v>239571428.57142901</v>
      </c>
      <c r="S52" s="220">
        <f>R52+O52+L52</f>
        <v>646529710.76884043</v>
      </c>
    </row>
    <row r="53" spans="1:19" ht="15" customHeight="1" x14ac:dyDescent="0.35">
      <c r="C53">
        <f>C52/$C$51</f>
        <v>0.36733409603589967</v>
      </c>
      <c r="F53" s="154" t="s">
        <v>212</v>
      </c>
      <c r="G53" s="6">
        <f>SUMIF($J$53:$J$56,F53,$L$53:$L$56)/$L$52</f>
        <v>0.80673348650195464</v>
      </c>
      <c r="H53" s="209" t="s">
        <v>292</v>
      </c>
      <c r="I53" s="7" t="s">
        <v>5</v>
      </c>
      <c r="J53" s="154" t="s">
        <v>212</v>
      </c>
      <c r="K53" s="6">
        <f>'Feedstock MIX per IVC'!L13</f>
        <v>206.40469929702672</v>
      </c>
      <c r="L53">
        <f>K53*F$52</f>
        <v>95830753.245048299</v>
      </c>
      <c r="M53" s="5" t="s">
        <v>245</v>
      </c>
      <c r="N53" s="35">
        <v>0</v>
      </c>
      <c r="O53" s="2">
        <f>N53*O$52</f>
        <v>0</v>
      </c>
      <c r="P53" s="18" t="s">
        <v>251</v>
      </c>
      <c r="Q53" s="35">
        <v>0.2</v>
      </c>
      <c r="R53" s="2">
        <f>Q53*R$52</f>
        <v>47914285.714285806</v>
      </c>
    </row>
    <row r="54" spans="1:19" ht="15" customHeight="1" x14ac:dyDescent="0.35">
      <c r="F54" s="156" t="s">
        <v>209</v>
      </c>
      <c r="G54" s="6">
        <f>SUMIF($J$53:$J$56,F54,$L$53:$L$56)/$L$52</f>
        <v>0.19326651349804533</v>
      </c>
      <c r="H54" s="209" t="s">
        <v>292</v>
      </c>
      <c r="I54" s="7" t="s">
        <v>8</v>
      </c>
      <c r="J54" s="154" t="s">
        <v>212</v>
      </c>
      <c r="K54" s="6">
        <f>'Feedstock MIX per IVC'!L14</f>
        <v>43.101935669615791</v>
      </c>
      <c r="L54">
        <f t="shared" ref="L54:L56" si="13">K54*F$52</f>
        <v>20011612.98946451</v>
      </c>
      <c r="M54" t="s">
        <v>246</v>
      </c>
      <c r="N54" s="35">
        <v>0.02</v>
      </c>
      <c r="O54" s="2">
        <f t="shared" ref="O54:O58" si="14">N54*O$52</f>
        <v>5153571.4285714384</v>
      </c>
      <c r="P54" s="18" t="s">
        <v>210</v>
      </c>
      <c r="Q54" s="35">
        <v>0.5</v>
      </c>
      <c r="R54" s="2">
        <f t="shared" ref="R54:R57" si="15">Q54*R$52</f>
        <v>119785714.28571451</v>
      </c>
    </row>
    <row r="55" spans="1:19" ht="15" customHeight="1" x14ac:dyDescent="0.35">
      <c r="F55" s="31"/>
      <c r="H55" s="209" t="s">
        <v>292</v>
      </c>
      <c r="I55" s="7" t="s">
        <v>9</v>
      </c>
      <c r="J55" s="154" t="s">
        <v>212</v>
      </c>
      <c r="K55" s="6">
        <f>'Feedstock MIX per IVC'!L15</f>
        <v>9.8787775650014993</v>
      </c>
      <c r="L55">
        <f t="shared" si="13"/>
        <v>4586575.2980364189</v>
      </c>
      <c r="M55" s="5" t="s">
        <v>244</v>
      </c>
      <c r="N55" s="35">
        <v>0.5</v>
      </c>
      <c r="O55" s="2">
        <f t="shared" si="14"/>
        <v>128839285.71428595</v>
      </c>
      <c r="P55" s="18" t="s">
        <v>252</v>
      </c>
      <c r="Q55" s="35">
        <v>0.15</v>
      </c>
      <c r="R55" s="2">
        <f t="shared" si="15"/>
        <v>35935714.285714351</v>
      </c>
    </row>
    <row r="56" spans="1:19" ht="15" customHeight="1" x14ac:dyDescent="0.35">
      <c r="F56" s="31"/>
      <c r="H56" s="209" t="s">
        <v>292</v>
      </c>
      <c r="I56" s="7" t="s">
        <v>11</v>
      </c>
      <c r="J56" s="156" t="s">
        <v>209</v>
      </c>
      <c r="K56" s="6">
        <f>'Feedstock MIX per IVC'!L16</f>
        <v>62.1401183550865</v>
      </c>
      <c r="L56">
        <f t="shared" si="13"/>
        <v>28850769.236290213</v>
      </c>
      <c r="M56" t="s">
        <v>247</v>
      </c>
      <c r="N56" s="35">
        <v>0.15</v>
      </c>
      <c r="O56" s="2">
        <f t="shared" si="14"/>
        <v>38651785.714285783</v>
      </c>
      <c r="P56" s="18" t="s">
        <v>253</v>
      </c>
      <c r="Q56" s="35">
        <v>0.1</v>
      </c>
      <c r="R56" s="2">
        <f t="shared" si="15"/>
        <v>23957142.857142903</v>
      </c>
    </row>
    <row r="57" spans="1:19" ht="15" customHeight="1" x14ac:dyDescent="0.35">
      <c r="F57" s="31"/>
      <c r="M57" t="s">
        <v>248</v>
      </c>
      <c r="N57" s="35">
        <v>0.3</v>
      </c>
      <c r="O57" s="2">
        <f t="shared" si="14"/>
        <v>77303571.428571567</v>
      </c>
      <c r="P57" s="18" t="s">
        <v>254</v>
      </c>
      <c r="Q57" s="35">
        <v>0.05</v>
      </c>
      <c r="R57" s="2">
        <f t="shared" si="15"/>
        <v>11978571.428571451</v>
      </c>
    </row>
    <row r="58" spans="1:19" ht="15" customHeight="1" x14ac:dyDescent="0.35">
      <c r="F58" s="31"/>
      <c r="M58" t="s">
        <v>250</v>
      </c>
      <c r="N58" s="35">
        <v>0.03</v>
      </c>
      <c r="O58" s="2">
        <f t="shared" si="14"/>
        <v>7730357.1428571567</v>
      </c>
      <c r="R58" s="2"/>
    </row>
    <row r="59" spans="1:19" s="218" customFormat="1" ht="17.5" customHeight="1" x14ac:dyDescent="0.35">
      <c r="A59" s="218" t="s">
        <v>344</v>
      </c>
      <c r="B59" s="218">
        <v>1000</v>
      </c>
      <c r="C59" s="219">
        <f>B59*F59</f>
        <v>566037735.84905601</v>
      </c>
      <c r="D59" s="225">
        <f>'[1]GAP analysis Sc. 1'!$P$97</f>
        <v>0.36502863446843681</v>
      </c>
      <c r="E59" s="218">
        <f>'[2]Conversion factors selected IV '!$O$86</f>
        <v>1.5506666666666669</v>
      </c>
      <c r="F59" s="219">
        <f>D59*E59*1000000</f>
        <v>566037.73584905604</v>
      </c>
      <c r="G59" s="225">
        <f>'LCoP 2040 medium-high'!E18</f>
        <v>988.03814186666671</v>
      </c>
      <c r="H59" s="220">
        <f>G59*F59</f>
        <v>559266872.7547164</v>
      </c>
      <c r="I59" s="225">
        <f>'LCoP 2040 medium-high'!H18</f>
        <v>0.32087642008201966</v>
      </c>
      <c r="L59" s="219">
        <f>I59*H59</f>
        <v>179455551.99999982</v>
      </c>
      <c r="M59" s="225">
        <f>'LCoP 2040 medium-high'!F18</f>
        <v>0.28136565606139868</v>
      </c>
      <c r="O59" s="219">
        <f>M59*H59</f>
        <v>157358490.56603757</v>
      </c>
      <c r="P59" s="225">
        <f>'LCoP 2040 medium-high'!G18</f>
        <v>0.3977579238565816</v>
      </c>
      <c r="R59" s="219">
        <f>P59*H59</f>
        <v>222452830.18867898</v>
      </c>
      <c r="S59" s="220">
        <f>R59+O59+L59</f>
        <v>559266872.7547164</v>
      </c>
    </row>
    <row r="60" spans="1:19" ht="14.5" customHeight="1" x14ac:dyDescent="0.35">
      <c r="C60">
        <f>C59/$C$51</f>
        <v>0.4478383754283814</v>
      </c>
      <c r="D60" s="6"/>
      <c r="F60" s="31"/>
      <c r="I60" s="16" t="s">
        <v>37</v>
      </c>
      <c r="J60" s="207" t="s">
        <v>106</v>
      </c>
      <c r="K60" s="6">
        <f>'Feedstock MIX per IVC'!L85</f>
        <v>317.03814186666671</v>
      </c>
      <c r="L60" s="31">
        <f>K60*F59</f>
        <v>179455551.99999985</v>
      </c>
      <c r="M60" s="5" t="s">
        <v>245</v>
      </c>
      <c r="N60" s="35">
        <v>0</v>
      </c>
      <c r="O60" s="2">
        <f>N60*O$59</f>
        <v>0</v>
      </c>
      <c r="P60" s="18" t="s">
        <v>251</v>
      </c>
      <c r="Q60" s="35">
        <v>0.2</v>
      </c>
      <c r="R60" s="2">
        <f>Q60*R$59</f>
        <v>44490566.037735797</v>
      </c>
    </row>
    <row r="61" spans="1:19" ht="14.5" customHeight="1" x14ac:dyDescent="0.35">
      <c r="D61" s="6"/>
      <c r="F61" s="31"/>
      <c r="M61" t="s">
        <v>246</v>
      </c>
      <c r="N61" s="35">
        <v>0.02</v>
      </c>
      <c r="O61" s="2">
        <f t="shared" ref="O61:O65" si="16">N61*O$59</f>
        <v>3147169.8113207514</v>
      </c>
      <c r="P61" s="18" t="s">
        <v>210</v>
      </c>
      <c r="Q61" s="35">
        <v>0.5</v>
      </c>
      <c r="R61" s="2">
        <f t="shared" ref="R61:R64" si="17">Q61*R$59</f>
        <v>111226415.09433949</v>
      </c>
    </row>
    <row r="62" spans="1:19" ht="14.5" customHeight="1" x14ac:dyDescent="0.35">
      <c r="D62" s="6"/>
      <c r="F62" s="31"/>
      <c r="M62" s="5" t="s">
        <v>244</v>
      </c>
      <c r="N62" s="35">
        <v>0.5</v>
      </c>
      <c r="O62" s="2">
        <f t="shared" si="16"/>
        <v>78679245.283018783</v>
      </c>
      <c r="P62" s="18" t="s">
        <v>252</v>
      </c>
      <c r="Q62" s="35">
        <v>0.15</v>
      </c>
      <c r="R62" s="2">
        <f t="shared" si="17"/>
        <v>33367924.528301846</v>
      </c>
    </row>
    <row r="63" spans="1:19" ht="14.5" customHeight="1" x14ac:dyDescent="0.35">
      <c r="D63" s="6"/>
      <c r="F63" s="31"/>
      <c r="M63" t="s">
        <v>247</v>
      </c>
      <c r="N63" s="35">
        <v>0.15</v>
      </c>
      <c r="O63" s="2">
        <f t="shared" si="16"/>
        <v>23603773.584905636</v>
      </c>
      <c r="P63" s="18" t="s">
        <v>253</v>
      </c>
      <c r="Q63" s="35">
        <v>0.1</v>
      </c>
      <c r="R63" s="2">
        <f t="shared" si="17"/>
        <v>22245283.018867899</v>
      </c>
    </row>
    <row r="64" spans="1:19" ht="14.5" customHeight="1" x14ac:dyDescent="0.35">
      <c r="F64" s="31"/>
      <c r="M64" t="s">
        <v>248</v>
      </c>
      <c r="N64" s="35">
        <v>0.3</v>
      </c>
      <c r="O64" s="2">
        <f t="shared" si="16"/>
        <v>47207547.169811271</v>
      </c>
      <c r="P64" s="18" t="s">
        <v>254</v>
      </c>
      <c r="Q64" s="35">
        <v>0.05</v>
      </c>
      <c r="R64" s="2">
        <f t="shared" si="17"/>
        <v>11122641.509433949</v>
      </c>
    </row>
    <row r="65" spans="1:19" ht="14.5" customHeight="1" x14ac:dyDescent="0.35">
      <c r="F65" s="31"/>
      <c r="M65" t="s">
        <v>250</v>
      </c>
      <c r="N65" s="35">
        <v>0.03</v>
      </c>
      <c r="O65" s="2">
        <f t="shared" si="16"/>
        <v>4720754.7169811269</v>
      </c>
    </row>
    <row r="66" spans="1:19" s="218" customFormat="1" ht="17.5" customHeight="1" x14ac:dyDescent="0.35">
      <c r="A66" s="218" t="s">
        <v>335</v>
      </c>
      <c r="B66" s="218">
        <v>1750</v>
      </c>
      <c r="C66" s="219">
        <f>B66*F66</f>
        <v>208094487.43670571</v>
      </c>
      <c r="D66" s="220">
        <f>'[1]GAP analysis Sc. 1'!$P$98</f>
        <v>0.11891113567811754</v>
      </c>
      <c r="E66" s="218">
        <f>'[2]Conversion factors selected IV '!$O$89</f>
        <v>1</v>
      </c>
      <c r="F66" s="219">
        <f>D66*E66*1000000</f>
        <v>118911.13567811754</v>
      </c>
      <c r="G66" s="225">
        <f>'LCoP 2040 medium-high'!E20</f>
        <v>1600.3194175829624</v>
      </c>
      <c r="H66" s="220">
        <f>G66*F66</f>
        <v>190295799.39253369</v>
      </c>
      <c r="I66" s="225">
        <f>'LCoP 2040 medium-high'!H20</f>
        <v>0.13329802490627074</v>
      </c>
      <c r="L66" s="219">
        <f>I66*H66</f>
        <v>25366054.206984658</v>
      </c>
      <c r="M66" s="225">
        <f>'LCoP 2040 medium-high'!F20</f>
        <v>0.50302457819066482</v>
      </c>
      <c r="O66" s="219">
        <f>M66*H66</f>
        <v>95723464.220884636</v>
      </c>
      <c r="P66" s="225">
        <f>'LCoP 2040 medium-high'!G20</f>
        <v>0.3636773969030645</v>
      </c>
      <c r="R66" s="219">
        <f>P66*H66</f>
        <v>69206280.964664415</v>
      </c>
      <c r="S66" s="220">
        <f>R66+O66+L66</f>
        <v>190295799.39253372</v>
      </c>
    </row>
    <row r="67" spans="1:19" ht="17.5" customHeight="1" x14ac:dyDescent="0.35">
      <c r="C67">
        <f>C66/$C$51</f>
        <v>0.16464043170101914</v>
      </c>
      <c r="F67" s="154" t="s">
        <v>212</v>
      </c>
      <c r="G67" s="6">
        <f>SUMIF($J$67:$J$74,F67,$L$67:$L$74)/$L$66</f>
        <v>0.62289870736507413</v>
      </c>
      <c r="H67" s="209" t="s">
        <v>292</v>
      </c>
      <c r="I67" s="5" t="s">
        <v>5</v>
      </c>
      <c r="J67" s="154" t="s">
        <v>212</v>
      </c>
      <c r="K67" s="6">
        <f>'Feedstock MIX per IVC'!L89</f>
        <v>100.3123242906255</v>
      </c>
      <c r="L67">
        <f>K67*F$66</f>
        <v>11928252.403909894</v>
      </c>
      <c r="M67" s="5" t="s">
        <v>245</v>
      </c>
      <c r="N67" s="174">
        <v>0.15</v>
      </c>
      <c r="O67" s="2">
        <f>N67*O$66</f>
        <v>14358519.633132694</v>
      </c>
      <c r="P67" s="18" t="s">
        <v>251</v>
      </c>
      <c r="Q67" s="123">
        <v>0.15</v>
      </c>
      <c r="R67" s="2">
        <f>Q67*R$66</f>
        <v>10380942.144699661</v>
      </c>
    </row>
    <row r="68" spans="1:19" ht="17.5" customHeight="1" x14ac:dyDescent="0.35">
      <c r="F68" s="178" t="s">
        <v>256</v>
      </c>
      <c r="G68" s="6">
        <f t="shared" ref="G68:G72" si="18">SUMIF($J$67:$J$74,F68,$L$67:$L$74)/$L$66</f>
        <v>0.18023361884661884</v>
      </c>
      <c r="H68" s="209" t="s">
        <v>292</v>
      </c>
      <c r="I68" s="5" t="s">
        <v>6</v>
      </c>
      <c r="J68" s="154" t="s">
        <v>212</v>
      </c>
      <c r="K68" s="6">
        <f>'Feedstock MIX per IVC'!L90</f>
        <v>5.4499648131295366</v>
      </c>
      <c r="L68">
        <f t="shared" ref="L68:L74" si="19">K68*F$66</f>
        <v>648061.5053350128</v>
      </c>
      <c r="M68" t="s">
        <v>246</v>
      </c>
      <c r="N68" s="35">
        <v>0.02</v>
      </c>
      <c r="O68" s="2">
        <f t="shared" ref="O68:O71" si="20">N68*O$66</f>
        <v>1914469.2844176928</v>
      </c>
      <c r="P68" s="18" t="s">
        <v>210</v>
      </c>
      <c r="Q68" s="123">
        <v>0.25</v>
      </c>
      <c r="R68" s="2">
        <f t="shared" ref="R68:R71" si="21">Q68*R$66</f>
        <v>17301570.241166104</v>
      </c>
    </row>
    <row r="69" spans="1:19" ht="17.5" customHeight="1" x14ac:dyDescent="0.35">
      <c r="F69" s="156" t="s">
        <v>209</v>
      </c>
      <c r="G69" s="6">
        <f t="shared" si="18"/>
        <v>0.18487191117797133</v>
      </c>
      <c r="H69" s="209" t="s">
        <v>292</v>
      </c>
      <c r="I69" s="5" t="s">
        <v>7</v>
      </c>
      <c r="J69" s="157" t="s">
        <v>211</v>
      </c>
      <c r="K69" s="6">
        <f>'Feedstock MIX per IVC'!L91</f>
        <v>2.5589290935002591</v>
      </c>
      <c r="L69">
        <f t="shared" si="19"/>
        <v>304285.16462789162</v>
      </c>
      <c r="M69" s="5" t="s">
        <v>244</v>
      </c>
      <c r="N69" s="174">
        <v>0.45</v>
      </c>
      <c r="O69" s="2">
        <f t="shared" si="20"/>
        <v>43075558.899398088</v>
      </c>
      <c r="P69" s="18" t="s">
        <v>252</v>
      </c>
      <c r="Q69" s="123">
        <v>0.2</v>
      </c>
      <c r="R69" s="2">
        <f t="shared" si="21"/>
        <v>13841256.192932883</v>
      </c>
    </row>
    <row r="70" spans="1:19" ht="17.5" customHeight="1" x14ac:dyDescent="0.35">
      <c r="F70" s="157" t="s">
        <v>211</v>
      </c>
      <c r="G70" s="6">
        <f t="shared" si="18"/>
        <v>1.1995762610335562E-2</v>
      </c>
      <c r="H70" s="209" t="s">
        <v>292</v>
      </c>
      <c r="I70" s="5" t="s">
        <v>8</v>
      </c>
      <c r="J70" s="154" t="s">
        <v>212</v>
      </c>
      <c r="K70" s="6">
        <f>'Feedstock MIX per IVC'!L92</f>
        <v>22.120308773376749</v>
      </c>
      <c r="L70">
        <f t="shared" si="19"/>
        <v>2630351.0377928563</v>
      </c>
      <c r="M70" t="s">
        <v>247</v>
      </c>
      <c r="N70" s="35">
        <v>0.1</v>
      </c>
      <c r="O70" s="2">
        <f t="shared" si="20"/>
        <v>9572346.4220884647</v>
      </c>
      <c r="P70" s="18" t="s">
        <v>253</v>
      </c>
      <c r="Q70" s="123">
        <v>0.3</v>
      </c>
      <c r="R70" s="2">
        <f t="shared" si="21"/>
        <v>20761884.289399322</v>
      </c>
    </row>
    <row r="71" spans="1:19" ht="17.5" customHeight="1" x14ac:dyDescent="0.35">
      <c r="F71" s="159" t="s">
        <v>213</v>
      </c>
      <c r="G71" s="6">
        <f t="shared" si="18"/>
        <v>0</v>
      </c>
      <c r="H71" s="209" t="s">
        <v>292</v>
      </c>
      <c r="I71" s="5" t="s">
        <v>9</v>
      </c>
      <c r="J71" s="154" t="s">
        <v>212</v>
      </c>
      <c r="K71" s="6">
        <f>'Feedstock MIX per IVC'!L93</f>
        <v>4.9937915911659898</v>
      </c>
      <c r="L71">
        <f t="shared" si="19"/>
        <v>593817.42944538151</v>
      </c>
      <c r="M71" t="s">
        <v>248</v>
      </c>
      <c r="N71" s="35">
        <v>0.25</v>
      </c>
      <c r="O71" s="2">
        <f t="shared" si="20"/>
        <v>23930866.055221159</v>
      </c>
      <c r="P71" s="18" t="s">
        <v>254</v>
      </c>
      <c r="Q71" s="123">
        <v>0.1</v>
      </c>
      <c r="R71" s="2">
        <f t="shared" si="21"/>
        <v>6920628.0964664416</v>
      </c>
    </row>
    <row r="72" spans="1:19" ht="17.5" customHeight="1" x14ac:dyDescent="0.35">
      <c r="F72" s="207" t="s">
        <v>106</v>
      </c>
      <c r="G72" s="6">
        <f t="shared" si="18"/>
        <v>0</v>
      </c>
      <c r="H72" s="209" t="s">
        <v>292</v>
      </c>
      <c r="I72" s="5" t="s">
        <v>10</v>
      </c>
      <c r="J72" s="178" t="s">
        <v>256</v>
      </c>
      <c r="K72" s="6">
        <f>'Feedstock MIX per IVC'!L94</f>
        <v>38.447330601230377</v>
      </c>
      <c r="L72">
        <f t="shared" si="19"/>
        <v>4571815.7455843454</v>
      </c>
      <c r="M72" t="s">
        <v>250</v>
      </c>
      <c r="N72" s="35">
        <v>0.03</v>
      </c>
      <c r="O72" s="2">
        <f>N72*O$66</f>
        <v>2871703.9266265389</v>
      </c>
      <c r="Q72" s="35"/>
      <c r="R72" s="2"/>
    </row>
    <row r="73" spans="1:19" ht="17.5" customHeight="1" x14ac:dyDescent="0.35">
      <c r="F73" s="31"/>
      <c r="G73" s="6">
        <f>SUM(G67:G72)</f>
        <v>0.99999999999999978</v>
      </c>
      <c r="H73" s="209" t="s">
        <v>292</v>
      </c>
      <c r="I73" s="5" t="s">
        <v>11</v>
      </c>
      <c r="J73" s="156" t="s">
        <v>209</v>
      </c>
      <c r="K73" s="6">
        <f>'Feedstock MIX per IVC'!L95</f>
        <v>39.436768419934005</v>
      </c>
      <c r="L73">
        <f t="shared" si="19"/>
        <v>4689470.9202892734</v>
      </c>
      <c r="O73" s="2"/>
    </row>
    <row r="74" spans="1:19" ht="17.5" customHeight="1" x14ac:dyDescent="0.35">
      <c r="F74" s="31"/>
      <c r="H74" s="209" t="s">
        <v>292</v>
      </c>
      <c r="I74" s="5" t="s">
        <v>12</v>
      </c>
      <c r="J74" s="159" t="s">
        <v>213</v>
      </c>
      <c r="K74" s="6">
        <f>'Feedstock MIX per IVC'!L96</f>
        <v>0</v>
      </c>
      <c r="L74">
        <f t="shared" si="19"/>
        <v>0</v>
      </c>
    </row>
    <row r="75" spans="1:19" s="218" customFormat="1" x14ac:dyDescent="0.35">
      <c r="A75" s="218" t="s">
        <v>338</v>
      </c>
      <c r="B75" s="218">
        <v>1150</v>
      </c>
      <c r="C75" s="219">
        <f>B75*F75</f>
        <v>25515139.417761922</v>
      </c>
      <c r="D75" s="225">
        <f>'[1]GAP analysis Sc. 1'!$P$99</f>
        <v>2.2187077754575586E-2</v>
      </c>
      <c r="E75" s="225">
        <f>'[2]Conversion factors selected IV '!$O$125</f>
        <v>1</v>
      </c>
      <c r="F75" s="219">
        <f>D75*E75*1000000</f>
        <v>22187.077754575585</v>
      </c>
      <c r="G75" s="225">
        <f>'LCoP 2040 medium-high'!E22</f>
        <v>1742.2254014926921</v>
      </c>
      <c r="H75" s="220">
        <f>G75*F75</f>
        <v>38654890.448915027</v>
      </c>
      <c r="I75" s="225">
        <f>'LCoP 2040 medium-high'!H22</f>
        <v>0.12267379485431552</v>
      </c>
      <c r="L75" s="219">
        <f>I75*H75</f>
        <v>4741942.1010462428</v>
      </c>
      <c r="M75" s="225">
        <f>'LCoP 2040 medium-high'!F22</f>
        <v>0.39317530292757202</v>
      </c>
      <c r="O75" s="219">
        <f>M75*H75</f>
        <v>15198148.261884276</v>
      </c>
      <c r="P75" s="225">
        <f>'LCoP 2040 medium-high'!G22</f>
        <v>0.48415090221811241</v>
      </c>
      <c r="R75" s="219">
        <f>P75*H75</f>
        <v>18714800.085984506</v>
      </c>
      <c r="S75" s="219">
        <f>L75+O75+R75</f>
        <v>38654890.44891502</v>
      </c>
    </row>
    <row r="76" spans="1:19" x14ac:dyDescent="0.35">
      <c r="C76">
        <f>C75/$C$51</f>
        <v>2.0187096834699866E-2</v>
      </c>
      <c r="D76" s="6"/>
      <c r="E76" s="6"/>
      <c r="F76" s="154" t="s">
        <v>212</v>
      </c>
      <c r="G76" s="6">
        <f>SUMIF($J$76:$J$83,F76,$L$76:$L$83)/$L$75</f>
        <v>0.62772240705126514</v>
      </c>
      <c r="H76" s="209" t="s">
        <v>292</v>
      </c>
      <c r="I76" s="5" t="s">
        <v>5</v>
      </c>
      <c r="J76" s="154" t="s">
        <v>212</v>
      </c>
      <c r="K76" s="6">
        <f>'Feedstock MIX per IVC'!L107</f>
        <v>99.331243167216414</v>
      </c>
      <c r="L76" s="2">
        <f>K76*F$75</f>
        <v>2203870.0156096853</v>
      </c>
      <c r="M76" s="5" t="s">
        <v>245</v>
      </c>
      <c r="N76" s="174">
        <v>0.15</v>
      </c>
      <c r="O76" s="2">
        <f>N76*O$75</f>
        <v>2279722.2392826411</v>
      </c>
      <c r="P76" s="18" t="s">
        <v>251</v>
      </c>
      <c r="Q76" s="123">
        <v>0.15</v>
      </c>
      <c r="R76" s="2">
        <f>Q76*R$75</f>
        <v>2807220.0128976759</v>
      </c>
    </row>
    <row r="77" spans="1:19" x14ac:dyDescent="0.35">
      <c r="D77" s="6"/>
      <c r="E77" s="6"/>
      <c r="F77" s="178" t="s">
        <v>256</v>
      </c>
      <c r="G77" s="6">
        <f t="shared" ref="G77:G81" si="22">SUMIF($J$76:$J$83,F77,$L$76:$L$83)/$L$75</f>
        <v>0.17776911525323663</v>
      </c>
      <c r="H77" s="209" t="s">
        <v>292</v>
      </c>
      <c r="I77" s="5" t="s">
        <v>6</v>
      </c>
      <c r="J77" s="154" t="s">
        <v>212</v>
      </c>
      <c r="K77" s="6">
        <f>'Feedstock MIX per IVC'!L108</f>
        <v>5.3936089496801278</v>
      </c>
      <c r="L77" s="2">
        <f t="shared" ref="L77:L82" si="23">K77*F$75</f>
        <v>119668.42114432775</v>
      </c>
      <c r="M77" t="s">
        <v>246</v>
      </c>
      <c r="N77" s="35">
        <v>0.02</v>
      </c>
      <c r="O77" s="2">
        <f t="shared" ref="O77:O81" si="24">N77*O$75</f>
        <v>303962.96523768554</v>
      </c>
      <c r="P77" s="18" t="s">
        <v>210</v>
      </c>
      <c r="Q77" s="123">
        <v>0.25</v>
      </c>
      <c r="R77" s="2">
        <f>Q77*R$75</f>
        <v>4678700.0214961264</v>
      </c>
    </row>
    <row r="78" spans="1:19" x14ac:dyDescent="0.35">
      <c r="D78" s="6"/>
      <c r="E78" s="6"/>
      <c r="F78" s="156" t="s">
        <v>209</v>
      </c>
      <c r="G78" s="6">
        <f t="shared" si="22"/>
        <v>0.1826641342158021</v>
      </c>
      <c r="H78" s="209" t="s">
        <v>292</v>
      </c>
      <c r="I78" s="5" t="s">
        <v>7</v>
      </c>
      <c r="J78" s="157" t="s">
        <v>211</v>
      </c>
      <c r="K78" s="6">
        <f>'Feedstock MIX per IVC'!L109</f>
        <v>2.5314370656153442</v>
      </c>
      <c r="L78" s="2">
        <f t="shared" si="23"/>
        <v>56165.191005622299</v>
      </c>
      <c r="M78" s="5" t="s">
        <v>244</v>
      </c>
      <c r="N78" s="174">
        <v>0.45</v>
      </c>
      <c r="O78" s="2">
        <f t="shared" si="24"/>
        <v>6839166.7178479247</v>
      </c>
      <c r="P78" s="18" t="s">
        <v>252</v>
      </c>
      <c r="Q78" s="123">
        <v>0.2</v>
      </c>
      <c r="R78" s="2">
        <f>Q78*R$75</f>
        <v>3742960.0171969011</v>
      </c>
    </row>
    <row r="79" spans="1:19" x14ac:dyDescent="0.35">
      <c r="D79" s="6"/>
      <c r="E79" s="6"/>
      <c r="F79" s="157" t="s">
        <v>211</v>
      </c>
      <c r="G79" s="6">
        <f t="shared" si="22"/>
        <v>1.1844343479695849E-2</v>
      </c>
      <c r="H79" s="209" t="s">
        <v>292</v>
      </c>
      <c r="I79" s="5" t="s">
        <v>8</v>
      </c>
      <c r="J79" s="154" t="s">
        <v>212</v>
      </c>
      <c r="K79" s="6">
        <f>'Feedstock MIX per IVC'!L110</f>
        <v>24.462377202250323</v>
      </c>
      <c r="L79" s="2">
        <f t="shared" si="23"/>
        <v>542748.66504808504</v>
      </c>
      <c r="M79" t="s">
        <v>247</v>
      </c>
      <c r="N79" s="35">
        <v>0.1</v>
      </c>
      <c r="O79" s="2">
        <f t="shared" si="24"/>
        <v>1519814.8261884276</v>
      </c>
      <c r="P79" s="18" t="s">
        <v>253</v>
      </c>
      <c r="Q79" s="123">
        <v>0.3</v>
      </c>
      <c r="R79" s="2">
        <f>Q79*R$75</f>
        <v>5614440.0257953517</v>
      </c>
    </row>
    <row r="80" spans="1:19" x14ac:dyDescent="0.35">
      <c r="D80" s="6"/>
      <c r="E80" s="6"/>
      <c r="F80" s="159" t="s">
        <v>213</v>
      </c>
      <c r="G80" s="6">
        <f t="shared" si="22"/>
        <v>0</v>
      </c>
      <c r="H80" s="209" t="s">
        <v>292</v>
      </c>
      <c r="I80" s="5" t="s">
        <v>9</v>
      </c>
      <c r="J80" s="154" t="s">
        <v>212</v>
      </c>
      <c r="K80" s="6">
        <f>'Feedstock MIX per IVC'!L111</f>
        <v>4.9729941538438478</v>
      </c>
      <c r="L80" s="2">
        <f t="shared" si="23"/>
        <v>110336.20796438327</v>
      </c>
      <c r="M80" t="s">
        <v>248</v>
      </c>
      <c r="N80" s="35">
        <v>0.25</v>
      </c>
      <c r="O80" s="2">
        <f t="shared" si="24"/>
        <v>3799537.065471069</v>
      </c>
      <c r="P80" s="18" t="s">
        <v>254</v>
      </c>
      <c r="Q80" s="123">
        <v>0.1</v>
      </c>
      <c r="R80" s="2">
        <f>Q80*R$75</f>
        <v>1871480.0085984506</v>
      </c>
    </row>
    <row r="81" spans="1:19" x14ac:dyDescent="0.35">
      <c r="D81" s="6"/>
      <c r="E81" s="6"/>
      <c r="F81" s="207" t="s">
        <v>106</v>
      </c>
      <c r="G81" s="6">
        <f t="shared" si="22"/>
        <v>0</v>
      </c>
      <c r="H81" s="209" t="s">
        <v>292</v>
      </c>
      <c r="I81" s="5" t="s">
        <v>10</v>
      </c>
      <c r="J81" s="178" t="s">
        <v>256</v>
      </c>
      <c r="K81" s="6">
        <f>'Feedstock MIX per IVC'!L112</f>
        <v>37.993775530498645</v>
      </c>
      <c r="L81" s="2">
        <f t="shared" si="23"/>
        <v>842970.85188506462</v>
      </c>
      <c r="M81" t="s">
        <v>250</v>
      </c>
      <c r="N81" s="35">
        <v>0.03</v>
      </c>
      <c r="O81" s="2">
        <f t="shared" si="24"/>
        <v>455944.44785652828</v>
      </c>
      <c r="Q81" s="35"/>
      <c r="R81" s="2"/>
    </row>
    <row r="82" spans="1:19" x14ac:dyDescent="0.35">
      <c r="D82" s="6"/>
      <c r="E82" s="6"/>
      <c r="F82" s="31"/>
      <c r="G82" s="6">
        <f>SUM(G76:G81)</f>
        <v>0.99999999999999978</v>
      </c>
      <c r="H82" s="209" t="s">
        <v>292</v>
      </c>
      <c r="I82" s="5" t="s">
        <v>11</v>
      </c>
      <c r="J82" s="156" t="s">
        <v>209</v>
      </c>
      <c r="K82" s="6">
        <f>'Feedstock MIX per IVC'!L113</f>
        <v>39.03996542358729</v>
      </c>
      <c r="L82" s="2">
        <f t="shared" si="23"/>
        <v>866182.74838907353</v>
      </c>
      <c r="M82" s="2"/>
      <c r="R82" s="2"/>
    </row>
    <row r="83" spans="1:19" x14ac:dyDescent="0.35">
      <c r="D83" s="6"/>
      <c r="E83" s="6"/>
      <c r="F83" s="31"/>
      <c r="G83" s="6"/>
      <c r="H83" s="209" t="s">
        <v>292</v>
      </c>
      <c r="I83" s="5" t="s">
        <v>12</v>
      </c>
      <c r="J83" s="159" t="s">
        <v>213</v>
      </c>
      <c r="K83" s="6">
        <f>'Feedstock MIX per IVC'!L114</f>
        <v>0</v>
      </c>
      <c r="L83" s="2">
        <f>K83*F$75</f>
        <v>0</v>
      </c>
      <c r="M83" s="2"/>
    </row>
    <row r="84" spans="1:19" s="80" customFormat="1" x14ac:dyDescent="0.35">
      <c r="D84" s="92"/>
      <c r="E84" s="92"/>
      <c r="F84" s="230"/>
      <c r="G84" s="6"/>
      <c r="L84" s="92"/>
    </row>
    <row r="85" spans="1:19" s="80" customFormat="1" x14ac:dyDescent="0.35">
      <c r="F85" s="230"/>
      <c r="I85" s="80" t="s">
        <v>321</v>
      </c>
      <c r="L85" s="230">
        <f>SUM(L86:L91)</f>
        <v>358843259.0768702</v>
      </c>
      <c r="M85" s="80" t="s">
        <v>214</v>
      </c>
      <c r="O85" s="92">
        <f>SUM(O86:O91)</f>
        <v>525958674.47737837</v>
      </c>
      <c r="P85" s="80" t="s">
        <v>214</v>
      </c>
      <c r="R85" s="92">
        <f>SUM(R86:R90)</f>
        <v>549945339.81075692</v>
      </c>
    </row>
    <row r="86" spans="1:19" x14ac:dyDescent="0.35">
      <c r="D86" s="2"/>
      <c r="E86" s="2"/>
      <c r="G86" s="2"/>
      <c r="H86" s="6"/>
      <c r="J86" s="154" t="s">
        <v>212</v>
      </c>
      <c r="L86" s="2">
        <f>L53+L54+L55+L67+L68+L70+L71+L76+L77+L79+L80</f>
        <v>139206047.21879888</v>
      </c>
      <c r="M86" s="5" t="s">
        <v>245</v>
      </c>
      <c r="O86" s="2">
        <f>O53+O60+O67+O76</f>
        <v>16638241.872415336</v>
      </c>
      <c r="P86" s="18" t="s">
        <v>251</v>
      </c>
      <c r="R86" s="2">
        <f>R53+R60+R67+R76</f>
        <v>105593013.90961894</v>
      </c>
    </row>
    <row r="87" spans="1:19" x14ac:dyDescent="0.35">
      <c r="D87" s="2"/>
      <c r="E87" s="2"/>
      <c r="G87" s="2"/>
      <c r="H87" s="6"/>
      <c r="J87" s="178" t="s">
        <v>256</v>
      </c>
      <c r="L87" s="2">
        <f>L81+L72</f>
        <v>5414786.5974694099</v>
      </c>
      <c r="M87" t="s">
        <v>246</v>
      </c>
      <c r="O87" s="2">
        <f t="shared" ref="O87:O91" si="25">O54+O61+O68+O77</f>
        <v>10519173.489547569</v>
      </c>
      <c r="P87" s="18" t="s">
        <v>210</v>
      </c>
      <c r="R87" s="2">
        <f>R54+R61+R68+R77</f>
        <v>252992399.64271623</v>
      </c>
    </row>
    <row r="88" spans="1:19" x14ac:dyDescent="0.35">
      <c r="D88" s="1"/>
      <c r="E88" s="1"/>
      <c r="G88" s="2"/>
      <c r="H88" s="6"/>
      <c r="J88" s="156" t="s">
        <v>209</v>
      </c>
      <c r="L88" s="2">
        <f>L73+L56+L82</f>
        <v>34406422.90496856</v>
      </c>
      <c r="M88" s="5" t="s">
        <v>244</v>
      </c>
      <c r="O88" s="2">
        <f t="shared" si="25"/>
        <v>257433256.61455074</v>
      </c>
      <c r="P88" s="18" t="s">
        <v>252</v>
      </c>
      <c r="R88" s="2">
        <f t="shared" ref="R88:R90" si="26">R55+R62+R69+R78</f>
        <v>86887855.024145991</v>
      </c>
    </row>
    <row r="89" spans="1:19" x14ac:dyDescent="0.35">
      <c r="D89" s="1"/>
      <c r="E89" s="1"/>
      <c r="G89" s="2"/>
      <c r="H89" s="6"/>
      <c r="J89" s="157" t="s">
        <v>211</v>
      </c>
      <c r="L89" s="2">
        <f>L69+L78</f>
        <v>360450.35563351389</v>
      </c>
      <c r="M89" t="s">
        <v>247</v>
      </c>
      <c r="O89" s="2">
        <f t="shared" si="25"/>
        <v>73347720.547468305</v>
      </c>
      <c r="P89" s="18" t="s">
        <v>253</v>
      </c>
      <c r="R89" s="2">
        <f t="shared" si="26"/>
        <v>72578750.191205487</v>
      </c>
    </row>
    <row r="90" spans="1:19" s="80" customFormat="1" x14ac:dyDescent="0.35">
      <c r="D90" s="92"/>
      <c r="E90" s="92"/>
      <c r="F90" s="230"/>
      <c r="G90" s="1"/>
      <c r="H90" s="6"/>
      <c r="J90" s="159" t="s">
        <v>213</v>
      </c>
      <c r="L90" s="92">
        <f>L74+L83</f>
        <v>0</v>
      </c>
      <c r="M90" t="s">
        <v>248</v>
      </c>
      <c r="O90" s="2">
        <f t="shared" si="25"/>
        <v>152241521.71907508</v>
      </c>
      <c r="P90" s="18" t="s">
        <v>254</v>
      </c>
      <c r="R90" s="2">
        <f t="shared" si="26"/>
        <v>31893321.043070294</v>
      </c>
    </row>
    <row r="91" spans="1:19" s="80" customFormat="1" x14ac:dyDescent="0.35">
      <c r="D91" s="92"/>
      <c r="E91" s="92"/>
      <c r="F91" s="230"/>
      <c r="G91" s="1"/>
      <c r="H91" s="6"/>
      <c r="J91" s="207" t="s">
        <v>106</v>
      </c>
      <c r="L91" s="2">
        <f>L60</f>
        <v>179455551.99999985</v>
      </c>
      <c r="M91" t="s">
        <v>250</v>
      </c>
      <c r="O91" s="2">
        <f t="shared" si="25"/>
        <v>15778760.234321352</v>
      </c>
    </row>
    <row r="92" spans="1:19" s="93" customFormat="1" ht="32.5" customHeight="1" x14ac:dyDescent="0.35">
      <c r="A92" s="93" t="s">
        <v>106</v>
      </c>
      <c r="D92" s="231"/>
      <c r="E92" s="94"/>
      <c r="F92" s="176"/>
    </row>
    <row r="93" spans="1:19" ht="16.5" customHeight="1" x14ac:dyDescent="0.35">
      <c r="C93" s="102">
        <f>C94</f>
        <v>3358064459.5075893</v>
      </c>
      <c r="D93" s="102">
        <f>D94</f>
        <v>3.1478492733232502</v>
      </c>
      <c r="E93" s="2"/>
      <c r="F93" s="102">
        <f>F94</f>
        <v>2633776.0466726189</v>
      </c>
    </row>
    <row r="94" spans="1:19" s="219" customFormat="1" x14ac:dyDescent="0.35">
      <c r="A94" s="219" t="s">
        <v>59</v>
      </c>
      <c r="B94" s="219">
        <v>1275</v>
      </c>
      <c r="C94" s="219">
        <f>B94*F94</f>
        <v>3358064459.5075893</v>
      </c>
      <c r="D94" s="219">
        <f>'[1]GAP analysis Sc. 1'!$P$101+'[1]GAP analysis Sc. 1'!$P$110</f>
        <v>3.1478492733232502</v>
      </c>
      <c r="E94" s="219">
        <f>'[2]Conversion factors selected IV '!$O$29</f>
        <v>0.83669064748201449</v>
      </c>
      <c r="F94" s="219">
        <f>D94*E94*1000000</f>
        <v>2633776.0466726189</v>
      </c>
      <c r="G94" s="219">
        <f>'LCoP 2040 medium-high'!E10</f>
        <v>1033.4575344935679</v>
      </c>
      <c r="H94" s="219">
        <f>G94*F94</f>
        <v>2721895699.6025009</v>
      </c>
      <c r="I94" s="226">
        <f>'LCoP 2040 medium-high'!H10</f>
        <v>-1.1652598296971474E-2</v>
      </c>
      <c r="L94" s="219">
        <f>I94*H94</f>
        <v>-31717157.19372208</v>
      </c>
      <c r="M94" s="226">
        <f>'LCoP 2040 medium-high'!F10</f>
        <v>0.58541350738370901</v>
      </c>
      <c r="O94" s="219">
        <f>M94*H94</f>
        <v>1593434508.2369344</v>
      </c>
      <c r="P94" s="226">
        <f>'LCoP 2040 medium-high'!G10</f>
        <v>0.42623909091326251</v>
      </c>
      <c r="R94" s="219">
        <f>P94*H94</f>
        <v>1160178348.5592887</v>
      </c>
      <c r="S94" s="219">
        <f>L94+O94+R94</f>
        <v>2721895699.6025009</v>
      </c>
    </row>
    <row r="95" spans="1:19" x14ac:dyDescent="0.35">
      <c r="C95">
        <v>1</v>
      </c>
      <c r="D95" s="2"/>
      <c r="E95" s="2"/>
      <c r="F95" s="159" t="s">
        <v>213</v>
      </c>
      <c r="G95" s="6">
        <f>SUMIF($J$95:$J$103,F95,$L$95:$L$103)/$L$94</f>
        <v>3.178690916639777</v>
      </c>
      <c r="I95" s="5" t="s">
        <v>20</v>
      </c>
      <c r="J95" s="154" t="s">
        <v>212</v>
      </c>
      <c r="K95" s="6">
        <f>'Feedstock MIX per IVC'!L25</f>
        <v>0.85469521635880719</v>
      </c>
      <c r="L95" s="2">
        <f>K95*F$94</f>
        <v>2251075.7880514981</v>
      </c>
      <c r="M95" s="5" t="s">
        <v>245</v>
      </c>
      <c r="N95" s="35">
        <v>0.05</v>
      </c>
      <c r="O95" s="2">
        <f>N95*O$94</f>
        <v>79671725.411846727</v>
      </c>
      <c r="P95" s="18" t="s">
        <v>251</v>
      </c>
      <c r="Q95" s="35">
        <v>0.2</v>
      </c>
      <c r="R95" s="2">
        <f>Q95*R$94</f>
        <v>232035669.71185777</v>
      </c>
    </row>
    <row r="96" spans="1:19" x14ac:dyDescent="0.35">
      <c r="D96" s="2"/>
      <c r="E96" s="2"/>
      <c r="F96" s="258" t="s">
        <v>298</v>
      </c>
      <c r="G96" s="6">
        <f t="shared" ref="G96:G98" si="27">SUMIF($J$95:$J$103,F96,$L$95:$L$103)/$L$94</f>
        <v>-5.0725009413502865E-2</v>
      </c>
      <c r="I96" s="5" t="s">
        <v>8</v>
      </c>
      <c r="J96" s="154" t="s">
        <v>212</v>
      </c>
      <c r="K96" s="6">
        <f>'Feedstock MIX per IVC'!L26</f>
        <v>3.8086974728546088</v>
      </c>
      <c r="L96" s="2">
        <f t="shared" ref="L96:L102" si="28">K96*F$94</f>
        <v>10031256.173027007</v>
      </c>
      <c r="M96" t="s">
        <v>246</v>
      </c>
      <c r="N96" s="35">
        <v>0.02</v>
      </c>
      <c r="O96" s="2">
        <f t="shared" ref="O96:O100" si="29">N96*O$94</f>
        <v>31868690.164738689</v>
      </c>
      <c r="P96" s="18" t="s">
        <v>210</v>
      </c>
      <c r="Q96" s="35">
        <v>0.5</v>
      </c>
      <c r="R96" s="2">
        <f t="shared" ref="R96:R99" si="30">Q96*R$94</f>
        <v>580089174.27964437</v>
      </c>
    </row>
    <row r="97" spans="1:19" x14ac:dyDescent="0.35">
      <c r="D97" s="2"/>
      <c r="E97" s="2"/>
      <c r="F97" s="157" t="s">
        <v>211</v>
      </c>
      <c r="G97" s="6">
        <f t="shared" si="27"/>
        <v>-0.35587517010150255</v>
      </c>
      <c r="I97" s="5" t="s">
        <v>9</v>
      </c>
      <c r="J97" s="154" t="s">
        <v>212</v>
      </c>
      <c r="K97" s="6">
        <f>'Feedstock MIX per IVC'!L27</f>
        <v>0.84039148267963515</v>
      </c>
      <c r="L97" s="2">
        <f t="shared" si="28"/>
        <v>2213402.9569093101</v>
      </c>
      <c r="M97" s="5" t="s">
        <v>244</v>
      </c>
      <c r="N97" s="35">
        <v>0.4</v>
      </c>
      <c r="O97" s="2">
        <f t="shared" si="29"/>
        <v>637373803.29477382</v>
      </c>
      <c r="P97" s="18" t="s">
        <v>252</v>
      </c>
      <c r="Q97" s="35">
        <v>0.15</v>
      </c>
      <c r="R97" s="2">
        <f t="shared" si="30"/>
        <v>174026752.28389332</v>
      </c>
    </row>
    <row r="98" spans="1:19" x14ac:dyDescent="0.35">
      <c r="D98" s="2"/>
      <c r="E98" s="2"/>
      <c r="F98" s="154" t="s">
        <v>212</v>
      </c>
      <c r="G98" s="6">
        <f t="shared" si="27"/>
        <v>-1.7720907371247716</v>
      </c>
      <c r="I98" s="5" t="s">
        <v>21</v>
      </c>
      <c r="J98" s="157" t="s">
        <v>211</v>
      </c>
      <c r="K98" s="6">
        <f>'Feedstock MIX per IVC'!L28</f>
        <v>4.2856144605429956</v>
      </c>
      <c r="L98" s="2">
        <f t="shared" si="28"/>
        <v>11287348.71145194</v>
      </c>
      <c r="M98" t="s">
        <v>247</v>
      </c>
      <c r="N98" s="35">
        <v>0.3</v>
      </c>
      <c r="O98" s="2">
        <f t="shared" si="29"/>
        <v>478030352.4710803</v>
      </c>
      <c r="P98" s="18" t="s">
        <v>253</v>
      </c>
      <c r="Q98" s="35">
        <v>0.1</v>
      </c>
      <c r="R98" s="2">
        <f t="shared" si="30"/>
        <v>116017834.85592888</v>
      </c>
    </row>
    <row r="99" spans="1:19" x14ac:dyDescent="0.35">
      <c r="D99" s="2"/>
      <c r="E99" s="2"/>
      <c r="F99" s="2"/>
      <c r="G99" s="6">
        <f>SUM(G95:G98)</f>
        <v>1.0000000000000002</v>
      </c>
      <c r="I99" s="5" t="s">
        <v>5</v>
      </c>
      <c r="J99" s="154" t="s">
        <v>212</v>
      </c>
      <c r="K99" s="6">
        <f>'Feedstock MIX per IVC'!L29</f>
        <v>15.836557404199821</v>
      </c>
      <c r="L99" s="2">
        <f t="shared" si="28"/>
        <v>41709945.552937396</v>
      </c>
      <c r="M99" t="s">
        <v>248</v>
      </c>
      <c r="N99" s="35">
        <v>0.2</v>
      </c>
      <c r="O99" s="2">
        <f t="shared" si="29"/>
        <v>318686901.64738691</v>
      </c>
      <c r="P99" s="18" t="s">
        <v>254</v>
      </c>
      <c r="Q99" s="35">
        <v>0.05</v>
      </c>
      <c r="R99" s="2">
        <f t="shared" si="30"/>
        <v>58008917.427964441</v>
      </c>
    </row>
    <row r="100" spans="1:19" x14ac:dyDescent="0.35">
      <c r="D100" s="2"/>
      <c r="E100" s="2"/>
      <c r="G100" s="2"/>
      <c r="I100" s="5" t="s">
        <v>22</v>
      </c>
      <c r="J100" s="154" t="s">
        <v>212</v>
      </c>
      <c r="K100" s="6">
        <f>'Feedstock MIX per IVC'!L30</f>
        <v>0</v>
      </c>
      <c r="L100" s="2">
        <f t="shared" si="28"/>
        <v>0</v>
      </c>
      <c r="M100" t="s">
        <v>250</v>
      </c>
      <c r="N100" s="35">
        <v>0.03</v>
      </c>
      <c r="O100" s="2">
        <f t="shared" si="29"/>
        <v>47803035.247108027</v>
      </c>
      <c r="R100" s="2"/>
    </row>
    <row r="101" spans="1:19" x14ac:dyDescent="0.35">
      <c r="D101" s="2"/>
      <c r="E101" s="2"/>
      <c r="G101" s="2"/>
      <c r="I101" s="5" t="s">
        <v>23</v>
      </c>
      <c r="J101" s="159" t="s">
        <v>213</v>
      </c>
      <c r="K101" s="6">
        <f>'Feedstock MIX per IVC'!L31</f>
        <v>0</v>
      </c>
      <c r="L101" s="2">
        <f t="shared" si="28"/>
        <v>0</v>
      </c>
      <c r="N101" s="35">
        <f>SUM(N95:N100)</f>
        <v>1</v>
      </c>
      <c r="O101" s="2"/>
    </row>
    <row r="102" spans="1:19" x14ac:dyDescent="0.35">
      <c r="D102" s="2"/>
      <c r="E102" s="2"/>
      <c r="G102" s="2"/>
      <c r="I102" s="12" t="s">
        <v>24</v>
      </c>
      <c r="J102" s="159" t="s">
        <v>213</v>
      </c>
      <c r="K102" s="6">
        <f>'Feedstock MIX per IVC'!L32</f>
        <v>-38.279275719243508</v>
      </c>
      <c r="L102" s="2">
        <f t="shared" si="28"/>
        <v>-100819039.47332034</v>
      </c>
      <c r="M102" s="2"/>
    </row>
    <row r="103" spans="1:19" s="80" customFormat="1" x14ac:dyDescent="0.35">
      <c r="D103" s="95"/>
      <c r="E103" s="95"/>
      <c r="F103" s="230"/>
      <c r="G103" s="237"/>
      <c r="I103" s="13" t="s">
        <v>25</v>
      </c>
      <c r="J103" s="258" t="s">
        <v>298</v>
      </c>
      <c r="K103" s="6">
        <f>'Feedstock MIX per IVC'!L33</f>
        <v>0.61085417617555116</v>
      </c>
      <c r="L103" s="2">
        <f>K103*F$94</f>
        <v>1608853.0972211026</v>
      </c>
    </row>
    <row r="104" spans="1:19" s="93" customFormat="1" ht="26" customHeight="1" x14ac:dyDescent="0.35">
      <c r="A104" s="93" t="s">
        <v>107</v>
      </c>
      <c r="D104" s="94"/>
      <c r="E104" s="94"/>
      <c r="F104" s="176"/>
      <c r="I104" s="96"/>
    </row>
    <row r="105" spans="1:19" ht="16" customHeight="1" x14ac:dyDescent="0.35">
      <c r="C105" s="2">
        <f>C106+C113+C125</f>
        <v>4552687250.9614944</v>
      </c>
      <c r="D105" s="2">
        <f>D106+D113+D125</f>
        <v>1.9626137930093215</v>
      </c>
      <c r="E105" s="2"/>
      <c r="F105" s="2">
        <f>F106+F113+F125</f>
        <v>1912893.8029249974</v>
      </c>
      <c r="I105" s="6"/>
    </row>
    <row r="106" spans="1:19" s="219" customFormat="1" x14ac:dyDescent="0.35">
      <c r="A106" s="219" t="s">
        <v>91</v>
      </c>
      <c r="B106" s="219">
        <v>2380</v>
      </c>
      <c r="C106" s="219">
        <f>B106*F106</f>
        <v>4080948837.2093029</v>
      </c>
      <c r="D106" s="219">
        <f>'[1]GAP analysis Sc. 1'!$P$113</f>
        <v>1.7610449166769027</v>
      </c>
      <c r="E106" s="219">
        <f>'[2]Conversion factors selected IV '!$O$78</f>
        <v>0.97367441860465131</v>
      </c>
      <c r="F106" s="219">
        <f>D106*E106*1000000</f>
        <v>1714684.38538206</v>
      </c>
      <c r="G106" s="219">
        <f>'LCoP 2040 medium-high'!E4</f>
        <v>1791.0195317419343</v>
      </c>
      <c r="H106" s="219">
        <f>G106*F106</f>
        <v>3071033224.9921837</v>
      </c>
      <c r="I106" s="226">
        <f>'LCoP 2040 medium-high'!H4</f>
        <v>0.4740425867473278</v>
      </c>
      <c r="L106" s="219">
        <f>I106*H106</f>
        <v>1455800533.9622831</v>
      </c>
      <c r="M106" s="226">
        <f>'LCoP 2040 medium-high'!F4</f>
        <v>0.20993629233864622</v>
      </c>
      <c r="O106" s="219">
        <f>M106*H106</f>
        <v>644721328.90365458</v>
      </c>
      <c r="P106" s="226">
        <f>'LCoP 2040 medium-high'!G4</f>
        <v>0.31602112091402595</v>
      </c>
      <c r="R106" s="219">
        <f>P106*H106</f>
        <v>970511362.12624598</v>
      </c>
      <c r="S106" s="219">
        <f>L106+O106+R106</f>
        <v>3071033224.9921837</v>
      </c>
    </row>
    <row r="107" spans="1:19" x14ac:dyDescent="0.35">
      <c r="C107">
        <f>C106/C105</f>
        <v>0.89638242476406349</v>
      </c>
      <c r="D107" s="2"/>
      <c r="E107" s="2"/>
      <c r="F107" s="154" t="s">
        <v>212</v>
      </c>
      <c r="G107" s="2">
        <f>SUMIF($J$107:$J$110,F107,$L$107:$L$110)/$L$106</f>
        <v>0.53476000936947821</v>
      </c>
      <c r="I107" s="4" t="s">
        <v>2</v>
      </c>
      <c r="J107" s="154" t="s">
        <v>212</v>
      </c>
      <c r="K107" s="6">
        <f>'Feedstock MIX per IVC'!L9</f>
        <v>299.07678704472829</v>
      </c>
      <c r="L107" s="2">
        <f>K107*F$106</f>
        <v>512822296.77583116</v>
      </c>
      <c r="M107" s="5" t="s">
        <v>245</v>
      </c>
      <c r="N107" s="123">
        <v>0.05</v>
      </c>
      <c r="O107" s="2">
        <f>N107*O$106</f>
        <v>32236066.44518273</v>
      </c>
      <c r="P107" s="18" t="s">
        <v>251</v>
      </c>
      <c r="Q107" s="123">
        <v>0.35</v>
      </c>
      <c r="R107" s="2">
        <f>Q107*R$106</f>
        <v>339678976.74418604</v>
      </c>
    </row>
    <row r="108" spans="1:19" x14ac:dyDescent="0.35">
      <c r="D108" s="2"/>
      <c r="E108" s="2"/>
      <c r="F108" s="207" t="s">
        <v>104</v>
      </c>
      <c r="G108" s="2">
        <f t="shared" ref="G108:G109" si="31">SUMIF($J$107:$J$110,F108,$L$107:$L$110)/$L$106</f>
        <v>0.46523999063052168</v>
      </c>
      <c r="I108" s="232" t="s">
        <v>162</v>
      </c>
      <c r="J108" s="154" t="s">
        <v>212</v>
      </c>
      <c r="K108" s="6">
        <f>'Feedstock MIX per IVC'!L10</f>
        <v>154.94490570445859</v>
      </c>
      <c r="L108" s="2">
        <f t="shared" ref="L108:L110" si="32">K108*F$106</f>
        <v>265681610.40593082</v>
      </c>
      <c r="M108" t="s">
        <v>246</v>
      </c>
      <c r="N108" s="123">
        <v>0.02</v>
      </c>
      <c r="O108" s="2">
        <f t="shared" ref="O108:O112" si="33">N108*O$106</f>
        <v>12894426.578073092</v>
      </c>
      <c r="P108" s="18" t="s">
        <v>210</v>
      </c>
      <c r="Q108" s="123">
        <v>0.25</v>
      </c>
      <c r="R108" s="2">
        <f t="shared" ref="R108:R111" si="34">Q108*R$106</f>
        <v>242627840.53156149</v>
      </c>
    </row>
    <row r="109" spans="1:19" x14ac:dyDescent="0.35">
      <c r="D109" s="2"/>
      <c r="E109" s="2"/>
      <c r="F109" s="259" t="s">
        <v>210</v>
      </c>
      <c r="G109" s="2">
        <f t="shared" si="31"/>
        <v>0.37870216039324345</v>
      </c>
      <c r="I109" s="233" t="s">
        <v>341</v>
      </c>
      <c r="J109" s="207" t="s">
        <v>104</v>
      </c>
      <c r="K109" s="6">
        <f>'Feedstock MIX per IVC'!L11</f>
        <v>394.99783899274746</v>
      </c>
      <c r="L109" s="2">
        <f t="shared" si="32"/>
        <v>677296626.78052104</v>
      </c>
      <c r="M109" s="5" t="s">
        <v>244</v>
      </c>
      <c r="N109" s="123">
        <v>0.45</v>
      </c>
      <c r="O109" s="2">
        <f t="shared" si="33"/>
        <v>290124598.00664455</v>
      </c>
      <c r="P109" s="18" t="s">
        <v>252</v>
      </c>
      <c r="Q109" s="123">
        <v>0.2</v>
      </c>
      <c r="R109" s="2">
        <f t="shared" si="34"/>
        <v>194102272.42524922</v>
      </c>
    </row>
    <row r="110" spans="1:19" x14ac:dyDescent="0.35">
      <c r="D110" s="2"/>
      <c r="E110" s="2"/>
      <c r="G110" s="2"/>
      <c r="I110" s="234" t="s">
        <v>342</v>
      </c>
      <c r="J110" s="259" t="s">
        <v>210</v>
      </c>
      <c r="K110" s="6">
        <f>'Feedstock MIX per IVC'!L12</f>
        <v>321.52553088673051</v>
      </c>
      <c r="L110" s="2">
        <f t="shared" si="32"/>
        <v>551314807.31315398</v>
      </c>
      <c r="M110" t="s">
        <v>247</v>
      </c>
      <c r="N110" s="123">
        <v>0.15</v>
      </c>
      <c r="O110" s="2">
        <f t="shared" si="33"/>
        <v>96708199.335548177</v>
      </c>
      <c r="P110" s="18" t="s">
        <v>253</v>
      </c>
      <c r="Q110" s="123">
        <v>0.15</v>
      </c>
      <c r="R110" s="2">
        <f t="shared" si="34"/>
        <v>145576704.31893688</v>
      </c>
    </row>
    <row r="111" spans="1:19" x14ac:dyDescent="0.35">
      <c r="D111" s="2"/>
      <c r="E111" s="2"/>
      <c r="G111" s="2"/>
      <c r="L111" s="2"/>
      <c r="M111" t="s">
        <v>248</v>
      </c>
      <c r="N111" s="123">
        <v>0.3</v>
      </c>
      <c r="O111" s="2">
        <f t="shared" si="33"/>
        <v>193416398.67109635</v>
      </c>
      <c r="P111" s="18" t="s">
        <v>254</v>
      </c>
      <c r="Q111" s="123">
        <v>0.05</v>
      </c>
      <c r="R111" s="2">
        <f t="shared" si="34"/>
        <v>48525568.106312305</v>
      </c>
    </row>
    <row r="112" spans="1:19" x14ac:dyDescent="0.35">
      <c r="D112" s="2"/>
      <c r="E112" s="2"/>
      <c r="G112" s="2"/>
      <c r="M112" t="s">
        <v>250</v>
      </c>
      <c r="N112" s="123">
        <v>0.03</v>
      </c>
      <c r="O112" s="2">
        <f t="shared" si="33"/>
        <v>19341639.867109638</v>
      </c>
      <c r="Q112" s="123"/>
    </row>
    <row r="113" spans="1:19" s="219" customFormat="1" x14ac:dyDescent="0.35">
      <c r="A113" s="219" t="s">
        <v>345</v>
      </c>
      <c r="B113" s="219">
        <v>2380</v>
      </c>
      <c r="C113" s="219">
        <f>B113*F113</f>
        <v>295720930.23255813</v>
      </c>
      <c r="D113" s="219">
        <f>'[1]GAP analysis Sc. 1'!$P$115</f>
        <v>0.12761195048383353</v>
      </c>
      <c r="E113" s="219">
        <f>'[2]Conversion factors selected IV '!$O$76</f>
        <v>0.97367441860465131</v>
      </c>
      <c r="F113" s="219">
        <f>D113*E113*1000000</f>
        <v>124252.49169435217</v>
      </c>
      <c r="G113" s="219">
        <f>'LCoP 2040 medium-high'!E17</f>
        <v>2972.9756119075391</v>
      </c>
      <c r="H113" s="219">
        <f>G113*F113</f>
        <v>369399627.52605307</v>
      </c>
      <c r="I113" s="226">
        <f>'LCoP 2040 medium-high'!H17</f>
        <v>0.19272798929551363</v>
      </c>
      <c r="L113" s="219">
        <f>I113*H113</f>
        <v>71193647.459607884</v>
      </c>
      <c r="M113" s="226">
        <f>'LCoP 2040 medium-high'!F17</f>
        <v>0.48604502311165954</v>
      </c>
      <c r="O113" s="219">
        <f>M113*H113</f>
        <v>179544850.49833888</v>
      </c>
      <c r="P113" s="226">
        <f>'LCoP 2040 medium-high'!G17</f>
        <v>0.32122698759282686</v>
      </c>
      <c r="R113" s="219">
        <f>P113*H113</f>
        <v>118661129.56810631</v>
      </c>
    </row>
    <row r="114" spans="1:19" s="80" customFormat="1" x14ac:dyDescent="0.35">
      <c r="C114">
        <f>C113/C105</f>
        <v>6.4955248171308932E-2</v>
      </c>
      <c r="F114" s="154" t="s">
        <v>212</v>
      </c>
      <c r="G114" s="2">
        <f>SUMIF($J$114:$J$123,F114,$L$114:$L$123)/$L$113</f>
        <v>0.63680489367325033</v>
      </c>
      <c r="I114" s="5" t="s">
        <v>5</v>
      </c>
      <c r="J114" s="154" t="s">
        <v>212</v>
      </c>
      <c r="K114" s="6">
        <f>'Feedstock MIX per IVC'!L74</f>
        <v>275.67110881794468</v>
      </c>
      <c r="L114" s="2">
        <f>K114*F$113</f>
        <v>34252822.158774525</v>
      </c>
      <c r="M114" s="5" t="s">
        <v>245</v>
      </c>
      <c r="N114" s="35">
        <v>0</v>
      </c>
      <c r="O114" s="2">
        <f>N114*O$113</f>
        <v>0</v>
      </c>
      <c r="P114" s="18" t="s">
        <v>251</v>
      </c>
      <c r="Q114" s="35">
        <v>0.25</v>
      </c>
      <c r="R114" s="2">
        <f>Q114*R$113</f>
        <v>29665282.392026577</v>
      </c>
    </row>
    <row r="115" spans="1:19" x14ac:dyDescent="0.35">
      <c r="F115" s="178" t="s">
        <v>256</v>
      </c>
      <c r="G115" s="2">
        <f t="shared" ref="G115:G119" si="35">SUMIF($J$114:$J$123,F115,$L$114:$L$123)/$L$113</f>
        <v>0.17210141135049231</v>
      </c>
      <c r="I115" s="5" t="s">
        <v>6</v>
      </c>
      <c r="J115" s="154" t="s">
        <v>212</v>
      </c>
      <c r="K115" s="6">
        <f>'Feedstock MIX per IVC'!L75</f>
        <v>14.981690794889946</v>
      </c>
      <c r="L115" s="2">
        <f t="shared" ref="L115:L123" si="36">K115*F$113</f>
        <v>1861512.4110594154</v>
      </c>
      <c r="M115" t="s">
        <v>246</v>
      </c>
      <c r="N115" s="35">
        <v>0.02</v>
      </c>
      <c r="O115" s="2">
        <f t="shared" ref="O115:O119" si="37">N115*O$113</f>
        <v>3590897.0099667776</v>
      </c>
      <c r="P115" s="18" t="s">
        <v>210</v>
      </c>
      <c r="Q115" s="35">
        <v>0.15</v>
      </c>
      <c r="R115" s="2">
        <f t="shared" ref="R115:R118" si="38">Q115*R$113</f>
        <v>17799169.435215946</v>
      </c>
    </row>
    <row r="116" spans="1:19" x14ac:dyDescent="0.35">
      <c r="F116" s="156" t="s">
        <v>209</v>
      </c>
      <c r="G116" s="2">
        <f t="shared" si="35"/>
        <v>0.17636673493872981</v>
      </c>
      <c r="I116" s="5" t="s">
        <v>23</v>
      </c>
      <c r="J116" s="159" t="s">
        <v>213</v>
      </c>
      <c r="K116" s="6">
        <f>'Feedstock MIX per IVC'!L76</f>
        <v>0</v>
      </c>
      <c r="L116" s="2">
        <f t="shared" si="36"/>
        <v>0</v>
      </c>
      <c r="M116" s="5" t="s">
        <v>244</v>
      </c>
      <c r="N116" s="35">
        <v>0.55000000000000004</v>
      </c>
      <c r="O116" s="2">
        <f t="shared" si="37"/>
        <v>98749667.774086386</v>
      </c>
      <c r="P116" s="18" t="s">
        <v>252</v>
      </c>
      <c r="Q116" s="35">
        <v>0.3</v>
      </c>
      <c r="R116" s="2">
        <f t="shared" si="38"/>
        <v>35598338.870431893</v>
      </c>
    </row>
    <row r="117" spans="1:19" x14ac:dyDescent="0.35">
      <c r="F117" s="159" t="s">
        <v>213</v>
      </c>
      <c r="G117" s="2">
        <f t="shared" si="35"/>
        <v>0</v>
      </c>
      <c r="I117" s="5" t="s">
        <v>7</v>
      </c>
      <c r="J117" s="157" t="s">
        <v>211</v>
      </c>
      <c r="K117" s="6">
        <f>'Feedstock MIX per IVC'!L77</f>
        <v>7.0358889401136304</v>
      </c>
      <c r="L117" s="2">
        <f t="shared" si="36"/>
        <v>874226.73209385318</v>
      </c>
      <c r="M117" t="s">
        <v>247</v>
      </c>
      <c r="N117" s="35">
        <v>0.1</v>
      </c>
      <c r="O117" s="2">
        <f t="shared" si="37"/>
        <v>17954485.04983389</v>
      </c>
      <c r="P117" s="18" t="s">
        <v>253</v>
      </c>
      <c r="Q117" s="35">
        <v>0.3</v>
      </c>
      <c r="R117" s="2">
        <f t="shared" si="38"/>
        <v>35598338.870431893</v>
      </c>
    </row>
    <row r="118" spans="1:19" s="80" customFormat="1" x14ac:dyDescent="0.35">
      <c r="F118" s="207" t="s">
        <v>104</v>
      </c>
      <c r="G118" s="299">
        <f t="shared" si="35"/>
        <v>2.4473991035289786E-3</v>
      </c>
      <c r="I118" s="5" t="s">
        <v>8</v>
      </c>
      <c r="J118" s="154" t="s">
        <v>212</v>
      </c>
      <c r="K118" s="6">
        <f>'Feedstock MIX per IVC'!L78</f>
        <v>60.538525949194216</v>
      </c>
      <c r="L118" s="2">
        <f t="shared" si="36"/>
        <v>7522062.6926905774</v>
      </c>
      <c r="M118" t="s">
        <v>248</v>
      </c>
      <c r="N118" s="35">
        <v>0.3</v>
      </c>
      <c r="O118" s="2">
        <f t="shared" si="37"/>
        <v>53863455.149501659</v>
      </c>
      <c r="P118" s="18" t="s">
        <v>254</v>
      </c>
      <c r="Q118" s="240">
        <v>0</v>
      </c>
      <c r="R118" s="2">
        <f t="shared" si="38"/>
        <v>0</v>
      </c>
    </row>
    <row r="119" spans="1:19" x14ac:dyDescent="0.35">
      <c r="F119" s="157" t="s">
        <v>211</v>
      </c>
      <c r="G119" s="2">
        <f t="shared" si="35"/>
        <v>1.2279560933998368E-2</v>
      </c>
      <c r="I119" s="5" t="s">
        <v>9</v>
      </c>
      <c r="J119" s="154" t="s">
        <v>212</v>
      </c>
      <c r="K119" s="6">
        <f>'Feedstock MIX per IVC'!L79</f>
        <v>13.682348056117311</v>
      </c>
      <c r="L119" s="2">
        <f t="shared" si="36"/>
        <v>1700065.8382019517</v>
      </c>
      <c r="M119" t="s">
        <v>250</v>
      </c>
      <c r="N119" s="35">
        <v>0.03</v>
      </c>
      <c r="O119" s="2">
        <f t="shared" si="37"/>
        <v>5386345.5149501665</v>
      </c>
    </row>
    <row r="120" spans="1:19" x14ac:dyDescent="0.35">
      <c r="F120" s="158" t="s">
        <v>105</v>
      </c>
      <c r="G120" s="299">
        <f>G118</f>
        <v>2.4473991035289786E-3</v>
      </c>
      <c r="I120" s="5" t="s">
        <v>10</v>
      </c>
      <c r="J120" s="178" t="s">
        <v>256</v>
      </c>
      <c r="K120" s="6">
        <f>'Feedstock MIX per IVC'!L80</f>
        <v>98.609911478699473</v>
      </c>
      <c r="L120" s="2">
        <f t="shared" si="36"/>
        <v>12252527.206987908</v>
      </c>
      <c r="N120" s="35"/>
    </row>
    <row r="121" spans="1:19" x14ac:dyDescent="0.35">
      <c r="F121"/>
      <c r="G121" s="2">
        <f>SUM(G114:G120)</f>
        <v>1.0024473991035288</v>
      </c>
      <c r="I121" s="5" t="s">
        <v>11</v>
      </c>
      <c r="J121" s="156" t="s">
        <v>209</v>
      </c>
      <c r="K121" s="6">
        <f>'Feedstock MIX per IVC'!L81</f>
        <v>101.05383787165353</v>
      </c>
      <c r="L121" s="2">
        <f t="shared" si="36"/>
        <v>12556191.15083004</v>
      </c>
    </row>
    <row r="122" spans="1:19" x14ac:dyDescent="0.35">
      <c r="F122"/>
      <c r="I122" s="5" t="s">
        <v>12</v>
      </c>
      <c r="J122" s="159" t="s">
        <v>213</v>
      </c>
      <c r="K122" s="6">
        <f>'Feedstock MIX per IVC'!L82</f>
        <v>0</v>
      </c>
      <c r="L122" s="2">
        <f t="shared" si="36"/>
        <v>0</v>
      </c>
    </row>
    <row r="123" spans="1:19" x14ac:dyDescent="0.35">
      <c r="I123" s="13" t="s">
        <v>33</v>
      </c>
      <c r="J123" s="207" t="s">
        <v>104</v>
      </c>
      <c r="K123" s="6">
        <f>'Feedstock MIX per IVC'!L83</f>
        <v>1.4022999989264797</v>
      </c>
      <c r="L123" s="2">
        <f t="shared" si="36"/>
        <v>174239.26896960248</v>
      </c>
    </row>
    <row r="124" spans="1:19" x14ac:dyDescent="0.35">
      <c r="A124" s="80"/>
      <c r="B124" s="80"/>
      <c r="C124" s="80"/>
      <c r="D124" s="92"/>
      <c r="E124" s="92"/>
      <c r="F124" s="230"/>
      <c r="G124" s="101"/>
      <c r="L124" s="2">
        <f>SUM(L114:L123)</f>
        <v>71193647.459607869</v>
      </c>
    </row>
    <row r="125" spans="1:19" s="218" customFormat="1" x14ac:dyDescent="0.35">
      <c r="A125" s="218" t="s">
        <v>378</v>
      </c>
      <c r="B125" s="219">
        <v>2380</v>
      </c>
      <c r="C125" s="219">
        <f>B125*F125</f>
        <v>176017483.519633</v>
      </c>
      <c r="D125" s="225">
        <f>'[1]GAP analysis Sc. 1'!$P$116</f>
        <v>7.3956925848585292E-2</v>
      </c>
      <c r="E125" s="225">
        <f>'[2]Conversion factors selected IV '!$O$125</f>
        <v>1</v>
      </c>
      <c r="F125" s="219">
        <f>D125*E125*1000000</f>
        <v>73956.925848585292</v>
      </c>
      <c r="G125" s="225">
        <f>'LCoP 2040 medium-high'!E23</f>
        <v>2169.5863448806449</v>
      </c>
      <c r="H125" s="220">
        <f>G125*F125</f>
        <v>160455936.43044105</v>
      </c>
      <c r="I125" s="225">
        <f>'LCoP 2040 medium-high'!H23</f>
        <v>0.29548782254891665</v>
      </c>
      <c r="L125" s="219">
        <f>I125*H125</f>
        <v>47412775.270878412</v>
      </c>
      <c r="M125" s="225">
        <f>'LCoP 2040 medium-high'!F23</f>
        <v>0.3157283883244959</v>
      </c>
      <c r="O125" s="219">
        <f>M125*H125</f>
        <v>50660494.206280924</v>
      </c>
      <c r="P125" s="225">
        <f>'LCoP 2040 medium-high'!G23</f>
        <v>0.38878378912658734</v>
      </c>
      <c r="R125" s="219">
        <f>P125*H125</f>
        <v>62382666.953281701</v>
      </c>
      <c r="S125" s="219">
        <f>L125+O125+R125</f>
        <v>160455936.43044102</v>
      </c>
    </row>
    <row r="126" spans="1:19" x14ac:dyDescent="0.35">
      <c r="A126" s="80"/>
      <c r="B126" s="80"/>
      <c r="C126">
        <f>C125/C105</f>
        <v>3.8662327064627466E-2</v>
      </c>
      <c r="D126" s="92"/>
      <c r="E126" s="92"/>
      <c r="F126" s="154" t="s">
        <v>212</v>
      </c>
      <c r="G126" s="2">
        <f>SUMIF($J$126:$J$133,F126,$L$126:$L$133)/$L$125</f>
        <v>0.64991459073923763</v>
      </c>
      <c r="H126" s="209" t="s">
        <v>292</v>
      </c>
      <c r="I126" s="5" t="s">
        <v>5</v>
      </c>
      <c r="J126" s="154" t="s">
        <v>212</v>
      </c>
      <c r="K126" s="6">
        <f>'Feedstock MIX per IVC'!L116</f>
        <v>308.48561089552499</v>
      </c>
      <c r="L126" s="2">
        <f>K126*F$125</f>
        <v>22814647.450355876</v>
      </c>
      <c r="M126" s="5" t="s">
        <v>245</v>
      </c>
      <c r="N126" s="174">
        <v>0.15</v>
      </c>
      <c r="O126" s="2">
        <f>N126*O$125</f>
        <v>7599074.1309421379</v>
      </c>
      <c r="P126" s="18" t="s">
        <v>251</v>
      </c>
      <c r="Q126" s="123">
        <v>0.15</v>
      </c>
      <c r="R126" s="2">
        <f>Q126*R$125</f>
        <v>9357400.0429922547</v>
      </c>
    </row>
    <row r="127" spans="1:19" x14ac:dyDescent="0.35">
      <c r="A127" s="80"/>
      <c r="B127" s="80"/>
      <c r="C127" s="80"/>
      <c r="D127" s="92"/>
      <c r="E127" s="92"/>
      <c r="F127" s="178" t="s">
        <v>256</v>
      </c>
      <c r="G127" s="2">
        <f t="shared" ref="G127:G130" si="39">SUMIF($J$126:$J$133,F127,$L$126:$L$133)/$L$125</f>
        <v>0.16661719260102878</v>
      </c>
      <c r="H127" s="209" t="s">
        <v>292</v>
      </c>
      <c r="I127" s="5" t="s">
        <v>6</v>
      </c>
      <c r="J127" s="154" t="s">
        <v>212</v>
      </c>
      <c r="K127" s="6">
        <f>'Feedstock MIX per IVC'!L117</f>
        <v>16.750527817040226</v>
      </c>
      <c r="L127" s="2">
        <f t="shared" ref="L127:L133" si="40">K127*F$125</f>
        <v>1238817.5436895092</v>
      </c>
      <c r="M127" t="s">
        <v>246</v>
      </c>
      <c r="N127" s="35">
        <v>0.02</v>
      </c>
      <c r="O127" s="2">
        <f t="shared" ref="O127:O131" si="41">N127*O$125</f>
        <v>1013209.8841256185</v>
      </c>
      <c r="P127" s="18" t="s">
        <v>210</v>
      </c>
      <c r="Q127" s="123">
        <v>0.25</v>
      </c>
      <c r="R127" s="2">
        <f t="shared" ref="R127:R130" si="42">Q127*R$125</f>
        <v>15595666.738320425</v>
      </c>
    </row>
    <row r="128" spans="1:19" x14ac:dyDescent="0.35">
      <c r="A128" s="80"/>
      <c r="B128" s="80"/>
      <c r="C128" s="80"/>
      <c r="D128" s="92"/>
      <c r="E128" s="92"/>
      <c r="F128" s="156" t="s">
        <v>209</v>
      </c>
      <c r="G128" s="2">
        <f t="shared" si="39"/>
        <v>0.17120513419093666</v>
      </c>
      <c r="H128" s="209" t="s">
        <v>292</v>
      </c>
      <c r="I128" s="5" t="s">
        <v>7</v>
      </c>
      <c r="J128" s="157" t="s">
        <v>211</v>
      </c>
      <c r="K128" s="6">
        <f>'Feedstock MIX per IVC'!L118</f>
        <v>7.8616947168910425</v>
      </c>
      <c r="L128" s="2">
        <f t="shared" si="40"/>
        <v>581426.77322132559</v>
      </c>
      <c r="M128" s="5" t="s">
        <v>244</v>
      </c>
      <c r="N128" s="174">
        <v>0.45</v>
      </c>
      <c r="O128" s="2">
        <f t="shared" si="41"/>
        <v>22797222.392826416</v>
      </c>
      <c r="P128" s="18" t="s">
        <v>252</v>
      </c>
      <c r="Q128" s="123">
        <v>0.2</v>
      </c>
      <c r="R128" s="2">
        <f t="shared" si="42"/>
        <v>12476533.390656341</v>
      </c>
    </row>
    <row r="129" spans="1:18" x14ac:dyDescent="0.35">
      <c r="A129" s="80"/>
      <c r="B129" s="80"/>
      <c r="C129" s="80"/>
      <c r="D129" s="92"/>
      <c r="E129" s="92"/>
      <c r="F129" s="159" t="s">
        <v>213</v>
      </c>
      <c r="G129" s="2">
        <f t="shared" si="39"/>
        <v>0</v>
      </c>
      <c r="H129" s="209" t="s">
        <v>292</v>
      </c>
      <c r="I129" s="5" t="s">
        <v>8</v>
      </c>
      <c r="J129" s="154" t="s">
        <v>212</v>
      </c>
      <c r="K129" s="6">
        <f>'Feedstock MIX per IVC'!L119</f>
        <v>75.970974837084853</v>
      </c>
      <c r="L129" s="2">
        <f t="shared" si="40"/>
        <v>5618579.7526710238</v>
      </c>
      <c r="M129" t="s">
        <v>247</v>
      </c>
      <c r="N129" s="35">
        <v>0.1</v>
      </c>
      <c r="O129" s="2">
        <f t="shared" si="41"/>
        <v>5066049.4206280932</v>
      </c>
      <c r="P129" s="18" t="s">
        <v>253</v>
      </c>
      <c r="Q129" s="123">
        <v>0.3</v>
      </c>
      <c r="R129" s="2">
        <f t="shared" si="42"/>
        <v>18714800.085984509</v>
      </c>
    </row>
    <row r="130" spans="1:18" x14ac:dyDescent="0.35">
      <c r="A130" s="80"/>
      <c r="B130" s="80"/>
      <c r="C130" s="80"/>
      <c r="D130" s="92"/>
      <c r="E130" s="92"/>
      <c r="F130" s="157" t="s">
        <v>211</v>
      </c>
      <c r="G130" s="2">
        <f t="shared" si="39"/>
        <v>1.2263082468797096E-2</v>
      </c>
      <c r="H130" s="209" t="s">
        <v>292</v>
      </c>
      <c r="I130" s="5" t="s">
        <v>9</v>
      </c>
      <c r="J130" s="154" t="s">
        <v>212</v>
      </c>
      <c r="K130" s="6">
        <f>'Feedstock MIX per IVC'!L120</f>
        <v>15.444255911967806</v>
      </c>
      <c r="L130" s="2">
        <f t="shared" si="40"/>
        <v>1142209.6892679781</v>
      </c>
      <c r="M130" t="s">
        <v>248</v>
      </c>
      <c r="N130" s="35">
        <v>0.25</v>
      </c>
      <c r="O130" s="2">
        <f t="shared" si="41"/>
        <v>12665123.551570231</v>
      </c>
      <c r="P130" s="18" t="s">
        <v>254</v>
      </c>
      <c r="Q130" s="123">
        <v>0.1</v>
      </c>
      <c r="R130" s="2">
        <f t="shared" si="42"/>
        <v>6238266.6953281704</v>
      </c>
    </row>
    <row r="131" spans="1:18" x14ac:dyDescent="0.35">
      <c r="A131" s="80"/>
      <c r="B131" s="80"/>
      <c r="C131" s="80"/>
      <c r="D131" s="92"/>
      <c r="E131" s="92"/>
      <c r="F131" s="230"/>
      <c r="G131" s="2">
        <f>SUM(G126:G130)</f>
        <v>1.0000000000000002</v>
      </c>
      <c r="H131" s="209" t="s">
        <v>292</v>
      </c>
      <c r="I131" s="5" t="s">
        <v>10</v>
      </c>
      <c r="J131" s="178" t="s">
        <v>256</v>
      </c>
      <c r="K131" s="6">
        <f>'Feedstock MIX per IVC'!L121</f>
        <v>106.81600699886792</v>
      </c>
      <c r="L131" s="2">
        <f t="shared" si="40"/>
        <v>7899783.5090572424</v>
      </c>
      <c r="M131" t="s">
        <v>250</v>
      </c>
      <c r="N131" s="35">
        <v>0.03</v>
      </c>
      <c r="O131" s="2">
        <f t="shared" si="41"/>
        <v>1519814.8261884276</v>
      </c>
      <c r="Q131" s="35"/>
    </row>
    <row r="132" spans="1:18" x14ac:dyDescent="0.35">
      <c r="A132" s="80"/>
      <c r="B132" s="80"/>
      <c r="C132" s="80"/>
      <c r="D132" s="92"/>
      <c r="E132" s="92"/>
      <c r="F132" s="230"/>
      <c r="H132" s="209" t="s">
        <v>292</v>
      </c>
      <c r="I132" s="5" t="s">
        <v>11</v>
      </c>
      <c r="J132" s="156" t="s">
        <v>209</v>
      </c>
      <c r="K132" s="6">
        <f>'Feedstock MIX per IVC'!L122</f>
        <v>109.75727370326787</v>
      </c>
      <c r="L132" s="2">
        <f t="shared" si="40"/>
        <v>8117310.5526154619</v>
      </c>
      <c r="M132" s="2"/>
      <c r="O132" s="2"/>
    </row>
    <row r="133" spans="1:18" x14ac:dyDescent="0.35">
      <c r="A133" s="80"/>
      <c r="B133" s="80"/>
      <c r="C133" s="80"/>
      <c r="D133" s="92"/>
      <c r="E133" s="92"/>
      <c r="F133" s="230"/>
      <c r="H133" s="209" t="s">
        <v>292</v>
      </c>
      <c r="I133" s="5" t="s">
        <v>12</v>
      </c>
      <c r="J133" s="159" t="s">
        <v>213</v>
      </c>
      <c r="K133" s="6">
        <f>'Feedstock MIX per IVC'!L123</f>
        <v>0</v>
      </c>
      <c r="L133" s="2">
        <f t="shared" si="40"/>
        <v>0</v>
      </c>
    </row>
    <row r="134" spans="1:18" x14ac:dyDescent="0.35">
      <c r="A134" s="80"/>
      <c r="B134" s="80"/>
      <c r="C134" s="80"/>
      <c r="D134" s="92"/>
      <c r="E134" s="92"/>
      <c r="F134" s="230"/>
      <c r="G134" s="101"/>
      <c r="K134" s="6"/>
      <c r="L134" s="2"/>
    </row>
    <row r="135" spans="1:18" x14ac:dyDescent="0.35">
      <c r="A135" s="80"/>
      <c r="B135" s="80"/>
      <c r="C135" s="80"/>
      <c r="D135" s="92"/>
      <c r="E135" s="92"/>
      <c r="F135" s="230"/>
      <c r="G135" s="101"/>
      <c r="L135" s="2"/>
    </row>
    <row r="136" spans="1:18" s="93" customFormat="1" ht="34" customHeight="1" x14ac:dyDescent="0.35">
      <c r="A136" s="93" t="s">
        <v>108</v>
      </c>
      <c r="F136" s="176"/>
    </row>
    <row r="137" spans="1:18" ht="19" customHeight="1" x14ac:dyDescent="0.35">
      <c r="C137" s="2">
        <f>C138+C149</f>
        <v>1021020000.0000002</v>
      </c>
      <c r="D137" s="2">
        <f>D138+D149</f>
        <v>1.0432788764689023</v>
      </c>
      <c r="E137" s="2"/>
      <c r="F137" s="2">
        <f>F138+F149</f>
        <v>2184000.0000000005</v>
      </c>
    </row>
    <row r="138" spans="1:18" s="219" customFormat="1" x14ac:dyDescent="0.35">
      <c r="A138" s="219" t="s">
        <v>350</v>
      </c>
      <c r="B138" s="219">
        <v>935</v>
      </c>
      <c r="C138" s="219">
        <f>B138*F138</f>
        <v>1021020000.0000002</v>
      </c>
      <c r="D138" s="219">
        <f>'[1]GAP analysis Sc. 1'!$P$107</f>
        <v>0.52163943823445114</v>
      </c>
      <c r="E138" s="219">
        <f>'[2]Conversion factors selected IV '!$O$49</f>
        <v>2.0934000000000004</v>
      </c>
      <c r="F138" s="219">
        <f>D138*E138*1000000</f>
        <v>1092000.0000000002</v>
      </c>
      <c r="G138" s="219">
        <f>'LCoP 2040 medium-high'!E11</f>
        <v>589.27185508373589</v>
      </c>
      <c r="H138" s="219">
        <f>G138*F138</f>
        <v>643484865.75143969</v>
      </c>
      <c r="I138" s="226">
        <f>'LCoP 2040 medium-high'!H11</f>
        <v>0.20749651290635795</v>
      </c>
      <c r="L138" s="219">
        <f>I138*H138</f>
        <v>133520865.75143962</v>
      </c>
      <c r="M138" s="226">
        <f>'LCoP 2040 medium-high'!F11</f>
        <v>0.47685969994285526</v>
      </c>
      <c r="O138" s="219">
        <f>M138*H138</f>
        <v>306852000.00000006</v>
      </c>
      <c r="P138" s="226">
        <f>'LCoP 2040 medium-high'!G11</f>
        <v>0.31564378715078678</v>
      </c>
      <c r="R138" s="219">
        <f>P138*H138</f>
        <v>203112000.00000003</v>
      </c>
    </row>
    <row r="139" spans="1:18" x14ac:dyDescent="0.35">
      <c r="D139" s="2"/>
      <c r="E139" s="2"/>
      <c r="F139" s="154" t="s">
        <v>212</v>
      </c>
      <c r="G139" s="2">
        <f>SUMIF($J$139:$J$148,F139,$L$139:$L$148)/$L$138</f>
        <v>0.62699658225242161</v>
      </c>
      <c r="I139" s="5" t="s">
        <v>5</v>
      </c>
      <c r="J139" s="154" t="s">
        <v>212</v>
      </c>
      <c r="K139" s="6">
        <f>'Feedstock MIX per IVC'!L35</f>
        <v>57.680433325681882</v>
      </c>
      <c r="L139" s="2">
        <f>K139*F$138</f>
        <v>62987033.191644631</v>
      </c>
      <c r="M139" s="5" t="s">
        <v>245</v>
      </c>
      <c r="N139" s="35">
        <v>0</v>
      </c>
      <c r="O139" s="2">
        <f>N139*O$138</f>
        <v>0</v>
      </c>
      <c r="P139" s="18" t="s">
        <v>251</v>
      </c>
      <c r="Q139" s="35">
        <v>0.25</v>
      </c>
      <c r="R139" s="2">
        <f>Q139*R$138</f>
        <v>50778000.000000007</v>
      </c>
    </row>
    <row r="140" spans="1:18" x14ac:dyDescent="0.35">
      <c r="D140" s="2"/>
      <c r="E140" s="2"/>
      <c r="F140" s="178" t="s">
        <v>256</v>
      </c>
      <c r="G140" s="2">
        <f t="shared" ref="G140:G145" si="43">SUMIF($J$139:$J$148,F140,$L$139:$L$148)/$L$138</f>
        <v>0.16778079012565961</v>
      </c>
      <c r="I140" s="5" t="s">
        <v>6</v>
      </c>
      <c r="J140" s="154" t="s">
        <v>212</v>
      </c>
      <c r="K140" s="6">
        <f>'Feedstock MIX per IVC'!L36</f>
        <v>3.1297333958919018</v>
      </c>
      <c r="L140" s="2">
        <f t="shared" ref="L140:L148" si="44">K140*F$138</f>
        <v>3417668.8683139575</v>
      </c>
      <c r="M140" t="s">
        <v>246</v>
      </c>
      <c r="N140" s="35">
        <v>0.02</v>
      </c>
      <c r="O140" s="2">
        <f t="shared" ref="O140:O144" si="45">N140*O$138</f>
        <v>6137040.0000000009</v>
      </c>
      <c r="P140" s="18" t="s">
        <v>210</v>
      </c>
      <c r="Q140" s="35">
        <v>0.15</v>
      </c>
      <c r="R140" s="2">
        <f t="shared" ref="R140:R143" si="46">Q140*R$138</f>
        <v>30466800.000000004</v>
      </c>
    </row>
    <row r="141" spans="1:18" x14ac:dyDescent="0.35">
      <c r="D141" s="2"/>
      <c r="E141" s="2"/>
      <c r="F141" s="156" t="s">
        <v>209</v>
      </c>
      <c r="G141" s="2">
        <f t="shared" si="43"/>
        <v>0.17278922328989063</v>
      </c>
      <c r="I141" s="5" t="s">
        <v>23</v>
      </c>
      <c r="J141" s="159" t="s">
        <v>213</v>
      </c>
      <c r="K141" s="6">
        <f>'Feedstock MIX per IVC'!L37</f>
        <v>0</v>
      </c>
      <c r="L141" s="2">
        <f t="shared" si="44"/>
        <v>0</v>
      </c>
      <c r="M141" s="5" t="s">
        <v>244</v>
      </c>
      <c r="N141" s="35">
        <v>0.55000000000000004</v>
      </c>
      <c r="O141" s="2">
        <f t="shared" si="45"/>
        <v>168768600.00000006</v>
      </c>
      <c r="P141" s="18" t="s">
        <v>252</v>
      </c>
      <c r="Q141" s="35">
        <v>0.3</v>
      </c>
      <c r="R141" s="2">
        <f t="shared" si="46"/>
        <v>60933600.000000007</v>
      </c>
    </row>
    <row r="142" spans="1:18" x14ac:dyDescent="0.35">
      <c r="D142" s="2"/>
      <c r="E142" s="2"/>
      <c r="F142" s="159" t="s">
        <v>213</v>
      </c>
      <c r="G142" s="2">
        <f t="shared" si="43"/>
        <v>0</v>
      </c>
      <c r="I142" s="5" t="s">
        <v>7</v>
      </c>
      <c r="J142" s="157" t="s">
        <v>211</v>
      </c>
      <c r="K142" s="6">
        <f>'Feedstock MIX per IVC'!L38</f>
        <v>1.4681427875583699</v>
      </c>
      <c r="L142" s="2">
        <f t="shared" si="44"/>
        <v>1603211.9240137404</v>
      </c>
      <c r="M142" t="s">
        <v>247</v>
      </c>
      <c r="N142" s="35">
        <v>0.1</v>
      </c>
      <c r="O142" s="2">
        <f t="shared" si="45"/>
        <v>30685200.000000007</v>
      </c>
      <c r="P142" s="18" t="s">
        <v>253</v>
      </c>
      <c r="Q142" s="35">
        <v>0.3</v>
      </c>
      <c r="R142" s="2">
        <f t="shared" si="46"/>
        <v>60933600.000000007</v>
      </c>
    </row>
    <row r="143" spans="1:18" x14ac:dyDescent="0.35">
      <c r="D143" s="2"/>
      <c r="E143" s="2"/>
      <c r="F143" s="207" t="s">
        <v>104</v>
      </c>
      <c r="G143" s="2">
        <f t="shared" si="43"/>
        <v>2.0426202948251641E-2</v>
      </c>
      <c r="I143" s="5" t="s">
        <v>8</v>
      </c>
      <c r="J143" s="154" t="s">
        <v>212</v>
      </c>
      <c r="K143" s="6">
        <f>'Feedstock MIX per IVC'!L39</f>
        <v>12.945274394824347</v>
      </c>
      <c r="L143" s="2">
        <f t="shared" si="44"/>
        <v>14136239.639148191</v>
      </c>
      <c r="M143" t="s">
        <v>248</v>
      </c>
      <c r="N143" s="35">
        <v>0.3</v>
      </c>
      <c r="O143" s="2">
        <f t="shared" si="45"/>
        <v>92055600.000000015</v>
      </c>
      <c r="P143" s="18" t="s">
        <v>254</v>
      </c>
      <c r="Q143" s="240">
        <v>0</v>
      </c>
      <c r="R143" s="2">
        <f t="shared" si="46"/>
        <v>0</v>
      </c>
    </row>
    <row r="144" spans="1:18" x14ac:dyDescent="0.35">
      <c r="D144" s="2"/>
      <c r="E144" s="2"/>
      <c r="F144" s="157" t="s">
        <v>211</v>
      </c>
      <c r="G144" s="2">
        <f t="shared" si="43"/>
        <v>1.2007201383776638E-2</v>
      </c>
      <c r="I144" s="5" t="s">
        <v>9</v>
      </c>
      <c r="J144" s="154" t="s">
        <v>212</v>
      </c>
      <c r="K144" s="6">
        <f>'Feedstock MIX per IVC'!L40</f>
        <v>2.9085941267676412</v>
      </c>
      <c r="L144" s="2">
        <f t="shared" si="44"/>
        <v>3176184.7864302648</v>
      </c>
      <c r="M144" t="s">
        <v>250</v>
      </c>
      <c r="N144" s="35">
        <v>0.03</v>
      </c>
      <c r="O144" s="2">
        <f t="shared" si="45"/>
        <v>9205560.0000000019</v>
      </c>
    </row>
    <row r="145" spans="1:19" x14ac:dyDescent="0.35">
      <c r="D145" s="2"/>
      <c r="E145" s="2"/>
      <c r="F145" s="158" t="s">
        <v>105</v>
      </c>
      <c r="G145" s="2">
        <f t="shared" si="43"/>
        <v>0</v>
      </c>
      <c r="I145" s="5" t="s">
        <v>10</v>
      </c>
      <c r="J145" s="178" t="s">
        <v>256</v>
      </c>
      <c r="K145" s="6">
        <f>'Feedstock MIX per IVC'!L41</f>
        <v>20.514868456079359</v>
      </c>
      <c r="L145" s="2">
        <f t="shared" si="44"/>
        <v>22402236.354038663</v>
      </c>
      <c r="M145" s="2"/>
    </row>
    <row r="146" spans="1:19" x14ac:dyDescent="0.35">
      <c r="D146" s="2"/>
      <c r="E146" s="2"/>
      <c r="F146" s="2"/>
      <c r="G146" s="2">
        <f>SUM(G139:G145)</f>
        <v>1</v>
      </c>
      <c r="I146" s="5" t="s">
        <v>11</v>
      </c>
      <c r="J146" s="156" t="s">
        <v>209</v>
      </c>
      <c r="K146" s="6">
        <f>'Feedstock MIX per IVC'!L42</f>
        <v>21.127258870132788</v>
      </c>
      <c r="L146" s="2">
        <f t="shared" si="44"/>
        <v>23070966.68618501</v>
      </c>
    </row>
    <row r="147" spans="1:19" s="31" customFormat="1" x14ac:dyDescent="0.35">
      <c r="I147" s="5" t="s">
        <v>12</v>
      </c>
      <c r="J147" s="159" t="s">
        <v>213</v>
      </c>
      <c r="K147" s="6">
        <f>'Feedstock MIX per IVC'!L43</f>
        <v>0</v>
      </c>
      <c r="L147" s="2">
        <f t="shared" si="44"/>
        <v>0</v>
      </c>
    </row>
    <row r="148" spans="1:19" x14ac:dyDescent="0.35">
      <c r="D148" s="2"/>
      <c r="E148" s="2"/>
      <c r="I148" s="13" t="s">
        <v>26</v>
      </c>
      <c r="J148" s="207" t="s">
        <v>104</v>
      </c>
      <c r="K148" s="6">
        <f>'Feedstock MIX per IVC'!L44</f>
        <v>2.4975497267996034</v>
      </c>
      <c r="L148" s="2">
        <f t="shared" si="44"/>
        <v>2727324.3016651673</v>
      </c>
    </row>
    <row r="149" spans="1:19" s="219" customFormat="1" x14ac:dyDescent="0.35">
      <c r="A149" s="219" t="s">
        <v>28</v>
      </c>
      <c r="C149" s="219">
        <f>B149*F149</f>
        <v>0</v>
      </c>
      <c r="D149" s="219">
        <f>'[1]GAP analysis Sc. 1'!$P$108</f>
        <v>0.52163943823445114</v>
      </c>
      <c r="E149" s="219">
        <f>'[2]Conversion factors selected IV '!$O$49</f>
        <v>2.0934000000000004</v>
      </c>
      <c r="F149" s="219">
        <f>D149*E149*1000000</f>
        <v>1092000.0000000002</v>
      </c>
      <c r="G149" s="219">
        <f>'LCoP 2040 medium-high'!E12</f>
        <v>936</v>
      </c>
      <c r="H149" s="219">
        <f>G149*F149</f>
        <v>1022112000.0000002</v>
      </c>
      <c r="I149" s="226">
        <f>'LCoP 2040 medium-high'!H12</f>
        <v>0.75641025641025639</v>
      </c>
      <c r="L149" s="219">
        <f>I149*H149</f>
        <v>773136000.00000012</v>
      </c>
      <c r="M149" s="226">
        <f>'LCoP 2040 medium-high'!F12</f>
        <v>0.14529914529914531</v>
      </c>
      <c r="O149" s="219">
        <f>M149*H149</f>
        <v>148512000.00000006</v>
      </c>
      <c r="P149" s="226">
        <f>'LCoP 2040 medium-high'!G12</f>
        <v>9.8290598290598288E-2</v>
      </c>
      <c r="R149" s="219">
        <f>P149*H149</f>
        <v>100464000.00000001</v>
      </c>
      <c r="S149" s="226"/>
    </row>
    <row r="150" spans="1:19" x14ac:dyDescent="0.35">
      <c r="F150" s="158" t="s">
        <v>106</v>
      </c>
      <c r="G150">
        <v>1</v>
      </c>
      <c r="I150" s="13" t="s">
        <v>29</v>
      </c>
      <c r="J150" s="158" t="s">
        <v>106</v>
      </c>
      <c r="L150" s="2">
        <f>L149</f>
        <v>773136000.00000012</v>
      </c>
      <c r="M150" s="5" t="s">
        <v>245</v>
      </c>
      <c r="N150" s="35">
        <v>0</v>
      </c>
      <c r="O150" s="2">
        <f>N150*O$149</f>
        <v>0</v>
      </c>
      <c r="P150" s="18" t="s">
        <v>251</v>
      </c>
      <c r="Q150" s="35">
        <v>0.25</v>
      </c>
      <c r="R150" s="2">
        <f>Q150*R$149</f>
        <v>25116000.000000004</v>
      </c>
    </row>
    <row r="151" spans="1:19" x14ac:dyDescent="0.35">
      <c r="M151" t="s">
        <v>246</v>
      </c>
      <c r="N151" s="35">
        <v>0.02</v>
      </c>
      <c r="O151" s="2">
        <f t="shared" ref="O151:O155" si="47">N151*O$149</f>
        <v>2970240.0000000014</v>
      </c>
      <c r="P151" s="18" t="s">
        <v>210</v>
      </c>
      <c r="Q151" s="35">
        <v>0.15</v>
      </c>
      <c r="R151" s="2">
        <f t="shared" ref="R151:R155" si="48">Q151*R$149</f>
        <v>15069600.000000002</v>
      </c>
    </row>
    <row r="152" spans="1:19" x14ac:dyDescent="0.35">
      <c r="M152" s="5" t="s">
        <v>244</v>
      </c>
      <c r="N152" s="35">
        <v>0.55000000000000004</v>
      </c>
      <c r="O152" s="2">
        <f t="shared" si="47"/>
        <v>81681600.000000045</v>
      </c>
      <c r="P152" s="18" t="s">
        <v>252</v>
      </c>
      <c r="Q152" s="35">
        <v>0.3</v>
      </c>
      <c r="R152" s="2">
        <f t="shared" si="48"/>
        <v>30139200.000000004</v>
      </c>
    </row>
    <row r="153" spans="1:19" x14ac:dyDescent="0.35">
      <c r="M153" t="s">
        <v>247</v>
      </c>
      <c r="N153" s="35">
        <v>0.1</v>
      </c>
      <c r="O153" s="2">
        <f t="shared" si="47"/>
        <v>14851200.000000007</v>
      </c>
      <c r="P153" s="18" t="s">
        <v>253</v>
      </c>
      <c r="Q153" s="35">
        <v>0.3</v>
      </c>
      <c r="R153" s="2">
        <f t="shared" si="48"/>
        <v>30139200.000000004</v>
      </c>
    </row>
    <row r="154" spans="1:19" x14ac:dyDescent="0.35">
      <c r="M154" t="s">
        <v>248</v>
      </c>
      <c r="N154" s="35">
        <v>0.3</v>
      </c>
      <c r="O154" s="2">
        <f t="shared" si="47"/>
        <v>44553600.000000015</v>
      </c>
      <c r="P154" s="18" t="s">
        <v>254</v>
      </c>
      <c r="Q154" s="240">
        <v>0</v>
      </c>
      <c r="R154" s="2">
        <f t="shared" si="48"/>
        <v>0</v>
      </c>
    </row>
    <row r="155" spans="1:19" x14ac:dyDescent="0.35">
      <c r="M155" t="s">
        <v>250</v>
      </c>
      <c r="N155" s="35">
        <v>0.03</v>
      </c>
      <c r="O155" s="2">
        <f t="shared" si="47"/>
        <v>4455360.0000000019</v>
      </c>
      <c r="R155" s="2">
        <f t="shared" si="48"/>
        <v>0</v>
      </c>
    </row>
    <row r="157" spans="1:19" s="207" customFormat="1" ht="32.5" customHeight="1" x14ac:dyDescent="0.35">
      <c r="A157" s="246" t="s">
        <v>366</v>
      </c>
      <c r="B157" s="246"/>
      <c r="C157" s="246"/>
      <c r="F157" s="215"/>
    </row>
    <row r="158" spans="1:19" x14ac:dyDescent="0.35">
      <c r="D158" s="2">
        <f>D160+D179+D188</f>
        <v>13.037502065587285</v>
      </c>
      <c r="E158" s="2">
        <f t="shared" ref="E158:F158" si="49">E160+E179+E188</f>
        <v>5.7168927108927114</v>
      </c>
      <c r="F158" s="2">
        <f t="shared" si="49"/>
        <v>14657519.799731629</v>
      </c>
    </row>
    <row r="159" spans="1:19" s="158" customFormat="1" ht="29.5" customHeight="1" x14ac:dyDescent="0.35">
      <c r="A159" s="158" t="s">
        <v>259</v>
      </c>
      <c r="F159" s="247"/>
    </row>
    <row r="160" spans="1:19" ht="17.5" customHeight="1" x14ac:dyDescent="0.35">
      <c r="D160" s="2">
        <f>D161+D169+D176</f>
        <v>6.9117371247146311</v>
      </c>
      <c r="E160" s="2">
        <f t="shared" ref="E160:F160" si="50">E161+E169+E176</f>
        <v>3.2146805896805897</v>
      </c>
      <c r="F160" s="2">
        <f t="shared" si="50"/>
        <v>7448022.5203073248</v>
      </c>
    </row>
    <row r="161" spans="1:18" s="119" customFormat="1" x14ac:dyDescent="0.35">
      <c r="A161" s="119" t="s">
        <v>305</v>
      </c>
      <c r="D161" s="119">
        <f>'[1]GAP analysis Sc. 1'!$T$18</f>
        <v>2.7789996293483421</v>
      </c>
      <c r="E161" s="119">
        <f>'[2]Conversion factors selected IV '!$O$4</f>
        <v>1.1315675675675676</v>
      </c>
      <c r="F161" s="119">
        <f>D161*E161*1000000</f>
        <v>3144625.850852875</v>
      </c>
      <c r="G161" s="119">
        <v>629</v>
      </c>
      <c r="H161" s="119">
        <f>G161*F161</f>
        <v>1977969660.1864583</v>
      </c>
      <c r="I161" s="119">
        <v>0.75</v>
      </c>
      <c r="K161" s="119">
        <f>I161*G161</f>
        <v>471.75</v>
      </c>
      <c r="L161" s="119">
        <f>I161*H161</f>
        <v>1483477245.1398437</v>
      </c>
      <c r="M161" s="119">
        <v>6.5000000000000002E-2</v>
      </c>
      <c r="O161" s="119">
        <f>M161*H161</f>
        <v>128568027.91211979</v>
      </c>
      <c r="P161" s="119">
        <v>0.185</v>
      </c>
      <c r="R161" s="119">
        <f>P161*H161</f>
        <v>365924387.13449478</v>
      </c>
    </row>
    <row r="162" spans="1:18" x14ac:dyDescent="0.35">
      <c r="D162" s="2"/>
      <c r="H162" s="209" t="s">
        <v>292</v>
      </c>
      <c r="I162" s="18" t="s">
        <v>260</v>
      </c>
      <c r="J162" s="161" t="s">
        <v>211</v>
      </c>
      <c r="K162" s="112">
        <f>'Feedtstocks only CONVENTIONAL'!$J$4</f>
        <v>0.76052615016678204</v>
      </c>
      <c r="L162" s="2">
        <f>K162*F$161</f>
        <v>2391570.1920640785</v>
      </c>
      <c r="M162" t="s">
        <v>296</v>
      </c>
      <c r="N162" s="61">
        <v>0.45</v>
      </c>
      <c r="O162" s="2">
        <f>N162*O$161</f>
        <v>57855612.560453907</v>
      </c>
      <c r="P162" t="s">
        <v>298</v>
      </c>
      <c r="Q162" s="61">
        <v>0.3</v>
      </c>
      <c r="R162" s="2">
        <f>Q162*R$161</f>
        <v>109777316.14034843</v>
      </c>
    </row>
    <row r="163" spans="1:18" x14ac:dyDescent="0.35">
      <c r="D163" s="2"/>
      <c r="H163" s="208" t="s">
        <v>290</v>
      </c>
      <c r="I163" s="18" t="s">
        <v>261</v>
      </c>
      <c r="J163" s="161" t="s">
        <v>211</v>
      </c>
      <c r="K163" s="112">
        <f>'Feedtstocks only CONVENTIONAL'!$J$5</f>
        <v>0.16011076845616465</v>
      </c>
      <c r="L163" s="2">
        <f t="shared" ref="L163:L165" si="51">K163*F$161</f>
        <v>503488.46148717444</v>
      </c>
      <c r="M163" t="s">
        <v>297</v>
      </c>
      <c r="N163" s="61">
        <v>0.3</v>
      </c>
      <c r="O163" s="2">
        <f t="shared" ref="O163:O166" si="52">N163*O$161</f>
        <v>38570408.373635933</v>
      </c>
      <c r="P163" t="s">
        <v>299</v>
      </c>
      <c r="Q163" s="61">
        <v>0.2</v>
      </c>
      <c r="R163" s="2">
        <f t="shared" ref="R163:R166" si="53">Q163*R$161</f>
        <v>73184877.426898956</v>
      </c>
    </row>
    <row r="164" spans="1:18" x14ac:dyDescent="0.35">
      <c r="D164" s="2"/>
      <c r="H164" s="209" t="s">
        <v>292</v>
      </c>
      <c r="I164" s="18" t="s">
        <v>263</v>
      </c>
      <c r="J164" s="161" t="s">
        <v>211</v>
      </c>
      <c r="K164" s="112">
        <f>'Feedtstocks only CONVENTIONAL'!$J$6</f>
        <v>4.0027692114041162E-2</v>
      </c>
      <c r="L164" s="2">
        <f t="shared" si="51"/>
        <v>125872.11537179361</v>
      </c>
      <c r="M164" t="s">
        <v>247</v>
      </c>
      <c r="N164" s="61">
        <v>0.15</v>
      </c>
      <c r="O164" s="2">
        <f t="shared" si="52"/>
        <v>19285204.186817966</v>
      </c>
      <c r="P164" t="s">
        <v>252</v>
      </c>
      <c r="Q164" s="61">
        <v>0.25</v>
      </c>
      <c r="R164" s="2">
        <f t="shared" si="53"/>
        <v>91481096.783623695</v>
      </c>
    </row>
    <row r="165" spans="1:18" x14ac:dyDescent="0.35">
      <c r="D165" s="2"/>
      <c r="H165" s="208" t="s">
        <v>290</v>
      </c>
      <c r="I165" s="18" t="s">
        <v>262</v>
      </c>
      <c r="J165" s="161" t="s">
        <v>211</v>
      </c>
      <c r="K165" s="112">
        <f>'Feedtstocks only CONVENTIONAL'!$J$7</f>
        <v>3.9335389263012145E-2</v>
      </c>
      <c r="L165" s="2">
        <f t="shared" si="51"/>
        <v>123695.08192982861</v>
      </c>
      <c r="M165" t="s">
        <v>245</v>
      </c>
      <c r="N165" s="61">
        <v>7.0000000000000007E-2</v>
      </c>
      <c r="O165" s="2">
        <f t="shared" si="52"/>
        <v>8999761.9538483862</v>
      </c>
      <c r="P165" t="s">
        <v>300</v>
      </c>
      <c r="Q165" s="61">
        <v>0.15</v>
      </c>
      <c r="R165" s="2">
        <f t="shared" si="53"/>
        <v>54888658.070174217</v>
      </c>
    </row>
    <row r="166" spans="1:18" x14ac:dyDescent="0.35">
      <c r="D166" s="2"/>
      <c r="L166" s="2">
        <f>SUM(L162:L165)</f>
        <v>3144625.850852875</v>
      </c>
      <c r="M166" t="s">
        <v>250</v>
      </c>
      <c r="N166" s="61">
        <v>0.03</v>
      </c>
      <c r="O166" s="2">
        <f t="shared" si="52"/>
        <v>3857040.8373635937</v>
      </c>
      <c r="P166" s="18" t="s">
        <v>254</v>
      </c>
      <c r="Q166" s="61">
        <v>0.1</v>
      </c>
      <c r="R166" s="2">
        <f t="shared" si="53"/>
        <v>36592438.713449478</v>
      </c>
    </row>
    <row r="167" spans="1:18" x14ac:dyDescent="0.35">
      <c r="D167" s="2"/>
      <c r="O167" s="2">
        <f>SUM(O162:O166)</f>
        <v>128568027.91211981</v>
      </c>
      <c r="P167" t="s">
        <v>213</v>
      </c>
      <c r="Q167" s="61">
        <v>0</v>
      </c>
      <c r="R167" s="2">
        <f t="shared" ref="R167" si="54">Q167*R166</f>
        <v>0</v>
      </c>
    </row>
    <row r="168" spans="1:18" s="122" customFormat="1" x14ac:dyDescent="0.35"/>
    <row r="169" spans="1:18" s="119" customFormat="1" x14ac:dyDescent="0.35">
      <c r="A169" s="119" t="s">
        <v>373</v>
      </c>
      <c r="D169" s="119">
        <f>'[1]GAP analysis Sc. 1'!$T$19</f>
        <v>2.0723845493727584</v>
      </c>
      <c r="E169" s="119">
        <f>'[2]Conversion factors selected IV '!$O$7</f>
        <v>0.95154545454545458</v>
      </c>
      <c r="F169" s="119">
        <f>D169*E169*1000000</f>
        <v>1971968.0980258784</v>
      </c>
      <c r="G169" s="119">
        <f>K169/7*10</f>
        <v>0</v>
      </c>
      <c r="H169" s="119">
        <f>G169*F169</f>
        <v>0</v>
      </c>
      <c r="I169" s="119">
        <v>0.7</v>
      </c>
      <c r="K169" s="119">
        <f>'Feedtstocks only CONVENTIONAL'!I82</f>
        <v>0</v>
      </c>
      <c r="L169" s="119">
        <f>I169*H169</f>
        <v>0</v>
      </c>
      <c r="M169" s="119">
        <v>0.1</v>
      </c>
      <c r="O169" s="119">
        <f>M169*H169</f>
        <v>0</v>
      </c>
      <c r="P169" s="119">
        <v>0.2</v>
      </c>
      <c r="R169" s="119">
        <f>P169*H169</f>
        <v>0</v>
      </c>
    </row>
    <row r="170" spans="1:18" x14ac:dyDescent="0.35">
      <c r="D170" s="2"/>
      <c r="I170" s="18" t="s">
        <v>260</v>
      </c>
      <c r="J170" s="161" t="s">
        <v>211</v>
      </c>
      <c r="M170" t="s">
        <v>296</v>
      </c>
      <c r="N170" s="61">
        <v>0.55000000000000004</v>
      </c>
      <c r="P170" t="s">
        <v>298</v>
      </c>
      <c r="Q170" s="61">
        <v>0.4</v>
      </c>
    </row>
    <row r="171" spans="1:18" x14ac:dyDescent="0.35">
      <c r="D171" s="2"/>
      <c r="I171" s="18" t="s">
        <v>261</v>
      </c>
      <c r="J171" s="161" t="s">
        <v>211</v>
      </c>
      <c r="M171" t="s">
        <v>297</v>
      </c>
      <c r="N171" s="61">
        <v>0.25</v>
      </c>
      <c r="P171" t="s">
        <v>299</v>
      </c>
      <c r="Q171" s="61">
        <v>0.2</v>
      </c>
    </row>
    <row r="172" spans="1:18" x14ac:dyDescent="0.35">
      <c r="D172" s="2"/>
      <c r="I172" s="18" t="s">
        <v>263</v>
      </c>
      <c r="J172" s="161" t="s">
        <v>211</v>
      </c>
      <c r="M172" t="s">
        <v>247</v>
      </c>
      <c r="N172" s="61">
        <v>0.1</v>
      </c>
      <c r="P172" t="s">
        <v>252</v>
      </c>
      <c r="Q172" s="61">
        <v>0.2</v>
      </c>
    </row>
    <row r="173" spans="1:18" x14ac:dyDescent="0.35">
      <c r="D173" s="2"/>
      <c r="I173" s="18" t="s">
        <v>262</v>
      </c>
      <c r="J173" s="161" t="s">
        <v>211</v>
      </c>
      <c r="M173" t="s">
        <v>245</v>
      </c>
      <c r="N173" s="61">
        <v>7.0000000000000007E-2</v>
      </c>
      <c r="P173" t="s">
        <v>300</v>
      </c>
      <c r="Q173" s="61">
        <v>0.15</v>
      </c>
    </row>
    <row r="174" spans="1:18" x14ac:dyDescent="0.35">
      <c r="D174" s="2"/>
      <c r="M174" t="s">
        <v>250</v>
      </c>
      <c r="N174" s="61">
        <v>0.03</v>
      </c>
      <c r="P174" s="216" t="s">
        <v>254</v>
      </c>
      <c r="Q174" s="61">
        <v>0.05</v>
      </c>
    </row>
    <row r="175" spans="1:18" x14ac:dyDescent="0.35">
      <c r="D175" s="2"/>
      <c r="P175" t="s">
        <v>213</v>
      </c>
      <c r="Q175" s="61">
        <v>0</v>
      </c>
    </row>
    <row r="176" spans="1:18" s="119" customFormat="1" x14ac:dyDescent="0.35">
      <c r="A176" s="119" t="s">
        <v>282</v>
      </c>
      <c r="D176" s="119">
        <f>'[1]GAP analysis Sc. 1'!$T$21*0.3</f>
        <v>2.0603529459935306</v>
      </c>
      <c r="E176" s="119">
        <f>'[2]Conversion factors selected IV '!$O$4</f>
        <v>1.1315675675675676</v>
      </c>
      <c r="F176" s="119">
        <f>D176*E176*1000000</f>
        <v>2331428.5714285714</v>
      </c>
    </row>
    <row r="178" spans="1:19" s="158" customFormat="1" ht="29" customHeight="1" x14ac:dyDescent="0.35">
      <c r="A178" s="158" t="s">
        <v>371</v>
      </c>
    </row>
    <row r="179" spans="1:19" x14ac:dyDescent="0.35">
      <c r="B179" s="2"/>
      <c r="C179" s="2"/>
      <c r="D179" s="2">
        <f>D180</f>
        <v>2.304297471683773</v>
      </c>
      <c r="E179" s="6">
        <f>E180</f>
        <v>1.5506666666666669</v>
      </c>
      <c r="F179" s="2">
        <f>F180</f>
        <v>3573197.2794243046</v>
      </c>
    </row>
    <row r="180" spans="1:19" x14ac:dyDescent="0.35">
      <c r="A180" s="119" t="s">
        <v>372</v>
      </c>
      <c r="B180" s="119"/>
      <c r="C180" s="119"/>
      <c r="D180" s="119">
        <f>'[1]GAP analysis Sc. 1'!$T$20</f>
        <v>2.304297471683773</v>
      </c>
      <c r="E180" s="119">
        <f>'[2]Conversion factors selected IV '!$O$17</f>
        <v>1.5506666666666669</v>
      </c>
      <c r="F180" s="119">
        <f>D180*E180*1000000</f>
        <v>3573197.2794243046</v>
      </c>
      <c r="G180" s="119"/>
      <c r="H180" s="119"/>
      <c r="I180" s="119"/>
      <c r="J180" s="119"/>
      <c r="K180" s="119"/>
      <c r="L180" s="119"/>
      <c r="M180" s="119"/>
      <c r="N180" s="119"/>
      <c r="O180" s="119"/>
      <c r="P180" s="119"/>
      <c r="Q180" s="119"/>
      <c r="R180" s="119"/>
      <c r="S180" s="119"/>
    </row>
    <row r="181" spans="1:19" x14ac:dyDescent="0.35">
      <c r="E181" s="6"/>
      <c r="J181" s="154"/>
      <c r="L181" s="2"/>
      <c r="N181" s="61"/>
      <c r="O181" s="2"/>
      <c r="Q181" s="61"/>
      <c r="R181" s="2"/>
    </row>
    <row r="182" spans="1:19" x14ac:dyDescent="0.35">
      <c r="E182" s="6"/>
      <c r="N182" s="61"/>
      <c r="O182" s="2"/>
      <c r="Q182" s="61"/>
      <c r="R182" s="2"/>
    </row>
    <row r="183" spans="1:19" x14ac:dyDescent="0.35">
      <c r="E183" s="6"/>
      <c r="N183" s="61"/>
      <c r="O183" s="2"/>
      <c r="Q183" s="61"/>
      <c r="R183" s="2"/>
    </row>
    <row r="184" spans="1:19" x14ac:dyDescent="0.35">
      <c r="E184" s="6"/>
      <c r="N184" s="61"/>
      <c r="O184" s="2"/>
      <c r="Q184" s="61"/>
      <c r="R184" s="2"/>
    </row>
    <row r="185" spans="1:19" x14ac:dyDescent="0.35">
      <c r="E185" s="6"/>
      <c r="N185" s="61"/>
      <c r="O185" s="2"/>
      <c r="P185" s="104"/>
      <c r="Q185" s="61"/>
      <c r="R185" s="2"/>
    </row>
    <row r="186" spans="1:19" x14ac:dyDescent="0.35">
      <c r="E186" s="6"/>
      <c r="N186" s="61"/>
      <c r="Q186" s="61"/>
      <c r="R186" s="2"/>
    </row>
    <row r="187" spans="1:19" s="158" customFormat="1" ht="29.5" customHeight="1" x14ac:dyDescent="0.35">
      <c r="A187" s="158" t="s">
        <v>386</v>
      </c>
      <c r="E187" s="191"/>
    </row>
    <row r="188" spans="1:19" x14ac:dyDescent="0.35">
      <c r="B188" s="2"/>
      <c r="C188" s="2"/>
      <c r="D188" s="2">
        <f>D189</f>
        <v>3.8214674691888795</v>
      </c>
      <c r="E188" s="6">
        <f t="shared" ref="E188:F188" si="55">E189</f>
        <v>0.95154545454545458</v>
      </c>
      <c r="F188" s="2">
        <f t="shared" si="55"/>
        <v>3636300.0000000005</v>
      </c>
    </row>
    <row r="189" spans="1:19" s="119" customFormat="1" x14ac:dyDescent="0.35">
      <c r="A189" s="119" t="s">
        <v>367</v>
      </c>
      <c r="D189" s="119">
        <f>'[1]GAP analysis Sc. 1'!$T$22*0.93</f>
        <v>3.8214674691888795</v>
      </c>
      <c r="E189" s="119">
        <f>'[2]Conversion factors selected IV '!$O$7</f>
        <v>0.95154545454545458</v>
      </c>
      <c r="F189" s="119">
        <f>D189*E189*1000000</f>
        <v>3636300.0000000005</v>
      </c>
    </row>
    <row r="190" spans="1:19" s="119" customFormat="1" x14ac:dyDescent="0.35">
      <c r="A190"/>
      <c r="B190"/>
      <c r="C190"/>
      <c r="D190"/>
      <c r="E190"/>
      <c r="F190" s="1"/>
      <c r="G190"/>
      <c r="H190" s="209"/>
      <c r="I190" s="18"/>
      <c r="J190" s="161"/>
      <c r="K190" s="61"/>
      <c r="L190" s="104"/>
      <c r="M190"/>
      <c r="N190" s="61"/>
      <c r="O190" s="2"/>
      <c r="P190"/>
      <c r="Q190" s="61"/>
      <c r="R190" s="2"/>
      <c r="S190"/>
    </row>
    <row r="191" spans="1:19" s="119" customFormat="1" x14ac:dyDescent="0.35">
      <c r="A191"/>
      <c r="B191"/>
      <c r="C191"/>
      <c r="D191"/>
      <c r="E191"/>
      <c r="F191" s="1"/>
      <c r="G191"/>
      <c r="H191" s="208"/>
      <c r="I191" s="18"/>
      <c r="J191" s="161"/>
      <c r="K191" s="61"/>
      <c r="L191" s="104"/>
      <c r="M191"/>
      <c r="N191" s="61"/>
      <c r="O191" s="2"/>
      <c r="P191"/>
      <c r="Q191" s="61"/>
      <c r="R191" s="2"/>
      <c r="S191"/>
    </row>
    <row r="192" spans="1:19" s="119" customFormat="1" x14ac:dyDescent="0.35">
      <c r="A192"/>
      <c r="B192"/>
      <c r="C192"/>
      <c r="D192"/>
      <c r="E192"/>
      <c r="F192" s="1"/>
      <c r="G192"/>
      <c r="H192" s="209"/>
      <c r="I192" s="18"/>
      <c r="J192" s="161"/>
      <c r="K192" s="61"/>
      <c r="L192" s="104"/>
      <c r="M192"/>
      <c r="N192" s="61"/>
      <c r="O192" s="2"/>
      <c r="P192"/>
      <c r="Q192" s="61"/>
      <c r="R192" s="2"/>
      <c r="S192"/>
    </row>
    <row r="193" spans="1:19" s="119" customFormat="1" x14ac:dyDescent="0.35">
      <c r="A193"/>
      <c r="B193"/>
      <c r="C193"/>
      <c r="D193"/>
      <c r="E193"/>
      <c r="F193" s="1"/>
      <c r="G193"/>
      <c r="H193" s="18"/>
      <c r="I193" s="18"/>
      <c r="J193" s="18"/>
      <c r="K193" s="104"/>
      <c r="L193" s="104"/>
      <c r="M193"/>
      <c r="N193" s="61"/>
      <c r="O193" s="2"/>
      <c r="P193"/>
      <c r="Q193" s="61"/>
      <c r="R193" s="2"/>
      <c r="S193"/>
    </row>
    <row r="194" spans="1:19" s="119" customFormat="1" x14ac:dyDescent="0.35">
      <c r="A194"/>
      <c r="B194"/>
      <c r="C194"/>
      <c r="D194"/>
      <c r="E194"/>
      <c r="F194" s="1"/>
      <c r="G194"/>
      <c r="H194"/>
      <c r="I194"/>
      <c r="J194"/>
      <c r="K194"/>
      <c r="L194"/>
      <c r="M194"/>
      <c r="N194" s="61"/>
      <c r="O194" s="2"/>
      <c r="P194" s="216"/>
      <c r="Q194" s="61"/>
      <c r="R194" s="2"/>
      <c r="S194"/>
    </row>
    <row r="195" spans="1:19" s="119" customFormat="1" x14ac:dyDescent="0.35">
      <c r="A195"/>
      <c r="B195"/>
      <c r="C195"/>
      <c r="D195"/>
      <c r="E195"/>
      <c r="F195" s="1"/>
      <c r="G195"/>
      <c r="H195"/>
      <c r="I195"/>
      <c r="J195"/>
      <c r="K195"/>
      <c r="L195"/>
      <c r="M195"/>
      <c r="N195"/>
      <c r="O195"/>
      <c r="P195"/>
      <c r="Q195" s="61"/>
      <c r="R195" s="2"/>
      <c r="S195"/>
    </row>
  </sheetData>
  <pageMargins left="0.7" right="0.7" top="0.78740157499999996" bottom="0.78740157499999996"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59D7-4BFB-431C-8EAB-85D945B6955D}">
  <sheetPr>
    <tabColor theme="8" tint="0.39997558519241921"/>
  </sheetPr>
  <dimension ref="A1:S228"/>
  <sheetViews>
    <sheetView workbookViewId="0">
      <pane ySplit="5" topLeftCell="A6" activePane="bottomLeft" state="frozen"/>
      <selection pane="bottomLeft" activeCell="D6" sqref="D6"/>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9.54296875" customWidth="1"/>
    <col min="13" max="13" width="15.7265625" bestFit="1" customWidth="1"/>
    <col min="15" max="15" width="18.1796875" customWidth="1"/>
    <col min="17" max="17" width="14.36328125" bestFit="1" customWidth="1"/>
    <col min="18" max="18" width="16.81640625" customWidth="1"/>
    <col min="19" max="19" width="20" customWidth="1"/>
  </cols>
  <sheetData>
    <row r="1" spans="1:19" s="48" customFormat="1" ht="24" customHeight="1" x14ac:dyDescent="0.35">
      <c r="A1" s="48" t="s">
        <v>383</v>
      </c>
      <c r="F1" s="241"/>
    </row>
    <row r="2" spans="1:19" s="48" customFormat="1" ht="24" customHeight="1" x14ac:dyDescent="0.35">
      <c r="A2" s="48" t="s">
        <v>326</v>
      </c>
      <c r="F2" s="241"/>
    </row>
    <row r="3" spans="1:19" s="48" customFormat="1" ht="24" customHeight="1" x14ac:dyDescent="0.35">
      <c r="A3" s="48" t="s">
        <v>377</v>
      </c>
      <c r="E3" s="48" t="s">
        <v>384</v>
      </c>
      <c r="F3" s="241"/>
    </row>
    <row r="4" spans="1:19" ht="19" customHeight="1" x14ac:dyDescent="0.35"/>
    <row r="5" spans="1:19" s="49" customFormat="1" ht="37" customHeight="1" x14ac:dyDescent="0.35">
      <c r="B5" s="49" t="s">
        <v>424</v>
      </c>
      <c r="C5" s="49" t="s">
        <v>425</v>
      </c>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207" customFormat="1" ht="37" customHeight="1" x14ac:dyDescent="0.35">
      <c r="A6" s="246" t="s">
        <v>365</v>
      </c>
      <c r="B6" s="246"/>
      <c r="C6" s="246"/>
      <c r="D6" s="245">
        <f>D8+D47+D89+D113+D154</f>
        <v>32.264088716996767</v>
      </c>
      <c r="F6" s="215"/>
      <c r="I6" s="246"/>
      <c r="M6" s="246"/>
      <c r="P6" s="246"/>
    </row>
    <row r="7" spans="1:19" s="93" customFormat="1" ht="40" customHeight="1" x14ac:dyDescent="0.35">
      <c r="A7" s="93" t="s">
        <v>104</v>
      </c>
      <c r="F7" s="176"/>
    </row>
    <row r="8" spans="1:19" s="217" customFormat="1" x14ac:dyDescent="0.35">
      <c r="A8" s="217" t="s">
        <v>189</v>
      </c>
      <c r="C8" s="224">
        <f>C9+C16+C28</f>
        <v>17322238764.885136</v>
      </c>
      <c r="D8" s="224">
        <f>D9+D16+D28</f>
        <v>10.233341422957615</v>
      </c>
      <c r="F8" s="224">
        <f>F9+F16+F28</f>
        <v>9898422.1513629351</v>
      </c>
      <c r="L8" s="224">
        <f>L9+L16+L28</f>
        <v>2788662117.2814097</v>
      </c>
      <c r="M8" s="224"/>
      <c r="N8" s="224"/>
      <c r="O8" s="224">
        <f>O9+O16+O28</f>
        <v>11814871107.639933</v>
      </c>
      <c r="P8" s="235"/>
      <c r="Q8" s="224"/>
      <c r="R8" s="224">
        <f>R9+R16+R28</f>
        <v>8044509406.1078892</v>
      </c>
    </row>
    <row r="9" spans="1:19" s="218" customFormat="1" x14ac:dyDescent="0.35">
      <c r="A9" s="218" t="s">
        <v>334</v>
      </c>
      <c r="B9" s="218">
        <v>1750</v>
      </c>
      <c r="C9" s="219">
        <f>B9*F9</f>
        <v>539746409.87315857</v>
      </c>
      <c r="D9" s="220">
        <f>'[3]Scenario 2 2040'!$G$4</f>
        <v>0.32413219826146089</v>
      </c>
      <c r="E9" s="225">
        <f>'[2]Conversion factors selected IV '!$O$7</f>
        <v>0.95154545454545458</v>
      </c>
      <c r="F9" s="219">
        <f>D9*E9*1000000</f>
        <v>308426.5199275192</v>
      </c>
      <c r="G9" s="225">
        <f>'LCoP 2040 high'!E3</f>
        <v>1287.5758134311418</v>
      </c>
      <c r="H9" s="219">
        <f>G9*F9</f>
        <v>397122527.27941179</v>
      </c>
      <c r="I9" s="225">
        <f>'LCoP 2040 high'!H3</f>
        <v>0.4765356781563645</v>
      </c>
      <c r="L9" s="219">
        <f>I9*H9</f>
        <v>189243052.84826386</v>
      </c>
      <c r="M9" s="225">
        <f>'LCoP 2040 high'!F3</f>
        <v>0.20891973675955186</v>
      </c>
      <c r="O9" s="219">
        <f>M9*H9</f>
        <v>82966733.86050266</v>
      </c>
      <c r="P9" s="225">
        <f>'LCoP 2040 high'!G3</f>
        <v>0.31454458508408367</v>
      </c>
      <c r="R9" s="219">
        <f>P9*H9</f>
        <v>124912740.57064529</v>
      </c>
      <c r="S9" s="219">
        <f>L9+O9+R9</f>
        <v>397122527.27941179</v>
      </c>
    </row>
    <row r="10" spans="1:19" x14ac:dyDescent="0.35">
      <c r="C10">
        <f>C9/$C$8</f>
        <v>3.1159160036940966E-2</v>
      </c>
      <c r="E10" s="222"/>
      <c r="F10" s="154" t="s">
        <v>212</v>
      </c>
      <c r="G10" s="299">
        <f>(SUMIF($J$10:$J$12,F10,$L$10:$L$12)/$L$9)</f>
        <v>0.14619110774569274</v>
      </c>
      <c r="I10" s="104" t="s">
        <v>162</v>
      </c>
      <c r="J10" s="154" t="s">
        <v>212</v>
      </c>
      <c r="K10" s="2">
        <f>'Feedstock MIX per IVC'!N6</f>
        <v>89.699327851463124</v>
      </c>
      <c r="L10" s="1">
        <f>K10*F$9</f>
        <v>27665651.529064368</v>
      </c>
      <c r="M10" s="5" t="s">
        <v>245</v>
      </c>
      <c r="N10" s="285">
        <v>0.05</v>
      </c>
      <c r="O10" s="2">
        <f t="shared" ref="O10:O15" si="0">N10*O$9</f>
        <v>4148336.6930251331</v>
      </c>
      <c r="P10" s="18" t="s">
        <v>251</v>
      </c>
      <c r="Q10" s="285">
        <v>0.35</v>
      </c>
      <c r="R10" s="104">
        <f>Q10*R$9</f>
        <v>43719459.199725851</v>
      </c>
    </row>
    <row r="11" spans="1:19" x14ac:dyDescent="0.35">
      <c r="F11" s="158" t="s">
        <v>104</v>
      </c>
      <c r="G11" s="299">
        <f>(SUMIF($J$10:$J$12,F11,$L$10:$L$12)/$L$9)/2</f>
        <v>0.36286877920808047</v>
      </c>
      <c r="I11" s="233" t="s">
        <v>341</v>
      </c>
      <c r="J11" s="158" t="s">
        <v>104</v>
      </c>
      <c r="K11" s="6">
        <f>'Feedstock MIX per IVC'!$N$7*0.85</f>
        <v>445.29501274272678</v>
      </c>
      <c r="L11" s="1">
        <f t="shared" ref="L11:L12" si="1">K11*F$9</f>
        <v>137340791.12131953</v>
      </c>
      <c r="M11" t="s">
        <v>246</v>
      </c>
      <c r="N11" s="285">
        <v>0.02</v>
      </c>
      <c r="O11" s="2">
        <f t="shared" si="0"/>
        <v>1659334.6772100532</v>
      </c>
      <c r="P11" s="18" t="s">
        <v>210</v>
      </c>
      <c r="Q11" s="285">
        <v>0.25</v>
      </c>
      <c r="R11" s="104">
        <f t="shared" ref="R11:R14" si="2">Q11*R$9</f>
        <v>31228185.142661322</v>
      </c>
    </row>
    <row r="12" spans="1:19" x14ac:dyDescent="0.35">
      <c r="F12" s="259" t="s">
        <v>210</v>
      </c>
      <c r="G12" s="299">
        <f t="shared" ref="G12" si="3">(SUMIF($J$10:$J$12,F12,$L$10:$L$12)/$L$9)</f>
        <v>0.12807133383814606</v>
      </c>
      <c r="I12" s="234" t="s">
        <v>357</v>
      </c>
      <c r="J12" s="259" t="s">
        <v>210</v>
      </c>
      <c r="K12" s="6">
        <f>'Feedstock MIX per IVC'!$N$7*0.15</f>
        <v>78.581472836951789</v>
      </c>
      <c r="L12" s="1">
        <f t="shared" si="1"/>
        <v>24236610.197879918</v>
      </c>
      <c r="M12" s="5" t="s">
        <v>244</v>
      </c>
      <c r="N12" s="285">
        <v>0.45</v>
      </c>
      <c r="O12" s="2">
        <f t="shared" si="0"/>
        <v>37335030.237226196</v>
      </c>
      <c r="P12" s="18" t="s">
        <v>252</v>
      </c>
      <c r="Q12" s="285">
        <v>0.2</v>
      </c>
      <c r="R12" s="104">
        <f t="shared" si="2"/>
        <v>24982548.114129059</v>
      </c>
      <c r="S12" s="2"/>
    </row>
    <row r="13" spans="1:19" x14ac:dyDescent="0.35">
      <c r="F13" s="207" t="s">
        <v>426</v>
      </c>
      <c r="G13" s="299">
        <f>G11</f>
        <v>0.36286877920808047</v>
      </c>
      <c r="L13" s="2"/>
      <c r="M13" t="s">
        <v>247</v>
      </c>
      <c r="N13" s="285">
        <v>0.15</v>
      </c>
      <c r="O13" s="2">
        <f t="shared" si="0"/>
        <v>12445010.079075398</v>
      </c>
      <c r="P13" s="18" t="s">
        <v>253</v>
      </c>
      <c r="Q13" s="285">
        <v>0.15</v>
      </c>
      <c r="R13" s="104">
        <f t="shared" si="2"/>
        <v>18736911.085596792</v>
      </c>
    </row>
    <row r="14" spans="1:19" x14ac:dyDescent="0.35">
      <c r="F14"/>
      <c r="G14" s="2">
        <f>SUM(G10:G13)</f>
        <v>0.99999999999999978</v>
      </c>
      <c r="M14" t="s">
        <v>248</v>
      </c>
      <c r="N14" s="285">
        <v>0.3</v>
      </c>
      <c r="O14" s="2">
        <f t="shared" si="0"/>
        <v>24890020.158150796</v>
      </c>
      <c r="P14" s="18" t="s">
        <v>254</v>
      </c>
      <c r="Q14" s="285">
        <v>0.05</v>
      </c>
      <c r="R14" s="104">
        <f t="shared" si="2"/>
        <v>6245637.0285322648</v>
      </c>
    </row>
    <row r="15" spans="1:19" x14ac:dyDescent="0.35">
      <c r="F15" s="31"/>
      <c r="I15" t="s">
        <v>361</v>
      </c>
      <c r="L15" s="2">
        <f>SUM(L10:L12)</f>
        <v>189243052.8482638</v>
      </c>
      <c r="M15" t="s">
        <v>250</v>
      </c>
      <c r="N15" s="285">
        <v>0.03</v>
      </c>
      <c r="O15" s="2">
        <f t="shared" si="0"/>
        <v>2489002.0158150797</v>
      </c>
      <c r="P15" s="18"/>
      <c r="Q15" s="285"/>
      <c r="R15" s="104"/>
    </row>
    <row r="16" spans="1:19" s="218" customFormat="1" x14ac:dyDescent="0.35">
      <c r="A16" s="218" t="s">
        <v>356</v>
      </c>
      <c r="B16" s="218">
        <v>1750</v>
      </c>
      <c r="C16" s="220">
        <f>B16*F16</f>
        <v>10970197356.764629</v>
      </c>
      <c r="D16" s="225">
        <f>'[3]Scenario 2 2040'!$G$5</f>
        <v>6.5878977971262422</v>
      </c>
      <c r="E16" s="227">
        <f>'[2]Conversion factors selected IV '!$O$64</f>
        <v>0.95154545454545658</v>
      </c>
      <c r="F16" s="219">
        <f>D16*E16*1000000</f>
        <v>6268684.203865503</v>
      </c>
      <c r="G16" s="220">
        <f>'LCoP 2040 high'!E16</f>
        <v>2701.8567835155459</v>
      </c>
      <c r="H16" s="219">
        <f>G16*F16</f>
        <v>16937086939.930758</v>
      </c>
      <c r="I16" s="220">
        <f>'LCoP 2040 high'!H16</f>
        <v>0.11172197777366354</v>
      </c>
      <c r="L16" s="219">
        <f>I16*H16</f>
        <v>1892244850.6535511</v>
      </c>
      <c r="M16" s="220">
        <f>'LCoP 2040 high'!F16</f>
        <v>0.53481739254877336</v>
      </c>
      <c r="O16" s="219">
        <f>M16*H16</f>
        <v>9058248674.5856514</v>
      </c>
      <c r="P16" s="220">
        <f>'LCoP 2040 high'!G16</f>
        <v>0.35346062967756303</v>
      </c>
      <c r="R16" s="219">
        <f>P16*H16</f>
        <v>5986593414.691555</v>
      </c>
      <c r="S16" s="219">
        <f>L16+O16+R16</f>
        <v>16937086939.930758</v>
      </c>
    </row>
    <row r="17" spans="1:19" x14ac:dyDescent="0.35">
      <c r="C17">
        <f>C16/$C$8</f>
        <v>0.63330135934870735</v>
      </c>
      <c r="F17" s="154" t="s">
        <v>212</v>
      </c>
      <c r="G17" s="2">
        <f>SUMIF($J$17:$J$26,F17,$L$17:$L$26)/$L$16</f>
        <v>0.64066858333344701</v>
      </c>
      <c r="I17" s="5" t="s">
        <v>5</v>
      </c>
      <c r="J17" s="154" t="s">
        <v>212</v>
      </c>
      <c r="K17" s="6">
        <f>'Feedstock MIX per IVC'!N63</f>
        <v>146.67483552699636</v>
      </c>
      <c r="L17" s="2">
        <f>K17*F$16</f>
        <v>919458224.57265282</v>
      </c>
      <c r="M17" s="5" t="s">
        <v>245</v>
      </c>
      <c r="N17" s="35">
        <v>0</v>
      </c>
      <c r="O17" s="2">
        <f>N17*O$16</f>
        <v>0</v>
      </c>
      <c r="P17" s="18" t="s">
        <v>251</v>
      </c>
      <c r="Q17" s="35">
        <v>0.25</v>
      </c>
      <c r="R17" s="104">
        <f>Q17*R$16</f>
        <v>1496648353.6728888</v>
      </c>
    </row>
    <row r="18" spans="1:19" x14ac:dyDescent="0.35">
      <c r="F18" s="178" t="s">
        <v>256</v>
      </c>
      <c r="G18" s="2">
        <f t="shared" ref="G18:G21" si="4">SUMIF($J$17:$J$26,F18,$L$17:$L$26)/$L$16</f>
        <v>0.1332957836474849</v>
      </c>
      <c r="I18" s="5" t="s">
        <v>6</v>
      </c>
      <c r="J18" s="154" t="s">
        <v>212</v>
      </c>
      <c r="K18" s="6">
        <f>'Feedstock MIX per IVC'!N64</f>
        <v>7.5825679276511133</v>
      </c>
      <c r="L18" s="2">
        <f t="shared" ref="L18:L26" si="5">K18*F$16</f>
        <v>47532723.79280372</v>
      </c>
      <c r="M18" t="s">
        <v>246</v>
      </c>
      <c r="N18" s="35">
        <v>0.02</v>
      </c>
      <c r="O18" s="2">
        <f t="shared" ref="O18:O22" si="6">N18*O$16</f>
        <v>181164973.49171302</v>
      </c>
      <c r="P18" s="18" t="s">
        <v>210</v>
      </c>
      <c r="Q18" s="35">
        <v>0.15</v>
      </c>
      <c r="R18" s="104">
        <f t="shared" ref="R18:R21" si="7">Q18*R$16</f>
        <v>897989012.20373321</v>
      </c>
    </row>
    <row r="19" spans="1:19" x14ac:dyDescent="0.35">
      <c r="F19" s="156" t="s">
        <v>209</v>
      </c>
      <c r="G19" s="2">
        <f t="shared" si="4"/>
        <v>0.16671286597160764</v>
      </c>
      <c r="I19" s="5" t="s">
        <v>23</v>
      </c>
      <c r="J19" s="159" t="s">
        <v>213</v>
      </c>
      <c r="K19" s="6">
        <f>'Feedstock MIX per IVC'!N65</f>
        <v>0</v>
      </c>
      <c r="L19" s="2">
        <f t="shared" si="5"/>
        <v>0</v>
      </c>
      <c r="M19" s="5" t="s">
        <v>244</v>
      </c>
      <c r="N19" s="35">
        <v>0.55000000000000004</v>
      </c>
      <c r="O19" s="2">
        <f t="shared" si="6"/>
        <v>4982036771.022109</v>
      </c>
      <c r="P19" s="18" t="s">
        <v>252</v>
      </c>
      <c r="Q19" s="35">
        <v>0.3</v>
      </c>
      <c r="R19" s="104">
        <f t="shared" si="7"/>
        <v>1795978024.4074664</v>
      </c>
    </row>
    <row r="20" spans="1:19" x14ac:dyDescent="0.35">
      <c r="F20" s="157" t="s">
        <v>211</v>
      </c>
      <c r="G20" s="2">
        <f t="shared" si="4"/>
        <v>1.2073595947479102E-2</v>
      </c>
      <c r="I20" s="5" t="s">
        <v>7</v>
      </c>
      <c r="J20" s="157" t="s">
        <v>211</v>
      </c>
      <c r="K20" s="6">
        <f>'Feedstock MIX per IVC'!N66</f>
        <v>3.6444968381723708</v>
      </c>
      <c r="L20" s="2">
        <f t="shared" si="5"/>
        <v>22846199.760488912</v>
      </c>
      <c r="M20" t="s">
        <v>247</v>
      </c>
      <c r="N20" s="35">
        <v>0.1</v>
      </c>
      <c r="O20" s="2">
        <f t="shared" si="6"/>
        <v>905824867.45856524</v>
      </c>
      <c r="P20" s="18" t="s">
        <v>253</v>
      </c>
      <c r="Q20" s="35">
        <v>0.3</v>
      </c>
      <c r="R20" s="104">
        <f t="shared" si="7"/>
        <v>1795978024.4074664</v>
      </c>
    </row>
    <row r="21" spans="1:19" x14ac:dyDescent="0.35">
      <c r="F21" s="159" t="s">
        <v>213</v>
      </c>
      <c r="G21" s="2">
        <f t="shared" si="4"/>
        <v>0</v>
      </c>
      <c r="I21" s="5" t="s">
        <v>8</v>
      </c>
      <c r="J21" s="154" t="s">
        <v>212</v>
      </c>
      <c r="K21" s="6">
        <f>'Feedstock MIX per IVC'!N67</f>
        <v>30.968989815063541</v>
      </c>
      <c r="L21" s="2">
        <f t="shared" si="5"/>
        <v>194134817.26336047</v>
      </c>
      <c r="M21" t="s">
        <v>248</v>
      </c>
      <c r="N21" s="35">
        <v>0.3</v>
      </c>
      <c r="O21" s="2">
        <f t="shared" si="6"/>
        <v>2717474602.3756952</v>
      </c>
      <c r="P21" s="18" t="s">
        <v>254</v>
      </c>
      <c r="Q21" s="240">
        <v>0</v>
      </c>
      <c r="R21" s="104">
        <f t="shared" si="7"/>
        <v>0</v>
      </c>
    </row>
    <row r="22" spans="1:19" x14ac:dyDescent="0.35">
      <c r="F22" s="158" t="s">
        <v>104</v>
      </c>
      <c r="G22" s="2">
        <f>SUMIF($J$17:$J$26,F22,$L$17:$L$26)/$L$16/2</f>
        <v>2.3624585549990723E-2</v>
      </c>
      <c r="I22" s="5" t="s">
        <v>9</v>
      </c>
      <c r="J22" s="154" t="s">
        <v>212</v>
      </c>
      <c r="K22" s="6">
        <f>'Feedstock MIX per IVC'!N68</f>
        <v>8.1637645947847499</v>
      </c>
      <c r="L22" s="2">
        <f t="shared" si="5"/>
        <v>51176062.159403622</v>
      </c>
      <c r="M22" t="s">
        <v>250</v>
      </c>
      <c r="N22" s="35">
        <v>0.03</v>
      </c>
      <c r="O22" s="2">
        <f t="shared" si="6"/>
        <v>271747460.23756951</v>
      </c>
      <c r="R22" s="104"/>
    </row>
    <row r="23" spans="1:19" x14ac:dyDescent="0.35">
      <c r="F23" s="207" t="s">
        <v>426</v>
      </c>
      <c r="G23" s="2">
        <f>G22</f>
        <v>2.3624585549990723E-2</v>
      </c>
      <c r="I23" s="5" t="s">
        <v>10</v>
      </c>
      <c r="J23" s="178" t="s">
        <v>256</v>
      </c>
      <c r="K23" s="6">
        <f>'Feedstock MIX per IVC'!N69</f>
        <v>40.236236508013889</v>
      </c>
      <c r="L23" s="2">
        <f t="shared" si="5"/>
        <v>252228260.22078311</v>
      </c>
      <c r="N23" s="123"/>
      <c r="O23" s="2"/>
      <c r="P23" s="18"/>
      <c r="Q23" s="123"/>
      <c r="R23" s="2"/>
    </row>
    <row r="24" spans="1:19" x14ac:dyDescent="0.35">
      <c r="F24"/>
      <c r="G24" s="2">
        <f>SUM(G17:G23)</f>
        <v>1.0000000000000002</v>
      </c>
      <c r="I24" s="5" t="s">
        <v>11</v>
      </c>
      <c r="J24" s="156" t="s">
        <v>209</v>
      </c>
      <c r="K24" s="6">
        <f>'Feedstock MIX per IVC'!N70</f>
        <v>50.323409492847787</v>
      </c>
      <c r="L24" s="2">
        <f t="shared" si="5"/>
        <v>315461562.17247021</v>
      </c>
      <c r="N24" s="123"/>
      <c r="O24" s="2"/>
      <c r="P24" s="18"/>
      <c r="Q24" s="123"/>
      <c r="R24" s="104"/>
    </row>
    <row r="25" spans="1:19" x14ac:dyDescent="0.35">
      <c r="F25" s="31"/>
      <c r="I25" s="5" t="s">
        <v>12</v>
      </c>
      <c r="J25" s="159" t="s">
        <v>213</v>
      </c>
      <c r="K25" s="6">
        <f>'Feedstock MIX per IVC'!N71</f>
        <v>0</v>
      </c>
      <c r="L25" s="2">
        <f t="shared" si="5"/>
        <v>0</v>
      </c>
      <c r="M25" s="2"/>
      <c r="N25" s="123"/>
      <c r="O25" s="2"/>
      <c r="P25" s="18"/>
      <c r="Q25" s="123"/>
      <c r="R25" s="104"/>
    </row>
    <row r="26" spans="1:19" x14ac:dyDescent="0.35">
      <c r="F26" s="31"/>
      <c r="I26" s="13" t="s">
        <v>33</v>
      </c>
      <c r="J26" s="158" t="s">
        <v>104</v>
      </c>
      <c r="K26" s="6">
        <f>'Feedstock MIX per IVC'!N72</f>
        <v>14.262482812016085</v>
      </c>
      <c r="L26" s="2">
        <f t="shared" si="5"/>
        <v>89407000.711588472</v>
      </c>
      <c r="N26" s="123"/>
      <c r="O26" s="2"/>
      <c r="P26" s="18"/>
      <c r="Q26" s="123"/>
      <c r="R26" s="104"/>
    </row>
    <row r="27" spans="1:19" x14ac:dyDescent="0.35">
      <c r="F27" s="31"/>
      <c r="L27" s="2">
        <f>SUM(L17:L26)</f>
        <v>1892244850.6535511</v>
      </c>
      <c r="N27" s="123"/>
      <c r="O27" s="2"/>
      <c r="P27" s="18"/>
      <c r="Q27" s="123"/>
      <c r="R27" s="104"/>
    </row>
    <row r="28" spans="1:19" s="218" customFormat="1" x14ac:dyDescent="0.35">
      <c r="A28" s="218" t="s">
        <v>335</v>
      </c>
      <c r="B28" s="218">
        <v>1750</v>
      </c>
      <c r="C28" s="219">
        <f>B28*F28</f>
        <v>5812294998.2473469</v>
      </c>
      <c r="D28" s="220">
        <f>'[3]Scenario 2 2040'!$G$6</f>
        <v>3.3213114275699125</v>
      </c>
      <c r="E28" s="218">
        <f>'[2]Conversion factors selected IV '!$O$89</f>
        <v>1</v>
      </c>
      <c r="F28" s="219">
        <f>D28*E28*1000000</f>
        <v>3321311.4275699123</v>
      </c>
      <c r="G28" s="225">
        <f>'LCoP 2040 high'!E20</f>
        <v>1599.9201760212559</v>
      </c>
      <c r="H28" s="220">
        <f>G28*F28</f>
        <v>5313833163.8190632</v>
      </c>
      <c r="I28" s="225">
        <f>'LCoP 2040 high'!H20</f>
        <v>0.13308174945999757</v>
      </c>
      <c r="L28" s="219">
        <f>I28*H28</f>
        <v>707174213.77959478</v>
      </c>
      <c r="M28" s="225">
        <f>'LCoP 2040 high'!F20</f>
        <v>0.50315010215191203</v>
      </c>
      <c r="O28" s="219">
        <f>M28*H28</f>
        <v>2673655699.1937795</v>
      </c>
      <c r="P28" s="225">
        <f>'LCoP 2040 high'!G20</f>
        <v>0.36376814838809046</v>
      </c>
      <c r="R28" s="219">
        <f>P28*H28</f>
        <v>1933003250.8456893</v>
      </c>
      <c r="S28" s="219">
        <f>L28+O28+R28</f>
        <v>5313833163.8190632</v>
      </c>
    </row>
    <row r="29" spans="1:19" x14ac:dyDescent="0.35">
      <c r="C29">
        <f>C28/$C$8</f>
        <v>0.33553948061435168</v>
      </c>
      <c r="D29" s="2"/>
      <c r="F29" s="154" t="s">
        <v>212</v>
      </c>
      <c r="G29" s="6">
        <f>SUMIF($J$29:$J$36,F29,$L$29:$L$36)/$L$28</f>
        <v>0.65772979560943412</v>
      </c>
      <c r="H29" s="209" t="s">
        <v>292</v>
      </c>
      <c r="I29" s="12" t="s">
        <v>5</v>
      </c>
      <c r="J29" s="154" t="s">
        <v>212</v>
      </c>
      <c r="K29" s="6">
        <f>'Feedstock MIX per IVC'!N89</f>
        <v>106.04136131997335</v>
      </c>
      <c r="L29" s="2">
        <f>K29*F$28</f>
        <v>352196385.14709753</v>
      </c>
      <c r="M29" s="5" t="s">
        <v>245</v>
      </c>
      <c r="N29" s="174">
        <v>0.15</v>
      </c>
      <c r="O29" s="2">
        <f>N29*O$28</f>
        <v>401048354.87906688</v>
      </c>
      <c r="P29" s="18" t="s">
        <v>251</v>
      </c>
      <c r="Q29" s="123">
        <v>0.15</v>
      </c>
      <c r="R29" s="2">
        <f>Q29*R$28</f>
        <v>289950487.62685341</v>
      </c>
    </row>
    <row r="30" spans="1:19" x14ac:dyDescent="0.35">
      <c r="D30" s="2"/>
      <c r="F30" s="178" t="s">
        <v>256</v>
      </c>
      <c r="G30" s="6">
        <f t="shared" ref="G30:G33" si="8">SUMIF($J$29:$J$36,F30,$L$29:$L$36)/$L$28</f>
        <v>0.14655986558526973</v>
      </c>
      <c r="H30" s="209" t="s">
        <v>292</v>
      </c>
      <c r="I30" s="12" t="s">
        <v>6</v>
      </c>
      <c r="J30" s="154" t="s">
        <v>212</v>
      </c>
      <c r="K30" s="6">
        <f>'Feedstock MIX per IVC'!N90</f>
        <v>5.4811901407983816</v>
      </c>
      <c r="L30" s="2">
        <f t="shared" ref="L30:L36" si="9">K30*F$28</f>
        <v>18204739.451317202</v>
      </c>
      <c r="M30" t="s">
        <v>246</v>
      </c>
      <c r="N30" s="35">
        <v>0.02</v>
      </c>
      <c r="O30" s="2">
        <f t="shared" ref="O30:O34" si="10">N30*O$28</f>
        <v>53473113.983875588</v>
      </c>
      <c r="P30" s="18" t="s">
        <v>210</v>
      </c>
      <c r="Q30" s="123">
        <v>0.25</v>
      </c>
      <c r="R30" s="2">
        <f t="shared" ref="R30:R33" si="11">Q30*R$28</f>
        <v>483250812.71142232</v>
      </c>
    </row>
    <row r="31" spans="1:19" x14ac:dyDescent="0.35">
      <c r="D31" s="2"/>
      <c r="F31" s="156" t="s">
        <v>209</v>
      </c>
      <c r="G31" s="6">
        <f t="shared" si="8"/>
        <v>0.18334545300920693</v>
      </c>
      <c r="H31" s="209" t="s">
        <v>292</v>
      </c>
      <c r="I31" s="12" t="s">
        <v>7</v>
      </c>
      <c r="J31" s="157" t="s">
        <v>211</v>
      </c>
      <c r="K31" s="6">
        <f>'Feedstock MIX per IVC'!N91</f>
        <v>2.6327336601860338</v>
      </c>
      <c r="L31" s="2">
        <f t="shared" si="9"/>
        <v>8744128.3913238365</v>
      </c>
      <c r="M31" s="5" t="s">
        <v>244</v>
      </c>
      <c r="N31" s="174">
        <v>0.45</v>
      </c>
      <c r="O31" s="2">
        <f t="shared" si="10"/>
        <v>1203145064.6372008</v>
      </c>
      <c r="P31" s="18" t="s">
        <v>252</v>
      </c>
      <c r="Q31" s="123">
        <v>0.2</v>
      </c>
      <c r="R31" s="2">
        <f t="shared" si="11"/>
        <v>386600650.1691379</v>
      </c>
    </row>
    <row r="32" spans="1:19" x14ac:dyDescent="0.35">
      <c r="D32" s="2"/>
      <c r="F32" s="157" t="s">
        <v>211</v>
      </c>
      <c r="G32" s="6">
        <f t="shared" si="8"/>
        <v>1.2364885796089168E-2</v>
      </c>
      <c r="H32" s="209" t="s">
        <v>292</v>
      </c>
      <c r="I32" s="12" t="s">
        <v>8</v>
      </c>
      <c r="J32" s="154" t="s">
        <v>212</v>
      </c>
      <c r="K32" s="6">
        <f>'Feedstock MIX per IVC'!N92</f>
        <v>22.593373092924249</v>
      </c>
      <c r="L32" s="2">
        <f t="shared" si="9"/>
        <v>75039628.240879878</v>
      </c>
      <c r="M32" t="s">
        <v>247</v>
      </c>
      <c r="N32" s="35">
        <v>0.1</v>
      </c>
      <c r="O32" s="2">
        <f t="shared" si="10"/>
        <v>267365569.91937795</v>
      </c>
      <c r="P32" s="18" t="s">
        <v>253</v>
      </c>
      <c r="Q32" s="123">
        <v>0.3</v>
      </c>
      <c r="R32" s="2">
        <f t="shared" si="11"/>
        <v>579900975.25370681</v>
      </c>
      <c r="S32" s="2"/>
    </row>
    <row r="33" spans="1:19" x14ac:dyDescent="0.35">
      <c r="D33" s="2"/>
      <c r="F33" s="159" t="s">
        <v>213</v>
      </c>
      <c r="G33" s="6">
        <f t="shared" si="8"/>
        <v>0</v>
      </c>
      <c r="H33" s="209" t="s">
        <v>292</v>
      </c>
      <c r="I33" s="12" t="s">
        <v>9</v>
      </c>
      <c r="J33" s="154" t="s">
        <v>212</v>
      </c>
      <c r="K33" s="6">
        <f>'Feedstock MIX per IVC'!N93</f>
        <v>5.9280193018894751</v>
      </c>
      <c r="L33" s="2">
        <f t="shared" si="9"/>
        <v>19688798.250220526</v>
      </c>
      <c r="M33" t="s">
        <v>248</v>
      </c>
      <c r="N33" s="35">
        <v>0.25</v>
      </c>
      <c r="O33" s="2">
        <f t="shared" si="10"/>
        <v>668413924.79844487</v>
      </c>
      <c r="P33" s="18" t="s">
        <v>254</v>
      </c>
      <c r="Q33" s="123">
        <v>0.1</v>
      </c>
      <c r="R33" s="2">
        <f t="shared" si="11"/>
        <v>193300325.08456895</v>
      </c>
    </row>
    <row r="34" spans="1:19" x14ac:dyDescent="0.35">
      <c r="D34" s="2"/>
      <c r="F34" s="31"/>
      <c r="G34" s="6">
        <f>SUM(G29:G33)</f>
        <v>1</v>
      </c>
      <c r="H34" s="209" t="s">
        <v>292</v>
      </c>
      <c r="I34" s="12" t="s">
        <v>10</v>
      </c>
      <c r="J34" s="178" t="s">
        <v>256</v>
      </c>
      <c r="K34" s="6">
        <f>'Feedstock MIX per IVC'!N94</f>
        <v>31.205552378067249</v>
      </c>
      <c r="L34" s="2">
        <f t="shared" si="9"/>
        <v>103643357.7169062</v>
      </c>
      <c r="M34" t="s">
        <v>250</v>
      </c>
      <c r="N34" s="35">
        <v>0.03</v>
      </c>
      <c r="O34" s="2">
        <f t="shared" si="10"/>
        <v>80209670.975813374</v>
      </c>
      <c r="P34" s="18"/>
      <c r="Q34" s="123">
        <f>SUM(Q29:Q33)</f>
        <v>1.0000000000000002</v>
      </c>
      <c r="R34" s="2"/>
    </row>
    <row r="35" spans="1:19" x14ac:dyDescent="0.35">
      <c r="D35" s="2"/>
      <c r="F35" s="31"/>
      <c r="G35" s="6"/>
      <c r="H35" s="209" t="s">
        <v>292</v>
      </c>
      <c r="I35" s="12" t="s">
        <v>11</v>
      </c>
      <c r="J35" s="156" t="s">
        <v>209</v>
      </c>
      <c r="K35" s="6">
        <f>'Feedstock MIX per IVC'!N95</f>
        <v>39.037946127417257</v>
      </c>
      <c r="L35" s="2">
        <f t="shared" si="9"/>
        <v>129657176.58184955</v>
      </c>
    </row>
    <row r="36" spans="1:19" x14ac:dyDescent="0.35">
      <c r="D36" s="2"/>
      <c r="F36" s="31"/>
      <c r="G36" s="6"/>
      <c r="H36" s="209" t="s">
        <v>292</v>
      </c>
      <c r="I36" s="12" t="s">
        <v>12</v>
      </c>
      <c r="J36" s="159" t="s">
        <v>213</v>
      </c>
      <c r="K36" s="6">
        <f>'Feedstock MIX per IVC'!N96</f>
        <v>0</v>
      </c>
      <c r="L36" s="2">
        <f t="shared" si="9"/>
        <v>0</v>
      </c>
      <c r="M36" s="2"/>
    </row>
    <row r="37" spans="1:19" x14ac:dyDescent="0.35">
      <c r="D37" s="6"/>
      <c r="E37" s="6"/>
      <c r="F37" s="31"/>
      <c r="G37" s="6"/>
      <c r="H37" s="6"/>
      <c r="I37" s="6"/>
      <c r="J37" s="6"/>
      <c r="K37" s="6"/>
    </row>
    <row r="38" spans="1:19" x14ac:dyDescent="0.35">
      <c r="D38" s="6"/>
      <c r="E38" s="6"/>
      <c r="F38" s="31"/>
      <c r="G38" s="6"/>
      <c r="H38" s="6"/>
      <c r="I38" s="229" t="s">
        <v>321</v>
      </c>
      <c r="J38" s="6"/>
      <c r="K38" s="6"/>
      <c r="L38" s="2"/>
      <c r="M38" s="80" t="s">
        <v>214</v>
      </c>
      <c r="O38" s="92" t="e">
        <f>SUM(O39:O44)</f>
        <v>#REF!</v>
      </c>
      <c r="P38" s="80" t="s">
        <v>214</v>
      </c>
      <c r="Q38" s="80"/>
      <c r="R38" s="92" t="e">
        <f>SUM(R39:R43)</f>
        <v>#REF!</v>
      </c>
    </row>
    <row r="39" spans="1:19" x14ac:dyDescent="0.35">
      <c r="D39" s="6"/>
      <c r="E39" s="6"/>
      <c r="F39" s="31"/>
      <c r="G39" s="6"/>
      <c r="H39" s="6"/>
      <c r="I39" s="6"/>
      <c r="J39" s="154" t="s">
        <v>212</v>
      </c>
      <c r="K39" s="6"/>
      <c r="L39" s="2">
        <f ca="1">SUMIF($J$8:$J$36,J39,$L$10:$L$36)</f>
        <v>931856923.28258157</v>
      </c>
      <c r="M39" s="5" t="s">
        <v>245</v>
      </c>
      <c r="O39" s="2" t="e">
        <f>#REF!+O10+#REF!+O29</f>
        <v>#REF!</v>
      </c>
      <c r="P39" s="18" t="s">
        <v>251</v>
      </c>
      <c r="R39" s="2" t="e">
        <f>#REF!+R10+R29+#REF!</f>
        <v>#REF!</v>
      </c>
    </row>
    <row r="40" spans="1:19" x14ac:dyDescent="0.35">
      <c r="D40" s="6"/>
      <c r="E40" s="6"/>
      <c r="F40" s="31"/>
      <c r="G40" s="6"/>
      <c r="H40" s="6"/>
      <c r="I40" s="6"/>
      <c r="J40" s="178" t="s">
        <v>256</v>
      </c>
      <c r="K40" s="6"/>
      <c r="L40" s="2">
        <f t="shared" ref="L40:L43" ca="1" si="12">SUMIF($J$8:$J$36,J40,$L$10:$L$36)</f>
        <v>0</v>
      </c>
      <c r="M40" t="s">
        <v>246</v>
      </c>
      <c r="O40" s="2" t="e">
        <f>#REF!+O11+#REF!+O30</f>
        <v>#REF!</v>
      </c>
      <c r="P40" s="18" t="s">
        <v>210</v>
      </c>
      <c r="R40" s="2" t="e">
        <f>#REF!+R11+R30+#REF!</f>
        <v>#REF!</v>
      </c>
    </row>
    <row r="41" spans="1:19" x14ac:dyDescent="0.35">
      <c r="D41" s="6"/>
      <c r="E41" s="6"/>
      <c r="F41" s="31"/>
      <c r="G41" s="6"/>
      <c r="H41" s="6"/>
      <c r="I41" s="6"/>
      <c r="J41" s="156" t="s">
        <v>209</v>
      </c>
      <c r="K41" s="6"/>
      <c r="L41" s="2">
        <f t="shared" ca="1" si="12"/>
        <v>89407000.711588472</v>
      </c>
      <c r="M41" s="5" t="s">
        <v>244</v>
      </c>
      <c r="O41" s="2" t="e">
        <f>#REF!+O12+#REF!+O31</f>
        <v>#REF!</v>
      </c>
      <c r="P41" s="18" t="s">
        <v>252</v>
      </c>
      <c r="R41" s="2" t="e">
        <f>#REF!+R12+R31+#REF!</f>
        <v>#REF!</v>
      </c>
    </row>
    <row r="42" spans="1:19" x14ac:dyDescent="0.35">
      <c r="D42" s="6"/>
      <c r="E42" s="6"/>
      <c r="F42" s="31"/>
      <c r="G42" s="6"/>
      <c r="H42" s="6"/>
      <c r="I42" s="6"/>
      <c r="J42" s="157" t="s">
        <v>211</v>
      </c>
      <c r="K42" s="6"/>
      <c r="L42" s="2">
        <f t="shared" ca="1" si="12"/>
        <v>70864860.409624144</v>
      </c>
      <c r="M42" t="s">
        <v>247</v>
      </c>
      <c r="O42" s="2" t="e">
        <f>#REF!+O13+#REF!+O32</f>
        <v>#REF!</v>
      </c>
      <c r="P42" s="18" t="s">
        <v>253</v>
      </c>
      <c r="R42" s="2" t="e">
        <f>#REF!+R13+R32+#REF!</f>
        <v>#REF!</v>
      </c>
    </row>
    <row r="43" spans="1:19" x14ac:dyDescent="0.35">
      <c r="D43" s="6"/>
      <c r="E43" s="6"/>
      <c r="F43" s="31"/>
      <c r="G43" s="6"/>
      <c r="H43" s="6"/>
      <c r="I43" s="6"/>
      <c r="J43" s="159" t="s">
        <v>213</v>
      </c>
      <c r="K43" s="6"/>
      <c r="L43" s="2">
        <f t="shared" ca="1" si="12"/>
        <v>2086379667.9169116</v>
      </c>
      <c r="M43" t="s">
        <v>248</v>
      </c>
      <c r="O43" s="2" t="e">
        <f>#REF!+O14+#REF!+O33</f>
        <v>#REF!</v>
      </c>
      <c r="P43" s="18" t="s">
        <v>254</v>
      </c>
      <c r="R43" s="2" t="e">
        <f>#REF!+R14+R33+#REF!</f>
        <v>#REF!</v>
      </c>
    </row>
    <row r="44" spans="1:19" x14ac:dyDescent="0.35">
      <c r="D44" s="6"/>
      <c r="E44" s="6"/>
      <c r="F44" s="31"/>
      <c r="G44" s="6"/>
      <c r="H44" s="6"/>
      <c r="I44" s="229"/>
      <c r="J44" s="158" t="s">
        <v>104</v>
      </c>
      <c r="K44" s="6"/>
      <c r="L44" s="2">
        <f ca="1">SUMIF($J$8:$J$36,J44,$L$10:$L$36)/2</f>
        <v>353587106.88979739</v>
      </c>
      <c r="M44" t="s">
        <v>250</v>
      </c>
      <c r="O44" s="2" t="e">
        <f>#REF!+O15+#REF!+O34</f>
        <v>#REF!</v>
      </c>
    </row>
    <row r="45" spans="1:19" x14ac:dyDescent="0.35">
      <c r="D45" s="6"/>
      <c r="E45" s="6"/>
      <c r="F45" s="31"/>
      <c r="G45" s="6"/>
      <c r="J45" s="207" t="s">
        <v>426</v>
      </c>
      <c r="L45" s="2">
        <f ca="1">L44</f>
        <v>353587106.88979739</v>
      </c>
    </row>
    <row r="46" spans="1:19" s="93" customFormat="1" ht="41" customHeight="1" x14ac:dyDescent="0.35">
      <c r="A46" s="93" t="s">
        <v>105</v>
      </c>
      <c r="F46" s="176"/>
    </row>
    <row r="47" spans="1:19" ht="17.5" customHeight="1" x14ac:dyDescent="0.35">
      <c r="C47" s="2">
        <f>C48+C55+C62+C71</f>
        <v>5775324475.3820753</v>
      </c>
      <c r="D47" s="2">
        <f>D48+D55+D62+D71</f>
        <v>3.8591973513047853</v>
      </c>
      <c r="F47" s="2">
        <f>F48+F55+F62+F71</f>
        <v>4910164.4803829761</v>
      </c>
      <c r="L47" s="2">
        <f>L48+L55+L62+L71</f>
        <v>1361945115.3410683</v>
      </c>
      <c r="O47" s="2">
        <f>O48+O55+O62+O71</f>
        <v>2683348249.6031442</v>
      </c>
      <c r="R47" s="2">
        <f>R48+R55+R62+R71</f>
        <v>2740935966.6604085</v>
      </c>
    </row>
    <row r="48" spans="1:19" s="218" customFormat="1" ht="17.5" customHeight="1" x14ac:dyDescent="0.35">
      <c r="A48" s="218" t="s">
        <v>337</v>
      </c>
      <c r="B48" s="218">
        <v>1000</v>
      </c>
      <c r="C48" s="219">
        <f>B48*F48</f>
        <v>1479751538.8836994</v>
      </c>
      <c r="D48" s="220">
        <f>'[3]Scenario 2 2040'!$G$8</f>
        <v>0.95426797434460386</v>
      </c>
      <c r="E48" s="227">
        <f>'[2]Conversion factors selected IV '!$O$17</f>
        <v>1.5506666666666669</v>
      </c>
      <c r="F48" s="219">
        <f>D48*E48*1000000</f>
        <v>1479751.5388836993</v>
      </c>
      <c r="G48" s="225">
        <f>'LCoP 2040 high'!E5</f>
        <v>1393.3392345808438</v>
      </c>
      <c r="H48" s="220">
        <f>G48*F48</f>
        <v>2061795876.5580394</v>
      </c>
      <c r="I48" s="225">
        <f>'LCoP 2040 high'!H5</f>
        <v>0.23134296844645494</v>
      </c>
      <c r="L48" s="219">
        <f>I48*H48</f>
        <v>476981978.4135974</v>
      </c>
      <c r="M48" s="225">
        <f>'LCoP 2040 high'!F5</f>
        <v>0.39832367181346173</v>
      </c>
      <c r="O48" s="219">
        <f>M48*H48</f>
        <v>821262104.08045316</v>
      </c>
      <c r="P48" s="225">
        <f>'LCoP 2040 high'!G5</f>
        <v>0.37033335974008336</v>
      </c>
      <c r="R48" s="219">
        <f>P48*H48</f>
        <v>763551794.06398892</v>
      </c>
      <c r="S48" s="220">
        <f>R48+O48+L48</f>
        <v>2061795876.5580394</v>
      </c>
    </row>
    <row r="49" spans="1:19" ht="15" customHeight="1" x14ac:dyDescent="0.35">
      <c r="C49">
        <f>C48/$C$47</f>
        <v>0.25621963669596315</v>
      </c>
      <c r="F49" s="154" t="s">
        <v>212</v>
      </c>
      <c r="G49" s="6">
        <f>SUMIF($J$49:$J$52,F49,$L$49:$L$52)/$L$48</f>
        <v>0.81809464449449787</v>
      </c>
      <c r="H49" s="209" t="s">
        <v>292</v>
      </c>
      <c r="I49" s="7" t="s">
        <v>5</v>
      </c>
      <c r="J49" s="154" t="s">
        <v>212</v>
      </c>
      <c r="K49" s="6">
        <f>'Feedstock MIX per IVC'!N13</f>
        <v>208.53498446406471</v>
      </c>
      <c r="L49">
        <f>K49*F$48</f>
        <v>308579964.1717881</v>
      </c>
      <c r="M49" s="5" t="s">
        <v>245</v>
      </c>
      <c r="N49" s="35">
        <v>0</v>
      </c>
      <c r="O49" s="2">
        <f>N49*O$48</f>
        <v>0</v>
      </c>
      <c r="P49" s="18" t="s">
        <v>251</v>
      </c>
      <c r="Q49" s="35">
        <v>0.2</v>
      </c>
      <c r="R49" s="2">
        <f>Q49*R$48</f>
        <v>152710358.81279778</v>
      </c>
    </row>
    <row r="50" spans="1:19" ht="15" customHeight="1" x14ac:dyDescent="0.35">
      <c r="F50" s="156" t="s">
        <v>209</v>
      </c>
      <c r="G50" s="6">
        <f>SUMIF($J$49:$J$52,F50,$L$49:$L$52)/$L$48</f>
        <v>0.18190535550550216</v>
      </c>
      <c r="H50" s="209" t="s">
        <v>292</v>
      </c>
      <c r="I50" s="7" t="s">
        <v>8</v>
      </c>
      <c r="J50" s="154" t="s">
        <v>212</v>
      </c>
      <c r="K50" s="6">
        <f>'Feedstock MIX per IVC'!N14</f>
        <v>43.614908218878313</v>
      </c>
      <c r="L50">
        <f t="shared" ref="L50:L52" si="13">K50*F$48</f>
        <v>64539227.555156492</v>
      </c>
      <c r="M50" t="s">
        <v>246</v>
      </c>
      <c r="N50" s="35">
        <v>0.02</v>
      </c>
      <c r="O50" s="2">
        <f t="shared" ref="O50:O54" si="14">N50*O$48</f>
        <v>16425242.081609063</v>
      </c>
      <c r="P50" s="18" t="s">
        <v>210</v>
      </c>
      <c r="Q50" s="35">
        <v>0.5</v>
      </c>
      <c r="R50" s="2">
        <f t="shared" ref="R50:R53" si="15">Q50*R$48</f>
        <v>381775897.03199446</v>
      </c>
    </row>
    <row r="51" spans="1:19" ht="15" customHeight="1" x14ac:dyDescent="0.35">
      <c r="F51" s="31"/>
      <c r="H51" s="209" t="s">
        <v>292</v>
      </c>
      <c r="I51" s="7" t="s">
        <v>9</v>
      </c>
      <c r="J51" s="154" t="s">
        <v>212</v>
      </c>
      <c r="K51" s="6">
        <f>'Feedstock MIX per IVC'!N15</f>
        <v>11.554108838100944</v>
      </c>
      <c r="L51">
        <f t="shared" si="13"/>
        <v>17097210.333609626</v>
      </c>
      <c r="M51" s="5" t="s">
        <v>244</v>
      </c>
      <c r="N51" s="35">
        <v>0.5</v>
      </c>
      <c r="O51" s="2">
        <f t="shared" si="14"/>
        <v>410631052.04022658</v>
      </c>
      <c r="P51" s="18" t="s">
        <v>252</v>
      </c>
      <c r="Q51" s="35">
        <v>0.15</v>
      </c>
      <c r="R51" s="2">
        <f t="shared" si="15"/>
        <v>114532769.10959834</v>
      </c>
    </row>
    <row r="52" spans="1:19" ht="15" customHeight="1" x14ac:dyDescent="0.35">
      <c r="F52" s="31"/>
      <c r="H52" s="209" t="s">
        <v>292</v>
      </c>
      <c r="I52" s="7" t="s">
        <v>11</v>
      </c>
      <c r="J52" s="156" t="s">
        <v>209</v>
      </c>
      <c r="K52" s="6">
        <f>'Feedstock MIX per IVC'!N16</f>
        <v>58.635233059799859</v>
      </c>
      <c r="L52">
        <f t="shared" si="13"/>
        <v>86765576.353043199</v>
      </c>
      <c r="M52" t="s">
        <v>247</v>
      </c>
      <c r="N52" s="35">
        <v>0.15</v>
      </c>
      <c r="O52" s="2">
        <f t="shared" si="14"/>
        <v>123189315.61206797</v>
      </c>
      <c r="P52" s="18" t="s">
        <v>253</v>
      </c>
      <c r="Q52" s="35">
        <v>0.1</v>
      </c>
      <c r="R52" s="2">
        <f t="shared" si="15"/>
        <v>76355179.406398892</v>
      </c>
    </row>
    <row r="53" spans="1:19" ht="15" customHeight="1" x14ac:dyDescent="0.35">
      <c r="F53" s="31"/>
      <c r="M53" t="s">
        <v>248</v>
      </c>
      <c r="N53" s="35">
        <v>0.3</v>
      </c>
      <c r="O53" s="2">
        <f t="shared" si="14"/>
        <v>246378631.22413594</v>
      </c>
      <c r="P53" s="18" t="s">
        <v>254</v>
      </c>
      <c r="Q53" s="35">
        <v>0.05</v>
      </c>
      <c r="R53" s="2">
        <f t="shared" si="15"/>
        <v>38177589.703199446</v>
      </c>
    </row>
    <row r="54" spans="1:19" ht="15" customHeight="1" x14ac:dyDescent="0.35">
      <c r="F54" s="31"/>
      <c r="M54" t="s">
        <v>250</v>
      </c>
      <c r="N54" s="35">
        <v>0.03</v>
      </c>
      <c r="O54" s="2">
        <f t="shared" si="14"/>
        <v>24637863.122413594</v>
      </c>
      <c r="R54" s="2"/>
    </row>
    <row r="55" spans="1:19" s="218" customFormat="1" ht="17.5" customHeight="1" x14ac:dyDescent="0.35">
      <c r="A55" s="218" t="s">
        <v>344</v>
      </c>
      <c r="B55" s="218">
        <v>1000</v>
      </c>
      <c r="C55" s="219">
        <f>B55*F55</f>
        <v>1479751538.8836994</v>
      </c>
      <c r="D55" s="225">
        <f>'[3]Scenario 2 2040'!$G$9</f>
        <v>0.95426797434460386</v>
      </c>
      <c r="E55" s="218">
        <f>'[2]Conversion factors selected IV '!$O$86</f>
        <v>1.5506666666666669</v>
      </c>
      <c r="F55" s="219">
        <f>D55*E55*1000000</f>
        <v>1479751.5388836993</v>
      </c>
      <c r="G55" s="225">
        <f>'LCoP 2040 high'!E18</f>
        <v>988.03814186666671</v>
      </c>
      <c r="H55" s="220">
        <f>G55*F55</f>
        <v>1462050960.9029908</v>
      </c>
      <c r="I55" s="225">
        <f>'LCoP 2040 high'!H18</f>
        <v>0.32087642008201966</v>
      </c>
      <c r="L55" s="219">
        <f>I55*H55</f>
        <v>469137678.31202859</v>
      </c>
      <c r="M55" s="225">
        <f>'LCoP 2040 high'!F18</f>
        <v>0.28136565606139868</v>
      </c>
      <c r="O55" s="219">
        <f>M55*H55</f>
        <v>411370927.80966836</v>
      </c>
      <c r="P55" s="225">
        <f>'LCoP 2040 high'!G18</f>
        <v>0.3977579238565816</v>
      </c>
      <c r="R55" s="219">
        <f>P55*H55</f>
        <v>581542354.78129375</v>
      </c>
      <c r="S55" s="220">
        <f>R55+O55+L55</f>
        <v>1462050960.9029908</v>
      </c>
    </row>
    <row r="56" spans="1:19" ht="14.5" customHeight="1" x14ac:dyDescent="0.35">
      <c r="C56">
        <f>C55/$C$47</f>
        <v>0.25621963669596315</v>
      </c>
      <c r="D56" s="6"/>
      <c r="F56" s="31"/>
      <c r="I56" s="16" t="s">
        <v>37</v>
      </c>
      <c r="J56" s="207" t="s">
        <v>106</v>
      </c>
      <c r="K56" s="6">
        <f>'Feedstock MIX per IVC'!N85</f>
        <v>317.03814186666671</v>
      </c>
      <c r="L56" s="31">
        <f>K56*F55</f>
        <v>469137678.31202865</v>
      </c>
      <c r="M56" s="5" t="s">
        <v>245</v>
      </c>
      <c r="N56" s="35">
        <v>0</v>
      </c>
      <c r="O56" s="2">
        <f>N56*O$55</f>
        <v>0</v>
      </c>
      <c r="P56" s="18" t="s">
        <v>251</v>
      </c>
      <c r="Q56" s="35">
        <v>0.2</v>
      </c>
      <c r="R56" s="2">
        <f>Q56*R$55</f>
        <v>116308470.95625876</v>
      </c>
    </row>
    <row r="57" spans="1:19" ht="14.5" customHeight="1" x14ac:dyDescent="0.35">
      <c r="D57" s="6"/>
      <c r="F57" s="31"/>
      <c r="M57" t="s">
        <v>246</v>
      </c>
      <c r="N57" s="35">
        <v>0.02</v>
      </c>
      <c r="O57" s="2">
        <f t="shared" ref="O57:O61" si="16">N57*O$55</f>
        <v>8227418.5561933676</v>
      </c>
      <c r="P57" s="18" t="s">
        <v>210</v>
      </c>
      <c r="Q57" s="35">
        <v>0.5</v>
      </c>
      <c r="R57" s="2">
        <f t="shared" ref="R57:R60" si="17">Q57*R$55</f>
        <v>290771177.39064687</v>
      </c>
    </row>
    <row r="58" spans="1:19" ht="14.5" customHeight="1" x14ac:dyDescent="0.35">
      <c r="D58" s="6"/>
      <c r="F58" s="31"/>
      <c r="M58" s="5" t="s">
        <v>244</v>
      </c>
      <c r="N58" s="35">
        <v>0.5</v>
      </c>
      <c r="O58" s="2">
        <f t="shared" si="16"/>
        <v>205685463.90483418</v>
      </c>
      <c r="P58" s="18" t="s">
        <v>252</v>
      </c>
      <c r="Q58" s="35">
        <v>0.15</v>
      </c>
      <c r="R58" s="2">
        <f t="shared" si="17"/>
        <v>87231353.217194065</v>
      </c>
    </row>
    <row r="59" spans="1:19" ht="14.5" customHeight="1" x14ac:dyDescent="0.35">
      <c r="D59" s="6"/>
      <c r="F59" s="31"/>
      <c r="M59" t="s">
        <v>247</v>
      </c>
      <c r="N59" s="35">
        <v>0.15</v>
      </c>
      <c r="O59" s="2">
        <f t="shared" si="16"/>
        <v>61705639.17145025</v>
      </c>
      <c r="P59" s="18" t="s">
        <v>253</v>
      </c>
      <c r="Q59" s="35">
        <v>0.1</v>
      </c>
      <c r="R59" s="2">
        <f t="shared" si="17"/>
        <v>58154235.478129379</v>
      </c>
    </row>
    <row r="60" spans="1:19" ht="14.5" customHeight="1" x14ac:dyDescent="0.35">
      <c r="F60" s="31"/>
      <c r="M60" t="s">
        <v>248</v>
      </c>
      <c r="N60" s="35">
        <v>0.3</v>
      </c>
      <c r="O60" s="2">
        <f t="shared" si="16"/>
        <v>123411278.3429005</v>
      </c>
      <c r="P60" s="18" t="s">
        <v>254</v>
      </c>
      <c r="Q60" s="35">
        <v>0.05</v>
      </c>
      <c r="R60" s="2">
        <f t="shared" si="17"/>
        <v>29077117.73906469</v>
      </c>
    </row>
    <row r="61" spans="1:19" ht="14.5" customHeight="1" x14ac:dyDescent="0.35">
      <c r="F61" s="31"/>
      <c r="M61" t="s">
        <v>250</v>
      </c>
      <c r="N61" s="35">
        <v>0.03</v>
      </c>
      <c r="O61" s="2">
        <f t="shared" si="16"/>
        <v>12341127.83429005</v>
      </c>
    </row>
    <row r="62" spans="1:19" s="218" customFormat="1" ht="17.5" customHeight="1" x14ac:dyDescent="0.35">
      <c r="A62" s="218" t="s">
        <v>335</v>
      </c>
      <c r="B62" s="218">
        <v>1750</v>
      </c>
      <c r="C62" s="219">
        <f>B62*F62</f>
        <v>1669968955.1030567</v>
      </c>
      <c r="D62" s="220">
        <f>'[3]Scenario 2 2040'!$G$10</f>
        <v>0.95426797434460386</v>
      </c>
      <c r="E62" s="218">
        <f>'[2]Conversion factors selected IV '!$O$89</f>
        <v>1</v>
      </c>
      <c r="F62" s="219">
        <f>D62*E62*1000000</f>
        <v>954267.97434460383</v>
      </c>
      <c r="G62" s="225">
        <f>'LCoP 2040 high'!E20</f>
        <v>1599.9201760212559</v>
      </c>
      <c r="H62" s="220">
        <f>G62*F62</f>
        <v>1526752585.4848659</v>
      </c>
      <c r="I62" s="225">
        <f>'LCoP 2040 high'!H20</f>
        <v>0.13308174945999757</v>
      </c>
      <c r="L62" s="219">
        <f>I62*H62</f>
        <v>203182905.06890044</v>
      </c>
      <c r="M62" s="225">
        <f>'LCoP 2040 high'!F20</f>
        <v>0.50315010215191203</v>
      </c>
      <c r="O62" s="219">
        <f>M62*H62</f>
        <v>768185719.34740603</v>
      </c>
      <c r="P62" s="225">
        <f>'LCoP 2040 high'!G20</f>
        <v>0.36376814838809046</v>
      </c>
      <c r="R62" s="219">
        <f>P62*H62</f>
        <v>555383961.06855953</v>
      </c>
      <c r="S62" s="220">
        <f>R62+O62+L62</f>
        <v>1526752585.4848659</v>
      </c>
    </row>
    <row r="63" spans="1:19" ht="17.5" customHeight="1" x14ac:dyDescent="0.35">
      <c r="C63">
        <f>C62/$C$47</f>
        <v>0.28915586686453271</v>
      </c>
      <c r="F63" s="154" t="s">
        <v>212</v>
      </c>
      <c r="G63" s="6">
        <f>SUMIF($J$63:$J$70,F63,$L$63:$L$70)/$L$62</f>
        <v>0.65772979560943423</v>
      </c>
      <c r="H63" s="209" t="s">
        <v>292</v>
      </c>
      <c r="I63" s="5" t="s">
        <v>5</v>
      </c>
      <c r="J63" s="154" t="s">
        <v>212</v>
      </c>
      <c r="K63" s="6">
        <f>'Feedstock MIX per IVC'!N89</f>
        <v>106.04136131997335</v>
      </c>
      <c r="L63">
        <f>K63*F$62</f>
        <v>101191875.0635552</v>
      </c>
      <c r="M63" s="5" t="s">
        <v>245</v>
      </c>
      <c r="N63" s="174">
        <v>0.15</v>
      </c>
      <c r="O63" s="2">
        <f>N63*O$62</f>
        <v>115227857.9021109</v>
      </c>
      <c r="P63" s="18" t="s">
        <v>251</v>
      </c>
      <c r="Q63" s="123">
        <v>0.15</v>
      </c>
      <c r="R63" s="2">
        <f>Q63*R$62</f>
        <v>83307594.160283923</v>
      </c>
    </row>
    <row r="64" spans="1:19" ht="17.5" customHeight="1" x14ac:dyDescent="0.35">
      <c r="F64" s="178" t="s">
        <v>256</v>
      </c>
      <c r="G64" s="6">
        <f t="shared" ref="G64:G68" si="18">SUMIF($J$63:$J$70,F64,$L$63:$L$70)/$L$62</f>
        <v>0.14655986558526973</v>
      </c>
      <c r="H64" s="209" t="s">
        <v>292</v>
      </c>
      <c r="I64" s="5" t="s">
        <v>6</v>
      </c>
      <c r="J64" s="154" t="s">
        <v>212</v>
      </c>
      <c r="K64" s="6">
        <f>'Feedstock MIX per IVC'!N90</f>
        <v>5.4811901407983816</v>
      </c>
      <c r="L64">
        <f t="shared" ref="L64:L70" si="19">K64*F$62</f>
        <v>5230524.2126572859</v>
      </c>
      <c r="M64" t="s">
        <v>246</v>
      </c>
      <c r="N64" s="35">
        <v>0.02</v>
      </c>
      <c r="O64" s="2">
        <f t="shared" ref="O64:O67" si="20">N64*O$62</f>
        <v>15363714.386948122</v>
      </c>
      <c r="P64" s="18" t="s">
        <v>210</v>
      </c>
      <c r="Q64" s="123">
        <v>0.25</v>
      </c>
      <c r="R64" s="2">
        <f t="shared" ref="R64:R67" si="21">Q64*R$62</f>
        <v>138845990.26713988</v>
      </c>
    </row>
    <row r="65" spans="1:19" ht="17.5" customHeight="1" x14ac:dyDescent="0.35">
      <c r="F65" s="156" t="s">
        <v>209</v>
      </c>
      <c r="G65" s="6">
        <f t="shared" si="18"/>
        <v>0.18334545300920693</v>
      </c>
      <c r="H65" s="209" t="s">
        <v>292</v>
      </c>
      <c r="I65" s="5" t="s">
        <v>7</v>
      </c>
      <c r="J65" s="157" t="s">
        <v>211</v>
      </c>
      <c r="K65" s="6">
        <f>'Feedstock MIX per IVC'!N91</f>
        <v>2.6327336601860338</v>
      </c>
      <c r="L65">
        <f t="shared" si="19"/>
        <v>2512333.4168945812</v>
      </c>
      <c r="M65" s="5" t="s">
        <v>244</v>
      </c>
      <c r="N65" s="174">
        <v>0.45</v>
      </c>
      <c r="O65" s="2">
        <f t="shared" si="20"/>
        <v>345683573.70633274</v>
      </c>
      <c r="P65" s="18" t="s">
        <v>252</v>
      </c>
      <c r="Q65" s="123">
        <v>0.2</v>
      </c>
      <c r="R65" s="2">
        <f t="shared" si="21"/>
        <v>111076792.21371192</v>
      </c>
    </row>
    <row r="66" spans="1:19" ht="17.5" customHeight="1" x14ac:dyDescent="0.35">
      <c r="F66" s="157" t="s">
        <v>211</v>
      </c>
      <c r="G66" s="6">
        <f t="shared" si="18"/>
        <v>1.2364885796089169E-2</v>
      </c>
      <c r="H66" s="209" t="s">
        <v>292</v>
      </c>
      <c r="I66" s="5" t="s">
        <v>8</v>
      </c>
      <c r="J66" s="154" t="s">
        <v>212</v>
      </c>
      <c r="K66" s="6">
        <f>'Feedstock MIX per IVC'!N92</f>
        <v>22.593373092924249</v>
      </c>
      <c r="L66">
        <f t="shared" si="19"/>
        <v>21560132.374996699</v>
      </c>
      <c r="M66" t="s">
        <v>247</v>
      </c>
      <c r="N66" s="35">
        <v>0.1</v>
      </c>
      <c r="O66" s="2">
        <f t="shared" si="20"/>
        <v>76818571.934740603</v>
      </c>
      <c r="P66" s="18" t="s">
        <v>253</v>
      </c>
      <c r="Q66" s="123">
        <v>0.3</v>
      </c>
      <c r="R66" s="2">
        <f t="shared" si="21"/>
        <v>166615188.32056785</v>
      </c>
    </row>
    <row r="67" spans="1:19" ht="17.5" customHeight="1" x14ac:dyDescent="0.35">
      <c r="F67" s="159" t="s">
        <v>213</v>
      </c>
      <c r="G67" s="6">
        <f t="shared" si="18"/>
        <v>0</v>
      </c>
      <c r="H67" s="209" t="s">
        <v>292</v>
      </c>
      <c r="I67" s="5" t="s">
        <v>9</v>
      </c>
      <c r="J67" s="154" t="s">
        <v>212</v>
      </c>
      <c r="K67" s="6">
        <f>'Feedstock MIX per IVC'!N93</f>
        <v>5.9280193018894751</v>
      </c>
      <c r="L67">
        <f t="shared" si="19"/>
        <v>5656918.9710897822</v>
      </c>
      <c r="M67" t="s">
        <v>248</v>
      </c>
      <c r="N67" s="35">
        <v>0.25</v>
      </c>
      <c r="O67" s="2">
        <f t="shared" si="20"/>
        <v>192046429.83685151</v>
      </c>
      <c r="P67" s="18" t="s">
        <v>254</v>
      </c>
      <c r="Q67" s="123">
        <v>0.1</v>
      </c>
      <c r="R67" s="2">
        <f t="shared" si="21"/>
        <v>55538396.106855959</v>
      </c>
    </row>
    <row r="68" spans="1:19" ht="17.5" customHeight="1" x14ac:dyDescent="0.35">
      <c r="F68" s="207" t="s">
        <v>106</v>
      </c>
      <c r="G68" s="6">
        <f t="shared" si="18"/>
        <v>0</v>
      </c>
      <c r="H68" s="209" t="s">
        <v>292</v>
      </c>
      <c r="I68" s="5" t="s">
        <v>10</v>
      </c>
      <c r="J68" s="178" t="s">
        <v>256</v>
      </c>
      <c r="K68" s="6">
        <f>'Feedstock MIX per IVC'!N94</f>
        <v>31.205552378067249</v>
      </c>
      <c r="L68">
        <f t="shared" si="19"/>
        <v>29778459.256122667</v>
      </c>
      <c r="M68" t="s">
        <v>250</v>
      </c>
      <c r="N68" s="35">
        <v>0.03</v>
      </c>
      <c r="O68" s="2">
        <f>N68*O$62</f>
        <v>23045571.580422182</v>
      </c>
      <c r="Q68" s="35"/>
      <c r="R68" s="2"/>
    </row>
    <row r="69" spans="1:19" ht="17.5" customHeight="1" x14ac:dyDescent="0.35">
      <c r="F69" s="31"/>
      <c r="G69" s="6">
        <f>SUM(G63:G68)</f>
        <v>1</v>
      </c>
      <c r="H69" s="209" t="s">
        <v>292</v>
      </c>
      <c r="I69" s="5" t="s">
        <v>11</v>
      </c>
      <c r="J69" s="156" t="s">
        <v>209</v>
      </c>
      <c r="K69" s="6">
        <f>'Feedstock MIX per IVC'!N95</f>
        <v>39.037946127417257</v>
      </c>
      <c r="L69">
        <f t="shared" si="19"/>
        <v>37252661.773584239</v>
      </c>
      <c r="O69" s="2"/>
    </row>
    <row r="70" spans="1:19" ht="17.5" customHeight="1" x14ac:dyDescent="0.35">
      <c r="F70" s="31"/>
      <c r="H70" s="209" t="s">
        <v>292</v>
      </c>
      <c r="I70" s="5" t="s">
        <v>12</v>
      </c>
      <c r="J70" s="159" t="s">
        <v>213</v>
      </c>
      <c r="K70" s="6">
        <f>'Feedstock MIX per IVC'!N96</f>
        <v>0</v>
      </c>
      <c r="L70">
        <f t="shared" si="19"/>
        <v>0</v>
      </c>
    </row>
    <row r="71" spans="1:19" s="218" customFormat="1" x14ac:dyDescent="0.35">
      <c r="A71" s="218" t="s">
        <v>338</v>
      </c>
      <c r="B71" s="218">
        <v>1150</v>
      </c>
      <c r="C71" s="219">
        <f>B71*F71</f>
        <v>1145852442.5116196</v>
      </c>
      <c r="D71" s="225">
        <f>'[3]Scenario 2 2040'!$G$11</f>
        <v>0.99639342827097366</v>
      </c>
      <c r="E71" s="225">
        <f>'[2]Conversion factors selected IV '!$O$125</f>
        <v>1</v>
      </c>
      <c r="F71" s="219">
        <f>D71*E71*1000000</f>
        <v>996393.42827097361</v>
      </c>
      <c r="G71" s="225">
        <f>'LCoP 2040 high'!E22</f>
        <v>1741.9122400983085</v>
      </c>
      <c r="H71" s="220">
        <f>G71*F71</f>
        <v>1735629908.658725</v>
      </c>
      <c r="I71" s="225">
        <f>'LCoP 2040 high'!H22</f>
        <v>0.122516068941719</v>
      </c>
      <c r="L71" s="219">
        <f>I71*H71</f>
        <v>212642553.54654181</v>
      </c>
      <c r="M71" s="225">
        <f>'LCoP 2040 high'!F22</f>
        <v>0.39324598807649491</v>
      </c>
      <c r="O71" s="219">
        <f>M71*H71</f>
        <v>682529498.36561692</v>
      </c>
      <c r="P71" s="225">
        <f>'LCoP 2040 high'!G22</f>
        <v>0.48423794298178607</v>
      </c>
      <c r="R71" s="219">
        <f>P71*H71</f>
        <v>840457856.7465663</v>
      </c>
      <c r="S71" s="219">
        <f>L71+O71+R71</f>
        <v>1735629908.658725</v>
      </c>
    </row>
    <row r="72" spans="1:19" x14ac:dyDescent="0.35">
      <c r="C72">
        <f>C71/$C$47</f>
        <v>0.19840485974354088</v>
      </c>
      <c r="D72" s="6"/>
      <c r="E72" s="6"/>
      <c r="F72" s="154" t="s">
        <v>212</v>
      </c>
      <c r="G72" s="6">
        <f>SUMIF($J$72:$J$79,F72,$L$72:$L$79)/$L$71</f>
        <v>0.66262204905715905</v>
      </c>
      <c r="H72" s="209" t="s">
        <v>292</v>
      </c>
      <c r="I72" s="5" t="s">
        <v>5</v>
      </c>
      <c r="J72" s="154" t="s">
        <v>212</v>
      </c>
      <c r="K72" s="6">
        <f>'Feedstock MIX per IVC'!N107</f>
        <v>104.74582757099131</v>
      </c>
      <c r="L72" s="2">
        <f>K72*F$71</f>
        <v>104368054.23054031</v>
      </c>
      <c r="M72" s="5" t="s">
        <v>245</v>
      </c>
      <c r="N72" s="174">
        <v>0.15</v>
      </c>
      <c r="O72" s="2">
        <f>N72*O$71</f>
        <v>102379424.75484253</v>
      </c>
      <c r="P72" s="18" t="s">
        <v>251</v>
      </c>
      <c r="Q72" s="123">
        <v>0.15</v>
      </c>
      <c r="R72" s="2">
        <f>Q72*R$71</f>
        <v>126068678.51198494</v>
      </c>
    </row>
    <row r="73" spans="1:19" x14ac:dyDescent="0.35">
      <c r="D73" s="6"/>
      <c r="E73" s="6"/>
      <c r="F73" s="178" t="s">
        <v>256</v>
      </c>
      <c r="G73" s="6">
        <f t="shared" ref="G73:G77" si="22">SUMIF($J$72:$J$79,F73,$L$72:$L$79)/$L$71</f>
        <v>0.14445085051823617</v>
      </c>
      <c r="H73" s="209" t="s">
        <v>292</v>
      </c>
      <c r="I73" s="5" t="s">
        <v>6</v>
      </c>
      <c r="J73" s="154" t="s">
        <v>212</v>
      </c>
      <c r="K73" s="6">
        <f>'Feedstock MIX per IVC'!N108</f>
        <v>5.4134257454164922</v>
      </c>
      <c r="L73" s="2">
        <f t="shared" ref="L73:L78" si="23">K73*F$71</f>
        <v>5393901.8371658893</v>
      </c>
      <c r="M73" t="s">
        <v>246</v>
      </c>
      <c r="N73" s="35">
        <v>0.02</v>
      </c>
      <c r="O73" s="2">
        <f t="shared" ref="O73:O77" si="24">N73*O$71</f>
        <v>13650589.967312338</v>
      </c>
      <c r="P73" s="18" t="s">
        <v>210</v>
      </c>
      <c r="Q73" s="123">
        <v>0.25</v>
      </c>
      <c r="R73" s="2">
        <f>Q73*R$71</f>
        <v>210114464.18664157</v>
      </c>
    </row>
    <row r="74" spans="1:19" x14ac:dyDescent="0.35">
      <c r="D74" s="6"/>
      <c r="E74" s="6"/>
      <c r="F74" s="156" t="s">
        <v>209</v>
      </c>
      <c r="G74" s="6">
        <f t="shared" si="22"/>
        <v>0.18075175521303791</v>
      </c>
      <c r="H74" s="209" t="s">
        <v>292</v>
      </c>
      <c r="I74" s="5" t="s">
        <v>7</v>
      </c>
      <c r="J74" s="157" t="s">
        <v>211</v>
      </c>
      <c r="K74" s="6">
        <f>'Feedstock MIX per IVC'!N109</f>
        <v>2.598367695570742</v>
      </c>
      <c r="L74" s="2">
        <f t="shared" si="23"/>
        <v>2588996.4960982809</v>
      </c>
      <c r="M74" s="5" t="s">
        <v>244</v>
      </c>
      <c r="N74" s="174">
        <v>0.45</v>
      </c>
      <c r="O74" s="2">
        <f t="shared" si="24"/>
        <v>307138274.26452762</v>
      </c>
      <c r="P74" s="18" t="s">
        <v>252</v>
      </c>
      <c r="Q74" s="123">
        <v>0.2</v>
      </c>
      <c r="R74" s="2">
        <f>Q74*R$71</f>
        <v>168091571.34931326</v>
      </c>
    </row>
    <row r="75" spans="1:19" x14ac:dyDescent="0.35">
      <c r="D75" s="6"/>
      <c r="E75" s="6"/>
      <c r="F75" s="157" t="s">
        <v>211</v>
      </c>
      <c r="G75" s="6">
        <f t="shared" si="22"/>
        <v>1.2175345211567065E-2</v>
      </c>
      <c r="H75" s="209" t="s">
        <v>292</v>
      </c>
      <c r="I75" s="5" t="s">
        <v>8</v>
      </c>
      <c r="J75" s="154" t="s">
        <v>212</v>
      </c>
      <c r="K75" s="6">
        <f>'Feedstock MIX per IVC'!N110</f>
        <v>25.370004451991623</v>
      </c>
      <c r="L75" s="2">
        <f t="shared" si="23"/>
        <v>25278505.711169794</v>
      </c>
      <c r="M75" t="s">
        <v>247</v>
      </c>
      <c r="N75" s="35">
        <v>0.1</v>
      </c>
      <c r="O75" s="2">
        <f t="shared" si="24"/>
        <v>68252949.836561695</v>
      </c>
      <c r="P75" s="18" t="s">
        <v>253</v>
      </c>
      <c r="Q75" s="123">
        <v>0.3</v>
      </c>
      <c r="R75" s="2">
        <f>Q75*R$71</f>
        <v>252137357.02396989</v>
      </c>
    </row>
    <row r="76" spans="1:19" x14ac:dyDescent="0.35">
      <c r="D76" s="6"/>
      <c r="E76" s="6"/>
      <c r="F76" s="159" t="s">
        <v>213</v>
      </c>
      <c r="G76" s="6">
        <f t="shared" si="22"/>
        <v>0</v>
      </c>
      <c r="H76" s="209" t="s">
        <v>292</v>
      </c>
      <c r="I76" s="5" t="s">
        <v>9</v>
      </c>
      <c r="J76" s="154" t="s">
        <v>212</v>
      </c>
      <c r="K76" s="6">
        <f>'Feedstock MIX per IVC'!N111</f>
        <v>5.8823980594201677</v>
      </c>
      <c r="L76" s="2">
        <f t="shared" si="23"/>
        <v>5861182.7688801829</v>
      </c>
      <c r="M76" t="s">
        <v>248</v>
      </c>
      <c r="N76" s="35">
        <v>0.25</v>
      </c>
      <c r="O76" s="2">
        <f t="shared" si="24"/>
        <v>170632374.59140423</v>
      </c>
      <c r="P76" s="18" t="s">
        <v>254</v>
      </c>
      <c r="Q76" s="123">
        <v>0.1</v>
      </c>
      <c r="R76" s="2">
        <f>Q76*R$71</f>
        <v>84045785.67465663</v>
      </c>
    </row>
    <row r="77" spans="1:19" x14ac:dyDescent="0.35">
      <c r="D77" s="6"/>
      <c r="E77" s="6"/>
      <c r="F77" s="207" t="s">
        <v>106</v>
      </c>
      <c r="G77" s="6">
        <f t="shared" si="22"/>
        <v>0</v>
      </c>
      <c r="H77" s="209" t="s">
        <v>292</v>
      </c>
      <c r="I77" s="5" t="s">
        <v>10</v>
      </c>
      <c r="J77" s="178" t="s">
        <v>256</v>
      </c>
      <c r="K77" s="6">
        <f>'Feedstock MIX per IVC'!N112</f>
        <v>30.827579593202699</v>
      </c>
      <c r="L77" s="2">
        <f t="shared" si="23"/>
        <v>30716397.716167543</v>
      </c>
      <c r="M77" t="s">
        <v>250</v>
      </c>
      <c r="N77" s="35">
        <v>0.03</v>
      </c>
      <c r="O77" s="2">
        <f t="shared" si="24"/>
        <v>20475884.950968508</v>
      </c>
      <c r="Q77" s="35"/>
      <c r="R77" s="2"/>
    </row>
    <row r="78" spans="1:19" x14ac:dyDescent="0.35">
      <c r="D78" s="6"/>
      <c r="E78" s="6"/>
      <c r="F78" s="31"/>
      <c r="G78" s="6">
        <f>SUM(G72:G77)</f>
        <v>1.0000000000000002</v>
      </c>
      <c r="H78" s="209" t="s">
        <v>292</v>
      </c>
      <c r="I78" s="5" t="s">
        <v>11</v>
      </c>
      <c r="J78" s="156" t="s">
        <v>209</v>
      </c>
      <c r="K78" s="6">
        <f>'Feedstock MIX per IVC'!N113</f>
        <v>38.574636981715543</v>
      </c>
      <c r="L78" s="2">
        <f t="shared" si="23"/>
        <v>38435514.786519833</v>
      </c>
      <c r="M78" s="2"/>
      <c r="R78" s="2"/>
    </row>
    <row r="79" spans="1:19" x14ac:dyDescent="0.35">
      <c r="D79" s="6"/>
      <c r="E79" s="6"/>
      <c r="F79" s="31"/>
      <c r="G79" s="6"/>
      <c r="H79" s="209" t="s">
        <v>292</v>
      </c>
      <c r="I79" s="5" t="s">
        <v>12</v>
      </c>
      <c r="J79" s="159" t="s">
        <v>213</v>
      </c>
      <c r="K79" s="6">
        <f>'Feedstock MIX per IVC'!N114</f>
        <v>0</v>
      </c>
      <c r="L79" s="2">
        <f>K79*F$71</f>
        <v>0</v>
      </c>
      <c r="M79" s="2"/>
    </row>
    <row r="80" spans="1:19" s="80" customFormat="1" x14ac:dyDescent="0.35">
      <c r="D80" s="92"/>
      <c r="E80" s="92"/>
      <c r="F80" s="230"/>
      <c r="G80" s="6"/>
      <c r="L80" s="92"/>
    </row>
    <row r="81" spans="1:19" s="80" customFormat="1" x14ac:dyDescent="0.35">
      <c r="F81" s="230"/>
      <c r="I81" s="80" t="s">
        <v>321</v>
      </c>
      <c r="L81" s="230">
        <f>SUM(L82:L87)</f>
        <v>1361945115.3410683</v>
      </c>
      <c r="M81" s="80" t="s">
        <v>214</v>
      </c>
      <c r="O81" s="92">
        <f>SUM(O82:O87)</f>
        <v>2683348249.6031446</v>
      </c>
      <c r="P81" s="80" t="s">
        <v>214</v>
      </c>
      <c r="R81" s="92">
        <f>SUM(R82:R86)</f>
        <v>2740935966.6604085</v>
      </c>
    </row>
    <row r="82" spans="1:19" x14ac:dyDescent="0.35">
      <c r="D82" s="2"/>
      <c r="E82" s="2"/>
      <c r="G82" s="2"/>
      <c r="H82" s="6"/>
      <c r="J82" s="154" t="s">
        <v>212</v>
      </c>
      <c r="L82" s="2">
        <f>L49+L50+L51+L63+L64+L66+L67+L72+L73+L75+L76</f>
        <v>664757497.2306093</v>
      </c>
      <c r="M82" s="5" t="s">
        <v>245</v>
      </c>
      <c r="O82" s="2">
        <f>O49+O56+O63+O72</f>
        <v>217607282.65695345</v>
      </c>
      <c r="P82" s="18" t="s">
        <v>251</v>
      </c>
      <c r="R82" s="2">
        <f>R49+R56+R63+R72</f>
        <v>478395102.44132543</v>
      </c>
    </row>
    <row r="83" spans="1:19" x14ac:dyDescent="0.35">
      <c r="D83" s="2"/>
      <c r="E83" s="2"/>
      <c r="G83" s="2"/>
      <c r="H83" s="6"/>
      <c r="J83" s="178" t="s">
        <v>256</v>
      </c>
      <c r="L83" s="2">
        <f>L77+L68</f>
        <v>60494856.97229021</v>
      </c>
      <c r="M83" t="s">
        <v>246</v>
      </c>
      <c r="O83" s="2">
        <f t="shared" ref="O83:O87" si="25">O50+O57+O64+O73</f>
        <v>53666964.992062889</v>
      </c>
      <c r="P83" s="18" t="s">
        <v>210</v>
      </c>
      <c r="R83" s="2">
        <f>R50+R57+R64+R73</f>
        <v>1021507528.8764228</v>
      </c>
    </row>
    <row r="84" spans="1:19" x14ac:dyDescent="0.35">
      <c r="D84" s="1"/>
      <c r="E84" s="1"/>
      <c r="G84" s="2"/>
      <c r="H84" s="6"/>
      <c r="J84" s="156" t="s">
        <v>209</v>
      </c>
      <c r="L84" s="2">
        <f>L69+L52+L78</f>
        <v>162453752.91314727</v>
      </c>
      <c r="M84" s="5" t="s">
        <v>244</v>
      </c>
      <c r="O84" s="2">
        <f t="shared" si="25"/>
        <v>1269138363.915921</v>
      </c>
      <c r="P84" s="18" t="s">
        <v>252</v>
      </c>
      <c r="R84" s="2">
        <f t="shared" ref="R84:R86" si="26">R51+R58+R65+R74</f>
        <v>480932485.8898176</v>
      </c>
    </row>
    <row r="85" spans="1:19" x14ac:dyDescent="0.35">
      <c r="D85" s="1"/>
      <c r="E85" s="1"/>
      <c r="G85" s="2"/>
      <c r="H85" s="6"/>
      <c r="J85" s="157" t="s">
        <v>211</v>
      </c>
      <c r="L85" s="2">
        <f>L65+L74</f>
        <v>5101329.9129928621</v>
      </c>
      <c r="M85" t="s">
        <v>247</v>
      </c>
      <c r="O85" s="2">
        <f t="shared" si="25"/>
        <v>329966476.55482054</v>
      </c>
      <c r="P85" s="18" t="s">
        <v>253</v>
      </c>
      <c r="R85" s="2">
        <f t="shared" si="26"/>
        <v>553261960.22906601</v>
      </c>
    </row>
    <row r="86" spans="1:19" s="80" customFormat="1" x14ac:dyDescent="0.35">
      <c r="D86" s="92"/>
      <c r="E86" s="92"/>
      <c r="F86" s="230"/>
      <c r="G86" s="1"/>
      <c r="H86" s="6"/>
      <c r="J86" s="159" t="s">
        <v>213</v>
      </c>
      <c r="L86" s="92">
        <f>L70+L79</f>
        <v>0</v>
      </c>
      <c r="M86" t="s">
        <v>248</v>
      </c>
      <c r="O86" s="2">
        <f t="shared" si="25"/>
        <v>732468713.99529219</v>
      </c>
      <c r="P86" s="18" t="s">
        <v>254</v>
      </c>
      <c r="R86" s="2">
        <f t="shared" si="26"/>
        <v>206838889.22377673</v>
      </c>
    </row>
    <row r="87" spans="1:19" s="80" customFormat="1" x14ac:dyDescent="0.35">
      <c r="D87" s="92"/>
      <c r="E87" s="92"/>
      <c r="F87" s="230"/>
      <c r="G87" s="1"/>
      <c r="H87" s="6"/>
      <c r="J87" s="207" t="s">
        <v>106</v>
      </c>
      <c r="L87" s="2">
        <f>L56</f>
        <v>469137678.31202865</v>
      </c>
      <c r="M87" t="s">
        <v>250</v>
      </c>
      <c r="O87" s="2">
        <f t="shared" si="25"/>
        <v>80500447.48809433</v>
      </c>
    </row>
    <row r="88" spans="1:19" s="93" customFormat="1" ht="32.5" customHeight="1" x14ac:dyDescent="0.35">
      <c r="A88" s="93" t="s">
        <v>106</v>
      </c>
      <c r="D88" s="231"/>
      <c r="E88" s="94"/>
      <c r="F88" s="176"/>
    </row>
    <row r="89" spans="1:19" ht="16.5" customHeight="1" x14ac:dyDescent="0.35">
      <c r="C89" s="102">
        <f>C90+C100</f>
        <v>3358064459.5075893</v>
      </c>
      <c r="D89" s="102">
        <f>D90+D100</f>
        <v>3.1478492733232502</v>
      </c>
      <c r="E89" s="2"/>
      <c r="F89" s="102">
        <f>F90+F100</f>
        <v>2633776.0466726189</v>
      </c>
    </row>
    <row r="90" spans="1:19" s="219" customFormat="1" x14ac:dyDescent="0.35">
      <c r="A90" s="219" t="s">
        <v>59</v>
      </c>
      <c r="B90" s="219">
        <v>1275</v>
      </c>
      <c r="C90" s="219">
        <f>B90*F90</f>
        <v>1120804183.9200237</v>
      </c>
      <c r="D90" s="219">
        <f>'[3]Scenario 2 2040'!$G$13</f>
        <v>1.0506417248487399</v>
      </c>
      <c r="E90" s="219">
        <f>'[2]Conversion factors selected IV '!$O$29</f>
        <v>0.83669064748201449</v>
      </c>
      <c r="F90" s="219">
        <f>D90*E90*1000000</f>
        <v>879062.10503531271</v>
      </c>
      <c r="G90" s="219">
        <f>'LCoP 2040 high'!$E$10</f>
        <v>1036.1000414642067</v>
      </c>
      <c r="H90" s="219">
        <f>G90*F90</f>
        <v>910796283.47670031</v>
      </c>
      <c r="I90" s="219">
        <f>'LCoP 2040 high'!H10</f>
        <v>-9.0724429684505645E-3</v>
      </c>
      <c r="L90" s="219">
        <f>I90*H90</f>
        <v>-8263147.3377190968</v>
      </c>
      <c r="M90" s="219">
        <f>'LCoP 2040 high'!F10</f>
        <v>0.58392044762880213</v>
      </c>
      <c r="O90" s="219">
        <f>M90*H90</f>
        <v>531832573.54636419</v>
      </c>
      <c r="P90" s="219">
        <f>'LCoP 2040 high'!G10</f>
        <v>0.42515199533964848</v>
      </c>
      <c r="R90" s="219">
        <f>P90*H90</f>
        <v>387226857.26805526</v>
      </c>
      <c r="S90" s="219">
        <f>L90+O90+R90</f>
        <v>910796283.47670031</v>
      </c>
    </row>
    <row r="91" spans="1:19" x14ac:dyDescent="0.35">
      <c r="C91">
        <v>1</v>
      </c>
      <c r="D91" s="2"/>
      <c r="E91" s="2"/>
      <c r="F91" s="159" t="s">
        <v>213</v>
      </c>
      <c r="G91" s="6">
        <f>SUMIF($J$91:$J$99,F91,$L$91:$L$99)/$L$90</f>
        <v>3.9501846317177307</v>
      </c>
      <c r="I91" s="5" t="s">
        <v>20</v>
      </c>
      <c r="J91" s="154" t="s">
        <v>212</v>
      </c>
      <c r="K91" s="6">
        <f>'Feedstock MIX per IVC'!$N$25</f>
        <v>0.87745677378072162</v>
      </c>
      <c r="L91" s="2">
        <f>K91*F$90</f>
        <v>771338.9986371753</v>
      </c>
      <c r="M91" s="5" t="s">
        <v>245</v>
      </c>
      <c r="N91" s="35">
        <v>0.05</v>
      </c>
      <c r="O91" s="2">
        <f>N91*O$90</f>
        <v>26591628.677318212</v>
      </c>
      <c r="P91" s="18" t="s">
        <v>251</v>
      </c>
      <c r="Q91" s="35">
        <v>0.2</v>
      </c>
      <c r="R91" s="2">
        <f>Q91*R$90</f>
        <v>77445371.453611061</v>
      </c>
    </row>
    <row r="92" spans="1:19" x14ac:dyDescent="0.35">
      <c r="D92" s="2"/>
      <c r="E92" s="2"/>
      <c r="F92" s="258" t="s">
        <v>298</v>
      </c>
      <c r="G92" s="6">
        <f t="shared" ref="G92:G94" si="27">SUMIF($J$91:$J$99,F92,$L$91:$L$99)/$L$90</f>
        <v>-5.4815831268273253E-2</v>
      </c>
      <c r="I92" s="5" t="s">
        <v>8</v>
      </c>
      <c r="J92" s="154" t="s">
        <v>212</v>
      </c>
      <c r="K92" s="6">
        <f>'Feedstock MIX per IVC'!N26</f>
        <v>3.8931133145143786</v>
      </c>
      <c r="L92" s="2">
        <f t="shared" ref="L92:L98" si="28">K92*F$90</f>
        <v>3422288.3853980131</v>
      </c>
      <c r="M92" t="s">
        <v>246</v>
      </c>
      <c r="N92" s="35">
        <v>0.02</v>
      </c>
      <c r="O92" s="2">
        <f t="shared" ref="O92:O96" si="29">N92*O$90</f>
        <v>10636651.470927283</v>
      </c>
      <c r="P92" s="18" t="s">
        <v>210</v>
      </c>
      <c r="Q92" s="35">
        <v>0.5</v>
      </c>
      <c r="R92" s="2">
        <f t="shared" ref="R92:R95" si="30">Q92*R$90</f>
        <v>193613428.63402763</v>
      </c>
    </row>
    <row r="93" spans="1:19" x14ac:dyDescent="0.35">
      <c r="D93" s="2"/>
      <c r="E93" s="2"/>
      <c r="F93" s="157" t="s">
        <v>211</v>
      </c>
      <c r="G93" s="6">
        <f t="shared" si="27"/>
        <v>-0.47490028424581504</v>
      </c>
      <c r="I93" s="5" t="s">
        <v>9</v>
      </c>
      <c r="J93" s="154" t="s">
        <v>212</v>
      </c>
      <c r="K93" s="6">
        <f>'Feedstock MIX per IVC'!N27</f>
        <v>0.98468076706826457</v>
      </c>
      <c r="L93" s="2">
        <f t="shared" si="28"/>
        <v>865595.54788681504</v>
      </c>
      <c r="M93" s="5" t="s">
        <v>244</v>
      </c>
      <c r="N93" s="35">
        <v>0.4</v>
      </c>
      <c r="O93" s="2">
        <f t="shared" si="29"/>
        <v>212733029.41854569</v>
      </c>
      <c r="P93" s="18" t="s">
        <v>252</v>
      </c>
      <c r="Q93" s="35">
        <v>0.15</v>
      </c>
      <c r="R93" s="2">
        <f t="shared" si="30"/>
        <v>58084028.590208285</v>
      </c>
    </row>
    <row r="94" spans="1:19" x14ac:dyDescent="0.35">
      <c r="D94" s="2"/>
      <c r="E94" s="2"/>
      <c r="F94" s="154" t="s">
        <v>212</v>
      </c>
      <c r="G94" s="6">
        <f t="shared" si="27"/>
        <v>-2.4204685162036421</v>
      </c>
      <c r="I94" s="5" t="s">
        <v>21</v>
      </c>
      <c r="J94" s="157" t="s">
        <v>211</v>
      </c>
      <c r="K94" s="6">
        <f>'Feedstock MIX per IVC'!N28</f>
        <v>4.464042980547104</v>
      </c>
      <c r="L94" s="2">
        <f t="shared" si="28"/>
        <v>3924171.0194478487</v>
      </c>
      <c r="M94" t="s">
        <v>247</v>
      </c>
      <c r="N94" s="35">
        <v>0.3</v>
      </c>
      <c r="O94" s="2">
        <f t="shared" si="29"/>
        <v>159549772.06390926</v>
      </c>
      <c r="P94" s="18" t="s">
        <v>253</v>
      </c>
      <c r="Q94" s="35">
        <v>0.1</v>
      </c>
      <c r="R94" s="2">
        <f t="shared" si="30"/>
        <v>38722685.72680553</v>
      </c>
    </row>
    <row r="95" spans="1:19" x14ac:dyDescent="0.35">
      <c r="D95" s="2"/>
      <c r="E95" s="2"/>
      <c r="F95" s="2"/>
      <c r="G95" s="6">
        <f>SUM(G91:G94)</f>
        <v>1</v>
      </c>
      <c r="I95" s="5" t="s">
        <v>5</v>
      </c>
      <c r="J95" s="154" t="s">
        <v>212</v>
      </c>
      <c r="K95" s="6">
        <f>'Feedstock MIX per IVC'!N29</f>
        <v>16.997052834143961</v>
      </c>
      <c r="L95" s="2">
        <f t="shared" si="28"/>
        <v>14941465.043779017</v>
      </c>
      <c r="M95" t="s">
        <v>248</v>
      </c>
      <c r="N95" s="35">
        <v>0.2</v>
      </c>
      <c r="O95" s="2">
        <f t="shared" si="29"/>
        <v>106366514.70927285</v>
      </c>
      <c r="P95" s="18" t="s">
        <v>254</v>
      </c>
      <c r="Q95" s="35">
        <v>0.05</v>
      </c>
      <c r="R95" s="2">
        <f t="shared" si="30"/>
        <v>19361342.863402765</v>
      </c>
    </row>
    <row r="96" spans="1:19" x14ac:dyDescent="0.35">
      <c r="D96" s="2"/>
      <c r="E96" s="2"/>
      <c r="F96" s="2"/>
      <c r="I96" s="5" t="s">
        <v>22</v>
      </c>
      <c r="J96" s="154" t="s">
        <v>212</v>
      </c>
      <c r="K96" s="6">
        <f>'Feedstock MIX per IVC'!N30</f>
        <v>0</v>
      </c>
      <c r="L96" s="2">
        <f t="shared" si="28"/>
        <v>0</v>
      </c>
      <c r="M96" t="s">
        <v>250</v>
      </c>
      <c r="N96" s="35">
        <v>0.03</v>
      </c>
      <c r="O96" s="2">
        <f t="shared" si="29"/>
        <v>15954977.206390925</v>
      </c>
      <c r="R96" s="2"/>
    </row>
    <row r="97" spans="1:18" x14ac:dyDescent="0.35">
      <c r="D97" s="2"/>
      <c r="E97" s="2"/>
      <c r="F97" s="2"/>
      <c r="I97" s="5" t="s">
        <v>23</v>
      </c>
      <c r="J97" s="159" t="s">
        <v>213</v>
      </c>
      <c r="K97" s="6">
        <f>'Feedstock MIX per IVC'!N31</f>
        <v>0</v>
      </c>
      <c r="L97" s="2">
        <f t="shared" si="28"/>
        <v>0</v>
      </c>
      <c r="N97" s="35">
        <f>SUM(N91:N96)</f>
        <v>1</v>
      </c>
      <c r="O97" s="2"/>
    </row>
    <row r="98" spans="1:18" x14ac:dyDescent="0.35">
      <c r="D98" s="2"/>
      <c r="E98" s="2"/>
      <c r="F98" s="2"/>
      <c r="I98" s="12" t="s">
        <v>24</v>
      </c>
      <c r="J98" s="159" t="s">
        <v>213</v>
      </c>
      <c r="K98" s="6">
        <f>'Feedstock MIX per IVC'!N32</f>
        <v>-37.131571746874521</v>
      </c>
      <c r="L98" s="2">
        <f t="shared" si="28"/>
        <v>-32640957.623077258</v>
      </c>
      <c r="M98" s="2"/>
    </row>
    <row r="99" spans="1:18" s="80" customFormat="1" x14ac:dyDescent="0.35">
      <c r="D99" s="95"/>
      <c r="E99" s="95"/>
      <c r="F99" s="230"/>
      <c r="G99" s="237"/>
      <c r="I99" s="13" t="s">
        <v>25</v>
      </c>
      <c r="J99" s="258" t="s">
        <v>298</v>
      </c>
      <c r="K99" s="6">
        <f>'Feedstock MIX per IVC'!N33</f>
        <v>0.51526654102680935</v>
      </c>
      <c r="L99" s="2">
        <f>K99*F$90</f>
        <v>452951.29020929133</v>
      </c>
    </row>
    <row r="100" spans="1:18" s="219" customFormat="1" x14ac:dyDescent="0.35">
      <c r="A100" s="219" t="s">
        <v>60</v>
      </c>
      <c r="B100" s="219">
        <v>1275</v>
      </c>
      <c r="C100" s="220">
        <f>B100*F100</f>
        <v>2237260275.5875654</v>
      </c>
      <c r="D100" s="219">
        <f>'[3]Scenario 2 2040'!$G$25</f>
        <v>2.0972075484745103</v>
      </c>
      <c r="E100" s="219">
        <f>'[2]Conversion factors selected IV '!$O$52</f>
        <v>0.83669064748201449</v>
      </c>
      <c r="F100" s="219">
        <f>D100*E100*1000000</f>
        <v>1754713.9416373062</v>
      </c>
      <c r="G100" s="219">
        <f>'LCoP 2040 high'!E14</f>
        <v>1377.2827404462471</v>
      </c>
      <c r="H100" s="219">
        <f>G100*F100</f>
        <v>2416737226.2374654</v>
      </c>
      <c r="I100" s="219">
        <f>'LCoP 2040 high'!H14</f>
        <v>0.15776189889364783</v>
      </c>
      <c r="L100" s="219">
        <f>I100*H100</f>
        <v>381269053.93818992</v>
      </c>
      <c r="M100" s="219">
        <f>'LCoP 2040 high'!F14</f>
        <v>0.58085386283196694</v>
      </c>
      <c r="O100" s="219">
        <f>M100*H100</f>
        <v>1403771153.309845</v>
      </c>
      <c r="P100" s="219">
        <f>'LCoP 2040 high'!G14</f>
        <v>0.26138423827438517</v>
      </c>
      <c r="R100" s="219">
        <f>P100*H100</f>
        <v>631697018.98943031</v>
      </c>
    </row>
    <row r="101" spans="1:18" s="80" customFormat="1" x14ac:dyDescent="0.35">
      <c r="C101" s="80" t="e">
        <f>C100/#REF!</f>
        <v>#REF!</v>
      </c>
      <c r="D101" s="95"/>
      <c r="E101" s="95"/>
      <c r="F101" s="154" t="s">
        <v>212</v>
      </c>
      <c r="G101" s="2">
        <f>SUMIF($J$101:$J$110, F101,$L$101:$L$110)/$L$100</f>
        <v>0.66541847630171225</v>
      </c>
      <c r="I101" s="5" t="s">
        <v>5</v>
      </c>
      <c r="J101" s="154" t="s">
        <v>212</v>
      </c>
      <c r="K101" s="6">
        <f>'Feedstock MIX per IVC'!N50</f>
        <v>109.21677905053565</v>
      </c>
      <c r="L101" s="2">
        <f>K101*$F$100</f>
        <v>191644204.8606962</v>
      </c>
      <c r="M101" s="5" t="s">
        <v>245</v>
      </c>
      <c r="N101" s="35">
        <v>0</v>
      </c>
      <c r="O101" s="2" t="e">
        <f>N101*#REF!</f>
        <v>#REF!</v>
      </c>
      <c r="P101" s="18" t="s">
        <v>251</v>
      </c>
      <c r="Q101" s="35">
        <v>0.25</v>
      </c>
      <c r="R101" s="2" t="e">
        <f>Q101*#REF!</f>
        <v>#REF!</v>
      </c>
    </row>
    <row r="102" spans="1:18" s="80" customFormat="1" x14ac:dyDescent="0.35">
      <c r="D102" s="95"/>
      <c r="E102" s="95"/>
      <c r="F102" s="159" t="s">
        <v>213</v>
      </c>
      <c r="G102" s="2">
        <f t="shared" ref="G102:G106" si="31">SUMIF($J$101:$J$110, F102,$L$101:$L$110)/$L$100</f>
        <v>0</v>
      </c>
      <c r="I102" s="5" t="s">
        <v>6</v>
      </c>
      <c r="J102" s="154" t="s">
        <v>212</v>
      </c>
      <c r="K102" s="6">
        <f>'Feedstock MIX per IVC'!N51</f>
        <v>5.6441571175853591</v>
      </c>
      <c r="L102" s="2">
        <f t="shared" ref="L102:L110" si="32">K102*$F$100</f>
        <v>9903881.1830184627</v>
      </c>
      <c r="M102" t="s">
        <v>246</v>
      </c>
      <c r="N102" s="35">
        <v>0.02</v>
      </c>
      <c r="O102" s="2" t="e">
        <f>N102*#REF!</f>
        <v>#REF!</v>
      </c>
      <c r="P102" s="18" t="s">
        <v>210</v>
      </c>
      <c r="Q102" s="35">
        <v>0.15</v>
      </c>
      <c r="R102" s="2" t="e">
        <f>Q102*#REF!</f>
        <v>#REF!</v>
      </c>
    </row>
    <row r="103" spans="1:18" s="80" customFormat="1" x14ac:dyDescent="0.35">
      <c r="D103" s="95"/>
      <c r="E103" s="95"/>
      <c r="F103" s="157" t="s">
        <v>211</v>
      </c>
      <c r="G103" s="2">
        <f t="shared" si="31"/>
        <v>1.2464659491388867E-2</v>
      </c>
      <c r="I103" s="5" t="s">
        <v>23</v>
      </c>
      <c r="J103" s="159" t="s">
        <v>213</v>
      </c>
      <c r="K103" s="6">
        <f>'Feedstock MIX per IVC'!N52</f>
        <v>0</v>
      </c>
      <c r="L103" s="2">
        <f t="shared" si="32"/>
        <v>0</v>
      </c>
      <c r="M103" s="5" t="s">
        <v>244</v>
      </c>
      <c r="N103" s="35">
        <v>0.55000000000000004</v>
      </c>
      <c r="O103" s="2" t="e">
        <f>N103*#REF!</f>
        <v>#REF!</v>
      </c>
      <c r="P103" s="18" t="s">
        <v>252</v>
      </c>
      <c r="Q103" s="35">
        <v>0.3</v>
      </c>
      <c r="R103" s="2" t="e">
        <f>Q103*#REF!</f>
        <v>#REF!</v>
      </c>
    </row>
    <row r="104" spans="1:18" s="80" customFormat="1" x14ac:dyDescent="0.35">
      <c r="D104" s="95"/>
      <c r="E104" s="95"/>
      <c r="F104" s="178" t="s">
        <v>256</v>
      </c>
      <c r="G104" s="2">
        <f t="shared" si="31"/>
        <v>0.1379222897994094</v>
      </c>
      <c r="I104" s="5" t="s">
        <v>7</v>
      </c>
      <c r="J104" s="157" t="s">
        <v>211</v>
      </c>
      <c r="K104" s="6">
        <f>'Feedstock MIX per IVC'!N53</f>
        <v>2.7083553730182968</v>
      </c>
      <c r="L104" s="2">
        <f t="shared" si="32"/>
        <v>4752388.9319435125</v>
      </c>
      <c r="M104" t="s">
        <v>247</v>
      </c>
      <c r="N104" s="35">
        <v>0.1</v>
      </c>
      <c r="O104" s="2" t="e">
        <f>N104*#REF!</f>
        <v>#REF!</v>
      </c>
      <c r="P104" s="18" t="s">
        <v>253</v>
      </c>
      <c r="Q104" s="35">
        <v>0.3</v>
      </c>
      <c r="R104" s="2" t="e">
        <f>Q104*#REF!</f>
        <v>#REF!</v>
      </c>
    </row>
    <row r="105" spans="1:18" s="80" customFormat="1" x14ac:dyDescent="0.35">
      <c r="D105" s="95"/>
      <c r="E105" s="95"/>
      <c r="F105" s="156" t="s">
        <v>209</v>
      </c>
      <c r="G105" s="2">
        <f t="shared" si="31"/>
        <v>0.1725996519573634</v>
      </c>
      <c r="I105" s="5" t="s">
        <v>8</v>
      </c>
      <c r="J105" s="154" t="s">
        <v>212</v>
      </c>
      <c r="K105" s="6">
        <f>'Feedstock MIX per IVC'!N54</f>
        <v>23.578323402402507</v>
      </c>
      <c r="L105" s="2">
        <f t="shared" si="32"/>
        <v>41373212.794628844</v>
      </c>
      <c r="M105" t="s">
        <v>248</v>
      </c>
      <c r="N105" s="35">
        <v>0.3</v>
      </c>
      <c r="O105" s="2" t="e">
        <f>N105*#REF!</f>
        <v>#REF!</v>
      </c>
      <c r="P105" s="18" t="s">
        <v>254</v>
      </c>
      <c r="Q105" s="240">
        <v>0</v>
      </c>
      <c r="R105" s="2" t="e">
        <f>Q105*#REF!</f>
        <v>#REF!</v>
      </c>
    </row>
    <row r="106" spans="1:18" s="80" customFormat="1" x14ac:dyDescent="0.35">
      <c r="D106" s="95"/>
      <c r="E106" s="95"/>
      <c r="F106" s="258" t="s">
        <v>298</v>
      </c>
      <c r="G106" s="2">
        <f t="shared" si="31"/>
        <v>0</v>
      </c>
      <c r="I106" s="5" t="s">
        <v>9</v>
      </c>
      <c r="J106" s="154" t="s">
        <v>212</v>
      </c>
      <c r="K106" s="6">
        <f>'Feedstock MIX per IVC'!N55</f>
        <v>6.1446905038786186</v>
      </c>
      <c r="L106" s="2">
        <f t="shared" si="32"/>
        <v>10782174.094202176</v>
      </c>
      <c r="M106" t="s">
        <v>250</v>
      </c>
      <c r="N106" s="35">
        <v>0.03</v>
      </c>
      <c r="O106" s="2" t="e">
        <f>N106*#REF!</f>
        <v>#REF!</v>
      </c>
      <c r="R106"/>
    </row>
    <row r="107" spans="1:18" s="80" customFormat="1" x14ac:dyDescent="0.35">
      <c r="D107" s="95"/>
      <c r="E107" s="95"/>
      <c r="F107" s="158" t="s">
        <v>104</v>
      </c>
      <c r="G107" s="2">
        <f>SUMIF($J$101:$J$110, F107,$L$101:$L$110)/$L$100/2</f>
        <v>5.797461225062992E-3</v>
      </c>
      <c r="I107" s="5" t="s">
        <v>10</v>
      </c>
      <c r="J107" s="178" t="s">
        <v>256</v>
      </c>
      <c r="K107" s="6">
        <f>'Feedstock MIX per IVC'!N56</f>
        <v>29.968133096237146</v>
      </c>
      <c r="L107" s="2">
        <f t="shared" si="32"/>
        <v>52585500.948809691</v>
      </c>
      <c r="M107" s="80" t="s">
        <v>361</v>
      </c>
      <c r="O107" s="92" t="e">
        <f>SUM(O101:O106)</f>
        <v>#REF!</v>
      </c>
      <c r="R107" s="92" t="e">
        <f>SUM(R101:R106)</f>
        <v>#REF!</v>
      </c>
    </row>
    <row r="108" spans="1:18" s="80" customFormat="1" x14ac:dyDescent="0.35">
      <c r="D108" s="95"/>
      <c r="E108" s="95"/>
      <c r="F108" s="207" t="s">
        <v>426</v>
      </c>
      <c r="G108" s="2">
        <f>G107</f>
        <v>5.797461225062992E-3</v>
      </c>
      <c r="I108" s="5" t="s">
        <v>11</v>
      </c>
      <c r="J108" s="156" t="s">
        <v>209</v>
      </c>
      <c r="K108" s="6">
        <f>'Feedstock MIX per IVC'!N57</f>
        <v>37.50292537736437</v>
      </c>
      <c r="L108" s="2">
        <f t="shared" si="32"/>
        <v>65806906.011844791</v>
      </c>
    </row>
    <row r="109" spans="1:18" s="80" customFormat="1" x14ac:dyDescent="0.35">
      <c r="D109" s="95"/>
      <c r="E109" s="95"/>
      <c r="F109" s="237"/>
      <c r="G109" s="92">
        <f>SUM(G101:G108)</f>
        <v>0.99999999999999978</v>
      </c>
      <c r="I109" s="5" t="s">
        <v>12</v>
      </c>
      <c r="J109" s="159" t="s">
        <v>213</v>
      </c>
      <c r="K109" s="6">
        <f>'Feedstock MIX per IVC'!N58</f>
        <v>0</v>
      </c>
      <c r="L109" s="2">
        <f t="shared" si="32"/>
        <v>0</v>
      </c>
    </row>
    <row r="110" spans="1:18" s="80" customFormat="1" x14ac:dyDescent="0.35">
      <c r="D110" s="95"/>
      <c r="E110" s="95"/>
      <c r="F110" s="230"/>
      <c r="G110" s="237"/>
      <c r="I110" s="13" t="s">
        <v>33</v>
      </c>
      <c r="J110" s="158" t="s">
        <v>104</v>
      </c>
      <c r="K110" s="6">
        <f>'Feedstock MIX per IVC'!N59</f>
        <v>2.5193765252250873</v>
      </c>
      <c r="L110" s="2">
        <f t="shared" si="32"/>
        <v>4420785.1130462131</v>
      </c>
    </row>
    <row r="111" spans="1:18" s="80" customFormat="1" x14ac:dyDescent="0.35">
      <c r="D111" s="95"/>
      <c r="E111" s="95"/>
      <c r="F111" s="230"/>
      <c r="G111" s="237"/>
      <c r="I111" s="14"/>
      <c r="K111" s="6" t="s">
        <v>360</v>
      </c>
      <c r="L111" s="2">
        <f>SUM(L101:L110)</f>
        <v>381269053.93818992</v>
      </c>
    </row>
    <row r="112" spans="1:18" s="93" customFormat="1" ht="26" customHeight="1" x14ac:dyDescent="0.35">
      <c r="A112" s="93" t="s">
        <v>107</v>
      </c>
      <c r="D112" s="94"/>
      <c r="E112" s="94"/>
      <c r="F112" s="176"/>
      <c r="I112" s="96"/>
    </row>
    <row r="113" spans="1:19" ht="16" customHeight="1" x14ac:dyDescent="0.35">
      <c r="C113" s="2">
        <f>C114+C132+C144</f>
        <v>15297111992.429531</v>
      </c>
      <c r="D113" s="2">
        <f>D114+D132+D144+D121</f>
        <v>8.2743228492875822</v>
      </c>
      <c r="E113" s="2"/>
      <c r="F113" s="2">
        <f>F114+F132+F144</f>
        <v>6427357.9800124075</v>
      </c>
      <c r="I113" s="6"/>
    </row>
    <row r="114" spans="1:19" s="219" customFormat="1" x14ac:dyDescent="0.35">
      <c r="A114" s="219" t="s">
        <v>91</v>
      </c>
      <c r="B114" s="219">
        <v>2380</v>
      </c>
      <c r="C114" s="219">
        <f>B114*F114</f>
        <v>2165776568.7435951</v>
      </c>
      <c r="D114" s="219">
        <f>'[3]Scenario 2 2040'!$G$30</f>
        <v>0.93459388225313333</v>
      </c>
      <c r="E114" s="219">
        <f>'[2]Conversion factors selected IV '!$O$78</f>
        <v>0.97367441860465131</v>
      </c>
      <c r="F114" s="219">
        <f>D114*E114*1000000</f>
        <v>909990.15493428358</v>
      </c>
      <c r="G114" s="219">
        <f>'LCoP 2040 high'!E4</f>
        <v>1833.8270636196046</v>
      </c>
      <c r="H114" s="219">
        <f>G114*F114</f>
        <v>1668764573.7458863</v>
      </c>
      <c r="I114" s="219">
        <f>'LCoP 2040 high'!H4</f>
        <v>0.48632015597987627</v>
      </c>
      <c r="L114" s="219">
        <f>I114*H114</f>
        <v>811553847.79779112</v>
      </c>
      <c r="M114" s="219">
        <f>'LCoP 2040 high'!F4</f>
        <v>0.20503569145601541</v>
      </c>
      <c r="O114" s="219">
        <f>M114*H114</f>
        <v>342156298.25529063</v>
      </c>
      <c r="P114" s="219">
        <f>'LCoP 2040 high'!G4</f>
        <v>0.30864415256410832</v>
      </c>
      <c r="R114" s="219">
        <f>P114*H114</f>
        <v>515054427.69280452</v>
      </c>
      <c r="S114" s="219">
        <f>L114+O114+R114</f>
        <v>1668764573.7458863</v>
      </c>
    </row>
    <row r="115" spans="1:19" x14ac:dyDescent="0.35">
      <c r="C115">
        <f>C114/C113</f>
        <v>0.14158074869396445</v>
      </c>
      <c r="D115" s="2"/>
      <c r="E115" s="2"/>
      <c r="F115" s="154" t="s">
        <v>212</v>
      </c>
      <c r="G115" s="2">
        <f>SUMIF($J$115:$J$118,F115,$L$115:$L$118)/$L$114</f>
        <v>0.60713982703972069</v>
      </c>
      <c r="I115" s="4" t="s">
        <v>2</v>
      </c>
      <c r="J115" s="154" t="s">
        <v>212</v>
      </c>
      <c r="K115" s="6">
        <f>'Feedstock MIX per IVC'!N9</f>
        <v>372.3562754920261</v>
      </c>
      <c r="L115" s="2">
        <f>K115*F$114</f>
        <v>338840544.82574159</v>
      </c>
      <c r="M115" s="5" t="s">
        <v>245</v>
      </c>
      <c r="N115" s="123">
        <v>0.05</v>
      </c>
      <c r="O115" s="2">
        <f>N115*O$114</f>
        <v>17107814.912764531</v>
      </c>
      <c r="P115" s="18" t="s">
        <v>251</v>
      </c>
      <c r="Q115" s="123">
        <v>0.35</v>
      </c>
      <c r="R115" s="2">
        <f>Q115*R$114</f>
        <v>180269049.69248158</v>
      </c>
    </row>
    <row r="116" spans="1:19" x14ac:dyDescent="0.35">
      <c r="D116" s="2"/>
      <c r="E116" s="2"/>
      <c r="F116" s="207" t="s">
        <v>104</v>
      </c>
      <c r="G116" s="2">
        <f t="shared" ref="G116:G117" si="33">SUMIF($J$115:$J$118,F116,$L$115:$L$118)/$L$114</f>
        <v>0.39286017296027931</v>
      </c>
      <c r="I116" s="232" t="s">
        <v>162</v>
      </c>
      <c r="J116" s="154" t="s">
        <v>212</v>
      </c>
      <c r="K116" s="6">
        <f>'Feedstock MIX per IVC'!N10</f>
        <v>169.10745366332256</v>
      </c>
      <c r="L116" s="2">
        <f t="shared" ref="L116:L118" si="34">K116*F$114</f>
        <v>153886117.95962909</v>
      </c>
      <c r="M116" t="s">
        <v>246</v>
      </c>
      <c r="N116" s="123">
        <v>0.02</v>
      </c>
      <c r="O116" s="2">
        <f t="shared" ref="O116:O120" si="35">N116*O$114</f>
        <v>6843125.965105813</v>
      </c>
      <c r="P116" s="18" t="s">
        <v>210</v>
      </c>
      <c r="Q116" s="123">
        <v>0.25</v>
      </c>
      <c r="R116" s="2">
        <f t="shared" ref="R116:R119" si="36">Q116*R$114</f>
        <v>128763606.92320113</v>
      </c>
    </row>
    <row r="117" spans="1:19" x14ac:dyDescent="0.35">
      <c r="D117" s="2"/>
      <c r="E117" s="2"/>
      <c r="F117" s="259" t="s">
        <v>210</v>
      </c>
      <c r="G117" s="2">
        <f t="shared" si="33"/>
        <v>0.36143692844729902</v>
      </c>
      <c r="I117" s="233" t="s">
        <v>341</v>
      </c>
      <c r="J117" s="207" t="s">
        <v>104</v>
      </c>
      <c r="K117" s="6">
        <f>'Feedstock MIX per IVC'!N11</f>
        <v>350.36333446425584</v>
      </c>
      <c r="L117" s="2">
        <f t="shared" si="34"/>
        <v>318827185.01242042</v>
      </c>
      <c r="M117" s="5" t="s">
        <v>244</v>
      </c>
      <c r="N117" s="123">
        <v>0.45</v>
      </c>
      <c r="O117" s="2">
        <f t="shared" si="35"/>
        <v>153970334.21488079</v>
      </c>
      <c r="P117" s="18" t="s">
        <v>252</v>
      </c>
      <c r="Q117" s="123">
        <v>0.2</v>
      </c>
      <c r="R117" s="2">
        <f t="shared" si="36"/>
        <v>103010885.53856091</v>
      </c>
    </row>
    <row r="118" spans="1:19" x14ac:dyDescent="0.35">
      <c r="D118" s="2"/>
      <c r="E118" s="2"/>
      <c r="G118" s="2"/>
      <c r="I118" s="234" t="s">
        <v>342</v>
      </c>
      <c r="J118" s="259" t="s">
        <v>210</v>
      </c>
      <c r="K118" s="6">
        <f>'Feedstock MIX per IVC'!N12</f>
        <v>322.33923458084382</v>
      </c>
      <c r="L118" s="2">
        <f t="shared" si="34"/>
        <v>293325530.01762044</v>
      </c>
      <c r="M118" t="s">
        <v>247</v>
      </c>
      <c r="N118" s="123">
        <v>0.15</v>
      </c>
      <c r="O118" s="2">
        <f t="shared" si="35"/>
        <v>51323444.738293596</v>
      </c>
      <c r="P118" s="18" t="s">
        <v>253</v>
      </c>
      <c r="Q118" s="123">
        <v>0.15</v>
      </c>
      <c r="R118" s="2">
        <f t="shared" si="36"/>
        <v>77258164.15392068</v>
      </c>
    </row>
    <row r="119" spans="1:19" x14ac:dyDescent="0.35">
      <c r="D119" s="2"/>
      <c r="E119" s="2"/>
      <c r="G119" s="2"/>
      <c r="L119" s="2"/>
      <c r="M119" t="s">
        <v>248</v>
      </c>
      <c r="N119" s="123">
        <v>0.3</v>
      </c>
      <c r="O119" s="2">
        <f t="shared" si="35"/>
        <v>102646889.47658719</v>
      </c>
      <c r="P119" s="18" t="s">
        <v>254</v>
      </c>
      <c r="Q119" s="123">
        <v>0.05</v>
      </c>
      <c r="R119" s="2">
        <f t="shared" si="36"/>
        <v>25752721.384640228</v>
      </c>
    </row>
    <row r="120" spans="1:19" x14ac:dyDescent="0.35">
      <c r="D120" s="2"/>
      <c r="E120" s="2"/>
      <c r="G120" s="2"/>
      <c r="M120" t="s">
        <v>250</v>
      </c>
      <c r="N120" s="123">
        <v>0.03</v>
      </c>
      <c r="O120" s="2">
        <f t="shared" si="35"/>
        <v>10264688.947658718</v>
      </c>
      <c r="Q120" s="123"/>
    </row>
    <row r="121" spans="1:19" s="219" customFormat="1" x14ac:dyDescent="0.35">
      <c r="A121" s="219" t="s">
        <v>116</v>
      </c>
      <c r="B121" s="219">
        <v>2380</v>
      </c>
      <c r="C121" s="220">
        <f>B121*F121</f>
        <v>4085446034.1787572</v>
      </c>
      <c r="D121" s="219">
        <f>'[3]Scenario 2 2040'!$G$31</f>
        <v>1.7629855844427276</v>
      </c>
      <c r="E121" s="219">
        <f>'[2]Conversion factors selected IV '!$O$27</f>
        <v>0.97367441860465131</v>
      </c>
      <c r="F121" s="219">
        <f>D121*E121*1000000</f>
        <v>1716573.9639406542</v>
      </c>
      <c r="G121" s="248" t="s">
        <v>393</v>
      </c>
      <c r="L121" s="219">
        <v>0</v>
      </c>
    </row>
    <row r="122" spans="1:19" x14ac:dyDescent="0.35">
      <c r="D122" s="2"/>
      <c r="E122" s="2"/>
      <c r="G122" s="2"/>
      <c r="I122" s="8" t="s">
        <v>17</v>
      </c>
      <c r="J122" s="260" t="s">
        <v>108</v>
      </c>
      <c r="L122" s="2"/>
      <c r="M122" s="5" t="s">
        <v>245</v>
      </c>
      <c r="N122" s="35">
        <v>0</v>
      </c>
      <c r="O122" s="2"/>
      <c r="P122" s="18" t="s">
        <v>251</v>
      </c>
      <c r="Q122" s="35">
        <v>0.2</v>
      </c>
    </row>
    <row r="123" spans="1:19" x14ac:dyDescent="0.35">
      <c r="D123" s="2"/>
      <c r="E123" s="2"/>
      <c r="G123" s="2"/>
      <c r="L123" s="2"/>
      <c r="M123" t="s">
        <v>246</v>
      </c>
      <c r="N123" s="35">
        <v>0.02</v>
      </c>
      <c r="O123" s="2"/>
      <c r="P123" s="18" t="s">
        <v>210</v>
      </c>
      <c r="Q123" s="35">
        <v>0.5</v>
      </c>
    </row>
    <row r="124" spans="1:19" x14ac:dyDescent="0.35">
      <c r="D124" s="2"/>
      <c r="E124" s="2"/>
      <c r="G124" s="2"/>
      <c r="L124" s="2"/>
      <c r="M124" s="5" t="s">
        <v>244</v>
      </c>
      <c r="N124" s="35">
        <v>0.5</v>
      </c>
      <c r="O124" s="2"/>
      <c r="P124" s="18" t="s">
        <v>252</v>
      </c>
      <c r="Q124" s="35">
        <v>0.15</v>
      </c>
    </row>
    <row r="125" spans="1:19" x14ac:dyDescent="0.35">
      <c r="D125" s="2"/>
      <c r="E125" s="2"/>
      <c r="G125" s="2"/>
      <c r="L125" s="2"/>
      <c r="M125" t="s">
        <v>247</v>
      </c>
      <c r="N125" s="35">
        <v>0.15</v>
      </c>
      <c r="O125" s="2"/>
      <c r="P125" s="18" t="s">
        <v>253</v>
      </c>
      <c r="Q125" s="35">
        <v>0.1</v>
      </c>
    </row>
    <row r="126" spans="1:19" x14ac:dyDescent="0.35">
      <c r="D126" s="2"/>
      <c r="E126" s="2"/>
      <c r="G126" s="2"/>
      <c r="L126" s="2"/>
      <c r="M126" t="s">
        <v>248</v>
      </c>
      <c r="N126" s="35">
        <v>0.3</v>
      </c>
      <c r="O126" s="2"/>
      <c r="P126" s="18" t="s">
        <v>254</v>
      </c>
      <c r="Q126" s="35">
        <v>0.05</v>
      </c>
    </row>
    <row r="127" spans="1:19" x14ac:dyDescent="0.35">
      <c r="D127" s="2"/>
      <c r="E127" s="2"/>
      <c r="G127" s="2"/>
      <c r="L127" s="2"/>
      <c r="M127" t="s">
        <v>250</v>
      </c>
      <c r="N127" s="35">
        <v>0.03</v>
      </c>
      <c r="O127" s="2"/>
      <c r="Q127" s="123"/>
    </row>
    <row r="128" spans="1:19" x14ac:dyDescent="0.35">
      <c r="D128" s="2"/>
      <c r="E128" s="2"/>
      <c r="G128" s="2"/>
      <c r="N128" s="123"/>
      <c r="O128" s="2"/>
      <c r="Q128" s="123"/>
    </row>
    <row r="129" spans="1:19" x14ac:dyDescent="0.35">
      <c r="D129" s="2"/>
      <c r="E129" s="2"/>
      <c r="G129" s="2"/>
      <c r="N129" s="123"/>
      <c r="O129" s="2"/>
      <c r="Q129" s="123"/>
    </row>
    <row r="130" spans="1:19" x14ac:dyDescent="0.35">
      <c r="D130" s="2"/>
      <c r="E130" s="2"/>
      <c r="G130" s="2"/>
      <c r="N130" s="123"/>
      <c r="O130" s="2"/>
      <c r="Q130" s="123"/>
    </row>
    <row r="131" spans="1:19" x14ac:dyDescent="0.35">
      <c r="D131" s="2"/>
      <c r="E131" s="2"/>
      <c r="G131" s="2"/>
      <c r="N131" s="123"/>
      <c r="O131" s="2"/>
      <c r="Q131" s="123"/>
    </row>
    <row r="132" spans="1:19" s="219" customFormat="1" x14ac:dyDescent="0.35">
      <c r="A132" s="219" t="s">
        <v>345</v>
      </c>
      <c r="B132" s="219">
        <v>2380</v>
      </c>
      <c r="C132" s="219">
        <f>B132*F132</f>
        <v>5226614226.0695457</v>
      </c>
      <c r="D132" s="219">
        <f>'[3]Scenario 2 2040'!$G$32</f>
        <v>2.2554319550218098</v>
      </c>
      <c r="E132" s="219">
        <f>'[2]Conversion factors selected IV '!$O$76</f>
        <v>0.97367441860465131</v>
      </c>
      <c r="F132" s="219">
        <f>D132*E132*1000000</f>
        <v>2196056.3975082124</v>
      </c>
      <c r="G132" s="219">
        <f>'LCoP 2040 high'!E17</f>
        <v>2976.5963634160148</v>
      </c>
      <c r="H132" s="219">
        <f>G132*F132</f>
        <v>6536773486.6794195</v>
      </c>
      <c r="I132" s="219">
        <f>'LCoP 2040 high'!H17</f>
        <v>0.19370996030993554</v>
      </c>
      <c r="L132" s="219">
        <f>I132*H132</f>
        <v>1266238132.6597092</v>
      </c>
      <c r="M132" s="219">
        <f>'LCoP 2040 high'!F17</f>
        <v>0.48545379473005962</v>
      </c>
      <c r="O132" s="219">
        <f>M132*H132</f>
        <v>3173301494.3993669</v>
      </c>
      <c r="P132" s="219">
        <f>'LCoP 2040 high'!G17</f>
        <v>0.32083624496000479</v>
      </c>
      <c r="R132" s="219">
        <f>P132*H132</f>
        <v>2097233859.620343</v>
      </c>
    </row>
    <row r="133" spans="1:19" s="80" customFormat="1" x14ac:dyDescent="0.35">
      <c r="C133">
        <f>C132/C113</f>
        <v>0.34167326673532705</v>
      </c>
      <c r="F133" s="154" t="s">
        <v>212</v>
      </c>
      <c r="G133" s="2">
        <f>SUMIF($J$133:$J$142,F133,$L$133:$L$142)/$L$132</f>
        <v>0.67079908974370217</v>
      </c>
      <c r="I133" s="5" t="s">
        <v>5</v>
      </c>
      <c r="J133" s="154" t="s">
        <v>212</v>
      </c>
      <c r="K133" s="6">
        <f>'Feedstock MIX per IVC'!N74</f>
        <v>293.34967105399272</v>
      </c>
      <c r="L133" s="2">
        <f>K133*F$132</f>
        <v>644212421.82505035</v>
      </c>
      <c r="M133" s="5" t="s">
        <v>245</v>
      </c>
      <c r="N133" s="35">
        <v>0</v>
      </c>
      <c r="O133" s="2">
        <f>N133*O$132</f>
        <v>0</v>
      </c>
      <c r="P133" s="18" t="s">
        <v>251</v>
      </c>
      <c r="Q133" s="35">
        <v>0.25</v>
      </c>
      <c r="R133" s="2">
        <f>Q133*R$132</f>
        <v>524308464.90508574</v>
      </c>
    </row>
    <row r="134" spans="1:19" x14ac:dyDescent="0.35">
      <c r="F134" s="178" t="s">
        <v>256</v>
      </c>
      <c r="G134" s="2">
        <f t="shared" ref="G134:G138" si="37">SUMIF($J$133:$J$142,F134,$L$133:$L$142)/$L$132</f>
        <v>0.13956465583527594</v>
      </c>
      <c r="I134" s="5" t="s">
        <v>6</v>
      </c>
      <c r="J134" s="154" t="s">
        <v>212</v>
      </c>
      <c r="K134" s="6">
        <f>'Feedstock MIX per IVC'!N75</f>
        <v>15.165135855302227</v>
      </c>
      <c r="L134" s="2">
        <f t="shared" ref="L134:L142" si="38">K134*F$132</f>
        <v>33303493.61411763</v>
      </c>
      <c r="M134" t="s">
        <v>246</v>
      </c>
      <c r="N134" s="35">
        <v>0.02</v>
      </c>
      <c r="O134" s="2">
        <f t="shared" ref="O134:O138" si="39">N134*O$132</f>
        <v>63466029.887987338</v>
      </c>
      <c r="P134" s="18" t="s">
        <v>210</v>
      </c>
      <c r="Q134" s="35">
        <v>0.15</v>
      </c>
      <c r="R134" s="2">
        <f t="shared" ref="R134:R137" si="40">Q134*R$132</f>
        <v>314585078.94305146</v>
      </c>
    </row>
    <row r="135" spans="1:19" x14ac:dyDescent="0.35">
      <c r="F135" s="156" t="s">
        <v>209</v>
      </c>
      <c r="G135" s="2">
        <f t="shared" si="37"/>
        <v>0.17455333639188916</v>
      </c>
      <c r="I135" s="5" t="s">
        <v>23</v>
      </c>
      <c r="J135" s="159" t="s">
        <v>213</v>
      </c>
      <c r="K135" s="6">
        <f>'Feedstock MIX per IVC'!N76</f>
        <v>0</v>
      </c>
      <c r="L135" s="2">
        <f t="shared" si="38"/>
        <v>0</v>
      </c>
      <c r="M135" s="5" t="s">
        <v>244</v>
      </c>
      <c r="N135" s="35">
        <v>0.55000000000000004</v>
      </c>
      <c r="O135" s="2">
        <f t="shared" si="39"/>
        <v>1745315821.919652</v>
      </c>
      <c r="P135" s="18" t="s">
        <v>252</v>
      </c>
      <c r="Q135" s="35">
        <v>0.3</v>
      </c>
      <c r="R135" s="2">
        <f t="shared" si="40"/>
        <v>629170157.88610291</v>
      </c>
    </row>
    <row r="136" spans="1:19" x14ac:dyDescent="0.35">
      <c r="F136" s="159" t="s">
        <v>213</v>
      </c>
      <c r="G136" s="2">
        <f t="shared" si="37"/>
        <v>0</v>
      </c>
      <c r="I136" s="5" t="s">
        <v>7</v>
      </c>
      <c r="J136" s="157" t="s">
        <v>211</v>
      </c>
      <c r="K136" s="6">
        <f>'Feedstock MIX per IVC'!N77</f>
        <v>7.2889936763447416</v>
      </c>
      <c r="L136" s="2">
        <f t="shared" si="38"/>
        <v>16007041.194333775</v>
      </c>
      <c r="M136" t="s">
        <v>247</v>
      </c>
      <c r="N136" s="35">
        <v>0.1</v>
      </c>
      <c r="O136" s="2">
        <f t="shared" si="39"/>
        <v>317330149.4399367</v>
      </c>
      <c r="P136" s="18" t="s">
        <v>253</v>
      </c>
      <c r="Q136" s="35">
        <v>0.3</v>
      </c>
      <c r="R136" s="2">
        <f t="shared" si="40"/>
        <v>629170157.88610291</v>
      </c>
    </row>
    <row r="137" spans="1:19" s="80" customFormat="1" x14ac:dyDescent="0.35">
      <c r="F137" s="207" t="s">
        <v>104</v>
      </c>
      <c r="G137" s="299">
        <f t="shared" si="37"/>
        <v>2.441503447255309E-3</v>
      </c>
      <c r="I137" s="5" t="s">
        <v>8</v>
      </c>
      <c r="J137" s="154" t="s">
        <v>212</v>
      </c>
      <c r="K137" s="6">
        <f>'Feedstock MIX per IVC'!N78</f>
        <v>61.937979630127082</v>
      </c>
      <c r="L137" s="2">
        <f t="shared" si="38"/>
        <v>136019296.41547391</v>
      </c>
      <c r="M137" t="s">
        <v>248</v>
      </c>
      <c r="N137" s="35">
        <v>0.3</v>
      </c>
      <c r="O137" s="2">
        <f t="shared" si="39"/>
        <v>951990448.31981003</v>
      </c>
      <c r="P137" s="18" t="s">
        <v>254</v>
      </c>
      <c r="Q137" s="240">
        <v>0</v>
      </c>
      <c r="R137" s="2">
        <f t="shared" si="40"/>
        <v>0</v>
      </c>
    </row>
    <row r="138" spans="1:19" x14ac:dyDescent="0.35">
      <c r="F138" s="157" t="s">
        <v>211</v>
      </c>
      <c r="G138" s="2">
        <f t="shared" si="37"/>
        <v>1.2641414581877492E-2</v>
      </c>
      <c r="I138" s="5" t="s">
        <v>9</v>
      </c>
      <c r="J138" s="154" t="s">
        <v>212</v>
      </c>
      <c r="K138" s="6">
        <f>'Feedstock MIX per IVC'!N79</f>
        <v>16.3275291895695</v>
      </c>
      <c r="L138" s="2">
        <f t="shared" si="38"/>
        <v>35856174.932256177</v>
      </c>
      <c r="M138" t="s">
        <v>250</v>
      </c>
      <c r="N138" s="35">
        <v>0.03</v>
      </c>
      <c r="O138" s="2">
        <f t="shared" si="39"/>
        <v>95199044.831981003</v>
      </c>
    </row>
    <row r="139" spans="1:19" x14ac:dyDescent="0.35">
      <c r="F139" s="158" t="s">
        <v>105</v>
      </c>
      <c r="G139" s="299">
        <f>G137</f>
        <v>2.441503447255309E-3</v>
      </c>
      <c r="I139" s="5" t="s">
        <v>10</v>
      </c>
      <c r="J139" s="178" t="s">
        <v>256</v>
      </c>
      <c r="K139" s="6">
        <f>'Feedstock MIX per IVC'!N80</f>
        <v>80.472473016027777</v>
      </c>
      <c r="L139" s="2">
        <f t="shared" si="38"/>
        <v>176722089.19015479</v>
      </c>
      <c r="N139" s="35"/>
    </row>
    <row r="140" spans="1:19" x14ac:dyDescent="0.35">
      <c r="F140"/>
      <c r="G140" s="2">
        <f>SUM(G133:G139)</f>
        <v>1.0024415034472554</v>
      </c>
      <c r="I140" s="5" t="s">
        <v>11</v>
      </c>
      <c r="J140" s="156" t="s">
        <v>209</v>
      </c>
      <c r="K140" s="6">
        <f>'Feedstock MIX per IVC'!N81</f>
        <v>100.64681898569557</v>
      </c>
      <c r="L140" s="2">
        <f t="shared" si="38"/>
        <v>221026090.72238779</v>
      </c>
    </row>
    <row r="141" spans="1:19" x14ac:dyDescent="0.35">
      <c r="F141"/>
      <c r="I141" s="5" t="s">
        <v>12</v>
      </c>
      <c r="J141" s="159" t="s">
        <v>213</v>
      </c>
      <c r="K141" s="6">
        <f>'Feedstock MIX per IVC'!N82</f>
        <v>0</v>
      </c>
      <c r="L141" s="2">
        <f t="shared" si="38"/>
        <v>0</v>
      </c>
    </row>
    <row r="142" spans="1:19" x14ac:dyDescent="0.35">
      <c r="I142" s="13" t="s">
        <v>33</v>
      </c>
      <c r="J142" s="207" t="s">
        <v>104</v>
      </c>
      <c r="K142" s="6">
        <f>'Feedstock MIX per IVC'!N83</f>
        <v>1.4077620089550749</v>
      </c>
      <c r="L142" s="2">
        <f t="shared" si="38"/>
        <v>3091524.7659348054</v>
      </c>
    </row>
    <row r="143" spans="1:19" x14ac:dyDescent="0.35">
      <c r="A143" s="80"/>
      <c r="B143" s="80"/>
      <c r="C143" s="80"/>
      <c r="D143" s="92"/>
      <c r="E143" s="92"/>
      <c r="F143" s="230"/>
      <c r="G143" s="101"/>
      <c r="L143" s="2">
        <f>SUM(L133:L142)</f>
        <v>1266238132.6597092</v>
      </c>
    </row>
    <row r="144" spans="1:19" s="218" customFormat="1" x14ac:dyDescent="0.35">
      <c r="A144" s="218" t="s">
        <v>378</v>
      </c>
      <c r="B144" s="219">
        <v>2380</v>
      </c>
      <c r="C144" s="219">
        <f>B144*F144</f>
        <v>7904721197.6163912</v>
      </c>
      <c r="D144" s="225">
        <f>'[3]Scenario 2 2040'!$G$33</f>
        <v>3.3213114275699125</v>
      </c>
      <c r="E144" s="225">
        <f>'[2]Conversion factors selected IV '!$O$125</f>
        <v>1</v>
      </c>
      <c r="F144" s="219">
        <f>D144*E144*1000000</f>
        <v>3321311.4275699123</v>
      </c>
      <c r="G144" s="225">
        <f>'LCoP 2040 high'!E23</f>
        <v>2170.8591081145041</v>
      </c>
      <c r="H144" s="220">
        <f>G144*F144</f>
        <v>7210099163.4249306</v>
      </c>
      <c r="I144" s="219">
        <f>'LCoP 2040 high'!H23</f>
        <v>0.29590087431902667</v>
      </c>
      <c r="L144" s="219">
        <f>I144*H144</f>
        <v>2133474646.3843198</v>
      </c>
      <c r="M144" s="219">
        <f>'LCoP 2040 high'!F23</f>
        <v>0.31554327843733515</v>
      </c>
      <c r="O144" s="219">
        <f>M144*H144</f>
        <v>2275098327.8853903</v>
      </c>
      <c r="P144" s="219">
        <f>'LCoP 2040 high'!G23</f>
        <v>0.38855584724363823</v>
      </c>
      <c r="R144" s="219">
        <f>P144*H144</f>
        <v>2801526189.155221</v>
      </c>
      <c r="S144" s="219">
        <f>L144+O144+R144</f>
        <v>7210099163.4249315</v>
      </c>
    </row>
    <row r="145" spans="1:18" x14ac:dyDescent="0.35">
      <c r="A145" s="80"/>
      <c r="B145" s="80"/>
      <c r="C145">
        <f>C144/C113</f>
        <v>0.51674598457070853</v>
      </c>
      <c r="D145" s="92"/>
      <c r="E145" s="92"/>
      <c r="F145" s="154" t="s">
        <v>212</v>
      </c>
      <c r="G145" s="2">
        <f>SUMIF($J$145:$J$152,F145,$L$145:$L$152)/$L$144</f>
        <v>0.68368548821954722</v>
      </c>
      <c r="H145" s="209" t="s">
        <v>292</v>
      </c>
      <c r="I145" s="5" t="s">
        <v>5</v>
      </c>
      <c r="J145" s="154" t="s">
        <v>212</v>
      </c>
      <c r="K145" s="6">
        <f>'Feedstock MIX per IVC'!N116</f>
        <v>325.30128061116545</v>
      </c>
      <c r="L145" s="2">
        <f>K145*F$144</f>
        <v>1080426860.6969905</v>
      </c>
      <c r="M145" s="5" t="s">
        <v>245</v>
      </c>
      <c r="N145" s="174">
        <v>0.15</v>
      </c>
      <c r="O145" s="2">
        <f>N145*O$144</f>
        <v>341264749.18280852</v>
      </c>
      <c r="P145" s="18" t="s">
        <v>251</v>
      </c>
      <c r="Q145" s="123">
        <v>0.15</v>
      </c>
      <c r="R145" s="2">
        <f>Q145*R$144</f>
        <v>420228928.37328315</v>
      </c>
    </row>
    <row r="146" spans="1:18" x14ac:dyDescent="0.35">
      <c r="A146" s="80"/>
      <c r="B146" s="80"/>
      <c r="C146" s="80"/>
      <c r="D146" s="92"/>
      <c r="E146" s="92"/>
      <c r="F146" s="178" t="s">
        <v>256</v>
      </c>
      <c r="G146" s="2">
        <f t="shared" ref="G146:G149" si="41">SUMIF($J$145:$J$152,F146,$L$145:$L$152)/$L$144</f>
        <v>0.13492282562919444</v>
      </c>
      <c r="H146" s="209" t="s">
        <v>292</v>
      </c>
      <c r="I146" s="5" t="s">
        <v>6</v>
      </c>
      <c r="J146" s="154" t="s">
        <v>212</v>
      </c>
      <c r="K146" s="6">
        <f>'Feedstock MIX per IVC'!N117</f>
        <v>16.812071357056464</v>
      </c>
      <c r="L146" s="2">
        <f t="shared" ref="L146:L152" si="42">K146*F$144</f>
        <v>55838124.719312437</v>
      </c>
      <c r="M146" t="s">
        <v>246</v>
      </c>
      <c r="N146" s="35">
        <v>0.02</v>
      </c>
      <c r="O146" s="2">
        <f t="shared" ref="O146:O150" si="43">N146*O$144</f>
        <v>45501966.557707809</v>
      </c>
      <c r="P146" s="18" t="s">
        <v>210</v>
      </c>
      <c r="Q146" s="123">
        <v>0.25</v>
      </c>
      <c r="R146" s="2">
        <f t="shared" ref="R146:R149" si="44">Q146*R$144</f>
        <v>700381547.28880525</v>
      </c>
    </row>
    <row r="147" spans="1:18" x14ac:dyDescent="0.35">
      <c r="A147" s="80"/>
      <c r="B147" s="80"/>
      <c r="C147" s="80"/>
      <c r="D147" s="92"/>
      <c r="E147" s="92"/>
      <c r="F147" s="156" t="s">
        <v>209</v>
      </c>
      <c r="G147" s="2">
        <f t="shared" si="41"/>
        <v>0.1688293108921553</v>
      </c>
      <c r="H147" s="209" t="s">
        <v>292</v>
      </c>
      <c r="I147" s="5" t="s">
        <v>7</v>
      </c>
      <c r="J147" s="157" t="s">
        <v>211</v>
      </c>
      <c r="K147" s="6">
        <f>'Feedstock MIX per IVC'!N118</f>
        <v>8.0695561672370868</v>
      </c>
      <c r="L147" s="2">
        <f t="shared" si="42"/>
        <v>26801509.1136618</v>
      </c>
      <c r="M147" s="5" t="s">
        <v>244</v>
      </c>
      <c r="N147" s="174">
        <v>0.45</v>
      </c>
      <c r="O147" s="2">
        <f t="shared" si="43"/>
        <v>1023794247.5484257</v>
      </c>
      <c r="P147" s="18" t="s">
        <v>252</v>
      </c>
      <c r="Q147" s="123">
        <v>0.2</v>
      </c>
      <c r="R147" s="2">
        <f t="shared" si="44"/>
        <v>560305237.8310442</v>
      </c>
    </row>
    <row r="148" spans="1:18" x14ac:dyDescent="0.35">
      <c r="A148" s="80"/>
      <c r="B148" s="80"/>
      <c r="C148" s="80"/>
      <c r="D148" s="92"/>
      <c r="E148" s="92"/>
      <c r="F148" s="159" t="s">
        <v>213</v>
      </c>
      <c r="G148" s="2">
        <f t="shared" si="41"/>
        <v>0</v>
      </c>
      <c r="H148" s="209" t="s">
        <v>292</v>
      </c>
      <c r="I148" s="5" t="s">
        <v>8</v>
      </c>
      <c r="J148" s="154" t="s">
        <v>212</v>
      </c>
      <c r="K148" s="6">
        <f>'Feedstock MIX per IVC'!N119</f>
        <v>78.789724886659172</v>
      </c>
      <c r="L148" s="2">
        <f t="shared" si="42"/>
        <v>261685213.64115062</v>
      </c>
      <c r="M148" t="s">
        <v>247</v>
      </c>
      <c r="N148" s="35">
        <v>0.1</v>
      </c>
      <c r="O148" s="2">
        <f t="shared" si="43"/>
        <v>227509832.78853905</v>
      </c>
      <c r="P148" s="18" t="s">
        <v>253</v>
      </c>
      <c r="Q148" s="123">
        <v>0.3</v>
      </c>
      <c r="R148" s="2">
        <f t="shared" si="44"/>
        <v>840457856.7465663</v>
      </c>
    </row>
    <row r="149" spans="1:18" x14ac:dyDescent="0.35">
      <c r="A149" s="80"/>
      <c r="B149" s="80"/>
      <c r="C149" s="80"/>
      <c r="D149" s="92"/>
      <c r="E149" s="92"/>
      <c r="F149" s="157" t="s">
        <v>211</v>
      </c>
      <c r="G149" s="2">
        <f t="shared" si="41"/>
        <v>1.2562375259102953E-2</v>
      </c>
      <c r="H149" s="209" t="s">
        <v>292</v>
      </c>
      <c r="I149" s="5" t="s">
        <v>9</v>
      </c>
      <c r="J149" s="154" t="s">
        <v>212</v>
      </c>
      <c r="K149" s="6">
        <f>'Feedstock MIX per IVC'!N120</f>
        <v>18.268523588656635</v>
      </c>
      <c r="L149" s="2">
        <f t="shared" si="42"/>
        <v>60675456.159835786</v>
      </c>
      <c r="M149" t="s">
        <v>248</v>
      </c>
      <c r="N149" s="35">
        <v>0.25</v>
      </c>
      <c r="O149" s="2">
        <f t="shared" si="43"/>
        <v>568774581.97134757</v>
      </c>
      <c r="P149" s="18" t="s">
        <v>254</v>
      </c>
      <c r="Q149" s="123">
        <v>0.1</v>
      </c>
      <c r="R149" s="2">
        <f t="shared" si="44"/>
        <v>280152618.9155221</v>
      </c>
    </row>
    <row r="150" spans="1:18" x14ac:dyDescent="0.35">
      <c r="A150" s="80"/>
      <c r="B150" s="80"/>
      <c r="C150" s="80"/>
      <c r="D150" s="92"/>
      <c r="E150" s="92"/>
      <c r="F150" s="230"/>
      <c r="G150" s="2">
        <f>SUM(G145:G149)</f>
        <v>0.99999999999999989</v>
      </c>
      <c r="H150" s="209" t="s">
        <v>292</v>
      </c>
      <c r="I150" s="5" t="s">
        <v>10</v>
      </c>
      <c r="J150" s="178" t="s">
        <v>256</v>
      </c>
      <c r="K150" s="6">
        <f>'Feedstock MIX per IVC'!N121</f>
        <v>86.668905935458113</v>
      </c>
      <c r="L150" s="2">
        <f t="shared" si="42"/>
        <v>287854427.69841886</v>
      </c>
      <c r="M150" t="s">
        <v>250</v>
      </c>
      <c r="N150" s="35">
        <v>0.03</v>
      </c>
      <c r="O150" s="2">
        <f t="shared" si="43"/>
        <v>68252949.83656171</v>
      </c>
      <c r="Q150" s="35"/>
    </row>
    <row r="151" spans="1:18" x14ac:dyDescent="0.35">
      <c r="A151" s="80"/>
      <c r="B151" s="80"/>
      <c r="C151" s="80"/>
      <c r="D151" s="92"/>
      <c r="E151" s="92"/>
      <c r="F151" s="230"/>
      <c r="H151" s="209" t="s">
        <v>292</v>
      </c>
      <c r="I151" s="5" t="s">
        <v>11</v>
      </c>
      <c r="J151" s="156" t="s">
        <v>209</v>
      </c>
      <c r="K151" s="6">
        <f>'Feedstock MIX per IVC'!N122</f>
        <v>108.44904556827125</v>
      </c>
      <c r="L151" s="2">
        <f t="shared" si="42"/>
        <v>360193054.35494941</v>
      </c>
      <c r="M151" s="2"/>
      <c r="O151" s="2"/>
    </row>
    <row r="152" spans="1:18" x14ac:dyDescent="0.35">
      <c r="A152" s="80"/>
      <c r="B152" s="80"/>
      <c r="C152" s="80"/>
      <c r="D152" s="92"/>
      <c r="E152" s="92"/>
      <c r="F152" s="230"/>
      <c r="H152" s="209" t="s">
        <v>292</v>
      </c>
      <c r="I152" s="5" t="s">
        <v>12</v>
      </c>
      <c r="J152" s="159" t="s">
        <v>213</v>
      </c>
      <c r="K152" s="6">
        <f>'Feedstock MIX per IVC'!N123</f>
        <v>0</v>
      </c>
      <c r="L152" s="2">
        <f t="shared" si="42"/>
        <v>0</v>
      </c>
    </row>
    <row r="153" spans="1:18" s="93" customFormat="1" ht="34" customHeight="1" x14ac:dyDescent="0.35">
      <c r="A153" s="93" t="s">
        <v>108</v>
      </c>
      <c r="F153" s="176"/>
    </row>
    <row r="154" spans="1:18" ht="19" customHeight="1" x14ac:dyDescent="0.35">
      <c r="C154" s="2">
        <f>C155+C166</f>
        <v>6605376469.6422901</v>
      </c>
      <c r="D154" s="2">
        <f>D155+D166</f>
        <v>6.7493778201235353</v>
      </c>
      <c r="E154" s="2"/>
      <c r="F154" s="2">
        <f>F155+F166</f>
        <v>14129147.528646611</v>
      </c>
    </row>
    <row r="155" spans="1:18" s="219" customFormat="1" x14ac:dyDescent="0.35">
      <c r="A155" s="219" t="s">
        <v>350</v>
      </c>
      <c r="B155" s="219">
        <v>935</v>
      </c>
      <c r="C155" s="219">
        <f>B155*F155</f>
        <v>6605376469.6422901</v>
      </c>
      <c r="D155" s="219">
        <f>'[3]Scenario 2 2040'!$G$21</f>
        <v>3.3746889100617676</v>
      </c>
      <c r="E155" s="219">
        <f>'[2]Conversion factors selected IV '!$O$49</f>
        <v>2.0934000000000004</v>
      </c>
      <c r="F155" s="219">
        <f>D155*E155*1000000</f>
        <v>7064573.7643233053</v>
      </c>
      <c r="G155" s="219">
        <f>'LCoP 2040 high'!E11</f>
        <v>590.03092577269535</v>
      </c>
      <c r="H155" s="219">
        <f>G155*F155</f>
        <v>4168316998.3531752</v>
      </c>
      <c r="I155" s="219">
        <f>'LCoP 2040 high'!H11</f>
        <v>0.20851606313953119</v>
      </c>
      <c r="L155" s="219">
        <f>I155*H155</f>
        <v>869161050.41419184</v>
      </c>
      <c r="M155" s="219">
        <f>'LCoP 2040 high'!F11</f>
        <v>0.47624622325008942</v>
      </c>
      <c r="O155" s="219">
        <f>M155*H155</f>
        <v>1985145227.7748489</v>
      </c>
      <c r="P155" s="219">
        <f>'LCoP 2040 high'!G11</f>
        <v>0.31523771361037944</v>
      </c>
      <c r="R155" s="219">
        <f>P155*H155</f>
        <v>1314010720.1641347</v>
      </c>
    </row>
    <row r="156" spans="1:18" x14ac:dyDescent="0.35">
      <c r="D156" s="2"/>
      <c r="E156" s="2"/>
      <c r="F156" s="154" t="s">
        <v>212</v>
      </c>
      <c r="G156" s="2">
        <f>SUMIF($J$156:$J$165,F156,$L$156:$L$165)/$L$155</f>
        <v>0.65943844902788218</v>
      </c>
      <c r="I156" s="5" t="s">
        <v>5</v>
      </c>
      <c r="J156" s="154" t="s">
        <v>212</v>
      </c>
      <c r="K156" s="6">
        <f>'Feedstock MIX per IVC'!N35</f>
        <v>61.285514469958287</v>
      </c>
      <c r="L156" s="2">
        <f>K156*F$155</f>
        <v>432956037.65752363</v>
      </c>
      <c r="M156" s="5" t="s">
        <v>245</v>
      </c>
      <c r="N156" s="35">
        <v>0</v>
      </c>
      <c r="O156" s="2">
        <f>N156*O$155</f>
        <v>0</v>
      </c>
      <c r="P156" s="18" t="s">
        <v>251</v>
      </c>
      <c r="Q156" s="35">
        <v>0.25</v>
      </c>
      <c r="R156" s="2">
        <f>Q156*R$155</f>
        <v>328502680.04103369</v>
      </c>
    </row>
    <row r="157" spans="1:18" x14ac:dyDescent="0.35">
      <c r="D157" s="2"/>
      <c r="E157" s="2"/>
      <c r="F157" s="178" t="s">
        <v>256</v>
      </c>
      <c r="G157" s="2">
        <f t="shared" ref="G157:G162" si="45">SUMIF($J$156:$J$165,F157,$L$156:$L$165)/$L$155</f>
        <v>0.13668280053957765</v>
      </c>
      <c r="I157" s="5" t="s">
        <v>6</v>
      </c>
      <c r="J157" s="154" t="s">
        <v>212</v>
      </c>
      <c r="K157" s="6">
        <f>'Feedstock MIX per IVC'!N36</f>
        <v>3.1671422258336515</v>
      </c>
      <c r="L157" s="2">
        <f t="shared" ref="L157:L165" si="46">K157*F$155</f>
        <v>22374509.876504932</v>
      </c>
      <c r="M157" t="s">
        <v>246</v>
      </c>
      <c r="N157" s="35">
        <v>0.02</v>
      </c>
      <c r="O157" s="2">
        <f t="shared" ref="O157:O161" si="47">N157*O$155</f>
        <v>39702904.555496983</v>
      </c>
      <c r="P157" s="18" t="s">
        <v>210</v>
      </c>
      <c r="Q157" s="35">
        <v>0.15</v>
      </c>
      <c r="R157" s="2">
        <f t="shared" ref="R157:R160" si="48">Q157*R$155</f>
        <v>197101608.02462021</v>
      </c>
    </row>
    <row r="158" spans="1:18" x14ac:dyDescent="0.35">
      <c r="D158" s="2"/>
      <c r="E158" s="2"/>
      <c r="F158" s="156" t="s">
        <v>209</v>
      </c>
      <c r="G158" s="2">
        <f t="shared" si="45"/>
        <v>0.17104852185966132</v>
      </c>
      <c r="I158" s="5" t="s">
        <v>23</v>
      </c>
      <c r="J158" s="159" t="s">
        <v>213</v>
      </c>
      <c r="K158" s="6">
        <f>'Feedstock MIX per IVC'!N37</f>
        <v>0</v>
      </c>
      <c r="L158" s="2">
        <f t="shared" si="46"/>
        <v>0</v>
      </c>
      <c r="M158" s="5" t="s">
        <v>244</v>
      </c>
      <c r="N158" s="35">
        <v>0.55000000000000004</v>
      </c>
      <c r="O158" s="2">
        <f t="shared" si="47"/>
        <v>1091829875.2761669</v>
      </c>
      <c r="P158" s="18" t="s">
        <v>252</v>
      </c>
      <c r="Q158" s="35">
        <v>0.3</v>
      </c>
      <c r="R158" s="2">
        <f t="shared" si="48"/>
        <v>394203216.04924041</v>
      </c>
    </row>
    <row r="159" spans="1:18" x14ac:dyDescent="0.35">
      <c r="D159" s="2"/>
      <c r="E159" s="2"/>
      <c r="F159" s="159" t="s">
        <v>213</v>
      </c>
      <c r="G159" s="2">
        <f t="shared" si="45"/>
        <v>0</v>
      </c>
      <c r="I159" s="5" t="s">
        <v>7</v>
      </c>
      <c r="J159" s="157" t="s">
        <v>211</v>
      </c>
      <c r="K159" s="6">
        <f>'Feedstock MIX per IVC'!N38</f>
        <v>1.5197568894253894</v>
      </c>
      <c r="L159" s="2">
        <f t="shared" si="46"/>
        <v>10736434.649184201</v>
      </c>
      <c r="M159" t="s">
        <v>247</v>
      </c>
      <c r="N159" s="35">
        <v>0.1</v>
      </c>
      <c r="O159" s="2">
        <f t="shared" si="47"/>
        <v>198514522.77748489</v>
      </c>
      <c r="P159" s="18" t="s">
        <v>253</v>
      </c>
      <c r="Q159" s="35">
        <v>0.3</v>
      </c>
      <c r="R159" s="2">
        <f t="shared" si="48"/>
        <v>394203216.04924041</v>
      </c>
    </row>
    <row r="160" spans="1:18" x14ac:dyDescent="0.35">
      <c r="D160" s="2"/>
      <c r="E160" s="2"/>
      <c r="F160" s="207" t="s">
        <v>104</v>
      </c>
      <c r="G160" s="2">
        <f t="shared" si="45"/>
        <v>2.0477587317189964E-2</v>
      </c>
      <c r="I160" s="5" t="s">
        <v>8</v>
      </c>
      <c r="J160" s="154" t="s">
        <v>212</v>
      </c>
      <c r="K160" s="6">
        <f>'Feedstock MIX per IVC'!N39</f>
        <v>13.230656430425173</v>
      </c>
      <c r="L160" s="2">
        <f t="shared" si="46"/>
        <v>93468948.303157106</v>
      </c>
      <c r="M160" t="s">
        <v>248</v>
      </c>
      <c r="N160" s="35">
        <v>0.3</v>
      </c>
      <c r="O160" s="2">
        <f t="shared" si="47"/>
        <v>595543568.33245468</v>
      </c>
      <c r="P160" s="18" t="s">
        <v>254</v>
      </c>
      <c r="Q160" s="240">
        <v>0</v>
      </c>
      <c r="R160" s="2">
        <f t="shared" si="48"/>
        <v>0</v>
      </c>
    </row>
    <row r="161" spans="1:19" x14ac:dyDescent="0.35">
      <c r="D161" s="2"/>
      <c r="E161" s="2"/>
      <c r="F161" s="157" t="s">
        <v>211</v>
      </c>
      <c r="G161" s="2">
        <f t="shared" si="45"/>
        <v>1.2352641255688848E-2</v>
      </c>
      <c r="I161" s="5" t="s">
        <v>9</v>
      </c>
      <c r="J161" s="154" t="s">
        <v>212</v>
      </c>
      <c r="K161" s="6">
        <f>'Feedstock MIX per IVC'!N40</f>
        <v>3.4480097477936145</v>
      </c>
      <c r="L161" s="2">
        <f t="shared" si="46"/>
        <v>24358719.203393787</v>
      </c>
      <c r="M161" t="s">
        <v>250</v>
      </c>
      <c r="N161" s="35">
        <v>0.03</v>
      </c>
      <c r="O161" s="2">
        <f t="shared" si="47"/>
        <v>59554356.833245464</v>
      </c>
    </row>
    <row r="162" spans="1:19" x14ac:dyDescent="0.35">
      <c r="D162" s="2"/>
      <c r="E162" s="2"/>
      <c r="F162" s="158" t="s">
        <v>105</v>
      </c>
      <c r="G162" s="2">
        <f t="shared" si="45"/>
        <v>0</v>
      </c>
      <c r="I162" s="5" t="s">
        <v>10</v>
      </c>
      <c r="J162" s="178" t="s">
        <v>256</v>
      </c>
      <c r="K162" s="6">
        <f>'Feedstock MIX per IVC'!N41</f>
        <v>16.816211487588909</v>
      </c>
      <c r="L162" s="2">
        <f t="shared" si="46"/>
        <v>118799366.49053279</v>
      </c>
      <c r="M162" s="2"/>
    </row>
    <row r="163" spans="1:19" x14ac:dyDescent="0.35">
      <c r="D163" s="2"/>
      <c r="E163" s="2"/>
      <c r="F163" s="2"/>
      <c r="G163" s="2">
        <f>SUM(G156:G162)</f>
        <v>1</v>
      </c>
      <c r="I163" s="5" t="s">
        <v>11</v>
      </c>
      <c r="J163" s="156" t="s">
        <v>209</v>
      </c>
      <c r="K163" s="6">
        <f>'Feedstock MIX per IVC'!N42</f>
        <v>21.044257996445257</v>
      </c>
      <c r="L163" s="2">
        <f t="shared" si="46"/>
        <v>148668712.9313381</v>
      </c>
    </row>
    <row r="164" spans="1:19" s="31" customFormat="1" x14ac:dyDescent="0.35">
      <c r="I164" s="5" t="s">
        <v>12</v>
      </c>
      <c r="J164" s="159" t="s">
        <v>213</v>
      </c>
      <c r="K164" s="6">
        <f>'Feedstock MIX per IVC'!N43</f>
        <v>0</v>
      </c>
      <c r="L164" s="2">
        <f t="shared" si="46"/>
        <v>0</v>
      </c>
    </row>
    <row r="165" spans="1:19" x14ac:dyDescent="0.35">
      <c r="D165" s="2"/>
      <c r="E165" s="2"/>
      <c r="I165" s="13" t="s">
        <v>26</v>
      </c>
      <c r="J165" s="207" t="s">
        <v>104</v>
      </c>
      <c r="K165" s="6">
        <f>'Feedstock MIX per IVC'!N44</f>
        <v>2.5193765252250873</v>
      </c>
      <c r="L165" s="2">
        <f t="shared" si="46"/>
        <v>17798321.302557163</v>
      </c>
    </row>
    <row r="166" spans="1:19" s="219" customFormat="1" x14ac:dyDescent="0.35">
      <c r="A166" s="219" t="s">
        <v>28</v>
      </c>
      <c r="C166" s="219">
        <f>B166*F166</f>
        <v>0</v>
      </c>
      <c r="D166" s="219">
        <f>'[3]Scenario 2 2040'!$G$22</f>
        <v>3.3746889100617676</v>
      </c>
      <c r="E166" s="219">
        <f>'[2]Conversion factors selected IV '!$O$49</f>
        <v>2.0934000000000004</v>
      </c>
      <c r="F166" s="219">
        <f>D166*E166*1000000</f>
        <v>7064573.7643233053</v>
      </c>
      <c r="G166" s="219">
        <f>'LCoP 2040 high'!E12</f>
        <v>936</v>
      </c>
      <c r="H166" s="219">
        <f>G166*F166</f>
        <v>6612441043.4066133</v>
      </c>
      <c r="I166" s="219">
        <f>'LCoP 2040 high'!H12</f>
        <v>0.75641025641025639</v>
      </c>
      <c r="L166" s="219">
        <f>I166*H166</f>
        <v>5001718225.1408997</v>
      </c>
      <c r="M166" s="219">
        <f>'LCoP 2040 high'!F12</f>
        <v>0.14529914529914531</v>
      </c>
      <c r="O166" s="219">
        <f>'LCoP 2040 high'!M12</f>
        <v>0</v>
      </c>
      <c r="P166" s="226">
        <f>'LCoP 2040 medium-high'!G12</f>
        <v>9.8290598290598288E-2</v>
      </c>
      <c r="R166" s="219">
        <f>P166*H166</f>
        <v>649940786.31774402</v>
      </c>
      <c r="S166" s="226"/>
    </row>
    <row r="167" spans="1:19" x14ac:dyDescent="0.35">
      <c r="F167" s="158" t="s">
        <v>106</v>
      </c>
      <c r="G167">
        <v>1</v>
      </c>
      <c r="I167" s="13" t="s">
        <v>29</v>
      </c>
      <c r="J167" s="158" t="s">
        <v>106</v>
      </c>
      <c r="L167" s="2">
        <f>L166</f>
        <v>5001718225.1408997</v>
      </c>
      <c r="M167" s="5" t="s">
        <v>245</v>
      </c>
      <c r="N167" s="35">
        <v>0</v>
      </c>
      <c r="O167" s="2">
        <f>N167*O$166</f>
        <v>0</v>
      </c>
      <c r="P167" s="18" t="s">
        <v>251</v>
      </c>
      <c r="Q167" s="35">
        <v>0.25</v>
      </c>
      <c r="R167" s="2">
        <f>Q167*R$166</f>
        <v>162485196.579436</v>
      </c>
    </row>
    <row r="168" spans="1:19" x14ac:dyDescent="0.35">
      <c r="M168" t="s">
        <v>246</v>
      </c>
      <c r="N168" s="35">
        <v>0.02</v>
      </c>
      <c r="O168" s="2">
        <f t="shared" ref="O168:O172" si="49">N168*O$166</f>
        <v>0</v>
      </c>
      <c r="P168" s="18" t="s">
        <v>210</v>
      </c>
      <c r="Q168" s="35">
        <v>0.15</v>
      </c>
      <c r="R168" s="2">
        <f t="shared" ref="R168:R172" si="50">Q168*R$166</f>
        <v>97491117.947661594</v>
      </c>
    </row>
    <row r="169" spans="1:19" x14ac:dyDescent="0.35">
      <c r="M169" s="5" t="s">
        <v>244</v>
      </c>
      <c r="N169" s="35">
        <v>0.55000000000000004</v>
      </c>
      <c r="O169" s="2">
        <f t="shared" si="49"/>
        <v>0</v>
      </c>
      <c r="P169" s="18" t="s">
        <v>252</v>
      </c>
      <c r="Q169" s="35">
        <v>0.3</v>
      </c>
      <c r="R169" s="2">
        <f t="shared" si="50"/>
        <v>194982235.89532319</v>
      </c>
    </row>
    <row r="170" spans="1:19" x14ac:dyDescent="0.35">
      <c r="M170" t="s">
        <v>247</v>
      </c>
      <c r="N170" s="35">
        <v>0.1</v>
      </c>
      <c r="O170" s="2">
        <f t="shared" si="49"/>
        <v>0</v>
      </c>
      <c r="P170" s="18" t="s">
        <v>253</v>
      </c>
      <c r="Q170" s="35">
        <v>0.3</v>
      </c>
      <c r="R170" s="2">
        <f t="shared" si="50"/>
        <v>194982235.89532319</v>
      </c>
    </row>
    <row r="171" spans="1:19" x14ac:dyDescent="0.35">
      <c r="M171" t="s">
        <v>248</v>
      </c>
      <c r="N171" s="35">
        <v>0.3</v>
      </c>
      <c r="O171" s="2">
        <f t="shared" si="49"/>
        <v>0</v>
      </c>
      <c r="P171" s="18" t="s">
        <v>254</v>
      </c>
      <c r="Q171" s="240">
        <v>0</v>
      </c>
      <c r="R171" s="2">
        <f t="shared" si="50"/>
        <v>0</v>
      </c>
    </row>
    <row r="172" spans="1:19" x14ac:dyDescent="0.35">
      <c r="M172" t="s">
        <v>250</v>
      </c>
      <c r="N172" s="35">
        <v>0.03</v>
      </c>
      <c r="O172" s="2">
        <f t="shared" si="49"/>
        <v>0</v>
      </c>
      <c r="R172" s="2">
        <f t="shared" si="50"/>
        <v>0</v>
      </c>
    </row>
    <row r="174" spans="1:19" ht="35.5" customHeight="1" x14ac:dyDescent="0.35"/>
    <row r="197" spans="1:18" s="207" customFormat="1" ht="32.5" customHeight="1" x14ac:dyDescent="0.35">
      <c r="A197" s="246" t="s">
        <v>366</v>
      </c>
      <c r="B197" s="246"/>
      <c r="C197" s="246"/>
      <c r="F197" s="215"/>
    </row>
    <row r="198" spans="1:18" x14ac:dyDescent="0.35">
      <c r="D198" s="2"/>
      <c r="E198" s="2">
        <f t="shared" ref="E198:F198" si="51">E200+E219+E227</f>
        <v>5.7168927108927114</v>
      </c>
      <c r="F198" s="2">
        <f t="shared" si="51"/>
        <v>0</v>
      </c>
    </row>
    <row r="199" spans="1:18" s="158" customFormat="1" ht="29.5" customHeight="1" x14ac:dyDescent="0.35">
      <c r="A199" s="158" t="s">
        <v>259</v>
      </c>
      <c r="F199" s="247"/>
    </row>
    <row r="200" spans="1:18" ht="17.5" customHeight="1" x14ac:dyDescent="0.35">
      <c r="D200" s="2">
        <f>D201+D209+D216</f>
        <v>0</v>
      </c>
      <c r="E200" s="2">
        <f t="shared" ref="E200:F200" si="52">E201+E209+E216</f>
        <v>3.2146805896805897</v>
      </c>
      <c r="F200" s="2">
        <f t="shared" si="52"/>
        <v>0</v>
      </c>
    </row>
    <row r="201" spans="1:18" s="119" customFormat="1" x14ac:dyDescent="0.35">
      <c r="A201" s="119" t="s">
        <v>305</v>
      </c>
      <c r="E201" s="119">
        <f>'[2]Conversion factors selected IV '!$O$4</f>
        <v>1.1315675675675676</v>
      </c>
      <c r="F201" s="119">
        <f>D201*E201*1000000</f>
        <v>0</v>
      </c>
      <c r="G201" s="119">
        <v>629</v>
      </c>
      <c r="H201" s="119">
        <f>G201*F201</f>
        <v>0</v>
      </c>
      <c r="I201" s="119">
        <v>0.75</v>
      </c>
      <c r="K201" s="119">
        <f>I201*G201</f>
        <v>471.75</v>
      </c>
      <c r="L201" s="119">
        <f>I201*H201</f>
        <v>0</v>
      </c>
      <c r="M201" s="119">
        <v>6.5000000000000002E-2</v>
      </c>
      <c r="O201" s="119">
        <f>M201*H201</f>
        <v>0</v>
      </c>
      <c r="P201" s="119">
        <v>0.185</v>
      </c>
      <c r="R201" s="119">
        <f>P201*H201</f>
        <v>0</v>
      </c>
    </row>
    <row r="202" spans="1:18" x14ac:dyDescent="0.35">
      <c r="D202" s="2"/>
      <c r="H202" s="209" t="s">
        <v>292</v>
      </c>
      <c r="I202" s="18" t="s">
        <v>260</v>
      </c>
      <c r="J202" s="161" t="s">
        <v>211</v>
      </c>
      <c r="K202" s="112">
        <f>'Feedtstocks only CONVENTIONAL'!$J$4</f>
        <v>0.76052615016678204</v>
      </c>
      <c r="L202" s="2">
        <f>K202*F$201</f>
        <v>0</v>
      </c>
      <c r="M202" t="s">
        <v>296</v>
      </c>
      <c r="N202" s="61">
        <v>0.45</v>
      </c>
      <c r="O202" s="2">
        <f>N202*O$201</f>
        <v>0</v>
      </c>
      <c r="P202" t="s">
        <v>298</v>
      </c>
      <c r="Q202" s="61">
        <v>0.3</v>
      </c>
      <c r="R202" s="2">
        <f>Q202*R$201</f>
        <v>0</v>
      </c>
    </row>
    <row r="203" spans="1:18" x14ac:dyDescent="0.35">
      <c r="D203" s="2"/>
      <c r="H203" s="208" t="s">
        <v>290</v>
      </c>
      <c r="I203" s="18" t="s">
        <v>261</v>
      </c>
      <c r="J203" s="161" t="s">
        <v>211</v>
      </c>
      <c r="K203" s="112">
        <f>'Feedtstocks only CONVENTIONAL'!$J$5</f>
        <v>0.16011076845616465</v>
      </c>
      <c r="L203" s="2">
        <f t="shared" ref="L203:L205" si="53">K203*F$201</f>
        <v>0</v>
      </c>
      <c r="M203" t="s">
        <v>297</v>
      </c>
      <c r="N203" s="61">
        <v>0.3</v>
      </c>
      <c r="O203" s="2">
        <f t="shared" ref="O203:O206" si="54">N203*O$201</f>
        <v>0</v>
      </c>
      <c r="P203" t="s">
        <v>299</v>
      </c>
      <c r="Q203" s="61">
        <v>0.2</v>
      </c>
      <c r="R203" s="2">
        <f t="shared" ref="R203:R206" si="55">Q203*R$201</f>
        <v>0</v>
      </c>
    </row>
    <row r="204" spans="1:18" x14ac:dyDescent="0.35">
      <c r="D204" s="2"/>
      <c r="H204" s="209" t="s">
        <v>292</v>
      </c>
      <c r="I204" s="18" t="s">
        <v>263</v>
      </c>
      <c r="J204" s="161" t="s">
        <v>211</v>
      </c>
      <c r="K204" s="112">
        <f>'Feedtstocks only CONVENTIONAL'!$J$6</f>
        <v>4.0027692114041162E-2</v>
      </c>
      <c r="L204" s="2">
        <f t="shared" si="53"/>
        <v>0</v>
      </c>
      <c r="M204" t="s">
        <v>247</v>
      </c>
      <c r="N204" s="61">
        <v>0.15</v>
      </c>
      <c r="O204" s="2">
        <f t="shared" si="54"/>
        <v>0</v>
      </c>
      <c r="P204" t="s">
        <v>252</v>
      </c>
      <c r="Q204" s="61">
        <v>0.25</v>
      </c>
      <c r="R204" s="2">
        <f t="shared" si="55"/>
        <v>0</v>
      </c>
    </row>
    <row r="205" spans="1:18" x14ac:dyDescent="0.35">
      <c r="D205" s="2"/>
      <c r="H205" s="208" t="s">
        <v>290</v>
      </c>
      <c r="I205" s="18" t="s">
        <v>262</v>
      </c>
      <c r="J205" s="161" t="s">
        <v>211</v>
      </c>
      <c r="K205" s="112">
        <f>'Feedtstocks only CONVENTIONAL'!$J$7</f>
        <v>3.9335389263012145E-2</v>
      </c>
      <c r="L205" s="2">
        <f t="shared" si="53"/>
        <v>0</v>
      </c>
      <c r="M205" t="s">
        <v>245</v>
      </c>
      <c r="N205" s="61">
        <v>7.0000000000000007E-2</v>
      </c>
      <c r="O205" s="2">
        <f t="shared" si="54"/>
        <v>0</v>
      </c>
      <c r="P205" t="s">
        <v>300</v>
      </c>
      <c r="Q205" s="61">
        <v>0.15</v>
      </c>
      <c r="R205" s="2">
        <f t="shared" si="55"/>
        <v>0</v>
      </c>
    </row>
    <row r="206" spans="1:18" x14ac:dyDescent="0.35">
      <c r="D206" s="2"/>
      <c r="L206" s="2">
        <f>SUM(L202:L205)</f>
        <v>0</v>
      </c>
      <c r="M206" t="s">
        <v>250</v>
      </c>
      <c r="N206" s="61">
        <v>0.03</v>
      </c>
      <c r="O206" s="2">
        <f t="shared" si="54"/>
        <v>0</v>
      </c>
      <c r="P206" s="18" t="s">
        <v>254</v>
      </c>
      <c r="Q206" s="61">
        <v>0.1</v>
      </c>
      <c r="R206" s="2">
        <f t="shared" si="55"/>
        <v>0</v>
      </c>
    </row>
    <row r="207" spans="1:18" x14ac:dyDescent="0.35">
      <c r="D207" s="2"/>
      <c r="O207" s="2">
        <f>SUM(O202:O206)</f>
        <v>0</v>
      </c>
      <c r="P207" t="s">
        <v>213</v>
      </c>
      <c r="Q207" s="61">
        <v>0</v>
      </c>
      <c r="R207" s="2">
        <f t="shared" ref="R207" si="56">Q207*R206</f>
        <v>0</v>
      </c>
    </row>
    <row r="208" spans="1:18" s="122" customFormat="1" x14ac:dyDescent="0.35"/>
    <row r="209" spans="1:18" s="119" customFormat="1" x14ac:dyDescent="0.35">
      <c r="A209" s="119" t="s">
        <v>373</v>
      </c>
      <c r="E209" s="119">
        <f>'[2]Conversion factors selected IV '!$O$7</f>
        <v>0.95154545454545458</v>
      </c>
      <c r="F209" s="119">
        <f>D209*E209*1000000</f>
        <v>0</v>
      </c>
      <c r="G209" s="119">
        <f>K209/7*10</f>
        <v>0</v>
      </c>
      <c r="H209" s="119">
        <f>G209*F209</f>
        <v>0</v>
      </c>
      <c r="I209" s="119">
        <v>0.7</v>
      </c>
      <c r="K209" s="119">
        <f>'Feedtstocks only CONVENTIONAL'!I82</f>
        <v>0</v>
      </c>
      <c r="L209" s="119">
        <f>I209*H209</f>
        <v>0</v>
      </c>
      <c r="M209" s="119">
        <v>0.1</v>
      </c>
      <c r="O209" s="119">
        <f>M209*H209</f>
        <v>0</v>
      </c>
      <c r="P209" s="119">
        <v>0.2</v>
      </c>
      <c r="R209" s="119">
        <f>P209*H209</f>
        <v>0</v>
      </c>
    </row>
    <row r="210" spans="1:18" x14ac:dyDescent="0.35">
      <c r="D210" s="2"/>
      <c r="I210" s="18" t="s">
        <v>260</v>
      </c>
      <c r="J210" s="161" t="s">
        <v>211</v>
      </c>
      <c r="M210" t="s">
        <v>296</v>
      </c>
      <c r="N210" s="61">
        <v>0.55000000000000004</v>
      </c>
      <c r="P210" t="s">
        <v>298</v>
      </c>
      <c r="Q210" s="61">
        <v>0.4</v>
      </c>
    </row>
    <row r="211" spans="1:18" x14ac:dyDescent="0.35">
      <c r="D211" s="2"/>
      <c r="I211" s="18" t="s">
        <v>261</v>
      </c>
      <c r="J211" s="161" t="s">
        <v>211</v>
      </c>
      <c r="M211" t="s">
        <v>297</v>
      </c>
      <c r="N211" s="61">
        <v>0.25</v>
      </c>
      <c r="P211" t="s">
        <v>299</v>
      </c>
      <c r="Q211" s="61">
        <v>0.2</v>
      </c>
    </row>
    <row r="212" spans="1:18" x14ac:dyDescent="0.35">
      <c r="D212" s="2"/>
      <c r="I212" s="18" t="s">
        <v>263</v>
      </c>
      <c r="J212" s="161" t="s">
        <v>211</v>
      </c>
      <c r="M212" t="s">
        <v>247</v>
      </c>
      <c r="N212" s="61">
        <v>0.1</v>
      </c>
      <c r="P212" t="s">
        <v>252</v>
      </c>
      <c r="Q212" s="61">
        <v>0.2</v>
      </c>
    </row>
    <row r="213" spans="1:18" x14ac:dyDescent="0.35">
      <c r="D213" s="2"/>
      <c r="I213" s="18" t="s">
        <v>262</v>
      </c>
      <c r="J213" s="161" t="s">
        <v>211</v>
      </c>
      <c r="M213" t="s">
        <v>245</v>
      </c>
      <c r="N213" s="61">
        <v>7.0000000000000007E-2</v>
      </c>
      <c r="P213" t="s">
        <v>300</v>
      </c>
      <c r="Q213" s="61">
        <v>0.15</v>
      </c>
    </row>
    <row r="214" spans="1:18" x14ac:dyDescent="0.35">
      <c r="D214" s="2"/>
      <c r="M214" t="s">
        <v>250</v>
      </c>
      <c r="N214" s="61">
        <v>0.03</v>
      </c>
      <c r="P214" s="216" t="s">
        <v>254</v>
      </c>
      <c r="Q214" s="61">
        <v>0.05</v>
      </c>
    </row>
    <row r="215" spans="1:18" x14ac:dyDescent="0.35">
      <c r="D215" s="2"/>
      <c r="P215" t="s">
        <v>213</v>
      </c>
      <c r="Q215" s="61">
        <v>0</v>
      </c>
    </row>
    <row r="216" spans="1:18" s="119" customFormat="1" x14ac:dyDescent="0.35">
      <c r="A216" s="119" t="s">
        <v>282</v>
      </c>
      <c r="E216" s="119">
        <f>'[2]Conversion factors selected IV '!$O$4</f>
        <v>1.1315675675675676</v>
      </c>
      <c r="F216" s="119">
        <f>D216*E216*1000000</f>
        <v>0</v>
      </c>
    </row>
    <row r="218" spans="1:18" s="158" customFormat="1" ht="29" customHeight="1" x14ac:dyDescent="0.35">
      <c r="A218" s="158" t="s">
        <v>371</v>
      </c>
    </row>
    <row r="219" spans="1:18" x14ac:dyDescent="0.35">
      <c r="D219" s="2"/>
      <c r="E219" s="2">
        <f>E220</f>
        <v>1.5506666666666669</v>
      </c>
      <c r="F219" s="2">
        <f>F220</f>
        <v>0</v>
      </c>
    </row>
    <row r="220" spans="1:18" x14ac:dyDescent="0.35">
      <c r="A220" t="s">
        <v>372</v>
      </c>
      <c r="D220" s="2"/>
      <c r="E220">
        <f>'[2]Conversion factors selected IV '!$O$17</f>
        <v>1.5506666666666669</v>
      </c>
      <c r="F220" s="1">
        <f>D220*E220*1000000</f>
        <v>0</v>
      </c>
    </row>
    <row r="221" spans="1:18" x14ac:dyDescent="0.35">
      <c r="D221" s="2"/>
    </row>
    <row r="222" spans="1:18" x14ac:dyDescent="0.35">
      <c r="D222" s="2"/>
    </row>
    <row r="223" spans="1:18" x14ac:dyDescent="0.35">
      <c r="D223" s="2"/>
    </row>
    <row r="224" spans="1:18" x14ac:dyDescent="0.35">
      <c r="D224" s="2"/>
    </row>
    <row r="225" spans="1:6" x14ac:dyDescent="0.35">
      <c r="D225" s="2"/>
    </row>
    <row r="226" spans="1:6" s="158" customFormat="1" ht="29.5" customHeight="1" x14ac:dyDescent="0.35">
      <c r="A226" s="158" t="s">
        <v>386</v>
      </c>
      <c r="F226" s="247"/>
    </row>
    <row r="227" spans="1:6" x14ac:dyDescent="0.35">
      <c r="D227" s="2"/>
      <c r="E227" s="2">
        <f t="shared" ref="E227:F227" si="57">E228</f>
        <v>0.95154545454545458</v>
      </c>
      <c r="F227" s="2">
        <f t="shared" si="57"/>
        <v>0</v>
      </c>
    </row>
    <row r="228" spans="1:6" s="119" customFormat="1" x14ac:dyDescent="0.35">
      <c r="A228" s="119" t="s">
        <v>367</v>
      </c>
      <c r="E228" s="119">
        <f>'[2]Conversion factors selected IV '!$O$7</f>
        <v>0.95154545454545458</v>
      </c>
      <c r="F228" s="119">
        <f>D228*E228*1000000</f>
        <v>0</v>
      </c>
    </row>
  </sheetData>
  <pageMargins left="0.7" right="0.7" top="0.78740157499999996" bottom="0.78740157499999996"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817A7-0C0B-42ED-97EF-3B893FDB97E4}">
  <dimension ref="A1:S241"/>
  <sheetViews>
    <sheetView workbookViewId="0">
      <selection activeCell="F41" sqref="F41"/>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5.7265625" customWidth="1"/>
    <col min="13" max="13" width="15.7265625" bestFit="1" customWidth="1"/>
    <col min="15" max="15" width="18.1796875" customWidth="1"/>
    <col min="17" max="17" width="14.36328125" bestFit="1" customWidth="1"/>
    <col min="18" max="18" width="16.81640625" customWidth="1"/>
    <col min="19" max="19" width="15.453125" customWidth="1"/>
  </cols>
  <sheetData>
    <row r="1" spans="1:19" s="48" customFormat="1" ht="24" customHeight="1" x14ac:dyDescent="0.35">
      <c r="A1" s="48" t="s">
        <v>427</v>
      </c>
      <c r="F1" s="241"/>
    </row>
    <row r="2" spans="1:19" s="48" customFormat="1" ht="24" customHeight="1" x14ac:dyDescent="0.35">
      <c r="A2" s="48" t="s">
        <v>326</v>
      </c>
      <c r="F2" s="241"/>
    </row>
    <row r="3" spans="1:19" s="48" customFormat="1" ht="24" customHeight="1" x14ac:dyDescent="0.35">
      <c r="A3" s="48" t="s">
        <v>428</v>
      </c>
      <c r="E3" s="48" t="s">
        <v>429</v>
      </c>
      <c r="F3" s="241"/>
    </row>
    <row r="4" spans="1:19" ht="19" customHeight="1" x14ac:dyDescent="0.35"/>
    <row r="5" spans="1:19" s="49" customFormat="1" ht="37" customHeight="1" x14ac:dyDescent="0.35">
      <c r="B5" s="49" t="s">
        <v>424</v>
      </c>
      <c r="C5" s="49" t="s">
        <v>425</v>
      </c>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207" customFormat="1" ht="37" customHeight="1" x14ac:dyDescent="0.35">
      <c r="A6" s="246" t="s">
        <v>365</v>
      </c>
      <c r="B6" s="246"/>
      <c r="C6" s="246"/>
      <c r="D6" s="245">
        <f>D8+D48+D90+D114+D156</f>
        <v>119.83399950358968</v>
      </c>
      <c r="F6" s="215"/>
      <c r="I6" s="246"/>
      <c r="M6" s="246"/>
      <c r="P6" s="246"/>
    </row>
    <row r="7" spans="1:19" s="93" customFormat="1" ht="40" customHeight="1" x14ac:dyDescent="0.35">
      <c r="A7" s="93" t="s">
        <v>104</v>
      </c>
      <c r="F7" s="176"/>
    </row>
    <row r="8" spans="1:19" s="217" customFormat="1" x14ac:dyDescent="0.35">
      <c r="A8" s="217" t="s">
        <v>189</v>
      </c>
      <c r="C8" s="224">
        <f>C9+C16+C28</f>
        <v>18683142916.96476</v>
      </c>
      <c r="D8" s="224">
        <f>D9+D16+D28</f>
        <v>11.01158601941337</v>
      </c>
      <c r="F8" s="224">
        <f>F9+F16+F28</f>
        <v>10676081.666837007</v>
      </c>
      <c r="L8" s="224">
        <f>L9+L16+L28</f>
        <v>2958844955.7346315</v>
      </c>
      <c r="M8" s="224"/>
      <c r="N8" s="224"/>
      <c r="O8" s="224">
        <f>O9+O16+O28</f>
        <v>12434728505.678173</v>
      </c>
      <c r="P8" s="235"/>
      <c r="Q8" s="224"/>
      <c r="R8" s="224">
        <f>R9+R16+R28</f>
        <v>8495073556.4094067</v>
      </c>
    </row>
    <row r="9" spans="1:19" s="218" customFormat="1" x14ac:dyDescent="0.35">
      <c r="A9" s="218" t="s">
        <v>334</v>
      </c>
      <c r="B9" s="218">
        <v>1750</v>
      </c>
      <c r="C9" s="219">
        <f>B9*F9</f>
        <v>559853491.69625652</v>
      </c>
      <c r="D9" s="220">
        <f>'[3]Scenaior 3 2040'!$E$4</f>
        <v>0.33620704028491294</v>
      </c>
      <c r="E9" s="225">
        <f>'[2]Conversion factors selected IV '!$O$7</f>
        <v>0.95154545454545458</v>
      </c>
      <c r="F9" s="219">
        <f>D9*E9*1000000</f>
        <v>319916.28096928942</v>
      </c>
      <c r="G9" s="225">
        <f>'LCoP 2040 high'!E3</f>
        <v>1287.5758134311418</v>
      </c>
      <c r="H9" s="219">
        <f>G9*F9</f>
        <v>411916465.69889855</v>
      </c>
      <c r="I9" s="225">
        <f>'LCoP 2040 high'!H3</f>
        <v>0.4765356781563645</v>
      </c>
      <c r="L9" s="219">
        <f>I9*H9</f>
        <v>196292892.32559747</v>
      </c>
      <c r="M9" s="225">
        <f>'LCoP 2040 high'!F3</f>
        <v>0.20891973675955186</v>
      </c>
      <c r="N9" s="287">
        <f>SUM(N10:N15)</f>
        <v>1</v>
      </c>
      <c r="O9" s="219">
        <f>M9*H9</f>
        <v>86057479.580738857</v>
      </c>
      <c r="P9" s="225">
        <f>'LCoP 2040 high'!G3</f>
        <v>0.31454458508408367</v>
      </c>
      <c r="R9" s="219">
        <f>P9*H9</f>
        <v>129566093.79256223</v>
      </c>
      <c r="S9" s="219">
        <f>L9+O9+R9</f>
        <v>411916465.69889855</v>
      </c>
    </row>
    <row r="10" spans="1:19" x14ac:dyDescent="0.35">
      <c r="C10">
        <f>C9/$C$8</f>
        <v>2.9965701926301467E-2</v>
      </c>
      <c r="F10" s="154" t="s">
        <v>212</v>
      </c>
      <c r="G10" s="299">
        <f>SUMIF($J$10:$J$13,F10,$L$10:$L$13)/$L$9</f>
        <v>0.14619110774569274</v>
      </c>
      <c r="I10" s="104" t="s">
        <v>162</v>
      </c>
      <c r="J10" s="154" t="s">
        <v>212</v>
      </c>
      <c r="K10" s="2">
        <f>'Feedstock MIX per IVC'!N6</f>
        <v>89.699327851463124</v>
      </c>
      <c r="L10" s="1">
        <f>K10*F$9</f>
        <v>28696275.371685084</v>
      </c>
      <c r="M10" s="5" t="s">
        <v>245</v>
      </c>
      <c r="N10" s="285">
        <v>0.05</v>
      </c>
      <c r="O10" s="2">
        <f>N10*O$9</f>
        <v>4302873.9790369431</v>
      </c>
      <c r="P10" s="18" t="s">
        <v>251</v>
      </c>
      <c r="Q10" s="285">
        <v>0.35</v>
      </c>
      <c r="R10" s="104">
        <f>Q10*Q$9</f>
        <v>0</v>
      </c>
    </row>
    <row r="11" spans="1:19" x14ac:dyDescent="0.35">
      <c r="F11" s="158" t="s">
        <v>104</v>
      </c>
      <c r="G11" s="299">
        <f>SUMIF($J$10:$J$13,F11,$L$10:$L$13)/$L$9/2</f>
        <v>0.36286877920808047</v>
      </c>
      <c r="I11" s="233" t="s">
        <v>341</v>
      </c>
      <c r="J11" s="158" t="s">
        <v>104</v>
      </c>
      <c r="K11" s="6">
        <f>'Feedstock MIX per IVC'!$N$7*0.85</f>
        <v>445.29501274272678</v>
      </c>
      <c r="L11" s="1">
        <f t="shared" ref="L11:L12" si="0">K11*F$9</f>
        <v>142457124.41082549</v>
      </c>
      <c r="M11" t="s">
        <v>246</v>
      </c>
      <c r="N11" s="285">
        <v>0.02</v>
      </c>
      <c r="O11" s="2">
        <f t="shared" ref="O11:O15" si="1">N11*O$9</f>
        <v>1721149.5916147772</v>
      </c>
      <c r="P11" s="18" t="s">
        <v>210</v>
      </c>
      <c r="Q11" s="285">
        <v>0.25</v>
      </c>
      <c r="R11" s="104">
        <f>Q11*Q$9</f>
        <v>0</v>
      </c>
    </row>
    <row r="12" spans="1:19" x14ac:dyDescent="0.35">
      <c r="F12" s="259" t="s">
        <v>210</v>
      </c>
      <c r="G12" s="299">
        <f t="shared" ref="G12" si="2">SUMIF($J$10:$J$13,F12,$L$10:$L$13)/$L$9</f>
        <v>0.12807133383814606</v>
      </c>
      <c r="I12" s="234" t="s">
        <v>357</v>
      </c>
      <c r="J12" s="259" t="s">
        <v>210</v>
      </c>
      <c r="K12" s="6">
        <f>'Feedstock MIX per IVC'!$N$7*0.15</f>
        <v>78.581472836951789</v>
      </c>
      <c r="L12" s="1">
        <f t="shared" si="0"/>
        <v>25139492.543086853</v>
      </c>
      <c r="M12" s="5" t="s">
        <v>244</v>
      </c>
      <c r="N12" s="285">
        <v>0.45</v>
      </c>
      <c r="O12" s="2">
        <f t="shared" si="1"/>
        <v>38725865.811332487</v>
      </c>
      <c r="P12" s="18" t="s">
        <v>252</v>
      </c>
      <c r="Q12" s="285">
        <v>0.2</v>
      </c>
      <c r="R12" s="104">
        <f>Q12*Q$9</f>
        <v>0</v>
      </c>
      <c r="S12" s="2"/>
    </row>
    <row r="13" spans="1:19" x14ac:dyDescent="0.35">
      <c r="F13" s="207" t="s">
        <v>426</v>
      </c>
      <c r="G13" s="299">
        <f>G11</f>
        <v>0.36286877920808047</v>
      </c>
      <c r="L13" s="2"/>
      <c r="M13" t="s">
        <v>247</v>
      </c>
      <c r="N13" s="285">
        <v>0.15</v>
      </c>
      <c r="O13" s="2">
        <f t="shared" si="1"/>
        <v>12908621.937110828</v>
      </c>
      <c r="P13" s="18" t="s">
        <v>253</v>
      </c>
      <c r="Q13" s="285">
        <v>0.15</v>
      </c>
      <c r="R13" s="104">
        <f t="shared" ref="R13:R14" si="3">Q13*R$9</f>
        <v>19434914.068884335</v>
      </c>
    </row>
    <row r="14" spans="1:19" x14ac:dyDescent="0.35">
      <c r="F14"/>
      <c r="G14" s="2">
        <f>SUM(G10:G13)</f>
        <v>0.99999999999999978</v>
      </c>
      <c r="M14" t="s">
        <v>248</v>
      </c>
      <c r="N14" s="285">
        <v>0.3</v>
      </c>
      <c r="O14" s="2">
        <f t="shared" si="1"/>
        <v>25817243.874221656</v>
      </c>
      <c r="P14" s="18" t="s">
        <v>254</v>
      </c>
      <c r="Q14" s="285">
        <v>0.05</v>
      </c>
      <c r="R14" s="104">
        <f t="shared" si="3"/>
        <v>6478304.6896281121</v>
      </c>
    </row>
    <row r="15" spans="1:19" x14ac:dyDescent="0.35">
      <c r="F15" s="31"/>
      <c r="I15" t="s">
        <v>361</v>
      </c>
      <c r="L15" s="2">
        <f>SUM(L10:L12)</f>
        <v>196292892.32559744</v>
      </c>
      <c r="M15" t="s">
        <v>250</v>
      </c>
      <c r="N15" s="285">
        <v>0.03</v>
      </c>
      <c r="O15" s="2">
        <f t="shared" si="1"/>
        <v>2581724.3874221658</v>
      </c>
      <c r="P15" s="18"/>
      <c r="Q15" s="285"/>
      <c r="R15" s="104"/>
    </row>
    <row r="16" spans="1:19" s="218" customFormat="1" x14ac:dyDescent="0.35">
      <c r="A16" s="218" t="s">
        <v>356</v>
      </c>
      <c r="B16" s="218">
        <v>1750</v>
      </c>
      <c r="C16" s="220">
        <f>B16*F16</f>
        <v>10970197356.764629</v>
      </c>
      <c r="D16" s="225">
        <f>'[3]Scenaior 3 2040'!$E$5</f>
        <v>6.5878977971262422</v>
      </c>
      <c r="E16" s="227">
        <f>'[2]Conversion factors selected IV '!$O$64</f>
        <v>0.95154545454545658</v>
      </c>
      <c r="F16" s="219">
        <f>D16*E16*1000000</f>
        <v>6268684.203865503</v>
      </c>
      <c r="G16" s="220">
        <f>'LCoP 2040 high'!E16</f>
        <v>2701.8567835155459</v>
      </c>
      <c r="H16" s="219">
        <f>G16*F16</f>
        <v>16937086939.930758</v>
      </c>
      <c r="I16" s="220">
        <f>'LCoP 2040 high'!H16</f>
        <v>0.11172197777366354</v>
      </c>
      <c r="L16" s="219">
        <f>I16*H16</f>
        <v>1892244850.6535511</v>
      </c>
      <c r="M16" s="220">
        <f>'LCoP 2040 high'!F16</f>
        <v>0.53481739254877336</v>
      </c>
      <c r="N16" s="287">
        <f>SUM(N17:N22)</f>
        <v>1</v>
      </c>
      <c r="O16" s="219">
        <f>M16*H16</f>
        <v>9058248674.5856514</v>
      </c>
      <c r="P16" s="220">
        <f>'LCoP 2040 high'!G16</f>
        <v>0.35346062967756303</v>
      </c>
      <c r="R16" s="219">
        <f>P16*H16</f>
        <v>5986593414.691555</v>
      </c>
      <c r="S16" s="219">
        <f>L16+O16+R16</f>
        <v>16937086939.930758</v>
      </c>
    </row>
    <row r="17" spans="1:19" x14ac:dyDescent="0.35">
      <c r="C17">
        <f>C16/$C$8</f>
        <v>0.58717087406120605</v>
      </c>
      <c r="F17" s="154" t="s">
        <v>212</v>
      </c>
      <c r="G17" s="2">
        <f>SUMIF($J$17:$J$26,F17,$L$17:$L$26)/$L$16</f>
        <v>0.64066858333344701</v>
      </c>
      <c r="I17" s="5" t="s">
        <v>5</v>
      </c>
      <c r="J17" s="154" t="s">
        <v>212</v>
      </c>
      <c r="K17" s="6">
        <f>'Feedstock MIX per IVC'!N63</f>
        <v>146.67483552699636</v>
      </c>
      <c r="L17" s="2">
        <f>K17*F$16</f>
        <v>919458224.57265282</v>
      </c>
      <c r="M17" s="5" t="s">
        <v>245</v>
      </c>
      <c r="N17" s="35">
        <v>0</v>
      </c>
      <c r="O17" s="2">
        <f>N17*O$16</f>
        <v>0</v>
      </c>
      <c r="P17" s="18" t="s">
        <v>251</v>
      </c>
      <c r="Q17" s="35">
        <v>0.25</v>
      </c>
      <c r="R17" s="104">
        <f>Q17*R$16</f>
        <v>1496648353.6728888</v>
      </c>
    </row>
    <row r="18" spans="1:19" x14ac:dyDescent="0.35">
      <c r="F18" s="178" t="s">
        <v>256</v>
      </c>
      <c r="G18" s="2">
        <f t="shared" ref="G18:G21" si="4">SUMIF($J$17:$J$26,F18,$L$17:$L$26)/$L$16</f>
        <v>0.1332957836474849</v>
      </c>
      <c r="I18" s="5" t="s">
        <v>6</v>
      </c>
      <c r="J18" s="154" t="s">
        <v>212</v>
      </c>
      <c r="K18" s="6">
        <f>'Feedstock MIX per IVC'!N64</f>
        <v>7.5825679276511133</v>
      </c>
      <c r="L18" s="2">
        <f t="shared" ref="L18:L26" si="5">K18*F$16</f>
        <v>47532723.79280372</v>
      </c>
      <c r="M18" t="s">
        <v>246</v>
      </c>
      <c r="N18" s="35">
        <v>0.02</v>
      </c>
      <c r="O18" s="2">
        <f t="shared" ref="O18:O22" si="6">N18*O$16</f>
        <v>181164973.49171302</v>
      </c>
      <c r="P18" s="18" t="s">
        <v>210</v>
      </c>
      <c r="Q18" s="35">
        <v>0.15</v>
      </c>
      <c r="R18" s="104">
        <f t="shared" ref="R18:R21" si="7">Q18*R$16</f>
        <v>897989012.20373321</v>
      </c>
    </row>
    <row r="19" spans="1:19" x14ac:dyDescent="0.35">
      <c r="F19" s="156" t="s">
        <v>209</v>
      </c>
      <c r="G19" s="2">
        <f t="shared" si="4"/>
        <v>0.16671286597160764</v>
      </c>
      <c r="I19" s="5" t="s">
        <v>23</v>
      </c>
      <c r="J19" s="159" t="s">
        <v>213</v>
      </c>
      <c r="K19" s="6">
        <f>'Feedstock MIX per IVC'!N65</f>
        <v>0</v>
      </c>
      <c r="L19" s="2">
        <f t="shared" si="5"/>
        <v>0</v>
      </c>
      <c r="M19" s="5" t="s">
        <v>244</v>
      </c>
      <c r="N19" s="35">
        <v>0.55000000000000004</v>
      </c>
      <c r="O19" s="2">
        <f t="shared" si="6"/>
        <v>4982036771.022109</v>
      </c>
      <c r="P19" s="18" t="s">
        <v>252</v>
      </c>
      <c r="Q19" s="35">
        <v>0.3</v>
      </c>
      <c r="R19" s="104">
        <f t="shared" si="7"/>
        <v>1795978024.4074664</v>
      </c>
    </row>
    <row r="20" spans="1:19" x14ac:dyDescent="0.35">
      <c r="F20" s="157" t="s">
        <v>211</v>
      </c>
      <c r="G20" s="2">
        <f t="shared" si="4"/>
        <v>1.2073595947479102E-2</v>
      </c>
      <c r="I20" s="5" t="s">
        <v>7</v>
      </c>
      <c r="J20" s="157" t="s">
        <v>211</v>
      </c>
      <c r="K20" s="6">
        <f>'Feedstock MIX per IVC'!N66</f>
        <v>3.6444968381723708</v>
      </c>
      <c r="L20" s="2">
        <f t="shared" si="5"/>
        <v>22846199.760488912</v>
      </c>
      <c r="M20" t="s">
        <v>247</v>
      </c>
      <c r="N20" s="35">
        <v>0.1</v>
      </c>
      <c r="O20" s="2">
        <f t="shared" si="6"/>
        <v>905824867.45856524</v>
      </c>
      <c r="P20" s="18" t="s">
        <v>253</v>
      </c>
      <c r="Q20" s="35">
        <v>0.3</v>
      </c>
      <c r="R20" s="104">
        <f t="shared" si="7"/>
        <v>1795978024.4074664</v>
      </c>
    </row>
    <row r="21" spans="1:19" x14ac:dyDescent="0.35">
      <c r="F21" s="159" t="s">
        <v>213</v>
      </c>
      <c r="G21" s="2">
        <f t="shared" si="4"/>
        <v>0</v>
      </c>
      <c r="I21" s="5" t="s">
        <v>8</v>
      </c>
      <c r="J21" s="154" t="s">
        <v>212</v>
      </c>
      <c r="K21" s="6">
        <f>'Feedstock MIX per IVC'!N67</f>
        <v>30.968989815063541</v>
      </c>
      <c r="L21" s="2">
        <f t="shared" si="5"/>
        <v>194134817.26336047</v>
      </c>
      <c r="M21" t="s">
        <v>248</v>
      </c>
      <c r="N21" s="35">
        <v>0.3</v>
      </c>
      <c r="O21" s="2">
        <f t="shared" si="6"/>
        <v>2717474602.3756952</v>
      </c>
      <c r="P21" s="18" t="s">
        <v>254</v>
      </c>
      <c r="Q21" s="240">
        <v>0</v>
      </c>
      <c r="R21" s="104">
        <f t="shared" si="7"/>
        <v>0</v>
      </c>
    </row>
    <row r="22" spans="1:19" x14ac:dyDescent="0.35">
      <c r="F22" s="158" t="s">
        <v>104</v>
      </c>
      <c r="G22" s="2">
        <f>SUMIF($J$17:$J$26,F22,$L$17:$L$26)/$L$16/2</f>
        <v>2.3624585549990723E-2</v>
      </c>
      <c r="I22" s="5" t="s">
        <v>9</v>
      </c>
      <c r="J22" s="154" t="s">
        <v>212</v>
      </c>
      <c r="K22" s="6">
        <f>'Feedstock MIX per IVC'!N68</f>
        <v>8.1637645947847499</v>
      </c>
      <c r="L22" s="2">
        <f t="shared" si="5"/>
        <v>51176062.159403622</v>
      </c>
      <c r="M22" t="s">
        <v>250</v>
      </c>
      <c r="N22" s="35">
        <v>0.03</v>
      </c>
      <c r="O22" s="2">
        <f t="shared" si="6"/>
        <v>271747460.23756951</v>
      </c>
      <c r="R22" s="104"/>
    </row>
    <row r="23" spans="1:19" x14ac:dyDescent="0.35">
      <c r="F23" s="207" t="s">
        <v>426</v>
      </c>
      <c r="G23" s="2">
        <f>G22</f>
        <v>2.3624585549990723E-2</v>
      </c>
      <c r="I23" s="5" t="s">
        <v>10</v>
      </c>
      <c r="J23" s="178" t="s">
        <v>256</v>
      </c>
      <c r="K23" s="6">
        <f>'Feedstock MIX per IVC'!N69</f>
        <v>40.236236508013889</v>
      </c>
      <c r="L23" s="2">
        <f t="shared" si="5"/>
        <v>252228260.22078311</v>
      </c>
      <c r="N23" s="123"/>
      <c r="O23" s="2"/>
      <c r="P23" s="18"/>
      <c r="Q23" s="123"/>
      <c r="R23" s="2"/>
    </row>
    <row r="24" spans="1:19" x14ac:dyDescent="0.35">
      <c r="F24"/>
      <c r="G24" s="2">
        <f>SUM(G17:G23)</f>
        <v>1.0000000000000002</v>
      </c>
      <c r="I24" s="5" t="s">
        <v>11</v>
      </c>
      <c r="J24" s="156" t="s">
        <v>209</v>
      </c>
      <c r="K24" s="6">
        <f>'Feedstock MIX per IVC'!N70</f>
        <v>50.323409492847787</v>
      </c>
      <c r="L24" s="2">
        <f t="shared" si="5"/>
        <v>315461562.17247021</v>
      </c>
      <c r="N24" s="123"/>
      <c r="O24" s="2"/>
      <c r="P24" s="18"/>
      <c r="Q24" s="123"/>
      <c r="R24" s="104"/>
    </row>
    <row r="25" spans="1:19" x14ac:dyDescent="0.35">
      <c r="F25" s="31"/>
      <c r="I25" s="5" t="s">
        <v>12</v>
      </c>
      <c r="J25" s="159" t="s">
        <v>213</v>
      </c>
      <c r="K25" s="6">
        <f>'Feedstock MIX per IVC'!N71</f>
        <v>0</v>
      </c>
      <c r="L25" s="2">
        <f t="shared" si="5"/>
        <v>0</v>
      </c>
      <c r="M25" s="2"/>
      <c r="N25" s="123"/>
      <c r="O25" s="2"/>
      <c r="P25" s="18"/>
      <c r="Q25" s="123"/>
      <c r="R25" s="104"/>
    </row>
    <row r="26" spans="1:19" x14ac:dyDescent="0.35">
      <c r="F26" s="31"/>
      <c r="I26" s="13" t="s">
        <v>33</v>
      </c>
      <c r="J26" s="158" t="s">
        <v>104</v>
      </c>
      <c r="K26" s="6">
        <f>'Feedstock MIX per IVC'!N72</f>
        <v>14.262482812016085</v>
      </c>
      <c r="L26" s="2">
        <f t="shared" si="5"/>
        <v>89407000.711588472</v>
      </c>
      <c r="N26" s="123"/>
      <c r="O26" s="2"/>
      <c r="P26" s="18"/>
      <c r="Q26" s="123"/>
      <c r="R26" s="104"/>
    </row>
    <row r="27" spans="1:19" x14ac:dyDescent="0.35">
      <c r="F27" s="31"/>
      <c r="L27" s="2">
        <f>SUM(L17:L26)</f>
        <v>1892244850.6535511</v>
      </c>
      <c r="N27" s="123"/>
      <c r="O27" s="2"/>
      <c r="P27" s="18"/>
      <c r="Q27" s="123"/>
      <c r="R27" s="2">
        <f>SUM(R17:R26)</f>
        <v>5986593414.691555</v>
      </c>
    </row>
    <row r="28" spans="1:19" s="218" customFormat="1" x14ac:dyDescent="0.35">
      <c r="A28" s="218" t="s">
        <v>335</v>
      </c>
      <c r="B28" s="218">
        <v>1750</v>
      </c>
      <c r="C28" s="219">
        <f>B28*F28</f>
        <v>7153092068.5038757</v>
      </c>
      <c r="D28" s="220">
        <f>'[3]Scenaior 3 2040'!$E$6</f>
        <v>4.0874811820022146</v>
      </c>
      <c r="E28" s="218">
        <f>'[2]Conversion factors selected IV '!$O$89</f>
        <v>1</v>
      </c>
      <c r="F28" s="219">
        <f>D28*E28*1000000</f>
        <v>4087481.1820022147</v>
      </c>
      <c r="G28" s="225">
        <f>'LCoP 2040 high'!E20</f>
        <v>1599.9201760212559</v>
      </c>
      <c r="H28" s="220">
        <f>G28*F28</f>
        <v>6539643612.1925545</v>
      </c>
      <c r="I28" s="225">
        <f>'LCoP 2040 high'!H20</f>
        <v>0.13308174945999757</v>
      </c>
      <c r="L28" s="219">
        <f>I28*H28</f>
        <v>870307212.75548303</v>
      </c>
      <c r="M28" s="225">
        <f>'LCoP 2040 high'!F20</f>
        <v>0.50315010215191203</v>
      </c>
      <c r="N28" s="287">
        <f>SUM(N29:N34)</f>
        <v>1</v>
      </c>
      <c r="O28" s="219">
        <f>M28*H28</f>
        <v>3290422351.5117826</v>
      </c>
      <c r="P28" s="225">
        <f>'LCoP 2040 high'!G20</f>
        <v>0.36376814838809046</v>
      </c>
      <c r="R28" s="219">
        <f>P28*H28</f>
        <v>2378914047.9252892</v>
      </c>
      <c r="S28" s="219">
        <f>L28+O28+R28</f>
        <v>6539643612.1925545</v>
      </c>
    </row>
    <row r="29" spans="1:19" x14ac:dyDescent="0.35">
      <c r="C29">
        <f>C28/$C$8</f>
        <v>0.38286342401249257</v>
      </c>
      <c r="D29" s="2"/>
      <c r="F29" s="154" t="s">
        <v>212</v>
      </c>
      <c r="G29" s="6">
        <f>SUMIF($J$29:$J$36,F29,$L$29:$L$36)/$L$28</f>
        <v>0.65772979560943423</v>
      </c>
      <c r="H29" s="209" t="s">
        <v>292</v>
      </c>
      <c r="I29" s="12" t="s">
        <v>5</v>
      </c>
      <c r="J29" s="154" t="s">
        <v>212</v>
      </c>
      <c r="K29" s="6">
        <f>'Feedstock MIX per IVC'!N89</f>
        <v>106.04136131997335</v>
      </c>
      <c r="L29" s="2">
        <f>K29*F$28</f>
        <v>433442068.90928859</v>
      </c>
      <c r="M29" s="5" t="s">
        <v>245</v>
      </c>
      <c r="N29" s="174">
        <v>0.15</v>
      </c>
      <c r="O29" s="2">
        <f>N29*O$28</f>
        <v>493563352.72676736</v>
      </c>
      <c r="P29" s="18" t="s">
        <v>251</v>
      </c>
      <c r="Q29" s="123">
        <v>0.15</v>
      </c>
      <c r="R29" s="2">
        <f>Q29*R$28</f>
        <v>356837107.18879336</v>
      </c>
    </row>
    <row r="30" spans="1:19" x14ac:dyDescent="0.35">
      <c r="D30" s="2"/>
      <c r="F30" s="178" t="s">
        <v>256</v>
      </c>
      <c r="G30" s="6">
        <f t="shared" ref="G30:G33" si="8">SUMIF($J$29:$J$36,F30,$L$29:$L$36)/$L$28</f>
        <v>0.14655986558526973</v>
      </c>
      <c r="H30" s="209" t="s">
        <v>292</v>
      </c>
      <c r="I30" s="12" t="s">
        <v>6</v>
      </c>
      <c r="J30" s="154" t="s">
        <v>212</v>
      </c>
      <c r="K30" s="6">
        <f>'Feedstock MIX per IVC'!N90</f>
        <v>5.4811901407983816</v>
      </c>
      <c r="L30" s="2">
        <f t="shared" ref="L30:L36" si="9">K30*F$28</f>
        <v>22404261.555489454</v>
      </c>
      <c r="M30" t="s">
        <v>246</v>
      </c>
      <c r="N30" s="35">
        <v>0.02</v>
      </c>
      <c r="O30" s="2">
        <f t="shared" ref="O30:O34" si="10">N30*O$28</f>
        <v>65808447.030235656</v>
      </c>
      <c r="P30" s="18" t="s">
        <v>210</v>
      </c>
      <c r="Q30" s="123">
        <v>0.25</v>
      </c>
      <c r="R30" s="2">
        <f t="shared" ref="R30:R33" si="11">Q30*R$28</f>
        <v>594728511.98132229</v>
      </c>
    </row>
    <row r="31" spans="1:19" x14ac:dyDescent="0.35">
      <c r="D31" s="2"/>
      <c r="F31" s="156" t="s">
        <v>209</v>
      </c>
      <c r="G31" s="6">
        <f t="shared" si="8"/>
        <v>0.18334545300920693</v>
      </c>
      <c r="H31" s="209" t="s">
        <v>292</v>
      </c>
      <c r="I31" s="12" t="s">
        <v>7</v>
      </c>
      <c r="J31" s="157" t="s">
        <v>211</v>
      </c>
      <c r="K31" s="6">
        <f>'Feedstock MIX per IVC'!N91</f>
        <v>2.6327336601860338</v>
      </c>
      <c r="L31" s="2">
        <f t="shared" si="9"/>
        <v>10761249.293234227</v>
      </c>
      <c r="M31" s="5" t="s">
        <v>244</v>
      </c>
      <c r="N31" s="174">
        <v>0.45</v>
      </c>
      <c r="O31" s="2">
        <f t="shared" si="10"/>
        <v>1480690058.1803021</v>
      </c>
      <c r="P31" s="18" t="s">
        <v>252</v>
      </c>
      <c r="Q31" s="123">
        <v>0.2</v>
      </c>
      <c r="R31" s="2">
        <f t="shared" si="11"/>
        <v>475782809.58505785</v>
      </c>
    </row>
    <row r="32" spans="1:19" x14ac:dyDescent="0.35">
      <c r="D32" s="2"/>
      <c r="F32" s="157" t="s">
        <v>211</v>
      </c>
      <c r="G32" s="6">
        <f t="shared" si="8"/>
        <v>1.2364885796089169E-2</v>
      </c>
      <c r="H32" s="209" t="s">
        <v>292</v>
      </c>
      <c r="I32" s="12" t="s">
        <v>8</v>
      </c>
      <c r="J32" s="154" t="s">
        <v>212</v>
      </c>
      <c r="K32" s="6">
        <f>'Feedstock MIX per IVC'!N92</f>
        <v>22.593373092924249</v>
      </c>
      <c r="L32" s="2">
        <f t="shared" si="9"/>
        <v>92349987.355283052</v>
      </c>
      <c r="M32" t="s">
        <v>247</v>
      </c>
      <c r="N32" s="35">
        <v>0.1</v>
      </c>
      <c r="O32" s="2">
        <f t="shared" si="10"/>
        <v>329042235.1511783</v>
      </c>
      <c r="P32" s="18" t="s">
        <v>253</v>
      </c>
      <c r="Q32" s="123">
        <v>0.3</v>
      </c>
      <c r="R32" s="2">
        <f t="shared" si="11"/>
        <v>713674214.37758672</v>
      </c>
      <c r="S32" s="2"/>
    </row>
    <row r="33" spans="1:18" x14ac:dyDescent="0.35">
      <c r="D33" s="2"/>
      <c r="F33" s="159" t="s">
        <v>213</v>
      </c>
      <c r="G33" s="6">
        <f t="shared" si="8"/>
        <v>0</v>
      </c>
      <c r="H33" s="209" t="s">
        <v>292</v>
      </c>
      <c r="I33" s="12" t="s">
        <v>9</v>
      </c>
      <c r="J33" s="154" t="s">
        <v>212</v>
      </c>
      <c r="K33" s="6">
        <f>'Feedstock MIX per IVC'!N93</f>
        <v>5.9280193018894751</v>
      </c>
      <c r="L33" s="2">
        <f t="shared" si="9"/>
        <v>24230667.343019135</v>
      </c>
      <c r="M33" t="s">
        <v>248</v>
      </c>
      <c r="N33" s="35">
        <v>0.25</v>
      </c>
      <c r="O33" s="2">
        <f t="shared" si="10"/>
        <v>822605587.87794566</v>
      </c>
      <c r="P33" s="18" t="s">
        <v>254</v>
      </c>
      <c r="Q33" s="123">
        <v>0.1</v>
      </c>
      <c r="R33" s="2">
        <f t="shared" si="11"/>
        <v>237891404.79252893</v>
      </c>
    </row>
    <row r="34" spans="1:18" x14ac:dyDescent="0.35">
      <c r="D34" s="2"/>
      <c r="F34" s="31"/>
      <c r="G34" s="6">
        <f>SUM(G29:G33)</f>
        <v>1</v>
      </c>
      <c r="H34" s="209" t="s">
        <v>292</v>
      </c>
      <c r="I34" s="12" t="s">
        <v>10</v>
      </c>
      <c r="J34" s="178" t="s">
        <v>256</v>
      </c>
      <c r="K34" s="6">
        <f>'Feedstock MIX per IVC'!N94</f>
        <v>31.205552378067249</v>
      </c>
      <c r="L34" s="2">
        <f t="shared" si="9"/>
        <v>127552108.11933434</v>
      </c>
      <c r="M34" t="s">
        <v>250</v>
      </c>
      <c r="N34" s="35">
        <v>0.03</v>
      </c>
      <c r="O34" s="2">
        <f t="shared" si="10"/>
        <v>98712670.545353472</v>
      </c>
      <c r="P34" s="18"/>
      <c r="Q34" s="123">
        <f>SUM(Q29:Q33)</f>
        <v>1.0000000000000002</v>
      </c>
      <c r="R34" s="2"/>
    </row>
    <row r="35" spans="1:18" x14ac:dyDescent="0.35">
      <c r="D35" s="2"/>
      <c r="F35" s="31"/>
      <c r="G35" s="6"/>
      <c r="H35" s="209" t="s">
        <v>292</v>
      </c>
      <c r="I35" s="12" t="s">
        <v>11</v>
      </c>
      <c r="J35" s="156" t="s">
        <v>209</v>
      </c>
      <c r="K35" s="6">
        <f>'Feedstock MIX per IVC'!N95</f>
        <v>39.037946127417257</v>
      </c>
      <c r="L35" s="2">
        <f t="shared" si="9"/>
        <v>159566870.17983428</v>
      </c>
    </row>
    <row r="36" spans="1:18" x14ac:dyDescent="0.35">
      <c r="D36" s="2"/>
      <c r="F36" s="31"/>
      <c r="G36" s="6"/>
      <c r="H36" s="209" t="s">
        <v>292</v>
      </c>
      <c r="I36" s="12" t="s">
        <v>12</v>
      </c>
      <c r="J36" s="159" t="s">
        <v>213</v>
      </c>
      <c r="K36" s="6">
        <f>'Feedstock MIX per IVC'!N96</f>
        <v>0</v>
      </c>
      <c r="L36" s="2">
        <f t="shared" si="9"/>
        <v>0</v>
      </c>
      <c r="M36" s="2"/>
      <c r="O36" s="2"/>
    </row>
    <row r="37" spans="1:18" x14ac:dyDescent="0.35">
      <c r="D37" s="2"/>
      <c r="F37" s="31"/>
      <c r="G37" s="6"/>
      <c r="H37" s="209"/>
      <c r="I37" s="107"/>
      <c r="J37" s="256"/>
      <c r="K37" s="6"/>
      <c r="L37" s="2"/>
      <c r="M37" s="2"/>
      <c r="O37" s="2"/>
      <c r="R37" s="2"/>
    </row>
    <row r="38" spans="1:18" x14ac:dyDescent="0.35">
      <c r="D38" s="6"/>
      <c r="E38" s="6"/>
      <c r="F38" s="31"/>
      <c r="G38" s="6"/>
      <c r="H38" s="6"/>
      <c r="I38" s="229" t="s">
        <v>321</v>
      </c>
      <c r="J38" s="6"/>
      <c r="K38" s="6"/>
      <c r="L38" s="2">
        <f>SUM(L39:L46)</f>
        <v>2958844955.7346325</v>
      </c>
      <c r="M38" s="80" t="s">
        <v>214</v>
      </c>
      <c r="O38" s="92">
        <f>SUM(O39:O44)</f>
        <v>12434728505.678173</v>
      </c>
      <c r="P38" s="80" t="s">
        <v>214</v>
      </c>
      <c r="Q38" s="80"/>
      <c r="R38" s="92">
        <f>SUM(R39:R43)</f>
        <v>8391420681.3753567</v>
      </c>
    </row>
    <row r="39" spans="1:18" x14ac:dyDescent="0.35">
      <c r="D39" s="6"/>
      <c r="E39" s="6"/>
      <c r="F39" s="31"/>
      <c r="G39" s="6"/>
      <c r="H39" s="6"/>
      <c r="I39" s="6"/>
      <c r="J39" s="154" t="s">
        <v>212</v>
      </c>
      <c r="K39" s="6"/>
      <c r="L39" s="2">
        <f>SUMIF($J$10:$J$36,J39,$L$10:$L$36)</f>
        <v>1813425088.3229861</v>
      </c>
      <c r="M39" s="5" t="s">
        <v>245</v>
      </c>
      <c r="O39" s="2">
        <f>SUMIF($M$10:$M$36,M39,$O$10:$O$36)</f>
        <v>497866226.70580429</v>
      </c>
      <c r="P39" s="18" t="s">
        <v>251</v>
      </c>
      <c r="R39" s="2">
        <f>SUMIF($P$10:$P$36,P39,$R$10:$R$36)</f>
        <v>1853485460.8616822</v>
      </c>
    </row>
    <row r="40" spans="1:18" x14ac:dyDescent="0.35">
      <c r="D40" s="6"/>
      <c r="E40" s="6"/>
      <c r="F40" s="31"/>
      <c r="G40" s="6"/>
      <c r="H40" s="6"/>
      <c r="I40" s="6"/>
      <c r="J40" s="178" t="s">
        <v>256</v>
      </c>
      <c r="K40" s="6"/>
      <c r="L40" s="2">
        <f>SUMIF($J$10:$J$36,J40,$L$10:$L$36)</f>
        <v>379780368.34011745</v>
      </c>
      <c r="M40" t="s">
        <v>246</v>
      </c>
      <c r="O40" s="2">
        <f>SUMIF($M$10:$M$36,M40,$O$10:$O$36)</f>
        <v>248694570.11356345</v>
      </c>
      <c r="P40" s="18" t="s">
        <v>210</v>
      </c>
      <c r="R40" s="2">
        <f>SUMIF($P$10:$P$36,P40,$R$10:$R$36)</f>
        <v>1492717524.1850555</v>
      </c>
    </row>
    <row r="41" spans="1:18" x14ac:dyDescent="0.35">
      <c r="D41" s="6"/>
      <c r="E41" s="6"/>
      <c r="F41" s="31"/>
      <c r="G41" s="6"/>
      <c r="H41" s="6"/>
      <c r="I41" s="6"/>
      <c r="J41" s="156" t="s">
        <v>209</v>
      </c>
      <c r="K41" s="6"/>
      <c r="L41" s="2">
        <f>SUMIF($J$10:$J$36,J41,$L$10:$L$36)</f>
        <v>475028432.35230446</v>
      </c>
      <c r="M41" s="5" t="s">
        <v>244</v>
      </c>
      <c r="O41" s="2">
        <f>SUMIF($M$10:$M$36,M41,$O$10:$O$36)</f>
        <v>6501452695.0137444</v>
      </c>
      <c r="P41" s="18" t="s">
        <v>252</v>
      </c>
      <c r="R41" s="2">
        <f>SUMIF($P$10:$P$36,P41,$R$10:$R$36)</f>
        <v>2271760833.9925241</v>
      </c>
    </row>
    <row r="42" spans="1:18" x14ac:dyDescent="0.35">
      <c r="D42" s="6"/>
      <c r="E42" s="6"/>
      <c r="F42" s="31"/>
      <c r="G42" s="6"/>
      <c r="H42" s="6"/>
      <c r="I42" s="6"/>
      <c r="J42" s="157" t="s">
        <v>211</v>
      </c>
      <c r="K42" s="6"/>
      <c r="L42" s="2">
        <f>SUMIF($J$10:$J$36,J42,$L$10:$L$36)</f>
        <v>33607449.053723142</v>
      </c>
      <c r="M42" t="s">
        <v>247</v>
      </c>
      <c r="O42" s="2">
        <f>SUMIF($M$10:$M$36,M42,$O$10:$O$36)</f>
        <v>1247775724.5468543</v>
      </c>
      <c r="P42" s="18" t="s">
        <v>253</v>
      </c>
      <c r="R42" s="2">
        <f>SUMIF($P$10:$P$36,P42,$R$10:$R$36)</f>
        <v>2529087152.8539376</v>
      </c>
    </row>
    <row r="43" spans="1:18" x14ac:dyDescent="0.35">
      <c r="D43" s="6"/>
      <c r="E43" s="6"/>
      <c r="F43" s="31"/>
      <c r="G43" s="6"/>
      <c r="H43" s="6"/>
      <c r="I43" s="6"/>
      <c r="J43" s="159" t="s">
        <v>213</v>
      </c>
      <c r="K43" s="6"/>
      <c r="L43" s="2">
        <f>SUMIF($J$10:$J$36,J43,$L$10:$L$36)</f>
        <v>0</v>
      </c>
      <c r="M43" t="s">
        <v>248</v>
      </c>
      <c r="O43" s="2">
        <f>SUMIF($M$10:$M$36,M43,$O$10:$O$36)</f>
        <v>3565897434.1278629</v>
      </c>
      <c r="P43" s="18" t="s">
        <v>254</v>
      </c>
      <c r="R43" s="2">
        <f>SUMIF($P$10:$P$36,P43,$R$10:$R$36)</f>
        <v>244369709.48215705</v>
      </c>
    </row>
    <row r="44" spans="1:18" x14ac:dyDescent="0.35">
      <c r="D44" s="6"/>
      <c r="E44" s="6"/>
      <c r="F44" s="31"/>
      <c r="G44" s="6"/>
      <c r="H44" s="6"/>
      <c r="I44" s="229"/>
      <c r="J44" s="158" t="s">
        <v>104</v>
      </c>
      <c r="K44" s="6"/>
      <c r="L44" s="2">
        <f>SUMIF($J$10:$J$36,J44,$L$10:$L$36)</f>
        <v>231864125.12241396</v>
      </c>
      <c r="M44" t="s">
        <v>250</v>
      </c>
      <c r="O44" s="2">
        <f>SUMIF($M$10:$M$36,M44,$O$10:$O$36)</f>
        <v>373041855.17034513</v>
      </c>
    </row>
    <row r="45" spans="1:18" x14ac:dyDescent="0.35">
      <c r="D45" s="6"/>
      <c r="E45" s="6"/>
      <c r="F45" s="31"/>
      <c r="G45" s="6"/>
      <c r="J45" s="259" t="s">
        <v>210</v>
      </c>
      <c r="L45" s="2">
        <f>SUMIF($J$10:$J$36,J45,$L$10:$L$36)</f>
        <v>25139492.543086853</v>
      </c>
    </row>
    <row r="46" spans="1:18" x14ac:dyDescent="0.35">
      <c r="D46" s="6"/>
      <c r="E46" s="6"/>
      <c r="F46" s="31"/>
      <c r="G46" s="6"/>
      <c r="J46" s="207" t="s">
        <v>426</v>
      </c>
      <c r="L46" s="2">
        <f>SUMIF($J$10:$J$36,J46,$L$10:$L$36)</f>
        <v>0</v>
      </c>
    </row>
    <row r="47" spans="1:18" s="93" customFormat="1" ht="41" customHeight="1" x14ac:dyDescent="0.35">
      <c r="A47" s="93" t="s">
        <v>105</v>
      </c>
      <c r="F47" s="176"/>
    </row>
    <row r="48" spans="1:18" ht="17.5" customHeight="1" x14ac:dyDescent="0.35">
      <c r="C48" s="2">
        <f>C49+C56+C63+C72</f>
        <v>38064992894.911018</v>
      </c>
      <c r="D48" s="2">
        <f>D49+D56+D63+D72</f>
        <v>27.303915209537173</v>
      </c>
      <c r="F48" s="2">
        <f>F49+F56+F63+F72</f>
        <v>33094163.794989489</v>
      </c>
      <c r="L48" s="2">
        <f>L49+L56+L63+L72</f>
        <v>8797403747.4322929</v>
      </c>
      <c r="O48" s="2">
        <f>O49+O56+O63+O72</f>
        <v>18983416039.785637</v>
      </c>
      <c r="R48" s="2">
        <f>R49+R56+R63+R72</f>
        <v>20592734100.67075</v>
      </c>
    </row>
    <row r="49" spans="1:19" s="218" customFormat="1" ht="17.5" customHeight="1" x14ac:dyDescent="0.35">
      <c r="A49" s="218" t="s">
        <v>337</v>
      </c>
      <c r="B49" s="218">
        <v>1000</v>
      </c>
      <c r="C49" s="219">
        <f>B49*F49</f>
        <v>8879580635.8031902</v>
      </c>
      <c r="D49" s="220">
        <f>'[3]Scenaior 3 2040'!$E$8</f>
        <v>5.7262987763133202</v>
      </c>
      <c r="E49" s="227">
        <f>'[2]Conversion factors selected IV '!$O$17</f>
        <v>1.5506666666666669</v>
      </c>
      <c r="F49" s="219">
        <f>D49*E49*1000000</f>
        <v>8879580.635803191</v>
      </c>
      <c r="G49" s="225">
        <f>'LCoP 2040 high'!E5</f>
        <v>1393.3392345808438</v>
      </c>
      <c r="H49" s="220">
        <f>G49*F49</f>
        <v>12372268086.488901</v>
      </c>
      <c r="I49" s="225">
        <f>'LCoP 2040 high'!H5</f>
        <v>0.23134296844645494</v>
      </c>
      <c r="L49" s="219">
        <f>I49*H49</f>
        <v>2862237225.5436831</v>
      </c>
      <c r="M49" s="225">
        <f>'LCoP 2040 high'!F5</f>
        <v>0.39832367181346173</v>
      </c>
      <c r="O49" s="219">
        <f>M49*H49</f>
        <v>4928167252.8707714</v>
      </c>
      <c r="P49" s="225">
        <f>'LCoP 2040 high'!G5</f>
        <v>0.37033335974008336</v>
      </c>
      <c r="R49" s="219">
        <f>P49*H49</f>
        <v>4581863608.0744467</v>
      </c>
      <c r="S49" s="220">
        <f>R49+O49+L49</f>
        <v>12372268086.488899</v>
      </c>
    </row>
    <row r="50" spans="1:19" ht="15" customHeight="1" x14ac:dyDescent="0.35">
      <c r="C50">
        <f>C49/$C$48</f>
        <v>0.23327419659101836</v>
      </c>
      <c r="F50" s="154" t="s">
        <v>212</v>
      </c>
      <c r="G50" s="6">
        <f>SUMIF($J$50:$J$53,F50,$L$50:$L$53)/$L$49</f>
        <v>0.81809464449449776</v>
      </c>
      <c r="H50" s="209" t="s">
        <v>292</v>
      </c>
      <c r="I50" s="7" t="s">
        <v>5</v>
      </c>
      <c r="J50" s="154" t="s">
        <v>212</v>
      </c>
      <c r="K50" s="6">
        <f>'Feedstock MIX per IVC'!N13</f>
        <v>208.53498446406471</v>
      </c>
      <c r="L50">
        <f>K50*F$49</f>
        <v>1851703209.9346282</v>
      </c>
      <c r="M50" s="5" t="s">
        <v>245</v>
      </c>
      <c r="N50" s="35">
        <v>0</v>
      </c>
      <c r="O50" s="2">
        <f>N50*O$49</f>
        <v>0</v>
      </c>
      <c r="P50" s="18" t="s">
        <v>251</v>
      </c>
      <c r="Q50" s="35">
        <v>0.2</v>
      </c>
      <c r="R50" s="2">
        <f>Q50*R$49</f>
        <v>916372721.61488938</v>
      </c>
    </row>
    <row r="51" spans="1:19" ht="15" customHeight="1" x14ac:dyDescent="0.35">
      <c r="F51" s="156" t="s">
        <v>209</v>
      </c>
      <c r="G51" s="6">
        <f>SUMIF($J$50:$J$53,F51,$L$50:$L$53)/$L$49</f>
        <v>0.18190535550550219</v>
      </c>
      <c r="H51" s="209" t="s">
        <v>292</v>
      </c>
      <c r="I51" s="7" t="s">
        <v>8</v>
      </c>
      <c r="J51" s="154" t="s">
        <v>212</v>
      </c>
      <c r="K51" s="6">
        <f>'Feedstock MIX per IVC'!N14</f>
        <v>43.614908218878313</v>
      </c>
      <c r="L51">
        <f t="shared" ref="L51:L53" si="12">K51*F$49</f>
        <v>387282094.4526853</v>
      </c>
      <c r="M51" t="s">
        <v>246</v>
      </c>
      <c r="N51" s="35">
        <v>0.02</v>
      </c>
      <c r="O51" s="2">
        <f t="shared" ref="O51:O55" si="13">N51*O$49</f>
        <v>98563345.057415426</v>
      </c>
      <c r="P51" s="18" t="s">
        <v>210</v>
      </c>
      <c r="Q51" s="35">
        <v>0.5</v>
      </c>
      <c r="R51" s="2">
        <f t="shared" ref="R51:R54" si="14">Q51*R$49</f>
        <v>2290931804.0372233</v>
      </c>
    </row>
    <row r="52" spans="1:19" ht="15" customHeight="1" x14ac:dyDescent="0.35">
      <c r="F52" s="31"/>
      <c r="H52" s="209" t="s">
        <v>292</v>
      </c>
      <c r="I52" s="7" t="s">
        <v>9</v>
      </c>
      <c r="J52" s="154" t="s">
        <v>212</v>
      </c>
      <c r="K52" s="6">
        <f>'Feedstock MIX per IVC'!N15</f>
        <v>11.554108838100944</v>
      </c>
      <c r="L52">
        <f t="shared" si="12"/>
        <v>102595641.10276365</v>
      </c>
      <c r="M52" s="5" t="s">
        <v>244</v>
      </c>
      <c r="N52" s="35">
        <v>0.5</v>
      </c>
      <c r="O52" s="2">
        <f t="shared" si="13"/>
        <v>2464083626.4353857</v>
      </c>
      <c r="P52" s="18" t="s">
        <v>252</v>
      </c>
      <c r="Q52" s="35">
        <v>0.15</v>
      </c>
      <c r="R52" s="2">
        <f t="shared" si="14"/>
        <v>687279541.21116698</v>
      </c>
    </row>
    <row r="53" spans="1:19" ht="15" customHeight="1" x14ac:dyDescent="0.35">
      <c r="F53" s="31"/>
      <c r="H53" s="209" t="s">
        <v>292</v>
      </c>
      <c r="I53" s="7" t="s">
        <v>11</v>
      </c>
      <c r="J53" s="156" t="s">
        <v>209</v>
      </c>
      <c r="K53" s="6">
        <f>'Feedstock MIX per IVC'!N16</f>
        <v>58.635233059799859</v>
      </c>
      <c r="L53">
        <f t="shared" si="12"/>
        <v>520656280.05360591</v>
      </c>
      <c r="M53" t="s">
        <v>247</v>
      </c>
      <c r="N53" s="35">
        <v>0.15</v>
      </c>
      <c r="O53" s="2">
        <f t="shared" si="13"/>
        <v>739225087.93061566</v>
      </c>
      <c r="P53" s="18" t="s">
        <v>253</v>
      </c>
      <c r="Q53" s="35">
        <v>0.1</v>
      </c>
      <c r="R53" s="2">
        <f t="shared" si="14"/>
        <v>458186360.80744469</v>
      </c>
    </row>
    <row r="54" spans="1:19" ht="15" customHeight="1" x14ac:dyDescent="0.35">
      <c r="F54" s="31"/>
      <c r="M54" t="s">
        <v>248</v>
      </c>
      <c r="N54" s="35">
        <v>0.3</v>
      </c>
      <c r="O54" s="2">
        <f t="shared" si="13"/>
        <v>1478450175.8612313</v>
      </c>
      <c r="P54" s="18" t="s">
        <v>254</v>
      </c>
      <c r="Q54" s="35">
        <v>0.05</v>
      </c>
      <c r="R54" s="2">
        <f t="shared" si="14"/>
        <v>229093180.40372235</v>
      </c>
    </row>
    <row r="55" spans="1:19" ht="15" customHeight="1" x14ac:dyDescent="0.35">
      <c r="F55" s="31"/>
      <c r="M55" t="s">
        <v>250</v>
      </c>
      <c r="N55" s="35">
        <v>0.03</v>
      </c>
      <c r="O55" s="2">
        <f t="shared" si="13"/>
        <v>147845017.58612314</v>
      </c>
      <c r="R55" s="2"/>
    </row>
    <row r="56" spans="1:19" s="218" customFormat="1" ht="17.5" customHeight="1" x14ac:dyDescent="0.35">
      <c r="A56" s="218" t="s">
        <v>344</v>
      </c>
      <c r="B56" s="218">
        <v>1000</v>
      </c>
      <c r="C56" s="219">
        <f>B56*F56</f>
        <v>7425647221.0516319</v>
      </c>
      <c r="D56" s="225">
        <f>'[3]Scenaior 3 2040'!$E$9</f>
        <v>4.7886804950891859</v>
      </c>
      <c r="E56" s="218">
        <f>'[2]Conversion factors selected IV '!$O$86</f>
        <v>1.5506666666666669</v>
      </c>
      <c r="F56" s="219">
        <f>D56*E56*1000000</f>
        <v>7425647.2210516315</v>
      </c>
      <c r="G56" s="225">
        <f>'LCoP 2040 high'!E18</f>
        <v>988.03814186666671</v>
      </c>
      <c r="H56" s="220">
        <f>G56*F56</f>
        <v>7336822682.4452314</v>
      </c>
      <c r="I56" s="225">
        <f>'LCoP 2040 high'!H18</f>
        <v>0.32087642008201966</v>
      </c>
      <c r="L56" s="219">
        <f>I56*H56</f>
        <v>2354213397.1195865</v>
      </c>
      <c r="M56" s="225">
        <f>'LCoP 2040 high'!F18</f>
        <v>0.28136565606139868</v>
      </c>
      <c r="O56" s="219">
        <f>M56*H56</f>
        <v>2064329927.4523535</v>
      </c>
      <c r="P56" s="225">
        <f>'LCoP 2040 high'!G18</f>
        <v>0.3977579238565816</v>
      </c>
      <c r="R56" s="219">
        <f>P56*H56</f>
        <v>2918279357.873291</v>
      </c>
      <c r="S56" s="220">
        <f>R56+O56+L56</f>
        <v>7336822682.4452305</v>
      </c>
    </row>
    <row r="57" spans="1:19" ht="14.5" customHeight="1" x14ac:dyDescent="0.35">
      <c r="C57">
        <f>C56/$C$48</f>
        <v>0.19507811919345927</v>
      </c>
      <c r="D57" s="6"/>
      <c r="F57" s="31"/>
      <c r="I57" s="16" t="s">
        <v>37</v>
      </c>
      <c r="J57" s="207" t="s">
        <v>106</v>
      </c>
      <c r="K57" s="6">
        <f>'Feedstock MIX per IVC'!N85</f>
        <v>317.03814186666671</v>
      </c>
      <c r="L57" s="31">
        <f>K57*F56</f>
        <v>2354213397.1195865</v>
      </c>
      <c r="M57" s="5" t="s">
        <v>245</v>
      </c>
      <c r="N57" s="35">
        <v>0</v>
      </c>
      <c r="O57" s="2">
        <f>N57*O$56</f>
        <v>0</v>
      </c>
      <c r="P57" s="18" t="s">
        <v>251</v>
      </c>
      <c r="Q57" s="35">
        <v>0.2</v>
      </c>
      <c r="R57" s="2">
        <f>Q57*R$56</f>
        <v>583655871.57465827</v>
      </c>
    </row>
    <row r="58" spans="1:19" ht="14.5" customHeight="1" x14ac:dyDescent="0.35">
      <c r="D58" s="6"/>
      <c r="F58" s="31"/>
      <c r="M58" t="s">
        <v>246</v>
      </c>
      <c r="N58" s="35">
        <v>0.02</v>
      </c>
      <c r="O58" s="2">
        <f t="shared" ref="O58:O62" si="15">N58*O$56</f>
        <v>41286598.549047068</v>
      </c>
      <c r="P58" s="18" t="s">
        <v>210</v>
      </c>
      <c r="Q58" s="35">
        <v>0.5</v>
      </c>
      <c r="R58" s="2">
        <f t="shared" ref="R58:R61" si="16">Q58*R$56</f>
        <v>1459139678.9366455</v>
      </c>
    </row>
    <row r="59" spans="1:19" ht="14.5" customHeight="1" x14ac:dyDescent="0.35">
      <c r="D59" s="6"/>
      <c r="F59" s="31"/>
      <c r="M59" s="5" t="s">
        <v>244</v>
      </c>
      <c r="N59" s="35">
        <v>0.5</v>
      </c>
      <c r="O59" s="2">
        <f t="shared" si="15"/>
        <v>1032164963.7261767</v>
      </c>
      <c r="P59" s="18" t="s">
        <v>252</v>
      </c>
      <c r="Q59" s="35">
        <v>0.15</v>
      </c>
      <c r="R59" s="2">
        <f t="shared" si="16"/>
        <v>437741903.68099362</v>
      </c>
    </row>
    <row r="60" spans="1:19" ht="14.5" customHeight="1" x14ac:dyDescent="0.35">
      <c r="D60" s="6"/>
      <c r="F60" s="31"/>
      <c r="M60" t="s">
        <v>247</v>
      </c>
      <c r="N60" s="35">
        <v>0.15</v>
      </c>
      <c r="O60" s="2">
        <f t="shared" si="15"/>
        <v>309649489.11785299</v>
      </c>
      <c r="P60" s="18" t="s">
        <v>253</v>
      </c>
      <c r="Q60" s="35">
        <v>0.1</v>
      </c>
      <c r="R60" s="2">
        <f t="shared" si="16"/>
        <v>291827935.78732914</v>
      </c>
    </row>
    <row r="61" spans="1:19" ht="14.5" customHeight="1" x14ac:dyDescent="0.35">
      <c r="F61" s="31"/>
      <c r="M61" t="s">
        <v>248</v>
      </c>
      <c r="N61" s="35">
        <v>0.3</v>
      </c>
      <c r="O61" s="2">
        <f t="shared" si="15"/>
        <v>619298978.23570597</v>
      </c>
      <c r="P61" s="18" t="s">
        <v>254</v>
      </c>
      <c r="Q61" s="35">
        <v>0.05</v>
      </c>
      <c r="R61" s="2">
        <f t="shared" si="16"/>
        <v>145913967.89366457</v>
      </c>
    </row>
    <row r="62" spans="1:19" ht="14.5" customHeight="1" x14ac:dyDescent="0.35">
      <c r="F62" s="31"/>
      <c r="M62" t="s">
        <v>250</v>
      </c>
      <c r="N62" s="35">
        <v>0.03</v>
      </c>
      <c r="O62" s="2">
        <f t="shared" si="15"/>
        <v>61929897.823570602</v>
      </c>
    </row>
    <row r="63" spans="1:19" s="218" customFormat="1" ht="17.5" customHeight="1" x14ac:dyDescent="0.35">
      <c r="A63" s="218" t="s">
        <v>335</v>
      </c>
      <c r="B63" s="218">
        <v>1750</v>
      </c>
      <c r="C63" s="219">
        <f>B63*F63</f>
        <v>7153092068.5038757</v>
      </c>
      <c r="D63" s="220">
        <f>'[3]Scenaior 3 2040'!$E$10</f>
        <v>4.0874811820022146</v>
      </c>
      <c r="E63" s="218">
        <f>'[2]Conversion factors selected IV '!$O$89</f>
        <v>1</v>
      </c>
      <c r="F63" s="219">
        <f>D63*E63*1000000</f>
        <v>4087481.1820022147</v>
      </c>
      <c r="G63" s="225">
        <f>'LCoP 2040 high'!E20</f>
        <v>1599.9201760212559</v>
      </c>
      <c r="H63" s="220">
        <f>G63*F63</f>
        <v>6539643612.1925545</v>
      </c>
      <c r="I63" s="225">
        <f>'LCoP 2040 high'!H20</f>
        <v>0.13308174945999757</v>
      </c>
      <c r="L63" s="219">
        <f>I63*H63</f>
        <v>870307212.75548303</v>
      </c>
      <c r="M63" s="225">
        <f>'LCoP 2040 high'!F20</f>
        <v>0.50315010215191203</v>
      </c>
      <c r="O63" s="219">
        <f>M63*H63</f>
        <v>3290422351.5117826</v>
      </c>
      <c r="P63" s="225">
        <f>'LCoP 2040 high'!G20</f>
        <v>0.36376814838809046</v>
      </c>
      <c r="R63" s="219">
        <f>P63*H63</f>
        <v>2378914047.9252892</v>
      </c>
      <c r="S63" s="220">
        <f>R63+O63+L63</f>
        <v>6539643612.1925545</v>
      </c>
    </row>
    <row r="64" spans="1:19" ht="17.5" customHeight="1" x14ac:dyDescent="0.35">
      <c r="C64">
        <f>C63/$C$48</f>
        <v>0.1879178616492054</v>
      </c>
      <c r="F64" s="154" t="s">
        <v>212</v>
      </c>
      <c r="G64" s="6">
        <f>SUMIF($J$64:$J$71,F64,$L$64:$L$71)/$L$63</f>
        <v>0.65772979560943423</v>
      </c>
      <c r="H64" s="209" t="s">
        <v>292</v>
      </c>
      <c r="I64" s="5" t="s">
        <v>5</v>
      </c>
      <c r="J64" s="154" t="s">
        <v>212</v>
      </c>
      <c r="K64" s="6">
        <f>'Feedstock MIX per IVC'!N89</f>
        <v>106.04136131997335</v>
      </c>
      <c r="L64">
        <f>K64*F$63</f>
        <v>433442068.90928859</v>
      </c>
      <c r="M64" s="5" t="s">
        <v>245</v>
      </c>
      <c r="N64" s="174">
        <v>0.15</v>
      </c>
      <c r="O64" s="2">
        <f>N64*O$63</f>
        <v>493563352.72676736</v>
      </c>
      <c r="P64" s="18" t="s">
        <v>251</v>
      </c>
      <c r="Q64" s="123">
        <v>0.15</v>
      </c>
      <c r="R64" s="2">
        <f>Q64*R$63</f>
        <v>356837107.18879336</v>
      </c>
    </row>
    <row r="65" spans="1:19" ht="17.5" customHeight="1" x14ac:dyDescent="0.35">
      <c r="F65" s="178" t="s">
        <v>256</v>
      </c>
      <c r="G65" s="6">
        <f t="shared" ref="G65:G69" si="17">SUMIF($J$64:$J$71,F65,$L$64:$L$71)/$L$63</f>
        <v>0.14655986558526973</v>
      </c>
      <c r="H65" s="209" t="s">
        <v>292</v>
      </c>
      <c r="I65" s="5" t="s">
        <v>6</v>
      </c>
      <c r="J65" s="154" t="s">
        <v>212</v>
      </c>
      <c r="K65" s="6">
        <f>'Feedstock MIX per IVC'!N90</f>
        <v>5.4811901407983816</v>
      </c>
      <c r="L65">
        <f t="shared" ref="L65:L71" si="18">K65*F$63</f>
        <v>22404261.555489454</v>
      </c>
      <c r="M65" t="s">
        <v>246</v>
      </c>
      <c r="N65" s="35">
        <v>0.02</v>
      </c>
      <c r="O65" s="2">
        <f t="shared" ref="O65:O68" si="19">N65*O$63</f>
        <v>65808447.030235656</v>
      </c>
      <c r="P65" s="18" t="s">
        <v>210</v>
      </c>
      <c r="Q65" s="123">
        <v>0.25</v>
      </c>
      <c r="R65" s="2">
        <f t="shared" ref="R65:R68" si="20">Q65*R$63</f>
        <v>594728511.98132229</v>
      </c>
    </row>
    <row r="66" spans="1:19" ht="17.5" customHeight="1" x14ac:dyDescent="0.35">
      <c r="F66" s="156" t="s">
        <v>209</v>
      </c>
      <c r="G66" s="6">
        <f t="shared" si="17"/>
        <v>0.18334545300920693</v>
      </c>
      <c r="H66" s="209" t="s">
        <v>292</v>
      </c>
      <c r="I66" s="5" t="s">
        <v>7</v>
      </c>
      <c r="J66" s="157" t="s">
        <v>211</v>
      </c>
      <c r="K66" s="6">
        <f>'Feedstock MIX per IVC'!N91</f>
        <v>2.6327336601860338</v>
      </c>
      <c r="L66">
        <f t="shared" si="18"/>
        <v>10761249.293234227</v>
      </c>
      <c r="M66" s="5" t="s">
        <v>244</v>
      </c>
      <c r="N66" s="174">
        <v>0.45</v>
      </c>
      <c r="O66" s="2">
        <f t="shared" si="19"/>
        <v>1480690058.1803021</v>
      </c>
      <c r="P66" s="18" t="s">
        <v>252</v>
      </c>
      <c r="Q66" s="123">
        <v>0.2</v>
      </c>
      <c r="R66" s="2">
        <f t="shared" si="20"/>
        <v>475782809.58505785</v>
      </c>
    </row>
    <row r="67" spans="1:19" ht="17.5" customHeight="1" x14ac:dyDescent="0.35">
      <c r="F67" s="157" t="s">
        <v>211</v>
      </c>
      <c r="G67" s="6">
        <f t="shared" si="17"/>
        <v>1.2364885796089169E-2</v>
      </c>
      <c r="H67" s="209" t="s">
        <v>292</v>
      </c>
      <c r="I67" s="5" t="s">
        <v>8</v>
      </c>
      <c r="J67" s="154" t="s">
        <v>212</v>
      </c>
      <c r="K67" s="6">
        <f>'Feedstock MIX per IVC'!N92</f>
        <v>22.593373092924249</v>
      </c>
      <c r="L67">
        <f t="shared" si="18"/>
        <v>92349987.355283052</v>
      </c>
      <c r="M67" t="s">
        <v>247</v>
      </c>
      <c r="N67" s="35">
        <v>0.1</v>
      </c>
      <c r="O67" s="2">
        <f t="shared" si="19"/>
        <v>329042235.1511783</v>
      </c>
      <c r="P67" s="18" t="s">
        <v>253</v>
      </c>
      <c r="Q67" s="123">
        <v>0.3</v>
      </c>
      <c r="R67" s="2">
        <f t="shared" si="20"/>
        <v>713674214.37758672</v>
      </c>
    </row>
    <row r="68" spans="1:19" ht="17.5" customHeight="1" x14ac:dyDescent="0.35">
      <c r="F68" s="159" t="s">
        <v>213</v>
      </c>
      <c r="G68" s="6">
        <f t="shared" si="17"/>
        <v>0</v>
      </c>
      <c r="H68" s="209" t="s">
        <v>292</v>
      </c>
      <c r="I68" s="5" t="s">
        <v>9</v>
      </c>
      <c r="J68" s="154" t="s">
        <v>212</v>
      </c>
      <c r="K68" s="6">
        <f>'Feedstock MIX per IVC'!N93</f>
        <v>5.9280193018894751</v>
      </c>
      <c r="L68">
        <f t="shared" si="18"/>
        <v>24230667.343019135</v>
      </c>
      <c r="M68" t="s">
        <v>248</v>
      </c>
      <c r="N68" s="35">
        <v>0.25</v>
      </c>
      <c r="O68" s="2">
        <f t="shared" si="19"/>
        <v>822605587.87794566</v>
      </c>
      <c r="P68" s="18" t="s">
        <v>254</v>
      </c>
      <c r="Q68" s="123">
        <v>0.1</v>
      </c>
      <c r="R68" s="2">
        <f t="shared" si="20"/>
        <v>237891404.79252893</v>
      </c>
    </row>
    <row r="69" spans="1:19" ht="17.5" customHeight="1" x14ac:dyDescent="0.35">
      <c r="F69" s="207" t="s">
        <v>106</v>
      </c>
      <c r="G69" s="6">
        <f t="shared" si="17"/>
        <v>0</v>
      </c>
      <c r="H69" s="209" t="s">
        <v>292</v>
      </c>
      <c r="I69" s="5" t="s">
        <v>10</v>
      </c>
      <c r="J69" s="178" t="s">
        <v>256</v>
      </c>
      <c r="K69" s="6">
        <f>'Feedstock MIX per IVC'!N94</f>
        <v>31.205552378067249</v>
      </c>
      <c r="L69">
        <f t="shared" si="18"/>
        <v>127552108.11933434</v>
      </c>
      <c r="M69" t="s">
        <v>250</v>
      </c>
      <c r="N69" s="35">
        <v>0.03</v>
      </c>
      <c r="O69" s="2">
        <f>N69*O$63</f>
        <v>98712670.545353472</v>
      </c>
      <c r="Q69" s="35"/>
      <c r="R69" s="2"/>
    </row>
    <row r="70" spans="1:19" ht="17.5" customHeight="1" x14ac:dyDescent="0.35">
      <c r="F70" s="31"/>
      <c r="G70" s="6">
        <f>SUM(G64:G69)</f>
        <v>1</v>
      </c>
      <c r="H70" s="209" t="s">
        <v>292</v>
      </c>
      <c r="I70" s="5" t="s">
        <v>11</v>
      </c>
      <c r="J70" s="156" t="s">
        <v>209</v>
      </c>
      <c r="K70" s="6">
        <f>'Feedstock MIX per IVC'!N95</f>
        <v>39.037946127417257</v>
      </c>
      <c r="L70">
        <f t="shared" si="18"/>
        <v>159566870.17983428</v>
      </c>
      <c r="O70" s="2"/>
    </row>
    <row r="71" spans="1:19" ht="17.5" customHeight="1" x14ac:dyDescent="0.35">
      <c r="F71" s="31"/>
      <c r="H71" s="209" t="s">
        <v>292</v>
      </c>
      <c r="I71" s="5" t="s">
        <v>12</v>
      </c>
      <c r="J71" s="159" t="s">
        <v>213</v>
      </c>
      <c r="K71" s="6">
        <f>'Feedstock MIX per IVC'!N96</f>
        <v>0</v>
      </c>
      <c r="L71">
        <f t="shared" si="18"/>
        <v>0</v>
      </c>
    </row>
    <row r="72" spans="1:19" s="218" customFormat="1" x14ac:dyDescent="0.35">
      <c r="A72" s="218" t="s">
        <v>338</v>
      </c>
      <c r="B72" s="218">
        <v>1150</v>
      </c>
      <c r="C72" s="219">
        <f>B72*F72</f>
        <v>14606672969.55232</v>
      </c>
      <c r="D72" s="225">
        <f>'[3]Scenaior 3 2040'!$E$11</f>
        <v>12.701454756132451</v>
      </c>
      <c r="E72" s="225">
        <f>'[2]Conversion factors selected IV '!$O$125</f>
        <v>1</v>
      </c>
      <c r="F72" s="219">
        <f>D72*E72*1000000</f>
        <v>12701454.756132452</v>
      </c>
      <c r="G72" s="225">
        <f>'LCoP 2040 high'!E22</f>
        <v>1741.9122400983085</v>
      </c>
      <c r="H72" s="220">
        <f>G72*F72</f>
        <v>22124819506.761993</v>
      </c>
      <c r="I72" s="225">
        <f>'LCoP 2040 high'!H22</f>
        <v>0.122516068941719</v>
      </c>
      <c r="L72" s="219">
        <f>I72*H72</f>
        <v>2710645912.0135417</v>
      </c>
      <c r="M72" s="225">
        <f>'LCoP 2040 high'!F22</f>
        <v>0.39324598807649491</v>
      </c>
      <c r="O72" s="219">
        <f>M72*H72</f>
        <v>8700496507.9507294</v>
      </c>
      <c r="P72" s="225">
        <f>'LCoP 2040 high'!G22</f>
        <v>0.48423794298178607</v>
      </c>
      <c r="R72" s="219">
        <f>P72*H72</f>
        <v>10713677086.797722</v>
      </c>
      <c r="S72" s="219">
        <f>L72+O72+R72</f>
        <v>22124819506.761993</v>
      </c>
    </row>
    <row r="73" spans="1:19" x14ac:dyDescent="0.35">
      <c r="C73">
        <f>C72/$C$48</f>
        <v>0.38372982256631694</v>
      </c>
      <c r="D73" s="6"/>
      <c r="E73" s="6"/>
      <c r="F73" s="154" t="s">
        <v>212</v>
      </c>
      <c r="G73" s="6">
        <f>SUMIF($J$73:$J$80,F73,$L$73:$L$80)/$L$72</f>
        <v>0.66262204905715905</v>
      </c>
      <c r="H73" s="209" t="s">
        <v>292</v>
      </c>
      <c r="I73" s="5" t="s">
        <v>5</v>
      </c>
      <c r="J73" s="154" t="s">
        <v>212</v>
      </c>
      <c r="K73" s="6">
        <f>'Feedstock MIX per IVC'!N107</f>
        <v>104.74582757099131</v>
      </c>
      <c r="L73" s="2">
        <f>K73*F$72</f>
        <v>1330424389.7865973</v>
      </c>
      <c r="M73" s="5" t="s">
        <v>245</v>
      </c>
      <c r="N73" s="174">
        <v>0.15</v>
      </c>
      <c r="O73" s="2">
        <f>N73*O$72</f>
        <v>1305074476.1926093</v>
      </c>
      <c r="P73" s="18" t="s">
        <v>251</v>
      </c>
      <c r="Q73" s="123">
        <v>0.15</v>
      </c>
      <c r="R73" s="2">
        <f>Q73*R$72</f>
        <v>1607051563.0196583</v>
      </c>
    </row>
    <row r="74" spans="1:19" x14ac:dyDescent="0.35">
      <c r="D74" s="6"/>
      <c r="E74" s="6"/>
      <c r="F74" s="178" t="s">
        <v>256</v>
      </c>
      <c r="G74" s="6">
        <f t="shared" ref="G74:G78" si="21">SUMIF($J$73:$J$80,F74,$L$73:$L$80)/$L$72</f>
        <v>0.1444508505182362</v>
      </c>
      <c r="H74" s="209" t="s">
        <v>292</v>
      </c>
      <c r="I74" s="5" t="s">
        <v>6</v>
      </c>
      <c r="J74" s="154" t="s">
        <v>212</v>
      </c>
      <c r="K74" s="6">
        <f>'Feedstock MIX per IVC'!N108</f>
        <v>5.4134257454164922</v>
      </c>
      <c r="L74" s="2">
        <f t="shared" ref="L74:L79" si="22">K74*F$72</f>
        <v>68758382.181090161</v>
      </c>
      <c r="M74" t="s">
        <v>246</v>
      </c>
      <c r="N74" s="35">
        <v>0.02</v>
      </c>
      <c r="O74" s="2">
        <f t="shared" ref="O74:O78" si="23">N74*O$72</f>
        <v>174009930.15901458</v>
      </c>
      <c r="P74" s="18" t="s">
        <v>210</v>
      </c>
      <c r="Q74" s="123">
        <v>0.25</v>
      </c>
      <c r="R74" s="2">
        <f>Q74*R$72</f>
        <v>2678419271.6994305</v>
      </c>
    </row>
    <row r="75" spans="1:19" x14ac:dyDescent="0.35">
      <c r="D75" s="6"/>
      <c r="E75" s="6"/>
      <c r="F75" s="156" t="s">
        <v>209</v>
      </c>
      <c r="G75" s="6">
        <f t="shared" si="21"/>
        <v>0.18075175521303793</v>
      </c>
      <c r="H75" s="209" t="s">
        <v>292</v>
      </c>
      <c r="I75" s="5" t="s">
        <v>7</v>
      </c>
      <c r="J75" s="157" t="s">
        <v>211</v>
      </c>
      <c r="K75" s="6">
        <f>'Feedstock MIX per IVC'!N109</f>
        <v>2.598367695570742</v>
      </c>
      <c r="L75" s="2">
        <f t="shared" si="22"/>
        <v>33003049.725087918</v>
      </c>
      <c r="M75" s="5" t="s">
        <v>244</v>
      </c>
      <c r="N75" s="174">
        <v>0.45</v>
      </c>
      <c r="O75" s="2">
        <f t="shared" si="23"/>
        <v>3915223428.5778284</v>
      </c>
      <c r="P75" s="18" t="s">
        <v>252</v>
      </c>
      <c r="Q75" s="123">
        <v>0.2</v>
      </c>
      <c r="R75" s="2">
        <f>Q75*R$72</f>
        <v>2142735417.3595445</v>
      </c>
    </row>
    <row r="76" spans="1:19" x14ac:dyDescent="0.35">
      <c r="D76" s="6"/>
      <c r="E76" s="6"/>
      <c r="F76" s="157" t="s">
        <v>211</v>
      </c>
      <c r="G76" s="6">
        <f t="shared" si="21"/>
        <v>1.2175345211567067E-2</v>
      </c>
      <c r="H76" s="209" t="s">
        <v>292</v>
      </c>
      <c r="I76" s="5" t="s">
        <v>8</v>
      </c>
      <c r="J76" s="154" t="s">
        <v>212</v>
      </c>
      <c r="K76" s="6">
        <f>'Feedstock MIX per IVC'!N110</f>
        <v>25.370004451991623</v>
      </c>
      <c r="L76" s="2">
        <f t="shared" si="22"/>
        <v>322235963.70985049</v>
      </c>
      <c r="M76" t="s">
        <v>247</v>
      </c>
      <c r="N76" s="35">
        <v>0.1</v>
      </c>
      <c r="O76" s="2">
        <f t="shared" si="23"/>
        <v>870049650.79507303</v>
      </c>
      <c r="P76" s="18" t="s">
        <v>253</v>
      </c>
      <c r="Q76" s="123">
        <v>0.3</v>
      </c>
      <c r="R76" s="2">
        <f>Q76*R$72</f>
        <v>3214103126.0393167</v>
      </c>
    </row>
    <row r="77" spans="1:19" x14ac:dyDescent="0.35">
      <c r="D77" s="6"/>
      <c r="E77" s="6"/>
      <c r="F77" s="159" t="s">
        <v>213</v>
      </c>
      <c r="G77" s="6">
        <f t="shared" si="21"/>
        <v>0</v>
      </c>
      <c r="H77" s="209" t="s">
        <v>292</v>
      </c>
      <c r="I77" s="5" t="s">
        <v>9</v>
      </c>
      <c r="J77" s="154" t="s">
        <v>212</v>
      </c>
      <c r="K77" s="6">
        <f>'Feedstock MIX per IVC'!N111</f>
        <v>5.8823980594201677</v>
      </c>
      <c r="L77" s="2">
        <f t="shared" si="22"/>
        <v>74715012.809286594</v>
      </c>
      <c r="M77" t="s">
        <v>248</v>
      </c>
      <c r="N77" s="35">
        <v>0.25</v>
      </c>
      <c r="O77" s="2">
        <f t="shared" si="23"/>
        <v>2175124126.9876823</v>
      </c>
      <c r="P77" s="18" t="s">
        <v>254</v>
      </c>
      <c r="Q77" s="123">
        <v>0.1</v>
      </c>
      <c r="R77" s="2">
        <f>Q77*R$72</f>
        <v>1071367708.6797723</v>
      </c>
    </row>
    <row r="78" spans="1:19" x14ac:dyDescent="0.35">
      <c r="D78" s="6"/>
      <c r="E78" s="6"/>
      <c r="F78" s="207" t="s">
        <v>106</v>
      </c>
      <c r="G78" s="6">
        <f t="shared" si="21"/>
        <v>0</v>
      </c>
      <c r="H78" s="209" t="s">
        <v>292</v>
      </c>
      <c r="I78" s="5" t="s">
        <v>10</v>
      </c>
      <c r="J78" s="178" t="s">
        <v>256</v>
      </c>
      <c r="K78" s="6">
        <f>'Feedstock MIX per IVC'!N112</f>
        <v>30.827579593202699</v>
      </c>
      <c r="L78" s="2">
        <f t="shared" si="22"/>
        <v>391555107.44413614</v>
      </c>
      <c r="M78" t="s">
        <v>250</v>
      </c>
      <c r="N78" s="35">
        <v>0.03</v>
      </c>
      <c r="O78" s="2">
        <f t="shared" si="23"/>
        <v>261014895.23852187</v>
      </c>
      <c r="Q78" s="35"/>
      <c r="R78" s="2"/>
    </row>
    <row r="79" spans="1:19" x14ac:dyDescent="0.35">
      <c r="D79" s="6"/>
      <c r="E79" s="6"/>
      <c r="F79" s="31"/>
      <c r="G79" s="6">
        <f>SUM(G73:G78)</f>
        <v>1.0000000000000004</v>
      </c>
      <c r="H79" s="209" t="s">
        <v>292</v>
      </c>
      <c r="I79" s="5" t="s">
        <v>11</v>
      </c>
      <c r="J79" s="156" t="s">
        <v>209</v>
      </c>
      <c r="K79" s="6">
        <f>'Feedstock MIX per IVC'!N113</f>
        <v>38.574636981715543</v>
      </c>
      <c r="L79" s="2">
        <f t="shared" si="22"/>
        <v>489954006.35749364</v>
      </c>
      <c r="M79" s="2"/>
      <c r="R79" s="2"/>
    </row>
    <row r="80" spans="1:19" x14ac:dyDescent="0.35">
      <c r="D80" s="6"/>
      <c r="E80" s="6"/>
      <c r="F80" s="31"/>
      <c r="G80" s="6"/>
      <c r="H80" s="209" t="s">
        <v>292</v>
      </c>
      <c r="I80" s="5" t="s">
        <v>12</v>
      </c>
      <c r="J80" s="159" t="s">
        <v>213</v>
      </c>
      <c r="K80" s="6">
        <f>'Feedstock MIX per IVC'!N114</f>
        <v>0</v>
      </c>
      <c r="L80" s="2">
        <f>K80*F$72</f>
        <v>0</v>
      </c>
      <c r="M80" s="2"/>
    </row>
    <row r="81" spans="1:19" s="80" customFormat="1" x14ac:dyDescent="0.35">
      <c r="D81" s="92"/>
      <c r="E81" s="92"/>
      <c r="F81" s="230"/>
      <c r="G81" s="6"/>
      <c r="L81" s="92"/>
    </row>
    <row r="82" spans="1:19" s="80" customFormat="1" x14ac:dyDescent="0.35">
      <c r="F82" s="230"/>
      <c r="I82" s="80" t="s">
        <v>321</v>
      </c>
      <c r="L82" s="230">
        <f>SUM(L83:L88)</f>
        <v>8797403747.4322948</v>
      </c>
      <c r="M82" s="80" t="s">
        <v>214</v>
      </c>
      <c r="O82" s="92">
        <f>SUM(O83:O88)</f>
        <v>18983416039.785637</v>
      </c>
      <c r="P82" s="80" t="s">
        <v>214</v>
      </c>
      <c r="R82" s="92">
        <f>SUM(R83:R87)</f>
        <v>20592734100.67075</v>
      </c>
    </row>
    <row r="83" spans="1:19" x14ac:dyDescent="0.35">
      <c r="D83" s="2"/>
      <c r="E83" s="2"/>
      <c r="G83" s="2"/>
      <c r="H83" s="6"/>
      <c r="J83" s="154" t="s">
        <v>212</v>
      </c>
      <c r="L83" s="2">
        <f>L50+L51+L52+L64+L65+L67+L68+L73+L74+L76+L77</f>
        <v>4710141679.1399822</v>
      </c>
      <c r="M83" s="5" t="s">
        <v>245</v>
      </c>
      <c r="O83" s="2">
        <f>O50+O57+O64+O73</f>
        <v>1798637828.9193766</v>
      </c>
      <c r="P83" s="18" t="s">
        <v>251</v>
      </c>
      <c r="R83" s="2">
        <f>R50+R57+R64+R73</f>
        <v>3463917263.3979993</v>
      </c>
    </row>
    <row r="84" spans="1:19" x14ac:dyDescent="0.35">
      <c r="D84" s="2"/>
      <c r="E84" s="2"/>
      <c r="G84" s="2"/>
      <c r="H84" s="6"/>
      <c r="J84" s="178" t="s">
        <v>256</v>
      </c>
      <c r="L84" s="2">
        <f>L78+L69</f>
        <v>519107215.56347048</v>
      </c>
      <c r="M84" t="s">
        <v>246</v>
      </c>
      <c r="O84" s="2">
        <f t="shared" ref="O84:O88" si="24">O51+O58+O65+O74</f>
        <v>379668320.79571271</v>
      </c>
      <c r="P84" s="18" t="s">
        <v>210</v>
      </c>
      <c r="R84" s="2">
        <f>R51+R58+R65+R74</f>
        <v>7023219266.6546211</v>
      </c>
    </row>
    <row r="85" spans="1:19" x14ac:dyDescent="0.35">
      <c r="D85" s="1"/>
      <c r="E85" s="1"/>
      <c r="G85" s="2"/>
      <c r="H85" s="6"/>
      <c r="J85" s="156" t="s">
        <v>209</v>
      </c>
      <c r="L85" s="2">
        <f>L70+L53+L79</f>
        <v>1170177156.5909338</v>
      </c>
      <c r="M85" s="5" t="s">
        <v>244</v>
      </c>
      <c r="O85" s="2">
        <f t="shared" si="24"/>
        <v>8892162076.919693</v>
      </c>
      <c r="P85" s="18" t="s">
        <v>252</v>
      </c>
      <c r="R85" s="2">
        <f t="shared" ref="R85:R87" si="25">R52+R59+R66+R75</f>
        <v>3743539671.8367634</v>
      </c>
    </row>
    <row r="86" spans="1:19" x14ac:dyDescent="0.35">
      <c r="D86" s="1"/>
      <c r="E86" s="1"/>
      <c r="G86" s="2"/>
      <c r="H86" s="6"/>
      <c r="J86" s="157" t="s">
        <v>211</v>
      </c>
      <c r="L86" s="2">
        <f>L66+L75</f>
        <v>43764299.018322147</v>
      </c>
      <c r="M86" t="s">
        <v>247</v>
      </c>
      <c r="O86" s="2">
        <f t="shared" si="24"/>
        <v>2247966462.99472</v>
      </c>
      <c r="P86" s="18" t="s">
        <v>253</v>
      </c>
      <c r="R86" s="2">
        <f t="shared" si="25"/>
        <v>4677791637.0116768</v>
      </c>
    </row>
    <row r="87" spans="1:19" s="80" customFormat="1" x14ac:dyDescent="0.35">
      <c r="D87" s="92"/>
      <c r="E87" s="92"/>
      <c r="F87" s="230"/>
      <c r="G87" s="1"/>
      <c r="H87" s="6"/>
      <c r="J87" s="159" t="s">
        <v>213</v>
      </c>
      <c r="L87" s="92">
        <f>L71+L80</f>
        <v>0</v>
      </c>
      <c r="M87" t="s">
        <v>248</v>
      </c>
      <c r="O87" s="2">
        <f t="shared" si="24"/>
        <v>5095478868.9625654</v>
      </c>
      <c r="P87" s="18" t="s">
        <v>254</v>
      </c>
      <c r="R87" s="2">
        <f t="shared" si="25"/>
        <v>1684266261.7696881</v>
      </c>
    </row>
    <row r="88" spans="1:19" s="80" customFormat="1" x14ac:dyDescent="0.35">
      <c r="D88" s="92"/>
      <c r="E88" s="92"/>
      <c r="F88" s="230"/>
      <c r="G88" s="1"/>
      <c r="H88" s="6"/>
      <c r="J88" s="207" t="s">
        <v>106</v>
      </c>
      <c r="L88" s="2">
        <f>L57</f>
        <v>2354213397.1195865</v>
      </c>
      <c r="M88" t="s">
        <v>250</v>
      </c>
      <c r="O88" s="2">
        <f t="shared" si="24"/>
        <v>569502481.19356918</v>
      </c>
    </row>
    <row r="89" spans="1:19" s="93" customFormat="1" ht="32.5" customHeight="1" x14ac:dyDescent="0.35">
      <c r="A89" s="93" t="s">
        <v>106</v>
      </c>
      <c r="D89" s="231"/>
      <c r="E89" s="94"/>
      <c r="F89" s="176"/>
    </row>
    <row r="90" spans="1:19" ht="16.5" customHeight="1" x14ac:dyDescent="0.35">
      <c r="C90" s="102">
        <f>C91+C101</f>
        <v>63252702090.264328</v>
      </c>
      <c r="D90" s="102">
        <f>D91+D101</f>
        <v>59.293076327595912</v>
      </c>
      <c r="E90" s="2"/>
      <c r="F90" s="102">
        <f>F91+F101</f>
        <v>49609962.423736729</v>
      </c>
    </row>
    <row r="91" spans="1:19" s="219" customFormat="1" x14ac:dyDescent="0.35">
      <c r="A91" s="219" t="s">
        <v>59</v>
      </c>
      <c r="B91" s="219">
        <v>1275</v>
      </c>
      <c r="C91" s="219">
        <f>B91*F91</f>
        <v>42271189917.775467</v>
      </c>
      <c r="D91" s="219">
        <f>'[3]Scenaior 3 2040'!$E$35+'[3]Scenaior 3 2040'!$E$26+'[3]Scenaior 3 2040'!$E$13</f>
        <v>39.625009010306613</v>
      </c>
      <c r="E91" s="219">
        <f>'[2]Conversion factors selected IV '!$O$29</f>
        <v>0.83669064748201449</v>
      </c>
      <c r="F91" s="219">
        <f>D91*E91*1000000</f>
        <v>33153874.445314094</v>
      </c>
      <c r="G91" s="219">
        <f>'LCoP 2040 high'!E10</f>
        <v>1036.1000414642067</v>
      </c>
      <c r="H91" s="219">
        <f>G91*F91</f>
        <v>34350730687.489037</v>
      </c>
      <c r="I91" s="219">
        <f>'LCoP 2040 high'!H10</f>
        <v>-9.0724429684505645E-3</v>
      </c>
      <c r="L91" s="219">
        <f>I91*H91</f>
        <v>-311645045.08684891</v>
      </c>
      <c r="M91" s="219">
        <f>'LCoP 2040 high'!F10</f>
        <v>0.58392044762880213</v>
      </c>
      <c r="O91" s="219">
        <f>M91*H91</f>
        <v>20058094039.415028</v>
      </c>
      <c r="P91" s="219">
        <f>'LCoP 2040 high'!G10</f>
        <v>0.42515199533964848</v>
      </c>
      <c r="R91" s="219">
        <f>P91*H91</f>
        <v>14604281693.160858</v>
      </c>
      <c r="S91" s="219">
        <f>L91+O91+R91</f>
        <v>34350730687.489037</v>
      </c>
    </row>
    <row r="92" spans="1:19" x14ac:dyDescent="0.35">
      <c r="C92">
        <v>1</v>
      </c>
      <c r="D92" s="2"/>
      <c r="E92" s="2"/>
      <c r="F92" s="159" t="s">
        <v>213</v>
      </c>
      <c r="G92" s="6">
        <f>SUMIF($J$92:$J$100,F92,$L$92:$L$100)/$L$91</f>
        <v>3.9501846317177312</v>
      </c>
      <c r="I92" s="5" t="s">
        <v>20</v>
      </c>
      <c r="J92" s="154" t="s">
        <v>212</v>
      </c>
      <c r="K92" s="6">
        <f>'Feedstock MIX per IVC'!N25</f>
        <v>0.87745677378072162</v>
      </c>
      <c r="L92" s="2">
        <f>K92*F$91</f>
        <v>29091091.709116418</v>
      </c>
      <c r="M92" s="5" t="s">
        <v>245</v>
      </c>
      <c r="N92" s="35">
        <v>0.05</v>
      </c>
      <c r="O92" s="2">
        <f>N92*O$91</f>
        <v>1002904701.9707514</v>
      </c>
      <c r="P92" s="18" t="s">
        <v>251</v>
      </c>
      <c r="Q92" s="35">
        <v>0.2</v>
      </c>
      <c r="R92" s="2">
        <f>Q92*R$91</f>
        <v>2920856338.6321716</v>
      </c>
    </row>
    <row r="93" spans="1:19" x14ac:dyDescent="0.35">
      <c r="D93" s="2"/>
      <c r="E93" s="2"/>
      <c r="F93" s="258" t="s">
        <v>298</v>
      </c>
      <c r="G93" s="6">
        <f t="shared" ref="G93:G95" si="26">SUMIF($J$92:$J$100,F93,$L$92:$L$100)/$L$91</f>
        <v>-5.4815831268273253E-2</v>
      </c>
      <c r="I93" s="5" t="s">
        <v>8</v>
      </c>
      <c r="J93" s="154" t="s">
        <v>212</v>
      </c>
      <c r="K93" s="6">
        <f>'Feedstock MIX per IVC'!N26</f>
        <v>3.8931133145143786</v>
      </c>
      <c r="L93" s="2">
        <f t="shared" ref="L93:L99" si="27">K93*F$91</f>
        <v>129071790.03079031</v>
      </c>
      <c r="M93" t="s">
        <v>246</v>
      </c>
      <c r="N93" s="35">
        <v>0.02</v>
      </c>
      <c r="O93" s="2">
        <f t="shared" ref="O93:O97" si="28">N93*O$91</f>
        <v>401161880.78830057</v>
      </c>
      <c r="P93" s="18" t="s">
        <v>210</v>
      </c>
      <c r="Q93" s="35">
        <v>0.5</v>
      </c>
      <c r="R93" s="2">
        <f t="shared" ref="R93:R96" si="29">Q93*R$91</f>
        <v>7302140846.5804291</v>
      </c>
    </row>
    <row r="94" spans="1:19" x14ac:dyDescent="0.35">
      <c r="D94" s="2"/>
      <c r="E94" s="2"/>
      <c r="F94" s="157" t="s">
        <v>211</v>
      </c>
      <c r="G94" s="6">
        <f t="shared" si="26"/>
        <v>-0.4749002842458151</v>
      </c>
      <c r="I94" s="5" t="s">
        <v>9</v>
      </c>
      <c r="J94" s="154" t="s">
        <v>212</v>
      </c>
      <c r="K94" s="6">
        <f>'Feedstock MIX per IVC'!N27</f>
        <v>0.98468076706826457</v>
      </c>
      <c r="L94" s="2">
        <f t="shared" si="27"/>
        <v>32645982.520096816</v>
      </c>
      <c r="M94" s="5" t="s">
        <v>244</v>
      </c>
      <c r="N94" s="35">
        <v>0.4</v>
      </c>
      <c r="O94" s="2">
        <f t="shared" si="28"/>
        <v>8023237615.7660112</v>
      </c>
      <c r="P94" s="18" t="s">
        <v>252</v>
      </c>
      <c r="Q94" s="35">
        <v>0.15</v>
      </c>
      <c r="R94" s="2">
        <f t="shared" si="29"/>
        <v>2190642253.9741287</v>
      </c>
    </row>
    <row r="95" spans="1:19" x14ac:dyDescent="0.35">
      <c r="D95" s="2"/>
      <c r="E95" s="2"/>
      <c r="F95" s="154" t="s">
        <v>212</v>
      </c>
      <c r="G95" s="6">
        <f t="shared" si="26"/>
        <v>-2.4204685162036426</v>
      </c>
      <c r="I95" s="5" t="s">
        <v>21</v>
      </c>
      <c r="J95" s="157" t="s">
        <v>211</v>
      </c>
      <c r="K95" s="6">
        <f>'Feedstock MIX per IVC'!N28</f>
        <v>4.464042980547104</v>
      </c>
      <c r="L95" s="2">
        <f t="shared" si="27"/>
        <v>148000320.4955444</v>
      </c>
      <c r="M95" t="s">
        <v>247</v>
      </c>
      <c r="N95" s="35">
        <v>0.3</v>
      </c>
      <c r="O95" s="2">
        <f t="shared" si="28"/>
        <v>6017428211.8245077</v>
      </c>
      <c r="P95" s="18" t="s">
        <v>253</v>
      </c>
      <c r="Q95" s="35">
        <v>0.1</v>
      </c>
      <c r="R95" s="2">
        <f t="shared" si="29"/>
        <v>1460428169.3160858</v>
      </c>
    </row>
    <row r="96" spans="1:19" x14ac:dyDescent="0.35">
      <c r="D96" s="2"/>
      <c r="E96" s="2"/>
      <c r="F96" s="2"/>
      <c r="G96" s="6">
        <f>SUM(G92:G95)</f>
        <v>1</v>
      </c>
      <c r="I96" s="5" t="s">
        <v>5</v>
      </c>
      <c r="J96" s="154" t="s">
        <v>212</v>
      </c>
      <c r="K96" s="6">
        <f>'Feedstock MIX per IVC'!N29</f>
        <v>16.997052834143961</v>
      </c>
      <c r="L96" s="2">
        <f t="shared" si="27"/>
        <v>563518155.60357893</v>
      </c>
      <c r="M96" t="s">
        <v>248</v>
      </c>
      <c r="N96" s="35">
        <v>0.2</v>
      </c>
      <c r="O96" s="2">
        <f t="shared" si="28"/>
        <v>4011618807.8830056</v>
      </c>
      <c r="P96" s="18" t="s">
        <v>254</v>
      </c>
      <c r="Q96" s="35">
        <v>0.05</v>
      </c>
      <c r="R96" s="2">
        <f t="shared" si="29"/>
        <v>730214084.65804291</v>
      </c>
    </row>
    <row r="97" spans="1:18" x14ac:dyDescent="0.35">
      <c r="D97" s="2"/>
      <c r="E97" s="2"/>
      <c r="F97" s="2"/>
      <c r="I97" s="5" t="s">
        <v>22</v>
      </c>
      <c r="J97" s="154" t="s">
        <v>212</v>
      </c>
      <c r="K97" s="6">
        <f>'Feedstock MIX per IVC'!N30</f>
        <v>0</v>
      </c>
      <c r="L97" s="2">
        <f t="shared" si="27"/>
        <v>0</v>
      </c>
      <c r="M97" t="s">
        <v>250</v>
      </c>
      <c r="N97" s="35">
        <v>0.03</v>
      </c>
      <c r="O97" s="2">
        <f t="shared" si="28"/>
        <v>601742821.18245077</v>
      </c>
      <c r="R97" s="2"/>
    </row>
    <row r="98" spans="1:18" x14ac:dyDescent="0.35">
      <c r="D98" s="2"/>
      <c r="E98" s="2"/>
      <c r="F98" s="2"/>
      <c r="I98" s="5" t="s">
        <v>23</v>
      </c>
      <c r="J98" s="159" t="s">
        <v>213</v>
      </c>
      <c r="K98" s="6">
        <f>'Feedstock MIX per IVC'!N31</f>
        <v>0</v>
      </c>
      <c r="L98" s="2">
        <f t="shared" si="27"/>
        <v>0</v>
      </c>
      <c r="N98" s="35">
        <f>SUM(N92:N97)</f>
        <v>1</v>
      </c>
      <c r="O98" s="2"/>
    </row>
    <row r="99" spans="1:18" x14ac:dyDescent="0.35">
      <c r="D99" s="2"/>
      <c r="E99" s="2"/>
      <c r="F99" s="2"/>
      <c r="I99" s="12" t="s">
        <v>24</v>
      </c>
      <c r="J99" s="159" t="s">
        <v>213</v>
      </c>
      <c r="K99" s="6">
        <f>'Feedstock MIX per IVC'!N32</f>
        <v>-37.131571746874521</v>
      </c>
      <c r="L99" s="2">
        <f t="shared" si="27"/>
        <v>-1231055467.6530499</v>
      </c>
      <c r="M99" s="2"/>
    </row>
    <row r="100" spans="1:18" s="80" customFormat="1" x14ac:dyDescent="0.35">
      <c r="D100" s="95"/>
      <c r="E100" s="95"/>
      <c r="F100" s="230"/>
      <c r="G100" s="237"/>
      <c r="I100" s="13" t="s">
        <v>25</v>
      </c>
      <c r="J100" s="258" t="s">
        <v>298</v>
      </c>
      <c r="K100" s="6">
        <f>'Feedstock MIX per IVC'!N33</f>
        <v>0.51526654102680935</v>
      </c>
      <c r="L100" s="2">
        <f>K100*F$91</f>
        <v>17083082.207074121</v>
      </c>
    </row>
    <row r="101" spans="1:18" s="219" customFormat="1" x14ac:dyDescent="0.35">
      <c r="A101" s="219" t="s">
        <v>60</v>
      </c>
      <c r="B101" s="219">
        <v>1275</v>
      </c>
      <c r="C101" s="220">
        <f>B101*F101</f>
        <v>20981512172.488857</v>
      </c>
      <c r="D101" s="219">
        <f>'[3]Scenaior 3 2040'!$E$25</f>
        <v>19.668067317289303</v>
      </c>
      <c r="E101" s="219">
        <f>'[2]Conversion factors selected IV '!$O$52</f>
        <v>0.83669064748201449</v>
      </c>
      <c r="F101" s="219">
        <f>D101*E101*1000000</f>
        <v>16456087.978422634</v>
      </c>
      <c r="G101" s="219">
        <f>'LCoP 2040 high'!E14</f>
        <v>1377.2827404462471</v>
      </c>
      <c r="H101" s="219">
        <f>G101*F101</f>
        <v>22664685947.946468</v>
      </c>
      <c r="I101" s="219">
        <f>'LCoP 2040 high'!H14</f>
        <v>0.15776189889364783</v>
      </c>
      <c r="L101" s="219">
        <f>I101*H101</f>
        <v>3575623892.9762115</v>
      </c>
      <c r="M101" s="219">
        <f>'LCoP 2040 high'!F14</f>
        <v>0.58085386283196694</v>
      </c>
      <c r="O101" s="219">
        <f>M101*H101</f>
        <v>13164870382.738106</v>
      </c>
      <c r="P101" s="219">
        <f>'LCoP 2040 high'!G14</f>
        <v>0.26138423827438517</v>
      </c>
      <c r="R101" s="219">
        <f>P101*H101</f>
        <v>5924191672.2321491</v>
      </c>
    </row>
    <row r="102" spans="1:18" s="80" customFormat="1" x14ac:dyDescent="0.35">
      <c r="C102" s="80">
        <f>C101/$C$90</f>
        <v>0.33170934172183408</v>
      </c>
      <c r="D102" s="95"/>
      <c r="E102" s="95"/>
      <c r="F102" s="154" t="s">
        <v>212</v>
      </c>
      <c r="G102" s="2">
        <f>SUMIF($J$102:$J$111, F102,$L$102:$L$111)/$L$101</f>
        <v>0.66541847630171225</v>
      </c>
      <c r="I102" s="5" t="s">
        <v>5</v>
      </c>
      <c r="J102" s="154" t="s">
        <v>212</v>
      </c>
      <c r="K102" s="6">
        <f>'Feedstock MIX per IVC'!N50</f>
        <v>109.21677905053565</v>
      </c>
      <c r="L102" s="2">
        <f>K102*$F$101</f>
        <v>1797280924.7755606</v>
      </c>
      <c r="M102" s="5" t="s">
        <v>245</v>
      </c>
      <c r="N102" s="35">
        <v>0</v>
      </c>
      <c r="O102" s="2">
        <f>N102*O$101</f>
        <v>0</v>
      </c>
      <c r="P102" s="18" t="s">
        <v>251</v>
      </c>
      <c r="Q102" s="35">
        <v>0.25</v>
      </c>
      <c r="R102" s="2">
        <f>Q102*R$101</f>
        <v>1481047918.0580373</v>
      </c>
    </row>
    <row r="103" spans="1:18" s="80" customFormat="1" x14ac:dyDescent="0.35">
      <c r="D103" s="95"/>
      <c r="E103" s="95"/>
      <c r="F103" s="159" t="s">
        <v>213</v>
      </c>
      <c r="G103" s="2">
        <f t="shared" ref="G103:G107" si="30">SUMIF($J$102:$J$111, F103,$L$102:$L$111)/$L$101</f>
        <v>0</v>
      </c>
      <c r="I103" s="5" t="s">
        <v>6</v>
      </c>
      <c r="J103" s="154" t="s">
        <v>212</v>
      </c>
      <c r="K103" s="6">
        <f>'Feedstock MIX per IVC'!N51</f>
        <v>5.6441571175853591</v>
      </c>
      <c r="L103" s="2">
        <f t="shared" ref="L103:L111" si="31">K103*$F$101</f>
        <v>92880746.09102498</v>
      </c>
      <c r="M103" t="s">
        <v>246</v>
      </c>
      <c r="N103" s="35">
        <v>0.02</v>
      </c>
      <c r="O103" s="2">
        <f>N103*O$101</f>
        <v>263297407.65476212</v>
      </c>
      <c r="P103" s="18" t="s">
        <v>210</v>
      </c>
      <c r="Q103" s="35">
        <v>0.15</v>
      </c>
      <c r="R103" s="2">
        <f>Q103*R$101</f>
        <v>888628750.8348223</v>
      </c>
    </row>
    <row r="104" spans="1:18" s="80" customFormat="1" x14ac:dyDescent="0.35">
      <c r="D104" s="95"/>
      <c r="E104" s="95"/>
      <c r="F104" s="157" t="s">
        <v>211</v>
      </c>
      <c r="G104" s="2">
        <f t="shared" si="30"/>
        <v>1.2464659491388867E-2</v>
      </c>
      <c r="I104" s="5" t="s">
        <v>23</v>
      </c>
      <c r="J104" s="159" t="s">
        <v>213</v>
      </c>
      <c r="K104" s="6">
        <f>'Feedstock MIX per IVC'!N52</f>
        <v>0</v>
      </c>
      <c r="L104" s="2">
        <f t="shared" si="31"/>
        <v>0</v>
      </c>
      <c r="M104" s="5" t="s">
        <v>244</v>
      </c>
      <c r="N104" s="35">
        <v>0.55000000000000004</v>
      </c>
      <c r="O104" s="2">
        <f>N104*O$101</f>
        <v>7240678710.5059586</v>
      </c>
      <c r="P104" s="18" t="s">
        <v>252</v>
      </c>
      <c r="Q104" s="35">
        <v>0.3</v>
      </c>
      <c r="R104" s="2">
        <f>Q104*R$101</f>
        <v>1777257501.6696446</v>
      </c>
    </row>
    <row r="105" spans="1:18" s="80" customFormat="1" x14ac:dyDescent="0.35">
      <c r="D105" s="95"/>
      <c r="E105" s="95"/>
      <c r="F105" s="178" t="s">
        <v>256</v>
      </c>
      <c r="G105" s="2">
        <f t="shared" si="30"/>
        <v>0.13792228979940943</v>
      </c>
      <c r="I105" s="5" t="s">
        <v>7</v>
      </c>
      <c r="J105" s="157" t="s">
        <v>211</v>
      </c>
      <c r="K105" s="6">
        <f>'Feedstock MIX per IVC'!N53</f>
        <v>2.7083553730182968</v>
      </c>
      <c r="L105" s="2">
        <f t="shared" si="31"/>
        <v>44568934.295222744</v>
      </c>
      <c r="M105" t="s">
        <v>247</v>
      </c>
      <c r="N105" s="35">
        <v>0.1</v>
      </c>
      <c r="O105" s="2">
        <f>N105*O$101</f>
        <v>1316487038.2738106</v>
      </c>
      <c r="P105" s="18" t="s">
        <v>253</v>
      </c>
      <c r="Q105" s="35">
        <v>0.3</v>
      </c>
      <c r="R105" s="2">
        <f>Q105*R$101</f>
        <v>1777257501.6696446</v>
      </c>
    </row>
    <row r="106" spans="1:18" s="80" customFormat="1" x14ac:dyDescent="0.35">
      <c r="D106" s="95"/>
      <c r="E106" s="95"/>
      <c r="F106" s="156" t="s">
        <v>209</v>
      </c>
      <c r="G106" s="2">
        <f t="shared" si="30"/>
        <v>0.1725996519573634</v>
      </c>
      <c r="I106" s="5" t="s">
        <v>8</v>
      </c>
      <c r="J106" s="154" t="s">
        <v>212</v>
      </c>
      <c r="K106" s="6">
        <f>'Feedstock MIX per IVC'!N54</f>
        <v>23.578323402402507</v>
      </c>
      <c r="L106" s="2">
        <f t="shared" si="31"/>
        <v>388006964.29363698</v>
      </c>
      <c r="M106" t="s">
        <v>248</v>
      </c>
      <c r="N106" s="35">
        <v>0.3</v>
      </c>
      <c r="O106" s="2">
        <f>N106*O$101</f>
        <v>3949461114.8214316</v>
      </c>
      <c r="P106" s="18" t="s">
        <v>254</v>
      </c>
      <c r="Q106" s="240">
        <v>0</v>
      </c>
      <c r="R106" s="2">
        <f>Q106*R$101</f>
        <v>0</v>
      </c>
    </row>
    <row r="107" spans="1:18" s="80" customFormat="1" x14ac:dyDescent="0.35">
      <c r="D107" s="95"/>
      <c r="E107" s="95"/>
      <c r="F107" s="258" t="s">
        <v>298</v>
      </c>
      <c r="G107" s="2">
        <f t="shared" si="30"/>
        <v>0</v>
      </c>
      <c r="I107" s="5" t="s">
        <v>9</v>
      </c>
      <c r="J107" s="154" t="s">
        <v>212</v>
      </c>
      <c r="K107" s="6">
        <f>'Feedstock MIX per IVC'!N55</f>
        <v>6.1446905038786186</v>
      </c>
      <c r="L107" s="2">
        <f t="shared" si="31"/>
        <v>101117567.53200465</v>
      </c>
      <c r="M107" t="s">
        <v>250</v>
      </c>
      <c r="N107" s="35">
        <v>0.03</v>
      </c>
      <c r="O107" s="2">
        <f>N107*O$101</f>
        <v>394946111.48214316</v>
      </c>
      <c r="R107"/>
    </row>
    <row r="108" spans="1:18" s="80" customFormat="1" x14ac:dyDescent="0.35">
      <c r="D108" s="95"/>
      <c r="E108" s="95"/>
      <c r="F108" s="158" t="s">
        <v>104</v>
      </c>
      <c r="G108" s="2">
        <f>SUMIF($J$102:$J$111, F108,$L$102:$L$111)/$L$101/2</f>
        <v>5.797461225062992E-3</v>
      </c>
      <c r="I108" s="5" t="s">
        <v>10</v>
      </c>
      <c r="J108" s="178" t="s">
        <v>256</v>
      </c>
      <c r="K108" s="6">
        <f>'Feedstock MIX per IVC'!N56</f>
        <v>29.968133096237146</v>
      </c>
      <c r="L108" s="2">
        <f t="shared" si="31"/>
        <v>493158234.78075761</v>
      </c>
      <c r="M108" s="80" t="s">
        <v>361</v>
      </c>
      <c r="O108" s="92">
        <f>SUM(O102:O107)</f>
        <v>13164870382.738108</v>
      </c>
      <c r="R108" s="92">
        <f>SUM(R102:R107)</f>
        <v>5924191672.2321482</v>
      </c>
    </row>
    <row r="109" spans="1:18" s="80" customFormat="1" x14ac:dyDescent="0.35">
      <c r="D109" s="95"/>
      <c r="E109" s="95"/>
      <c r="F109" s="207" t="s">
        <v>426</v>
      </c>
      <c r="G109" s="2">
        <f>G108</f>
        <v>5.797461225062992E-3</v>
      </c>
      <c r="I109" s="5" t="s">
        <v>11</v>
      </c>
      <c r="J109" s="156" t="s">
        <v>209</v>
      </c>
      <c r="K109" s="6">
        <f>'Feedstock MIX per IVC'!N57</f>
        <v>37.50292537736437</v>
      </c>
      <c r="L109" s="2">
        <f t="shared" si="31"/>
        <v>617151439.4581269</v>
      </c>
    </row>
    <row r="110" spans="1:18" s="80" customFormat="1" x14ac:dyDescent="0.35">
      <c r="D110" s="95"/>
      <c r="E110" s="95"/>
      <c r="F110" s="237"/>
      <c r="G110" s="92">
        <f>SUM(G102:G109)</f>
        <v>0.99999999999999989</v>
      </c>
      <c r="I110" s="5" t="s">
        <v>12</v>
      </c>
      <c r="J110" s="159" t="s">
        <v>213</v>
      </c>
      <c r="K110" s="6">
        <f>'Feedstock MIX per IVC'!N58</f>
        <v>0</v>
      </c>
      <c r="L110" s="2">
        <f t="shared" si="31"/>
        <v>0</v>
      </c>
    </row>
    <row r="111" spans="1:18" s="80" customFormat="1" x14ac:dyDescent="0.35">
      <c r="D111" s="95"/>
      <c r="E111" s="95"/>
      <c r="F111" s="230"/>
      <c r="G111" s="237"/>
      <c r="I111" s="13" t="s">
        <v>33</v>
      </c>
      <c r="J111" s="158" t="s">
        <v>104</v>
      </c>
      <c r="K111" s="6">
        <f>'Feedstock MIX per IVC'!N59</f>
        <v>2.5193765252250873</v>
      </c>
      <c r="L111" s="2">
        <f t="shared" si="31"/>
        <v>41459081.749876745</v>
      </c>
    </row>
    <row r="112" spans="1:18" s="80" customFormat="1" x14ac:dyDescent="0.35">
      <c r="D112" s="95"/>
      <c r="E112" s="95"/>
      <c r="F112" s="230"/>
      <c r="G112" s="237"/>
      <c r="I112" s="14"/>
      <c r="K112" s="6" t="s">
        <v>360</v>
      </c>
      <c r="L112" s="2">
        <f>SUM(L102:L111)</f>
        <v>3575623892.9762115</v>
      </c>
    </row>
    <row r="113" spans="1:19" s="93" customFormat="1" ht="26" customHeight="1" x14ac:dyDescent="0.35">
      <c r="A113" s="93" t="s">
        <v>107</v>
      </c>
      <c r="D113" s="94"/>
      <c r="E113" s="94"/>
      <c r="F113" s="176"/>
      <c r="I113" s="96"/>
    </row>
    <row r="114" spans="1:19" ht="16" customHeight="1" x14ac:dyDescent="0.35">
      <c r="C114" s="2">
        <f>C115+C133+C145</f>
        <v>14897702174.790192</v>
      </c>
      <c r="D114" s="2">
        <f>D115+D133+D145+D122</f>
        <v>6.3714446318119453</v>
      </c>
      <c r="E114" s="2"/>
      <c r="F114" s="2">
        <f>F115+F133+F145</f>
        <v>6259538.7289034408</v>
      </c>
      <c r="I114" s="6"/>
    </row>
    <row r="115" spans="1:19" s="219" customFormat="1" x14ac:dyDescent="0.35">
      <c r="A115" s="219" t="s">
        <v>91</v>
      </c>
      <c r="B115" s="219">
        <v>2380</v>
      </c>
      <c r="C115" s="219">
        <f>B115*F115</f>
        <v>4167171278.8801804</v>
      </c>
      <c r="D115" s="219">
        <f>'[3]Scenaior 3 2040'!$E$31</f>
        <v>1.7982523404072637</v>
      </c>
      <c r="E115" s="219">
        <f>'[2]Conversion factors selected IV '!$O$78</f>
        <v>0.97367441860465131</v>
      </c>
      <c r="F115" s="219">
        <f>D115*E115*1000000</f>
        <v>1750912.302050496</v>
      </c>
      <c r="G115" s="219">
        <f>'LCoP 2040 high'!E4</f>
        <v>1833.8270636196046</v>
      </c>
      <c r="H115" s="219">
        <f>G115*F115</f>
        <v>3210870365.524703</v>
      </c>
      <c r="I115" s="219">
        <f>'LCoP 2040 high'!H4</f>
        <v>0.48632015597987627</v>
      </c>
      <c r="L115" s="219">
        <f>I115*H115</f>
        <v>1561510976.9931359</v>
      </c>
      <c r="M115" s="219">
        <f>'LCoP 2040 high'!F4</f>
        <v>0.20503569145601541</v>
      </c>
      <c r="O115" s="219">
        <f>M115*H115</f>
        <v>658343025.57098639</v>
      </c>
      <c r="P115" s="219">
        <f>'LCoP 2040 high'!G4</f>
        <v>0.30864415256410832</v>
      </c>
      <c r="R115" s="219">
        <f>P115*H115</f>
        <v>991016362.96058071</v>
      </c>
      <c r="S115" s="219">
        <f>L115+O115+R115</f>
        <v>3210870365.524703</v>
      </c>
    </row>
    <row r="116" spans="1:19" x14ac:dyDescent="0.35">
      <c r="C116">
        <f>C115/C114</f>
        <v>0.27971906203977176</v>
      </c>
      <c r="D116" s="2"/>
      <c r="E116" s="2"/>
      <c r="F116" s="154" t="s">
        <v>212</v>
      </c>
      <c r="G116" s="2">
        <f>SUMIF($J$116:$J$119,F116,$L$116:$L$119)/$L$115</f>
        <v>0.60713982703972069</v>
      </c>
      <c r="I116" s="4" t="s">
        <v>2</v>
      </c>
      <c r="J116" s="154" t="s">
        <v>212</v>
      </c>
      <c r="K116" s="6">
        <f>'Feedstock MIX per IVC'!N9</f>
        <v>372.3562754920261</v>
      </c>
      <c r="L116" s="2">
        <f>K116*F$115</f>
        <v>651963183.50469208</v>
      </c>
      <c r="M116" s="5" t="s">
        <v>245</v>
      </c>
      <c r="N116" s="123">
        <v>0.05</v>
      </c>
      <c r="O116" s="2">
        <f>N116*O$115</f>
        <v>32917151.278549321</v>
      </c>
      <c r="P116" s="18" t="s">
        <v>251</v>
      </c>
      <c r="Q116" s="123">
        <v>0.35</v>
      </c>
      <c r="R116" s="2">
        <f>Q116*R$115</f>
        <v>346855727.03620321</v>
      </c>
    </row>
    <row r="117" spans="1:19" x14ac:dyDescent="0.35">
      <c r="D117" s="2"/>
      <c r="E117" s="2"/>
      <c r="F117" s="207" t="s">
        <v>104</v>
      </c>
      <c r="G117" s="2">
        <f t="shared" ref="G117:G118" si="32">SUMIF($J$116:$J$119,F117,$L$116:$L$119)/$L$115</f>
        <v>0.39286017296027931</v>
      </c>
      <c r="I117" s="232" t="s">
        <v>162</v>
      </c>
      <c r="J117" s="154" t="s">
        <v>212</v>
      </c>
      <c r="K117" s="6">
        <f>'Feedstock MIX per IVC'!N10</f>
        <v>169.10745366332256</v>
      </c>
      <c r="L117" s="2">
        <f t="shared" ref="L117:L119" si="33">K117*F$115</f>
        <v>296092320.98754567</v>
      </c>
      <c r="M117" t="s">
        <v>246</v>
      </c>
      <c r="N117" s="123">
        <v>0.02</v>
      </c>
      <c r="O117" s="2">
        <f t="shared" ref="O117:O121" si="34">N117*O$115</f>
        <v>13166860.511419728</v>
      </c>
      <c r="P117" s="18" t="s">
        <v>210</v>
      </c>
      <c r="Q117" s="123">
        <v>0.25</v>
      </c>
      <c r="R117" s="2">
        <f t="shared" ref="R117:R120" si="35">Q117*R$115</f>
        <v>247754090.74014518</v>
      </c>
    </row>
    <row r="118" spans="1:19" x14ac:dyDescent="0.35">
      <c r="D118" s="2"/>
      <c r="E118" s="2"/>
      <c r="F118" s="259" t="s">
        <v>210</v>
      </c>
      <c r="G118" s="2">
        <f t="shared" si="32"/>
        <v>0.36143692844729908</v>
      </c>
      <c r="I118" s="233" t="s">
        <v>341</v>
      </c>
      <c r="J118" s="207" t="s">
        <v>104</v>
      </c>
      <c r="K118" s="6">
        <f>'Feedstock MIX per IVC'!N11</f>
        <v>350.36333446425584</v>
      </c>
      <c r="L118" s="2">
        <f t="shared" si="33"/>
        <v>613455472.50089812</v>
      </c>
      <c r="M118" s="5" t="s">
        <v>244</v>
      </c>
      <c r="N118" s="123">
        <v>0.45</v>
      </c>
      <c r="O118" s="2">
        <f t="shared" si="34"/>
        <v>296254361.50694388</v>
      </c>
      <c r="P118" s="18" t="s">
        <v>252</v>
      </c>
      <c r="Q118" s="123">
        <v>0.2</v>
      </c>
      <c r="R118" s="2">
        <f t="shared" si="35"/>
        <v>198203272.59211615</v>
      </c>
    </row>
    <row r="119" spans="1:19" x14ac:dyDescent="0.35">
      <c r="D119" s="2"/>
      <c r="E119" s="2"/>
      <c r="G119" s="2"/>
      <c r="I119" s="234" t="s">
        <v>342</v>
      </c>
      <c r="J119" s="259" t="s">
        <v>210</v>
      </c>
      <c r="K119" s="6">
        <f>'Feedstock MIX per IVC'!N12</f>
        <v>322.33923458084382</v>
      </c>
      <c r="L119" s="2">
        <f t="shared" si="33"/>
        <v>564387731.26114011</v>
      </c>
      <c r="M119" t="s">
        <v>247</v>
      </c>
      <c r="N119" s="123">
        <v>0.15</v>
      </c>
      <c r="O119" s="2">
        <f t="shared" si="34"/>
        <v>98751453.835647956</v>
      </c>
      <c r="P119" s="18" t="s">
        <v>253</v>
      </c>
      <c r="Q119" s="123">
        <v>0.15</v>
      </c>
      <c r="R119" s="2">
        <f t="shared" si="35"/>
        <v>148652454.44408709</v>
      </c>
    </row>
    <row r="120" spans="1:19" x14ac:dyDescent="0.35">
      <c r="D120" s="2"/>
      <c r="E120" s="2"/>
      <c r="G120" s="2"/>
      <c r="L120" s="2"/>
      <c r="M120" t="s">
        <v>248</v>
      </c>
      <c r="N120" s="123">
        <v>0.3</v>
      </c>
      <c r="O120" s="2">
        <f t="shared" si="34"/>
        <v>197502907.67129591</v>
      </c>
      <c r="P120" s="18" t="s">
        <v>254</v>
      </c>
      <c r="Q120" s="123">
        <v>0.05</v>
      </c>
      <c r="R120" s="2">
        <f t="shared" si="35"/>
        <v>49550818.148029037</v>
      </c>
    </row>
    <row r="121" spans="1:19" x14ac:dyDescent="0.35">
      <c r="D121" s="2"/>
      <c r="E121" s="2"/>
      <c r="G121" s="2"/>
      <c r="M121" t="s">
        <v>250</v>
      </c>
      <c r="N121" s="123">
        <v>0.03</v>
      </c>
      <c r="O121" s="2">
        <f t="shared" si="34"/>
        <v>19750290.767129593</v>
      </c>
      <c r="Q121" s="123"/>
    </row>
    <row r="122" spans="1:19" s="219" customFormat="1" x14ac:dyDescent="0.35">
      <c r="A122" s="219" t="s">
        <v>116</v>
      </c>
      <c r="B122" s="219">
        <v>2380</v>
      </c>
      <c r="C122" s="220">
        <f>B122*F122</f>
        <v>0</v>
      </c>
      <c r="D122" s="219">
        <f>'[3]Scenaior 3 2040'!$E$32</f>
        <v>0</v>
      </c>
      <c r="E122" s="219">
        <f>'[2]Conversion factors selected IV '!$O$27</f>
        <v>0.97367441860465131</v>
      </c>
      <c r="F122" s="219">
        <f>D122*E122*1000000</f>
        <v>0</v>
      </c>
      <c r="G122" s="248" t="s">
        <v>393</v>
      </c>
      <c r="L122" s="219">
        <v>0</v>
      </c>
    </row>
    <row r="123" spans="1:19" x14ac:dyDescent="0.35">
      <c r="D123" s="2"/>
      <c r="E123" s="2"/>
      <c r="G123" s="2"/>
      <c r="I123" s="8" t="s">
        <v>17</v>
      </c>
      <c r="J123" s="260" t="s">
        <v>108</v>
      </c>
      <c r="L123" s="2"/>
      <c r="M123" s="5" t="s">
        <v>245</v>
      </c>
      <c r="N123" s="35">
        <v>0</v>
      </c>
      <c r="O123" s="2"/>
      <c r="P123" s="18" t="s">
        <v>251</v>
      </c>
      <c r="Q123" s="35">
        <v>0.2</v>
      </c>
    </row>
    <row r="124" spans="1:19" x14ac:dyDescent="0.35">
      <c r="D124" s="2"/>
      <c r="E124" s="2"/>
      <c r="G124" s="2"/>
      <c r="L124" s="2"/>
      <c r="M124" t="s">
        <v>246</v>
      </c>
      <c r="N124" s="35">
        <v>0.02</v>
      </c>
      <c r="O124" s="2"/>
      <c r="P124" s="18" t="s">
        <v>210</v>
      </c>
      <c r="Q124" s="35">
        <v>0.5</v>
      </c>
    </row>
    <row r="125" spans="1:19" x14ac:dyDescent="0.35">
      <c r="D125" s="2"/>
      <c r="E125" s="2"/>
      <c r="G125" s="2"/>
      <c r="L125" s="2"/>
      <c r="M125" s="5" t="s">
        <v>244</v>
      </c>
      <c r="N125" s="35">
        <v>0.5</v>
      </c>
      <c r="O125" s="2"/>
      <c r="P125" s="18" t="s">
        <v>252</v>
      </c>
      <c r="Q125" s="35">
        <v>0.15</v>
      </c>
    </row>
    <row r="126" spans="1:19" x14ac:dyDescent="0.35">
      <c r="D126" s="2"/>
      <c r="E126" s="2"/>
      <c r="G126" s="2"/>
      <c r="L126" s="2"/>
      <c r="M126" t="s">
        <v>247</v>
      </c>
      <c r="N126" s="35">
        <v>0.15</v>
      </c>
      <c r="O126" s="2"/>
      <c r="P126" s="18" t="s">
        <v>253</v>
      </c>
      <c r="Q126" s="35">
        <v>0.1</v>
      </c>
    </row>
    <row r="127" spans="1:19" x14ac:dyDescent="0.35">
      <c r="D127" s="2"/>
      <c r="E127" s="2"/>
      <c r="G127" s="2"/>
      <c r="L127" s="2"/>
      <c r="M127" t="s">
        <v>248</v>
      </c>
      <c r="N127" s="35">
        <v>0.3</v>
      </c>
      <c r="O127" s="2"/>
      <c r="P127" s="18" t="s">
        <v>254</v>
      </c>
      <c r="Q127" s="35">
        <v>0.05</v>
      </c>
    </row>
    <row r="128" spans="1:19" x14ac:dyDescent="0.35">
      <c r="D128" s="2"/>
      <c r="E128" s="2"/>
      <c r="G128" s="2"/>
      <c r="L128" s="2"/>
      <c r="M128" t="s">
        <v>250</v>
      </c>
      <c r="N128" s="35">
        <v>0.03</v>
      </c>
      <c r="O128" s="2"/>
      <c r="Q128" s="123"/>
    </row>
    <row r="129" spans="1:18" x14ac:dyDescent="0.35">
      <c r="D129" s="2"/>
      <c r="E129" s="2"/>
      <c r="G129" s="2"/>
      <c r="N129" s="123"/>
      <c r="O129" s="2"/>
      <c r="Q129" s="123"/>
    </row>
    <row r="130" spans="1:18" x14ac:dyDescent="0.35">
      <c r="D130" s="2"/>
      <c r="E130" s="2"/>
      <c r="G130" s="2"/>
      <c r="N130" s="123"/>
      <c r="O130" s="2"/>
      <c r="Q130" s="123"/>
    </row>
    <row r="131" spans="1:18" x14ac:dyDescent="0.35">
      <c r="D131" s="2"/>
      <c r="E131" s="2"/>
      <c r="G131" s="2"/>
      <c r="N131" s="123"/>
      <c r="O131" s="2"/>
      <c r="Q131" s="123"/>
    </row>
    <row r="132" spans="1:18" x14ac:dyDescent="0.35">
      <c r="D132" s="2"/>
      <c r="E132" s="2"/>
      <c r="G132" s="2"/>
      <c r="N132" s="123"/>
      <c r="O132" s="2"/>
      <c r="Q132" s="123"/>
    </row>
    <row r="133" spans="1:18" s="219" customFormat="1" x14ac:dyDescent="0.35">
      <c r="A133" s="219" t="s">
        <v>345</v>
      </c>
      <c r="B133" s="219">
        <v>2380</v>
      </c>
      <c r="C133" s="219">
        <f>B133*F133</f>
        <v>5683498064.120265</v>
      </c>
      <c r="D133" s="219">
        <f>'[3]Scenaior 3 2040'!$E$33</f>
        <v>2.4525902612409243</v>
      </c>
      <c r="E133" s="219">
        <f>'[2]Conversion factors selected IV '!$O$76</f>
        <v>0.97367441860465131</v>
      </c>
      <c r="F133" s="219">
        <f>D133*E133*1000000</f>
        <v>2388024.3966891868</v>
      </c>
      <c r="G133" s="219">
        <f>'LCoP 2040 high'!E17</f>
        <v>2976.5963634160148</v>
      </c>
      <c r="H133" s="219">
        <f>G133*F133</f>
        <v>7108184734.9337559</v>
      </c>
      <c r="I133" s="219">
        <f>'LCoP 2040 high'!H17</f>
        <v>0.19370996030993554</v>
      </c>
      <c r="L133" s="219">
        <f>I133*H133</f>
        <v>1376926182.8797076</v>
      </c>
      <c r="M133" s="219">
        <f>'LCoP 2040 high'!F17</f>
        <v>0.48545379473005962</v>
      </c>
      <c r="O133" s="219">
        <f>M133*H133</f>
        <v>3450695253.2158747</v>
      </c>
      <c r="P133" s="219">
        <f>'LCoP 2040 high'!G17</f>
        <v>0.32083624496000479</v>
      </c>
      <c r="R133" s="219">
        <f>P133*H133</f>
        <v>2280563298.8381734</v>
      </c>
    </row>
    <row r="134" spans="1:18" s="80" customFormat="1" x14ac:dyDescent="0.35">
      <c r="C134">
        <f>C133/C114</f>
        <v>0.38150165692920407</v>
      </c>
      <c r="F134" s="154" t="s">
        <v>212</v>
      </c>
      <c r="G134" s="2">
        <f>SUMIF($J$134:$J$143,F134,$L$134:$L$143)/$L$133</f>
        <v>0.67079908974370228</v>
      </c>
      <c r="I134" s="5" t="s">
        <v>5</v>
      </c>
      <c r="J134" s="154" t="s">
        <v>212</v>
      </c>
      <c r="K134" s="6">
        <f>'Feedstock MIX per IVC'!N74</f>
        <v>293.34967105399272</v>
      </c>
      <c r="L134" s="2">
        <f>K134*F$133</f>
        <v>700526171.23768234</v>
      </c>
      <c r="M134" s="5" t="s">
        <v>245</v>
      </c>
      <c r="N134" s="35">
        <v>0</v>
      </c>
      <c r="O134" s="2">
        <f>N134*O$133</f>
        <v>0</v>
      </c>
      <c r="P134" s="18" t="s">
        <v>251</v>
      </c>
      <c r="Q134" s="35">
        <v>0.25</v>
      </c>
      <c r="R134" s="2">
        <f>Q134*R$133</f>
        <v>570140824.70954335</v>
      </c>
    </row>
    <row r="135" spans="1:18" x14ac:dyDescent="0.35">
      <c r="F135" s="178" t="s">
        <v>256</v>
      </c>
      <c r="G135" s="2">
        <f t="shared" ref="G135:G139" si="36">SUMIF($J$134:$J$143,F135,$L$134:$L$143)/$L$133</f>
        <v>0.13956465583527594</v>
      </c>
      <c r="I135" s="5" t="s">
        <v>6</v>
      </c>
      <c r="J135" s="154" t="s">
        <v>212</v>
      </c>
      <c r="K135" s="6">
        <f>'Feedstock MIX per IVC'!N75</f>
        <v>15.165135855302227</v>
      </c>
      <c r="L135" s="2">
        <f t="shared" ref="L135:L143" si="37">K135*F$133</f>
        <v>36214714.401567653</v>
      </c>
      <c r="M135" t="s">
        <v>246</v>
      </c>
      <c r="N135" s="35">
        <v>0.02</v>
      </c>
      <c r="O135" s="2">
        <f t="shared" ref="O135:O139" si="38">N135*O$133</f>
        <v>69013905.064317495</v>
      </c>
      <c r="P135" s="18" t="s">
        <v>210</v>
      </c>
      <c r="Q135" s="35">
        <v>0.15</v>
      </c>
      <c r="R135" s="2">
        <f t="shared" ref="R135:R138" si="39">Q135*R$133</f>
        <v>342084494.82572597</v>
      </c>
    </row>
    <row r="136" spans="1:18" x14ac:dyDescent="0.35">
      <c r="F136" s="156" t="s">
        <v>209</v>
      </c>
      <c r="G136" s="2">
        <f t="shared" si="36"/>
        <v>0.17455333639188914</v>
      </c>
      <c r="I136" s="5" t="s">
        <v>23</v>
      </c>
      <c r="J136" s="159" t="s">
        <v>213</v>
      </c>
      <c r="K136" s="6">
        <f>'Feedstock MIX per IVC'!N76</f>
        <v>0</v>
      </c>
      <c r="L136" s="2">
        <f t="shared" si="37"/>
        <v>0</v>
      </c>
      <c r="M136" s="5" t="s">
        <v>244</v>
      </c>
      <c r="N136" s="35">
        <v>0.55000000000000004</v>
      </c>
      <c r="O136" s="2">
        <f t="shared" si="38"/>
        <v>1897882389.2687311</v>
      </c>
      <c r="P136" s="18" t="s">
        <v>252</v>
      </c>
      <c r="Q136" s="35">
        <v>0.3</v>
      </c>
      <c r="R136" s="2">
        <f t="shared" si="39"/>
        <v>684168989.65145195</v>
      </c>
    </row>
    <row r="137" spans="1:18" x14ac:dyDescent="0.35">
      <c r="F137" s="159" t="s">
        <v>213</v>
      </c>
      <c r="G137" s="2">
        <f t="shared" si="36"/>
        <v>0</v>
      </c>
      <c r="I137" s="5" t="s">
        <v>7</v>
      </c>
      <c r="J137" s="157" t="s">
        <v>211</v>
      </c>
      <c r="K137" s="6">
        <f>'Feedstock MIX per IVC'!N77</f>
        <v>7.2889936763447416</v>
      </c>
      <c r="L137" s="2">
        <f t="shared" si="37"/>
        <v>17406294.726424448</v>
      </c>
      <c r="M137" t="s">
        <v>247</v>
      </c>
      <c r="N137" s="35">
        <v>0.1</v>
      </c>
      <c r="O137" s="2">
        <f t="shared" si="38"/>
        <v>345069525.3215875</v>
      </c>
      <c r="P137" s="18" t="s">
        <v>253</v>
      </c>
      <c r="Q137" s="35">
        <v>0.3</v>
      </c>
      <c r="R137" s="2">
        <f t="shared" si="39"/>
        <v>684168989.65145195</v>
      </c>
    </row>
    <row r="138" spans="1:18" s="80" customFormat="1" x14ac:dyDescent="0.35">
      <c r="F138" s="207" t="s">
        <v>104</v>
      </c>
      <c r="G138" s="299">
        <f t="shared" si="36"/>
        <v>2.4415034472553094E-3</v>
      </c>
      <c r="I138" s="5" t="s">
        <v>8</v>
      </c>
      <c r="J138" s="154" t="s">
        <v>212</v>
      </c>
      <c r="K138" s="6">
        <f>'Feedstock MIX per IVC'!N78</f>
        <v>61.937979630127082</v>
      </c>
      <c r="L138" s="2">
        <f t="shared" si="37"/>
        <v>147909406.43838137</v>
      </c>
      <c r="M138" t="s">
        <v>248</v>
      </c>
      <c r="N138" s="35">
        <v>0.3</v>
      </c>
      <c r="O138" s="2">
        <f t="shared" si="38"/>
        <v>1035208575.9647623</v>
      </c>
      <c r="P138" s="18" t="s">
        <v>254</v>
      </c>
      <c r="Q138" s="240">
        <v>0</v>
      </c>
      <c r="R138" s="2">
        <f t="shared" si="39"/>
        <v>0</v>
      </c>
    </row>
    <row r="139" spans="1:18" x14ac:dyDescent="0.35">
      <c r="F139" s="157" t="s">
        <v>211</v>
      </c>
      <c r="G139" s="2">
        <f t="shared" si="36"/>
        <v>1.2641414581877491E-2</v>
      </c>
      <c r="I139" s="5" t="s">
        <v>9</v>
      </c>
      <c r="J139" s="154" t="s">
        <v>212</v>
      </c>
      <c r="K139" s="6">
        <f>'Feedstock MIX per IVC'!N79</f>
        <v>16.3275291895695</v>
      </c>
      <c r="L139" s="2">
        <f t="shared" si="37"/>
        <v>38990538.04234679</v>
      </c>
      <c r="M139" t="s">
        <v>250</v>
      </c>
      <c r="N139" s="35">
        <v>0.03</v>
      </c>
      <c r="O139" s="2">
        <f t="shared" si="38"/>
        <v>103520857.59647624</v>
      </c>
    </row>
    <row r="140" spans="1:18" x14ac:dyDescent="0.35">
      <c r="F140" s="158" t="s">
        <v>105</v>
      </c>
      <c r="G140" s="299">
        <f>G138</f>
        <v>2.4415034472553094E-3</v>
      </c>
      <c r="I140" s="5" t="s">
        <v>10</v>
      </c>
      <c r="J140" s="178" t="s">
        <v>256</v>
      </c>
      <c r="K140" s="6">
        <f>'Feedstock MIX per IVC'!N80</f>
        <v>80.472473016027777</v>
      </c>
      <c r="L140" s="2">
        <f t="shared" si="37"/>
        <v>192170228.82418659</v>
      </c>
      <c r="N140" s="35"/>
    </row>
    <row r="141" spans="1:18" x14ac:dyDescent="0.35">
      <c r="F141"/>
      <c r="G141" s="2">
        <f>SUM(G134:G140)</f>
        <v>1.0024415034472556</v>
      </c>
      <c r="I141" s="5" t="s">
        <v>11</v>
      </c>
      <c r="J141" s="156" t="s">
        <v>209</v>
      </c>
      <c r="K141" s="6">
        <f>'Feedstock MIX per IVC'!N81</f>
        <v>100.64681898569557</v>
      </c>
      <c r="L141" s="2">
        <f t="shared" si="37"/>
        <v>240347059.18700147</v>
      </c>
    </row>
    <row r="142" spans="1:18" x14ac:dyDescent="0.35">
      <c r="F142"/>
      <c r="I142" s="5" t="s">
        <v>12</v>
      </c>
      <c r="J142" s="159" t="s">
        <v>213</v>
      </c>
      <c r="K142" s="6">
        <f>'Feedstock MIX per IVC'!N82</f>
        <v>0</v>
      </c>
      <c r="L142" s="2">
        <f t="shared" si="37"/>
        <v>0</v>
      </c>
    </row>
    <row r="143" spans="1:18" x14ac:dyDescent="0.35">
      <c r="I143" s="13" t="s">
        <v>33</v>
      </c>
      <c r="J143" s="207" t="s">
        <v>104</v>
      </c>
      <c r="K143" s="6">
        <f>'Feedstock MIX per IVC'!N83</f>
        <v>1.4077620089550749</v>
      </c>
      <c r="L143" s="2">
        <f t="shared" si="37"/>
        <v>3361770.0221169004</v>
      </c>
    </row>
    <row r="144" spans="1:18" x14ac:dyDescent="0.35">
      <c r="A144" s="80"/>
      <c r="B144" s="80"/>
      <c r="C144" s="80"/>
      <c r="D144" s="92"/>
      <c r="E144" s="92"/>
      <c r="F144" s="230"/>
      <c r="G144" s="101"/>
      <c r="L144" s="2">
        <f>SUM(L134:L143)</f>
        <v>1376926182.8797078</v>
      </c>
    </row>
    <row r="145" spans="1:19" s="218" customFormat="1" x14ac:dyDescent="0.35">
      <c r="A145" s="218" t="s">
        <v>378</v>
      </c>
      <c r="B145" s="219">
        <v>2380</v>
      </c>
      <c r="C145" s="219">
        <f>B145*F145</f>
        <v>5047032831.7897444</v>
      </c>
      <c r="D145" s="225">
        <f>'[3]Scenaior 3 2040'!$E$34</f>
        <v>2.120602030163758</v>
      </c>
      <c r="E145" s="225">
        <f>'[2]Conversion factors selected IV '!$O$125</f>
        <v>1</v>
      </c>
      <c r="F145" s="219">
        <f>D145*E145*1000000</f>
        <v>2120602.030163758</v>
      </c>
      <c r="G145" s="225">
        <f>'LCoP 2040 high'!E23</f>
        <v>2170.8591081145041</v>
      </c>
      <c r="H145" s="220">
        <f>G145*F145</f>
        <v>4603528231.8671026</v>
      </c>
      <c r="I145" s="219">
        <f>'LCoP 2040 high'!H23</f>
        <v>0.29590087431902667</v>
      </c>
      <c r="L145" s="219">
        <f>I145*H145</f>
        <v>1362188028.7617986</v>
      </c>
      <c r="M145" s="219">
        <f>'LCoP 2040 high'!F23</f>
        <v>0.31554327843733515</v>
      </c>
      <c r="O145" s="219">
        <f>M145*H145</f>
        <v>1452612390.6621742</v>
      </c>
      <c r="P145" s="219">
        <f>'LCoP 2040 high'!G23</f>
        <v>0.38855584724363823</v>
      </c>
      <c r="R145" s="219">
        <f>P145*H145</f>
        <v>1788727812.44313</v>
      </c>
      <c r="S145" s="219">
        <f>L145+O145+R145</f>
        <v>4603528231.8671036</v>
      </c>
    </row>
    <row r="146" spans="1:19" x14ac:dyDescent="0.35">
      <c r="A146" s="80"/>
      <c r="B146" s="80"/>
      <c r="C146">
        <f>C145/C114</f>
        <v>0.33877928103102406</v>
      </c>
      <c r="D146" s="92"/>
      <c r="E146" s="92"/>
      <c r="F146" s="154" t="s">
        <v>212</v>
      </c>
      <c r="G146" s="2">
        <f>SUMIF($J$146:$J$153,F146,$L$146:$L$153)/$L$145</f>
        <v>0.683685488219547</v>
      </c>
      <c r="H146" s="209" t="s">
        <v>292</v>
      </c>
      <c r="I146" s="5" t="s">
        <v>5</v>
      </c>
      <c r="J146" s="154" t="s">
        <v>212</v>
      </c>
      <c r="K146" s="6">
        <f>'Feedstock MIX per IVC'!N116</f>
        <v>325.30128061116545</v>
      </c>
      <c r="L146" s="2">
        <f>K146*F$145</f>
        <v>689834556.07890773</v>
      </c>
      <c r="M146" s="5" t="s">
        <v>245</v>
      </c>
      <c r="N146" s="174">
        <v>0.15</v>
      </c>
      <c r="O146" s="2">
        <f>N146*O$145</f>
        <v>217891858.59932613</v>
      </c>
      <c r="P146" s="18" t="s">
        <v>251</v>
      </c>
      <c r="Q146" s="123">
        <v>0.15</v>
      </c>
      <c r="R146" s="2">
        <f>Q146*R$145</f>
        <v>268309171.8664695</v>
      </c>
    </row>
    <row r="147" spans="1:19" x14ac:dyDescent="0.35">
      <c r="A147" s="80"/>
      <c r="B147" s="80"/>
      <c r="C147" s="80"/>
      <c r="D147" s="92"/>
      <c r="E147" s="92"/>
      <c r="F147" s="178" t="s">
        <v>256</v>
      </c>
      <c r="G147" s="2">
        <f t="shared" ref="G147:G150" si="40">SUMIF($J$146:$J$153,F147,$L$146:$L$153)/$L$145</f>
        <v>0.13492282562919442</v>
      </c>
      <c r="H147" s="209" t="s">
        <v>292</v>
      </c>
      <c r="I147" s="5" t="s">
        <v>6</v>
      </c>
      <c r="J147" s="154" t="s">
        <v>212</v>
      </c>
      <c r="K147" s="6">
        <f>'Feedstock MIX per IVC'!N117</f>
        <v>16.812071357056464</v>
      </c>
      <c r="L147" s="2">
        <f t="shared" ref="L147:L153" si="41">K147*F$145</f>
        <v>35651712.651031904</v>
      </c>
      <c r="M147" t="s">
        <v>246</v>
      </c>
      <c r="N147" s="35">
        <v>0.02</v>
      </c>
      <c r="O147" s="2">
        <f t="shared" ref="O147:O151" si="42">N147*O$145</f>
        <v>29052247.813243486</v>
      </c>
      <c r="P147" s="18" t="s">
        <v>210</v>
      </c>
      <c r="Q147" s="123">
        <v>0.25</v>
      </c>
      <c r="R147" s="2">
        <f t="shared" ref="R147:R150" si="43">Q147*R$145</f>
        <v>447181953.1107825</v>
      </c>
    </row>
    <row r="148" spans="1:19" x14ac:dyDescent="0.35">
      <c r="A148" s="80"/>
      <c r="B148" s="80"/>
      <c r="C148" s="80"/>
      <c r="D148" s="92"/>
      <c r="E148" s="92"/>
      <c r="F148" s="156" t="s">
        <v>209</v>
      </c>
      <c r="G148" s="2">
        <f t="shared" si="40"/>
        <v>0.1688293108921553</v>
      </c>
      <c r="H148" s="209" t="s">
        <v>292</v>
      </c>
      <c r="I148" s="5" t="s">
        <v>7</v>
      </c>
      <c r="J148" s="157" t="s">
        <v>211</v>
      </c>
      <c r="K148" s="6">
        <f>'Feedstock MIX per IVC'!N118</f>
        <v>8.0695561672370868</v>
      </c>
      <c r="L148" s="2">
        <f t="shared" si="41"/>
        <v>17112317.19076344</v>
      </c>
      <c r="M148" s="5" t="s">
        <v>244</v>
      </c>
      <c r="N148" s="174">
        <v>0.45</v>
      </c>
      <c r="O148" s="2">
        <f t="shared" si="42"/>
        <v>653675575.7979784</v>
      </c>
      <c r="P148" s="18" t="s">
        <v>252</v>
      </c>
      <c r="Q148" s="123">
        <v>0.2</v>
      </c>
      <c r="R148" s="2">
        <f t="shared" si="43"/>
        <v>357745562.488626</v>
      </c>
    </row>
    <row r="149" spans="1:19" x14ac:dyDescent="0.35">
      <c r="A149" s="80"/>
      <c r="B149" s="80"/>
      <c r="C149" s="80"/>
      <c r="D149" s="92"/>
      <c r="E149" s="92"/>
      <c r="F149" s="159" t="s">
        <v>213</v>
      </c>
      <c r="G149" s="2">
        <f t="shared" si="40"/>
        <v>0</v>
      </c>
      <c r="H149" s="209" t="s">
        <v>292</v>
      </c>
      <c r="I149" s="5" t="s">
        <v>8</v>
      </c>
      <c r="J149" s="154" t="s">
        <v>212</v>
      </c>
      <c r="K149" s="6">
        <f>'Feedstock MIX per IVC'!N119</f>
        <v>78.789724886659172</v>
      </c>
      <c r="L149" s="2">
        <f t="shared" si="41"/>
        <v>167081650.55069339</v>
      </c>
      <c r="M149" t="s">
        <v>247</v>
      </c>
      <c r="N149" s="35">
        <v>0.1</v>
      </c>
      <c r="O149" s="2">
        <f t="shared" si="42"/>
        <v>145261239.06621742</v>
      </c>
      <c r="P149" s="18" t="s">
        <v>253</v>
      </c>
      <c r="Q149" s="123">
        <v>0.3</v>
      </c>
      <c r="R149" s="2">
        <f t="shared" si="43"/>
        <v>536618343.732939</v>
      </c>
    </row>
    <row r="150" spans="1:19" x14ac:dyDescent="0.35">
      <c r="A150" s="80"/>
      <c r="B150" s="80"/>
      <c r="C150" s="80"/>
      <c r="D150" s="92"/>
      <c r="E150" s="92"/>
      <c r="F150" s="157" t="s">
        <v>211</v>
      </c>
      <c r="G150" s="2">
        <f t="shared" si="40"/>
        <v>1.2562375259102953E-2</v>
      </c>
      <c r="H150" s="209" t="s">
        <v>292</v>
      </c>
      <c r="I150" s="5" t="s">
        <v>9</v>
      </c>
      <c r="J150" s="154" t="s">
        <v>212</v>
      </c>
      <c r="K150" s="6">
        <f>'Feedstock MIX per IVC'!N120</f>
        <v>18.268523588656635</v>
      </c>
      <c r="L150" s="2">
        <f t="shared" si="41"/>
        <v>38740268.210199758</v>
      </c>
      <c r="M150" t="s">
        <v>248</v>
      </c>
      <c r="N150" s="35">
        <v>0.25</v>
      </c>
      <c r="O150" s="2">
        <f t="shared" si="42"/>
        <v>363153097.66554356</v>
      </c>
      <c r="P150" s="18" t="s">
        <v>254</v>
      </c>
      <c r="Q150" s="123">
        <v>0.1</v>
      </c>
      <c r="R150" s="2">
        <f t="shared" si="43"/>
        <v>178872781.244313</v>
      </c>
    </row>
    <row r="151" spans="1:19" x14ac:dyDescent="0.35">
      <c r="A151" s="80"/>
      <c r="B151" s="80"/>
      <c r="C151" s="80"/>
      <c r="D151" s="92"/>
      <c r="E151" s="92"/>
      <c r="F151" s="230"/>
      <c r="G151" s="2">
        <f>SUM(G146:G150)</f>
        <v>0.99999999999999967</v>
      </c>
      <c r="H151" s="209" t="s">
        <v>292</v>
      </c>
      <c r="I151" s="5" t="s">
        <v>10</v>
      </c>
      <c r="J151" s="178" t="s">
        <v>256</v>
      </c>
      <c r="K151" s="6">
        <f>'Feedstock MIX per IVC'!N121</f>
        <v>86.668905935458113</v>
      </c>
      <c r="L151" s="2">
        <f t="shared" si="41"/>
        <v>183790257.87880424</v>
      </c>
      <c r="M151" t="s">
        <v>250</v>
      </c>
      <c r="N151" s="35">
        <v>0.03</v>
      </c>
      <c r="O151" s="2">
        <f t="shared" si="42"/>
        <v>43578371.719865225</v>
      </c>
      <c r="Q151" s="35"/>
    </row>
    <row r="152" spans="1:19" x14ac:dyDescent="0.35">
      <c r="A152" s="80"/>
      <c r="B152" s="80"/>
      <c r="C152" s="80"/>
      <c r="D152" s="92"/>
      <c r="E152" s="92"/>
      <c r="F152" s="230"/>
      <c r="H152" s="209" t="s">
        <v>292</v>
      </c>
      <c r="I152" s="5" t="s">
        <v>11</v>
      </c>
      <c r="J152" s="156" t="s">
        <v>209</v>
      </c>
      <c r="K152" s="6">
        <f>'Feedstock MIX per IVC'!N122</f>
        <v>108.44904556827125</v>
      </c>
      <c r="L152" s="2">
        <f t="shared" si="41"/>
        <v>229977266.2013979</v>
      </c>
      <c r="M152" s="2"/>
      <c r="O152" s="2"/>
    </row>
    <row r="153" spans="1:19" x14ac:dyDescent="0.35">
      <c r="A153" s="80"/>
      <c r="B153" s="80"/>
      <c r="C153" s="80"/>
      <c r="D153" s="92"/>
      <c r="E153" s="92"/>
      <c r="F153" s="230"/>
      <c r="H153" s="209" t="s">
        <v>292</v>
      </c>
      <c r="I153" s="5" t="s">
        <v>12</v>
      </c>
      <c r="J153" s="159" t="s">
        <v>213</v>
      </c>
      <c r="K153" s="6">
        <f>'Feedstock MIX per IVC'!N123</f>
        <v>0</v>
      </c>
      <c r="L153" s="2">
        <f t="shared" si="41"/>
        <v>0</v>
      </c>
    </row>
    <row r="154" spans="1:19" x14ac:dyDescent="0.35">
      <c r="A154" s="80"/>
      <c r="B154" s="80"/>
      <c r="C154" s="80"/>
      <c r="D154" s="92"/>
      <c r="E154" s="92"/>
      <c r="F154" s="230"/>
      <c r="G154" s="101"/>
      <c r="K154" s="6"/>
      <c r="L154" s="2"/>
    </row>
    <row r="155" spans="1:19" s="93" customFormat="1" ht="34" customHeight="1" x14ac:dyDescent="0.35">
      <c r="A155" s="93" t="s">
        <v>108</v>
      </c>
      <c r="F155" s="176"/>
    </row>
    <row r="156" spans="1:19" ht="19" customHeight="1" x14ac:dyDescent="0.35">
      <c r="C156" s="2">
        <f>C157+C168+C176</f>
        <v>29319426048.034252</v>
      </c>
      <c r="D156" s="2">
        <f>D157+D168+D176</f>
        <v>15.85397731523128</v>
      </c>
      <c r="E156" s="2"/>
      <c r="F156" s="2">
        <f>F157+F168+F176</f>
        <v>30870049.851924114</v>
      </c>
      <c r="L156" s="2">
        <f>L157+L168+L176</f>
        <v>4899259209.7267761</v>
      </c>
      <c r="O156" s="2">
        <f>O157+O168+O176</f>
        <v>9531207228.5768356</v>
      </c>
      <c r="R156" s="2">
        <f>R157+R168+R176</f>
        <v>7136125107.290556</v>
      </c>
    </row>
    <row r="157" spans="1:19" s="219" customFormat="1" x14ac:dyDescent="0.35">
      <c r="A157" s="219" t="s">
        <v>350</v>
      </c>
      <c r="B157" s="219">
        <v>935</v>
      </c>
      <c r="C157" s="219">
        <f>B157*F157</f>
        <v>26880733713.345932</v>
      </c>
      <c r="D157" s="219">
        <f>'[3]Scenaior 3 2040'!$E$21</f>
        <v>13.733375285067522</v>
      </c>
      <c r="E157" s="219">
        <f>'[2]Conversion factors selected IV '!$O$49</f>
        <v>2.0934000000000004</v>
      </c>
      <c r="F157" s="219">
        <f>D157*E157*1000000</f>
        <v>28749447.821760356</v>
      </c>
      <c r="G157" s="219">
        <f>'LCoP 2040 high'!E11</f>
        <v>590.03092577269535</v>
      </c>
      <c r="H157" s="219">
        <f>G157*F157</f>
        <v>16963063313.727062</v>
      </c>
      <c r="I157" s="219">
        <f>'LCoP 2040 high'!H11</f>
        <v>0.20851606313953119</v>
      </c>
      <c r="L157" s="219">
        <f>I157*H157</f>
        <v>3537071180.9649773</v>
      </c>
      <c r="M157" s="219">
        <f>'LCoP 2040 high'!F11</f>
        <v>0.47624622325008942</v>
      </c>
      <c r="O157" s="219">
        <f>M157*H157</f>
        <v>8078594837.9146605</v>
      </c>
      <c r="P157" s="219">
        <f>'LCoP 2040 high'!G11</f>
        <v>0.31523771361037944</v>
      </c>
      <c r="R157" s="219">
        <f>P157*H157</f>
        <v>5347397294.8474255</v>
      </c>
    </row>
    <row r="158" spans="1:19" x14ac:dyDescent="0.35">
      <c r="D158" s="2"/>
      <c r="E158" s="2"/>
      <c r="F158" s="154" t="s">
        <v>212</v>
      </c>
      <c r="G158" s="2">
        <f>SUMIF($J$158:$J$167,F158,$L$158:$L$167)/$L$157</f>
        <v>0.65943844902788218</v>
      </c>
      <c r="I158" s="5" t="s">
        <v>5</v>
      </c>
      <c r="J158" s="154" t="s">
        <v>212</v>
      </c>
      <c r="K158" s="6">
        <f>'Feedstock MIX per IVC'!N35</f>
        <v>61.285514469958287</v>
      </c>
      <c r="L158" s="2">
        <f>K158*F$157</f>
        <v>1761924700.4838052</v>
      </c>
      <c r="M158" s="5" t="s">
        <v>245</v>
      </c>
      <c r="N158" s="35">
        <v>0</v>
      </c>
      <c r="O158" s="2">
        <f>N158*O$157</f>
        <v>0</v>
      </c>
      <c r="P158" s="18" t="s">
        <v>251</v>
      </c>
      <c r="Q158" s="35">
        <v>0.25</v>
      </c>
      <c r="R158" s="2">
        <f>Q158*R$157</f>
        <v>1336849323.7118564</v>
      </c>
    </row>
    <row r="159" spans="1:19" x14ac:dyDescent="0.35">
      <c r="D159" s="2"/>
      <c r="E159" s="2"/>
      <c r="F159" s="178" t="s">
        <v>256</v>
      </c>
      <c r="G159" s="2">
        <f t="shared" ref="G159:G164" si="44">SUMIF($J$158:$J$167,F159,$L$158:$L$167)/$L$157</f>
        <v>0.13668280053957768</v>
      </c>
      <c r="I159" s="5" t="s">
        <v>6</v>
      </c>
      <c r="J159" s="154" t="s">
        <v>212</v>
      </c>
      <c r="K159" s="6">
        <f>'Feedstock MIX per IVC'!N36</f>
        <v>3.1671422258336515</v>
      </c>
      <c r="L159" s="2">
        <f t="shared" ref="L159:L167" si="45">K159*F$157</f>
        <v>91053590.165698513</v>
      </c>
      <c r="M159" t="s">
        <v>246</v>
      </c>
      <c r="N159" s="35">
        <v>0.02</v>
      </c>
      <c r="O159" s="2">
        <f t="shared" ref="O159:O163" si="46">N159*O$157</f>
        <v>161571896.75829321</v>
      </c>
      <c r="P159" s="18" t="s">
        <v>210</v>
      </c>
      <c r="Q159" s="35">
        <v>0.15</v>
      </c>
      <c r="R159" s="2">
        <f t="shared" ref="R159:R162" si="47">Q159*R$157</f>
        <v>802109594.22711384</v>
      </c>
    </row>
    <row r="160" spans="1:19" x14ac:dyDescent="0.35">
      <c r="D160" s="2"/>
      <c r="E160" s="2"/>
      <c r="F160" s="156" t="s">
        <v>209</v>
      </c>
      <c r="G160" s="2">
        <f t="shared" si="44"/>
        <v>0.17104852185966135</v>
      </c>
      <c r="I160" s="5" t="s">
        <v>23</v>
      </c>
      <c r="J160" s="159" t="s">
        <v>213</v>
      </c>
      <c r="K160" s="6">
        <f>'Feedstock MIX per IVC'!N37</f>
        <v>0</v>
      </c>
      <c r="L160" s="2">
        <f t="shared" si="45"/>
        <v>0</v>
      </c>
      <c r="M160" s="5" t="s">
        <v>244</v>
      </c>
      <c r="N160" s="35">
        <v>0.55000000000000004</v>
      </c>
      <c r="O160" s="2">
        <f t="shared" si="46"/>
        <v>4443227160.8530636</v>
      </c>
      <c r="P160" s="18" t="s">
        <v>252</v>
      </c>
      <c r="Q160" s="35">
        <v>0.3</v>
      </c>
      <c r="R160" s="2">
        <f t="shared" si="47"/>
        <v>1604219188.4542277</v>
      </c>
    </row>
    <row r="161" spans="1:19" x14ac:dyDescent="0.35">
      <c r="D161" s="2"/>
      <c r="E161" s="2"/>
      <c r="F161" s="159" t="s">
        <v>213</v>
      </c>
      <c r="G161" s="2">
        <f t="shared" si="44"/>
        <v>0</v>
      </c>
      <c r="I161" s="5" t="s">
        <v>7</v>
      </c>
      <c r="J161" s="157" t="s">
        <v>211</v>
      </c>
      <c r="K161" s="6">
        <f>'Feedstock MIX per IVC'!N38</f>
        <v>1.5197568894253894</v>
      </c>
      <c r="L161" s="2">
        <f t="shared" si="45"/>
        <v>43692171.394296058</v>
      </c>
      <c r="M161" t="s">
        <v>247</v>
      </c>
      <c r="N161" s="35">
        <v>0.1</v>
      </c>
      <c r="O161" s="2">
        <f t="shared" si="46"/>
        <v>807859483.79146612</v>
      </c>
      <c r="P161" s="18" t="s">
        <v>253</v>
      </c>
      <c r="Q161" s="35">
        <v>0.3</v>
      </c>
      <c r="R161" s="2">
        <f t="shared" si="47"/>
        <v>1604219188.4542277</v>
      </c>
    </row>
    <row r="162" spans="1:19" x14ac:dyDescent="0.35">
      <c r="D162" s="2"/>
      <c r="E162" s="2"/>
      <c r="F162" s="207" t="s">
        <v>104</v>
      </c>
      <c r="G162" s="2">
        <f t="shared" si="44"/>
        <v>2.0477587317189967E-2</v>
      </c>
      <c r="I162" s="5" t="s">
        <v>8</v>
      </c>
      <c r="J162" s="154" t="s">
        <v>212</v>
      </c>
      <c r="K162" s="6">
        <f>'Feedstock MIX per IVC'!N39</f>
        <v>13.230656430425173</v>
      </c>
      <c r="L162" s="2">
        <f t="shared" si="45"/>
        <v>380374066.69414663</v>
      </c>
      <c r="M162" t="s">
        <v>248</v>
      </c>
      <c r="N162" s="35">
        <v>0.3</v>
      </c>
      <c r="O162" s="2">
        <f t="shared" si="46"/>
        <v>2423578451.3743982</v>
      </c>
      <c r="P162" s="18" t="s">
        <v>254</v>
      </c>
      <c r="Q162" s="240">
        <v>0</v>
      </c>
      <c r="R162" s="2">
        <f t="shared" si="47"/>
        <v>0</v>
      </c>
    </row>
    <row r="163" spans="1:19" x14ac:dyDescent="0.35">
      <c r="D163" s="2"/>
      <c r="E163" s="2"/>
      <c r="F163" s="157" t="s">
        <v>211</v>
      </c>
      <c r="G163" s="2">
        <f t="shared" si="44"/>
        <v>1.235264125568885E-2</v>
      </c>
      <c r="I163" s="5" t="s">
        <v>9</v>
      </c>
      <c r="J163" s="154" t="s">
        <v>212</v>
      </c>
      <c r="K163" s="6">
        <f>'Feedstock MIX per IVC'!N40</f>
        <v>3.4480097477936145</v>
      </c>
      <c r="L163" s="2">
        <f t="shared" si="45"/>
        <v>99128376.333113611</v>
      </c>
      <c r="M163" t="s">
        <v>250</v>
      </c>
      <c r="N163" s="35">
        <v>0.03</v>
      </c>
      <c r="O163" s="2">
        <f t="shared" si="46"/>
        <v>242357845.13743982</v>
      </c>
    </row>
    <row r="164" spans="1:19" x14ac:dyDescent="0.35">
      <c r="D164" s="2"/>
      <c r="E164" s="2"/>
      <c r="F164" s="158" t="s">
        <v>105</v>
      </c>
      <c r="G164" s="2">
        <f t="shared" si="44"/>
        <v>0</v>
      </c>
      <c r="I164" s="5" t="s">
        <v>10</v>
      </c>
      <c r="J164" s="178" t="s">
        <v>256</v>
      </c>
      <c r="K164" s="6">
        <f>'Feedstock MIX per IVC'!N41</f>
        <v>16.816211487588909</v>
      </c>
      <c r="L164" s="2">
        <f t="shared" si="45"/>
        <v>483456794.72212446</v>
      </c>
      <c r="M164" s="2"/>
    </row>
    <row r="165" spans="1:19" x14ac:dyDescent="0.35">
      <c r="D165" s="2"/>
      <c r="E165" s="2"/>
      <c r="F165" s="2"/>
      <c r="G165" s="2">
        <f>SUM(G158:G164)</f>
        <v>1</v>
      </c>
      <c r="I165" s="5" t="s">
        <v>11</v>
      </c>
      <c r="J165" s="156" t="s">
        <v>209</v>
      </c>
      <c r="K165" s="6">
        <f>'Feedstock MIX per IVC'!N42</f>
        <v>21.044257996445257</v>
      </c>
      <c r="L165" s="2">
        <f t="shared" si="45"/>
        <v>605010797.21646607</v>
      </c>
    </row>
    <row r="166" spans="1:19" s="31" customFormat="1" x14ac:dyDescent="0.35">
      <c r="I166" s="5" t="s">
        <v>12</v>
      </c>
      <c r="J166" s="159" t="s">
        <v>213</v>
      </c>
      <c r="K166" s="6">
        <f>'Feedstock MIX per IVC'!N43</f>
        <v>0</v>
      </c>
      <c r="L166" s="2">
        <f t="shared" si="45"/>
        <v>0</v>
      </c>
    </row>
    <row r="167" spans="1:19" x14ac:dyDescent="0.35">
      <c r="D167" s="2"/>
      <c r="E167" s="2"/>
      <c r="I167" s="13" t="s">
        <v>26</v>
      </c>
      <c r="J167" s="207" t="s">
        <v>104</v>
      </c>
      <c r="K167" s="6">
        <f>'Feedstock MIX per IVC'!N44</f>
        <v>2.5193765252250873</v>
      </c>
      <c r="L167" s="2">
        <f t="shared" si="45"/>
        <v>72430683.955326557</v>
      </c>
    </row>
    <row r="168" spans="1:19" s="219" customFormat="1" x14ac:dyDescent="0.35">
      <c r="A168" s="219" t="s">
        <v>28</v>
      </c>
      <c r="C168" s="219">
        <f>B168*F168</f>
        <v>0</v>
      </c>
      <c r="D168" s="219">
        <f>'[3]Scenaior 3 2040'!$E$22</f>
        <v>0</v>
      </c>
      <c r="E168" s="219">
        <f>'[2]Conversion factors selected IV '!$O$49</f>
        <v>2.0934000000000004</v>
      </c>
      <c r="F168" s="219">
        <f>D168*E168*1000000</f>
        <v>0</v>
      </c>
      <c r="G168" s="219">
        <f>'LCoP 2040 high'!E12</f>
        <v>936</v>
      </c>
      <c r="H168" s="219">
        <f>G168*F168</f>
        <v>0</v>
      </c>
      <c r="I168" s="219">
        <f>'LCoP 2040 high'!H12</f>
        <v>0.75641025641025639</v>
      </c>
      <c r="L168" s="219">
        <f>I168*H168</f>
        <v>0</v>
      </c>
      <c r="M168" s="219">
        <f>'LCoP 2040 high'!F12</f>
        <v>0.14529914529914531</v>
      </c>
      <c r="O168" s="219">
        <f>'LCoP 2040 high'!M12</f>
        <v>0</v>
      </c>
      <c r="P168" s="226">
        <f>'LCoP 2040 medium-high'!G12</f>
        <v>9.8290598290598288E-2</v>
      </c>
      <c r="R168" s="219">
        <f>P168*H168</f>
        <v>0</v>
      </c>
      <c r="S168" s="226"/>
    </row>
    <row r="169" spans="1:19" x14ac:dyDescent="0.35">
      <c r="F169" s="158" t="s">
        <v>106</v>
      </c>
      <c r="G169">
        <v>1</v>
      </c>
      <c r="I169" s="13" t="s">
        <v>29</v>
      </c>
      <c r="J169" s="158" t="s">
        <v>106</v>
      </c>
      <c r="L169" s="2">
        <f>L168</f>
        <v>0</v>
      </c>
      <c r="M169" s="5" t="s">
        <v>245</v>
      </c>
      <c r="N169" s="35">
        <v>0</v>
      </c>
      <c r="O169" s="2">
        <f>N169*O$168</f>
        <v>0</v>
      </c>
      <c r="P169" s="18" t="s">
        <v>251</v>
      </c>
      <c r="Q169" s="35">
        <v>0.25</v>
      </c>
      <c r="R169" s="2">
        <f>Q169*R$168</f>
        <v>0</v>
      </c>
    </row>
    <row r="170" spans="1:19" x14ac:dyDescent="0.35">
      <c r="M170" t="s">
        <v>246</v>
      </c>
      <c r="N170" s="35">
        <v>0.02</v>
      </c>
      <c r="O170" s="2">
        <f t="shared" ref="O170:O174" si="48">N170*O$168</f>
        <v>0</v>
      </c>
      <c r="P170" s="18" t="s">
        <v>210</v>
      </c>
      <c r="Q170" s="35">
        <v>0.15</v>
      </c>
      <c r="R170" s="2">
        <f t="shared" ref="R170:R174" si="49">Q170*R$168</f>
        <v>0</v>
      </c>
    </row>
    <row r="171" spans="1:19" x14ac:dyDescent="0.35">
      <c r="M171" s="5" t="s">
        <v>244</v>
      </c>
      <c r="N171" s="35">
        <v>0.55000000000000004</v>
      </c>
      <c r="O171" s="2">
        <f t="shared" si="48"/>
        <v>0</v>
      </c>
      <c r="P171" s="18" t="s">
        <v>252</v>
      </c>
      <c r="Q171" s="35">
        <v>0.3</v>
      </c>
      <c r="R171" s="2">
        <f t="shared" si="49"/>
        <v>0</v>
      </c>
    </row>
    <row r="172" spans="1:19" x14ac:dyDescent="0.35">
      <c r="M172" t="s">
        <v>247</v>
      </c>
      <c r="N172" s="35">
        <v>0.1</v>
      </c>
      <c r="O172" s="2">
        <f t="shared" si="48"/>
        <v>0</v>
      </c>
      <c r="P172" s="18" t="s">
        <v>253</v>
      </c>
      <c r="Q172" s="35">
        <v>0.3</v>
      </c>
      <c r="R172" s="2">
        <f t="shared" si="49"/>
        <v>0</v>
      </c>
    </row>
    <row r="173" spans="1:19" x14ac:dyDescent="0.35">
      <c r="M173" t="s">
        <v>248</v>
      </c>
      <c r="N173" s="35">
        <v>0.3</v>
      </c>
      <c r="O173" s="2">
        <f t="shared" si="48"/>
        <v>0</v>
      </c>
      <c r="P173" s="18" t="s">
        <v>254</v>
      </c>
      <c r="Q173" s="240">
        <v>0</v>
      </c>
      <c r="R173" s="2">
        <f t="shared" si="49"/>
        <v>0</v>
      </c>
    </row>
    <row r="174" spans="1:19" x14ac:dyDescent="0.35">
      <c r="M174" t="s">
        <v>250</v>
      </c>
      <c r="N174" s="35">
        <v>0.03</v>
      </c>
      <c r="O174" s="2">
        <f t="shared" si="48"/>
        <v>0</v>
      </c>
      <c r="R174" s="2">
        <f t="shared" si="49"/>
        <v>0</v>
      </c>
    </row>
    <row r="176" spans="1:19" x14ac:dyDescent="0.35">
      <c r="A176" s="218" t="s">
        <v>336</v>
      </c>
      <c r="B176" s="218">
        <v>1150</v>
      </c>
      <c r="C176" s="219">
        <f>B176*F176</f>
        <v>2438692334.6883216</v>
      </c>
      <c r="D176" s="225">
        <f>'[3]Scenaior 3 2040'!$E$19</f>
        <v>2.120602030163758</v>
      </c>
      <c r="E176" s="225">
        <f>'[2]Conversion factors selected IV '!$O$125</f>
        <v>1</v>
      </c>
      <c r="F176" s="219">
        <f>D176*E176*1000000</f>
        <v>2120602.030163758</v>
      </c>
      <c r="G176" s="225">
        <f>'LCoP 2040 high'!E23</f>
        <v>2170.8591081145041</v>
      </c>
      <c r="H176" s="220">
        <f>G176*F176</f>
        <v>4603528231.8671026</v>
      </c>
      <c r="I176" s="225">
        <f>'LCoP 2040 high'!H23</f>
        <v>0.29590087431902667</v>
      </c>
      <c r="J176" s="218"/>
      <c r="K176" s="218"/>
      <c r="L176" s="219">
        <f>I176*H176</f>
        <v>1362188028.7617986</v>
      </c>
      <c r="M176" s="225">
        <f>'LCoP 2040 high'!F23</f>
        <v>0.31554327843733515</v>
      </c>
      <c r="N176" s="287">
        <f>SUM(N177:N182)</f>
        <v>1</v>
      </c>
      <c r="O176" s="219">
        <f>M176*H176</f>
        <v>1452612390.6621742</v>
      </c>
      <c r="P176" s="225">
        <f>'LCoP 2040 high'!G23</f>
        <v>0.38855584724363823</v>
      </c>
      <c r="Q176" s="218"/>
      <c r="R176" s="219">
        <f>P176*H176</f>
        <v>1788727812.44313</v>
      </c>
      <c r="S176" s="220">
        <f>R176+O176+L176</f>
        <v>4603528231.8671026</v>
      </c>
    </row>
    <row r="177" spans="1:19" x14ac:dyDescent="0.35">
      <c r="C177">
        <f>C176/$C$156</f>
        <v>8.3176673741600274E-2</v>
      </c>
      <c r="D177" s="6"/>
      <c r="E177" s="6"/>
      <c r="F177" s="154" t="s">
        <v>212</v>
      </c>
      <c r="G177" s="2">
        <f>SUMIF($J$177:$J$184,F177,$L$177:$L$184)/$L$176</f>
        <v>0.683685488219547</v>
      </c>
      <c r="H177" s="209" t="s">
        <v>292</v>
      </c>
      <c r="I177" s="5" t="s">
        <v>5</v>
      </c>
      <c r="J177" s="154" t="s">
        <v>212</v>
      </c>
      <c r="K177" s="31">
        <f>'Feedstock MIX per IVC'!N116</f>
        <v>325.30128061116545</v>
      </c>
      <c r="L177" s="2">
        <f>K177*F$176</f>
        <v>689834556.07890773</v>
      </c>
      <c r="M177" s="5" t="s">
        <v>245</v>
      </c>
      <c r="N177" s="174">
        <v>0.15</v>
      </c>
      <c r="O177" s="2">
        <f>N177*O$176</f>
        <v>217891858.59932613</v>
      </c>
      <c r="P177" s="18" t="s">
        <v>251</v>
      </c>
      <c r="Q177" s="123">
        <v>0.15</v>
      </c>
      <c r="R177" s="2">
        <f>Q177*R$176</f>
        <v>268309171.8664695</v>
      </c>
    </row>
    <row r="178" spans="1:19" x14ac:dyDescent="0.35">
      <c r="D178" s="6"/>
      <c r="E178" s="6"/>
      <c r="F178" s="178" t="s">
        <v>256</v>
      </c>
      <c r="G178" s="2">
        <f>SUMIF($J$177:$J$184,F178,$L$177:$L$184)/$L$176</f>
        <v>0.13492282562919442</v>
      </c>
      <c r="H178" s="209" t="s">
        <v>292</v>
      </c>
      <c r="I178" s="5" t="s">
        <v>6</v>
      </c>
      <c r="J178" s="154" t="s">
        <v>212</v>
      </c>
      <c r="K178" s="31">
        <f>'Feedstock MIX per IVC'!N117</f>
        <v>16.812071357056464</v>
      </c>
      <c r="L178" s="2">
        <f>K178*F$176</f>
        <v>35651712.651031904</v>
      </c>
      <c r="M178" t="s">
        <v>246</v>
      </c>
      <c r="N178" s="35">
        <v>0.02</v>
      </c>
      <c r="O178" s="2">
        <f>N178*O$176</f>
        <v>29052247.813243486</v>
      </c>
      <c r="P178" s="18" t="s">
        <v>210</v>
      </c>
      <c r="Q178" s="123">
        <v>0.25</v>
      </c>
      <c r="R178" s="2">
        <f>Q178*R$176</f>
        <v>447181953.1107825</v>
      </c>
    </row>
    <row r="179" spans="1:19" x14ac:dyDescent="0.35">
      <c r="D179" s="6"/>
      <c r="E179" s="6"/>
      <c r="F179" s="156" t="s">
        <v>209</v>
      </c>
      <c r="G179" s="2">
        <f>SUMIF($J$177:$J$184,F179,$L$177:$L$184)/$L$176</f>
        <v>0.1688293108921553</v>
      </c>
      <c r="H179" s="209" t="s">
        <v>292</v>
      </c>
      <c r="I179" s="5" t="s">
        <v>7</v>
      </c>
      <c r="J179" s="157" t="s">
        <v>211</v>
      </c>
      <c r="K179" s="31">
        <f>'Feedstock MIX per IVC'!N118</f>
        <v>8.0695561672370868</v>
      </c>
      <c r="L179" s="2">
        <f>K179*F$176</f>
        <v>17112317.19076344</v>
      </c>
      <c r="M179" s="5" t="s">
        <v>244</v>
      </c>
      <c r="N179" s="174">
        <v>0.45</v>
      </c>
      <c r="O179" s="2">
        <f>N179*O$176</f>
        <v>653675575.7979784</v>
      </c>
      <c r="P179" s="18" t="s">
        <v>252</v>
      </c>
      <c r="Q179" s="123">
        <v>0.2</v>
      </c>
      <c r="R179" s="2">
        <f>Q179*R$176</f>
        <v>357745562.488626</v>
      </c>
      <c r="S179" s="2"/>
    </row>
    <row r="180" spans="1:19" x14ac:dyDescent="0.35">
      <c r="D180" s="6"/>
      <c r="E180" s="6"/>
      <c r="F180" s="157" t="s">
        <v>211</v>
      </c>
      <c r="G180" s="2">
        <f>SUMIF($J$177:$J$184,F180,$L$177:$L$184)/$L$176</f>
        <v>1.2562375259102953E-2</v>
      </c>
      <c r="H180" s="209" t="s">
        <v>292</v>
      </c>
      <c r="I180" s="5" t="s">
        <v>8</v>
      </c>
      <c r="J180" s="154" t="s">
        <v>212</v>
      </c>
      <c r="K180" s="31">
        <f>'Feedstock MIX per IVC'!N119</f>
        <v>78.789724886659172</v>
      </c>
      <c r="L180" s="2">
        <f>K180*F$176</f>
        <v>167081650.55069339</v>
      </c>
      <c r="M180" t="s">
        <v>247</v>
      </c>
      <c r="N180" s="35">
        <v>0.1</v>
      </c>
      <c r="O180" s="2">
        <f>N180*O$176</f>
        <v>145261239.06621742</v>
      </c>
      <c r="P180" s="18" t="s">
        <v>253</v>
      </c>
      <c r="Q180" s="123">
        <v>0.3</v>
      </c>
      <c r="R180" s="2">
        <f>Q180*R$176</f>
        <v>536618343.732939</v>
      </c>
    </row>
    <row r="181" spans="1:19" x14ac:dyDescent="0.35">
      <c r="D181" s="6"/>
      <c r="E181" s="6"/>
      <c r="F181" s="159" t="s">
        <v>213</v>
      </c>
      <c r="G181" s="2">
        <f>SUMIF($J$177:$J$184,F181,$L$177:$L$184)/$L$176</f>
        <v>0</v>
      </c>
      <c r="H181" s="209" t="s">
        <v>292</v>
      </c>
      <c r="I181" s="5" t="s">
        <v>9</v>
      </c>
      <c r="J181" s="154" t="s">
        <v>212</v>
      </c>
      <c r="K181" s="31">
        <f>'Feedstock MIX per IVC'!N120</f>
        <v>18.268523588656635</v>
      </c>
      <c r="L181" s="2">
        <f>K181*F$176</f>
        <v>38740268.210199758</v>
      </c>
      <c r="M181" t="s">
        <v>248</v>
      </c>
      <c r="N181" s="35">
        <v>0.25</v>
      </c>
      <c r="O181" s="2">
        <f>N181*O$176</f>
        <v>363153097.66554356</v>
      </c>
      <c r="P181" s="18" t="s">
        <v>254</v>
      </c>
      <c r="Q181" s="123">
        <v>0.1</v>
      </c>
      <c r="R181" s="2">
        <f>Q181*R$176</f>
        <v>178872781.244313</v>
      </c>
    </row>
    <row r="182" spans="1:19" x14ac:dyDescent="0.35">
      <c r="D182" s="6"/>
      <c r="E182" s="6"/>
      <c r="F182" s="31"/>
      <c r="G182" s="6">
        <f>SUM(G177:G181)</f>
        <v>0.99999999999999967</v>
      </c>
      <c r="H182" s="209" t="s">
        <v>292</v>
      </c>
      <c r="I182" s="5" t="s">
        <v>10</v>
      </c>
      <c r="J182" s="178" t="s">
        <v>256</v>
      </c>
      <c r="K182" s="31">
        <f>'Feedstock MIX per IVC'!N121</f>
        <v>86.668905935458113</v>
      </c>
      <c r="L182" s="2">
        <f>K182*F$176</f>
        <v>183790257.87880424</v>
      </c>
      <c r="M182" t="s">
        <v>250</v>
      </c>
      <c r="N182" s="35">
        <v>0.03</v>
      </c>
      <c r="O182" s="2">
        <f>N182*O$176</f>
        <v>43578371.719865225</v>
      </c>
      <c r="Q182" s="35"/>
      <c r="R182" s="2"/>
    </row>
    <row r="183" spans="1:19" x14ac:dyDescent="0.35">
      <c r="D183" s="6"/>
      <c r="E183" s="6"/>
      <c r="F183" s="31"/>
      <c r="G183" s="6"/>
      <c r="H183" s="209" t="s">
        <v>292</v>
      </c>
      <c r="I183" s="5" t="s">
        <v>11</v>
      </c>
      <c r="J183" s="156" t="s">
        <v>209</v>
      </c>
      <c r="K183" s="31">
        <f>'Feedstock MIX per IVC'!N122</f>
        <v>108.44904556827125</v>
      </c>
      <c r="L183" s="2">
        <f>K183*F$176</f>
        <v>229977266.2013979</v>
      </c>
    </row>
    <row r="184" spans="1:19" x14ac:dyDescent="0.35">
      <c r="D184" s="6"/>
      <c r="E184" s="6"/>
      <c r="F184" s="31"/>
      <c r="G184" s="31"/>
      <c r="H184" s="209" t="s">
        <v>292</v>
      </c>
      <c r="I184" s="5" t="s">
        <v>12</v>
      </c>
      <c r="J184" s="159" t="s">
        <v>213</v>
      </c>
      <c r="K184" s="31">
        <f>'Feedstock MIX per IVC'!N123</f>
        <v>0</v>
      </c>
      <c r="L184" s="2">
        <f>K184*F$176</f>
        <v>0</v>
      </c>
    </row>
    <row r="185" spans="1:19" ht="35.5" customHeight="1" x14ac:dyDescent="0.35">
      <c r="A185" s="246" t="s">
        <v>430</v>
      </c>
      <c r="B185" s="246"/>
      <c r="C185" s="246"/>
      <c r="D185" s="207"/>
      <c r="E185" s="207"/>
      <c r="F185" s="215"/>
      <c r="G185" s="207"/>
      <c r="H185" s="207"/>
      <c r="I185" s="207"/>
      <c r="J185" s="207"/>
      <c r="K185" s="207"/>
      <c r="L185" s="207"/>
      <c r="M185" s="207"/>
      <c r="N185" s="207"/>
      <c r="O185" s="207"/>
      <c r="P185" s="207"/>
      <c r="Q185" s="207"/>
      <c r="R185" s="207"/>
      <c r="S185" s="207"/>
    </row>
    <row r="186" spans="1:19" x14ac:dyDescent="0.35">
      <c r="B186" s="2">
        <f>C186/1000000</f>
        <v>26331.71605766979</v>
      </c>
      <c r="C186" s="2">
        <f>C187+C194</f>
        <v>26331716057.669788</v>
      </c>
      <c r="D186" s="2">
        <f>D187+D194</f>
        <v>18.200624999999999</v>
      </c>
      <c r="F186" s="2">
        <f>F187+F194</f>
        <v>24987394.86374101</v>
      </c>
      <c r="L186" s="2">
        <f>L187+L194</f>
        <v>19557299587.5</v>
      </c>
      <c r="O186" s="2">
        <f>O187+O194</f>
        <v>2044174542.7188492</v>
      </c>
      <c r="R186" s="2">
        <f>R187+R194</f>
        <v>1789802765.5448923</v>
      </c>
    </row>
    <row r="187" spans="1:19" x14ac:dyDescent="0.35">
      <c r="A187" s="219" t="s">
        <v>395</v>
      </c>
      <c r="B187" s="219">
        <v>935</v>
      </c>
      <c r="C187" s="220">
        <f>B187*F187</f>
        <v>15199834082.400003</v>
      </c>
      <c r="D187" s="308">
        <f>'[3]Scenaior 3 2040'!$N$11</f>
        <v>7.7656000000000001</v>
      </c>
      <c r="E187" s="219">
        <f>'[2]Conversion factors selected IV '!$O$50</f>
        <v>2.0934000000000004</v>
      </c>
      <c r="F187" s="219">
        <f>D187*E187*1000000</f>
        <v>16256507.040000003</v>
      </c>
      <c r="G187" s="219">
        <f>'LCoP 2040 high'!E13</f>
        <v>377.86968567880001</v>
      </c>
      <c r="H187" s="219">
        <f>G187*F187</f>
        <v>6142841205.4400005</v>
      </c>
      <c r="I187" s="226">
        <f>'LCoP 2040 high'!H13</f>
        <v>0.77240831096172546</v>
      </c>
      <c r="J187" s="219"/>
      <c r="K187" s="219"/>
      <c r="L187" s="219">
        <f>I187*H187</f>
        <v>4744781600</v>
      </c>
      <c r="M187" s="226">
        <f>'LCoP 2040 high'!F13</f>
        <v>0.15084565436257732</v>
      </c>
      <c r="N187" s="219"/>
      <c r="O187" s="219">
        <f>M187*H187</f>
        <v>926620901.28000021</v>
      </c>
      <c r="P187" s="226">
        <f>'LCoP 2040 high'!G13</f>
        <v>7.6746034675697239E-2</v>
      </c>
      <c r="Q187" s="219"/>
      <c r="R187" s="219">
        <f>P187*H187</f>
        <v>471438704.16000009</v>
      </c>
      <c r="S187" s="219"/>
    </row>
    <row r="188" spans="1:19" x14ac:dyDescent="0.35">
      <c r="E188" s="1"/>
      <c r="I188" s="15" t="s">
        <v>31</v>
      </c>
      <c r="J188" s="261" t="s">
        <v>210</v>
      </c>
      <c r="L188" s="2">
        <f>L187</f>
        <v>4744781600</v>
      </c>
      <c r="M188" s="5" t="s">
        <v>245</v>
      </c>
      <c r="N188" s="35">
        <v>0.2</v>
      </c>
      <c r="O188" s="2">
        <f>N188*O$187</f>
        <v>185324180.25600004</v>
      </c>
      <c r="P188" s="18" t="s">
        <v>251</v>
      </c>
      <c r="Q188" s="35">
        <v>0.35</v>
      </c>
      <c r="R188" s="2">
        <f>Q188*$R$187</f>
        <v>165003546.45600003</v>
      </c>
    </row>
    <row r="189" spans="1:19" x14ac:dyDescent="0.35">
      <c r="E189" s="1"/>
      <c r="M189" t="s">
        <v>246</v>
      </c>
      <c r="N189" s="35">
        <v>7.0000000000000007E-2</v>
      </c>
      <c r="O189" s="2">
        <f>N189*O$187</f>
        <v>64863463.089600019</v>
      </c>
      <c r="P189" s="18" t="s">
        <v>210</v>
      </c>
      <c r="Q189" s="35">
        <v>0.15</v>
      </c>
      <c r="R189" s="2">
        <f>Q189*$R$187</f>
        <v>70715805.624000013</v>
      </c>
    </row>
    <row r="190" spans="1:19" x14ac:dyDescent="0.35">
      <c r="E190" s="1"/>
      <c r="M190" s="5" t="s">
        <v>244</v>
      </c>
      <c r="N190" s="35">
        <v>0.4</v>
      </c>
      <c r="O190" s="2">
        <f>N190*O$187</f>
        <v>370648360.51200008</v>
      </c>
      <c r="P190" s="18" t="s">
        <v>252</v>
      </c>
      <c r="Q190" s="35">
        <v>0.12</v>
      </c>
      <c r="R190" s="2">
        <f>Q190*$R$187</f>
        <v>56572644.499200009</v>
      </c>
    </row>
    <row r="191" spans="1:19" x14ac:dyDescent="0.35">
      <c r="E191" s="1"/>
      <c r="M191" t="s">
        <v>247</v>
      </c>
      <c r="N191" s="35">
        <v>0.15</v>
      </c>
      <c r="O191" s="2">
        <f>N191*O$187</f>
        <v>138993135.19200003</v>
      </c>
      <c r="P191" s="18" t="s">
        <v>253</v>
      </c>
      <c r="Q191" s="35">
        <v>0.3</v>
      </c>
      <c r="R191" s="2">
        <f>Q191*$R$187</f>
        <v>141431611.24800003</v>
      </c>
    </row>
    <row r="192" spans="1:19" x14ac:dyDescent="0.35">
      <c r="E192" s="1"/>
      <c r="M192" t="s">
        <v>248</v>
      </c>
      <c r="N192" s="35">
        <v>0.15</v>
      </c>
      <c r="O192" s="2">
        <f>N192*O$187</f>
        <v>138993135.19200003</v>
      </c>
      <c r="P192" s="18" t="s">
        <v>254</v>
      </c>
      <c r="Q192" s="35">
        <v>0.08</v>
      </c>
      <c r="R192" s="2">
        <f>Q192*$R$187</f>
        <v>37715096.332800008</v>
      </c>
    </row>
    <row r="193" spans="1:19" x14ac:dyDescent="0.35">
      <c r="E193" s="1"/>
      <c r="M193" t="s">
        <v>250</v>
      </c>
      <c r="N193" s="35">
        <v>0.03</v>
      </c>
      <c r="O193" s="2">
        <f>N193*O$187</f>
        <v>27798627.038400006</v>
      </c>
      <c r="Q193">
        <f>SUM(Q188:Q192)</f>
        <v>0.99999999999999989</v>
      </c>
    </row>
    <row r="194" spans="1:19" x14ac:dyDescent="0.35">
      <c r="A194" s="219" t="s">
        <v>396</v>
      </c>
      <c r="B194" s="219">
        <v>1275</v>
      </c>
      <c r="C194" s="220">
        <f>B194*F194</f>
        <v>11131881975.269785</v>
      </c>
      <c r="D194" s="308">
        <f>'[3]Scenaior 3 2040'!$N$13</f>
        <v>10.435025</v>
      </c>
      <c r="E194" s="219">
        <f>'[2]Conversion factors selected IV '!$O$62</f>
        <v>0.83669064748201449</v>
      </c>
      <c r="F194" s="219">
        <f>D194*E194*1000000</f>
        <v>8730887.8237410076</v>
      </c>
      <c r="G194" s="219">
        <f>'LCoP 2040 high'!E15</f>
        <v>1975.5649183147032</v>
      </c>
      <c r="H194" s="219">
        <f>G194*F194</f>
        <v>17248435690.323742</v>
      </c>
      <c r="I194" s="226">
        <f>'LCoP 2040 high'!H15</f>
        <v>0.85877457257238266</v>
      </c>
      <c r="J194" s="219"/>
      <c r="K194" s="219"/>
      <c r="L194" s="219">
        <f>I194*H194</f>
        <v>14812517987.500002</v>
      </c>
      <c r="M194" s="226">
        <f>'LCoP 2040 high'!F15</f>
        <v>6.4791593945286829E-2</v>
      </c>
      <c r="N194" s="219"/>
      <c r="O194" s="219">
        <f>M194*H194</f>
        <v>1117553641.438849</v>
      </c>
      <c r="P194" s="226">
        <f>'LCoP 2040 high'!G15</f>
        <v>7.6433833482330557E-2</v>
      </c>
      <c r="Q194" s="219"/>
      <c r="R194" s="219">
        <f>P194*H194</f>
        <v>1318364061.3848922</v>
      </c>
      <c r="S194" s="219"/>
    </row>
    <row r="195" spans="1:19" x14ac:dyDescent="0.35">
      <c r="E195" s="1"/>
      <c r="I195" s="15" t="s">
        <v>31</v>
      </c>
      <c r="J195" s="261" t="s">
        <v>210</v>
      </c>
      <c r="L195" s="2">
        <f>L194</f>
        <v>14812517987.500002</v>
      </c>
      <c r="M195" s="5" t="s">
        <v>245</v>
      </c>
      <c r="N195" s="35">
        <v>0.2</v>
      </c>
      <c r="O195" s="2">
        <f>N195*O$194</f>
        <v>223510728.28776979</v>
      </c>
      <c r="P195" s="18" t="s">
        <v>251</v>
      </c>
      <c r="Q195" s="35">
        <v>0.35</v>
      </c>
      <c r="R195" s="2">
        <f>Q195*$R$194</f>
        <v>461427421.48471224</v>
      </c>
    </row>
    <row r="196" spans="1:19" x14ac:dyDescent="0.35">
      <c r="M196" t="s">
        <v>246</v>
      </c>
      <c r="N196" s="35">
        <v>7.0000000000000007E-2</v>
      </c>
      <c r="O196" s="2">
        <f>N196*O$194</f>
        <v>78228754.900719434</v>
      </c>
      <c r="P196" s="18" t="s">
        <v>210</v>
      </c>
      <c r="Q196" s="35">
        <v>0.15</v>
      </c>
      <c r="R196" s="2">
        <f>Q196*$R$194</f>
        <v>197754609.20773384</v>
      </c>
    </row>
    <row r="197" spans="1:19" x14ac:dyDescent="0.35">
      <c r="M197" s="5" t="s">
        <v>244</v>
      </c>
      <c r="N197" s="35">
        <v>0.4</v>
      </c>
      <c r="O197" s="2">
        <f>N197*O$194</f>
        <v>447021456.57553959</v>
      </c>
      <c r="P197" s="18" t="s">
        <v>252</v>
      </c>
      <c r="Q197" s="35">
        <v>0.12</v>
      </c>
      <c r="R197" s="2">
        <f>Q197*$R$194</f>
        <v>158203687.36618707</v>
      </c>
    </row>
    <row r="198" spans="1:19" x14ac:dyDescent="0.35">
      <c r="M198" t="s">
        <v>247</v>
      </c>
      <c r="N198" s="35">
        <v>0.15</v>
      </c>
      <c r="O198" s="2">
        <f>N198*O$194</f>
        <v>167633046.21582735</v>
      </c>
      <c r="P198" s="18" t="s">
        <v>253</v>
      </c>
      <c r="Q198" s="35">
        <v>0.3</v>
      </c>
      <c r="R198" s="2">
        <f>Q198*$R$194</f>
        <v>395509218.41546768</v>
      </c>
    </row>
    <row r="199" spans="1:19" x14ac:dyDescent="0.35">
      <c r="M199" t="s">
        <v>248</v>
      </c>
      <c r="N199" s="35">
        <v>0.15</v>
      </c>
      <c r="O199" s="2">
        <f>N199*O$194</f>
        <v>167633046.21582735</v>
      </c>
      <c r="P199" s="18" t="s">
        <v>254</v>
      </c>
      <c r="Q199" s="35">
        <v>0.08</v>
      </c>
      <c r="R199" s="2">
        <f>Q199*$R$194</f>
        <v>105469124.91079138</v>
      </c>
    </row>
    <row r="200" spans="1:19" x14ac:dyDescent="0.35">
      <c r="M200" t="s">
        <v>250</v>
      </c>
      <c r="N200" s="35">
        <v>0.03</v>
      </c>
      <c r="O200" s="2">
        <f>N200*O$194</f>
        <v>33526609.243165467</v>
      </c>
      <c r="Q200">
        <f>SUM(Q195:Q199)</f>
        <v>0.99999999999999989</v>
      </c>
    </row>
    <row r="201" spans="1:19" x14ac:dyDescent="0.35">
      <c r="O201" s="2">
        <f>SUM(O195:O200)</f>
        <v>1117553641.438849</v>
      </c>
      <c r="R201" s="2">
        <f>SUM(R195:R200)</f>
        <v>1318364061.3848922</v>
      </c>
    </row>
    <row r="203" spans="1:19" x14ac:dyDescent="0.35">
      <c r="I203" s="80" t="s">
        <v>214</v>
      </c>
      <c r="J203" s="80"/>
      <c r="K203" s="80"/>
      <c r="L203" s="92">
        <f>SUM(L204:L209)</f>
        <v>19557299587.5</v>
      </c>
      <c r="M203" s="80"/>
      <c r="N203" s="80"/>
      <c r="O203" s="92">
        <f>SUM(O204:O209)</f>
        <v>2044174542.7188492</v>
      </c>
      <c r="P203" s="80"/>
      <c r="Q203" s="80"/>
      <c r="R203" s="92">
        <f>SUM(R204:R209)</f>
        <v>1789802765.5448921</v>
      </c>
    </row>
    <row r="204" spans="1:19" x14ac:dyDescent="0.35">
      <c r="J204" s="261" t="s">
        <v>210</v>
      </c>
      <c r="L204" s="2">
        <f>L188+L195</f>
        <v>19557299587.5</v>
      </c>
      <c r="M204" s="5" t="s">
        <v>245</v>
      </c>
      <c r="O204">
        <f>SUMIF($M$188:$M$200, M204, $O$188:$O$200)</f>
        <v>408834908.54376984</v>
      </c>
      <c r="P204" s="18" t="s">
        <v>251</v>
      </c>
      <c r="R204">
        <f>SUMIF($P$188:$P$199, P204, $R$188:$R$199)</f>
        <v>626430967.94071221</v>
      </c>
    </row>
    <row r="205" spans="1:19" x14ac:dyDescent="0.35">
      <c r="M205" t="s">
        <v>246</v>
      </c>
      <c r="O205">
        <f>SUMIF($M$188:$M$200, M205, $O$188:$O$200)</f>
        <v>143092217.99031946</v>
      </c>
      <c r="P205" s="18" t="s">
        <v>210</v>
      </c>
      <c r="R205">
        <f>SUMIF($P$188:$P$199, P205, $R$188:$R$199)</f>
        <v>268470414.83173382</v>
      </c>
    </row>
    <row r="206" spans="1:19" x14ac:dyDescent="0.35">
      <c r="M206" s="5" t="s">
        <v>244</v>
      </c>
      <c r="O206">
        <f>SUMIF($M$188:$M$200, M206, $O$188:$O$200)</f>
        <v>817669817.08753967</v>
      </c>
      <c r="P206" s="18" t="s">
        <v>252</v>
      </c>
      <c r="R206">
        <f>SUMIF($P$188:$P$199, P206, $R$188:$R$199)</f>
        <v>214776331.86538708</v>
      </c>
    </row>
    <row r="207" spans="1:19" x14ac:dyDescent="0.35">
      <c r="M207" t="s">
        <v>247</v>
      </c>
      <c r="O207">
        <f>SUMIF($M$188:$M$200, M207, $O$188:$O$200)</f>
        <v>306626181.40782738</v>
      </c>
      <c r="P207" s="18" t="s">
        <v>253</v>
      </c>
      <c r="R207">
        <f>SUMIF($P$188:$P$199, P207, $R$188:$R$199)</f>
        <v>536940829.66346765</v>
      </c>
    </row>
    <row r="208" spans="1:19" x14ac:dyDescent="0.35">
      <c r="M208" t="s">
        <v>248</v>
      </c>
      <c r="O208">
        <f>SUMIF($M$188:$M$200, M208, $O$188:$O$200)</f>
        <v>306626181.40782738</v>
      </c>
      <c r="P208" s="18" t="s">
        <v>254</v>
      </c>
      <c r="R208">
        <f>SUMIF($P$188:$P$199, P208, $R$188:$R$199)</f>
        <v>143184221.2435914</v>
      </c>
    </row>
    <row r="209" spans="1:18" x14ac:dyDescent="0.35">
      <c r="M209" t="s">
        <v>250</v>
      </c>
      <c r="O209">
        <f>SUMIF($M$188:$M$200, M209, $O$188:$O$200)</f>
        <v>61325236.281565472</v>
      </c>
    </row>
    <row r="210" spans="1:18" s="207" customFormat="1" ht="32.5" customHeight="1" x14ac:dyDescent="0.35">
      <c r="A210" s="246" t="s">
        <v>366</v>
      </c>
      <c r="B210" s="246"/>
      <c r="C210" s="246"/>
      <c r="F210" s="215"/>
    </row>
    <row r="211" spans="1:18" x14ac:dyDescent="0.35">
      <c r="D211" s="2"/>
      <c r="E211" s="2">
        <f t="shared" ref="E211:F211" si="50">E213+E232+E240</f>
        <v>5.7168927108927114</v>
      </c>
      <c r="F211" s="2">
        <f t="shared" si="50"/>
        <v>0</v>
      </c>
    </row>
    <row r="212" spans="1:18" s="158" customFormat="1" ht="29.5" customHeight="1" x14ac:dyDescent="0.35">
      <c r="A212" s="158" t="s">
        <v>259</v>
      </c>
      <c r="F212" s="247"/>
    </row>
    <row r="213" spans="1:18" ht="17.5" customHeight="1" x14ac:dyDescent="0.35">
      <c r="D213" s="2">
        <f>D214+D222+D229</f>
        <v>0</v>
      </c>
      <c r="E213" s="2">
        <f t="shared" ref="E213:F213" si="51">E214+E222+E229</f>
        <v>3.2146805896805897</v>
      </c>
      <c r="F213" s="2">
        <f t="shared" si="51"/>
        <v>0</v>
      </c>
    </row>
    <row r="214" spans="1:18" s="119" customFormat="1" x14ac:dyDescent="0.35">
      <c r="A214" s="119" t="s">
        <v>305</v>
      </c>
      <c r="E214" s="119">
        <f>'[2]Conversion factors selected IV '!$O$4</f>
        <v>1.1315675675675676</v>
      </c>
      <c r="F214" s="119">
        <f>D214*E214*1000000</f>
        <v>0</v>
      </c>
      <c r="G214" s="119">
        <v>629</v>
      </c>
      <c r="H214" s="119">
        <f>G214*F214</f>
        <v>0</v>
      </c>
      <c r="I214" s="119">
        <v>0.75</v>
      </c>
      <c r="K214" s="119">
        <f>I214*G214</f>
        <v>471.75</v>
      </c>
      <c r="L214" s="119">
        <f>I214*H214</f>
        <v>0</v>
      </c>
      <c r="M214" s="119">
        <v>6.5000000000000002E-2</v>
      </c>
      <c r="O214" s="119">
        <f>M214*H214</f>
        <v>0</v>
      </c>
      <c r="P214" s="119">
        <v>0.185</v>
      </c>
      <c r="R214" s="119">
        <f>P214*H214</f>
        <v>0</v>
      </c>
    </row>
    <row r="215" spans="1:18" x14ac:dyDescent="0.35">
      <c r="D215" s="2"/>
      <c r="H215" s="209" t="s">
        <v>292</v>
      </c>
      <c r="I215" s="18" t="s">
        <v>260</v>
      </c>
      <c r="J215" s="161" t="s">
        <v>211</v>
      </c>
      <c r="K215" s="112">
        <f>'Feedtstocks only CONVENTIONAL'!$J$4</f>
        <v>0.76052615016678204</v>
      </c>
      <c r="L215" s="2">
        <f>K215*F$214</f>
        <v>0</v>
      </c>
      <c r="M215" t="s">
        <v>296</v>
      </c>
      <c r="N215" s="61">
        <v>0.45</v>
      </c>
      <c r="O215" s="2">
        <f>N215*O$214</f>
        <v>0</v>
      </c>
      <c r="P215" t="s">
        <v>298</v>
      </c>
      <c r="Q215" s="61">
        <v>0.3</v>
      </c>
      <c r="R215" s="2">
        <f>Q215*R$214</f>
        <v>0</v>
      </c>
    </row>
    <row r="216" spans="1:18" x14ac:dyDescent="0.35">
      <c r="D216" s="2"/>
      <c r="H216" s="208" t="s">
        <v>290</v>
      </c>
      <c r="I216" s="18" t="s">
        <v>261</v>
      </c>
      <c r="J216" s="161" t="s">
        <v>211</v>
      </c>
      <c r="K216" s="112">
        <f>'Feedtstocks only CONVENTIONAL'!$J$5</f>
        <v>0.16011076845616465</v>
      </c>
      <c r="L216" s="2">
        <f t="shared" ref="L216:L218" si="52">K216*F$214</f>
        <v>0</v>
      </c>
      <c r="M216" t="s">
        <v>297</v>
      </c>
      <c r="N216" s="61">
        <v>0.3</v>
      </c>
      <c r="O216" s="2">
        <f t="shared" ref="O216:O219" si="53">N216*O$214</f>
        <v>0</v>
      </c>
      <c r="P216" t="s">
        <v>299</v>
      </c>
      <c r="Q216" s="61">
        <v>0.2</v>
      </c>
      <c r="R216" s="2">
        <f t="shared" ref="R216:R219" si="54">Q216*R$214</f>
        <v>0</v>
      </c>
    </row>
    <row r="217" spans="1:18" x14ac:dyDescent="0.35">
      <c r="D217" s="2"/>
      <c r="H217" s="209" t="s">
        <v>292</v>
      </c>
      <c r="I217" s="18" t="s">
        <v>263</v>
      </c>
      <c r="J217" s="161" t="s">
        <v>211</v>
      </c>
      <c r="K217" s="112">
        <f>'Feedtstocks only CONVENTIONAL'!$J$6</f>
        <v>4.0027692114041162E-2</v>
      </c>
      <c r="L217" s="2">
        <f t="shared" si="52"/>
        <v>0</v>
      </c>
      <c r="M217" t="s">
        <v>247</v>
      </c>
      <c r="N217" s="61">
        <v>0.15</v>
      </c>
      <c r="O217" s="2">
        <f t="shared" si="53"/>
        <v>0</v>
      </c>
      <c r="P217" t="s">
        <v>252</v>
      </c>
      <c r="Q217" s="61">
        <v>0.25</v>
      </c>
      <c r="R217" s="2">
        <f t="shared" si="54"/>
        <v>0</v>
      </c>
    </row>
    <row r="218" spans="1:18" x14ac:dyDescent="0.35">
      <c r="D218" s="2"/>
      <c r="H218" s="208" t="s">
        <v>290</v>
      </c>
      <c r="I218" s="18" t="s">
        <v>262</v>
      </c>
      <c r="J218" s="161" t="s">
        <v>211</v>
      </c>
      <c r="K218" s="112">
        <f>'Feedtstocks only CONVENTIONAL'!$J$7</f>
        <v>3.9335389263012145E-2</v>
      </c>
      <c r="L218" s="2">
        <f t="shared" si="52"/>
        <v>0</v>
      </c>
      <c r="M218" t="s">
        <v>245</v>
      </c>
      <c r="N218" s="61">
        <v>7.0000000000000007E-2</v>
      </c>
      <c r="O218" s="2">
        <f t="shared" si="53"/>
        <v>0</v>
      </c>
      <c r="P218" t="s">
        <v>300</v>
      </c>
      <c r="Q218" s="61">
        <v>0.15</v>
      </c>
      <c r="R218" s="2">
        <f t="shared" si="54"/>
        <v>0</v>
      </c>
    </row>
    <row r="219" spans="1:18" x14ac:dyDescent="0.35">
      <c r="D219" s="2"/>
      <c r="L219" s="2">
        <f>SUM(L215:L218)</f>
        <v>0</v>
      </c>
      <c r="M219" t="s">
        <v>250</v>
      </c>
      <c r="N219" s="61">
        <v>0.03</v>
      </c>
      <c r="O219" s="2">
        <f t="shared" si="53"/>
        <v>0</v>
      </c>
      <c r="P219" s="18" t="s">
        <v>254</v>
      </c>
      <c r="Q219" s="61">
        <v>0.1</v>
      </c>
      <c r="R219" s="2">
        <f t="shared" si="54"/>
        <v>0</v>
      </c>
    </row>
    <row r="220" spans="1:18" x14ac:dyDescent="0.35">
      <c r="D220" s="2"/>
      <c r="O220" s="2">
        <f>SUM(O215:O219)</f>
        <v>0</v>
      </c>
      <c r="P220" t="s">
        <v>213</v>
      </c>
      <c r="Q220" s="61">
        <v>0</v>
      </c>
      <c r="R220" s="2">
        <f t="shared" ref="R220" si="55">Q220*R219</f>
        <v>0</v>
      </c>
    </row>
    <row r="221" spans="1:18" s="122" customFormat="1" x14ac:dyDescent="0.35"/>
    <row r="222" spans="1:18" s="119" customFormat="1" x14ac:dyDescent="0.35">
      <c r="A222" s="119" t="s">
        <v>373</v>
      </c>
      <c r="E222" s="119">
        <f>'[2]Conversion factors selected IV '!$O$7</f>
        <v>0.95154545454545458</v>
      </c>
      <c r="F222" s="119">
        <f>D222*E222*1000000</f>
        <v>0</v>
      </c>
      <c r="G222" s="119">
        <f>K222/7*10</f>
        <v>0</v>
      </c>
      <c r="H222" s="119">
        <f>G222*F222</f>
        <v>0</v>
      </c>
      <c r="I222" s="119">
        <v>0.7</v>
      </c>
      <c r="K222" s="119">
        <f>'Feedtstocks only CONVENTIONAL'!I82</f>
        <v>0</v>
      </c>
      <c r="L222" s="119">
        <f>I222*H222</f>
        <v>0</v>
      </c>
      <c r="M222" s="119">
        <v>0.1</v>
      </c>
      <c r="O222" s="119">
        <f>M222*H222</f>
        <v>0</v>
      </c>
      <c r="P222" s="119">
        <v>0.2</v>
      </c>
      <c r="R222" s="119">
        <f>P222*H222</f>
        <v>0</v>
      </c>
    </row>
    <row r="223" spans="1:18" x14ac:dyDescent="0.35">
      <c r="D223" s="2"/>
      <c r="I223" s="18" t="s">
        <v>260</v>
      </c>
      <c r="J223" s="161" t="s">
        <v>211</v>
      </c>
      <c r="M223" t="s">
        <v>296</v>
      </c>
      <c r="N223" s="61">
        <v>0.55000000000000004</v>
      </c>
      <c r="P223" t="s">
        <v>298</v>
      </c>
      <c r="Q223" s="61">
        <v>0.4</v>
      </c>
    </row>
    <row r="224" spans="1:18" x14ac:dyDescent="0.35">
      <c r="D224" s="2"/>
      <c r="I224" s="18" t="s">
        <v>261</v>
      </c>
      <c r="J224" s="161" t="s">
        <v>211</v>
      </c>
      <c r="M224" t="s">
        <v>297</v>
      </c>
      <c r="N224" s="61">
        <v>0.25</v>
      </c>
      <c r="P224" t="s">
        <v>299</v>
      </c>
      <c r="Q224" s="61">
        <v>0.2</v>
      </c>
    </row>
    <row r="225" spans="1:17" x14ac:dyDescent="0.35">
      <c r="D225" s="2"/>
      <c r="I225" s="18" t="s">
        <v>263</v>
      </c>
      <c r="J225" s="161" t="s">
        <v>211</v>
      </c>
      <c r="M225" t="s">
        <v>247</v>
      </c>
      <c r="N225" s="61">
        <v>0.1</v>
      </c>
      <c r="P225" t="s">
        <v>252</v>
      </c>
      <c r="Q225" s="61">
        <v>0.2</v>
      </c>
    </row>
    <row r="226" spans="1:17" x14ac:dyDescent="0.35">
      <c r="D226" s="2"/>
      <c r="I226" s="18" t="s">
        <v>262</v>
      </c>
      <c r="J226" s="161" t="s">
        <v>211</v>
      </c>
      <c r="M226" t="s">
        <v>245</v>
      </c>
      <c r="N226" s="61">
        <v>7.0000000000000007E-2</v>
      </c>
      <c r="P226" t="s">
        <v>300</v>
      </c>
      <c r="Q226" s="61">
        <v>0.15</v>
      </c>
    </row>
    <row r="227" spans="1:17" x14ac:dyDescent="0.35">
      <c r="D227" s="2"/>
      <c r="M227" t="s">
        <v>250</v>
      </c>
      <c r="N227" s="61">
        <v>0.03</v>
      </c>
      <c r="P227" s="216" t="s">
        <v>254</v>
      </c>
      <c r="Q227" s="61">
        <v>0.05</v>
      </c>
    </row>
    <row r="228" spans="1:17" x14ac:dyDescent="0.35">
      <c r="D228" s="2"/>
      <c r="P228" t="s">
        <v>213</v>
      </c>
      <c r="Q228" s="61">
        <v>0</v>
      </c>
    </row>
    <row r="229" spans="1:17" s="119" customFormat="1" x14ac:dyDescent="0.35">
      <c r="A229" s="119" t="s">
        <v>282</v>
      </c>
      <c r="E229" s="119">
        <f>'[2]Conversion factors selected IV '!$O$4</f>
        <v>1.1315675675675676</v>
      </c>
      <c r="F229" s="119">
        <f>D229*E229*1000000</f>
        <v>0</v>
      </c>
    </row>
    <row r="231" spans="1:17" s="158" customFormat="1" ht="29" customHeight="1" x14ac:dyDescent="0.35">
      <c r="A231" s="158" t="s">
        <v>371</v>
      </c>
    </row>
    <row r="232" spans="1:17" x14ac:dyDescent="0.35">
      <c r="D232" s="2"/>
      <c r="E232" s="2">
        <f>E233</f>
        <v>1.5506666666666669</v>
      </c>
      <c r="F232" s="2">
        <f>F233</f>
        <v>0</v>
      </c>
    </row>
    <row r="233" spans="1:17" x14ac:dyDescent="0.35">
      <c r="A233" t="s">
        <v>372</v>
      </c>
      <c r="D233" s="2"/>
      <c r="E233">
        <f>'[2]Conversion factors selected IV '!$O$17</f>
        <v>1.5506666666666669</v>
      </c>
      <c r="F233" s="1">
        <f>D233*E233*1000000</f>
        <v>0</v>
      </c>
    </row>
    <row r="234" spans="1:17" x14ac:dyDescent="0.35">
      <c r="D234" s="2"/>
    </row>
    <row r="235" spans="1:17" x14ac:dyDescent="0.35">
      <c r="D235" s="2"/>
    </row>
    <row r="236" spans="1:17" x14ac:dyDescent="0.35">
      <c r="D236" s="2"/>
    </row>
    <row r="237" spans="1:17" x14ac:dyDescent="0.35">
      <c r="D237" s="2"/>
    </row>
    <row r="238" spans="1:17" x14ac:dyDescent="0.35">
      <c r="D238" s="2"/>
    </row>
    <row r="239" spans="1:17" s="158" customFormat="1" ht="29.5" customHeight="1" x14ac:dyDescent="0.35">
      <c r="A239" s="158" t="s">
        <v>386</v>
      </c>
      <c r="F239" s="247"/>
    </row>
    <row r="240" spans="1:17" x14ac:dyDescent="0.35">
      <c r="D240" s="2"/>
      <c r="E240" s="2">
        <f t="shared" ref="E240:F240" si="56">E241</f>
        <v>0.95154545454545458</v>
      </c>
      <c r="F240" s="2">
        <f t="shared" si="56"/>
        <v>0</v>
      </c>
    </row>
    <row r="241" spans="1:6" s="119" customFormat="1" x14ac:dyDescent="0.35">
      <c r="A241" s="119" t="s">
        <v>367</v>
      </c>
      <c r="E241" s="119">
        <f>'[2]Conversion factors selected IV '!$O$7</f>
        <v>0.95154545454545458</v>
      </c>
      <c r="F241" s="119">
        <f>D241*E241*1000000</f>
        <v>0</v>
      </c>
    </row>
  </sheetData>
  <pageMargins left="0.7" right="0.7" top="0.78740157499999996" bottom="0.78740157499999996"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F974-B8C5-4128-81B8-F3F12C366C80}">
  <dimension ref="A1:L25"/>
  <sheetViews>
    <sheetView workbookViewId="0">
      <selection activeCell="D11" sqref="D11"/>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2" s="51" customFormat="1" ht="21" customHeight="1" x14ac:dyDescent="0.35">
      <c r="A1" s="51" t="s">
        <v>128</v>
      </c>
      <c r="B1" s="51" t="s">
        <v>193</v>
      </c>
      <c r="C1" s="51" t="s">
        <v>194</v>
      </c>
      <c r="D1" s="51" t="s">
        <v>200</v>
      </c>
      <c r="E1" s="51" t="s">
        <v>199</v>
      </c>
      <c r="F1" s="51" t="s">
        <v>201</v>
      </c>
      <c r="G1" s="51" t="s">
        <v>196</v>
      </c>
      <c r="H1" s="51" t="s">
        <v>197</v>
      </c>
      <c r="I1" s="51" t="s">
        <v>145</v>
      </c>
      <c r="J1" s="51" t="s">
        <v>167</v>
      </c>
      <c r="K1" s="51" t="s">
        <v>414</v>
      </c>
      <c r="L1" s="51" t="s">
        <v>413</v>
      </c>
    </row>
    <row r="2" spans="1:12" s="52" customFormat="1" x14ac:dyDescent="0.35">
      <c r="A2" s="89" t="s">
        <v>434</v>
      </c>
      <c r="B2" s="104">
        <f>'CAPEX only'!K3</f>
        <v>83</v>
      </c>
      <c r="C2" s="91">
        <f>'OPEX only'!$E$3</f>
        <v>267</v>
      </c>
      <c r="D2" s="91">
        <f>'Feedstock MIX per IVC'!G3</f>
        <v>1000</v>
      </c>
      <c r="E2" s="112">
        <f t="shared" ref="E2:E11" si="0">B2+C2+D2</f>
        <v>1350</v>
      </c>
      <c r="F2" s="289">
        <f t="shared" ref="F2:F25" si="1">B2/E2</f>
        <v>6.1481481481481484E-2</v>
      </c>
      <c r="G2" s="289">
        <f t="shared" ref="G2:G25" si="2">C2/E2</f>
        <v>0.19777777777777777</v>
      </c>
      <c r="H2" s="289">
        <f>D2/E2</f>
        <v>0.7407407407407407</v>
      </c>
      <c r="I2" s="52">
        <f>(83+267+903)-1226</f>
        <v>27</v>
      </c>
      <c r="J2" s="90">
        <f t="shared" ref="J2:J9" si="3">B2+C2+D2-I2</f>
        <v>1323</v>
      </c>
      <c r="K2" s="52" t="s">
        <v>415</v>
      </c>
      <c r="L2" s="52" t="s">
        <v>416</v>
      </c>
    </row>
    <row r="3" spans="1:12" x14ac:dyDescent="0.35">
      <c r="A3" t="s">
        <v>131</v>
      </c>
      <c r="B3" s="104">
        <f>'CAPEX only'!$K$4</f>
        <v>269</v>
      </c>
      <c r="C3" s="6">
        <f>'OPEX only'!$E$4</f>
        <v>405</v>
      </c>
      <c r="D3" s="6">
        <f>'Feedstock MIX per IVC'!G5</f>
        <v>613.68345125123074</v>
      </c>
      <c r="E3" s="112">
        <f t="shared" si="0"/>
        <v>1287.6834512512307</v>
      </c>
      <c r="F3" s="289">
        <f t="shared" si="1"/>
        <v>0.20890227310028334</v>
      </c>
      <c r="G3" s="289">
        <f t="shared" si="2"/>
        <v>0.31451829221418126</v>
      </c>
      <c r="H3" s="289">
        <f t="shared" ref="H3:H25" si="4">D3/E3</f>
        <v>0.47657943468553543</v>
      </c>
      <c r="I3">
        <f>(269+405+1342)-1218</f>
        <v>798</v>
      </c>
      <c r="J3" s="2">
        <f>B3+C3+D3-I3</f>
        <v>489.68345125123074</v>
      </c>
      <c r="K3" t="s">
        <v>417</v>
      </c>
      <c r="L3" s="52" t="s">
        <v>416</v>
      </c>
    </row>
    <row r="4" spans="1:12" x14ac:dyDescent="0.35">
      <c r="A4" t="s">
        <v>130</v>
      </c>
      <c r="B4" s="104">
        <f>'CAPEX only'!K5</f>
        <v>376</v>
      </c>
      <c r="C4" s="6">
        <f>'OPEX only'!E5</f>
        <v>566</v>
      </c>
      <c r="D4" s="6">
        <f>'Feedstock MIX per IVC'!G8</f>
        <v>869.29439932891864</v>
      </c>
      <c r="E4" s="112">
        <f t="shared" si="0"/>
        <v>1811.2943993289186</v>
      </c>
      <c r="F4" s="289">
        <f t="shared" si="1"/>
        <v>0.20758635379169027</v>
      </c>
      <c r="G4" s="289">
        <f t="shared" si="2"/>
        <v>0.31248371342046993</v>
      </c>
      <c r="H4" s="289">
        <f t="shared" si="4"/>
        <v>0.47992993278783985</v>
      </c>
      <c r="I4">
        <f>(376+566+1961)-1844</f>
        <v>1059</v>
      </c>
      <c r="J4" s="2">
        <f t="shared" si="3"/>
        <v>752.29439932891864</v>
      </c>
    </row>
    <row r="5" spans="1:12" x14ac:dyDescent="0.35">
      <c r="A5" t="s">
        <v>132</v>
      </c>
      <c r="B5" s="104">
        <f>'CAPEX only'!K6</f>
        <v>555</v>
      </c>
      <c r="C5" s="6">
        <f>'OPEX only'!E6</f>
        <v>516</v>
      </c>
      <c r="D5" s="6">
        <f>'Feedstock MIX per IVC'!G12</f>
        <v>314.42524032703489</v>
      </c>
      <c r="E5" s="112">
        <f>B5+C5+D5</f>
        <v>1385.4252403270348</v>
      </c>
      <c r="F5" s="289">
        <f t="shared" si="1"/>
        <v>0.40059902464963765</v>
      </c>
      <c r="G5" s="289">
        <f t="shared" si="2"/>
        <v>0.37244882291750098</v>
      </c>
      <c r="H5" s="289">
        <f>D5/E5</f>
        <v>0.22695215243286143</v>
      </c>
      <c r="I5">
        <f>(555+516+472)-1543</f>
        <v>0</v>
      </c>
      <c r="J5" s="2">
        <f>B5+C5+D5-I5</f>
        <v>1385.4252403270348</v>
      </c>
    </row>
    <row r="6" spans="1:12" s="52" customFormat="1" x14ac:dyDescent="0.35">
      <c r="A6" s="52" t="s">
        <v>133</v>
      </c>
      <c r="B6" s="90">
        <f>'CAPEX only'!K7</f>
        <v>1892</v>
      </c>
      <c r="C6" s="91">
        <v>1421</v>
      </c>
      <c r="D6" s="91">
        <f>'Feedstock MIX per IVC'!G17</f>
        <v>0</v>
      </c>
      <c r="E6" s="91">
        <f t="shared" si="0"/>
        <v>3313</v>
      </c>
      <c r="F6" s="290">
        <f t="shared" si="1"/>
        <v>0.57108361002112884</v>
      </c>
      <c r="G6" s="290">
        <f t="shared" si="2"/>
        <v>0.4289163899788711</v>
      </c>
      <c r="H6" s="290">
        <f t="shared" si="4"/>
        <v>0</v>
      </c>
      <c r="I6" s="52">
        <f>(1892+1421+1086)-3855</f>
        <v>544</v>
      </c>
      <c r="J6" s="90">
        <f t="shared" si="3"/>
        <v>2769</v>
      </c>
    </row>
    <row r="7" spans="1:12" x14ac:dyDescent="0.35">
      <c r="A7" s="293">
        <v>6</v>
      </c>
      <c r="B7" s="294">
        <f>'CAPEX only'!K8</f>
        <v>0</v>
      </c>
      <c r="C7" s="295">
        <f>'OPEX only'!E8</f>
        <v>0</v>
      </c>
      <c r="D7" s="295">
        <f>'Feedstock MIX per IVC'!G22</f>
        <v>205.19148936170214</v>
      </c>
      <c r="E7" s="295">
        <f t="shared" si="0"/>
        <v>205.19148936170214</v>
      </c>
      <c r="F7" s="296">
        <f t="shared" si="1"/>
        <v>0</v>
      </c>
      <c r="G7" s="296">
        <f t="shared" si="2"/>
        <v>0</v>
      </c>
      <c r="H7" s="296">
        <f t="shared" si="4"/>
        <v>1</v>
      </c>
      <c r="I7" s="149"/>
      <c r="J7" s="294">
        <f t="shared" si="3"/>
        <v>205.19148936170214</v>
      </c>
    </row>
    <row r="8" spans="1:12" x14ac:dyDescent="0.35">
      <c r="A8" s="50" t="s">
        <v>142</v>
      </c>
      <c r="B8" s="104">
        <f>'CAPEX only'!K10</f>
        <v>605</v>
      </c>
      <c r="C8" s="6">
        <f>'OPEX only'!E9</f>
        <v>913</v>
      </c>
      <c r="D8" s="6">
        <f>'Feedstock MIX per IVC'!G24</f>
        <v>-21.081531577440508</v>
      </c>
      <c r="E8" s="112">
        <f t="shared" si="0"/>
        <v>1496.9184684225595</v>
      </c>
      <c r="F8" s="289">
        <f t="shared" si="1"/>
        <v>0.4041636286561045</v>
      </c>
      <c r="G8" s="289">
        <f t="shared" si="2"/>
        <v>0.60991965779012136</v>
      </c>
      <c r="H8" s="289">
        <f t="shared" si="4"/>
        <v>-1.4083286446225795E-2</v>
      </c>
      <c r="I8">
        <f>(965+913-525)-1354</f>
        <v>-1</v>
      </c>
      <c r="J8" s="2">
        <f t="shared" si="3"/>
        <v>1497.9184684225595</v>
      </c>
      <c r="L8" s="24" t="s">
        <v>183</v>
      </c>
    </row>
    <row r="9" spans="1:12" x14ac:dyDescent="0.35">
      <c r="A9" s="50" t="s">
        <v>143</v>
      </c>
      <c r="B9" s="104">
        <f>'CAPEX only'!K10</f>
        <v>605</v>
      </c>
      <c r="C9" s="6">
        <f>'OPEX only'!E10</f>
        <v>388</v>
      </c>
      <c r="D9" s="6">
        <f>'Feedstock MIX per IVC'!G24</f>
        <v>-21.081531577440508</v>
      </c>
      <c r="E9" s="112">
        <f t="shared" si="0"/>
        <v>971.9184684225595</v>
      </c>
      <c r="F9" s="289">
        <f t="shared" si="1"/>
        <v>0.62248019731729709</v>
      </c>
      <c r="G9" s="289">
        <f t="shared" si="2"/>
        <v>0.39921044059357236</v>
      </c>
      <c r="H9" s="289">
        <f t="shared" si="4"/>
        <v>-2.1690637910869417E-2</v>
      </c>
      <c r="I9">
        <f>(605+388+799)-1791</f>
        <v>1</v>
      </c>
      <c r="J9" s="2">
        <f t="shared" si="3"/>
        <v>970.9184684225595</v>
      </c>
    </row>
    <row r="10" spans="1:12" x14ac:dyDescent="0.35">
      <c r="A10" s="50" t="s">
        <v>182</v>
      </c>
      <c r="B10" s="104">
        <v>605</v>
      </c>
      <c r="C10" s="6">
        <f>0.1*C8+0.9*C9</f>
        <v>440.5</v>
      </c>
      <c r="D10" s="6">
        <f>D9</f>
        <v>-21.081531577440508</v>
      </c>
      <c r="E10" s="112">
        <f t="shared" si="0"/>
        <v>1024.4184684225595</v>
      </c>
      <c r="F10" s="289">
        <f t="shared" si="1"/>
        <v>0.59057896616370376</v>
      </c>
      <c r="G10" s="289">
        <f t="shared" si="2"/>
        <v>0.43000005718200252</v>
      </c>
      <c r="H10" s="289">
        <f t="shared" si="4"/>
        <v>-2.0579023345706264E-2</v>
      </c>
      <c r="I10">
        <v>0</v>
      </c>
      <c r="J10" s="2">
        <f>0.1*J8+0.9*J9</f>
        <v>1023.6184684225595</v>
      </c>
    </row>
    <row r="11" spans="1:12" x14ac:dyDescent="0.35">
      <c r="A11" s="50" t="s">
        <v>134</v>
      </c>
      <c r="B11" s="104">
        <f>'CAPEX only'!K11</f>
        <v>281</v>
      </c>
      <c r="C11" s="6">
        <f>'OPEX only'!E11</f>
        <v>186</v>
      </c>
      <c r="D11" s="6">
        <f>'Feedstock MIX per IVC'!G34</f>
        <v>119.19733156917282</v>
      </c>
      <c r="E11" s="112">
        <f t="shared" si="0"/>
        <v>586.19733156917277</v>
      </c>
      <c r="F11" s="289">
        <f t="shared" si="1"/>
        <v>0.47936076277897777</v>
      </c>
      <c r="G11" s="289">
        <f t="shared" si="2"/>
        <v>0.31729929493555109</v>
      </c>
      <c r="H11" s="289">
        <f t="shared" si="4"/>
        <v>0.2033399422854712</v>
      </c>
      <c r="I11">
        <f>(281+186+200)-668</f>
        <v>-1</v>
      </c>
      <c r="J11" s="2">
        <f>B11+C11+D11-I11</f>
        <v>587.19733156917277</v>
      </c>
    </row>
    <row r="12" spans="1:12" x14ac:dyDescent="0.35">
      <c r="A12" s="50" t="s">
        <v>135</v>
      </c>
      <c r="B12" s="104">
        <v>136</v>
      </c>
      <c r="C12" s="6">
        <v>92</v>
      </c>
      <c r="D12" s="6">
        <f>E12-B12-C12</f>
        <v>708</v>
      </c>
      <c r="E12" s="104">
        <v>936</v>
      </c>
      <c r="F12" s="289">
        <f t="shared" si="1"/>
        <v>0.14529914529914531</v>
      </c>
      <c r="G12" s="289">
        <f t="shared" si="2"/>
        <v>9.8290598290598288E-2</v>
      </c>
      <c r="H12" s="289">
        <f t="shared" si="4"/>
        <v>0.75641025641025639</v>
      </c>
      <c r="I12">
        <v>0</v>
      </c>
      <c r="J12" s="2">
        <v>936</v>
      </c>
      <c r="L12" t="s">
        <v>351</v>
      </c>
    </row>
    <row r="13" spans="1:12" x14ac:dyDescent="0.35">
      <c r="A13" s="50" t="s">
        <v>136</v>
      </c>
      <c r="B13" s="104">
        <f>'CAPEX only'!K13</f>
        <v>57</v>
      </c>
      <c r="C13" s="6">
        <f>'OPEX only'!E13</f>
        <v>29</v>
      </c>
      <c r="D13" s="6">
        <f>'Feedstock MIX per IVC'!G47</f>
        <v>291.86968567880001</v>
      </c>
      <c r="E13" s="112">
        <f>B13+C13+D13</f>
        <v>377.86968567880001</v>
      </c>
      <c r="F13" s="289">
        <f t="shared" si="1"/>
        <v>0.15084565436257732</v>
      </c>
      <c r="G13" s="289">
        <f t="shared" si="2"/>
        <v>7.6746034675697239E-2</v>
      </c>
      <c r="H13" s="289">
        <f>D13/E13</f>
        <v>0.77240831096172546</v>
      </c>
      <c r="I13">
        <f>(57+29+427)-513</f>
        <v>0</v>
      </c>
      <c r="J13" s="2"/>
    </row>
    <row r="14" spans="1:12" x14ac:dyDescent="0.35">
      <c r="A14" s="50" t="s">
        <v>137</v>
      </c>
      <c r="B14" s="104">
        <f>'CAPEX only'!K14</f>
        <v>800</v>
      </c>
      <c r="C14" s="6">
        <f>'OPEX only'!E14</f>
        <v>360</v>
      </c>
      <c r="D14" s="6">
        <f>'Feedstock MIX per IVC'!G49</f>
        <v>209.47991449249633</v>
      </c>
      <c r="E14" s="112">
        <f t="shared" ref="E13:E25" si="5">B14+C14+D14</f>
        <v>1369.4799144924964</v>
      </c>
      <c r="F14" s="289">
        <f t="shared" si="1"/>
        <v>0.58416336854160067</v>
      </c>
      <c r="G14" s="289">
        <f t="shared" si="2"/>
        <v>0.26287351584372032</v>
      </c>
      <c r="H14" s="289">
        <f t="shared" si="4"/>
        <v>0.15296311561467893</v>
      </c>
      <c r="I14">
        <f>(800+360+446)-1606</f>
        <v>0</v>
      </c>
      <c r="J14" s="2">
        <f>B14+C14+D14-I14</f>
        <v>1369.4799144924964</v>
      </c>
    </row>
    <row r="15" spans="1:12" x14ac:dyDescent="0.35">
      <c r="A15" s="50" t="s">
        <v>138</v>
      </c>
      <c r="B15" s="104">
        <f>'CAPEX only'!K15</f>
        <v>128</v>
      </c>
      <c r="C15" s="6">
        <f>'OPEX only'!E15</f>
        <v>151</v>
      </c>
      <c r="D15" s="6">
        <f>'Feedstock MIX per IVC'!G60</f>
        <v>1696.5649183147032</v>
      </c>
      <c r="E15" s="112">
        <f t="shared" si="5"/>
        <v>1975.5649183147032</v>
      </c>
      <c r="F15" s="289">
        <f t="shared" si="1"/>
        <v>6.4791593945286829E-2</v>
      </c>
      <c r="G15" s="289">
        <f t="shared" si="2"/>
        <v>7.6433833482330557E-2</v>
      </c>
      <c r="H15" s="289">
        <f t="shared" si="4"/>
        <v>0.85877457257238266</v>
      </c>
      <c r="I15">
        <f>(128+151+976)-1255</f>
        <v>0</v>
      </c>
      <c r="J15" s="2">
        <f>B15+C15+D15-I15</f>
        <v>1975.5649183147032</v>
      </c>
      <c r="L15" s="24" t="s">
        <v>184</v>
      </c>
    </row>
    <row r="16" spans="1:12" x14ac:dyDescent="0.35">
      <c r="A16" s="50" t="s">
        <v>348</v>
      </c>
      <c r="B16" s="104">
        <f>B17</f>
        <v>1445</v>
      </c>
      <c r="C16" s="6">
        <f>C17</f>
        <v>955</v>
      </c>
      <c r="D16" s="6">
        <f>'Feedstock MIX per IVC'!G62</f>
        <v>292.57301829518951</v>
      </c>
      <c r="E16" s="112">
        <f>B16+C16+D16</f>
        <v>2692.5730182951893</v>
      </c>
      <c r="F16" s="289">
        <f t="shared" si="1"/>
        <v>0.53666139792001111</v>
      </c>
      <c r="G16" s="289">
        <f t="shared" si="2"/>
        <v>0.35467933218934994</v>
      </c>
      <c r="H16" s="289">
        <f t="shared" si="4"/>
        <v>0.10865926989063902</v>
      </c>
      <c r="I16">
        <f>(128+151+976)-1255</f>
        <v>0</v>
      </c>
      <c r="J16" s="2"/>
    </row>
    <row r="17" spans="1:10" x14ac:dyDescent="0.35">
      <c r="A17" s="50" t="s">
        <v>349</v>
      </c>
      <c r="B17" s="104">
        <f>'CAPEX only'!K16</f>
        <v>1445</v>
      </c>
      <c r="C17" s="6">
        <f>'OPEX only'!E16</f>
        <v>955</v>
      </c>
      <c r="D17" s="6">
        <f>'Feedstock MIX per IVC'!G73</f>
        <v>567.01724137820486</v>
      </c>
      <c r="E17" s="112">
        <f t="shared" si="5"/>
        <v>2967.0172413782047</v>
      </c>
      <c r="F17" s="289">
        <f t="shared" si="1"/>
        <v>0.48702109979272828</v>
      </c>
      <c r="G17" s="289">
        <f t="shared" si="2"/>
        <v>0.32187207633360243</v>
      </c>
      <c r="H17" s="289">
        <f t="shared" si="4"/>
        <v>0.19110682387366934</v>
      </c>
      <c r="I17">
        <f>(1445+955+1329)-1922</f>
        <v>1807</v>
      </c>
      <c r="J17" s="2">
        <f>B17+C17+D17-I17</f>
        <v>1160.0172413782047</v>
      </c>
    </row>
    <row r="18" spans="1:10" x14ac:dyDescent="0.35">
      <c r="A18" s="50" t="s">
        <v>170</v>
      </c>
      <c r="B18" s="104">
        <f>'CAPEX only'!K17</f>
        <v>278</v>
      </c>
      <c r="C18" s="6">
        <f>'OPEX only'!E17</f>
        <v>393</v>
      </c>
      <c r="D18" s="6">
        <f>'Feedstock MIX per IVC'!G84</f>
        <v>317.03814186666671</v>
      </c>
      <c r="E18" s="112">
        <f t="shared" si="5"/>
        <v>988.03814186666671</v>
      </c>
      <c r="F18" s="289">
        <f t="shared" si="1"/>
        <v>0.28136565606139868</v>
      </c>
      <c r="G18" s="289">
        <f t="shared" si="2"/>
        <v>0.3977579238565816</v>
      </c>
      <c r="H18" s="289">
        <f t="shared" si="4"/>
        <v>0.32087642008201966</v>
      </c>
      <c r="I18">
        <f>(278+393+463)-1134</f>
        <v>0</v>
      </c>
      <c r="J18" s="2">
        <f>B18+C18+D18-I18</f>
        <v>988.03814186666671</v>
      </c>
    </row>
    <row r="19" spans="1:10" x14ac:dyDescent="0.35">
      <c r="A19" s="50" t="s">
        <v>169</v>
      </c>
      <c r="B19" s="104">
        <f>'CAPEX only'!K18</f>
        <v>1257</v>
      </c>
      <c r="C19">
        <v>904</v>
      </c>
      <c r="D19" s="6">
        <f>'Feedstock MIX per IVC'!G86</f>
        <v>340.75466666666671</v>
      </c>
      <c r="E19" s="112">
        <f t="shared" si="5"/>
        <v>2501.7546666666667</v>
      </c>
      <c r="F19" s="289">
        <f t="shared" si="1"/>
        <v>0.50244734895401411</v>
      </c>
      <c r="G19" s="289">
        <f t="shared" si="2"/>
        <v>0.36134638301863864</v>
      </c>
      <c r="H19" s="289">
        <f t="shared" si="4"/>
        <v>0.13620626802734723</v>
      </c>
      <c r="I19" s="2">
        <f>(1257+904+1064)-2681</f>
        <v>544</v>
      </c>
      <c r="J19" s="2">
        <f>B19+C18+D19-I19</f>
        <v>1446.7546666666667</v>
      </c>
    </row>
    <row r="20" spans="1:10" x14ac:dyDescent="0.35">
      <c r="A20" s="50" t="s">
        <v>232</v>
      </c>
      <c r="B20" s="104">
        <f>'CAPEX only'!K$19</f>
        <v>805</v>
      </c>
      <c r="C20" s="6">
        <f>'OPEX only'!E$19</f>
        <v>582</v>
      </c>
      <c r="D20" s="6">
        <f>'Feedstock MIX per IVC'!G88</f>
        <v>211.13446039691038</v>
      </c>
      <c r="E20" s="112">
        <f t="shared" si="5"/>
        <v>1598.1344603969103</v>
      </c>
      <c r="F20" s="289">
        <f t="shared" si="1"/>
        <v>0.50371230953875523</v>
      </c>
      <c r="G20" s="289">
        <f t="shared" si="2"/>
        <v>0.36417461385286404</v>
      </c>
      <c r="H20" s="289">
        <f t="shared" si="4"/>
        <v>0.13211307660838084</v>
      </c>
      <c r="I20">
        <f>(805+582+711)-1283</f>
        <v>815</v>
      </c>
      <c r="J20" s="2">
        <f>B20+C20+D20-I20</f>
        <v>783.1344603969103</v>
      </c>
    </row>
    <row r="21" spans="1:10" x14ac:dyDescent="0.35">
      <c r="A21" s="50" t="s">
        <v>235</v>
      </c>
      <c r="B21" s="104">
        <f>'CAPEX only'!K$19</f>
        <v>805</v>
      </c>
      <c r="C21" s="6">
        <f>'OPEX only'!E$19</f>
        <v>582</v>
      </c>
      <c r="D21" s="6">
        <f>'Feedstock MIX per IVC'!G97</f>
        <v>666.14347017102182</v>
      </c>
      <c r="E21" s="112">
        <f t="shared" si="5"/>
        <v>2053.1434701710218</v>
      </c>
      <c r="F21" s="289">
        <f t="shared" si="1"/>
        <v>0.39208170870443138</v>
      </c>
      <c r="G21" s="289">
        <f t="shared" si="2"/>
        <v>0.28346776952295538</v>
      </c>
      <c r="H21" s="289">
        <f t="shared" si="4"/>
        <v>0.32445052177261324</v>
      </c>
      <c r="I21">
        <f>(805+582+711)-1283</f>
        <v>815</v>
      </c>
      <c r="J21" s="2">
        <f>B21+C21+D21-I21</f>
        <v>1238.1434701710218</v>
      </c>
    </row>
    <row r="22" spans="1:10" x14ac:dyDescent="0.35">
      <c r="A22" s="50" t="s">
        <v>233</v>
      </c>
      <c r="B22" s="104">
        <f>'CAPEX only'!K$20</f>
        <v>685</v>
      </c>
      <c r="C22" s="6">
        <f>'OPEX only'!E$20</f>
        <v>843.5</v>
      </c>
      <c r="D22" s="6">
        <f>'Feedstock MIX per IVC'!G106</f>
        <v>211.94642821636947</v>
      </c>
      <c r="E22" s="112">
        <f t="shared" si="5"/>
        <v>1740.4464282163694</v>
      </c>
      <c r="F22" s="289">
        <f t="shared" si="1"/>
        <v>0.39357718163264371</v>
      </c>
      <c r="G22" s="289">
        <f t="shared" si="2"/>
        <v>0.48464577037537948</v>
      </c>
      <c r="H22" s="289">
        <f t="shared" si="4"/>
        <v>0.12177704799197682</v>
      </c>
      <c r="I22">
        <f>(685+706+251)-1642</f>
        <v>0</v>
      </c>
      <c r="J22" s="2">
        <f>B22+C22+D22-I22</f>
        <v>1740.4464282163694</v>
      </c>
    </row>
    <row r="23" spans="1:10" x14ac:dyDescent="0.35">
      <c r="A23" s="50" t="s">
        <v>236</v>
      </c>
      <c r="B23" s="104">
        <f>'CAPEX only'!K$20</f>
        <v>685</v>
      </c>
      <c r="C23" s="6">
        <f>'OPEX only'!E$20</f>
        <v>843.5</v>
      </c>
      <c r="D23" s="6">
        <f>'Feedstock MIX per IVC'!G115</f>
        <v>632.0716817667078</v>
      </c>
      <c r="E23" s="112">
        <f t="shared" si="5"/>
        <v>2160.571681766708</v>
      </c>
      <c r="F23" s="289">
        <f t="shared" si="1"/>
        <v>0.31704571793696418</v>
      </c>
      <c r="G23" s="289">
        <f t="shared" si="2"/>
        <v>0.39040593150340042</v>
      </c>
      <c r="H23" s="289">
        <f t="shared" si="4"/>
        <v>0.29254835055963535</v>
      </c>
      <c r="I23">
        <f>(685+706+251)-1642</f>
        <v>0</v>
      </c>
      <c r="J23" s="2">
        <f>B23+C23+D23-I23</f>
        <v>2160.571681766708</v>
      </c>
    </row>
    <row r="24" spans="1:10" x14ac:dyDescent="0.35">
      <c r="A24" s="50" t="s">
        <v>410</v>
      </c>
      <c r="B24" s="104">
        <f>'CAPEX only'!K3</f>
        <v>83</v>
      </c>
      <c r="C24" s="91">
        <f>'OPEX only'!$E$3</f>
        <v>267</v>
      </c>
      <c r="D24">
        <v>10000</v>
      </c>
      <c r="E24" s="112">
        <f t="shared" si="5"/>
        <v>10350</v>
      </c>
      <c r="F24" s="289">
        <f t="shared" si="1"/>
        <v>8.019323671497585E-3</v>
      </c>
      <c r="G24" s="289">
        <f t="shared" si="2"/>
        <v>2.5797101449275363E-2</v>
      </c>
      <c r="H24" s="289">
        <f>D24/E24</f>
        <v>0.96618357487922701</v>
      </c>
    </row>
    <row r="25" spans="1:10" x14ac:dyDescent="0.35">
      <c r="A25" s="50" t="s">
        <v>409</v>
      </c>
      <c r="B25" s="104">
        <f>'CAPEX only'!$K$4</f>
        <v>269</v>
      </c>
      <c r="C25" s="6">
        <f>'OPEX only'!$E$4</f>
        <v>405</v>
      </c>
      <c r="D25">
        <v>10000</v>
      </c>
      <c r="E25" s="112">
        <f t="shared" si="5"/>
        <v>10674</v>
      </c>
      <c r="F25" s="289">
        <f t="shared" si="1"/>
        <v>2.5201424020985571E-2</v>
      </c>
      <c r="G25" s="289">
        <f t="shared" si="2"/>
        <v>3.7942664418212479E-2</v>
      </c>
      <c r="H25" s="289">
        <f t="shared" si="4"/>
        <v>0.93685591156080195</v>
      </c>
    </row>
  </sheetData>
  <pageMargins left="0.7" right="0.7" top="0.78740157499999996" bottom="0.78740157499999996"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0377-FC2D-4E35-9CF8-05A83141A340}">
  <dimension ref="A1:K24"/>
  <sheetViews>
    <sheetView workbookViewId="0">
      <selection activeCell="D15" sqref="D15"/>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1" s="51" customFormat="1" ht="21" customHeight="1" x14ac:dyDescent="0.35">
      <c r="A1" s="51" t="s">
        <v>128</v>
      </c>
      <c r="B1" s="51" t="s">
        <v>193</v>
      </c>
      <c r="C1" s="51" t="s">
        <v>194</v>
      </c>
      <c r="D1" s="51" t="s">
        <v>200</v>
      </c>
      <c r="E1" s="51" t="s">
        <v>199</v>
      </c>
      <c r="F1" s="51" t="s">
        <v>201</v>
      </c>
      <c r="G1" s="51" t="s">
        <v>196</v>
      </c>
      <c r="H1" s="51" t="s">
        <v>197</v>
      </c>
      <c r="I1" s="51" t="s">
        <v>145</v>
      </c>
      <c r="J1" s="51" t="s">
        <v>167</v>
      </c>
    </row>
    <row r="2" spans="1:11" s="52" customFormat="1" x14ac:dyDescent="0.35">
      <c r="A2" s="89">
        <v>1</v>
      </c>
      <c r="B2" s="104">
        <f>'CAPEX only'!K3</f>
        <v>83</v>
      </c>
      <c r="C2" s="91">
        <f>'OPEX only'!E3</f>
        <v>267</v>
      </c>
      <c r="D2" s="91">
        <f>'Feedstock MIX per IVC'!N4</f>
        <v>1000</v>
      </c>
      <c r="E2" s="112">
        <f>B2+C2+D2</f>
        <v>1350</v>
      </c>
      <c r="F2" s="301">
        <f t="shared" ref="F2:F23" si="0">B2/E2</f>
        <v>6.1481481481481484E-2</v>
      </c>
      <c r="G2" s="301">
        <f t="shared" ref="G2:G23" si="1">C2/E2</f>
        <v>0.19777777777777777</v>
      </c>
      <c r="H2" s="301">
        <f t="shared" ref="H2:H23" si="2">D2/E2</f>
        <v>0.7407407407407407</v>
      </c>
      <c r="I2" s="52">
        <f>(83+267+903)-1226</f>
        <v>27</v>
      </c>
      <c r="J2" s="90">
        <f t="shared" ref="J2:J9" si="3">B2+C2+D2-I2</f>
        <v>1323</v>
      </c>
      <c r="K2" s="53"/>
    </row>
    <row r="3" spans="1:11" x14ac:dyDescent="0.35">
      <c r="A3" t="s">
        <v>131</v>
      </c>
      <c r="B3" s="104">
        <f>'CAPEX only'!K4</f>
        <v>269</v>
      </c>
      <c r="C3" s="6">
        <f>'OPEX only'!E4</f>
        <v>405</v>
      </c>
      <c r="D3" s="6">
        <f>'Feedstock MIX per IVC'!N5</f>
        <v>613.5758134311418</v>
      </c>
      <c r="E3" s="112">
        <f t="shared" ref="E3:E11" si="4">B3+C3+D3</f>
        <v>1287.5758134311418</v>
      </c>
      <c r="F3" s="301">
        <f t="shared" si="0"/>
        <v>0.20891973675955186</v>
      </c>
      <c r="G3" s="301">
        <f t="shared" si="1"/>
        <v>0.31454458508408367</v>
      </c>
      <c r="H3" s="301">
        <f t="shared" si="2"/>
        <v>0.4765356781563645</v>
      </c>
      <c r="I3">
        <f>(269+405+1342)-1218</f>
        <v>798</v>
      </c>
      <c r="J3" s="2">
        <f t="shared" si="3"/>
        <v>489.5758134311418</v>
      </c>
    </row>
    <row r="4" spans="1:11" x14ac:dyDescent="0.35">
      <c r="A4" t="s">
        <v>130</v>
      </c>
      <c r="B4" s="104">
        <f>'CAPEX only'!K5</f>
        <v>376</v>
      </c>
      <c r="C4" s="6">
        <f>'OPEX only'!E5</f>
        <v>566</v>
      </c>
      <c r="D4" s="6">
        <f>'Feedstock MIX per IVC'!N8</f>
        <v>891.82706361960459</v>
      </c>
      <c r="E4" s="112">
        <f t="shared" si="4"/>
        <v>1833.8270636196046</v>
      </c>
      <c r="F4" s="301">
        <f t="shared" si="0"/>
        <v>0.20503569145601541</v>
      </c>
      <c r="G4" s="301">
        <f t="shared" si="1"/>
        <v>0.30864415256410832</v>
      </c>
      <c r="H4" s="301">
        <f t="shared" si="2"/>
        <v>0.48632015597987627</v>
      </c>
      <c r="I4">
        <f>(376+566+1961)-1844</f>
        <v>1059</v>
      </c>
      <c r="J4" s="2">
        <f t="shared" si="3"/>
        <v>774.82706361960459</v>
      </c>
    </row>
    <row r="5" spans="1:11" x14ac:dyDescent="0.35">
      <c r="A5" t="s">
        <v>132</v>
      </c>
      <c r="B5" s="104">
        <f>'CAPEX only'!K6</f>
        <v>555</v>
      </c>
      <c r="C5" s="6">
        <f>'OPEX only'!E6</f>
        <v>516</v>
      </c>
      <c r="D5" s="6">
        <f>'Feedstock MIX per IVC'!N12</f>
        <v>322.33923458084382</v>
      </c>
      <c r="E5" s="112">
        <f t="shared" si="4"/>
        <v>1393.3392345808438</v>
      </c>
      <c r="F5" s="301">
        <f t="shared" si="0"/>
        <v>0.39832367181346173</v>
      </c>
      <c r="G5" s="301">
        <f t="shared" si="1"/>
        <v>0.37033335974008336</v>
      </c>
      <c r="H5" s="301">
        <f t="shared" si="2"/>
        <v>0.23134296844645494</v>
      </c>
      <c r="I5">
        <f>(555+516+472)-1543</f>
        <v>0</v>
      </c>
      <c r="J5" s="2">
        <f t="shared" si="3"/>
        <v>1393.3392345808438</v>
      </c>
    </row>
    <row r="6" spans="1:11" s="52" customFormat="1" x14ac:dyDescent="0.35">
      <c r="A6" s="52" t="s">
        <v>133</v>
      </c>
      <c r="B6" s="90">
        <f>'CAPEX only'!K7</f>
        <v>1892</v>
      </c>
      <c r="C6" s="91">
        <v>1421</v>
      </c>
      <c r="D6" s="91">
        <f>'Feedstock MIX per IVC'!N17</f>
        <v>0</v>
      </c>
      <c r="E6" s="91">
        <f t="shared" si="4"/>
        <v>3313</v>
      </c>
      <c r="F6" s="302">
        <f t="shared" si="0"/>
        <v>0.57108361002112884</v>
      </c>
      <c r="G6" s="302">
        <f t="shared" si="1"/>
        <v>0.4289163899788711</v>
      </c>
      <c r="H6" s="302">
        <f t="shared" si="2"/>
        <v>0</v>
      </c>
      <c r="I6" s="52">
        <f>(1892+1421+1086)-3855</f>
        <v>544</v>
      </c>
      <c r="J6" s="90">
        <f t="shared" si="3"/>
        <v>2769</v>
      </c>
    </row>
    <row r="7" spans="1:11" s="45" customFormat="1" x14ac:dyDescent="0.35">
      <c r="A7" s="97">
        <v>6</v>
      </c>
      <c r="B7" s="139">
        <f>'CAPEX only'!K8</f>
        <v>0</v>
      </c>
      <c r="C7" s="46">
        <f>'OPEX only'!E8</f>
        <v>0</v>
      </c>
      <c r="D7" s="46">
        <f>'Feedstock MIX per IVC'!N22</f>
        <v>205.19148936170214</v>
      </c>
      <c r="E7" s="154">
        <f t="shared" si="4"/>
        <v>205.19148936170214</v>
      </c>
      <c r="F7" s="303">
        <f t="shared" si="0"/>
        <v>0</v>
      </c>
      <c r="G7" s="303">
        <f t="shared" si="1"/>
        <v>0</v>
      </c>
      <c r="H7" s="303">
        <f t="shared" si="2"/>
        <v>1</v>
      </c>
      <c r="J7" s="98">
        <f t="shared" si="3"/>
        <v>205.19148936170214</v>
      </c>
    </row>
    <row r="8" spans="1:11" x14ac:dyDescent="0.35">
      <c r="A8" s="50" t="s">
        <v>142</v>
      </c>
      <c r="B8" s="104">
        <f>'CAPEX only'!K10</f>
        <v>605</v>
      </c>
      <c r="C8" s="6">
        <f>'OPEX only'!E9</f>
        <v>913</v>
      </c>
      <c r="D8" s="6">
        <f>'Feedstock MIX per IVC'!N24</f>
        <v>-9.3999585357932798</v>
      </c>
      <c r="E8" s="112">
        <f t="shared" si="4"/>
        <v>1508.6000414642067</v>
      </c>
      <c r="F8" s="301">
        <f t="shared" si="0"/>
        <v>0.40103406030189637</v>
      </c>
      <c r="G8" s="301">
        <f t="shared" si="1"/>
        <v>0.60519685463740724</v>
      </c>
      <c r="H8" s="301">
        <f t="shared" si="2"/>
        <v>-6.2309149393035496E-3</v>
      </c>
      <c r="I8">
        <f>(965+913-525)-1354</f>
        <v>-1</v>
      </c>
      <c r="J8" s="2">
        <f t="shared" si="3"/>
        <v>1509.6000414642067</v>
      </c>
      <c r="K8" s="24" t="s">
        <v>183</v>
      </c>
    </row>
    <row r="9" spans="1:11" x14ac:dyDescent="0.35">
      <c r="A9" s="50" t="s">
        <v>143</v>
      </c>
      <c r="B9" s="104">
        <f>'CAPEX only'!K10</f>
        <v>605</v>
      </c>
      <c r="C9" s="6">
        <f>'OPEX only'!E10</f>
        <v>388</v>
      </c>
      <c r="D9" s="6">
        <f>'Feedstock MIX per IVC'!N24</f>
        <v>-9.3999585357932798</v>
      </c>
      <c r="E9" s="112">
        <f t="shared" si="4"/>
        <v>983.6000414642067</v>
      </c>
      <c r="F9" s="301">
        <f t="shared" si="0"/>
        <v>0.61508740798687334</v>
      </c>
      <c r="G9" s="301">
        <f t="shared" si="1"/>
        <v>0.39446927983290386</v>
      </c>
      <c r="H9" s="301">
        <f t="shared" si="2"/>
        <v>-9.5566878197771467E-3</v>
      </c>
      <c r="I9">
        <f>(605+388+799)-1791</f>
        <v>1</v>
      </c>
      <c r="J9" s="2">
        <f t="shared" si="3"/>
        <v>982.6000414642067</v>
      </c>
    </row>
    <row r="10" spans="1:11" x14ac:dyDescent="0.35">
      <c r="A10" s="50" t="s">
        <v>182</v>
      </c>
      <c r="B10" s="104">
        <v>605</v>
      </c>
      <c r="C10" s="6">
        <f>0.1*C8+0.9*C9</f>
        <v>440.5</v>
      </c>
      <c r="D10" s="6">
        <f>D9</f>
        <v>-9.3999585357932798</v>
      </c>
      <c r="E10" s="112">
        <f t="shared" si="4"/>
        <v>1036.1000414642067</v>
      </c>
      <c r="F10" s="301">
        <f t="shared" si="0"/>
        <v>0.58392044762880213</v>
      </c>
      <c r="G10" s="301">
        <f t="shared" si="1"/>
        <v>0.42515199533964848</v>
      </c>
      <c r="H10" s="301">
        <f t="shared" si="2"/>
        <v>-9.0724429684505645E-3</v>
      </c>
      <c r="I10">
        <v>0</v>
      </c>
      <c r="J10" s="2">
        <f>0.1*J8+0.9*J9</f>
        <v>1035.3000414642067</v>
      </c>
    </row>
    <row r="11" spans="1:11" x14ac:dyDescent="0.35">
      <c r="A11" s="50" t="s">
        <v>134</v>
      </c>
      <c r="B11" s="104">
        <f>'CAPEX only'!K11</f>
        <v>281</v>
      </c>
      <c r="C11" s="6">
        <f>'OPEX only'!E11</f>
        <v>186</v>
      </c>
      <c r="D11" s="6">
        <f>'Feedstock MIX per IVC'!N34</f>
        <v>123.03092577269538</v>
      </c>
      <c r="E11" s="112">
        <f t="shared" si="4"/>
        <v>590.03092577269535</v>
      </c>
      <c r="F11" s="301">
        <f t="shared" si="0"/>
        <v>0.47624622325008942</v>
      </c>
      <c r="G11" s="301">
        <f t="shared" si="1"/>
        <v>0.31523771361037944</v>
      </c>
      <c r="H11" s="301">
        <f t="shared" si="2"/>
        <v>0.20851606313953119</v>
      </c>
      <c r="I11">
        <f>(281+186+200)-668</f>
        <v>-1</v>
      </c>
      <c r="J11" s="2">
        <f>B11+C11+D11-I11</f>
        <v>591.03092577269535</v>
      </c>
    </row>
    <row r="12" spans="1:11" x14ac:dyDescent="0.35">
      <c r="A12" s="50" t="s">
        <v>135</v>
      </c>
      <c r="B12" s="104">
        <v>136</v>
      </c>
      <c r="C12" s="6">
        <v>92</v>
      </c>
      <c r="D12" s="6">
        <f>E12-B12-C12</f>
        <v>708</v>
      </c>
      <c r="E12" s="104">
        <v>936</v>
      </c>
      <c r="F12" s="301">
        <f t="shared" si="0"/>
        <v>0.14529914529914531</v>
      </c>
      <c r="G12" s="301">
        <f t="shared" si="1"/>
        <v>9.8290598290598288E-2</v>
      </c>
      <c r="H12" s="301">
        <f t="shared" si="2"/>
        <v>0.75641025641025639</v>
      </c>
      <c r="I12">
        <v>0</v>
      </c>
      <c r="J12" s="2">
        <v>936</v>
      </c>
      <c r="K12" t="s">
        <v>351</v>
      </c>
    </row>
    <row r="13" spans="1:11" x14ac:dyDescent="0.35">
      <c r="A13" s="50" t="s">
        <v>136</v>
      </c>
      <c r="B13" s="104">
        <f>'CAPEX only'!K13</f>
        <v>57</v>
      </c>
      <c r="C13" s="6">
        <f>'OPEX only'!E13</f>
        <v>29</v>
      </c>
      <c r="D13" s="6">
        <f>'Feedstock MIX per IVC'!N47</f>
        <v>291.86968567880001</v>
      </c>
      <c r="E13" s="112">
        <f t="shared" ref="E13:E23" si="5">B13+C13+D13</f>
        <v>377.86968567880001</v>
      </c>
      <c r="F13" s="301">
        <f t="shared" si="0"/>
        <v>0.15084565436257732</v>
      </c>
      <c r="G13" s="301">
        <f t="shared" si="1"/>
        <v>7.6746034675697239E-2</v>
      </c>
      <c r="H13" s="301">
        <f t="shared" si="2"/>
        <v>0.77240831096172546</v>
      </c>
      <c r="I13">
        <f>(57+29+427)-513</f>
        <v>0</v>
      </c>
      <c r="J13" s="2"/>
    </row>
    <row r="14" spans="1:11" x14ac:dyDescent="0.35">
      <c r="A14" s="50" t="s">
        <v>137</v>
      </c>
      <c r="B14" s="104">
        <f>'CAPEX only'!K14</f>
        <v>800</v>
      </c>
      <c r="C14" s="6">
        <f>'OPEX only'!E14</f>
        <v>360</v>
      </c>
      <c r="D14" s="6">
        <f>'Feedstock MIX per IVC'!N49</f>
        <v>217.28274044624703</v>
      </c>
      <c r="E14" s="112">
        <f t="shared" si="5"/>
        <v>1377.2827404462471</v>
      </c>
      <c r="F14" s="301">
        <f t="shared" si="0"/>
        <v>0.58085386283196694</v>
      </c>
      <c r="G14" s="301">
        <f t="shared" si="1"/>
        <v>0.26138423827438517</v>
      </c>
      <c r="H14" s="301">
        <f t="shared" si="2"/>
        <v>0.15776189889364783</v>
      </c>
      <c r="I14">
        <f>(800+360+446)-1606</f>
        <v>0</v>
      </c>
      <c r="J14" s="2">
        <f>B14+C14+D14-I14</f>
        <v>1377.2827404462471</v>
      </c>
    </row>
    <row r="15" spans="1:11" x14ac:dyDescent="0.35">
      <c r="A15" s="50" t="s">
        <v>138</v>
      </c>
      <c r="B15" s="104">
        <f>'CAPEX only'!K15</f>
        <v>128</v>
      </c>
      <c r="C15" s="6">
        <f>'OPEX only'!E15</f>
        <v>151</v>
      </c>
      <c r="D15" s="6">
        <f>'Feedstock MIX per IVC'!N60</f>
        <v>1696.5649183147032</v>
      </c>
      <c r="E15" s="112">
        <f t="shared" si="5"/>
        <v>1975.5649183147032</v>
      </c>
      <c r="F15" s="301">
        <f t="shared" si="0"/>
        <v>6.4791593945286829E-2</v>
      </c>
      <c r="G15" s="301">
        <f t="shared" si="1"/>
        <v>7.6433833482330557E-2</v>
      </c>
      <c r="H15" s="301">
        <f t="shared" si="2"/>
        <v>0.85877457257238266</v>
      </c>
      <c r="I15">
        <f>(128+151+976)-1255</f>
        <v>0</v>
      </c>
      <c r="J15" s="2">
        <f>B15+C15+D15-I15</f>
        <v>1975.5649183147032</v>
      </c>
      <c r="K15" s="24" t="s">
        <v>184</v>
      </c>
    </row>
    <row r="16" spans="1:11" x14ac:dyDescent="0.35">
      <c r="A16" s="50" t="s">
        <v>348</v>
      </c>
      <c r="B16" s="104">
        <f>B17</f>
        <v>1445</v>
      </c>
      <c r="C16" s="6">
        <f>C17</f>
        <v>955</v>
      </c>
      <c r="D16" s="6">
        <f>'Feedstock MIX per IVC'!N62</f>
        <v>301.85678351554589</v>
      </c>
      <c r="E16" s="112">
        <f t="shared" si="5"/>
        <v>2701.8567835155459</v>
      </c>
      <c r="F16" s="301">
        <f t="shared" si="0"/>
        <v>0.53481739254877336</v>
      </c>
      <c r="G16" s="301">
        <f t="shared" si="1"/>
        <v>0.35346062967756303</v>
      </c>
      <c r="H16" s="301">
        <f t="shared" si="2"/>
        <v>0.11172197777366354</v>
      </c>
      <c r="J16" s="2"/>
    </row>
    <row r="17" spans="1:10" x14ac:dyDescent="0.35">
      <c r="A17" s="50" t="s">
        <v>349</v>
      </c>
      <c r="B17" s="104">
        <f>'CAPEX only'!K16</f>
        <v>1445</v>
      </c>
      <c r="C17" s="6">
        <f>'OPEX only'!E16</f>
        <v>955</v>
      </c>
      <c r="D17" s="6">
        <f>'Feedstock MIX per IVC'!N73</f>
        <v>576.5963634160147</v>
      </c>
      <c r="E17" s="112">
        <f t="shared" si="5"/>
        <v>2976.5963634160148</v>
      </c>
      <c r="F17" s="301">
        <f t="shared" si="0"/>
        <v>0.48545379473005962</v>
      </c>
      <c r="G17" s="301">
        <f t="shared" si="1"/>
        <v>0.32083624496000479</v>
      </c>
      <c r="H17" s="301">
        <f t="shared" si="2"/>
        <v>0.19370996030993554</v>
      </c>
      <c r="I17">
        <f>(1445+955+1329)-1922</f>
        <v>1807</v>
      </c>
      <c r="J17" s="2">
        <f>B17+C17+D17-I17</f>
        <v>1169.5963634160148</v>
      </c>
    </row>
    <row r="18" spans="1:10" x14ac:dyDescent="0.35">
      <c r="A18" s="50" t="s">
        <v>170</v>
      </c>
      <c r="B18" s="104">
        <f>'CAPEX only'!K17</f>
        <v>278</v>
      </c>
      <c r="C18" s="6">
        <f>'OPEX only'!E17</f>
        <v>393</v>
      </c>
      <c r="D18" s="6">
        <f>'Feedstock MIX per IVC'!N84</f>
        <v>317.03814186666671</v>
      </c>
      <c r="E18" s="112">
        <f t="shared" si="5"/>
        <v>988.03814186666671</v>
      </c>
      <c r="F18" s="301">
        <f t="shared" si="0"/>
        <v>0.28136565606139868</v>
      </c>
      <c r="G18" s="301">
        <f t="shared" si="1"/>
        <v>0.3977579238565816</v>
      </c>
      <c r="H18" s="301">
        <f t="shared" si="2"/>
        <v>0.32087642008201966</v>
      </c>
      <c r="I18">
        <f>(278+393+463)-1134</f>
        <v>0</v>
      </c>
      <c r="J18" s="2">
        <f>B18+C18+D18-I18</f>
        <v>988.03814186666671</v>
      </c>
    </row>
    <row r="19" spans="1:10" x14ac:dyDescent="0.35">
      <c r="A19" s="50" t="s">
        <v>169</v>
      </c>
      <c r="B19" s="104">
        <f>'CAPEX only'!K18</f>
        <v>1257</v>
      </c>
      <c r="C19">
        <v>904</v>
      </c>
      <c r="D19" s="6">
        <f>'Feedstock MIX per IVC'!N86</f>
        <v>340.75466666666671</v>
      </c>
      <c r="E19" s="112">
        <f t="shared" si="5"/>
        <v>2501.7546666666667</v>
      </c>
      <c r="F19" s="301">
        <f t="shared" si="0"/>
        <v>0.50244734895401411</v>
      </c>
      <c r="G19" s="301">
        <f t="shared" si="1"/>
        <v>0.36134638301863864</v>
      </c>
      <c r="H19" s="301">
        <f t="shared" si="2"/>
        <v>0.13620626802734723</v>
      </c>
      <c r="I19" s="2">
        <f>(1257+904+1064)-2681</f>
        <v>544</v>
      </c>
      <c r="J19" s="2">
        <f>B19+C18+D19-I19</f>
        <v>1446.7546666666667</v>
      </c>
    </row>
    <row r="20" spans="1:10" x14ac:dyDescent="0.35">
      <c r="A20" s="50" t="s">
        <v>230</v>
      </c>
      <c r="B20" s="104">
        <f>'CAPEX only'!K$19</f>
        <v>805</v>
      </c>
      <c r="C20" s="6">
        <f>'OPEX only'!E$19</f>
        <v>582</v>
      </c>
      <c r="D20" s="6">
        <f>'Feedstock MIX per IVC'!N88</f>
        <v>212.92017602125597</v>
      </c>
      <c r="E20" s="112">
        <f t="shared" si="5"/>
        <v>1599.9201760212559</v>
      </c>
      <c r="F20" s="301">
        <f t="shared" si="0"/>
        <v>0.50315010215191203</v>
      </c>
      <c r="G20" s="301">
        <f t="shared" si="1"/>
        <v>0.36376814838809046</v>
      </c>
      <c r="H20" s="301">
        <f t="shared" si="2"/>
        <v>0.13308174945999757</v>
      </c>
      <c r="I20">
        <f>(805+582+711)-1283</f>
        <v>815</v>
      </c>
      <c r="J20" s="2">
        <f>B20+C20+D20-I20</f>
        <v>784.92017602125588</v>
      </c>
    </row>
    <row r="21" spans="1:10" x14ac:dyDescent="0.35">
      <c r="A21" s="50" t="s">
        <v>235</v>
      </c>
      <c r="B21" s="104">
        <f>'CAPEX only'!K$19</f>
        <v>805</v>
      </c>
      <c r="C21" s="6">
        <f>'OPEX only'!E$19</f>
        <v>582</v>
      </c>
      <c r="D21" s="6">
        <f>'Feedstock MIX per IVC'!N97</f>
        <v>678.35738297330704</v>
      </c>
      <c r="E21" s="112">
        <f t="shared" si="5"/>
        <v>2065.3573829733068</v>
      </c>
      <c r="F21" s="301">
        <f t="shared" si="0"/>
        <v>0.38976305342425283</v>
      </c>
      <c r="G21" s="301">
        <f t="shared" si="1"/>
        <v>0.28179142496014303</v>
      </c>
      <c r="H21" s="301">
        <f t="shared" si="2"/>
        <v>0.32844552161560425</v>
      </c>
      <c r="J21" s="2"/>
    </row>
    <row r="22" spans="1:10" x14ac:dyDescent="0.35">
      <c r="A22" s="50" t="s">
        <v>233</v>
      </c>
      <c r="B22" s="104">
        <f>'CAPEX only'!K$20</f>
        <v>685</v>
      </c>
      <c r="C22" s="6">
        <f>'OPEX only'!E$20</f>
        <v>843.5</v>
      </c>
      <c r="D22" s="6">
        <f>'Feedstock MIX per IVC'!N106</f>
        <v>213.41224009830856</v>
      </c>
      <c r="E22" s="112">
        <f t="shared" si="5"/>
        <v>1741.9122400983085</v>
      </c>
      <c r="F22" s="301">
        <f t="shared" si="0"/>
        <v>0.39324598807649491</v>
      </c>
      <c r="G22" s="301">
        <f t="shared" si="1"/>
        <v>0.48423794298178607</v>
      </c>
      <c r="H22" s="301">
        <f t="shared" si="2"/>
        <v>0.122516068941719</v>
      </c>
      <c r="J22" s="2">
        <f>B22+C22+D22-I22</f>
        <v>1741.9122400983085</v>
      </c>
    </row>
    <row r="23" spans="1:10" x14ac:dyDescent="0.35">
      <c r="A23" s="50" t="s">
        <v>236</v>
      </c>
      <c r="B23" s="104">
        <f>'CAPEX only'!K$20</f>
        <v>685</v>
      </c>
      <c r="C23" s="6">
        <f>'OPEX only'!E$20</f>
        <v>843.5</v>
      </c>
      <c r="D23" s="6">
        <f>'Feedstock MIX per IVC'!N115</f>
        <v>642.35910811450424</v>
      </c>
      <c r="E23" s="112">
        <f t="shared" si="5"/>
        <v>2170.8591081145041</v>
      </c>
      <c r="F23" s="301">
        <f t="shared" si="0"/>
        <v>0.31554327843733515</v>
      </c>
      <c r="G23" s="301">
        <f t="shared" si="1"/>
        <v>0.38855584724363823</v>
      </c>
      <c r="H23" s="301">
        <f t="shared" si="2"/>
        <v>0.29590087431902667</v>
      </c>
    </row>
    <row r="24" spans="1:10" x14ac:dyDescent="0.35">
      <c r="A24" s="50"/>
    </row>
  </sheetData>
  <pageMargins left="0.7" right="0.7" top="0.78740157499999996" bottom="0.78740157499999996"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1FABB-A4C9-4F9F-BCC6-FFAACBB6709C}">
  <dimension ref="A1:D23"/>
  <sheetViews>
    <sheetView workbookViewId="0">
      <selection activeCell="B7" sqref="B7"/>
    </sheetView>
  </sheetViews>
  <sheetFormatPr baseColWidth="10" defaultRowHeight="14.5" x14ac:dyDescent="0.35"/>
  <sheetData>
    <row r="1" spans="1:4" x14ac:dyDescent="0.35">
      <c r="A1" t="s">
        <v>148</v>
      </c>
      <c r="B1" t="s">
        <v>418</v>
      </c>
      <c r="C1" t="s">
        <v>419</v>
      </c>
      <c r="D1" t="s">
        <v>420</v>
      </c>
    </row>
    <row r="2" spans="1:4" x14ac:dyDescent="0.35">
      <c r="A2" s="89">
        <v>1</v>
      </c>
      <c r="B2" s="52">
        <f>(83+267+903)-1226</f>
        <v>27</v>
      </c>
    </row>
    <row r="3" spans="1:4" x14ac:dyDescent="0.35">
      <c r="A3" t="s">
        <v>131</v>
      </c>
      <c r="B3">
        <f>(269+405+1342)-1218</f>
        <v>798</v>
      </c>
    </row>
    <row r="4" spans="1:4" x14ac:dyDescent="0.35">
      <c r="A4" t="s">
        <v>130</v>
      </c>
      <c r="B4">
        <f>(376+566+1961)-1844</f>
        <v>1059</v>
      </c>
    </row>
    <row r="5" spans="1:4" x14ac:dyDescent="0.35">
      <c r="A5" t="s">
        <v>132</v>
      </c>
      <c r="B5">
        <f>(555+516+472)-1543</f>
        <v>0</v>
      </c>
    </row>
    <row r="6" spans="1:4" x14ac:dyDescent="0.35">
      <c r="A6" s="52" t="s">
        <v>133</v>
      </c>
      <c r="B6" s="52">
        <f>(1892+1421+1086)-3855</f>
        <v>544</v>
      </c>
    </row>
    <row r="7" spans="1:4" x14ac:dyDescent="0.35">
      <c r="A7" s="293">
        <v>6</v>
      </c>
      <c r="B7" s="149"/>
    </row>
    <row r="8" spans="1:4" x14ac:dyDescent="0.35">
      <c r="A8" s="50" t="s">
        <v>142</v>
      </c>
      <c r="B8">
        <f>(965+913-525)-1354</f>
        <v>-1</v>
      </c>
    </row>
    <row r="9" spans="1:4" x14ac:dyDescent="0.35">
      <c r="A9" s="50" t="s">
        <v>143</v>
      </c>
      <c r="B9">
        <f>(605+388+799)-1791</f>
        <v>1</v>
      </c>
    </row>
    <row r="10" spans="1:4" x14ac:dyDescent="0.35">
      <c r="A10" s="50" t="s">
        <v>182</v>
      </c>
      <c r="B10">
        <v>0</v>
      </c>
    </row>
    <row r="11" spans="1:4" x14ac:dyDescent="0.35">
      <c r="A11" s="50" t="s">
        <v>134</v>
      </c>
      <c r="B11">
        <f>(281+186+200)-668</f>
        <v>-1</v>
      </c>
    </row>
    <row r="12" spans="1:4" x14ac:dyDescent="0.35">
      <c r="A12" s="50" t="s">
        <v>135</v>
      </c>
      <c r="B12">
        <v>0</v>
      </c>
    </row>
    <row r="13" spans="1:4" x14ac:dyDescent="0.35">
      <c r="A13" s="50" t="s">
        <v>136</v>
      </c>
      <c r="B13">
        <f>(57+29+427)-513</f>
        <v>0</v>
      </c>
    </row>
    <row r="14" spans="1:4" x14ac:dyDescent="0.35">
      <c r="A14" s="50" t="s">
        <v>137</v>
      </c>
      <c r="B14">
        <f>(800+360+446)-1606</f>
        <v>0</v>
      </c>
    </row>
    <row r="15" spans="1:4" x14ac:dyDescent="0.35">
      <c r="A15" s="50" t="s">
        <v>138</v>
      </c>
      <c r="B15">
        <f>(128+151+976)-1255</f>
        <v>0</v>
      </c>
    </row>
    <row r="16" spans="1:4" x14ac:dyDescent="0.35">
      <c r="A16" s="50" t="s">
        <v>348</v>
      </c>
      <c r="B16">
        <f>(128+151+976)-1255</f>
        <v>0</v>
      </c>
    </row>
    <row r="17" spans="1:2" x14ac:dyDescent="0.35">
      <c r="A17" s="50" t="s">
        <v>349</v>
      </c>
      <c r="B17">
        <f>(1445+955+1329)-1922</f>
        <v>1807</v>
      </c>
    </row>
    <row r="18" spans="1:2" x14ac:dyDescent="0.35">
      <c r="A18" s="50" t="s">
        <v>170</v>
      </c>
      <c r="B18">
        <f>(278+393+463)-1134</f>
        <v>0</v>
      </c>
    </row>
    <row r="19" spans="1:2" x14ac:dyDescent="0.35">
      <c r="A19" s="50" t="s">
        <v>169</v>
      </c>
      <c r="B19" s="2">
        <f>(1257+904+1064)-2681</f>
        <v>544</v>
      </c>
    </row>
    <row r="20" spans="1:2" x14ac:dyDescent="0.35">
      <c r="A20" s="50" t="s">
        <v>232</v>
      </c>
      <c r="B20">
        <f>(805+582+711)-1283</f>
        <v>815</v>
      </c>
    </row>
    <row r="21" spans="1:2" x14ac:dyDescent="0.35">
      <c r="A21" s="50" t="s">
        <v>235</v>
      </c>
      <c r="B21">
        <f>(805+582+711)-1283</f>
        <v>815</v>
      </c>
    </row>
    <row r="22" spans="1:2" x14ac:dyDescent="0.35">
      <c r="A22" s="50" t="s">
        <v>233</v>
      </c>
      <c r="B22">
        <f>E1</f>
        <v>0</v>
      </c>
    </row>
    <row r="23" spans="1:2" x14ac:dyDescent="0.35">
      <c r="A23" s="50" t="s">
        <v>236</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1E533-9BB7-49CA-A0C7-CF1C4C5B8619}">
  <dimension ref="A1:K23"/>
  <sheetViews>
    <sheetView workbookViewId="0">
      <selection activeCell="G21" sqref="G21"/>
    </sheetView>
  </sheetViews>
  <sheetFormatPr baseColWidth="10" defaultRowHeight="14.5" x14ac:dyDescent="0.35"/>
  <cols>
    <col min="1" max="1" width="17.1796875" customWidth="1"/>
    <col min="2" max="2" width="17.453125" customWidth="1"/>
    <col min="4" max="8" width="20.1796875" customWidth="1"/>
  </cols>
  <sheetData>
    <row r="1" spans="1:11" x14ac:dyDescent="0.35">
      <c r="A1" s="51" t="s">
        <v>128</v>
      </c>
      <c r="B1" s="51" t="s">
        <v>193</v>
      </c>
      <c r="C1" s="51" t="s">
        <v>194</v>
      </c>
      <c r="D1" s="51" t="s">
        <v>195</v>
      </c>
      <c r="E1" s="51" t="s">
        <v>198</v>
      </c>
      <c r="F1" s="51" t="s">
        <v>192</v>
      </c>
      <c r="G1" s="51" t="s">
        <v>196</v>
      </c>
      <c r="H1" s="51" t="s">
        <v>197</v>
      </c>
      <c r="I1" s="51" t="s">
        <v>145</v>
      </c>
      <c r="J1" s="51" t="s">
        <v>168</v>
      </c>
    </row>
    <row r="2" spans="1:11" x14ac:dyDescent="0.35">
      <c r="A2" s="89">
        <v>1</v>
      </c>
      <c r="B2" s="104">
        <f>'CAPEX only'!K3</f>
        <v>83</v>
      </c>
      <c r="C2" s="112">
        <f>'OPEX only'!E3</f>
        <v>267</v>
      </c>
      <c r="D2" s="112">
        <f>'Feedstock MIX per IVC'!J4</f>
        <v>1000</v>
      </c>
      <c r="E2" s="104">
        <f>SUM(B2:D2)</f>
        <v>1350</v>
      </c>
      <c r="F2" s="263">
        <f>B2/E2</f>
        <v>6.1481481481481484E-2</v>
      </c>
      <c r="G2" s="263">
        <f>C2/E2</f>
        <v>0.19777777777777777</v>
      </c>
      <c r="H2" s="263">
        <f>D2/E2</f>
        <v>0.7407407407407407</v>
      </c>
      <c r="I2" s="52">
        <f>(83+267+903)-1226</f>
        <v>27</v>
      </c>
      <c r="J2" s="90">
        <f t="shared" ref="J2:J9" si="0">B2+C2+D2-I2</f>
        <v>1323</v>
      </c>
    </row>
    <row r="3" spans="1:11" x14ac:dyDescent="0.35">
      <c r="A3" t="s">
        <v>131</v>
      </c>
      <c r="B3" s="104">
        <f>'CAPEX only'!K4</f>
        <v>269</v>
      </c>
      <c r="C3" s="6">
        <f>'OPEX only'!E4</f>
        <v>405</v>
      </c>
      <c r="D3" s="6">
        <f>'Feedstock MIX per IVC'!J5</f>
        <v>607.93151831991179</v>
      </c>
      <c r="E3" s="104">
        <f t="shared" ref="E3:E23" si="1">SUM(B3:D3)</f>
        <v>1281.9315183199119</v>
      </c>
      <c r="F3" s="263">
        <f t="shared" ref="F3:F23" si="2">B3/E3</f>
        <v>0.20983960231553478</v>
      </c>
      <c r="G3" s="263">
        <f t="shared" ref="G3:G23" si="3">C3/E3</f>
        <v>0.31592951277989439</v>
      </c>
      <c r="H3" s="263">
        <f t="shared" ref="H3:H23" si="4">D3/E3</f>
        <v>0.47423088490457077</v>
      </c>
      <c r="I3">
        <f>(269+405+1342)-1218</f>
        <v>798</v>
      </c>
      <c r="J3" s="2">
        <f t="shared" si="0"/>
        <v>483.9315183199119</v>
      </c>
    </row>
    <row r="4" spans="1:11" x14ac:dyDescent="0.35">
      <c r="A4" t="s">
        <v>130</v>
      </c>
      <c r="B4" s="104">
        <f>'CAPEX only'!K5</f>
        <v>376</v>
      </c>
      <c r="C4" s="6">
        <f>'OPEX only'!E5</f>
        <v>566</v>
      </c>
      <c r="D4" s="6">
        <f>'Feedstock MIX per IVC'!J8</f>
        <v>954.90946308425873</v>
      </c>
      <c r="E4" s="104">
        <f t="shared" si="1"/>
        <v>1896.9094630842587</v>
      </c>
      <c r="F4" s="263">
        <f t="shared" si="2"/>
        <v>0.19821715654718017</v>
      </c>
      <c r="G4" s="263">
        <f t="shared" si="3"/>
        <v>0.29838008139814887</v>
      </c>
      <c r="H4" s="263">
        <f t="shared" si="4"/>
        <v>0.50340276205467094</v>
      </c>
      <c r="I4">
        <f>(376+566+1961)-1844</f>
        <v>1059</v>
      </c>
      <c r="J4" s="2">
        <f t="shared" si="0"/>
        <v>837.90946308425873</v>
      </c>
    </row>
    <row r="5" spans="1:11" x14ac:dyDescent="0.35">
      <c r="A5" t="s">
        <v>132</v>
      </c>
      <c r="B5" s="104">
        <f>'CAPEX only'!K6</f>
        <v>555</v>
      </c>
      <c r="C5" s="6">
        <f>'OPEX only'!E6</f>
        <v>516</v>
      </c>
      <c r="D5" s="6">
        <f>'Feedstock MIX per IVC'!J12</f>
        <v>316.05264771526151</v>
      </c>
      <c r="E5" s="104">
        <f t="shared" si="1"/>
        <v>1387.0526477152616</v>
      </c>
      <c r="F5" s="263">
        <f t="shared" si="2"/>
        <v>0.40012900801868634</v>
      </c>
      <c r="G5" s="263">
        <f t="shared" si="3"/>
        <v>0.37201183448223807</v>
      </c>
      <c r="H5" s="263">
        <f t="shared" si="4"/>
        <v>0.22785915749907551</v>
      </c>
      <c r="I5">
        <f>(555+516+472)-1543</f>
        <v>0</v>
      </c>
      <c r="J5" s="2">
        <f t="shared" si="0"/>
        <v>1387.0526477152616</v>
      </c>
    </row>
    <row r="6" spans="1:11" s="52" customFormat="1" x14ac:dyDescent="0.35">
      <c r="A6" s="52" t="s">
        <v>133</v>
      </c>
      <c r="B6" s="90">
        <f>'CAPEX only'!K7</f>
        <v>1892</v>
      </c>
      <c r="C6" s="91">
        <v>1421</v>
      </c>
      <c r="D6" s="91"/>
      <c r="E6" s="90">
        <f>SUM(B6:D6)</f>
        <v>3313</v>
      </c>
      <c r="F6" s="264">
        <f t="shared" si="2"/>
        <v>0.57108361002112884</v>
      </c>
      <c r="G6" s="264">
        <f t="shared" si="3"/>
        <v>0.4289163899788711</v>
      </c>
      <c r="H6" s="264">
        <f t="shared" si="4"/>
        <v>0</v>
      </c>
      <c r="I6" s="52">
        <f>(1892+1421+1086)-3855</f>
        <v>544</v>
      </c>
      <c r="J6" s="90">
        <f t="shared" si="0"/>
        <v>2769</v>
      </c>
    </row>
    <row r="7" spans="1:11" s="45" customFormat="1" x14ac:dyDescent="0.35">
      <c r="A7" s="97">
        <v>6</v>
      </c>
      <c r="B7" s="139">
        <f>'CAPEX only'!K18</f>
        <v>1257</v>
      </c>
      <c r="C7">
        <v>904</v>
      </c>
      <c r="D7" s="46">
        <f>'Feedstock MIX per IVC'!J22</f>
        <v>205.19148936170214</v>
      </c>
      <c r="E7" s="139">
        <f t="shared" si="1"/>
        <v>2366.1914893617022</v>
      </c>
      <c r="F7" s="265">
        <f t="shared" si="2"/>
        <v>0.53123342115438221</v>
      </c>
      <c r="G7" s="265">
        <f t="shared" si="3"/>
        <v>0.38204853836401076</v>
      </c>
      <c r="H7" s="265">
        <f>D7/E7</f>
        <v>8.6718040481607042E-2</v>
      </c>
      <c r="J7" s="98">
        <f t="shared" si="0"/>
        <v>2366.1914893617022</v>
      </c>
      <c r="K7" s="45" t="s">
        <v>431</v>
      </c>
    </row>
    <row r="8" spans="1:11" x14ac:dyDescent="0.35">
      <c r="A8" s="50" t="s">
        <v>142</v>
      </c>
      <c r="B8" s="104">
        <f>'CAPEX only'!K10</f>
        <v>605</v>
      </c>
      <c r="C8" s="6">
        <f>'OPEX only'!E9</f>
        <v>913</v>
      </c>
      <c r="D8" s="6">
        <f>'Feedstock MIX per IVC'!J24</f>
        <v>-15.79651763616288</v>
      </c>
      <c r="E8" s="104">
        <f t="shared" si="1"/>
        <v>1502.2034823638371</v>
      </c>
      <c r="F8" s="263">
        <f t="shared" si="2"/>
        <v>0.40274171049582724</v>
      </c>
      <c r="G8" s="263">
        <f t="shared" si="3"/>
        <v>0.60777385402097561</v>
      </c>
      <c r="H8" s="263">
        <f t="shared" si="4"/>
        <v>-1.0515564516802876E-2</v>
      </c>
      <c r="I8">
        <f>(965+913-525)-1354</f>
        <v>-1</v>
      </c>
      <c r="J8" s="2">
        <f t="shared" si="0"/>
        <v>1503.2034823638371</v>
      </c>
    </row>
    <row r="9" spans="1:11" x14ac:dyDescent="0.35">
      <c r="A9" s="50" t="s">
        <v>143</v>
      </c>
      <c r="B9" s="104">
        <f>'CAPEX only'!K10</f>
        <v>605</v>
      </c>
      <c r="C9" s="6">
        <f>'OPEX only'!E10</f>
        <v>388</v>
      </c>
      <c r="D9" s="6">
        <f>'Feedstock MIX per IVC'!J24</f>
        <v>-15.79651763616288</v>
      </c>
      <c r="E9" s="104">
        <f t="shared" si="1"/>
        <v>977.20348236383711</v>
      </c>
      <c r="F9" s="263">
        <f t="shared" si="2"/>
        <v>0.61911363489671178</v>
      </c>
      <c r="G9" s="263">
        <f t="shared" si="3"/>
        <v>0.39705138899161019</v>
      </c>
      <c r="H9" s="263">
        <f t="shared" si="4"/>
        <v>-1.6165023888322007E-2</v>
      </c>
      <c r="I9">
        <f>(605+388+799)-1791</f>
        <v>1</v>
      </c>
      <c r="J9" s="2">
        <f t="shared" si="0"/>
        <v>976.20348236383711</v>
      </c>
      <c r="K9" s="24" t="s">
        <v>183</v>
      </c>
    </row>
    <row r="10" spans="1:11" x14ac:dyDescent="0.35">
      <c r="A10" s="50" t="s">
        <v>182</v>
      </c>
      <c r="B10" s="104">
        <v>605</v>
      </c>
      <c r="C10" s="6">
        <f>0.1*C8+0.9*C9</f>
        <v>440.5</v>
      </c>
      <c r="D10" s="6">
        <f>D9</f>
        <v>-15.79651763616288</v>
      </c>
      <c r="E10" s="104">
        <f>SUM(B10:D10)</f>
        <v>1029.7034823638371</v>
      </c>
      <c r="F10" s="263">
        <f t="shared" si="2"/>
        <v>0.58754778473811975</v>
      </c>
      <c r="G10" s="263">
        <f t="shared" si="3"/>
        <v>0.42779305649114335</v>
      </c>
      <c r="H10" s="263">
        <f t="shared" si="4"/>
        <v>-1.534084122926304E-2</v>
      </c>
      <c r="I10">
        <v>0</v>
      </c>
      <c r="J10" s="2">
        <f>0.1*J8+0.9*J9</f>
        <v>1028.9034823638372</v>
      </c>
    </row>
    <row r="11" spans="1:11" x14ac:dyDescent="0.35">
      <c r="A11" s="50" t="s">
        <v>134</v>
      </c>
      <c r="B11" s="104">
        <f>'CAPEX only'!K11</f>
        <v>281</v>
      </c>
      <c r="C11" s="6">
        <f>'OPEX only'!E11</f>
        <v>186</v>
      </c>
      <c r="D11" s="6">
        <f>'Feedstock MIX per IVC'!J34</f>
        <v>120.71547294709177</v>
      </c>
      <c r="E11" s="104">
        <f t="shared" si="1"/>
        <v>587.71547294709171</v>
      </c>
      <c r="F11" s="263">
        <f t="shared" si="2"/>
        <v>0.47812251494916258</v>
      </c>
      <c r="G11" s="263">
        <f t="shared" si="3"/>
        <v>0.31647967181688341</v>
      </c>
      <c r="H11" s="263">
        <f t="shared" si="4"/>
        <v>0.20539781323395415</v>
      </c>
      <c r="I11">
        <f>(281+186+200)-668</f>
        <v>-1</v>
      </c>
      <c r="J11" s="2">
        <f>B11+C11+D11-I11</f>
        <v>588.71547294709171</v>
      </c>
    </row>
    <row r="12" spans="1:11" x14ac:dyDescent="0.35">
      <c r="A12" s="50" t="s">
        <v>135</v>
      </c>
      <c r="B12" s="104">
        <v>136</v>
      </c>
      <c r="C12" s="6">
        <v>92</v>
      </c>
      <c r="D12" s="56">
        <f>E12-B12-C12</f>
        <v>708</v>
      </c>
      <c r="E12" s="104">
        <v>936</v>
      </c>
      <c r="F12" s="263">
        <f t="shared" si="2"/>
        <v>0.14529914529914531</v>
      </c>
      <c r="G12" s="263">
        <f t="shared" si="3"/>
        <v>9.8290598290598288E-2</v>
      </c>
      <c r="H12" s="263">
        <f t="shared" si="4"/>
        <v>0.75641025641025639</v>
      </c>
      <c r="I12">
        <v>0</v>
      </c>
      <c r="J12" s="104">
        <v>936</v>
      </c>
    </row>
    <row r="13" spans="1:11" x14ac:dyDescent="0.35">
      <c r="A13" s="50" t="s">
        <v>136</v>
      </c>
      <c r="B13" s="104">
        <f>'CAPEX only'!K13</f>
        <v>57</v>
      </c>
      <c r="C13" s="6">
        <f>'OPEX only'!E13</f>
        <v>29</v>
      </c>
      <c r="D13" s="56">
        <f>'Feedstock MIX per IVC'!J47</f>
        <v>291.86968567880001</v>
      </c>
      <c r="E13" s="104">
        <f t="shared" si="1"/>
        <v>377.86968567880001</v>
      </c>
      <c r="F13" s="263">
        <f t="shared" si="2"/>
        <v>0.15084565436257732</v>
      </c>
      <c r="G13" s="263">
        <f t="shared" si="3"/>
        <v>7.6746034675697239E-2</v>
      </c>
      <c r="H13" s="263">
        <f t="shared" si="4"/>
        <v>0.77240831096172546</v>
      </c>
      <c r="I13">
        <f>(57+29+427)-513</f>
        <v>0</v>
      </c>
      <c r="J13" s="2"/>
    </row>
    <row r="14" spans="1:11" x14ac:dyDescent="0.35">
      <c r="A14" s="50" t="s">
        <v>137</v>
      </c>
      <c r="B14" s="104">
        <f>'CAPEX only'!K14</f>
        <v>800</v>
      </c>
      <c r="C14" s="6">
        <f>'OPEX only'!E14</f>
        <v>360</v>
      </c>
      <c r="D14" s="56">
        <f>'Feedstock MIX per IVC'!J49</f>
        <v>212.15124948503106</v>
      </c>
      <c r="E14" s="104">
        <f t="shared" si="1"/>
        <v>1372.151249485031</v>
      </c>
      <c r="F14" s="263">
        <f t="shared" si="2"/>
        <v>0.58302610612368011</v>
      </c>
      <c r="G14" s="263">
        <f t="shared" si="3"/>
        <v>0.26236174775565607</v>
      </c>
      <c r="H14" s="263">
        <f t="shared" si="4"/>
        <v>0.15461214612066382</v>
      </c>
      <c r="I14">
        <f>(800+360+446)-1606</f>
        <v>0</v>
      </c>
      <c r="J14" s="2">
        <f>B14+C14+D14-I14</f>
        <v>1372.151249485031</v>
      </c>
    </row>
    <row r="15" spans="1:11" x14ac:dyDescent="0.35">
      <c r="A15" s="50" t="s">
        <v>138</v>
      </c>
      <c r="B15" s="104">
        <f>'CAPEX only'!K15</f>
        <v>128</v>
      </c>
      <c r="C15" s="6">
        <f>'OPEX only'!E15</f>
        <v>151</v>
      </c>
      <c r="D15" s="56">
        <f>'Feedstock MIX per IVC'!J60</f>
        <v>1696.5649183147032</v>
      </c>
      <c r="E15" s="104">
        <f t="shared" si="1"/>
        <v>1975.5649183147032</v>
      </c>
      <c r="F15" s="263">
        <f t="shared" si="2"/>
        <v>6.4791593945286829E-2</v>
      </c>
      <c r="G15" s="263">
        <f t="shared" si="3"/>
        <v>7.6433833482330557E-2</v>
      </c>
      <c r="H15" s="263">
        <f t="shared" si="4"/>
        <v>0.85877457257238266</v>
      </c>
      <c r="I15">
        <f>(128+151+976)-1255</f>
        <v>0</v>
      </c>
      <c r="J15" s="2">
        <f>B15+C15+D15-I15</f>
        <v>1975.5649183147032</v>
      </c>
    </row>
    <row r="16" spans="1:11" x14ac:dyDescent="0.35">
      <c r="A16" s="50" t="s">
        <v>348</v>
      </c>
      <c r="B16" s="104">
        <f>B17</f>
        <v>1445</v>
      </c>
      <c r="C16" s="6">
        <f>C17</f>
        <v>955</v>
      </c>
      <c r="D16" s="56">
        <f>'Feedstock MIX per IVC'!J62</f>
        <v>296.29898250094675</v>
      </c>
      <c r="E16" s="104">
        <f t="shared" si="1"/>
        <v>2696.2989825009467</v>
      </c>
      <c r="F16" s="263">
        <f t="shared" si="2"/>
        <v>0.53591979575636417</v>
      </c>
      <c r="G16" s="263">
        <f t="shared" si="3"/>
        <v>0.35418920757600542</v>
      </c>
      <c r="H16" s="263">
        <f>D16/E16</f>
        <v>0.10989099666763039</v>
      </c>
      <c r="J16" s="2"/>
    </row>
    <row r="17" spans="1:10" x14ac:dyDescent="0.35">
      <c r="A17" s="50" t="s">
        <v>349</v>
      </c>
      <c r="B17" s="104">
        <f>'CAPEX only'!K16</f>
        <v>1445</v>
      </c>
      <c r="C17" s="6">
        <f>'OPEX only'!E16</f>
        <v>955</v>
      </c>
      <c r="D17" s="6">
        <f>'Feedstock MIX per IVC'!J73</f>
        <v>574.25874439515565</v>
      </c>
      <c r="E17" s="104">
        <f t="shared" si="1"/>
        <v>2974.2587443951556</v>
      </c>
      <c r="F17" s="263">
        <f t="shared" si="2"/>
        <v>0.48583533719890087</v>
      </c>
      <c r="G17" s="263">
        <f t="shared" si="3"/>
        <v>0.32108840624564039</v>
      </c>
      <c r="H17" s="263">
        <f>D17/E17</f>
        <v>0.19307625655545874</v>
      </c>
      <c r="I17">
        <f>(1445+955+1329)-1922</f>
        <v>1807</v>
      </c>
      <c r="J17" s="2">
        <f>B17+C17+D17-I17</f>
        <v>1167.2587443951556</v>
      </c>
    </row>
    <row r="18" spans="1:10" x14ac:dyDescent="0.35">
      <c r="A18" s="50" t="s">
        <v>170</v>
      </c>
      <c r="B18" s="104">
        <f>'CAPEX only'!K17</f>
        <v>278</v>
      </c>
      <c r="C18" s="6">
        <f>'OPEX only'!E17</f>
        <v>393</v>
      </c>
      <c r="D18" s="6">
        <f>'Feedstock MIX per IVC'!J84</f>
        <v>317.03814186666671</v>
      </c>
      <c r="E18" s="104">
        <f t="shared" si="1"/>
        <v>988.03814186666671</v>
      </c>
      <c r="F18" s="263">
        <f t="shared" si="2"/>
        <v>0.28136565606139868</v>
      </c>
      <c r="G18" s="263">
        <f t="shared" si="3"/>
        <v>0.3977579238565816</v>
      </c>
      <c r="H18" s="263">
        <f t="shared" si="4"/>
        <v>0.32087642008201966</v>
      </c>
      <c r="I18">
        <f>(278+393+463)-1134</f>
        <v>0</v>
      </c>
      <c r="J18" s="2">
        <f>'CAPEX only'!J17</f>
        <v>277.23673736520732</v>
      </c>
    </row>
    <row r="19" spans="1:10" x14ac:dyDescent="0.35">
      <c r="A19" s="50" t="s">
        <v>169</v>
      </c>
      <c r="B19" s="104">
        <f>'CAPEX only'!K18</f>
        <v>1257</v>
      </c>
      <c r="C19">
        <v>904</v>
      </c>
      <c r="D19" s="6">
        <f>'Feedstock MIX per IVC'!J86</f>
        <v>340.75466666666671</v>
      </c>
      <c r="E19" s="104">
        <f t="shared" si="1"/>
        <v>2501.7546666666667</v>
      </c>
      <c r="F19" s="263">
        <f t="shared" si="2"/>
        <v>0.50244734895401411</v>
      </c>
      <c r="G19" s="263">
        <f t="shared" si="3"/>
        <v>0.36134638301863864</v>
      </c>
      <c r="H19" s="263">
        <f t="shared" si="4"/>
        <v>0.13620626802734723</v>
      </c>
      <c r="I19" s="2">
        <f>(1257+904+1064)-2681</f>
        <v>544</v>
      </c>
      <c r="J19" s="2">
        <f>B19+C19+D19-I19</f>
        <v>1957.7546666666667</v>
      </c>
    </row>
    <row r="20" spans="1:10" x14ac:dyDescent="0.35">
      <c r="A20" s="50" t="s">
        <v>232</v>
      </c>
      <c r="B20" s="104">
        <f>'CAPEX only'!K$19</f>
        <v>805</v>
      </c>
      <c r="C20" s="6">
        <f>'OPEX only'!E$19</f>
        <v>582</v>
      </c>
      <c r="D20" s="6">
        <f>'Feedstock MIX per IVC'!J88</f>
        <v>210.33597727349752</v>
      </c>
      <c r="E20" s="104">
        <f t="shared" si="1"/>
        <v>1597.3359772734975</v>
      </c>
      <c r="F20" s="263">
        <f t="shared" si="2"/>
        <v>0.50396410739715469</v>
      </c>
      <c r="G20" s="263">
        <f t="shared" si="3"/>
        <v>0.36435665901260128</v>
      </c>
      <c r="H20" s="263">
        <f t="shared" si="4"/>
        <v>0.13167923359024397</v>
      </c>
      <c r="I20">
        <f>(805+582+711)-1283</f>
        <v>815</v>
      </c>
      <c r="J20" s="2">
        <f>B20+C20+D20-I20</f>
        <v>782.33597727349752</v>
      </c>
    </row>
    <row r="21" spans="1:10" x14ac:dyDescent="0.35">
      <c r="A21" s="50" t="s">
        <v>231</v>
      </c>
      <c r="B21" s="104">
        <f>'CAPEX only'!K$19</f>
        <v>805</v>
      </c>
      <c r="C21" s="6">
        <f>'OPEX only'!E$19</f>
        <v>582</v>
      </c>
      <c r="D21" s="6">
        <f>'Feedstock MIX per IVC'!J97</f>
        <v>668.27856337741343</v>
      </c>
      <c r="E21" s="104">
        <f t="shared" si="1"/>
        <v>2055.2785633774133</v>
      </c>
      <c r="F21" s="263">
        <f t="shared" si="2"/>
        <v>0.39167440090318156</v>
      </c>
      <c r="G21" s="263">
        <f t="shared" si="3"/>
        <v>0.28317329357223808</v>
      </c>
      <c r="H21" s="263">
        <f t="shared" si="4"/>
        <v>0.32515230552458041</v>
      </c>
      <c r="J21" s="2"/>
    </row>
    <row r="22" spans="1:10" x14ac:dyDescent="0.35">
      <c r="A22" s="50" t="s">
        <v>233</v>
      </c>
      <c r="B22" s="104">
        <f>'CAPEX only'!K$20</f>
        <v>685</v>
      </c>
      <c r="C22" s="6">
        <f>'OPEX only'!E$20</f>
        <v>843.5</v>
      </c>
      <c r="D22" s="6">
        <f>'Feedstock MIX per IVC'!J106</f>
        <v>211.32010542760264</v>
      </c>
      <c r="E22" s="104">
        <f t="shared" si="1"/>
        <v>1739.8201054276026</v>
      </c>
      <c r="F22" s="263">
        <f t="shared" si="2"/>
        <v>0.39371886660181155</v>
      </c>
      <c r="G22" s="263">
        <f t="shared" si="3"/>
        <v>0.48482023938485846</v>
      </c>
      <c r="H22" s="263">
        <f t="shared" si="4"/>
        <v>0.12146089401332999</v>
      </c>
      <c r="J22" s="2">
        <f>B22+C22+D22-I22</f>
        <v>1739.8201054276026</v>
      </c>
    </row>
    <row r="23" spans="1:10" x14ac:dyDescent="0.35">
      <c r="A23" s="50" t="s">
        <v>234</v>
      </c>
      <c r="B23" s="104">
        <f>'CAPEX only'!K$20</f>
        <v>685</v>
      </c>
      <c r="C23" s="6">
        <f>'OPEX only'!E$20</f>
        <v>843.5</v>
      </c>
      <c r="D23" s="6">
        <f>'Feedstock MIX per IVC'!J115</f>
        <v>634.61720823442681</v>
      </c>
      <c r="E23" s="104">
        <f t="shared" si="1"/>
        <v>2163.1172082344269</v>
      </c>
      <c r="F23" s="263">
        <f t="shared" si="2"/>
        <v>0.31667262291307308</v>
      </c>
      <c r="G23" s="263">
        <f t="shared" si="3"/>
        <v>0.38994650719295931</v>
      </c>
      <c r="H23" s="263">
        <f t="shared" si="4"/>
        <v>0.29338086989396761</v>
      </c>
    </row>
  </sheetData>
  <pageMargins left="0.7" right="0.7" top="0.78740157499999996" bottom="0.78740157499999996"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C321-360A-4904-9570-4448E4CDEF7A}">
  <sheetPr codeName="Tabelle2"/>
  <dimension ref="A1:P124"/>
  <sheetViews>
    <sheetView zoomScale="92" zoomScaleNormal="92" workbookViewId="0">
      <pane ySplit="2" topLeftCell="A17" activePane="bottomLeft" state="frozen"/>
      <selection pane="bottomLeft" activeCell="A44" sqref="A44"/>
    </sheetView>
  </sheetViews>
  <sheetFormatPr baseColWidth="10" defaultRowHeight="14.5" x14ac:dyDescent="0.35"/>
  <cols>
    <col min="1" max="1" width="35.1796875" customWidth="1"/>
    <col min="2" max="2" width="17.453125" customWidth="1"/>
    <col min="3" max="3" width="15.7265625" customWidth="1"/>
    <col min="4" max="4" width="30.26953125" customWidth="1"/>
    <col min="5" max="5" width="18.6328125" style="52" customWidth="1"/>
    <col min="6" max="6" width="17.54296875" customWidth="1"/>
    <col min="7" max="7" width="14.54296875" customWidth="1"/>
    <col min="8" max="8" width="19.7265625" style="52" customWidth="1"/>
    <col min="9" max="9" width="14.1796875" customWidth="1"/>
    <col min="10" max="14" width="21.26953125" customWidth="1"/>
    <col min="15" max="15" width="15.81640625" customWidth="1"/>
    <col min="16" max="16" width="20.90625" customWidth="1"/>
  </cols>
  <sheetData>
    <row r="1" spans="1:16" ht="38" customHeight="1" x14ac:dyDescent="0.35">
      <c r="E1" s="141" t="s">
        <v>222</v>
      </c>
      <c r="F1" s="141"/>
      <c r="G1" s="141"/>
      <c r="H1" s="143" t="s">
        <v>223</v>
      </c>
      <c r="I1" s="143"/>
      <c r="J1" s="143"/>
      <c r="K1" s="250" t="s">
        <v>380</v>
      </c>
      <c r="L1" s="250"/>
      <c r="M1" s="198" t="s">
        <v>423</v>
      </c>
      <c r="N1" s="198"/>
      <c r="O1" s="45" t="s">
        <v>379</v>
      </c>
      <c r="P1" s="45"/>
    </row>
    <row r="2" spans="1:16" s="34" customFormat="1" ht="37" customHeight="1" x14ac:dyDescent="0.35">
      <c r="A2" s="34" t="s">
        <v>185</v>
      </c>
      <c r="B2" s="34" t="s">
        <v>110</v>
      </c>
      <c r="C2" s="34" t="s">
        <v>82</v>
      </c>
      <c r="D2" s="34" t="s">
        <v>86</v>
      </c>
      <c r="E2" s="140" t="s">
        <v>216</v>
      </c>
      <c r="F2" s="141" t="s">
        <v>219</v>
      </c>
      <c r="G2" s="141" t="s">
        <v>217</v>
      </c>
      <c r="H2" s="142" t="s">
        <v>218</v>
      </c>
      <c r="I2" s="143" t="s">
        <v>220</v>
      </c>
      <c r="J2" s="143" t="s">
        <v>217</v>
      </c>
      <c r="K2" s="250"/>
      <c r="L2" s="250"/>
      <c r="M2" s="198"/>
      <c r="N2" s="198"/>
      <c r="O2" s="45"/>
      <c r="P2" s="45"/>
    </row>
    <row r="3" spans="1:16" s="82" customFormat="1" x14ac:dyDescent="0.35">
      <c r="A3" s="82" t="s">
        <v>73</v>
      </c>
      <c r="E3" s="126"/>
      <c r="G3" s="81">
        <f>G4</f>
        <v>1000</v>
      </c>
      <c r="H3" s="126"/>
    </row>
    <row r="4" spans="1:16" x14ac:dyDescent="0.35">
      <c r="A4" t="s">
        <v>433</v>
      </c>
      <c r="B4">
        <v>1000</v>
      </c>
      <c r="C4">
        <v>1</v>
      </c>
      <c r="D4">
        <f>B4/C4</f>
        <v>1000</v>
      </c>
      <c r="E4" s="53">
        <v>1</v>
      </c>
      <c r="F4" s="35">
        <v>1</v>
      </c>
      <c r="G4" s="6">
        <f>D4*F4</f>
        <v>1000</v>
      </c>
      <c r="H4" s="53">
        <v>1</v>
      </c>
      <c r="I4" s="35">
        <v>1</v>
      </c>
      <c r="J4" s="6">
        <f>B4*I4</f>
        <v>1000</v>
      </c>
      <c r="K4" s="35">
        <v>1</v>
      </c>
      <c r="L4" s="6">
        <f>K4*D4</f>
        <v>1000</v>
      </c>
      <c r="M4" s="6">
        <f>(I4+O4)/2</f>
        <v>1</v>
      </c>
      <c r="N4" s="6">
        <f>M4*D4</f>
        <v>1000</v>
      </c>
      <c r="O4" s="35">
        <v>1</v>
      </c>
    </row>
    <row r="5" spans="1:16" s="82" customFormat="1" x14ac:dyDescent="0.35">
      <c r="A5" s="82" t="s">
        <v>74</v>
      </c>
      <c r="E5" s="126"/>
      <c r="F5" s="88">
        <f>SUM(F6:F7)</f>
        <v>0.99999999999999989</v>
      </c>
      <c r="G5" s="81">
        <f>SUM(G6:G7)</f>
        <v>613.68345125123074</v>
      </c>
      <c r="H5" s="126"/>
      <c r="J5" s="81">
        <f>J7+J6</f>
        <v>607.93151831991179</v>
      </c>
      <c r="K5" s="81">
        <f>SUM(K6:K7)</f>
        <v>1</v>
      </c>
      <c r="L5" s="81">
        <f>SUM(L6:L7)</f>
        <v>616.45177989680133</v>
      </c>
      <c r="M5" s="81">
        <f t="shared" ref="M5:N5" si="0">SUM(M6:M7)</f>
        <v>1</v>
      </c>
      <c r="N5" s="81">
        <f t="shared" si="0"/>
        <v>613.5758134311418</v>
      </c>
      <c r="O5" s="81">
        <f t="shared" ref="O5" si="1">SUM(O6:O7)</f>
        <v>0.99999999999999989</v>
      </c>
      <c r="P5" s="81">
        <f t="shared" ref="P5" si="2">SUM(P6:P7)</f>
        <v>619.22010854237158</v>
      </c>
    </row>
    <row r="6" spans="1:16" x14ac:dyDescent="0.35">
      <c r="A6" t="s">
        <v>162</v>
      </c>
      <c r="B6">
        <v>520</v>
      </c>
      <c r="C6" s="6">
        <f>'[2]Conversion factors selected IV '!$O$9</f>
        <v>0.95154545454545458</v>
      </c>
      <c r="D6">
        <f>B6/C6</f>
        <v>546.47941148371069</v>
      </c>
      <c r="E6" s="100">
        <f>'[2]Availabilities EU Austria'!$N$13/'[2]Availabilities EU Austria'!$N$10</f>
        <v>6.301154684279596E-2</v>
      </c>
      <c r="F6" s="63">
        <f>'[2]Availabilities EU Austria'!$AB$13/'[2]Availabilities EU Austria'!$AB$10</f>
        <v>0.16279945283889141</v>
      </c>
      <c r="G6" s="112">
        <f>F6*D6</f>
        <v>88.966549177267495</v>
      </c>
      <c r="H6" s="129">
        <f>'[2]Availabilities EU Austria'!$Q$13/'[2]Availabilities EU Austria'!$Q$10</f>
        <v>8.9199176736213054E-2</v>
      </c>
      <c r="I6" s="61">
        <f>'[2]Availabilities EU Austria'!$AC$13/'[2]Availabilities EU Austria'!$AC$10</f>
        <v>0.2344546898453686</v>
      </c>
      <c r="J6" s="6">
        <f>I6*D6</f>
        <v>128.12466092629296</v>
      </c>
      <c r="K6" s="6">
        <f>(F6+O6)/2</f>
        <v>0.12831274244453492</v>
      </c>
      <c r="L6" s="6">
        <f>K6*D6</f>
        <v>70.120271976950391</v>
      </c>
      <c r="M6" s="6">
        <f>(I6+O6)/2</f>
        <v>0.16414036094777351</v>
      </c>
      <c r="N6" s="6">
        <f>M6*D6</f>
        <v>89.699327851463124</v>
      </c>
      <c r="O6" s="3">
        <f>'[2]Availabilities EU Austria'!$X$13/'[2]Availabilities EU Austria'!$X$10</f>
        <v>9.3826032050178407E-2</v>
      </c>
      <c r="P6">
        <f>O6*D6</f>
        <v>51.273994776633273</v>
      </c>
    </row>
    <row r="7" spans="1:16" x14ac:dyDescent="0.35">
      <c r="A7" t="s">
        <v>161</v>
      </c>
      <c r="B7" s="24">
        <v>96.44</v>
      </c>
      <c r="C7" s="6">
        <f>'[2]Conversion factors selected IV '!$G$10</f>
        <v>0.15387272727272727</v>
      </c>
      <c r="D7" s="6">
        <f>B7/C7</f>
        <v>626.75174288077517</v>
      </c>
      <c r="E7" s="100">
        <f>('[2]Availabilities EU Austria'!$N$15+'[2]Availabilities EU Austria'!$N$14)/'[2]Availabilities EU Austria'!$N$10</f>
        <v>0.93698845315720403</v>
      </c>
      <c r="F7" s="63">
        <f>('[2]Availabilities EU Austria'!$AB$14+'[2]Availabilities EU Austria'!$AB$15)/'[2]Availabilities EU Austria'!$AB$10</f>
        <v>0.83720054716110848</v>
      </c>
      <c r="G7" s="112">
        <f>F7*D7</f>
        <v>524.7169020739633</v>
      </c>
      <c r="H7" s="129">
        <f>('[2]Availabilities EU Austria'!$Q$14+'[2]Availabilities EU Austria'!$Q$15)/'[2]Availabilities EU Austria'!$Q$10</f>
        <v>0.91080082326378686</v>
      </c>
      <c r="I7" s="61">
        <f>('[2]Availabilities EU Austria'!$AC$14+'[2]Availabilities EU Austria'!$AC$15)/'[2]Availabilities EU Austria'!$AC$10</f>
        <v>0.76554531015463145</v>
      </c>
      <c r="J7" s="6">
        <f>I7*D7</f>
        <v>479.80685739361883</v>
      </c>
      <c r="K7" s="6">
        <f>(F7+O7)/2</f>
        <v>0.87168725755546506</v>
      </c>
      <c r="L7" s="6">
        <f>K7*D7</f>
        <v>546.33150791985088</v>
      </c>
      <c r="M7" s="6">
        <f t="shared" ref="M7:M68" si="3">(I7+O7)/2</f>
        <v>0.83585963905222649</v>
      </c>
      <c r="N7" s="6">
        <f>M7*D7</f>
        <v>523.87648557967862</v>
      </c>
      <c r="O7" s="3">
        <f>('[2]Availabilities EU Austria'!$X$14+'[2]Availabilities EU Austria'!$X$15)/'[2]Availabilities EU Austria'!$X$10</f>
        <v>0.90617396794982152</v>
      </c>
      <c r="P7">
        <f>O7*D7</f>
        <v>567.94611376573835</v>
      </c>
    </row>
    <row r="8" spans="1:16" s="82" customFormat="1" x14ac:dyDescent="0.35">
      <c r="A8" s="82" t="s">
        <v>91</v>
      </c>
      <c r="E8" s="126"/>
      <c r="F8" s="82">
        <f>SUM(F9:F11)</f>
        <v>1</v>
      </c>
      <c r="G8" s="81">
        <f>SUM(G9:G11)</f>
        <v>869.29439932891864</v>
      </c>
      <c r="H8" s="126"/>
      <c r="I8" s="88">
        <f>SUM(I9:I11)</f>
        <v>1</v>
      </c>
      <c r="J8" s="81">
        <f>SUM(J9:J11)</f>
        <v>954.90946308425873</v>
      </c>
      <c r="K8" s="81">
        <f t="shared" ref="K8:L8" si="4">SUM(K9:K11)</f>
        <v>1</v>
      </c>
      <c r="L8" s="81">
        <f t="shared" si="4"/>
        <v>849.01953174193432</v>
      </c>
      <c r="M8" s="81">
        <f t="shared" ref="M8" si="5">SUM(M9:M11)</f>
        <v>1</v>
      </c>
      <c r="N8" s="81">
        <f t="shared" ref="N8" si="6">SUM(N9:N11)</f>
        <v>891.82706361960459</v>
      </c>
      <c r="O8" s="82">
        <f>SUM(O9:O11)</f>
        <v>1</v>
      </c>
      <c r="P8" s="81">
        <f>SUM(P9:P11)</f>
        <v>828.74466415495021</v>
      </c>
    </row>
    <row r="9" spans="1:16" x14ac:dyDescent="0.35">
      <c r="A9" t="s">
        <v>83</v>
      </c>
      <c r="B9">
        <v>520</v>
      </c>
      <c r="C9" s="6">
        <f>'[2]Conversion factors selected IV '!$G$12</f>
        <v>0.42350471353132874</v>
      </c>
      <c r="D9" s="6">
        <f>B9/C9</f>
        <v>1227.849380149893</v>
      </c>
      <c r="E9" s="100">
        <f>'[2]Availabilities EU Austria'!$N$21/'[2]Availabilities EU Austria'!$N$16</f>
        <v>7.2434800518989706E-2</v>
      </c>
      <c r="F9" s="63">
        <f>'[2]Availabilities EU Austria'!$AB$21/'[2]Availabilities EU Austria'!$AB$16</f>
        <v>0.28750596065868644</v>
      </c>
      <c r="G9" s="6">
        <f>D9*F9</f>
        <v>353.01401558416768</v>
      </c>
      <c r="H9" s="129">
        <f>'[2]Availabilities EU Austria'!$Q$21/'[2]Availabilities EU Austria'!$Q$16</f>
        <v>0.11542721613047531</v>
      </c>
      <c r="I9" s="61">
        <f>'[2]Availabilities EU Austria'!$AC$21/'[2]Availabilities EU Austria'!$AC$16</f>
        <v>0.40686830205328323</v>
      </c>
      <c r="J9" s="6">
        <f>D9*I9</f>
        <v>499.57299247876324</v>
      </c>
      <c r="K9" s="6">
        <f>(F9+O9)/2</f>
        <v>0.24357774811778438</v>
      </c>
      <c r="L9" s="6">
        <f>K9*D9</f>
        <v>299.07678704472829</v>
      </c>
      <c r="M9" s="6">
        <f t="shared" si="3"/>
        <v>0.30325891881508277</v>
      </c>
      <c r="N9" s="6">
        <f>M9*D9</f>
        <v>372.3562754920261</v>
      </c>
      <c r="O9" s="3">
        <f>'[2]Availabilities EU Austria'!$AD$21/'[2]Availabilities EU Austria'!$AD$16</f>
        <v>0.19964953557688228</v>
      </c>
      <c r="P9" s="6">
        <f>O9*D9</f>
        <v>245.13955850528893</v>
      </c>
    </row>
    <row r="10" spans="1:16" x14ac:dyDescent="0.35">
      <c r="A10" t="s">
        <v>162</v>
      </c>
      <c r="B10">
        <v>520</v>
      </c>
      <c r="C10" s="6">
        <f>'[2]Conversion factors selected IV '!$G$12</f>
        <v>0.42350471353132874</v>
      </c>
      <c r="D10" s="6">
        <f>B10/C10</f>
        <v>1227.849380149893</v>
      </c>
      <c r="E10" s="100">
        <f>'[2]Availabilities EU Austria'!$N$23/'[2]Availabilities EU Austria'!$N$16</f>
        <v>5.8447318016845058E-2</v>
      </c>
      <c r="F10" s="63">
        <f>'[2]Availabilities EU Austria'!$AB$23/'[2]Availabilities EU Austria'!$AB$16</f>
        <v>0.11599363975573744</v>
      </c>
      <c r="G10" s="6">
        <f>D10*F10</f>
        <v>142.4227186754122</v>
      </c>
      <c r="H10" s="129">
        <f>'[2]Availabilities EU Austria'!$Q$23/'[2]Availabilities EU Austria'!$Q$16</f>
        <v>7.8903164084421717E-2</v>
      </c>
      <c r="I10" s="61">
        <f>'[2]Availabilities EU Austria'!$AC$23/'[2]Availabilities EU Austria'!$AC$16</f>
        <v>0.13906250827955435</v>
      </c>
      <c r="J10" s="6">
        <f>D10*I10</f>
        <v>170.74781459314019</v>
      </c>
      <c r="K10" s="6">
        <f>(F10+O10)/2</f>
        <v>0.12619211135289515</v>
      </c>
      <c r="L10" s="6">
        <f>K10*D10</f>
        <v>154.94490570445859</v>
      </c>
      <c r="M10" s="6">
        <f t="shared" si="3"/>
        <v>0.1377265456148036</v>
      </c>
      <c r="N10" s="6">
        <f>M10*D10</f>
        <v>169.10745366332256</v>
      </c>
      <c r="O10" s="3">
        <f>'[2]Availabilities EU Austria'!$AD$23/'[2]Availabilities EU Austria'!$AD$16</f>
        <v>0.13639058295005285</v>
      </c>
      <c r="P10" s="6">
        <f>O10*D10</f>
        <v>167.46709273350496</v>
      </c>
    </row>
    <row r="11" spans="1:16" x14ac:dyDescent="0.35">
      <c r="A11" t="s">
        <v>161</v>
      </c>
      <c r="B11" s="24">
        <v>96.44</v>
      </c>
      <c r="C11" s="6">
        <f>'[2]Conversion factors selected IV '!$G$15</f>
        <v>0.15387272727272727</v>
      </c>
      <c r="D11" s="6">
        <f>B11/C11</f>
        <v>626.75174288077517</v>
      </c>
      <c r="E11" s="100">
        <f>('[2]Availabilities EU Austria'!$N$24+'[2]Availabilities EU Austria'!$N$25)/'[2]Availabilities EU Austria'!$N$16</f>
        <v>0.86911788146416524</v>
      </c>
      <c r="F11" s="63">
        <f>('[2]Availabilities EU Austria'!$AB$24+'[2]Availabilities EU Austria'!$AB$25)/'[2]Availabilities EU Austria'!$AB$16</f>
        <v>0.59650039958557621</v>
      </c>
      <c r="G11" s="6">
        <f>D11*F11</f>
        <v>373.85766506933874</v>
      </c>
      <c r="H11" s="129">
        <f>('[2]Availabilities EU Austria'!$Q$24+'[2]Availabilities EU Austria'!$Q$25)/'[2]Availabilities EU Austria'!$Q$16</f>
        <v>0.80566961978510288</v>
      </c>
      <c r="I11" s="61">
        <f>('[2]Availabilities EU Austria'!$AC$24+'[2]Availabilities EU Austria'!$AC$25)/'[2]Availabilities EU Austria'!$AC$16</f>
        <v>0.45406918966716248</v>
      </c>
      <c r="J11" s="6">
        <f>D11*I11</f>
        <v>284.58865601235533</v>
      </c>
      <c r="K11" s="6">
        <f>(F11+O11)/2</f>
        <v>0.63023014052932047</v>
      </c>
      <c r="L11" s="6">
        <f>K11*D11</f>
        <v>394.99783899274746</v>
      </c>
      <c r="M11" s="6">
        <f t="shared" si="3"/>
        <v>0.55901453557011371</v>
      </c>
      <c r="N11" s="6">
        <f>M11*D11</f>
        <v>350.36333446425584</v>
      </c>
      <c r="O11" s="3">
        <f>('[2]Availabilities EU Austria'!$AD$24+'[2]Availabilities EU Austria'!$AD$25)/'[2]Availabilities EU Austria'!$AD$16</f>
        <v>0.66395988147306484</v>
      </c>
      <c r="P11" s="6">
        <f>O11*D11</f>
        <v>416.1380129161563</v>
      </c>
    </row>
    <row r="12" spans="1:16" s="82" customFormat="1" x14ac:dyDescent="0.35">
      <c r="A12" s="82" t="s">
        <v>92</v>
      </c>
      <c r="E12" s="126"/>
      <c r="F12" s="81">
        <f>SUM(F13:F16)</f>
        <v>1</v>
      </c>
      <c r="G12" s="81">
        <f>SUM(G13:G16)</f>
        <v>314.42524032703489</v>
      </c>
      <c r="H12" s="81">
        <f t="shared" ref="H12:O12" si="7">SUM(H13:H16)</f>
        <v>1.0000000000000002</v>
      </c>
      <c r="I12" s="81">
        <f t="shared" si="7"/>
        <v>1</v>
      </c>
      <c r="J12" s="81">
        <f t="shared" si="7"/>
        <v>316.05264771526151</v>
      </c>
      <c r="K12" s="81">
        <f t="shared" si="7"/>
        <v>1</v>
      </c>
      <c r="L12" s="81">
        <f t="shared" si="7"/>
        <v>321.52553088673051</v>
      </c>
      <c r="M12" s="81">
        <f t="shared" si="7"/>
        <v>1</v>
      </c>
      <c r="N12" s="81">
        <f t="shared" si="7"/>
        <v>322.33923458084382</v>
      </c>
      <c r="O12" s="81">
        <f t="shared" si="7"/>
        <v>1</v>
      </c>
      <c r="P12" s="81">
        <f>SUM(P13:P16)</f>
        <v>328.62582144642613</v>
      </c>
    </row>
    <row r="13" spans="1:16" x14ac:dyDescent="0.35">
      <c r="A13" s="7" t="s">
        <v>5</v>
      </c>
      <c r="B13" s="24">
        <v>58</v>
      </c>
      <c r="C13" s="6">
        <f>'[2]Conversion factors selected IV '!$G$17</f>
        <v>0.18050496028765164</v>
      </c>
      <c r="D13" s="6">
        <f>B13/C13</f>
        <v>321.32080973050017</v>
      </c>
      <c r="E13" s="100">
        <f>'[2]Availabilities EU Austria'!$N$27/'[2]Availabilities EU Austria'!$N$26</f>
        <v>0.73688392593424479</v>
      </c>
      <c r="F13" s="61">
        <f>'[2]Availabilities EU Austria'!$AB$27/'[2]Availabilities EU Austria'!$AB$26</f>
        <v>0.71068977507791309</v>
      </c>
      <c r="G13" s="6">
        <f>D13*F13</f>
        <v>228.35941399522207</v>
      </c>
      <c r="H13" s="129">
        <f>'[2]Availabilities EU Austria'!$Q$27/'[2]Availabilities EU Austria'!$Q$26</f>
        <v>0.7478949467942918</v>
      </c>
      <c r="I13" s="61">
        <f>'[2]Availabilities EU Austria'!$AC27/'[2]Availabilities EU Austria'!$AC$26</f>
        <v>0.72394932816334623</v>
      </c>
      <c r="J13" s="6">
        <f>D13*I13</f>
        <v>232.61998432929801</v>
      </c>
      <c r="K13" s="6">
        <f>(F13+O13)/2</f>
        <v>0.64236331120335322</v>
      </c>
      <c r="L13" s="6">
        <f>K13*D13</f>
        <v>206.40469929702672</v>
      </c>
      <c r="M13" s="6">
        <f t="shared" si="3"/>
        <v>0.64899308774606979</v>
      </c>
      <c r="N13" s="6">
        <f>M13*D13</f>
        <v>208.53498446406471</v>
      </c>
      <c r="O13" s="3">
        <f>'[2]Availabilities EU Austria'!$AD$27/'[2]Availabilities EU Austria'!$AD$26</f>
        <v>0.57403684732879334</v>
      </c>
      <c r="P13" s="6">
        <f>O13*D13</f>
        <v>184.44998459883138</v>
      </c>
    </row>
    <row r="14" spans="1:16" x14ac:dyDescent="0.35">
      <c r="A14" s="7" t="s">
        <v>8</v>
      </c>
      <c r="B14">
        <v>69</v>
      </c>
      <c r="C14" s="6">
        <f>'[2]Conversion factors selected IV '!$G$18</f>
        <v>0.18050496028765164</v>
      </c>
      <c r="D14" s="6">
        <f t="shared" ref="D14:D43" si="8">B14/C14</f>
        <v>382.26096330007778</v>
      </c>
      <c r="E14" s="100">
        <f>'[2]Availabilities EU Austria'!$N$28/'[2]Availabilities EU Austria'!$N$26</f>
        <v>2.8841348280385298E-2</v>
      </c>
      <c r="F14" s="61">
        <f>'[2]Availabilities EU Austria'!$AB$28/'[2]Availabilities EU Austria'!$AB$26</f>
        <v>2.7816119474099968E-2</v>
      </c>
      <c r="G14" s="6">
        <f t="shared" ref="G14:G91" si="9">D14*F14</f>
        <v>10.633016625439506</v>
      </c>
      <c r="H14" s="129">
        <f>'[2]Availabilities EU Austria'!$Q$28/'[2]Availabilities EU Austria'!$Q$26</f>
        <v>3.1508835735500146E-2</v>
      </c>
      <c r="I14" s="61">
        <f>'[2]Availabilities EU Austria'!$AC28/'[2]Availabilities EU Austria'!$AC$26</f>
        <v>3.0500006130137244E-2</v>
      </c>
      <c r="J14" s="6">
        <f>D14*I14</f>
        <v>11.65896172396454</v>
      </c>
      <c r="K14" s="6">
        <f>(F14+O14)/2</f>
        <v>0.112755263570506</v>
      </c>
      <c r="L14" s="6">
        <f>K14*D14</f>
        <v>43.101935669615791</v>
      </c>
      <c r="M14" s="6">
        <f t="shared" si="3"/>
        <v>0.11409720689852465</v>
      </c>
      <c r="N14" s="6">
        <f>M14*D14</f>
        <v>43.614908218878313</v>
      </c>
      <c r="O14" s="3">
        <f>'[2]Availabilities EU Austria'!$AD$28/'[2]Availabilities EU Austria'!$AD$26</f>
        <v>0.19769440766691204</v>
      </c>
      <c r="P14" s="6">
        <f>O14*D14</f>
        <v>75.570854713792073</v>
      </c>
    </row>
    <row r="15" spans="1:16" x14ac:dyDescent="0.35">
      <c r="A15" s="7" t="s">
        <v>9</v>
      </c>
      <c r="B15">
        <v>69</v>
      </c>
      <c r="C15" s="6">
        <f>'[2]Conversion factors selected IV '!$G$19</f>
        <v>0.18050496028765164</v>
      </c>
      <c r="D15" s="6">
        <f t="shared" si="8"/>
        <v>382.26096330007778</v>
      </c>
      <c r="E15" s="100">
        <f>'[2]Availabilities EU Austria'!$N$29/'[2]Availabilities EU Austria'!$N$26</f>
        <v>1.3130549170812876E-2</v>
      </c>
      <c r="F15" s="61">
        <f>'[2]Availabilities EU Austria'!$AB$29/'[2]Availabilities EU Austria'!$AB$26</f>
        <v>1.2663795081461978E-2</v>
      </c>
      <c r="G15" s="6">
        <f t="shared" si="9"/>
        <v>4.8408745068744423</v>
      </c>
      <c r="H15" s="129">
        <f>'[2]Availabilities EU Austria'!$Q$29/'[2]Availabilities EU Austria'!$Q$26</f>
        <v>2.2137974335744163E-2</v>
      </c>
      <c r="I15" s="61">
        <f>'[2]Availabilities EU Austria'!$AC29/'[2]Availabilities EU Austria'!$AC$26</f>
        <v>2.142917493420041E-2</v>
      </c>
      <c r="J15" s="6">
        <f>D15*I15</f>
        <v>8.1915370530733291</v>
      </c>
      <c r="K15" s="6">
        <f>(F15+O15)/2</f>
        <v>2.584301959508898E-2</v>
      </c>
      <c r="L15" s="6">
        <f>K15*D15</f>
        <v>9.8787775650014993</v>
      </c>
      <c r="M15" s="6">
        <f>(I15+O15)/2</f>
        <v>3.0225709521458199E-2</v>
      </c>
      <c r="N15" s="6">
        <f>M15*D15</f>
        <v>11.554108838100944</v>
      </c>
      <c r="O15" s="3">
        <f>'[2]Availabilities EU Austria'!$AD$29/'[2]Availabilities EU Austria'!$AD$26</f>
        <v>3.9022244108715985E-2</v>
      </c>
      <c r="P15" s="6">
        <f>O15*D15</f>
        <v>14.916680623128558</v>
      </c>
    </row>
    <row r="16" spans="1:16" ht="13" customHeight="1" x14ac:dyDescent="0.35">
      <c r="A16" s="7" t="s">
        <v>11</v>
      </c>
      <c r="B16">
        <v>67</v>
      </c>
      <c r="C16" s="6">
        <f>'[2]Conversion factors selected IV '!$G$20</f>
        <v>0.23616905737803762</v>
      </c>
      <c r="D16" s="6">
        <f t="shared" si="8"/>
        <v>283.69508158197283</v>
      </c>
      <c r="E16" s="100">
        <f>'[2]Availabilities EU Austria'!$N$30/'[2]Availabilities EU Austria'!$N$26</f>
        <v>0.22114417661455707</v>
      </c>
      <c r="F16" s="61">
        <f>'[2]Availabilities EU Austria'!$AB$30/'[2]Availabilities EU Austria'!$AB$26</f>
        <v>0.24883031036652495</v>
      </c>
      <c r="G16" s="6">
        <f t="shared" si="9"/>
        <v>70.59193519949892</v>
      </c>
      <c r="H16" s="129">
        <f>'[2]Availabilities EU Austria'!$Q$30/'[2]Availabilities EU Austria'!$Q$26</f>
        <v>0.19845824313446406</v>
      </c>
      <c r="I16" s="61">
        <f>'[2]Availabilities EU Austria'!$AC30/'[2]Availabilities EU Austria'!$AC$26</f>
        <v>0.22412149077231625</v>
      </c>
      <c r="J16" s="6">
        <f>D16*I16</f>
        <v>63.58216460892563</v>
      </c>
      <c r="K16" s="6">
        <f>(F16+O16)/2</f>
        <v>0.21903840563105181</v>
      </c>
      <c r="L16" s="6">
        <f>K16*D16</f>
        <v>62.1401183550865</v>
      </c>
      <c r="M16" s="6">
        <f t="shared" si="3"/>
        <v>0.20668399583394748</v>
      </c>
      <c r="N16" s="6">
        <f>M16*D16</f>
        <v>58.635233059799859</v>
      </c>
      <c r="O16" s="3">
        <f>'[2]Availabilities EU Austria'!$AD$30/'[2]Availabilities EU Austria'!$AD$26</f>
        <v>0.18924650089557868</v>
      </c>
      <c r="P16" s="6">
        <f>O16*D16</f>
        <v>53.688301510674087</v>
      </c>
    </row>
    <row r="17" spans="1:16" s="126" customFormat="1" x14ac:dyDescent="0.35">
      <c r="A17" s="126" t="s">
        <v>93</v>
      </c>
      <c r="G17" s="127">
        <f t="shared" si="9"/>
        <v>0</v>
      </c>
      <c r="J17" s="127"/>
      <c r="K17" s="127"/>
      <c r="L17" s="127"/>
      <c r="M17" s="127"/>
      <c r="N17" s="127"/>
    </row>
    <row r="18" spans="1:16" s="52" customFormat="1" x14ac:dyDescent="0.35">
      <c r="A18" s="128" t="s">
        <v>5</v>
      </c>
      <c r="B18" s="52">
        <v>58</v>
      </c>
      <c r="C18" s="91">
        <f>'[2]Conversion factors selected IV '!$G$22</f>
        <v>5.3146356056851488E-2</v>
      </c>
      <c r="D18" s="91">
        <f>B18/C18</f>
        <v>1091.3259967994136</v>
      </c>
      <c r="E18" s="100">
        <f>'[2]Availabilities EU Austria'!$N$27/'[2]Availabilities EU Austria'!$N$26</f>
        <v>0.73688392593424479</v>
      </c>
      <c r="F18" s="100"/>
      <c r="G18" s="6">
        <f t="shared" si="9"/>
        <v>0</v>
      </c>
      <c r="H18" s="129">
        <f>'[2]Availabilities EU Austria'!$Q$27/'[2]Availabilities EU Austria'!$Q$26</f>
        <v>0.7478949467942918</v>
      </c>
      <c r="I18"/>
      <c r="J18" s="91"/>
      <c r="K18" s="91"/>
      <c r="L18" s="6">
        <f>K18*D18</f>
        <v>0</v>
      </c>
      <c r="M18" s="6">
        <f t="shared" si="3"/>
        <v>0</v>
      </c>
      <c r="N18" s="6">
        <f>M18*D18</f>
        <v>0</v>
      </c>
    </row>
    <row r="19" spans="1:16" s="52" customFormat="1" x14ac:dyDescent="0.35">
      <c r="A19" s="128" t="s">
        <v>8</v>
      </c>
      <c r="B19" s="52">
        <v>69</v>
      </c>
      <c r="C19" s="91">
        <f>'[2]Conversion factors selected IV '!$G$23</f>
        <v>5.3146356056851488E-2</v>
      </c>
      <c r="D19" s="91">
        <f t="shared" si="8"/>
        <v>1298.3016168820609</v>
      </c>
      <c r="E19" s="100">
        <f>'[2]Availabilities EU Austria'!$N$28/'[2]Availabilities EU Austria'!$N$26</f>
        <v>2.8841348280385298E-2</v>
      </c>
      <c r="F19" s="100"/>
      <c r="G19" s="6">
        <f t="shared" si="9"/>
        <v>0</v>
      </c>
      <c r="H19" s="129">
        <f>'[2]Availabilities EU Austria'!$Q$28/'[2]Availabilities EU Austria'!$Q$26</f>
        <v>3.1508835735500146E-2</v>
      </c>
      <c r="I19"/>
      <c r="J19" s="91"/>
      <c r="K19" s="91"/>
      <c r="L19" s="6">
        <f>K19*D19</f>
        <v>0</v>
      </c>
      <c r="M19" s="6">
        <f t="shared" si="3"/>
        <v>0</v>
      </c>
      <c r="N19" s="6">
        <f>M19*D19</f>
        <v>0</v>
      </c>
    </row>
    <row r="20" spans="1:16" s="52" customFormat="1" x14ac:dyDescent="0.35">
      <c r="A20" s="128" t="s">
        <v>9</v>
      </c>
      <c r="B20" s="52">
        <v>69</v>
      </c>
      <c r="C20" s="91">
        <f>'[2]Conversion factors selected IV '!$G$24</f>
        <v>5.3146356056851488E-2</v>
      </c>
      <c r="D20" s="91">
        <f t="shared" si="8"/>
        <v>1298.3016168820609</v>
      </c>
      <c r="E20" s="100">
        <f>'[2]Availabilities EU Austria'!$N$29/'[2]Availabilities EU Austria'!$N$26</f>
        <v>1.3130549170812876E-2</v>
      </c>
      <c r="F20" s="100"/>
      <c r="G20" s="6">
        <f t="shared" si="9"/>
        <v>0</v>
      </c>
      <c r="H20" s="129">
        <f>'[2]Availabilities EU Austria'!$Q$29/'[2]Availabilities EU Austria'!$Q$26</f>
        <v>2.2137974335744163E-2</v>
      </c>
      <c r="I20"/>
      <c r="J20" s="91"/>
      <c r="K20" s="91"/>
      <c r="L20" s="6">
        <f>K20*D20</f>
        <v>0</v>
      </c>
      <c r="M20" s="6">
        <f t="shared" si="3"/>
        <v>0</v>
      </c>
      <c r="N20" s="6">
        <f>M20*D20</f>
        <v>0</v>
      </c>
    </row>
    <row r="21" spans="1:16" s="52" customFormat="1" x14ac:dyDescent="0.35">
      <c r="A21" s="128" t="s">
        <v>11</v>
      </c>
      <c r="B21" s="52">
        <v>67</v>
      </c>
      <c r="C21" s="91">
        <f>'[2]Conversion factors selected IV '!$G$25</f>
        <v>6.9535622694368845E-2</v>
      </c>
      <c r="D21" s="91">
        <f t="shared" si="8"/>
        <v>963.5349106527209</v>
      </c>
      <c r="E21" s="100">
        <f>'[2]Availabilities EU Austria'!$N$30/'[2]Availabilities EU Austria'!$N$26</f>
        <v>0.22114417661455707</v>
      </c>
      <c r="F21" s="100"/>
      <c r="G21" s="6">
        <f t="shared" si="9"/>
        <v>0</v>
      </c>
      <c r="H21" s="129">
        <f>'[2]Availabilities EU Austria'!$Q$30/'[2]Availabilities EU Austria'!$Q$26</f>
        <v>0.19845824313446406</v>
      </c>
      <c r="I21"/>
      <c r="J21" s="91"/>
      <c r="K21" s="91"/>
      <c r="L21" s="6">
        <f>K21*D21</f>
        <v>0</v>
      </c>
      <c r="M21" s="6">
        <f t="shared" si="3"/>
        <v>0</v>
      </c>
      <c r="N21" s="6">
        <f>M21*D21</f>
        <v>0</v>
      </c>
    </row>
    <row r="22" spans="1:16" s="82" customFormat="1" x14ac:dyDescent="0.35">
      <c r="A22" s="82" t="s">
        <v>18</v>
      </c>
      <c r="E22" s="126"/>
      <c r="G22" s="81">
        <f>G23</f>
        <v>205.19148936170214</v>
      </c>
      <c r="H22" s="81">
        <f t="shared" ref="H22:N22" si="10">H23</f>
        <v>1</v>
      </c>
      <c r="I22" s="81">
        <f t="shared" si="10"/>
        <v>1</v>
      </c>
      <c r="J22" s="81">
        <f t="shared" si="10"/>
        <v>205.19148936170214</v>
      </c>
      <c r="K22" s="81">
        <f t="shared" si="10"/>
        <v>1</v>
      </c>
      <c r="L22" s="81">
        <f t="shared" si="10"/>
        <v>205.19148936170214</v>
      </c>
      <c r="M22" s="81">
        <f t="shared" si="10"/>
        <v>1</v>
      </c>
      <c r="N22" s="81">
        <f t="shared" si="10"/>
        <v>205.19148936170214</v>
      </c>
    </row>
    <row r="23" spans="1:16" x14ac:dyDescent="0.35">
      <c r="A23" s="36" t="s">
        <v>17</v>
      </c>
      <c r="B23" s="24">
        <v>96.44</v>
      </c>
      <c r="C23" s="6">
        <f>'[2]Conversion factors selected IV '!$G$27</f>
        <v>0.47</v>
      </c>
      <c r="D23" s="6">
        <f t="shared" si="8"/>
        <v>205.19148936170214</v>
      </c>
      <c r="E23" s="100">
        <v>1</v>
      </c>
      <c r="F23" s="63">
        <v>1</v>
      </c>
      <c r="G23" s="6">
        <f t="shared" si="9"/>
        <v>205.19148936170214</v>
      </c>
      <c r="H23" s="135">
        <v>1</v>
      </c>
      <c r="I23">
        <f>100%</f>
        <v>1</v>
      </c>
      <c r="J23" s="6">
        <f>D23</f>
        <v>205.19148936170214</v>
      </c>
      <c r="K23" s="6">
        <f>(F23+O23)/2</f>
        <v>1</v>
      </c>
      <c r="L23" s="6">
        <f>K23*D23</f>
        <v>205.19148936170214</v>
      </c>
      <c r="M23" s="6">
        <f t="shared" si="3"/>
        <v>1</v>
      </c>
      <c r="N23" s="6">
        <f>M23*D23</f>
        <v>205.19148936170214</v>
      </c>
      <c r="O23" s="35">
        <v>1</v>
      </c>
      <c r="P23" s="6">
        <v>205.19148936170214</v>
      </c>
    </row>
    <row r="24" spans="1:16" s="82" customFormat="1" x14ac:dyDescent="0.35">
      <c r="A24" s="81" t="s">
        <v>240</v>
      </c>
      <c r="E24" s="131">
        <f>SUM(E25:E33)</f>
        <v>2</v>
      </c>
      <c r="F24" s="88">
        <f>SUM(F25:F33)</f>
        <v>1</v>
      </c>
      <c r="G24" s="81">
        <f>SUM(G25:G33)</f>
        <v>-21.081531577440508</v>
      </c>
      <c r="H24" s="81">
        <f t="shared" ref="H24:I24" si="11">SUM(H25:H33)</f>
        <v>0.99999999999999989</v>
      </c>
      <c r="I24" s="81">
        <f t="shared" si="11"/>
        <v>0.99999999999999978</v>
      </c>
      <c r="J24" s="81">
        <f>SUM(J25:J33)</f>
        <v>-15.79651763616288</v>
      </c>
      <c r="K24" s="81">
        <f t="shared" ref="K24:L24" si="12">SUM(K25:K33)</f>
        <v>1</v>
      </c>
      <c r="L24" s="81">
        <f t="shared" si="12"/>
        <v>-12.042465506432087</v>
      </c>
      <c r="M24" s="81">
        <f t="shared" ref="M24" si="13">SUM(M25:M33)</f>
        <v>1.0000000000000002</v>
      </c>
      <c r="N24" s="81">
        <f t="shared" ref="N24" si="14">SUM(N25:N33)</f>
        <v>-9.3999585357932798</v>
      </c>
      <c r="O24" s="81">
        <f>SUM(O25:O33)</f>
        <v>1</v>
      </c>
      <c r="P24" s="81">
        <f>SUM(P25:P33)</f>
        <v>-3.0033994354236828</v>
      </c>
    </row>
    <row r="25" spans="1:16" x14ac:dyDescent="0.35">
      <c r="A25" s="5" t="s">
        <v>20</v>
      </c>
      <c r="B25">
        <v>44</v>
      </c>
      <c r="C25" s="6">
        <f>'[2]Conversion factors selected IV '!$G$29</f>
        <v>0.50565325955726736</v>
      </c>
      <c r="D25" s="6">
        <f t="shared" si="8"/>
        <v>87.01615023410487</v>
      </c>
      <c r="E25" s="100">
        <f>'[2]Availabilities EU Austria'!$N$41/('[2]Availabilities EU Austria'!$N$40-'[2]Availabilities EU Austria'!$N$48)</f>
        <v>3.2760716410893592E-2</v>
      </c>
      <c r="F25" s="35">
        <f>'[2]Availabilities EU Austria'!$AB41/('[2]Availabilities EU Austria'!$AB$40)</f>
        <v>9.7424065359679353E-3</v>
      </c>
      <c r="G25" s="6">
        <f>D25*F25</f>
        <v>0.84774671077551111</v>
      </c>
      <c r="H25" s="136">
        <f>'[2]Availabilities EU Austria'!$Q41/('[2]Availabilities EU Austria'!$Q$40)</f>
        <v>3.0105110315257085E-2</v>
      </c>
      <c r="I25" s="35">
        <f>'[2]Availabilities EU Austria'!$AC41/('[2]Availabilities EU Austria'!$AC$40)</f>
        <v>1.0265563613376615E-2</v>
      </c>
      <c r="J25" s="6">
        <f t="shared" ref="J25:J33" si="15">I25*D25</f>
        <v>0.89326982561933999</v>
      </c>
      <c r="K25" s="6">
        <f t="shared" ref="K25:K33" si="16">(F25+O25)/2</f>
        <v>9.822259592723516E-3</v>
      </c>
      <c r="L25" s="6">
        <f t="shared" ref="L25:L33" si="17">K25*D25</f>
        <v>0.85469521635880719</v>
      </c>
      <c r="M25" s="6">
        <f t="shared" si="3"/>
        <v>1.0083838131427856E-2</v>
      </c>
      <c r="N25" s="6">
        <f t="shared" ref="N25:N33" si="18">M25*D25</f>
        <v>0.87745677378072162</v>
      </c>
      <c r="O25" s="3">
        <f>'[2]Availabilities EU Austria'!$AD$41/'[2]Availabilities EU Austria'!$AD$40</f>
        <v>9.9021126494790966E-3</v>
      </c>
      <c r="P25" s="6">
        <f t="shared" ref="P25:P33" si="19">O25*D25</f>
        <v>0.86164372194210326</v>
      </c>
    </row>
    <row r="26" spans="1:16" x14ac:dyDescent="0.35">
      <c r="A26" s="5" t="s">
        <v>8</v>
      </c>
      <c r="B26">
        <v>69</v>
      </c>
      <c r="C26" s="6">
        <f>'[2]Conversion factors selected IV '!$G$30</f>
        <v>0.50565325955726736</v>
      </c>
      <c r="D26" s="6">
        <f t="shared" si="8"/>
        <v>136.45714468530082</v>
      </c>
      <c r="E26" s="100">
        <f>'[2]Availabilities EU Austria'!$N$42/('[2]Availabilities EU Austria'!$N$40-'[2]Availabilities EU Austria'!$N$48)</f>
        <v>1.9756369964879113E-2</v>
      </c>
      <c r="F26" s="35">
        <f>'[2]Availabilities EU Austria'!$AB42/('[2]Availabilities EU Austria'!$AB$40)</f>
        <v>5.0358550193933035E-3</v>
      </c>
      <c r="G26" s="6">
        <f t="shared" si="9"/>
        <v>0.68717839699555039</v>
      </c>
      <c r="H26" s="136">
        <f>'[2]Availabilities EU Austria'!$Q42/('[2]Availabilities EU Austria'!$Q$40)</f>
        <v>2.1462821483630018E-2</v>
      </c>
      <c r="I26" s="35">
        <f>'[2]Availabilities EU Austria'!$AC42/('[2]Availabilities EU Austria'!$AC$40)</f>
        <v>6.2731056134087467E-3</v>
      </c>
      <c r="J26" s="6">
        <f t="shared" si="15"/>
        <v>0.85601008031509007</v>
      </c>
      <c r="K26" s="6">
        <f t="shared" si="16"/>
        <v>2.791130857705014E-2</v>
      </c>
      <c r="L26" s="6">
        <f t="shared" si="17"/>
        <v>3.8086974728546088</v>
      </c>
      <c r="M26" s="6">
        <f t="shared" si="3"/>
        <v>2.8529933874057861E-2</v>
      </c>
      <c r="N26" s="6">
        <f t="shared" si="18"/>
        <v>3.8931133145143786</v>
      </c>
      <c r="O26" s="3">
        <f>'[2]Availabilities EU Austria'!$AD$42/'[2]Availabilities EU Austria'!$AD$40</f>
        <v>5.0786762134706974E-2</v>
      </c>
      <c r="P26" s="6">
        <f t="shared" si="19"/>
        <v>6.9302165487136662</v>
      </c>
    </row>
    <row r="27" spans="1:16" x14ac:dyDescent="0.35">
      <c r="A27" s="5" t="s">
        <v>9</v>
      </c>
      <c r="B27">
        <v>69</v>
      </c>
      <c r="C27" s="6">
        <f>'[2]Conversion factors selected IV '!$G$31</f>
        <v>0.50565325955726736</v>
      </c>
      <c r="D27" s="6">
        <f t="shared" si="8"/>
        <v>136.45714468530082</v>
      </c>
      <c r="E27" s="100">
        <f>'[2]Availabilities EU Austria'!$N$43/('[2]Availabilities EU Austria'!$N$40-'[2]Availabilities EU Austria'!$N$48)</f>
        <v>8.9944473031810107E-3</v>
      </c>
      <c r="F27" s="35">
        <f>'[2]Availabilities EU Austria'!$AB43/('[2]Availabilities EU Austria'!$AB$40)</f>
        <v>2.2926647293461844E-3</v>
      </c>
      <c r="G27" s="6">
        <f t="shared" si="9"/>
        <v>0.31285048268727833</v>
      </c>
      <c r="H27" s="136">
        <f>'[2]Availabilities EU Austria'!$Q43/('[2]Availabilities EU Austria'!$Q$40)</f>
        <v>1.5079687334874409E-2</v>
      </c>
      <c r="I27" s="35">
        <f>'[2]Availabilities EU Austria'!$AC43/('[2]Availabilities EU Austria'!$AC$40)</f>
        <v>4.4074573951518653E-3</v>
      </c>
      <c r="J27" s="6">
        <f t="shared" si="15"/>
        <v>0.60142905146453718</v>
      </c>
      <c r="K27" s="6">
        <f t="shared" si="16"/>
        <v>6.1586477176974247E-3</v>
      </c>
      <c r="L27" s="6">
        <f t="shared" si="17"/>
        <v>0.84039148267963515</v>
      </c>
      <c r="M27" s="6">
        <f t="shared" si="3"/>
        <v>7.2160440506002649E-3</v>
      </c>
      <c r="N27" s="6">
        <f t="shared" si="18"/>
        <v>0.98468076706826457</v>
      </c>
      <c r="O27" s="3">
        <f>'[2]Availabilities EU Austria'!$AD$43/'[2]Availabilities EU Austria'!$AD$40</f>
        <v>1.0024630706048665E-2</v>
      </c>
      <c r="P27" s="6">
        <f t="shared" si="19"/>
        <v>1.3679324826719921</v>
      </c>
    </row>
    <row r="28" spans="1:16" x14ac:dyDescent="0.35">
      <c r="A28" s="5" t="s">
        <v>21</v>
      </c>
      <c r="B28">
        <v>44</v>
      </c>
      <c r="C28" s="6">
        <f>'[2]Conversion factors selected IV '!$G$32</f>
        <v>0.50565325955726736</v>
      </c>
      <c r="D28" s="6">
        <f t="shared" si="8"/>
        <v>87.01615023410487</v>
      </c>
      <c r="E28" s="132">
        <f>'[2]Availabilities EU Austria'!$N$44/('[2]Availabilities EU Austria'!$N$40-'[2]Availabilities EU Austria'!$N$48)</f>
        <v>2.5238729020282836E-2</v>
      </c>
      <c r="F28" s="35">
        <f>'[2]Availabilities EU Austria'!$AB44/('[2]Availabilities EU Austria'!$AB$40)</f>
        <v>4.5033073541389065E-2</v>
      </c>
      <c r="G28" s="6">
        <f t="shared" si="9"/>
        <v>3.9186046927810039</v>
      </c>
      <c r="H28" s="136">
        <f>'[2]Availabilities EU Austria'!$Q44/('[2]Availabilities EU Austria'!$Q$40)</f>
        <v>2.4015372776648152E-2</v>
      </c>
      <c r="I28" s="35">
        <f>'[2]Availabilities EU Austria'!$AC44/('[2]Availabilities EU Austria'!$AC$40)</f>
        <v>4.9134117302209804E-2</v>
      </c>
      <c r="J28" s="6">
        <f t="shared" si="15"/>
        <v>4.2754617327892195</v>
      </c>
      <c r="K28" s="6">
        <f t="shared" si="16"/>
        <v>4.9250793663166495E-2</v>
      </c>
      <c r="L28" s="6">
        <f t="shared" si="17"/>
        <v>4.2856144605429956</v>
      </c>
      <c r="M28" s="6">
        <f t="shared" si="3"/>
        <v>5.1301315543576864E-2</v>
      </c>
      <c r="N28" s="6">
        <f t="shared" si="18"/>
        <v>4.464042980547104</v>
      </c>
      <c r="O28" s="3">
        <f>'[2]Availabilities EU Austria'!$AD$44/'[2]Availabilities EU Austria'!$AD$40</f>
        <v>5.3468513784943925E-2</v>
      </c>
      <c r="P28" s="6">
        <f t="shared" si="19"/>
        <v>4.6526242283049877</v>
      </c>
    </row>
    <row r="29" spans="1:16" x14ac:dyDescent="0.35">
      <c r="A29" s="5" t="s">
        <v>5</v>
      </c>
      <c r="B29">
        <v>58</v>
      </c>
      <c r="C29" s="6">
        <f>'[2]Conversion factors selected IV '!$G$33</f>
        <v>0.50565325955726736</v>
      </c>
      <c r="D29" s="6">
        <f t="shared" si="8"/>
        <v>114.7031071267746</v>
      </c>
      <c r="E29" s="132">
        <f>'[2]Availabilities EU Austria'!$N$45/('[2]Availabilities EU Austria'!$N$40-'[2]Availabilities EU Austria'!$N$48)</f>
        <v>0.50476667458124236</v>
      </c>
      <c r="F29" s="35">
        <f>'[2]Availabilities EU Austria'!$AB45/('[2]Availabilities EU Austria'!$AB$40)</f>
        <v>0.12866390922680662</v>
      </c>
      <c r="G29" s="6">
        <f t="shared" si="9"/>
        <v>14.758150163392003</v>
      </c>
      <c r="H29" s="136">
        <f>'[2]Availabilities EU Austria'!$Q45/('[2]Availabilities EU Austria'!$Q$40)</f>
        <v>0.50944236297089118</v>
      </c>
      <c r="I29" s="35">
        <f>'[2]Availabilities EU Austria'!$AC45/('[2]Availabilities EU Austria'!$AC$40)</f>
        <v>0.14889867808379167</v>
      </c>
      <c r="J29" s="6">
        <f t="shared" si="15"/>
        <v>17.079141023280282</v>
      </c>
      <c r="K29" s="6">
        <f t="shared" si="16"/>
        <v>0.13806563571723132</v>
      </c>
      <c r="L29" s="6">
        <f t="shared" si="17"/>
        <v>15.836557404199821</v>
      </c>
      <c r="M29" s="6">
        <f t="shared" si="3"/>
        <v>0.14818302014572385</v>
      </c>
      <c r="N29" s="6">
        <f t="shared" si="18"/>
        <v>16.997052834143961</v>
      </c>
      <c r="O29" s="3">
        <f>'[2]Availabilities EU Austria'!$AD$45/'[2]Availabilities EU Austria'!$AD$40</f>
        <v>0.14746736220765602</v>
      </c>
      <c r="P29" s="6">
        <f t="shared" si="19"/>
        <v>16.91496464500764</v>
      </c>
    </row>
    <row r="30" spans="1:16" x14ac:dyDescent="0.35">
      <c r="A30" s="5" t="s">
        <v>22</v>
      </c>
      <c r="B30">
        <v>0</v>
      </c>
      <c r="C30" s="6">
        <f>'[2]Conversion factors selected IV '!$G$34</f>
        <v>0.11659945531529187</v>
      </c>
      <c r="D30" s="6">
        <f t="shared" si="8"/>
        <v>0</v>
      </c>
      <c r="E30" s="100">
        <f>'[2]Availabilities EU Austria'!$N$46/('[2]Availabilities EU Austria'!$N$40-'[2]Availabilities EU Austria'!$N$48)</f>
        <v>0.37200916367212594</v>
      </c>
      <c r="F30" s="35">
        <f>'[2]Availabilities EU Austria'!$AB46/('[2]Availabilities EU Austria'!$AB$40)</f>
        <v>0.66377019271669135</v>
      </c>
      <c r="G30" s="6">
        <f t="shared" si="9"/>
        <v>0</v>
      </c>
      <c r="H30" s="136">
        <f>'[2]Availabilities EU Austria'!$Q46/('[2]Availabilities EU Austria'!$Q$40)</f>
        <v>0.31592460328846689</v>
      </c>
      <c r="I30" s="35">
        <f>'[2]Availabilities EU Austria'!$AC46/('[2]Availabilities EU Austria'!$AC$40)</f>
        <v>0.64636417102479571</v>
      </c>
      <c r="J30" s="6">
        <f t="shared" si="15"/>
        <v>0</v>
      </c>
      <c r="K30" s="6">
        <f t="shared" si="16"/>
        <v>0.63783015783938524</v>
      </c>
      <c r="L30" s="6">
        <f t="shared" si="17"/>
        <v>0</v>
      </c>
      <c r="M30" s="6">
        <f t="shared" si="3"/>
        <v>0.62912714699343741</v>
      </c>
      <c r="N30" s="6">
        <f t="shared" si="18"/>
        <v>0</v>
      </c>
      <c r="O30" s="3">
        <f>'[2]Availabilities EU Austria'!$AD$46/'[2]Availabilities EU Austria'!$AD$40</f>
        <v>0.61189012296207901</v>
      </c>
      <c r="P30" s="6">
        <f t="shared" si="19"/>
        <v>0</v>
      </c>
    </row>
    <row r="31" spans="1:16" x14ac:dyDescent="0.35">
      <c r="A31" s="5" t="s">
        <v>23</v>
      </c>
      <c r="B31" s="24">
        <v>0</v>
      </c>
      <c r="C31" s="6">
        <f>'[2]Conversion factors selected IV '!$G$35</f>
        <v>0.11659945531529187</v>
      </c>
      <c r="D31" s="6">
        <f t="shared" si="8"/>
        <v>0</v>
      </c>
      <c r="E31" s="133">
        <f>'[2]Availabilities EU Austria'!$N$47/('[2]Availabilities EU Austria'!$N$40-'[2]Availabilities EU Austria'!$N$48)</f>
        <v>3.4001984286291011E-2</v>
      </c>
      <c r="F31" s="35">
        <f>'[2]Availabilities EU Austria'!$AB47/('[2]Availabilities EU Austria'!$AB$40)</f>
        <v>1.5167303568329005E-2</v>
      </c>
      <c r="G31" s="6">
        <f t="shared" si="9"/>
        <v>0</v>
      </c>
      <c r="H31" s="136">
        <f>'[2]Availabilities EU Austria'!$Q47/('[2]Availabilities EU Austria'!$Q$40)</f>
        <v>2.4204717383445484E-2</v>
      </c>
      <c r="I31" s="35">
        <f>'[2]Availabilities EU Austria'!$AC47/('[2]Availabilities EU Austria'!$AC$40)</f>
        <v>1.2380376459755248E-2</v>
      </c>
      <c r="J31" s="6">
        <f t="shared" si="15"/>
        <v>0</v>
      </c>
      <c r="K31" s="6">
        <f t="shared" si="16"/>
        <v>1.328274211874295E-2</v>
      </c>
      <c r="L31" s="6">
        <f t="shared" si="17"/>
        <v>0</v>
      </c>
      <c r="M31" s="6">
        <f t="shared" si="3"/>
        <v>1.1889278564456072E-2</v>
      </c>
      <c r="N31" s="6">
        <f t="shared" si="18"/>
        <v>0</v>
      </c>
      <c r="O31" s="3">
        <f>'[2]Availabilities EU Austria'!$AD$47/'[2]Availabilities EU Austria'!$AD$40</f>
        <v>1.1398180669156894E-2</v>
      </c>
      <c r="P31" s="6">
        <f t="shared" si="19"/>
        <v>0</v>
      </c>
    </row>
    <row r="32" spans="1:16" x14ac:dyDescent="0.35">
      <c r="A32" s="12" t="s">
        <v>24</v>
      </c>
      <c r="B32">
        <f>-(55+70)/2</f>
        <v>-62.5</v>
      </c>
      <c r="C32" s="6">
        <f>'[2]Conversion factors selected IV '!$G$36</f>
        <v>0.18593291119169406</v>
      </c>
      <c r="D32" s="6">
        <f t="shared" si="8"/>
        <v>-336.14274955101109</v>
      </c>
      <c r="E32" s="132">
        <f>'[2]Availabilities EU Austria'!$N$48/'[2]Availabilities EU Austria'!$N$48</f>
        <v>1</v>
      </c>
      <c r="F32" s="249">
        <f>'[2]Availabilities EU Austria'!$AB$48/'[2]Availabilities EU Austria'!$AB$40</f>
        <v>0.12588399541457132</v>
      </c>
      <c r="G32" s="6">
        <f>D32*F32</f>
        <v>-42.314992343120878</v>
      </c>
      <c r="H32" s="136">
        <f>'[2]Availabilities EU Austria'!$Q48/('[2]Availabilities EU Austria'!$Q$40)</f>
        <v>5.8190890064802624E-2</v>
      </c>
      <c r="I32" s="35">
        <f>'[2]Availabilities EU Austria'!$AC48/('[2]Availabilities EU Austria'!$AC$40)</f>
        <v>0.11905532530996848</v>
      </c>
      <c r="J32" s="6">
        <f t="shared" si="15"/>
        <v>-40.019584398382889</v>
      </c>
      <c r="K32" s="6">
        <f t="shared" si="16"/>
        <v>0.11387803476461558</v>
      </c>
      <c r="L32" s="6">
        <f t="shared" si="17"/>
        <v>-38.279275719243508</v>
      </c>
      <c r="M32" s="6">
        <f t="shared" si="3"/>
        <v>0.11046369971231418</v>
      </c>
      <c r="N32" s="6">
        <f t="shared" si="18"/>
        <v>-37.131571746874521</v>
      </c>
      <c r="O32" s="3">
        <f>'[2]Availabilities EU Austria'!$AD$48/'[2]Availabilities EU Austria'!$AD$40</f>
        <v>0.10187207411465986</v>
      </c>
      <c r="P32" s="6">
        <f t="shared" si="19"/>
        <v>-34.243559095366152</v>
      </c>
    </row>
    <row r="33" spans="1:16" x14ac:dyDescent="0.35">
      <c r="A33" s="13" t="s">
        <v>25</v>
      </c>
      <c r="B33" s="24">
        <v>96.44</v>
      </c>
      <c r="C33" s="24">
        <f>0.6</f>
        <v>0.6</v>
      </c>
      <c r="D33" s="6">
        <f t="shared" si="8"/>
        <v>160.73333333333335</v>
      </c>
      <c r="E33" s="99">
        <f>'[2]Availabilities EU Austria'!$N$49/('[2]Availabilities EU Austria'!$N$40-'[2]Availabilities EU Austria'!$N$48)</f>
        <v>2.471914761104197E-3</v>
      </c>
      <c r="F33" s="35">
        <f>'[2]Availabilities EU Austria'!$AB49/('[2]Availabilities EU Austria'!$AB$40)</f>
        <v>4.4105992475053325E-3</v>
      </c>
      <c r="G33" s="6">
        <f t="shared" si="9"/>
        <v>0.70893031904902382</v>
      </c>
      <c r="H33" s="136">
        <f>'[2]Availabilities EU Austria'!$Q49/('[2]Availabilities EU Austria'!$Q$40)</f>
        <v>1.5744343819841437E-3</v>
      </c>
      <c r="I33" s="35">
        <f>'[2]Availabilities EU Austria'!$AC49/('[2]Availabilities EU Austria'!$AC$40)</f>
        <v>3.2212051975417265E-3</v>
      </c>
      <c r="J33" s="6">
        <f t="shared" si="15"/>
        <v>0.51775504875154021</v>
      </c>
      <c r="K33" s="6">
        <f t="shared" si="16"/>
        <v>3.8004200093875017E-3</v>
      </c>
      <c r="L33" s="6">
        <f t="shared" si="17"/>
        <v>0.61085417617555116</v>
      </c>
      <c r="M33" s="6">
        <f t="shared" si="3"/>
        <v>3.2057229844056987E-3</v>
      </c>
      <c r="N33" s="6">
        <f t="shared" si="18"/>
        <v>0.51526654102680935</v>
      </c>
      <c r="O33" s="3">
        <f>'[2]Availabilities EU Austria'!$AD$49/'[2]Availabilities EU Austria'!$AD$40</f>
        <v>3.190240771269671E-3</v>
      </c>
      <c r="P33" s="6">
        <f t="shared" si="19"/>
        <v>0.5127780333020785</v>
      </c>
    </row>
    <row r="34" spans="1:16" s="82" customFormat="1" x14ac:dyDescent="0.35">
      <c r="A34" s="83" t="s">
        <v>27</v>
      </c>
      <c r="E34" s="126"/>
      <c r="F34" s="88">
        <f>SUM(F35:F44)</f>
        <v>0.99999999999999978</v>
      </c>
      <c r="G34" s="81">
        <f>SUM(G35:G44)</f>
        <v>119.19733156917282</v>
      </c>
      <c r="H34" s="81">
        <f t="shared" ref="H34:P34" si="20">SUM(H35:H44)</f>
        <v>1</v>
      </c>
      <c r="I34" s="81">
        <f t="shared" si="20"/>
        <v>0.99999999999999978</v>
      </c>
      <c r="J34" s="81">
        <f t="shared" si="20"/>
        <v>120.71547294709177</v>
      </c>
      <c r="K34" s="81">
        <f t="shared" si="20"/>
        <v>1.0000000000000002</v>
      </c>
      <c r="L34" s="81">
        <f t="shared" si="20"/>
        <v>122.2718550837359</v>
      </c>
      <c r="M34" s="81">
        <f t="shared" si="20"/>
        <v>1</v>
      </c>
      <c r="N34" s="81">
        <f t="shared" si="20"/>
        <v>123.03092577269538</v>
      </c>
      <c r="O34" s="81">
        <f t="shared" si="20"/>
        <v>1</v>
      </c>
      <c r="P34" s="81">
        <f t="shared" si="20"/>
        <v>125.34637859829898</v>
      </c>
    </row>
    <row r="35" spans="1:16" x14ac:dyDescent="0.35">
      <c r="A35" s="5" t="s">
        <v>5</v>
      </c>
      <c r="B35">
        <v>58</v>
      </c>
      <c r="C35" s="6">
        <f>'[2]Conversion factors selected IV '!$G$39</f>
        <v>0.44129562342499795</v>
      </c>
      <c r="D35" s="6">
        <f t="shared" si="8"/>
        <v>131.43116976744187</v>
      </c>
      <c r="E35" s="132">
        <f>'[2]Availabilities EU Austria'!$N$61/'[2]Availabilities EU Austria'!$N$60</f>
        <v>0.51783810219756787</v>
      </c>
      <c r="F35" s="65">
        <f>'[2]Availabilities EU Austria'!$AB61/'[2]Availabilities EU Austria'!$AB$60</f>
        <v>0.4478191237333573</v>
      </c>
      <c r="G35" s="6">
        <f t="shared" si="9"/>
        <v>58.857391276505943</v>
      </c>
      <c r="H35" s="130">
        <f>'[2]Availabilities EU Austria'!$Q$61/'[2]Availabilities EU Austria'!$Q$60</f>
        <v>0.56804068512978889</v>
      </c>
      <c r="I35" s="61">
        <f>'[2]Availabilities EU Austria'!$AC61/'[2]Availabilities EU Austria'!$AC$60</f>
        <v>0.50267796963201805</v>
      </c>
      <c r="J35" s="6">
        <f t="shared" ref="J35:J44" si="21">I35*D35</f>
        <v>66.067553565058759</v>
      </c>
      <c r="K35" s="6">
        <f t="shared" ref="K35:K44" si="22">(F35+O35)/2</f>
        <v>0.43886418592897952</v>
      </c>
      <c r="L35" s="6">
        <f t="shared" ref="L35:L44" si="23">K35*D35</f>
        <v>57.680433325681882</v>
      </c>
      <c r="M35" s="6">
        <f t="shared" si="3"/>
        <v>0.4662936088783099</v>
      </c>
      <c r="N35" s="6">
        <f t="shared" ref="N35:N44" si="24">M35*D35</f>
        <v>61.285514469958287</v>
      </c>
      <c r="O35" s="3">
        <f>'[2]Availabilities EU Austria'!$AD$80/'[2]Availabilities EU Austria'!$AD$79</f>
        <v>0.42990924812460174</v>
      </c>
      <c r="P35" s="6">
        <f t="shared" ref="P35:P44" si="25">O35*D35</f>
        <v>56.503475374857821</v>
      </c>
    </row>
    <row r="36" spans="1:16" x14ac:dyDescent="0.35">
      <c r="A36" s="5" t="s">
        <v>6</v>
      </c>
      <c r="B36">
        <v>44</v>
      </c>
      <c r="C36" s="6">
        <f>'[2]Conversion factors selected IV '!$G$40</f>
        <v>0.44129562342499795</v>
      </c>
      <c r="D36" s="6">
        <f t="shared" si="8"/>
        <v>99.706404651162799</v>
      </c>
      <c r="E36" s="100">
        <f>'[2]Availabilities EU Austria'!$N$62/'[2]Availabilities EU Austria'!$N$60</f>
        <v>3.3609087261800549E-2</v>
      </c>
      <c r="F36" s="65">
        <f>'[2]Availabilities EU Austria'!$AB62/'[2]Availabilities EU Austria'!$AB$60</f>
        <v>3.3908778181926356E-2</v>
      </c>
      <c r="G36" s="6">
        <f>D36*F36</f>
        <v>3.3809223586336699</v>
      </c>
      <c r="H36" s="130">
        <f>'[2]Availabilities EU Austria'!$Q$62/'[2]Availabilities EU Austria'!$Q$60</f>
        <v>3.3570731675220726E-2</v>
      </c>
      <c r="I36" s="61">
        <f>'[2]Availabilities EU Austria'!$AC62/'[2]Availabilities EU Austria'!$AC$60</f>
        <v>3.4659157860596541E-2</v>
      </c>
      <c r="J36" s="6">
        <f t="shared" si="21"/>
        <v>3.4557400185171687</v>
      </c>
      <c r="K36" s="6">
        <f t="shared" si="22"/>
        <v>3.1389492047594378E-2</v>
      </c>
      <c r="L36" s="6">
        <f t="shared" si="23"/>
        <v>3.1297333958919018</v>
      </c>
      <c r="M36" s="6">
        <f t="shared" si="3"/>
        <v>3.176468188692947E-2</v>
      </c>
      <c r="N36" s="6">
        <f t="shared" si="24"/>
        <v>3.1671422258336515</v>
      </c>
      <c r="O36" s="3">
        <f>'[2]Availabilities EU Austria'!$AD$81/'[2]Availabilities EU Austria'!$AD$79</f>
        <v>2.8870205913262399E-2</v>
      </c>
      <c r="P36" s="6">
        <f t="shared" si="25"/>
        <v>2.8785444331501338</v>
      </c>
    </row>
    <row r="37" spans="1:16" x14ac:dyDescent="0.35">
      <c r="A37" s="5" t="s">
        <v>23</v>
      </c>
      <c r="B37" s="24">
        <v>0</v>
      </c>
      <c r="C37" s="6">
        <f>'[2]Conversion factors selected IV '!$G$41</f>
        <v>0.30788066750581256</v>
      </c>
      <c r="D37" s="6">
        <f t="shared" si="8"/>
        <v>0</v>
      </c>
      <c r="E37" s="133">
        <f>'[2]Availabilities EU Austria'!$N$63/'[2]Availabilities EU Austria'!$N$60</f>
        <v>3.4882498985044481E-2</v>
      </c>
      <c r="F37" s="65">
        <f>'[2]Availabilities EU Austria'!$AB63/'[2]Availabilities EU Austria'!$AB$60</f>
        <v>5.2790317301751842E-2</v>
      </c>
      <c r="G37" s="6">
        <f t="shared" si="9"/>
        <v>0</v>
      </c>
      <c r="H37" s="130">
        <f>'[2]Availabilities EU Austria'!$Q$63/'[2]Availabilities EU Austria'!$Q$60</f>
        <v>2.6988851429010231E-2</v>
      </c>
      <c r="I37" s="61">
        <f>'[2]Availabilities EU Austria'!$AC63/'[2]Availabilities EU Austria'!$AC$60</f>
        <v>4.1795821038569984E-2</v>
      </c>
      <c r="J37" s="6">
        <f t="shared" si="21"/>
        <v>0</v>
      </c>
      <c r="K37" s="6">
        <f t="shared" si="22"/>
        <v>4.3009625771286676E-2</v>
      </c>
      <c r="L37" s="6">
        <f t="shared" si="23"/>
        <v>0</v>
      </c>
      <c r="M37" s="6">
        <f t="shared" si="3"/>
        <v>3.7512377639695747E-2</v>
      </c>
      <c r="N37" s="6">
        <f t="shared" si="24"/>
        <v>0</v>
      </c>
      <c r="O37" s="3">
        <f>'[2]Availabilities EU Austria'!$AD$82/'[2]Availabilities EU Austria'!$AD$79</f>
        <v>3.322893424082151E-2</v>
      </c>
      <c r="P37" s="6">
        <f t="shared" si="25"/>
        <v>0</v>
      </c>
    </row>
    <row r="38" spans="1:16" x14ac:dyDescent="0.35">
      <c r="A38" s="5" t="s">
        <v>7</v>
      </c>
      <c r="B38">
        <v>44</v>
      </c>
      <c r="C38" s="6">
        <f>'[2]Conversion factors selected IV '!$G$42</f>
        <v>0.44129562342499795</v>
      </c>
      <c r="D38" s="6">
        <f t="shared" si="8"/>
        <v>99.706404651162799</v>
      </c>
      <c r="E38" s="132">
        <f>'[2]Availabilities EU Austria'!$N$64/'[2]Availabilities EU Austria'!$N$60</f>
        <v>1.366290786845722E-2</v>
      </c>
      <c r="F38" s="65">
        <f>'[2]Availabilities EU Austria'!$AB64/'[2]Availabilities EU Austria'!$AB$60</f>
        <v>1.6541687381966423E-2</v>
      </c>
      <c r="G38" s="6">
        <f t="shared" si="9"/>
        <v>1.649312175719378</v>
      </c>
      <c r="H38" s="130">
        <f>'[2]Availabilities EU Austria'!$Q$64/'[2]Availabilities EU Austria'!$Q$60</f>
        <v>1.4187521465099827E-2</v>
      </c>
      <c r="I38" s="61">
        <f>'[2]Availabilities EU Austria'!$AC64/'[2]Availabilities EU Austria'!$AC$60</f>
        <v>1.7577009075644957E-2</v>
      </c>
      <c r="J38" s="6">
        <f t="shared" si="21"/>
        <v>1.7525403794534171</v>
      </c>
      <c r="K38" s="6">
        <f t="shared" si="22"/>
        <v>1.4724658788920117E-2</v>
      </c>
      <c r="L38" s="6">
        <f t="shared" si="23"/>
        <v>1.4681427875583699</v>
      </c>
      <c r="M38" s="6">
        <f t="shared" si="3"/>
        <v>1.5242319635759383E-2</v>
      </c>
      <c r="N38" s="6">
        <f t="shared" si="24"/>
        <v>1.5197568894253894</v>
      </c>
      <c r="O38" s="3">
        <f>'[2]Availabilities EU Austria'!$AD$83/'[2]Availabilities EU Austria'!$AD$79</f>
        <v>1.290763019587381E-2</v>
      </c>
      <c r="P38" s="6">
        <f t="shared" si="25"/>
        <v>1.2869733993973618</v>
      </c>
    </row>
    <row r="39" spans="1:16" x14ac:dyDescent="0.35">
      <c r="A39" s="5" t="s">
        <v>8</v>
      </c>
      <c r="B39">
        <v>69</v>
      </c>
      <c r="C39" s="6">
        <f>'[2]Conversion factors selected IV '!$G$43</f>
        <v>0.44129562342499795</v>
      </c>
      <c r="D39" s="6">
        <f t="shared" si="8"/>
        <v>156.35777093023256</v>
      </c>
      <c r="E39" s="100">
        <f>'[2]Availabilities EU Austria'!$N$65/'[2]Availabilities EU Austria'!$N$60</f>
        <v>2.0267980522710626E-2</v>
      </c>
      <c r="F39" s="65">
        <f>'[2]Availabilities EU Austria'!$AB65/'[2]Availabilities EU Austria'!$AB$60</f>
        <v>1.752746512666262E-2</v>
      </c>
      <c r="G39" s="6">
        <f t="shared" si="9"/>
        <v>2.7405553772623534</v>
      </c>
      <c r="H39" s="130">
        <f>'[2]Availabilities EU Austria'!$Q$65/'[2]Availabilities EU Austria'!$Q$60</f>
        <v>2.3931570490686043E-2</v>
      </c>
      <c r="I39" s="61">
        <f>'[2]Availabilities EU Austria'!$AC65/'[2]Availabilities EU Austria'!$AC$60</f>
        <v>2.1177837396655713E-2</v>
      </c>
      <c r="J39" s="6">
        <f t="shared" si="21"/>
        <v>3.3113194484640065</v>
      </c>
      <c r="K39" s="6">
        <f t="shared" si="22"/>
        <v>8.2792651224227146E-2</v>
      </c>
      <c r="L39" s="6">
        <f t="shared" si="23"/>
        <v>12.945274394824347</v>
      </c>
      <c r="M39" s="6">
        <f t="shared" si="3"/>
        <v>8.4617837359223694E-2</v>
      </c>
      <c r="N39" s="6">
        <f t="shared" si="24"/>
        <v>13.230656430425173</v>
      </c>
      <c r="O39" s="3">
        <f>'[2]Availabilities EU Austria'!$AD$84/'[2]Availabilities EU Austria'!$AD$79</f>
        <v>0.14805783732179167</v>
      </c>
      <c r="P39" s="6">
        <f t="shared" si="25"/>
        <v>23.14999341238634</v>
      </c>
    </row>
    <row r="40" spans="1:16" x14ac:dyDescent="0.35">
      <c r="A40" s="5" t="s">
        <v>9</v>
      </c>
      <c r="B40">
        <v>69</v>
      </c>
      <c r="C40" s="6">
        <f>'[2]Conversion factors selected IV '!$G$44</f>
        <v>0.44129562342499795</v>
      </c>
      <c r="D40" s="6">
        <f t="shared" si="8"/>
        <v>156.35777093023256</v>
      </c>
      <c r="E40" s="100">
        <f>'[2]Availabilities EU Austria'!$N$66/'[2]Availabilities EU Austria'!$N$60</f>
        <v>9.2273673289927829E-3</v>
      </c>
      <c r="F40" s="65">
        <f>'[2]Availabilities EU Austria'!$AB66/'[2]Availabilities EU Austria'!$AB$60</f>
        <v>7.9796977744577523E-3</v>
      </c>
      <c r="G40" s="6">
        <f t="shared" si="9"/>
        <v>1.2476877567111517</v>
      </c>
      <c r="H40" s="130">
        <f>'[2]Availabilities EU Austria'!$Q$66/'[2]Availabilities EU Austria'!$Q$60</f>
        <v>1.6814219915461764E-2</v>
      </c>
      <c r="I40" s="61">
        <f>'[2]Availabilities EU Austria'!$AC66/'[2]Availabilities EU Austria'!$AC$60</f>
        <v>1.4879458724192218E-2</v>
      </c>
      <c r="J40" s="6">
        <f t="shared" si="21"/>
        <v>2.3265189987630972</v>
      </c>
      <c r="K40" s="6">
        <f t="shared" si="22"/>
        <v>1.8602171861771214E-2</v>
      </c>
      <c r="L40" s="6">
        <f t="shared" si="23"/>
        <v>2.9085941267676412</v>
      </c>
      <c r="M40" s="6">
        <f t="shared" si="3"/>
        <v>2.2052052336638449E-2</v>
      </c>
      <c r="N40" s="6">
        <f t="shared" si="24"/>
        <v>3.4480097477936145</v>
      </c>
      <c r="O40" s="3">
        <f>'[2]Availabilities EU Austria'!$AD$85/'[2]Availabilities EU Austria'!$AD$79</f>
        <v>2.9224645949084676E-2</v>
      </c>
      <c r="P40" s="6">
        <f t="shared" si="25"/>
        <v>4.5695004968241308</v>
      </c>
    </row>
    <row r="41" spans="1:16" x14ac:dyDescent="0.35">
      <c r="A41" s="5" t="s">
        <v>10</v>
      </c>
      <c r="B41" s="24">
        <v>69</v>
      </c>
      <c r="C41" s="6">
        <f>'[2]Conversion factors selected IV '!$G$45</f>
        <v>0.48747772355086988</v>
      </c>
      <c r="D41" s="6">
        <f t="shared" si="8"/>
        <v>141.54492947368419</v>
      </c>
      <c r="E41" s="133">
        <f>'[2]Availabilities EU Austria'!$N$67/'[2]Availabilities EU Austria'!$N$60</f>
        <v>0.14802813399529377</v>
      </c>
      <c r="F41" s="65">
        <f>'[2]Availabilities EU Austria'!$AB67/'[2]Availabilities EU Austria'!$AB$60</f>
        <v>0.17921771411040624</v>
      </c>
      <c r="G41" s="6">
        <f t="shared" si="9"/>
        <v>25.367358704192348</v>
      </c>
      <c r="H41" s="130">
        <f>'[2]Availabilities EU Austria'!$Q$67/'[2]Availabilities EU Austria'!$Q$60</f>
        <v>0.10247463906007917</v>
      </c>
      <c r="I41" s="61">
        <f>'[2]Availabilities EU Austria'!$AC67/'[2]Availabilities EU Austria'!$AC$60</f>
        <v>0.12695647123518053</v>
      </c>
      <c r="J41" s="6">
        <f t="shared" si="21"/>
        <v>17.970044767211444</v>
      </c>
      <c r="K41" s="6">
        <f t="shared" si="22"/>
        <v>0.14493538223065383</v>
      </c>
      <c r="L41" s="6">
        <f t="shared" si="23"/>
        <v>20.514868456079359</v>
      </c>
      <c r="M41" s="6">
        <f t="shared" si="3"/>
        <v>0.11880476079304099</v>
      </c>
      <c r="N41" s="6">
        <f t="shared" si="24"/>
        <v>16.816211487588909</v>
      </c>
      <c r="O41" s="3">
        <f>'[2]Availabilities EU Austria'!$AD$86/'[2]Availabilities EU Austria'!$AD$79</f>
        <v>0.11065305035090145</v>
      </c>
      <c r="P41" s="6">
        <f t="shared" si="25"/>
        <v>15.662378207966372</v>
      </c>
    </row>
    <row r="42" spans="1:16" x14ac:dyDescent="0.35">
      <c r="A42" s="5" t="s">
        <v>11</v>
      </c>
      <c r="B42" s="24">
        <v>69</v>
      </c>
      <c r="C42" s="6">
        <f>'[2]Conversion factors selected IV '!$G$46</f>
        <v>0.48747772355086988</v>
      </c>
      <c r="D42" s="6">
        <f t="shared" si="8"/>
        <v>141.54492947368419</v>
      </c>
      <c r="E42" s="133">
        <f>'[2]Availabilities EU Austria'!$N$68/'[2]Availabilities EU Austria'!$N$60</f>
        <v>0.15540694633138846</v>
      </c>
      <c r="F42" s="65">
        <f>'[2]Availabilities EU Austria'!$AB68/'[2]Availabilities EU Austria'!$AB$60</f>
        <v>0.15679270400987594</v>
      </c>
      <c r="G42" s="6">
        <f t="shared" si="9"/>
        <v>22.193212231066131</v>
      </c>
      <c r="H42" s="130">
        <f>'[2]Availabilities EU Austria'!$Q$68/'[2]Availabilities EU Austria'!$Q$60</f>
        <v>0.15073287616524328</v>
      </c>
      <c r="I42" s="61">
        <f>'[2]Availabilities EU Austria'!$AC68/'[2]Availabilities EU Austria'!$AC$60</f>
        <v>0.1556199191705156</v>
      </c>
      <c r="J42" s="6">
        <f t="shared" si="21"/>
        <v>22.027210483691064</v>
      </c>
      <c r="K42" s="6">
        <f t="shared" si="22"/>
        <v>0.1492618559258298</v>
      </c>
      <c r="L42" s="6">
        <f t="shared" si="23"/>
        <v>21.127258870132788</v>
      </c>
      <c r="M42" s="6">
        <f t="shared" si="3"/>
        <v>0.14867546350614963</v>
      </c>
      <c r="N42" s="6">
        <f t="shared" si="24"/>
        <v>21.044257996445257</v>
      </c>
      <c r="O42" s="3">
        <f>'[2]Availabilities EU Austria'!$AD$87/'[2]Availabilities EU Austria'!$AD$79</f>
        <v>0.14173100784178369</v>
      </c>
      <c r="P42" s="6">
        <f t="shared" si="25"/>
        <v>20.061305509199453</v>
      </c>
    </row>
    <row r="43" spans="1:16" x14ac:dyDescent="0.35">
      <c r="A43" s="5" t="s">
        <v>12</v>
      </c>
      <c r="B43" s="24">
        <v>0</v>
      </c>
      <c r="C43" s="6">
        <f>'[2]Conversion factors selected IV '!$G$47</f>
        <v>0.41050755667441674</v>
      </c>
      <c r="D43" s="6">
        <f t="shared" si="8"/>
        <v>0</v>
      </c>
      <c r="E43" s="132">
        <f>'[2]Availabilities EU Austria'!$N$69/'[2]Availabilities EU Austria'!$N$60</f>
        <v>4.6552014319949722E-2</v>
      </c>
      <c r="F43" s="65">
        <f>'[2]Availabilities EU Austria'!$AB69/'[2]Availabilities EU Austria'!$AB$60</f>
        <v>5.6360540178946879E-2</v>
      </c>
      <c r="G43" s="6">
        <f t="shared" si="9"/>
        <v>0</v>
      </c>
      <c r="H43" s="130">
        <f>'[2]Availabilities EU Austria'!$Q$69/'[2]Availabilities EU Austria'!$Q$60</f>
        <v>4.2968416306665501E-2</v>
      </c>
      <c r="I43" s="61">
        <f>'[2]Availabilities EU Austria'!$AC69/'[2]Availabilities EU Austria'!$AC$60</f>
        <v>5.3233839698232026E-2</v>
      </c>
      <c r="J43" s="6">
        <f t="shared" si="21"/>
        <v>0</v>
      </c>
      <c r="K43" s="6">
        <f t="shared" si="22"/>
        <v>5.579220318254953E-2</v>
      </c>
      <c r="L43" s="6">
        <f t="shared" si="23"/>
        <v>0</v>
      </c>
      <c r="M43" s="6">
        <f t="shared" si="3"/>
        <v>5.4228852942192103E-2</v>
      </c>
      <c r="N43" s="6">
        <f t="shared" si="24"/>
        <v>0</v>
      </c>
      <c r="O43" s="3">
        <f>'[2]Availabilities EU Austria'!$AD$88/'[2]Availabilities EU Austria'!$AD$79</f>
        <v>5.522386618615218E-2</v>
      </c>
      <c r="P43" s="6">
        <f t="shared" si="25"/>
        <v>0</v>
      </c>
    </row>
    <row r="44" spans="1:16" x14ac:dyDescent="0.35">
      <c r="A44" s="13" t="s">
        <v>26</v>
      </c>
      <c r="B44" s="24">
        <v>96.44</v>
      </c>
      <c r="C44" s="38">
        <f>'[2]Conversion factors selected IV '!$G$48</f>
        <v>0.79651764705882355</v>
      </c>
      <c r="D44" s="6">
        <f>B44/C44</f>
        <v>121.07704123833156</v>
      </c>
      <c r="E44" s="100">
        <f>'[2]Availabilities EU Austria'!$N$70/'[2]Availabilities EU Austria'!$N$60</f>
        <v>2.052496118879454E-2</v>
      </c>
      <c r="F44" s="65">
        <f>'[2]Availabilities EU Austria'!$AB70/'[2]Availabilities EU Austria'!$AB$60</f>
        <v>3.1061972200648619E-2</v>
      </c>
      <c r="G44" s="6">
        <f t="shared" si="9"/>
        <v>3.7608916890818413</v>
      </c>
      <c r="H44" s="130">
        <f>'[2]Availabilities EU Austria'!$Q$70/'[2]Availabilities EU Austria'!$Q$60</f>
        <v>2.0290488362744687E-2</v>
      </c>
      <c r="I44" s="61">
        <f>'[2]Availabilities EU Austria'!$AC70/'[2]Availabilities EU Austria'!$AC$60</f>
        <v>3.1422516168394234E-2</v>
      </c>
      <c r="J44" s="6">
        <f t="shared" si="21"/>
        <v>3.8045452859328091</v>
      </c>
      <c r="K44" s="6">
        <f t="shared" si="22"/>
        <v>2.0627773038187761E-2</v>
      </c>
      <c r="L44" s="6">
        <f t="shared" si="23"/>
        <v>2.4975497267996034</v>
      </c>
      <c r="M44" s="6">
        <f t="shared" si="3"/>
        <v>2.0808045022060569E-2</v>
      </c>
      <c r="N44" s="6">
        <f t="shared" si="24"/>
        <v>2.5193765252250873</v>
      </c>
      <c r="O44" s="3">
        <f>'[2]Availabilities EU Austria'!$AD$89/'[2]Availabilities EU Austria'!$AD$79</f>
        <v>1.0193573875726905E-2</v>
      </c>
      <c r="P44" s="6">
        <f t="shared" si="25"/>
        <v>1.2342077645173657</v>
      </c>
    </row>
    <row r="45" spans="1:16" s="82" customFormat="1" x14ac:dyDescent="0.35">
      <c r="A45" s="83" t="s">
        <v>28</v>
      </c>
      <c r="E45" s="126"/>
      <c r="G45" s="81">
        <f>SUM(G46)</f>
        <v>46.068596541511404</v>
      </c>
      <c r="H45" s="81">
        <f t="shared" ref="H45:N45" si="26">SUM(H46)</f>
        <v>1</v>
      </c>
      <c r="I45" s="81">
        <f t="shared" si="26"/>
        <v>1</v>
      </c>
      <c r="J45" s="81">
        <f t="shared" si="26"/>
        <v>46.068596541511404</v>
      </c>
      <c r="K45" s="81">
        <f t="shared" si="26"/>
        <v>1</v>
      </c>
      <c r="L45" s="81">
        <f t="shared" si="26"/>
        <v>46.068596541511404</v>
      </c>
      <c r="M45" s="81">
        <f t="shared" si="26"/>
        <v>1</v>
      </c>
      <c r="N45" s="81">
        <f t="shared" si="26"/>
        <v>46.068596541511404</v>
      </c>
      <c r="P45" s="81">
        <v>46.068596541511404</v>
      </c>
    </row>
    <row r="46" spans="1:16" x14ac:dyDescent="0.35">
      <c r="A46" s="13" t="s">
        <v>29</v>
      </c>
      <c r="B46" s="24">
        <v>96.44</v>
      </c>
      <c r="C46" s="6">
        <f>'[2]Conversion factors selected IV '!$O$49</f>
        <v>2.0934000000000004</v>
      </c>
      <c r="D46" s="6">
        <f>B46/C46</f>
        <v>46.068596541511404</v>
      </c>
      <c r="E46" s="133">
        <v>1</v>
      </c>
      <c r="F46" s="68">
        <v>1</v>
      </c>
      <c r="G46" s="6">
        <f t="shared" si="9"/>
        <v>46.068596541511404</v>
      </c>
      <c r="H46" s="130">
        <v>1</v>
      </c>
      <c r="I46" s="35">
        <v>1</v>
      </c>
      <c r="J46" s="6">
        <f>I46*D46</f>
        <v>46.068596541511404</v>
      </c>
      <c r="K46" s="6">
        <f>(F46+O46)/2</f>
        <v>1</v>
      </c>
      <c r="L46" s="6">
        <f>K46*D46</f>
        <v>46.068596541511404</v>
      </c>
      <c r="M46" s="6">
        <f t="shared" si="3"/>
        <v>1</v>
      </c>
      <c r="N46" s="6">
        <f>M46*D46</f>
        <v>46.068596541511404</v>
      </c>
      <c r="O46" s="35">
        <v>1</v>
      </c>
      <c r="P46" s="6">
        <v>46.068596541511404</v>
      </c>
    </row>
    <row r="47" spans="1:16" s="82" customFormat="1" x14ac:dyDescent="0.35">
      <c r="A47" s="83" t="s">
        <v>30</v>
      </c>
      <c r="C47" s="81"/>
      <c r="E47" s="126"/>
      <c r="G47" s="81">
        <f>SUM(G48)</f>
        <v>291.86968567880001</v>
      </c>
      <c r="H47" s="81">
        <f t="shared" ref="H47:N47" si="27">SUM(H48)</f>
        <v>1</v>
      </c>
      <c r="I47" s="81">
        <f t="shared" si="27"/>
        <v>1</v>
      </c>
      <c r="J47" s="81">
        <f t="shared" si="27"/>
        <v>291.86968567880001</v>
      </c>
      <c r="K47" s="81">
        <f t="shared" si="27"/>
        <v>1</v>
      </c>
      <c r="L47" s="81">
        <f t="shared" si="27"/>
        <v>291.86968567880001</v>
      </c>
      <c r="M47" s="81">
        <f t="shared" si="27"/>
        <v>1</v>
      </c>
      <c r="N47" s="81">
        <f t="shared" si="27"/>
        <v>291.86968567880001</v>
      </c>
      <c r="P47" s="81">
        <v>96.44</v>
      </c>
    </row>
    <row r="48" spans="1:16" x14ac:dyDescent="0.35">
      <c r="A48" s="15" t="s">
        <v>31</v>
      </c>
      <c r="B48" s="24">
        <f>(427+795)/2</f>
        <v>611</v>
      </c>
      <c r="C48" s="6">
        <f>'[2]Conversion factors selected IV '!$O$50</f>
        <v>2.0934000000000004</v>
      </c>
      <c r="D48" s="6">
        <f>B48/C48</f>
        <v>291.86968567880001</v>
      </c>
      <c r="E48" s="100">
        <v>1</v>
      </c>
      <c r="F48" s="63">
        <v>1</v>
      </c>
      <c r="G48" s="6">
        <f t="shared" si="9"/>
        <v>291.86968567880001</v>
      </c>
      <c r="H48" s="130">
        <v>1</v>
      </c>
      <c r="I48" s="35">
        <v>1</v>
      </c>
      <c r="J48" s="6">
        <f>I48*D48</f>
        <v>291.86968567880001</v>
      </c>
      <c r="K48" s="6">
        <f>(F48+O48)/2</f>
        <v>1</v>
      </c>
      <c r="L48" s="6">
        <f>K48*D48</f>
        <v>291.86968567880001</v>
      </c>
      <c r="M48" s="6">
        <f t="shared" si="3"/>
        <v>1</v>
      </c>
      <c r="N48" s="6">
        <f>M48*D48</f>
        <v>291.86968567880001</v>
      </c>
      <c r="O48" s="35">
        <v>1</v>
      </c>
      <c r="P48" s="38">
        <v>96.44</v>
      </c>
    </row>
    <row r="49" spans="1:16" s="82" customFormat="1" x14ac:dyDescent="0.35">
      <c r="A49" s="83" t="s">
        <v>32</v>
      </c>
      <c r="C49" s="81"/>
      <c r="E49" s="126"/>
      <c r="F49" s="88">
        <f>SUM(F50:F59)</f>
        <v>0.99999999999999978</v>
      </c>
      <c r="G49" s="81">
        <f>SUM(G50:G59)</f>
        <v>209.47991449249633</v>
      </c>
      <c r="H49" s="81">
        <f t="shared" ref="H49:P49" si="28">SUM(H50:H59)</f>
        <v>1</v>
      </c>
      <c r="I49" s="81">
        <f t="shared" si="28"/>
        <v>0.99999999999999978</v>
      </c>
      <c r="J49" s="81">
        <f t="shared" si="28"/>
        <v>212.15124948503106</v>
      </c>
      <c r="K49" s="81">
        <f t="shared" si="28"/>
        <v>1.0000000000000002</v>
      </c>
      <c r="L49" s="81">
        <f t="shared" si="28"/>
        <v>215.94707294997968</v>
      </c>
      <c r="M49" s="81">
        <f t="shared" si="28"/>
        <v>1</v>
      </c>
      <c r="N49" s="81">
        <f t="shared" si="28"/>
        <v>217.28274044624703</v>
      </c>
      <c r="O49" s="81">
        <f t="shared" si="28"/>
        <v>1</v>
      </c>
      <c r="P49" s="81">
        <f t="shared" si="28"/>
        <v>222.41423140746303</v>
      </c>
    </row>
    <row r="50" spans="1:16" x14ac:dyDescent="0.35">
      <c r="A50" s="5" t="s">
        <v>5</v>
      </c>
      <c r="B50">
        <v>58</v>
      </c>
      <c r="C50" s="6">
        <f>'[2]Conversion factors selected IV '!$G$52</f>
        <v>0.24762705465272858</v>
      </c>
      <c r="D50" s="6">
        <f t="shared" ref="D50:D58" si="29">B50/C50</f>
        <v>234.22319536667356</v>
      </c>
      <c r="E50" s="132">
        <f>'[2]Availabilities EU Austria'!$N$61/'[2]Availabilities EU Austria'!$N$60</f>
        <v>0.51783810219756787</v>
      </c>
      <c r="F50" s="65">
        <f>'[2]Availabilities EU Austria'!$AB80/'[2]Availabilities EU Austria'!$AB$79</f>
        <v>0.4478191237333573</v>
      </c>
      <c r="G50" s="6">
        <f t="shared" si="9"/>
        <v>104.88962610713071</v>
      </c>
      <c r="H50" s="130">
        <f>'[2]Availabilities EU Austria'!$Q$61/'[2]Availabilities EU Austria'!$Q$60</f>
        <v>0.56804068512978889</v>
      </c>
      <c r="I50" s="3">
        <f>'[2]Availabilities EU Austria'!$AC80/'[2]Availabilities EU Austria'!$AC$79</f>
        <v>0.50267796963201805</v>
      </c>
      <c r="J50" s="6">
        <f t="shared" ref="J50:J59" si="30">I50*D50</f>
        <v>117.73884028764297</v>
      </c>
      <c r="K50" s="6">
        <f t="shared" ref="K50:K59" si="31">(F50+O50)/2</f>
        <v>0.43886418592897952</v>
      </c>
      <c r="L50" s="6">
        <f t="shared" ref="L50:L59" si="32">K50*D50</f>
        <v>102.79217196027952</v>
      </c>
      <c r="M50" s="6">
        <f t="shared" si="3"/>
        <v>0.4662936088783099</v>
      </c>
      <c r="N50" s="6">
        <f t="shared" ref="N50:N59" si="33">M50*D50</f>
        <v>109.21677905053565</v>
      </c>
      <c r="O50" s="3">
        <f>'[2]Availabilities EU Austria'!$AD$80/'[2]Availabilities EU Austria'!$AD$79</f>
        <v>0.42990924812460174</v>
      </c>
      <c r="P50" s="6">
        <f t="shared" ref="P50:P59" si="34">O50*D50</f>
        <v>100.69471781342834</v>
      </c>
    </row>
    <row r="51" spans="1:16" x14ac:dyDescent="0.35">
      <c r="A51" s="5" t="s">
        <v>6</v>
      </c>
      <c r="B51">
        <v>44</v>
      </c>
      <c r="C51" s="6">
        <f>'[2]Conversion factors selected IV '!$G$53</f>
        <v>0.24762705465272858</v>
      </c>
      <c r="D51" s="6">
        <f t="shared" si="29"/>
        <v>177.6865620023041</v>
      </c>
      <c r="E51" s="100">
        <f>'[2]Availabilities EU Austria'!$N$62/'[2]Availabilities EU Austria'!$N$60</f>
        <v>3.3609087261800549E-2</v>
      </c>
      <c r="F51" s="65">
        <f>'[2]Availabilities EU Austria'!$AB81/'[2]Availabilities EU Austria'!$AB$79</f>
        <v>3.3908778181926356E-2</v>
      </c>
      <c r="G51" s="6">
        <f t="shared" si="9"/>
        <v>6.0251342168452338</v>
      </c>
      <c r="H51" s="130">
        <f>'[2]Availabilities EU Austria'!$Q$62/'[2]Availabilities EU Austria'!$Q$60</f>
        <v>3.3570731675220726E-2</v>
      </c>
      <c r="I51" s="3">
        <f>'[2]Availabilities EU Austria'!$AC81/'[2]Availabilities EU Austria'!$AC$79</f>
        <v>3.4659157860596541E-2</v>
      </c>
      <c r="J51" s="6">
        <f t="shared" si="30"/>
        <v>6.1584666021445331</v>
      </c>
      <c r="K51" s="6">
        <f t="shared" si="31"/>
        <v>3.1389492047594378E-2</v>
      </c>
      <c r="L51" s="6">
        <f t="shared" si="32"/>
        <v>5.5774909249357103</v>
      </c>
      <c r="M51" s="6">
        <f t="shared" si="3"/>
        <v>3.176468188692947E-2</v>
      </c>
      <c r="N51" s="6">
        <f t="shared" si="33"/>
        <v>5.6441571175853591</v>
      </c>
      <c r="O51" s="3">
        <f>'[2]Availabilities EU Austria'!$AD$81/'[2]Availabilities EU Austria'!$AD$79</f>
        <v>2.8870205913262399E-2</v>
      </c>
      <c r="P51" s="6">
        <f t="shared" si="34"/>
        <v>5.129847633026186</v>
      </c>
    </row>
    <row r="52" spans="1:16" x14ac:dyDescent="0.35">
      <c r="A52" s="5" t="s">
        <v>23</v>
      </c>
      <c r="B52" s="24">
        <v>0</v>
      </c>
      <c r="C52" s="6">
        <f>'[2]Conversion factors selected IV '!$G$54</f>
        <v>0.17276306138562458</v>
      </c>
      <c r="D52" s="6">
        <f t="shared" si="29"/>
        <v>0</v>
      </c>
      <c r="E52" s="133">
        <f>'[2]Availabilities EU Austria'!$N$63/'[2]Availabilities EU Austria'!$N$60</f>
        <v>3.4882498985044481E-2</v>
      </c>
      <c r="F52" s="65">
        <f>'[2]Availabilities EU Austria'!$AB82/'[2]Availabilities EU Austria'!$AB$79</f>
        <v>5.2790317301751842E-2</v>
      </c>
      <c r="G52" s="6">
        <f t="shared" si="9"/>
        <v>0</v>
      </c>
      <c r="H52" s="130">
        <f>'[2]Availabilities EU Austria'!$Q$63/'[2]Availabilities EU Austria'!$Q$60</f>
        <v>2.6988851429010231E-2</v>
      </c>
      <c r="I52" s="3">
        <f>'[2]Availabilities EU Austria'!$AC82/'[2]Availabilities EU Austria'!$AC$79</f>
        <v>4.1795821038569984E-2</v>
      </c>
      <c r="J52" s="6">
        <f t="shared" si="30"/>
        <v>0</v>
      </c>
      <c r="K52" s="6">
        <f t="shared" si="31"/>
        <v>4.3009625771286676E-2</v>
      </c>
      <c r="L52" s="6">
        <f t="shared" si="32"/>
        <v>0</v>
      </c>
      <c r="M52" s="6">
        <f t="shared" si="3"/>
        <v>3.7512377639695747E-2</v>
      </c>
      <c r="N52" s="6">
        <f t="shared" si="33"/>
        <v>0</v>
      </c>
      <c r="O52" s="3">
        <f>'[2]Availabilities EU Austria'!$AD$82/'[2]Availabilities EU Austria'!$AD$79</f>
        <v>3.322893424082151E-2</v>
      </c>
      <c r="P52" s="6">
        <f t="shared" si="34"/>
        <v>0</v>
      </c>
    </row>
    <row r="53" spans="1:16" x14ac:dyDescent="0.35">
      <c r="A53" s="5" t="s">
        <v>7</v>
      </c>
      <c r="B53">
        <v>44</v>
      </c>
      <c r="C53" s="6">
        <f>'[2]Conversion factors selected IV '!$G$55</f>
        <v>0.24762705465272858</v>
      </c>
      <c r="D53" s="6">
        <f t="shared" si="29"/>
        <v>177.6865620023041</v>
      </c>
      <c r="E53" s="132">
        <f>'[2]Availabilities EU Austria'!$N$64/'[2]Availabilities EU Austria'!$N$60</f>
        <v>1.366290786845722E-2</v>
      </c>
      <c r="F53" s="65">
        <f>'[2]Availabilities EU Austria'!$AB83/'[2]Availabilities EU Austria'!$AB$79</f>
        <v>1.6541687381966423E-2</v>
      </c>
      <c r="G53" s="6">
        <f t="shared" si="9"/>
        <v>2.9392355606185081</v>
      </c>
      <c r="H53" s="130">
        <f>'[2]Availabilities EU Austria'!$Q$64/'[2]Availabilities EU Austria'!$Q$60</f>
        <v>1.4187521465099827E-2</v>
      </c>
      <c r="I53" s="3">
        <f>'[2]Availabilities EU Austria'!$AC83/'[2]Availabilities EU Austria'!$AC$79</f>
        <v>1.7577009075644957E-2</v>
      </c>
      <c r="J53" s="6">
        <f t="shared" si="30"/>
        <v>3.1231983129346497</v>
      </c>
      <c r="K53" s="6">
        <f t="shared" si="31"/>
        <v>1.4724658788920117E-2</v>
      </c>
      <c r="L53" s="6">
        <f t="shared" si="32"/>
        <v>2.6163739968602262</v>
      </c>
      <c r="M53" s="6">
        <f t="shared" si="3"/>
        <v>1.5242319635759383E-2</v>
      </c>
      <c r="N53" s="6">
        <f t="shared" si="33"/>
        <v>2.7083553730182968</v>
      </c>
      <c r="O53" s="3">
        <f>'[2]Availabilities EU Austria'!$AD$83/'[2]Availabilities EU Austria'!$AD$79</f>
        <v>1.290763019587381E-2</v>
      </c>
      <c r="P53" s="6">
        <f t="shared" si="34"/>
        <v>2.2935124331019443</v>
      </c>
    </row>
    <row r="54" spans="1:16" x14ac:dyDescent="0.35">
      <c r="A54" s="5" t="s">
        <v>8</v>
      </c>
      <c r="B54">
        <v>69</v>
      </c>
      <c r="C54" s="6">
        <f>'[2]Conversion factors selected IV '!$G$56</f>
        <v>0.24762705465272858</v>
      </c>
      <c r="D54" s="6">
        <f t="shared" si="29"/>
        <v>278.64483586724958</v>
      </c>
      <c r="E54" s="100">
        <f>'[2]Availabilities EU Austria'!$N$65/'[2]Availabilities EU Austria'!$N$60</f>
        <v>2.0267980522710626E-2</v>
      </c>
      <c r="F54" s="65">
        <f>'[2]Availabilities EU Austria'!$AB84/'[2]Availabilities EU Austria'!$AB$79</f>
        <v>1.752746512666262E-2</v>
      </c>
      <c r="G54" s="6">
        <f t="shared" si="9"/>
        <v>4.8839376433878465</v>
      </c>
      <c r="H54" s="130">
        <f>'[2]Availabilities EU Austria'!$Q$65/'[2]Availabilities EU Austria'!$Q$60</f>
        <v>2.3931570490686043E-2</v>
      </c>
      <c r="I54" s="3">
        <f>'[2]Availabilities EU Austria'!$AC84/'[2]Availabilities EU Austria'!$AC$79</f>
        <v>2.1177837396655713E-2</v>
      </c>
      <c r="J54" s="6">
        <f t="shared" si="30"/>
        <v>5.9010950254144312</v>
      </c>
      <c r="K54" s="6">
        <f t="shared" si="31"/>
        <v>8.2792651224227146E-2</v>
      </c>
      <c r="L54" s="6">
        <f t="shared" si="32"/>
        <v>23.069744711389212</v>
      </c>
      <c r="M54" s="6">
        <f t="shared" si="3"/>
        <v>8.4617837359223694E-2</v>
      </c>
      <c r="N54" s="6">
        <f t="shared" si="33"/>
        <v>23.578323402402507</v>
      </c>
      <c r="O54" s="3">
        <f>'[2]Availabilities EU Austria'!$AD$84/'[2]Availabilities EU Austria'!$AD$79</f>
        <v>0.14805783732179167</v>
      </c>
      <c r="P54" s="6">
        <f t="shared" si="34"/>
        <v>41.255551779390579</v>
      </c>
    </row>
    <row r="55" spans="1:16" x14ac:dyDescent="0.35">
      <c r="A55" s="5" t="s">
        <v>9</v>
      </c>
      <c r="B55">
        <v>69</v>
      </c>
      <c r="C55" s="6">
        <f>'[2]Conversion factors selected IV '!$G$57</f>
        <v>0.24762705465272858</v>
      </c>
      <c r="D55" s="6">
        <f t="shared" si="29"/>
        <v>278.64483586724958</v>
      </c>
      <c r="E55" s="100">
        <f>'[2]Availabilities EU Austria'!$N$66/'[2]Availabilities EU Austria'!$N$60</f>
        <v>9.2273673289927829E-3</v>
      </c>
      <c r="F55" s="65">
        <f>'[2]Availabilities EU Austria'!$AB85/'[2]Availabilities EU Austria'!$AB$79</f>
        <v>7.9796977744577523E-3</v>
      </c>
      <c r="G55" s="6">
        <f t="shared" si="9"/>
        <v>2.2235015766340371</v>
      </c>
      <c r="H55" s="130">
        <f>'[2]Availabilities EU Austria'!$Q$66/'[2]Availabilities EU Austria'!$Q$60</f>
        <v>1.6814219915461764E-2</v>
      </c>
      <c r="I55" s="3">
        <f>'[2]Availabilities EU Austria'!$AC85/'[2]Availabilities EU Austria'!$AC$79</f>
        <v>1.4879458724192218E-2</v>
      </c>
      <c r="J55" s="6">
        <f t="shared" si="30"/>
        <v>4.1460843339960558</v>
      </c>
      <c r="K55" s="6">
        <f t="shared" si="31"/>
        <v>1.8602171861771214E-2</v>
      </c>
      <c r="L55" s="6">
        <f t="shared" si="32"/>
        <v>5.1833991251976084</v>
      </c>
      <c r="M55" s="6">
        <f t="shared" si="3"/>
        <v>2.2052052336638449E-2</v>
      </c>
      <c r="N55" s="6">
        <f t="shared" si="33"/>
        <v>6.1446905038786186</v>
      </c>
      <c r="O55" s="3">
        <f>'[2]Availabilities EU Austria'!$AD$85/'[2]Availabilities EU Austria'!$AD$79</f>
        <v>2.9224645949084676E-2</v>
      </c>
      <c r="P55" s="6">
        <f t="shared" si="34"/>
        <v>8.1432966737611796</v>
      </c>
    </row>
    <row r="56" spans="1:16" x14ac:dyDescent="0.35">
      <c r="A56" s="5" t="s">
        <v>10</v>
      </c>
      <c r="B56" s="24">
        <v>69</v>
      </c>
      <c r="C56" s="6">
        <f>'[2]Conversion factors selected IV '!$G$58</f>
        <v>0.27354151386057229</v>
      </c>
      <c r="D56" s="6">
        <f t="shared" si="29"/>
        <v>252.24690404824699</v>
      </c>
      <c r="E56" s="133">
        <f>'[2]Availabilities EU Austria'!$N$67/'[2]Availabilities EU Austria'!$N$60</f>
        <v>0.14802813399529377</v>
      </c>
      <c r="F56" s="65">
        <f>'[2]Availabilities EU Austria'!$AB86/'[2]Availabilities EU Austria'!$AB$79</f>
        <v>0.17921771411040624</v>
      </c>
      <c r="G56" s="6">
        <f t="shared" si="9"/>
        <v>45.207113534953805</v>
      </c>
      <c r="H56" s="130">
        <f>'[2]Availabilities EU Austria'!$Q$67/'[2]Availabilities EU Austria'!$Q$60</f>
        <v>0.10247463906007917</v>
      </c>
      <c r="I56" s="3">
        <f>'[2]Availabilities EU Austria'!$AC86/'[2]Availabilities EU Austria'!$AC$79</f>
        <v>0.12695647123518053</v>
      </c>
      <c r="J56" s="6">
        <f t="shared" si="30"/>
        <v>32.024376817964615</v>
      </c>
      <c r="K56" s="6">
        <f t="shared" si="31"/>
        <v>0.14493538223065383</v>
      </c>
      <c r="L56" s="6">
        <f t="shared" si="32"/>
        <v>36.559501454731738</v>
      </c>
      <c r="M56" s="6">
        <f t="shared" si="3"/>
        <v>0.11880476079304099</v>
      </c>
      <c r="N56" s="6">
        <f t="shared" si="33"/>
        <v>29.968133096237146</v>
      </c>
      <c r="O56" s="3">
        <f>'[2]Availabilities EU Austria'!$AD$86/'[2]Availabilities EU Austria'!$AD$79</f>
        <v>0.11065305035090145</v>
      </c>
      <c r="P56" s="6">
        <f t="shared" si="34"/>
        <v>27.911889374509681</v>
      </c>
    </row>
    <row r="57" spans="1:16" x14ac:dyDescent="0.35">
      <c r="A57" s="5" t="s">
        <v>11</v>
      </c>
      <c r="B57" s="24">
        <v>69</v>
      </c>
      <c r="C57" s="6">
        <f>'[2]Conversion factors selected IV '!$G$59</f>
        <v>0.27354151386057229</v>
      </c>
      <c r="D57" s="6">
        <f t="shared" si="29"/>
        <v>252.24690404824699</v>
      </c>
      <c r="E57" s="133">
        <f>'[2]Availabilities EU Austria'!$N$68/'[2]Availabilities EU Austria'!$N$60</f>
        <v>0.15540694633138846</v>
      </c>
      <c r="F57" s="65">
        <f>'[2]Availabilities EU Austria'!$AB87/'[2]Availabilities EU Austria'!$AB$79</f>
        <v>0.15679270400987594</v>
      </c>
      <c r="G57" s="6">
        <f t="shared" si="9"/>
        <v>39.550474163844363</v>
      </c>
      <c r="H57" s="130">
        <f>'[2]Availabilities EU Austria'!$Q$68/'[2]Availabilities EU Austria'!$Q$60</f>
        <v>0.15073287616524328</v>
      </c>
      <c r="I57" s="3">
        <f>'[2]Availabilities EU Austria'!$AC87/'[2]Availabilities EU Austria'!$AC$79</f>
        <v>0.1556199191705156</v>
      </c>
      <c r="J57" s="6">
        <f t="shared" si="30"/>
        <v>39.254642819000999</v>
      </c>
      <c r="K57" s="6">
        <f t="shared" si="31"/>
        <v>0.1492618559258298</v>
      </c>
      <c r="L57" s="6">
        <f t="shared" si="32"/>
        <v>37.65084104978606</v>
      </c>
      <c r="M57" s="6">
        <f t="shared" si="3"/>
        <v>0.14867546350614963</v>
      </c>
      <c r="N57" s="6">
        <f t="shared" si="33"/>
        <v>37.50292537736437</v>
      </c>
      <c r="O57" s="3">
        <f>'[2]Availabilities EU Austria'!$AD$87/'[2]Availabilities EU Austria'!$AD$79</f>
        <v>0.14173100784178369</v>
      </c>
      <c r="P57" s="6">
        <f t="shared" si="34"/>
        <v>35.751207935727756</v>
      </c>
    </row>
    <row r="58" spans="1:16" x14ac:dyDescent="0.35">
      <c r="A58" s="5" t="s">
        <v>12</v>
      </c>
      <c r="B58" s="24">
        <v>0</v>
      </c>
      <c r="C58" s="6">
        <f>'[2]Conversion factors selected IV '!$G$60</f>
        <v>0.23035074851416612</v>
      </c>
      <c r="D58" s="6">
        <f t="shared" si="29"/>
        <v>0</v>
      </c>
      <c r="E58" s="132">
        <f>'[2]Availabilities EU Austria'!$N$69/'[2]Availabilities EU Austria'!$N$60</f>
        <v>4.6552014319949722E-2</v>
      </c>
      <c r="F58" s="65">
        <f>'[2]Availabilities EU Austria'!$AB88/'[2]Availabilities EU Austria'!$AB$79</f>
        <v>5.6360540178946879E-2</v>
      </c>
      <c r="G58" s="6">
        <f t="shared" si="9"/>
        <v>0</v>
      </c>
      <c r="H58" s="130">
        <f>'[2]Availabilities EU Austria'!$Q$69/'[2]Availabilities EU Austria'!$Q$60</f>
        <v>4.2968416306665501E-2</v>
      </c>
      <c r="I58" s="3">
        <f>'[2]Availabilities EU Austria'!$AC88/'[2]Availabilities EU Austria'!$AC$79</f>
        <v>5.3233839698232026E-2</v>
      </c>
      <c r="J58" s="6">
        <f t="shared" si="30"/>
        <v>0</v>
      </c>
      <c r="K58" s="6">
        <f t="shared" si="31"/>
        <v>5.579220318254953E-2</v>
      </c>
      <c r="L58" s="6">
        <f t="shared" si="32"/>
        <v>0</v>
      </c>
      <c r="M58" s="6">
        <f t="shared" si="3"/>
        <v>5.4228852942192103E-2</v>
      </c>
      <c r="N58" s="6">
        <f t="shared" si="33"/>
        <v>0</v>
      </c>
      <c r="O58" s="3">
        <f>'[2]Availabilities EU Austria'!$AD$88/'[2]Availabilities EU Austria'!$AD$79</f>
        <v>5.522386618615218E-2</v>
      </c>
      <c r="P58" s="6">
        <f t="shared" si="34"/>
        <v>0</v>
      </c>
    </row>
    <row r="59" spans="1:16" x14ac:dyDescent="0.35">
      <c r="A59" s="13" t="s">
        <v>33</v>
      </c>
      <c r="B59" s="24">
        <v>96.44</v>
      </c>
      <c r="C59" s="6">
        <f>'[2]Conversion factors selected IV '!$G$61</f>
        <v>0.79651764705882355</v>
      </c>
      <c r="D59" s="6">
        <f>B59/C59</f>
        <v>121.07704123833156</v>
      </c>
      <c r="E59" s="100">
        <f>'[2]Availabilities EU Austria'!$N$70/'[2]Availabilities EU Austria'!$N$60</f>
        <v>2.052496118879454E-2</v>
      </c>
      <c r="F59" s="65">
        <f>'[2]Availabilities EU Austria'!$AB89/'[2]Availabilities EU Austria'!$AB$79</f>
        <v>3.1061972200648619E-2</v>
      </c>
      <c r="G59" s="6">
        <f t="shared" si="9"/>
        <v>3.7608916890818413</v>
      </c>
      <c r="H59" s="130">
        <f>'[2]Availabilities EU Austria'!$Q$70/'[2]Availabilities EU Austria'!$Q$60</f>
        <v>2.0290488362744687E-2</v>
      </c>
      <c r="I59" s="3">
        <f>'[2]Availabilities EU Austria'!$AC89/'[2]Availabilities EU Austria'!$AC$79</f>
        <v>3.1422516168394234E-2</v>
      </c>
      <c r="J59" s="6">
        <f t="shared" si="30"/>
        <v>3.8045452859328091</v>
      </c>
      <c r="K59" s="6">
        <f t="shared" si="31"/>
        <v>2.0627773038187761E-2</v>
      </c>
      <c r="L59" s="6">
        <f t="shared" si="32"/>
        <v>2.4975497267996034</v>
      </c>
      <c r="M59" s="6">
        <f t="shared" si="3"/>
        <v>2.0808045022060569E-2</v>
      </c>
      <c r="N59" s="6">
        <f t="shared" si="33"/>
        <v>2.5193765252250873</v>
      </c>
      <c r="O59" s="3">
        <f>'[2]Availabilities EU Austria'!$AD$89/'[2]Availabilities EU Austria'!$AD$79</f>
        <v>1.0193573875726905E-2</v>
      </c>
      <c r="P59" s="6">
        <f t="shared" si="34"/>
        <v>1.2342077645173657</v>
      </c>
    </row>
    <row r="60" spans="1:16" s="82" customFormat="1" x14ac:dyDescent="0.35">
      <c r="A60" s="83" t="s">
        <v>34</v>
      </c>
      <c r="C60" s="81"/>
      <c r="E60" s="126"/>
      <c r="G60" s="81">
        <f>SUM(G61)</f>
        <v>1696.5649183147032</v>
      </c>
      <c r="H60" s="81">
        <f t="shared" ref="H60:N60" si="35">SUM(H61)</f>
        <v>1</v>
      </c>
      <c r="I60" s="81">
        <f t="shared" si="35"/>
        <v>1</v>
      </c>
      <c r="J60" s="81">
        <f t="shared" si="35"/>
        <v>1696.5649183147032</v>
      </c>
      <c r="K60" s="81">
        <f t="shared" si="35"/>
        <v>1</v>
      </c>
      <c r="L60" s="81">
        <f t="shared" si="35"/>
        <v>1696.5649183147032</v>
      </c>
      <c r="M60" s="81">
        <f t="shared" si="35"/>
        <v>1</v>
      </c>
      <c r="N60" s="81">
        <f t="shared" si="35"/>
        <v>1696.5649183147032</v>
      </c>
      <c r="P60" s="81">
        <v>115.26362854686155</v>
      </c>
    </row>
    <row r="61" spans="1:16" x14ac:dyDescent="0.35">
      <c r="A61" s="15" t="s">
        <v>31</v>
      </c>
      <c r="B61" s="24">
        <f>(976+1863)/2</f>
        <v>1419.5</v>
      </c>
      <c r="C61" s="6">
        <f>'[2]Conversion factors selected IV '!$O$62</f>
        <v>0.83669064748201449</v>
      </c>
      <c r="D61" s="6">
        <f>B61/C61</f>
        <v>1696.5649183147032</v>
      </c>
      <c r="E61" s="130">
        <v>1</v>
      </c>
      <c r="F61" s="3">
        <v>1</v>
      </c>
      <c r="G61" s="6">
        <f t="shared" si="9"/>
        <v>1696.5649183147032</v>
      </c>
      <c r="H61" s="130">
        <v>1</v>
      </c>
      <c r="I61" s="35">
        <v>1</v>
      </c>
      <c r="J61" s="6">
        <f>I61*D61</f>
        <v>1696.5649183147032</v>
      </c>
      <c r="K61" s="6">
        <f>(F61+O61)/2</f>
        <v>1</v>
      </c>
      <c r="L61" s="6">
        <f>K61*D61</f>
        <v>1696.5649183147032</v>
      </c>
      <c r="M61" s="6">
        <f t="shared" si="3"/>
        <v>1</v>
      </c>
      <c r="N61" s="6">
        <f>M61*D61</f>
        <v>1696.5649183147032</v>
      </c>
      <c r="O61" s="35">
        <v>1</v>
      </c>
      <c r="P61" s="6">
        <v>115.26362854686155</v>
      </c>
    </row>
    <row r="62" spans="1:16" s="83" customFormat="1" x14ac:dyDescent="0.35">
      <c r="A62" s="83" t="s">
        <v>347</v>
      </c>
      <c r="F62" s="88">
        <f>SUM(F63:F72)</f>
        <v>0.99999999999999978</v>
      </c>
      <c r="G62" s="81">
        <f>SUM(G63:G72)</f>
        <v>292.57301829518951</v>
      </c>
      <c r="I62" s="88">
        <f>SUM(I63:I72)</f>
        <v>0.99999999999999978</v>
      </c>
      <c r="J62" s="81">
        <f>SUM(J63:J72)</f>
        <v>296.29898250094675</v>
      </c>
      <c r="K62" s="81">
        <f t="shared" ref="K62:N62" si="36">SUM(K63:K72)</f>
        <v>1</v>
      </c>
      <c r="L62" s="81">
        <f t="shared" si="36"/>
        <v>299.99380141266732</v>
      </c>
      <c r="M62" s="6">
        <f t="shared" si="3"/>
        <v>1</v>
      </c>
      <c r="N62" s="81">
        <f t="shared" si="36"/>
        <v>301.85678351554589</v>
      </c>
      <c r="O62" s="81">
        <f t="shared" ref="O62:P62" si="37">SUM(O63:O72)</f>
        <v>1.0000000000000002</v>
      </c>
      <c r="P62" s="81">
        <f t="shared" si="37"/>
        <v>307.41458453014508</v>
      </c>
    </row>
    <row r="63" spans="1:16" x14ac:dyDescent="0.35">
      <c r="A63" s="5" t="s">
        <v>5</v>
      </c>
      <c r="B63">
        <v>58</v>
      </c>
      <c r="C63" s="6">
        <f>'[2]Conversion factors selected IV '!$G64</f>
        <v>0.17998143851508122</v>
      </c>
      <c r="D63" s="6">
        <f>B63/C63</f>
        <v>322.25545299850461</v>
      </c>
      <c r="E63" s="130"/>
      <c r="F63" s="3">
        <f>'[2]Availabilities EU Austria'!$AB104/'[2]Availabilities EU Austria'!$AB$103</f>
        <v>0.4478191237333573</v>
      </c>
      <c r="G63" s="6">
        <f t="shared" si="9"/>
        <v>144.31215458008646</v>
      </c>
      <c r="I63" s="3">
        <f>'[2]Availabilities EU Austria'!$AC104/'[2]Availabilities EU Austria'!$AC$103</f>
        <v>0.50267796963201805</v>
      </c>
      <c r="J63" s="6">
        <f t="shared" ref="J63:J72" si="38">I63*D63</f>
        <v>161.99071681613452</v>
      </c>
      <c r="K63" s="6">
        <f t="shared" ref="K63:K72" si="39">(F63+O63)/2</f>
        <v>0.42772140277673421</v>
      </c>
      <c r="L63" s="6">
        <f t="shared" ref="L63:L72" si="40">K63*D63</f>
        <v>137.83555440897234</v>
      </c>
      <c r="M63" s="6">
        <f t="shared" si="3"/>
        <v>0.45515082572606458</v>
      </c>
      <c r="N63" s="6">
        <f t="shared" ref="N63:N72" si="41">M63*D63</f>
        <v>146.67483552699636</v>
      </c>
      <c r="O63" s="3">
        <f>'[2]Availabilities EU Austria'!$AD$104/'[2]Availabilities EU Austria'!$AD$103</f>
        <v>0.40762368182011105</v>
      </c>
      <c r="P63" s="6">
        <f t="shared" ref="P63:P72" si="42">O63*D63</f>
        <v>131.3589542378582</v>
      </c>
    </row>
    <row r="64" spans="1:16" x14ac:dyDescent="0.35">
      <c r="A64" s="5" t="s">
        <v>6</v>
      </c>
      <c r="B64">
        <v>44</v>
      </c>
      <c r="C64" s="6">
        <f>'[2]Conversion factors selected IV '!$G65</f>
        <v>0.17998143851508122</v>
      </c>
      <c r="D64" s="6">
        <f t="shared" ref="D64:D72" si="43">B64/C64</f>
        <v>244.46965399886554</v>
      </c>
      <c r="E64" s="130"/>
      <c r="F64" s="3">
        <f>'[2]Availabilities EU Austria'!$AB105/'[2]Availabilities EU Austria'!$AB$103</f>
        <v>3.3908778181926356E-2</v>
      </c>
      <c r="G64" s="6">
        <f t="shared" si="9"/>
        <v>8.2896672696598177</v>
      </c>
      <c r="H64" s="130"/>
      <c r="I64" s="3">
        <f>'[2]Availabilities EU Austria'!$AC105/'[2]Availabilities EU Austria'!$AC$103</f>
        <v>3.4659157860596541E-2</v>
      </c>
      <c r="J64" s="6">
        <f t="shared" si="38"/>
        <v>8.4731123300720981</v>
      </c>
      <c r="K64" s="6">
        <f t="shared" si="39"/>
        <v>3.0641207507414128E-2</v>
      </c>
      <c r="L64" s="6">
        <f t="shared" si="40"/>
        <v>7.4908453974449731</v>
      </c>
      <c r="M64" s="6">
        <f t="shared" si="3"/>
        <v>3.1016397346749221E-2</v>
      </c>
      <c r="N64" s="6">
        <f t="shared" si="41"/>
        <v>7.5825679276511133</v>
      </c>
      <c r="O64" s="3">
        <f>'[2]Availabilities EU Austria'!$AD$105/'[2]Availabilities EU Austria'!$AD$103</f>
        <v>2.73736368329019E-2</v>
      </c>
      <c r="P64" s="6">
        <f t="shared" si="42"/>
        <v>6.6920235252301286</v>
      </c>
    </row>
    <row r="65" spans="1:16" x14ac:dyDescent="0.35">
      <c r="A65" s="5" t="s">
        <v>23</v>
      </c>
      <c r="B65" s="24">
        <v>0</v>
      </c>
      <c r="C65" s="6">
        <f>'[2]Conversion factors selected IV '!$G66</f>
        <v>0.17998143851508122</v>
      </c>
      <c r="D65" s="6">
        <f t="shared" si="43"/>
        <v>0</v>
      </c>
      <c r="E65" s="130"/>
      <c r="F65" s="3">
        <f>'[2]Availabilities EU Austria'!$AB106/'[2]Availabilities EU Austria'!$AB$103</f>
        <v>5.2790317301751842E-2</v>
      </c>
      <c r="G65" s="6">
        <f t="shared" si="9"/>
        <v>0</v>
      </c>
      <c r="H65" s="130"/>
      <c r="I65" s="3">
        <f>'[2]Availabilities EU Austria'!$AC106/'[2]Availabilities EU Austria'!$AC$103</f>
        <v>4.1795821038569984E-2</v>
      </c>
      <c r="J65" s="6">
        <f t="shared" si="38"/>
        <v>0</v>
      </c>
      <c r="K65" s="6">
        <f t="shared" si="39"/>
        <v>4.2148367702889926E-2</v>
      </c>
      <c r="L65" s="6">
        <f t="shared" si="40"/>
        <v>0</v>
      </c>
      <c r="M65" s="6">
        <f t="shared" si="3"/>
        <v>3.6651119571298997E-2</v>
      </c>
      <c r="N65" s="6">
        <f t="shared" si="41"/>
        <v>0</v>
      </c>
      <c r="O65" s="3">
        <f>'[2]Availabilities EU Austria'!$AD$106/'[2]Availabilities EU Austria'!$AD$103</f>
        <v>3.150641810402801E-2</v>
      </c>
      <c r="P65" s="6">
        <f t="shared" si="42"/>
        <v>0</v>
      </c>
    </row>
    <row r="66" spans="1:16" x14ac:dyDescent="0.35">
      <c r="A66" s="5" t="s">
        <v>7</v>
      </c>
      <c r="B66">
        <v>44</v>
      </c>
      <c r="C66" s="6">
        <f>'[2]Conversion factors selected IV '!$G67</f>
        <v>0.17998143851508122</v>
      </c>
      <c r="D66" s="6">
        <f t="shared" si="43"/>
        <v>244.46965399886554</v>
      </c>
      <c r="E66" s="130"/>
      <c r="F66" s="3">
        <f>'[2]Availabilities EU Austria'!$AB107/'[2]Availabilities EU Austria'!$AB$103</f>
        <v>1.6541687381966423E-2</v>
      </c>
      <c r="G66" s="6">
        <f t="shared" si="9"/>
        <v>4.0439405908267316</v>
      </c>
      <c r="H66" s="130"/>
      <c r="I66" s="3">
        <f>'[2]Availabilities EU Austria'!$AC107/'[2]Availabilities EU Austria'!$AC$103</f>
        <v>1.7577009075644957E-2</v>
      </c>
      <c r="J66" s="6">
        <f t="shared" si="38"/>
        <v>4.2970453270578419</v>
      </c>
      <c r="K66" s="6">
        <f t="shared" si="39"/>
        <v>1.4390106962204562E-2</v>
      </c>
      <c r="L66" s="6">
        <f t="shared" si="40"/>
        <v>3.5179444700568152</v>
      </c>
      <c r="M66" s="6">
        <f t="shared" si="3"/>
        <v>1.4907767809043829E-2</v>
      </c>
      <c r="N66" s="6">
        <f t="shared" si="41"/>
        <v>3.6444968381723708</v>
      </c>
      <c r="O66" s="3">
        <f>'[2]Availabilities EU Austria'!$AD$107/'[2]Availabilities EU Austria'!$AD$103</f>
        <v>1.2238526542442701E-2</v>
      </c>
      <c r="P66" s="6">
        <f t="shared" si="42"/>
        <v>2.9919483492868992</v>
      </c>
    </row>
    <row r="67" spans="1:16" x14ac:dyDescent="0.35">
      <c r="A67" s="5" t="s">
        <v>8</v>
      </c>
      <c r="B67">
        <v>69</v>
      </c>
      <c r="C67" s="6">
        <f>'[2]Conversion factors selected IV '!$G68</f>
        <v>0.17998143851508122</v>
      </c>
      <c r="D67" s="6">
        <f t="shared" si="43"/>
        <v>383.37286649822096</v>
      </c>
      <c r="E67" s="130"/>
      <c r="F67" s="3">
        <f>'[2]Availabilities EU Austria'!$AB108/'[2]Availabilities EU Austria'!$AB$103</f>
        <v>1.752746512666262E-2</v>
      </c>
      <c r="G67" s="6">
        <f t="shared" si="9"/>
        <v>6.7195545480562524</v>
      </c>
      <c r="H67" s="130"/>
      <c r="I67" s="3">
        <f>'[2]Availabilities EU Austria'!$AC108/'[2]Availabilities EU Austria'!$AC$103</f>
        <v>2.1177837396655713E-2</v>
      </c>
      <c r="J67" s="6">
        <f t="shared" si="38"/>
        <v>8.1190082289891219</v>
      </c>
      <c r="K67" s="6">
        <f t="shared" si="39"/>
        <v>7.8955152071873536E-2</v>
      </c>
      <c r="L67" s="6">
        <f t="shared" si="40"/>
        <v>30.269262974597108</v>
      </c>
      <c r="M67" s="6">
        <f t="shared" si="3"/>
        <v>8.0780338206870084E-2</v>
      </c>
      <c r="N67" s="6">
        <f t="shared" si="41"/>
        <v>30.968989815063541</v>
      </c>
      <c r="O67" s="3">
        <f>'[2]Availabilities EU Austria'!$AD$108/'[2]Availabilities EU Austria'!$AD$103</f>
        <v>0.14038283901708445</v>
      </c>
      <c r="P67" s="6">
        <f t="shared" si="42"/>
        <v>53.818971401137965</v>
      </c>
    </row>
    <row r="68" spans="1:16" x14ac:dyDescent="0.35">
      <c r="A68" s="5" t="s">
        <v>9</v>
      </c>
      <c r="B68">
        <v>69</v>
      </c>
      <c r="C68" s="6">
        <f>'[2]Conversion factors selected IV '!$G69</f>
        <v>0.17998143851508122</v>
      </c>
      <c r="D68" s="6">
        <f t="shared" si="43"/>
        <v>383.37286649822096</v>
      </c>
      <c r="E68" s="130"/>
      <c r="F68" s="3">
        <f>'[2]Availabilities EU Austria'!$AB109/'[2]Availabilities EU Austria'!$AB$103</f>
        <v>7.9796977744577523E-3</v>
      </c>
      <c r="G68" s="6">
        <f t="shared" si="9"/>
        <v>3.0591996095833429</v>
      </c>
      <c r="H68" s="130"/>
      <c r="I68" s="3">
        <f>'[2]Availabilities EU Austria'!$AC109/'[2]Availabilities EU Austria'!$AC$103</f>
        <v>1.4879458724192218E-2</v>
      </c>
      <c r="J68" s="6">
        <f t="shared" si="38"/>
        <v>5.7043807430355322</v>
      </c>
      <c r="K68" s="6">
        <f t="shared" si="39"/>
        <v>1.7844700618869704E-2</v>
      </c>
      <c r="L68" s="6">
        <f t="shared" si="40"/>
        <v>6.8411740280586555</v>
      </c>
      <c r="M68" s="6">
        <f t="shared" si="3"/>
        <v>2.1294581093736935E-2</v>
      </c>
      <c r="N68" s="6">
        <f t="shared" si="41"/>
        <v>8.1637645947847499</v>
      </c>
      <c r="O68" s="3">
        <f>'[2]Availabilities EU Austria'!$AD$109/'[2]Availabilities EU Austria'!$AD$103</f>
        <v>2.7709703463281655E-2</v>
      </c>
      <c r="P68" s="6">
        <f t="shared" si="42"/>
        <v>10.623148446533969</v>
      </c>
    </row>
    <row r="69" spans="1:16" x14ac:dyDescent="0.35">
      <c r="A69" s="5" t="s">
        <v>10</v>
      </c>
      <c r="B69" s="24">
        <v>69</v>
      </c>
      <c r="C69" s="6">
        <f>'[2]Conversion factors selected IV '!$G70</f>
        <v>0.19881670533642692</v>
      </c>
      <c r="D69" s="6">
        <f t="shared" si="43"/>
        <v>347.05333177733689</v>
      </c>
      <c r="E69" s="130"/>
      <c r="F69" s="3">
        <f>'[2]Availabilities EU Austria'!$AB110/'[2]Availabilities EU Austria'!$AB$103</f>
        <v>0.17921771411040624</v>
      </c>
      <c r="G69" s="6">
        <f t="shared" si="9"/>
        <v>62.198104795534725</v>
      </c>
      <c r="H69" s="130"/>
      <c r="I69" s="3">
        <f>'[2]Availabilities EU Austria'!$AC110/'[2]Availabilities EU Austria'!$AC$103</f>
        <v>0.12695647123518053</v>
      </c>
      <c r="J69" s="6">
        <f t="shared" si="38"/>
        <v>44.060666332863036</v>
      </c>
      <c r="K69" s="6">
        <f t="shared" si="39"/>
        <v>0.14206737473704156</v>
      </c>
      <c r="L69" s="6">
        <f t="shared" si="40"/>
        <v>49.304955739349737</v>
      </c>
      <c r="M69" s="6">
        <f t="shared" ref="M69:M123" si="44">(I69+O69)/2</f>
        <v>0.11593675329942871</v>
      </c>
      <c r="N69" s="6">
        <f t="shared" si="41"/>
        <v>40.236236508013889</v>
      </c>
      <c r="O69" s="3">
        <f>'[2]Availabilities EU Austria'!$AD$110/'[2]Availabilities EU Austria'!$AD$103</f>
        <v>0.10491703536367689</v>
      </c>
      <c r="P69" s="6">
        <f t="shared" si="42"/>
        <v>36.411806683164741</v>
      </c>
    </row>
    <row r="70" spans="1:16" x14ac:dyDescent="0.35">
      <c r="A70" s="5" t="s">
        <v>11</v>
      </c>
      <c r="B70" s="24">
        <v>69</v>
      </c>
      <c r="C70" s="6">
        <f>'[2]Conversion factors selected IV '!$G71</f>
        <v>0.19881670533642692</v>
      </c>
      <c r="D70" s="6">
        <f t="shared" si="43"/>
        <v>347.05333177733689</v>
      </c>
      <c r="E70" s="130"/>
      <c r="F70" s="3">
        <f>'[2]Availabilities EU Austria'!$AB111/'[2]Availabilities EU Austria'!$AB$103</f>
        <v>0.15679270400987594</v>
      </c>
      <c r="G70" s="6">
        <f t="shared" si="9"/>
        <v>54.415430325005254</v>
      </c>
      <c r="H70" s="130"/>
      <c r="I70" s="3">
        <f>'[2]Availabilities EU Austria'!$AC111/'[2]Availabilities EU Austria'!$AC$103</f>
        <v>0.1556199191705156</v>
      </c>
      <c r="J70" s="6">
        <f t="shared" si="38"/>
        <v>54.0084114390473</v>
      </c>
      <c r="K70" s="6">
        <f t="shared" si="39"/>
        <v>0.14558834135683768</v>
      </c>
      <c r="L70" s="6">
        <f t="shared" si="40"/>
        <v>50.526918935826764</v>
      </c>
      <c r="M70" s="6">
        <f t="shared" si="44"/>
        <v>0.14500194893715751</v>
      </c>
      <c r="N70" s="6">
        <f t="shared" si="41"/>
        <v>50.323409492847787</v>
      </c>
      <c r="O70" s="3">
        <f>'[2]Availabilities EU Austria'!$AD$111/'[2]Availabilities EU Austria'!$AD$103</f>
        <v>0.13438397870379942</v>
      </c>
      <c r="P70" s="6">
        <f t="shared" si="42"/>
        <v>46.638407546648274</v>
      </c>
    </row>
    <row r="71" spans="1:16" x14ac:dyDescent="0.35">
      <c r="A71" s="5" t="s">
        <v>12</v>
      </c>
      <c r="B71" s="24">
        <v>0</v>
      </c>
      <c r="C71" s="6">
        <f>'[2]Conversion factors selected IV '!$G72</f>
        <v>0.16742459396751741</v>
      </c>
      <c r="D71" s="6">
        <f t="shared" si="43"/>
        <v>0</v>
      </c>
      <c r="E71" s="130"/>
      <c r="F71" s="3">
        <f>'[2]Availabilities EU Austria'!$AB112/'[2]Availabilities EU Austria'!$AB$103</f>
        <v>5.6360540178946879E-2</v>
      </c>
      <c r="G71" s="6">
        <f t="shared" si="9"/>
        <v>0</v>
      </c>
      <c r="H71" s="130"/>
      <c r="I71" s="3">
        <f>'[2]Availabilities EU Austria'!$AC112/'[2]Availabilities EU Austria'!$AC$103</f>
        <v>5.3233839698232026E-2</v>
      </c>
      <c r="J71" s="6">
        <f t="shared" si="38"/>
        <v>0</v>
      </c>
      <c r="K71" s="6">
        <f t="shared" si="39"/>
        <v>5.4360860245812895E-2</v>
      </c>
      <c r="L71" s="6">
        <f t="shared" si="40"/>
        <v>0</v>
      </c>
      <c r="M71" s="6">
        <f t="shared" si="44"/>
        <v>5.2797510005455461E-2</v>
      </c>
      <c r="N71" s="6">
        <f t="shared" si="41"/>
        <v>0</v>
      </c>
      <c r="O71" s="3">
        <f>'[2]Availabilities EU Austria'!$AD$112/'[2]Availabilities EU Austria'!$AD$103</f>
        <v>5.2361180312678904E-2</v>
      </c>
      <c r="P71" s="6">
        <f t="shared" si="42"/>
        <v>0</v>
      </c>
    </row>
    <row r="72" spans="1:16" x14ac:dyDescent="0.35">
      <c r="A72" s="13" t="s">
        <v>33</v>
      </c>
      <c r="B72" s="24">
        <v>96.44</v>
      </c>
      <c r="C72" s="238">
        <f>'[2]Conversion factors selected IV '!$G73</f>
        <v>0.31417169373549886</v>
      </c>
      <c r="D72" s="6">
        <f t="shared" si="43"/>
        <v>306.96591043365237</v>
      </c>
      <c r="E72" s="130"/>
      <c r="F72" s="3">
        <f>'[2]Availabilities EU Austria'!$AB113/'[2]Availabilities EU Austria'!$AB$103</f>
        <v>3.1061972200648619E-2</v>
      </c>
      <c r="G72" s="6">
        <f t="shared" si="9"/>
        <v>9.5349665764369043</v>
      </c>
      <c r="H72" s="130"/>
      <c r="I72" s="3">
        <f>'[2]Availabilities EU Austria'!$AC113/'[2]Availabilities EU Austria'!$AC$103</f>
        <v>3.1422516168394234E-2</v>
      </c>
      <c r="J72" s="6">
        <f t="shared" si="38"/>
        <v>9.6456412837472971</v>
      </c>
      <c r="K72" s="6">
        <f t="shared" si="39"/>
        <v>4.628248602032186E-2</v>
      </c>
      <c r="L72" s="6">
        <f t="shared" si="40"/>
        <v>14.207145458360888</v>
      </c>
      <c r="M72" s="6">
        <f t="shared" si="44"/>
        <v>4.6462758004194665E-2</v>
      </c>
      <c r="N72" s="6">
        <f t="shared" si="41"/>
        <v>14.262482812016085</v>
      </c>
      <c r="O72" s="3">
        <f>'[2]Availabilities EU Austria'!$AD$113/'[2]Availabilities EU Austria'!$AD$103</f>
        <v>6.1502999839995104E-2</v>
      </c>
      <c r="P72" s="6">
        <f t="shared" si="42"/>
        <v>18.879324340284874</v>
      </c>
    </row>
    <row r="73" spans="1:16" s="82" customFormat="1" x14ac:dyDescent="0.35">
      <c r="A73" s="83" t="s">
        <v>346</v>
      </c>
      <c r="C73" s="81"/>
      <c r="E73" s="126"/>
      <c r="F73" s="88">
        <f>SUM(F74:F83)</f>
        <v>0.99999999999999978</v>
      </c>
      <c r="G73" s="81">
        <f>SUM(G74:G83)</f>
        <v>567.01724137820486</v>
      </c>
      <c r="H73" s="81">
        <f t="shared" ref="H73:P73" si="45">SUM(H74:H83)</f>
        <v>1</v>
      </c>
      <c r="I73" s="81">
        <f t="shared" si="45"/>
        <v>0.99999999999999978</v>
      </c>
      <c r="J73" s="81">
        <f t="shared" si="45"/>
        <v>574.25874439515565</v>
      </c>
      <c r="K73" s="81">
        <f t="shared" si="45"/>
        <v>1</v>
      </c>
      <c r="L73" s="81">
        <f t="shared" si="45"/>
        <v>572.97561190753925</v>
      </c>
      <c r="M73" s="81">
        <f t="shared" si="45"/>
        <v>0.99999999999999989</v>
      </c>
      <c r="N73" s="81">
        <f t="shared" si="45"/>
        <v>576.5963634160147</v>
      </c>
      <c r="O73" s="81">
        <f t="shared" si="45"/>
        <v>1.0000000000000002</v>
      </c>
      <c r="P73" s="81">
        <f t="shared" si="45"/>
        <v>578.93398243687375</v>
      </c>
    </row>
    <row r="74" spans="1:16" x14ac:dyDescent="0.35">
      <c r="A74" s="5" t="s">
        <v>5</v>
      </c>
      <c r="B74">
        <v>58</v>
      </c>
      <c r="C74" s="6">
        <f>'[2]Conversion factors selected IV '!$G$75</f>
        <v>8.9990719257540611E-2</v>
      </c>
      <c r="D74" s="6">
        <f t="shared" ref="D74:D82" si="46">B74/C74</f>
        <v>644.51090599700922</v>
      </c>
      <c r="E74" s="130">
        <f>'[2]Availabilities EU Austria'!$N$115/'[2]Availabilities EU Austria'!$N$114</f>
        <v>0.51783810219756787</v>
      </c>
      <c r="F74" s="3">
        <f>'[2]Availabilities EU Austria'!$AB104/'[2]Availabilities EU Austria'!$AB$103</f>
        <v>0.4478191237333573</v>
      </c>
      <c r="G74" s="6">
        <f t="shared" si="9"/>
        <v>288.62430916017291</v>
      </c>
      <c r="H74" s="130">
        <f>'[2]Availabilities EU Austria'!$Q$115/'[2]Availabilities EU Austria'!$Q$114</f>
        <v>0.56804068512978889</v>
      </c>
      <c r="I74" s="3">
        <f>'[2]Availabilities EU Austria'!$AC104/'[2]Availabilities EU Austria'!$AC$103</f>
        <v>0.50267796963201805</v>
      </c>
      <c r="J74" s="6">
        <f t="shared" ref="J74:J83" si="47">I74*D74</f>
        <v>323.98143363226905</v>
      </c>
      <c r="K74" s="6">
        <f t="shared" ref="K74:K83" si="48">(F74+O74)/2</f>
        <v>0.42772140277673421</v>
      </c>
      <c r="L74" s="6">
        <f t="shared" ref="L74:L83" si="49">K74*D74</f>
        <v>275.67110881794468</v>
      </c>
      <c r="M74" s="6">
        <f t="shared" si="44"/>
        <v>0.45515082572606458</v>
      </c>
      <c r="N74" s="6">
        <f t="shared" ref="N74:N83" si="50">M74*D74</f>
        <v>293.34967105399272</v>
      </c>
      <c r="O74" s="3">
        <f>'[2]Availabilities EU Austria'!$AD$104/'[2]Availabilities EU Austria'!$AD$103</f>
        <v>0.40762368182011105</v>
      </c>
      <c r="P74" s="6">
        <f t="shared" ref="P74:P83" si="51">O74*D74</f>
        <v>262.7179084757164</v>
      </c>
    </row>
    <row r="75" spans="1:16" x14ac:dyDescent="0.35">
      <c r="A75" s="5" t="s">
        <v>6</v>
      </c>
      <c r="B75">
        <v>44</v>
      </c>
      <c r="C75" s="6">
        <f>'[2]Conversion factors selected IV '!$G$76</f>
        <v>8.9990719257540611E-2</v>
      </c>
      <c r="D75" s="6">
        <f t="shared" si="46"/>
        <v>488.93930799773108</v>
      </c>
      <c r="E75" s="130">
        <f>'[2]Availabilities EU Austria'!$N$116/'[2]Availabilities EU Austria'!$N$114</f>
        <v>3.3609087261800549E-2</v>
      </c>
      <c r="F75" s="3">
        <f>'[2]Availabilities EU Austria'!$AB105/'[2]Availabilities EU Austria'!$AB$103</f>
        <v>3.3908778181926356E-2</v>
      </c>
      <c r="G75" s="6">
        <f t="shared" si="9"/>
        <v>16.579334539319635</v>
      </c>
      <c r="H75" s="130">
        <f>'[2]Availabilities EU Austria'!$Q$116/'[2]Availabilities EU Austria'!$Q$114</f>
        <v>3.3570731675220726E-2</v>
      </c>
      <c r="I75" s="3">
        <f>'[2]Availabilities EU Austria'!$AC105/'[2]Availabilities EU Austria'!$AC$103</f>
        <v>3.4659157860596541E-2</v>
      </c>
      <c r="J75" s="6">
        <f t="shared" si="47"/>
        <v>16.946224660144196</v>
      </c>
      <c r="K75" s="6">
        <f t="shared" si="48"/>
        <v>3.0641207507414128E-2</v>
      </c>
      <c r="L75" s="6">
        <f t="shared" si="49"/>
        <v>14.981690794889946</v>
      </c>
      <c r="M75" s="6">
        <f t="shared" si="44"/>
        <v>3.1016397346749221E-2</v>
      </c>
      <c r="N75" s="6">
        <f t="shared" si="50"/>
        <v>15.165135855302227</v>
      </c>
      <c r="O75" s="3">
        <f>'[2]Availabilities EU Austria'!$AD$105/'[2]Availabilities EU Austria'!$AD$103</f>
        <v>2.73736368329019E-2</v>
      </c>
      <c r="P75" s="6">
        <f t="shared" si="51"/>
        <v>13.384047050460257</v>
      </c>
    </row>
    <row r="76" spans="1:16" x14ac:dyDescent="0.35">
      <c r="A76" s="5" t="s">
        <v>23</v>
      </c>
      <c r="B76" s="24">
        <v>0</v>
      </c>
      <c r="C76" s="6">
        <f>'[2]Conversion factors selected IV '!$G$77</f>
        <v>8.9990719257540611E-2</v>
      </c>
      <c r="D76" s="6">
        <f t="shared" si="46"/>
        <v>0</v>
      </c>
      <c r="E76" s="130">
        <f>'[2]Availabilities EU Austria'!$N$117/'[2]Availabilities EU Austria'!$N$114</f>
        <v>3.4882498985044481E-2</v>
      </c>
      <c r="F76" s="3">
        <f>'[2]Availabilities EU Austria'!$AB106/'[2]Availabilities EU Austria'!$AB$103</f>
        <v>5.2790317301751842E-2</v>
      </c>
      <c r="G76" s="6">
        <f t="shared" si="9"/>
        <v>0</v>
      </c>
      <c r="H76" s="130">
        <f>'[2]Availabilities EU Austria'!$Q$117/'[2]Availabilities EU Austria'!$Q$114</f>
        <v>2.6988851429010231E-2</v>
      </c>
      <c r="I76" s="3">
        <f>'[2]Availabilities EU Austria'!$AC106/'[2]Availabilities EU Austria'!$AC$103</f>
        <v>4.1795821038569984E-2</v>
      </c>
      <c r="J76" s="6">
        <f t="shared" si="47"/>
        <v>0</v>
      </c>
      <c r="K76" s="6">
        <f t="shared" si="48"/>
        <v>4.2148367702889926E-2</v>
      </c>
      <c r="L76" s="6">
        <f t="shared" si="49"/>
        <v>0</v>
      </c>
      <c r="M76" s="6">
        <f t="shared" si="44"/>
        <v>3.6651119571298997E-2</v>
      </c>
      <c r="N76" s="6">
        <f t="shared" si="50"/>
        <v>0</v>
      </c>
      <c r="O76" s="3">
        <f>'[2]Availabilities EU Austria'!$AD$106/'[2]Availabilities EU Austria'!$AD$103</f>
        <v>3.150641810402801E-2</v>
      </c>
      <c r="P76" s="6">
        <f t="shared" si="51"/>
        <v>0</v>
      </c>
    </row>
    <row r="77" spans="1:16" x14ac:dyDescent="0.35">
      <c r="A77" s="5" t="s">
        <v>7</v>
      </c>
      <c r="B77">
        <v>44</v>
      </c>
      <c r="C77" s="6">
        <f>'[2]Conversion factors selected IV '!$G$78</f>
        <v>8.9990719257540611E-2</v>
      </c>
      <c r="D77" s="6">
        <f t="shared" si="46"/>
        <v>488.93930799773108</v>
      </c>
      <c r="E77" s="130">
        <f>'[2]Availabilities EU Austria'!$N$118/'[2]Availabilities EU Austria'!$N$114</f>
        <v>1.366290786845722E-2</v>
      </c>
      <c r="F77" s="3">
        <f>'[2]Availabilities EU Austria'!$AB107/'[2]Availabilities EU Austria'!$AB$103</f>
        <v>1.6541687381966423E-2</v>
      </c>
      <c r="G77" s="6">
        <f t="shared" si="9"/>
        <v>8.0878811816534633</v>
      </c>
      <c r="H77" s="130">
        <f>'[2]Availabilities EU Austria'!$Q$118/'[2]Availabilities EU Austria'!$Q$114</f>
        <v>1.4187521465099827E-2</v>
      </c>
      <c r="I77" s="3">
        <f>'[2]Availabilities EU Austria'!$AC107/'[2]Availabilities EU Austria'!$AC$103</f>
        <v>1.7577009075644957E-2</v>
      </c>
      <c r="J77" s="6">
        <f t="shared" si="47"/>
        <v>8.5940906541156838</v>
      </c>
      <c r="K77" s="6">
        <f t="shared" si="48"/>
        <v>1.4390106962204562E-2</v>
      </c>
      <c r="L77" s="6">
        <f t="shared" si="49"/>
        <v>7.0358889401136304</v>
      </c>
      <c r="M77" s="6">
        <f t="shared" si="44"/>
        <v>1.4907767809043829E-2</v>
      </c>
      <c r="N77" s="6">
        <f t="shared" si="50"/>
        <v>7.2889936763447416</v>
      </c>
      <c r="O77" s="3">
        <f>'[2]Availabilities EU Austria'!$AD$107/'[2]Availabilities EU Austria'!$AD$103</f>
        <v>1.2238526542442701E-2</v>
      </c>
      <c r="P77" s="6">
        <f t="shared" si="51"/>
        <v>5.9838966985737985</v>
      </c>
    </row>
    <row r="78" spans="1:16" x14ac:dyDescent="0.35">
      <c r="A78" s="5" t="s">
        <v>8</v>
      </c>
      <c r="B78">
        <v>69</v>
      </c>
      <c r="C78" s="6">
        <f>'[2]Conversion factors selected IV '!$G$79</f>
        <v>8.9990719257540611E-2</v>
      </c>
      <c r="D78" s="6">
        <f t="shared" si="46"/>
        <v>766.74573299644192</v>
      </c>
      <c r="E78" s="130">
        <f>'[2]Availabilities EU Austria'!$N$119/'[2]Availabilities EU Austria'!$N$114</f>
        <v>2.0267980522710626E-2</v>
      </c>
      <c r="F78" s="3">
        <f>'[2]Availabilities EU Austria'!$AB108/'[2]Availabilities EU Austria'!$AB$103</f>
        <v>1.752746512666262E-2</v>
      </c>
      <c r="G78" s="6">
        <f t="shared" si="9"/>
        <v>13.439109096112505</v>
      </c>
      <c r="H78" s="130">
        <f>'[2]Availabilities EU Austria'!$Q$119/'[2]Availabilities EU Austria'!$Q$114</f>
        <v>2.3931570490686043E-2</v>
      </c>
      <c r="I78" s="3">
        <f>'[2]Availabilities EU Austria'!$AC108/'[2]Availabilities EU Austria'!$AC$103</f>
        <v>2.1177837396655713E-2</v>
      </c>
      <c r="J78" s="6">
        <f t="shared" si="47"/>
        <v>16.238016457978244</v>
      </c>
      <c r="K78" s="6">
        <f t="shared" si="48"/>
        <v>7.8955152071873536E-2</v>
      </c>
      <c r="L78" s="6">
        <f t="shared" si="49"/>
        <v>60.538525949194216</v>
      </c>
      <c r="M78" s="6">
        <f t="shared" si="44"/>
        <v>8.0780338206870084E-2</v>
      </c>
      <c r="N78" s="6">
        <f t="shared" si="50"/>
        <v>61.937979630127082</v>
      </c>
      <c r="O78" s="3">
        <f>'[2]Availabilities EU Austria'!$AD$108/'[2]Availabilities EU Austria'!$AD$103</f>
        <v>0.14038283901708445</v>
      </c>
      <c r="P78" s="6">
        <f t="shared" si="51"/>
        <v>107.63794280227593</v>
      </c>
    </row>
    <row r="79" spans="1:16" x14ac:dyDescent="0.35">
      <c r="A79" s="5" t="s">
        <v>9</v>
      </c>
      <c r="B79">
        <v>69</v>
      </c>
      <c r="C79" s="6">
        <f>'[2]Conversion factors selected IV '!$G$80</f>
        <v>8.9990719257540611E-2</v>
      </c>
      <c r="D79" s="6">
        <f t="shared" si="46"/>
        <v>766.74573299644192</v>
      </c>
      <c r="E79" s="130">
        <f>'[2]Availabilities EU Austria'!$N$120/'[2]Availabilities EU Austria'!$N$114</f>
        <v>9.2273673289927829E-3</v>
      </c>
      <c r="F79" s="3">
        <f>'[2]Availabilities EU Austria'!$AB109/'[2]Availabilities EU Austria'!$AB$103</f>
        <v>7.9796977744577523E-3</v>
      </c>
      <c r="G79" s="6">
        <f t="shared" si="9"/>
        <v>6.1183992191666858</v>
      </c>
      <c r="H79" s="130">
        <f>'[2]Availabilities EU Austria'!$Q$120/'[2]Availabilities EU Austria'!$Q$114</f>
        <v>1.6814219915461764E-2</v>
      </c>
      <c r="I79" s="3">
        <f>'[2]Availabilities EU Austria'!$AC109/'[2]Availabilities EU Austria'!$AC$103</f>
        <v>1.4879458724192218E-2</v>
      </c>
      <c r="J79" s="6">
        <f t="shared" si="47"/>
        <v>11.408761486071064</v>
      </c>
      <c r="K79" s="6">
        <f t="shared" si="48"/>
        <v>1.7844700618869704E-2</v>
      </c>
      <c r="L79" s="6">
        <f t="shared" si="49"/>
        <v>13.682348056117311</v>
      </c>
      <c r="M79" s="6">
        <f t="shared" si="44"/>
        <v>2.1294581093736935E-2</v>
      </c>
      <c r="N79" s="6">
        <f t="shared" si="50"/>
        <v>16.3275291895695</v>
      </c>
      <c r="O79" s="3">
        <f>'[2]Availabilities EU Austria'!$AD$109/'[2]Availabilities EU Austria'!$AD$103</f>
        <v>2.7709703463281655E-2</v>
      </c>
      <c r="P79" s="6">
        <f t="shared" si="51"/>
        <v>21.246296893067939</v>
      </c>
    </row>
    <row r="80" spans="1:16" x14ac:dyDescent="0.35">
      <c r="A80" s="5" t="s">
        <v>10</v>
      </c>
      <c r="B80" s="24">
        <v>69</v>
      </c>
      <c r="C80" s="6">
        <f>'[2]Conversion factors selected IV '!$G$81</f>
        <v>9.9408352668213462E-2</v>
      </c>
      <c r="D80" s="6">
        <f t="shared" si="46"/>
        <v>694.10666355467379</v>
      </c>
      <c r="E80" s="130">
        <f>'[2]Availabilities EU Austria'!$N$121/'[2]Availabilities EU Austria'!$N$114</f>
        <v>0.14802813399529377</v>
      </c>
      <c r="F80" s="3">
        <f>'[2]Availabilities EU Austria'!$AB110/'[2]Availabilities EU Austria'!$AB$103</f>
        <v>0.17921771411040624</v>
      </c>
      <c r="G80" s="6">
        <f t="shared" si="9"/>
        <v>124.39620959106945</v>
      </c>
      <c r="H80" s="130">
        <f>'[2]Availabilities EU Austria'!$Q$121/'[2]Availabilities EU Austria'!$Q$114</f>
        <v>0.10247463906007917</v>
      </c>
      <c r="I80" s="3">
        <f>'[2]Availabilities EU Austria'!$AC110/'[2]Availabilities EU Austria'!$AC$103</f>
        <v>0.12695647123518053</v>
      </c>
      <c r="J80" s="6">
        <f t="shared" si="47"/>
        <v>88.121332665726072</v>
      </c>
      <c r="K80" s="6">
        <f t="shared" si="48"/>
        <v>0.14206737473704156</v>
      </c>
      <c r="L80" s="6">
        <f t="shared" si="49"/>
        <v>98.609911478699473</v>
      </c>
      <c r="M80" s="6">
        <f t="shared" si="44"/>
        <v>0.11593675329942871</v>
      </c>
      <c r="N80" s="6">
        <f t="shared" si="50"/>
        <v>80.472473016027777</v>
      </c>
      <c r="O80" s="3">
        <f>'[2]Availabilities EU Austria'!$AD$110/'[2]Availabilities EU Austria'!$AD$103</f>
        <v>0.10491703536367689</v>
      </c>
      <c r="P80" s="6">
        <f t="shared" si="51"/>
        <v>72.823613366329482</v>
      </c>
    </row>
    <row r="81" spans="1:16" x14ac:dyDescent="0.35">
      <c r="A81" s="5" t="s">
        <v>11</v>
      </c>
      <c r="B81" s="24">
        <v>69</v>
      </c>
      <c r="C81" s="6">
        <f>'[2]Conversion factors selected IV '!$G$82</f>
        <v>9.9408352668213462E-2</v>
      </c>
      <c r="D81" s="6">
        <f t="shared" si="46"/>
        <v>694.10666355467379</v>
      </c>
      <c r="E81" s="130">
        <f>'[2]Availabilities EU Austria'!$N$122/'[2]Availabilities EU Austria'!$N$114</f>
        <v>0.15540694633138846</v>
      </c>
      <c r="F81" s="3">
        <f>'[2]Availabilities EU Austria'!$AB111/'[2]Availabilities EU Austria'!$AB$103</f>
        <v>0.15679270400987594</v>
      </c>
      <c r="G81" s="6">
        <f t="shared" si="9"/>
        <v>108.83086065001051</v>
      </c>
      <c r="H81" s="130">
        <f>'[2]Availabilities EU Austria'!$Q$122/'[2]Availabilities EU Austria'!$Q$114</f>
        <v>0.15073287616524328</v>
      </c>
      <c r="I81" s="3">
        <f>'[2]Availabilities EU Austria'!$AC111/'[2]Availabilities EU Austria'!$AC$103</f>
        <v>0.1556199191705156</v>
      </c>
      <c r="J81" s="6">
        <f t="shared" si="47"/>
        <v>108.0168228780946</v>
      </c>
      <c r="K81" s="6">
        <f t="shared" si="48"/>
        <v>0.14558834135683768</v>
      </c>
      <c r="L81" s="6">
        <f t="shared" si="49"/>
        <v>101.05383787165353</v>
      </c>
      <c r="M81" s="6">
        <f t="shared" si="44"/>
        <v>0.14500194893715751</v>
      </c>
      <c r="N81" s="6">
        <f t="shared" si="50"/>
        <v>100.64681898569557</v>
      </c>
      <c r="O81" s="3">
        <f>'[2]Availabilities EU Austria'!$AD$111/'[2]Availabilities EU Austria'!$AD$103</f>
        <v>0.13438397870379942</v>
      </c>
      <c r="P81" s="6">
        <f t="shared" si="51"/>
        <v>93.276815093296548</v>
      </c>
    </row>
    <row r="82" spans="1:16" x14ac:dyDescent="0.35">
      <c r="A82" s="5" t="s">
        <v>12</v>
      </c>
      <c r="B82" s="24">
        <v>0</v>
      </c>
      <c r="C82" s="6">
        <f>'[2]Conversion factors selected IV '!$G$83</f>
        <v>8.3712296983758705E-2</v>
      </c>
      <c r="D82" s="6">
        <f t="shared" si="46"/>
        <v>0</v>
      </c>
      <c r="E82" s="130">
        <f>'[2]Availabilities EU Austria'!$N$123/'[2]Availabilities EU Austria'!$N$114</f>
        <v>4.6552014319949722E-2</v>
      </c>
      <c r="F82" s="3">
        <f>'[2]Availabilities EU Austria'!$AB112/'[2]Availabilities EU Austria'!$AB$103</f>
        <v>5.6360540178946879E-2</v>
      </c>
      <c r="G82" s="6">
        <f t="shared" si="9"/>
        <v>0</v>
      </c>
      <c r="H82" s="130">
        <f>'[2]Availabilities EU Austria'!$Q$123/'[2]Availabilities EU Austria'!$Q$114</f>
        <v>4.2968416306665501E-2</v>
      </c>
      <c r="I82" s="3">
        <f>'[2]Availabilities EU Austria'!$AC112/'[2]Availabilities EU Austria'!$AC$103</f>
        <v>5.3233839698232026E-2</v>
      </c>
      <c r="J82" s="6">
        <f t="shared" si="47"/>
        <v>0</v>
      </c>
      <c r="K82" s="6">
        <f t="shared" si="48"/>
        <v>5.4360860245812895E-2</v>
      </c>
      <c r="L82" s="6">
        <f t="shared" si="49"/>
        <v>0</v>
      </c>
      <c r="M82" s="6">
        <f t="shared" si="44"/>
        <v>5.2797510005455461E-2</v>
      </c>
      <c r="N82" s="6">
        <f t="shared" si="50"/>
        <v>0</v>
      </c>
      <c r="O82" s="3">
        <f>'[2]Availabilities EU Austria'!$AD$112/'[2]Availabilities EU Austria'!$AD$103</f>
        <v>5.2361180312678904E-2</v>
      </c>
      <c r="P82" s="6">
        <f t="shared" si="51"/>
        <v>0</v>
      </c>
    </row>
    <row r="83" spans="1:16" x14ac:dyDescent="0.35">
      <c r="A83" s="13" t="s">
        <v>33</v>
      </c>
      <c r="B83" s="24">
        <v>96.44</v>
      </c>
      <c r="C83" s="6">
        <f>'[2]Conversion factors selected IV '!$G$84</f>
        <v>0.31417169373549886</v>
      </c>
      <c r="D83" s="6">
        <f>B83*C83</f>
        <v>30.298718143851509</v>
      </c>
      <c r="E83" s="130">
        <f>'[2]Availabilities EU Austria'!$N$124/'[2]Availabilities EU Austria'!$N$114</f>
        <v>2.052496118879454E-2</v>
      </c>
      <c r="F83" s="3">
        <f>'[2]Availabilities EU Austria'!$AB113/'[2]Availabilities EU Austria'!$AB$103</f>
        <v>3.1061972200648619E-2</v>
      </c>
      <c r="G83" s="6">
        <f t="shared" si="9"/>
        <v>0.94113794069960355</v>
      </c>
      <c r="H83" s="130">
        <f>'[2]Availabilities EU Austria'!$Q$124/'[2]Availabilities EU Austria'!$Q$114</f>
        <v>2.0290488362744687E-2</v>
      </c>
      <c r="I83" s="3">
        <f>'[2]Availabilities EU Austria'!$AC113/'[2]Availabilities EU Austria'!$AC$103</f>
        <v>3.1422516168394234E-2</v>
      </c>
      <c r="J83" s="6">
        <f t="shared" si="47"/>
        <v>0.95206196075679372</v>
      </c>
      <c r="K83" s="6">
        <f t="shared" si="48"/>
        <v>4.628248602032186E-2</v>
      </c>
      <c r="L83" s="6">
        <f t="shared" si="49"/>
        <v>1.4022999989264797</v>
      </c>
      <c r="M83" s="6">
        <f t="shared" si="44"/>
        <v>4.6462758004194665E-2</v>
      </c>
      <c r="N83" s="6">
        <f t="shared" si="50"/>
        <v>1.4077620089550749</v>
      </c>
      <c r="O83" s="3">
        <f>'[2]Availabilities EU Austria'!$AD$113/'[2]Availabilities EU Austria'!$AD$103</f>
        <v>6.1502999839995104E-2</v>
      </c>
      <c r="P83" s="6">
        <f t="shared" si="51"/>
        <v>1.8634620571533562</v>
      </c>
    </row>
    <row r="84" spans="1:16" s="82" customFormat="1" x14ac:dyDescent="0.35">
      <c r="A84" s="83" t="s">
        <v>171</v>
      </c>
      <c r="E84" s="126"/>
      <c r="G84" s="81">
        <f>SUM(G85)</f>
        <v>317.03814186666671</v>
      </c>
      <c r="H84" s="81">
        <f t="shared" ref="H84:N84" si="52">SUM(H85)</f>
        <v>1</v>
      </c>
      <c r="I84" s="81">
        <f t="shared" si="52"/>
        <v>1</v>
      </c>
      <c r="J84" s="81">
        <f t="shared" si="52"/>
        <v>317.03814186666671</v>
      </c>
      <c r="K84" s="81">
        <f t="shared" si="52"/>
        <v>1</v>
      </c>
      <c r="L84" s="81">
        <f t="shared" si="52"/>
        <v>317.03814186666671</v>
      </c>
      <c r="M84" s="81">
        <f t="shared" si="52"/>
        <v>1</v>
      </c>
      <c r="N84" s="81">
        <f t="shared" si="52"/>
        <v>317.03814186666671</v>
      </c>
      <c r="P84" s="81">
        <v>317.03814186666671</v>
      </c>
    </row>
    <row r="85" spans="1:16" x14ac:dyDescent="0.35">
      <c r="A85" s="16" t="s">
        <v>37</v>
      </c>
      <c r="B85" s="24">
        <v>96.44</v>
      </c>
      <c r="C85" s="6">
        <f>'[2]Conversion factors selected IV '!$L$86</f>
        <v>0.30419052872369762</v>
      </c>
      <c r="D85" s="6">
        <f t="shared" ref="D85" si="53">B85/C85</f>
        <v>317.03814186666671</v>
      </c>
      <c r="E85" s="134">
        <v>1</v>
      </c>
      <c r="F85" s="125">
        <f>100%</f>
        <v>1</v>
      </c>
      <c r="G85" s="6">
        <f t="shared" si="9"/>
        <v>317.03814186666671</v>
      </c>
      <c r="H85" s="137">
        <v>1</v>
      </c>
      <c r="I85" s="35">
        <v>1</v>
      </c>
      <c r="J85" s="6">
        <f>I85*D85</f>
        <v>317.03814186666671</v>
      </c>
      <c r="K85" s="6">
        <f>(F85+O85)/2</f>
        <v>1</v>
      </c>
      <c r="L85" s="6">
        <f>K85*D85</f>
        <v>317.03814186666671</v>
      </c>
      <c r="M85" s="6">
        <f t="shared" si="44"/>
        <v>1</v>
      </c>
      <c r="N85" s="6">
        <f>M85*D85</f>
        <v>317.03814186666671</v>
      </c>
      <c r="O85" s="35">
        <v>1</v>
      </c>
      <c r="P85" s="6">
        <v>317.03814186666671</v>
      </c>
    </row>
    <row r="86" spans="1:16" s="83" customFormat="1" x14ac:dyDescent="0.35">
      <c r="A86" s="83" t="s">
        <v>221</v>
      </c>
      <c r="G86" s="144">
        <f>G87</f>
        <v>340.75466666666671</v>
      </c>
      <c r="J86" s="144">
        <f>J87</f>
        <v>340.75466666666671</v>
      </c>
      <c r="K86" s="144">
        <f t="shared" ref="K86:L86" si="54">K87</f>
        <v>1</v>
      </c>
      <c r="L86" s="144">
        <f t="shared" si="54"/>
        <v>340.75466666666671</v>
      </c>
      <c r="M86" s="144">
        <f t="shared" ref="M86" si="55">M87</f>
        <v>1</v>
      </c>
      <c r="N86" s="144">
        <f t="shared" ref="N86" si="56">N87</f>
        <v>340.75466666666671</v>
      </c>
      <c r="P86" s="144">
        <v>340.75466666666671</v>
      </c>
    </row>
    <row r="87" spans="1:16" x14ac:dyDescent="0.35">
      <c r="A87" s="16" t="s">
        <v>37</v>
      </c>
      <c r="B87" s="24">
        <v>96.44</v>
      </c>
      <c r="C87" s="6">
        <f>'[2]Conversion factors selected IV '!$G$87</f>
        <v>0.28301886792452824</v>
      </c>
      <c r="D87" s="6">
        <f t="shared" ref="D87" si="57">B87/C87</f>
        <v>340.75466666666671</v>
      </c>
      <c r="E87" s="134">
        <v>1</v>
      </c>
      <c r="F87" s="125">
        <f>100%</f>
        <v>1</v>
      </c>
      <c r="G87" s="6">
        <f t="shared" si="9"/>
        <v>340.75466666666671</v>
      </c>
      <c r="H87" s="137">
        <v>1</v>
      </c>
      <c r="I87" s="35">
        <v>1</v>
      </c>
      <c r="J87" s="6">
        <f>I87*D87</f>
        <v>340.75466666666671</v>
      </c>
      <c r="K87" s="6">
        <f>(F87+O87)/2</f>
        <v>1</v>
      </c>
      <c r="L87" s="6">
        <f>K87*D87</f>
        <v>340.75466666666671</v>
      </c>
      <c r="M87" s="6">
        <f t="shared" si="44"/>
        <v>1</v>
      </c>
      <c r="N87" s="6">
        <f>M87*D87</f>
        <v>340.75466666666671</v>
      </c>
      <c r="O87" s="35">
        <v>1</v>
      </c>
      <c r="P87" s="6">
        <v>340.75466666666671</v>
      </c>
    </row>
    <row r="88" spans="1:16" s="82" customFormat="1" x14ac:dyDescent="0.35">
      <c r="A88" s="84" t="s">
        <v>226</v>
      </c>
      <c r="E88" s="131">
        <f>SUM(E89:E96)</f>
        <v>1</v>
      </c>
      <c r="F88" s="88">
        <f>SUM(F89:F96)</f>
        <v>1</v>
      </c>
      <c r="G88" s="81">
        <f>SUM(G89:G96)</f>
        <v>211.13446039691038</v>
      </c>
      <c r="H88" s="138"/>
      <c r="I88" s="85">
        <f>SUM(I89:I96)</f>
        <v>1</v>
      </c>
      <c r="J88" s="86">
        <f>SUM(J89:J96)</f>
        <v>210.33597727349752</v>
      </c>
      <c r="K88" s="86">
        <f t="shared" ref="K88:L88" si="58">SUM(K89:K96)</f>
        <v>0.99999999999999978</v>
      </c>
      <c r="L88" s="86">
        <f t="shared" si="58"/>
        <v>213.31941758296242</v>
      </c>
      <c r="M88" s="86">
        <f t="shared" ref="M88" si="59">SUM(M89:M96)</f>
        <v>1</v>
      </c>
      <c r="N88" s="86">
        <f t="shared" ref="N88" si="60">SUM(N89:N96)</f>
        <v>212.92017602125597</v>
      </c>
      <c r="O88" s="86">
        <f t="shared" ref="O88:P88" si="61">SUM(O89:O96)</f>
        <v>0.99999999999999967</v>
      </c>
      <c r="P88" s="86">
        <f t="shared" si="61"/>
        <v>215.50437476901448</v>
      </c>
    </row>
    <row r="89" spans="1:16" x14ac:dyDescent="0.35">
      <c r="A89" s="5" t="s">
        <v>5</v>
      </c>
      <c r="B89">
        <v>58</v>
      </c>
      <c r="C89" s="6">
        <f>'[2]Conversion factors selected IV '!$G98</f>
        <v>0.27123986095017383</v>
      </c>
      <c r="D89" s="6">
        <f>B89/C89</f>
        <v>213.83287764866711</v>
      </c>
      <c r="E89" s="100">
        <f>'[2]Availabilities EU Austria'!$N130/'[2]Availabilities EU Austria'!$N$129</f>
        <v>0.54821320343358704</v>
      </c>
      <c r="F89" s="61">
        <f>'[2]Availabilities EU Austria'!$AB$130/'[2]Availabilities EU Austria'!$AB$129</f>
        <v>0.48880668324775634</v>
      </c>
      <c r="G89" s="6">
        <f>D89*F89</f>
        <v>104.52293969276826</v>
      </c>
      <c r="H89" s="130">
        <f>'[2]Availabilities EU Austria'!$Q$140/'[2]Availabilities EU Austria'!$Q$138</f>
        <v>0.59623004817133585</v>
      </c>
      <c r="I89" s="3">
        <f>'[2]Availabilities EU Austria'!$AC$130/'[2]Availabilities EU Austria'!$AC$129</f>
        <v>0.5423909317725395</v>
      </c>
      <c r="J89" s="6">
        <f t="shared" ref="J89:J96" si="62">I89*D89</f>
        <v>115.98101375146399</v>
      </c>
      <c r="K89" s="6">
        <f t="shared" ref="K89:K96" si="63">(F89+O89)/2</f>
        <v>0.46911553262375871</v>
      </c>
      <c r="L89" s="6">
        <f t="shared" ref="L89:L96" si="64">K89*D89</f>
        <v>100.3123242906255</v>
      </c>
      <c r="M89" s="6">
        <f t="shared" si="44"/>
        <v>0.49590765688615024</v>
      </c>
      <c r="N89" s="6">
        <f t="shared" ref="N89:N96" si="65">M89*D89</f>
        <v>106.04136131997335</v>
      </c>
      <c r="O89" s="3">
        <f>'[2]Availabilities EU Austria'!$AD$130/'[2]Availabilities EU Austria'!$AD$129</f>
        <v>0.44942438199976104</v>
      </c>
      <c r="P89" s="6">
        <f t="shared" ref="P89:P96" si="66">O89*D89</f>
        <v>96.101708888482733</v>
      </c>
    </row>
    <row r="90" spans="1:16" x14ac:dyDescent="0.35">
      <c r="A90" s="5" t="s">
        <v>6</v>
      </c>
      <c r="B90">
        <v>44</v>
      </c>
      <c r="C90" s="6">
        <f>'[2]Conversion factors selected IV '!$G99</f>
        <v>0.27123986095017383</v>
      </c>
      <c r="D90" s="6">
        <f>B90/C90</f>
        <v>162.21804511278194</v>
      </c>
      <c r="E90" s="100">
        <f>'[2]Availabilities EU Austria'!$N131/'[2]Availabilities EU Austria'!$N$129</f>
        <v>3.5580513125782073E-2</v>
      </c>
      <c r="F90" s="61">
        <f>'[2]Availabilities EU Austria'!$AB131/'[2]Availabilities EU Austria'!$AB$129</f>
        <v>3.7012348329189218E-2</v>
      </c>
      <c r="G90" s="6">
        <f>D90*F90</f>
        <v>6.0040707909944153</v>
      </c>
      <c r="H90" s="130">
        <f>'[2]Availabilities EU Austria'!$Q$141/'[2]Availabilities EU Austria'!$Q$138</f>
        <v>3.5236699567198278E-2</v>
      </c>
      <c r="I90" s="3">
        <f>'[2]Availabilities EU Austria'!$AC131/'[2]Availabilities EU Austria'!$AC$129</f>
        <v>3.7397328035326548E-2</v>
      </c>
      <c r="J90" s="6">
        <f t="shared" si="62"/>
        <v>6.0665214463321062</v>
      </c>
      <c r="K90" s="6">
        <f t="shared" si="63"/>
        <v>3.359653859310445E-2</v>
      </c>
      <c r="L90" s="6">
        <f t="shared" si="64"/>
        <v>5.4499648131295366</v>
      </c>
      <c r="M90" s="6">
        <f t="shared" si="44"/>
        <v>3.3789028446173111E-2</v>
      </c>
      <c r="N90" s="6">
        <f t="shared" si="65"/>
        <v>5.4811901407983816</v>
      </c>
      <c r="O90" s="3">
        <f>'[2]Availabilities EU Austria'!$AD$131/'[2]Availabilities EU Austria'!$AD$129</f>
        <v>3.0180728857019678E-2</v>
      </c>
      <c r="P90" s="6">
        <f t="shared" si="66"/>
        <v>4.8958588352646579</v>
      </c>
    </row>
    <row r="91" spans="1:16" x14ac:dyDescent="0.35">
      <c r="A91" s="5" t="s">
        <v>7</v>
      </c>
      <c r="B91">
        <v>44</v>
      </c>
      <c r="C91" s="6">
        <f>'[2]Conversion factors selected IV '!$G100</f>
        <v>0.27123986095017383</v>
      </c>
      <c r="D91" s="6">
        <f t="shared" ref="D91:D96" si="67">B91/C91</f>
        <v>162.21804511278194</v>
      </c>
      <c r="E91" s="100">
        <f>'[2]Availabilities EU Austria'!$N132/'[2]Availabilities EU Austria'!$N$129</f>
        <v>1.4464340223321777E-2</v>
      </c>
      <c r="F91" s="61">
        <f>'[2]Availabilities EU Austria'!$AB132/'[2]Availabilities EU Austria'!$AB$129</f>
        <v>1.8055699089158796E-2</v>
      </c>
      <c r="G91" s="6">
        <f t="shared" si="9"/>
        <v>2.9289602093879772</v>
      </c>
      <c r="H91" s="130">
        <f>'[2]Availabilities EU Austria'!$Q$142/'[2]Availabilities EU Austria'!$Q$138</f>
        <v>1.4891585810681092E-2</v>
      </c>
      <c r="I91" s="3">
        <f>'[2]Availabilities EU Austria'!$AC132/'[2]Availabilities EU Austria'!$AC$129</f>
        <v>1.896564183485595E-2</v>
      </c>
      <c r="J91" s="6">
        <f t="shared" si="62"/>
        <v>3.0765693427595271</v>
      </c>
      <c r="K91" s="6">
        <f t="shared" si="63"/>
        <v>1.5774626625053741E-2</v>
      </c>
      <c r="L91" s="6">
        <f t="shared" si="64"/>
        <v>2.5589290935002591</v>
      </c>
      <c r="M91" s="6">
        <f t="shared" si="44"/>
        <v>1.6229597997902318E-2</v>
      </c>
      <c r="N91" s="6">
        <f t="shared" si="65"/>
        <v>2.6327336601860338</v>
      </c>
      <c r="O91" s="3">
        <f>'[2]Availabilities EU Austria'!$AD$132/'[2]Availabilities EU Austria'!$AD$129</f>
        <v>1.3493554160948688E-2</v>
      </c>
      <c r="P91" s="6">
        <f t="shared" si="66"/>
        <v>2.1888979776125406</v>
      </c>
    </row>
    <row r="92" spans="1:16" x14ac:dyDescent="0.35">
      <c r="A92" s="5" t="s">
        <v>8</v>
      </c>
      <c r="B92">
        <v>69</v>
      </c>
      <c r="C92" s="6">
        <f>'[2]Conversion factors selected IV '!$G101</f>
        <v>0.27123986095017383</v>
      </c>
      <c r="D92" s="6">
        <f t="shared" si="67"/>
        <v>254.3873889268626</v>
      </c>
      <c r="E92" s="100">
        <f>'[2]Availabilities EU Austria'!$N133/'[2]Availabilities EU Austria'!$N$129</f>
        <v>2.1456850089500667E-2</v>
      </c>
      <c r="F92" s="61">
        <f>'[2]Availabilities EU Austria'!$AB133/'[2]Availabilities EU Austria'!$AB$129</f>
        <v>1.9131702154385883E-2</v>
      </c>
      <c r="G92" s="6">
        <f t="shared" ref="G92:G123" si="68">D92*F92</f>
        <v>4.8668637567806563</v>
      </c>
      <c r="H92" s="130">
        <f>'[2]Availabilities EU Austria'!$Q$143/'[2]Availabilities EU Austria'!$Q$138</f>
        <v>2.5119189170784952E-2</v>
      </c>
      <c r="I92" s="3">
        <f>'[2]Availabilities EU Austria'!$AC133/'[2]Availabilities EU Austria'!$AC$129</f>
        <v>2.2850945640025086E-2</v>
      </c>
      <c r="J92" s="6">
        <f t="shared" si="62"/>
        <v>5.8129923958756571</v>
      </c>
      <c r="K92" s="6">
        <f t="shared" si="63"/>
        <v>8.6955209795153907E-2</v>
      </c>
      <c r="L92" s="6">
        <f t="shared" si="64"/>
        <v>22.120308773376749</v>
      </c>
      <c r="M92" s="6">
        <f t="shared" si="44"/>
        <v>8.881483153797351E-2</v>
      </c>
      <c r="N92" s="6">
        <f t="shared" si="65"/>
        <v>22.593373092924249</v>
      </c>
      <c r="O92" s="3">
        <f>'[2]Availabilities EU Austria'!$AD$133/'[2]Availabilities EU Austria'!$AD$129</f>
        <v>0.15477871743592192</v>
      </c>
      <c r="P92" s="6">
        <f t="shared" si="66"/>
        <v>39.373753789972838</v>
      </c>
    </row>
    <row r="93" spans="1:16" x14ac:dyDescent="0.35">
      <c r="A93" s="5" t="s">
        <v>9</v>
      </c>
      <c r="B93">
        <v>69</v>
      </c>
      <c r="C93" s="6">
        <f>'[2]Conversion factors selected IV '!$G102</f>
        <v>0.27123986095017383</v>
      </c>
      <c r="D93" s="6">
        <f t="shared" si="67"/>
        <v>254.3873889268626</v>
      </c>
      <c r="E93" s="100">
        <f>'[2]Availabilities EU Austria'!$N134/'[2]Availabilities EU Austria'!$N$129</f>
        <v>9.7686218553991021E-3</v>
      </c>
      <c r="F93" s="61">
        <f>'[2]Availabilities EU Austria'!$AB134/'[2]Availabilities EU Austria'!$AB$129</f>
        <v>8.7100559036747821E-3</v>
      </c>
      <c r="G93" s="6">
        <f t="shared" si="68"/>
        <v>2.2157283787428326</v>
      </c>
      <c r="H93" s="130">
        <f>'[2]Availabilities EU Austria'!$Q$144/'[2]Availabilities EU Austria'!$Q$138</f>
        <v>1.7648635762539801E-2</v>
      </c>
      <c r="I93" s="3">
        <f>'[2]Availabilities EU Austria'!$AC134/'[2]Availabilities EU Austria'!$AC$129</f>
        <v>1.6054977479107748E-2</v>
      </c>
      <c r="J93" s="6">
        <f t="shared" si="62"/>
        <v>4.0841838001898028</v>
      </c>
      <c r="K93" s="6">
        <f t="shared" si="63"/>
        <v>1.96306570551016E-2</v>
      </c>
      <c r="L93" s="6">
        <f t="shared" si="64"/>
        <v>4.9937915911659898</v>
      </c>
      <c r="M93" s="6">
        <f t="shared" si="44"/>
        <v>2.3303117842818084E-2</v>
      </c>
      <c r="N93" s="6">
        <f t="shared" si="65"/>
        <v>5.9280193018894751</v>
      </c>
      <c r="O93" s="3">
        <f>'[2]Availabilities EU Austria'!$AD$134/'[2]Availabilities EU Austria'!$AD$129</f>
        <v>3.0551258206528417E-2</v>
      </c>
      <c r="P93" s="6">
        <f t="shared" si="66"/>
        <v>7.7718548035891475</v>
      </c>
    </row>
    <row r="94" spans="1:16" x14ac:dyDescent="0.35">
      <c r="A94" s="5" t="s">
        <v>10</v>
      </c>
      <c r="B94">
        <v>67</v>
      </c>
      <c r="C94" s="6">
        <f>'[2]Conversion factors selected IV '!$G103</f>
        <v>0.27123986095017383</v>
      </c>
      <c r="D94" s="6">
        <f t="shared" si="67"/>
        <v>247.01384142173615</v>
      </c>
      <c r="E94" s="100">
        <f>'[2]Availabilities EU Austria'!$N135/'[2]Availabilities EU Austria'!$N$129</f>
        <v>0.15671109791163104</v>
      </c>
      <c r="F94" s="61">
        <f>'[2]Availabilities EU Austria'!$AB135/'[2]Availabilities EU Austria'!$AB$129</f>
        <v>0.19562098126410787</v>
      </c>
      <c r="G94" s="6">
        <f t="shared" si="68"/>
        <v>48.321090044736764</v>
      </c>
      <c r="H94" s="130">
        <f>'[2]Availabilities EU Austria'!$Q$145/'[2]Availabilities EU Austria'!$Q$138</f>
        <v>0.10756000508866924</v>
      </c>
      <c r="I94" s="3">
        <f>'[2]Availabilities EU Austria'!$AC135/'[2]Availabilities EU Austria'!$AC$129</f>
        <v>0.13698638668850296</v>
      </c>
      <c r="J94" s="6">
        <f t="shared" si="62"/>
        <v>33.837533598410502</v>
      </c>
      <c r="K94" s="6">
        <f t="shared" si="63"/>
        <v>0.15564848665944911</v>
      </c>
      <c r="L94" s="6">
        <f t="shared" si="64"/>
        <v>38.447330601230377</v>
      </c>
      <c r="M94" s="6">
        <f t="shared" si="44"/>
        <v>0.12633118937164667</v>
      </c>
      <c r="N94" s="6">
        <f t="shared" si="65"/>
        <v>31.205552378067249</v>
      </c>
      <c r="O94" s="3">
        <f>'[2]Availabilities EU Austria'!$AD$135/'[2]Availabilities EU Austria'!$AD$129</f>
        <v>0.11567599205479036</v>
      </c>
      <c r="P94" s="6">
        <f t="shared" si="66"/>
        <v>28.573571157723997</v>
      </c>
    </row>
    <row r="95" spans="1:16" x14ac:dyDescent="0.35">
      <c r="A95" s="5" t="s">
        <v>11</v>
      </c>
      <c r="B95">
        <v>67</v>
      </c>
      <c r="C95" s="6">
        <f>'[2]Conversion factors selected IV '!$G104</f>
        <v>0.27123986095017383</v>
      </c>
      <c r="D95" s="6">
        <f t="shared" si="67"/>
        <v>247.01384142173615</v>
      </c>
      <c r="E95" s="100">
        <f>'[2]Availabilities EU Austria'!$N136/'[2]Availabilities EU Austria'!$N$129</f>
        <v>0.16452273311409904</v>
      </c>
      <c r="F95" s="61">
        <f>'[2]Availabilities EU Austria'!$AB136/'[2]Availabilities EU Austria'!$AB$129</f>
        <v>0.17114347633387092</v>
      </c>
      <c r="G95" s="6">
        <f t="shared" si="68"/>
        <v>42.274807523499447</v>
      </c>
      <c r="H95" s="130">
        <f>'[2]Availabilities EU Austria'!$Q$146/'[2]Availabilities EU Austria'!$Q$138</f>
        <v>0.15821308643846999</v>
      </c>
      <c r="I95" s="3">
        <f>'[2]Availabilities EU Austria'!$AC136/'[2]Availabilities EU Austria'!$AC$129</f>
        <v>0.16791432698562994</v>
      </c>
      <c r="J95" s="6">
        <f t="shared" si="62"/>
        <v>41.477162938465945</v>
      </c>
      <c r="K95" s="6">
        <f t="shared" si="63"/>
        <v>0.15965408332159858</v>
      </c>
      <c r="L95" s="6">
        <f t="shared" si="64"/>
        <v>39.436768419934005</v>
      </c>
      <c r="M95" s="6">
        <f t="shared" si="44"/>
        <v>0.15803950864747812</v>
      </c>
      <c r="N95" s="6">
        <f t="shared" si="65"/>
        <v>39.037946127417257</v>
      </c>
      <c r="O95" s="3">
        <f>'[2]Availabilities EU Austria'!$AD$136/'[2]Availabilities EU Austria'!$AD$129</f>
        <v>0.14816469030932627</v>
      </c>
      <c r="P95" s="6">
        <f t="shared" si="66"/>
        <v>36.598729316368569</v>
      </c>
    </row>
    <row r="96" spans="1:16" x14ac:dyDescent="0.35">
      <c r="A96" s="5" t="s">
        <v>12</v>
      </c>
      <c r="B96" s="24">
        <v>0</v>
      </c>
      <c r="C96" s="6">
        <f>'[2]Conversion factors selected IV '!$G105</f>
        <v>0.27123986095017383</v>
      </c>
      <c r="D96" s="6">
        <f t="shared" si="67"/>
        <v>0</v>
      </c>
      <c r="E96" s="100">
        <f>'[2]Availabilities EU Austria'!$N137/'[2]Availabilities EU Austria'!$N$129</f>
        <v>4.9282640246679235E-2</v>
      </c>
      <c r="F96" s="61">
        <f>'[2]Availabilities EU Austria'!$AB137/'[2]Availabilities EU Austria'!$AB$129</f>
        <v>6.1519053677856192E-2</v>
      </c>
      <c r="G96" s="6">
        <f t="shared" si="68"/>
        <v>0</v>
      </c>
      <c r="H96" s="130">
        <f>'[2]Availabilities EU Austria'!$Q$147/'[2]Availabilities EU Austria'!$Q$138</f>
        <v>4.5100749990320863E-2</v>
      </c>
      <c r="I96" s="3">
        <f>'[2]Availabilities EU Austria'!$AC137/'[2]Availabilities EU Austria'!$AC$129</f>
        <v>5.7439461564012355E-2</v>
      </c>
      <c r="J96" s="6">
        <f t="shared" si="62"/>
        <v>0</v>
      </c>
      <c r="K96" s="6">
        <f t="shared" si="63"/>
        <v>5.9624865326779838E-2</v>
      </c>
      <c r="L96" s="6">
        <f t="shared" si="64"/>
        <v>0</v>
      </c>
      <c r="M96" s="6">
        <f t="shared" si="44"/>
        <v>5.7585069269857916E-2</v>
      </c>
      <c r="N96" s="6">
        <f t="shared" si="65"/>
        <v>0</v>
      </c>
      <c r="O96" s="3">
        <f>'[2]Availabilities EU Austria'!$AD$137/'[2]Availabilities EU Austria'!$AD$129</f>
        <v>5.7730676975703485E-2</v>
      </c>
      <c r="P96" s="6">
        <f t="shared" si="66"/>
        <v>0</v>
      </c>
    </row>
    <row r="97" spans="1:16" s="84" customFormat="1" x14ac:dyDescent="0.35">
      <c r="A97" s="84" t="s">
        <v>229</v>
      </c>
      <c r="C97" s="166"/>
      <c r="G97" s="81">
        <f>SUM(G98:G105)</f>
        <v>666.14347017102182</v>
      </c>
      <c r="H97" s="81">
        <f t="shared" ref="H97:I97" si="69">SUM(H98:H105)</f>
        <v>1</v>
      </c>
      <c r="I97" s="81">
        <f t="shared" si="69"/>
        <v>1</v>
      </c>
      <c r="J97" s="86">
        <f>SUM(J98:J105)</f>
        <v>668.27856337741343</v>
      </c>
      <c r="K97" s="86">
        <f t="shared" ref="K97:L97" si="70">SUM(K98:K105)</f>
        <v>0.99999999999999978</v>
      </c>
      <c r="L97" s="86">
        <f t="shared" si="70"/>
        <v>677.28983637011117</v>
      </c>
      <c r="M97" s="86">
        <f t="shared" ref="M97" si="71">SUM(M98:M105)</f>
        <v>1</v>
      </c>
      <c r="N97" s="86">
        <f t="shared" ref="N97" si="72">SUM(N98:N105)</f>
        <v>678.35738297330704</v>
      </c>
      <c r="O97" s="86">
        <f t="shared" ref="O97:P97" si="73">SUM(O98:O105)</f>
        <v>0.99999999999999967</v>
      </c>
      <c r="P97" s="86">
        <f t="shared" si="73"/>
        <v>688.43620256920053</v>
      </c>
    </row>
    <row r="98" spans="1:16" x14ac:dyDescent="0.35">
      <c r="A98" s="5" t="s">
        <v>5</v>
      </c>
      <c r="B98">
        <v>58</v>
      </c>
      <c r="C98" s="6">
        <f>'[2]Conversion factors selected IV '!$G107</f>
        <v>8.2474864655839128E-2</v>
      </c>
      <c r="D98" s="6">
        <f>B98/C98</f>
        <v>703.2445611402851</v>
      </c>
      <c r="E98" s="100"/>
      <c r="F98" s="61">
        <f>'[2]Availabilities EU Austria'!$AB130/'[2]Availabilities EU Austria'!$AB$129</f>
        <v>0.48880668324775634</v>
      </c>
      <c r="G98" s="6">
        <f t="shared" si="68"/>
        <v>343.75064144300677</v>
      </c>
      <c r="H98" s="130">
        <f>'[2]Availabilities EU Austria'!$Q140/'[2]Availabilities EU Austria'!$Q$138</f>
        <v>0.59623004817133585</v>
      </c>
      <c r="I98" s="3">
        <f>'[2]Availabilities EU Austria'!$AC130/'[2]Availabilities EU Austria'!$AC$129</f>
        <v>0.5423909317725395</v>
      </c>
      <c r="J98" s="6">
        <f t="shared" ref="J98:J105" si="74">I98*D98</f>
        <v>381.43347278084985</v>
      </c>
      <c r="K98" s="6">
        <f t="shared" ref="K98:K105" si="75">(F98+O98)/2</f>
        <v>0.46911553262375871</v>
      </c>
      <c r="L98" s="6">
        <f t="shared" ref="L98:L105" si="76">K98*D98</f>
        <v>329.90294686408629</v>
      </c>
      <c r="M98" s="6">
        <f t="shared" si="44"/>
        <v>0.49590765688615024</v>
      </c>
      <c r="N98" s="6">
        <f t="shared" ref="N98:N105" si="77">M98*D98</f>
        <v>348.7443625330078</v>
      </c>
      <c r="O98" s="3">
        <f>'[2]Availabilities EU Austria'!$AD$130/'[2]Availabilities EU Austria'!$AD$129</f>
        <v>0.44942438199976104</v>
      </c>
      <c r="P98" s="6">
        <f t="shared" ref="P98:P105" si="78">O98*D98</f>
        <v>316.05525228516581</v>
      </c>
    </row>
    <row r="99" spans="1:16" x14ac:dyDescent="0.35">
      <c r="A99" s="5" t="s">
        <v>6</v>
      </c>
      <c r="B99">
        <v>44</v>
      </c>
      <c r="C99" s="6">
        <f>'[2]Conversion factors selected IV '!$G108</f>
        <v>8.2474864655839128E-2</v>
      </c>
      <c r="D99" s="6">
        <f t="shared" ref="D99:D114" si="79">B99/C99</f>
        <v>533.49587396849211</v>
      </c>
      <c r="E99" s="100"/>
      <c r="F99" s="61">
        <f>'[2]Availabilities EU Austria'!$AB131/'[2]Availabilities EU Austria'!$AB$129</f>
        <v>3.7012348329189218E-2</v>
      </c>
      <c r="G99" s="6">
        <f t="shared" si="68"/>
        <v>19.74593511950706</v>
      </c>
      <c r="H99" s="130">
        <f>'[2]Availabilities EU Austria'!$Q141/'[2]Availabilities EU Austria'!$Q$138</f>
        <v>3.5236699567198278E-2</v>
      </c>
      <c r="I99" s="3">
        <f>'[2]Availabilities EU Austria'!$AC131/'[2]Availabilities EU Austria'!$AC$129</f>
        <v>3.7397328035326548E-2</v>
      </c>
      <c r="J99" s="6">
        <f t="shared" si="74"/>
        <v>19.95132020429293</v>
      </c>
      <c r="K99" s="6">
        <f t="shared" si="75"/>
        <v>3.359653859310445E-2</v>
      </c>
      <c r="L99" s="6">
        <f t="shared" si="76"/>
        <v>17.923614719044433</v>
      </c>
      <c r="M99" s="6">
        <f t="shared" si="44"/>
        <v>3.3789028446173111E-2</v>
      </c>
      <c r="N99" s="6">
        <f t="shared" si="77"/>
        <v>18.026307261437363</v>
      </c>
      <c r="O99" s="3">
        <f>'[2]Availabilities EU Austria'!$AD$131/'[2]Availabilities EU Austria'!$AD$129</f>
        <v>3.0180728857019678E-2</v>
      </c>
      <c r="P99" s="6">
        <f t="shared" si="78"/>
        <v>16.101294318581804</v>
      </c>
    </row>
    <row r="100" spans="1:16" x14ac:dyDescent="0.35">
      <c r="A100" s="5" t="s">
        <v>7</v>
      </c>
      <c r="B100">
        <v>44</v>
      </c>
      <c r="C100" s="6">
        <f>'[2]Conversion factors selected IV '!$G109</f>
        <v>8.2474864655839128E-2</v>
      </c>
      <c r="D100" s="6">
        <f t="shared" si="79"/>
        <v>533.49587396849211</v>
      </c>
      <c r="E100" s="100"/>
      <c r="F100" s="61">
        <f>'[2]Availabilities EU Austria'!$AB132/'[2]Availabilities EU Austria'!$AB$129</f>
        <v>1.8055699089158796E-2</v>
      </c>
      <c r="G100" s="6">
        <f t="shared" si="68"/>
        <v>9.6326409656828798</v>
      </c>
      <c r="H100" s="130">
        <f>'[2]Availabilities EU Austria'!$Q142/'[2]Availabilities EU Austria'!$Q$138</f>
        <v>1.4891585810681092E-2</v>
      </c>
      <c r="I100" s="3">
        <f>'[2]Availabilities EU Austria'!$AC132/'[2]Availabilities EU Austria'!$AC$129</f>
        <v>1.896564183485595E-2</v>
      </c>
      <c r="J100" s="6">
        <f t="shared" si="74"/>
        <v>10.118091666059872</v>
      </c>
      <c r="K100" s="6">
        <f t="shared" si="75"/>
        <v>1.5774626625053741E-2</v>
      </c>
      <c r="L100" s="6">
        <f t="shared" si="76"/>
        <v>8.4156982178596902</v>
      </c>
      <c r="M100" s="6">
        <f t="shared" si="44"/>
        <v>1.6229597997902318E-2</v>
      </c>
      <c r="N100" s="6">
        <f t="shared" si="77"/>
        <v>8.6584235680481871</v>
      </c>
      <c r="O100" s="3">
        <f>'[2]Availabilities EU Austria'!$AD$132/'[2]Availabilities EU Austria'!$AD$129</f>
        <v>1.3493554160948688E-2</v>
      </c>
      <c r="P100" s="6">
        <f t="shared" si="78"/>
        <v>7.1987554700365033</v>
      </c>
    </row>
    <row r="101" spans="1:16" x14ac:dyDescent="0.35">
      <c r="A101" s="5" t="s">
        <v>8</v>
      </c>
      <c r="B101">
        <v>69</v>
      </c>
      <c r="C101" s="6">
        <f>'[2]Conversion factors selected IV '!$G110</f>
        <v>8.2474864655839128E-2</v>
      </c>
      <c r="D101" s="6">
        <f t="shared" si="79"/>
        <v>836.61852963240813</v>
      </c>
      <c r="E101" s="100"/>
      <c r="F101" s="61">
        <f>'[2]Availabilities EU Austria'!$AB133/'[2]Availabilities EU Austria'!$AB$129</f>
        <v>1.9131702154385883E-2</v>
      </c>
      <c r="G101" s="6">
        <f t="shared" si="68"/>
        <v>16.005936525767492</v>
      </c>
      <c r="H101" s="130">
        <f>'[2]Availabilities EU Austria'!$Q143/'[2]Availabilities EU Austria'!$Q$138</f>
        <v>2.5119189170784952E-2</v>
      </c>
      <c r="I101" s="3">
        <f>'[2]Availabilities EU Austria'!$AC133/'[2]Availabilities EU Austria'!$AC$129</f>
        <v>2.2850945640025086E-2</v>
      </c>
      <c r="J101" s="6">
        <f t="shared" si="74"/>
        <v>19.117524542067876</v>
      </c>
      <c r="K101" s="6">
        <f t="shared" si="75"/>
        <v>8.6955209795153907E-2</v>
      </c>
      <c r="L101" s="6">
        <f t="shared" si="76"/>
        <v>72.748339762699231</v>
      </c>
      <c r="M101" s="6">
        <f t="shared" si="44"/>
        <v>8.881483153797351E-2</v>
      </c>
      <c r="N101" s="6">
        <f t="shared" si="77"/>
        <v>74.304133770849432</v>
      </c>
      <c r="O101" s="3">
        <f>'[2]Availabilities EU Austria'!$AD$133/'[2]Availabilities EU Austria'!$AD$129</f>
        <v>0.15477871743592192</v>
      </c>
      <c r="P101" s="6">
        <f t="shared" si="78"/>
        <v>129.49074299963095</v>
      </c>
    </row>
    <row r="102" spans="1:16" x14ac:dyDescent="0.35">
      <c r="A102" s="5" t="s">
        <v>9</v>
      </c>
      <c r="B102">
        <v>69</v>
      </c>
      <c r="C102" s="6">
        <f>'[2]Conversion factors selected IV '!$G111</f>
        <v>8.2474864655839128E-2</v>
      </c>
      <c r="D102" s="6">
        <f t="shared" si="79"/>
        <v>836.61852963240813</v>
      </c>
      <c r="E102" s="100"/>
      <c r="F102" s="61">
        <f>'[2]Availabilities EU Austria'!$AB134/'[2]Availabilities EU Austria'!$AB$129</f>
        <v>8.7100559036747821E-3</v>
      </c>
      <c r="G102" s="6">
        <f t="shared" si="68"/>
        <v>7.2869941631484716</v>
      </c>
      <c r="H102" s="130">
        <f>'[2]Availabilities EU Austria'!$Q144/'[2]Availabilities EU Austria'!$Q$138</f>
        <v>1.7648635762539801E-2</v>
      </c>
      <c r="I102" s="3">
        <f>'[2]Availabilities EU Austria'!$AC134/'[2]Availabilities EU Austria'!$AC$129</f>
        <v>1.6054977479107748E-2</v>
      </c>
      <c r="J102" s="6">
        <f t="shared" si="74"/>
        <v>13.431891651852551</v>
      </c>
      <c r="K102" s="6">
        <f t="shared" si="75"/>
        <v>1.96306570551016E-2</v>
      </c>
      <c r="L102" s="6">
        <f t="shared" si="76"/>
        <v>16.423371441157158</v>
      </c>
      <c r="M102" s="6">
        <f t="shared" si="44"/>
        <v>2.3303117842818084E-2</v>
      </c>
      <c r="N102" s="6">
        <f t="shared" si="77"/>
        <v>19.495820185509199</v>
      </c>
      <c r="O102" s="3">
        <f>'[2]Availabilities EU Austria'!$AD$134/'[2]Availabilities EU Austria'!$AD$129</f>
        <v>3.0551258206528417E-2</v>
      </c>
      <c r="P102" s="6">
        <f t="shared" si="78"/>
        <v>25.559748719165846</v>
      </c>
    </row>
    <row r="103" spans="1:16" x14ac:dyDescent="0.35">
      <c r="A103" s="5" t="s">
        <v>10</v>
      </c>
      <c r="B103">
        <v>67</v>
      </c>
      <c r="C103" s="6">
        <f>'[2]Conversion factors selected IV '!$G112</f>
        <v>9.1105955143078107E-2</v>
      </c>
      <c r="D103" s="6">
        <f t="shared" si="79"/>
        <v>735.40747028862484</v>
      </c>
      <c r="E103" s="100"/>
      <c r="F103" s="61">
        <f>'[2]Availabilities EU Austria'!$AB135/'[2]Availabilities EU Austria'!$AB$129</f>
        <v>0.19562098126410787</v>
      </c>
      <c r="G103" s="6">
        <f t="shared" si="68"/>
        <v>143.86113096681603</v>
      </c>
      <c r="H103" s="130">
        <f>'[2]Availabilities EU Austria'!$Q145/'[2]Availabilities EU Austria'!$Q$138</f>
        <v>0.10756000508866924</v>
      </c>
      <c r="I103" s="3">
        <f>'[2]Availabilities EU Austria'!$AC135/'[2]Availabilities EU Austria'!$AC$129</f>
        <v>0.13698638668850296</v>
      </c>
      <c r="J103" s="6">
        <f t="shared" si="74"/>
        <v>100.74081209857131</v>
      </c>
      <c r="K103" s="6">
        <f t="shared" si="75"/>
        <v>0.15564848665944911</v>
      </c>
      <c r="L103" s="6">
        <f t="shared" si="76"/>
        <v>114.46505982847825</v>
      </c>
      <c r="M103" s="6">
        <f t="shared" si="44"/>
        <v>0.12633118937164667</v>
      </c>
      <c r="N103" s="6">
        <f t="shared" si="77"/>
        <v>92.904900394355892</v>
      </c>
      <c r="O103" s="3">
        <f>'[2]Availabilities EU Austria'!$AD$135/'[2]Availabilities EU Austria'!$AD$129</f>
        <v>0.11567599205479036</v>
      </c>
      <c r="P103" s="6">
        <f t="shared" si="78"/>
        <v>85.068988690140444</v>
      </c>
    </row>
    <row r="104" spans="1:16" x14ac:dyDescent="0.35">
      <c r="A104" s="5" t="s">
        <v>11</v>
      </c>
      <c r="B104">
        <v>67</v>
      </c>
      <c r="C104" s="6">
        <f>'[2]Conversion factors selected IV '!$G113</f>
        <v>9.1105955143078107E-2</v>
      </c>
      <c r="D104" s="6">
        <f t="shared" si="79"/>
        <v>735.40747028862484</v>
      </c>
      <c r="E104" s="100"/>
      <c r="F104" s="61">
        <f>'[2]Availabilities EU Austria'!$AB136/'[2]Availabilities EU Austria'!$AB$129</f>
        <v>0.17114347633387092</v>
      </c>
      <c r="G104" s="6">
        <f t="shared" si="68"/>
        <v>125.86019098709315</v>
      </c>
      <c r="H104" s="130">
        <f>'[2]Availabilities EU Austria'!$Q146/'[2]Availabilities EU Austria'!$Q$138</f>
        <v>0.15821308643846999</v>
      </c>
      <c r="I104" s="3">
        <f>'[2]Availabilities EU Austria'!$AC136/'[2]Availabilities EU Austria'!$AC$129</f>
        <v>0.16791432698562994</v>
      </c>
      <c r="J104" s="6">
        <f t="shared" si="74"/>
        <v>123.48545043371908</v>
      </c>
      <c r="K104" s="6">
        <f t="shared" si="75"/>
        <v>0.15965408332159858</v>
      </c>
      <c r="L104" s="6">
        <f t="shared" si="76"/>
        <v>117.41080553678614</v>
      </c>
      <c r="M104" s="6">
        <f t="shared" si="44"/>
        <v>0.15803950864747812</v>
      </c>
      <c r="N104" s="6">
        <f t="shared" si="77"/>
        <v>116.22343526009914</v>
      </c>
      <c r="O104" s="3">
        <f>'[2]Availabilities EU Austria'!$AD$136/'[2]Availabilities EU Austria'!$AD$129</f>
        <v>0.14816469030932627</v>
      </c>
      <c r="P104" s="6">
        <f t="shared" si="78"/>
        <v>108.96142008647917</v>
      </c>
    </row>
    <row r="105" spans="1:16" x14ac:dyDescent="0.35">
      <c r="A105" s="5" t="s">
        <v>12</v>
      </c>
      <c r="B105" s="24">
        <v>0</v>
      </c>
      <c r="C105" s="6">
        <f>'[2]Conversion factors selected IV '!$G114</f>
        <v>9.1105955143078107E-2</v>
      </c>
      <c r="D105" s="6">
        <f t="shared" si="79"/>
        <v>0</v>
      </c>
      <c r="E105" s="100"/>
      <c r="F105" s="61">
        <f>'[2]Availabilities EU Austria'!$AB137/'[2]Availabilities EU Austria'!$AB$129</f>
        <v>6.1519053677856192E-2</v>
      </c>
      <c r="G105" s="6">
        <f t="shared" si="68"/>
        <v>0</v>
      </c>
      <c r="H105" s="130">
        <f>'[2]Availabilities EU Austria'!$Q147/'[2]Availabilities EU Austria'!$Q$138</f>
        <v>4.5100749990320863E-2</v>
      </c>
      <c r="I105" s="3">
        <f>'[2]Availabilities EU Austria'!$AC137/'[2]Availabilities EU Austria'!$AC$129</f>
        <v>5.7439461564012355E-2</v>
      </c>
      <c r="J105" s="6">
        <f t="shared" si="74"/>
        <v>0</v>
      </c>
      <c r="K105" s="6">
        <f t="shared" si="75"/>
        <v>5.9624865326779838E-2</v>
      </c>
      <c r="L105" s="6">
        <f t="shared" si="76"/>
        <v>0</v>
      </c>
      <c r="M105" s="6">
        <f t="shared" si="44"/>
        <v>5.7585069269857916E-2</v>
      </c>
      <c r="N105" s="6">
        <f t="shared" si="77"/>
        <v>0</v>
      </c>
      <c r="O105" s="3">
        <f>'[2]Availabilities EU Austria'!$AD$137/'[2]Availabilities EU Austria'!$AD$129</f>
        <v>5.7730676975703485E-2</v>
      </c>
      <c r="P105" s="6">
        <f t="shared" si="78"/>
        <v>0</v>
      </c>
    </row>
    <row r="106" spans="1:16" s="87" customFormat="1" x14ac:dyDescent="0.35">
      <c r="A106" s="87" t="s">
        <v>227</v>
      </c>
      <c r="C106" s="165"/>
      <c r="G106" s="165">
        <f t="shared" ref="G106:I106" si="80">SUM(G107:G114)</f>
        <v>211.94642821636947</v>
      </c>
      <c r="H106" s="87">
        <f t="shared" si="80"/>
        <v>0</v>
      </c>
      <c r="I106" s="87">
        <f t="shared" si="80"/>
        <v>1</v>
      </c>
      <c r="J106" s="86">
        <f>SUM(J107:J114)</f>
        <v>211.32010542760264</v>
      </c>
      <c r="K106" s="86">
        <f t="shared" ref="K106:L106" si="81">SUM(K107:K114)</f>
        <v>0.99999999999999989</v>
      </c>
      <c r="L106" s="86">
        <f t="shared" si="81"/>
        <v>213.72540149269201</v>
      </c>
      <c r="M106" s="86">
        <f t="shared" ref="M106" si="82">SUM(M107:M114)</f>
        <v>0.99999999999999989</v>
      </c>
      <c r="N106" s="86">
        <f t="shared" ref="N106" si="83">SUM(N107:N114)</f>
        <v>213.41224009830856</v>
      </c>
      <c r="O106" s="86">
        <f t="shared" ref="O106:P106" si="84">SUM(O107:O114)</f>
        <v>0.99999999999999967</v>
      </c>
      <c r="P106" s="86">
        <f t="shared" si="84"/>
        <v>215.50437476901448</v>
      </c>
    </row>
    <row r="107" spans="1:16" x14ac:dyDescent="0.35">
      <c r="A107" s="5" t="s">
        <v>5</v>
      </c>
      <c r="B107">
        <v>58</v>
      </c>
      <c r="C107" s="6">
        <f>'[2]Conversion factors selected IV '!$G116</f>
        <v>0.27123986095017383</v>
      </c>
      <c r="D107" s="6">
        <f t="shared" si="79"/>
        <v>213.83287764866711</v>
      </c>
      <c r="E107" s="100"/>
      <c r="F107" s="61">
        <f>'[2]Availabilities EU Austria'!$AB149/'[2]Availabilities EU Austria'!$AB$148</f>
        <v>0.47963053471346939</v>
      </c>
      <c r="G107" s="6">
        <f t="shared" si="68"/>
        <v>102.56077744595008</v>
      </c>
      <c r="H107" s="130"/>
      <c r="I107" s="114">
        <f>'[2]Availabilities EU Austria'!$AC149/'[2]Availabilities EU Austria'!$AC$148</f>
        <v>0.53027367680943094</v>
      </c>
      <c r="J107" s="6">
        <f t="shared" ref="J107:J114" si="85">I107*D107</f>
        <v>113.38994625349989</v>
      </c>
      <c r="K107" s="6">
        <f t="shared" ref="K107:K114" si="86">(F107+O107)/2</f>
        <v>0.46452745835661524</v>
      </c>
      <c r="L107" s="6">
        <f t="shared" ref="L107:L114" si="87">K107*D107</f>
        <v>99.331243167216414</v>
      </c>
      <c r="M107" s="6">
        <f t="shared" si="44"/>
        <v>0.48984902940459596</v>
      </c>
      <c r="N107" s="6">
        <f t="shared" ref="N107:N114" si="88">M107*D107</f>
        <v>104.74582757099131</v>
      </c>
      <c r="O107" s="3">
        <f>'[2]Availabilities EU Austria'!$AD$130/'[2]Availabilities EU Austria'!$AD$129</f>
        <v>0.44942438199976104</v>
      </c>
      <c r="P107" s="6">
        <f t="shared" ref="P107:P114" si="89">O107*D107</f>
        <v>96.101708888482733</v>
      </c>
    </row>
    <row r="108" spans="1:16" x14ac:dyDescent="0.35">
      <c r="A108" s="5" t="s">
        <v>6</v>
      </c>
      <c r="B108">
        <v>44</v>
      </c>
      <c r="C108" s="6">
        <f>'[2]Conversion factors selected IV '!$G117</f>
        <v>0.27123986095017383</v>
      </c>
      <c r="D108" s="6">
        <f t="shared" si="79"/>
        <v>162.21804511278194</v>
      </c>
      <c r="E108" s="100"/>
      <c r="F108" s="61">
        <f>'[2]Availabilities EU Austria'!$AB150/'[2]Availabilities EU Austria'!$AB$148</f>
        <v>3.6317532121655366E-2</v>
      </c>
      <c r="G108" s="6">
        <f t="shared" si="68"/>
        <v>5.8913590640955968</v>
      </c>
      <c r="H108" s="130"/>
      <c r="I108" s="114">
        <f>'[2]Availabilities EU Austria'!$AC150/'[2]Availabilities EU Austria'!$AC$148</f>
        <v>3.6561855072564896E-2</v>
      </c>
      <c r="J108" s="6">
        <f t="shared" si="85"/>
        <v>5.9309926555683274</v>
      </c>
      <c r="K108" s="6">
        <f t="shared" si="86"/>
        <v>3.3249130489337524E-2</v>
      </c>
      <c r="L108" s="6">
        <f t="shared" si="87"/>
        <v>5.3936089496801278</v>
      </c>
      <c r="M108" s="6">
        <f t="shared" si="44"/>
        <v>3.3371291964792285E-2</v>
      </c>
      <c r="N108" s="6">
        <f t="shared" si="88"/>
        <v>5.4134257454164922</v>
      </c>
      <c r="O108" s="3">
        <f>'[2]Availabilities EU Austria'!$AD$131/'[2]Availabilities EU Austria'!$AD$129</f>
        <v>3.0180728857019678E-2</v>
      </c>
      <c r="P108" s="6">
        <f t="shared" si="89"/>
        <v>4.8958588352646579</v>
      </c>
    </row>
    <row r="109" spans="1:16" x14ac:dyDescent="0.35">
      <c r="A109" s="5" t="s">
        <v>7</v>
      </c>
      <c r="B109">
        <v>44</v>
      </c>
      <c r="C109" s="6">
        <f>'[2]Conversion factors selected IV '!$G118</f>
        <v>0.27123986095017383</v>
      </c>
      <c r="D109" s="6">
        <f t="shared" si="79"/>
        <v>162.21804511278194</v>
      </c>
      <c r="E109" s="100"/>
      <c r="F109" s="61">
        <f>'[2]Availabilities EU Austria'!$AB151/'[2]Availabilities EU Austria'!$AB$148</f>
        <v>1.7716747551852312E-2</v>
      </c>
      <c r="G109" s="6">
        <f t="shared" si="68"/>
        <v>2.8739761536181474</v>
      </c>
      <c r="H109" s="130"/>
      <c r="I109" s="114">
        <f>'[2]Availabilities EU Austria'!$AC151/'[2]Availabilities EU Austria'!$AC$148</f>
        <v>1.8541940950143661E-2</v>
      </c>
      <c r="J109" s="6">
        <f t="shared" si="85"/>
        <v>3.0078374135289434</v>
      </c>
      <c r="K109" s="6">
        <f t="shared" si="86"/>
        <v>1.5605150856400501E-2</v>
      </c>
      <c r="L109" s="6">
        <f t="shared" si="87"/>
        <v>2.5314370656153442</v>
      </c>
      <c r="M109" s="6">
        <f t="shared" si="44"/>
        <v>1.6017747555546174E-2</v>
      </c>
      <c r="N109" s="6">
        <f t="shared" si="88"/>
        <v>2.598367695570742</v>
      </c>
      <c r="O109" s="3">
        <f>'[2]Availabilities EU Austria'!$AD$132/'[2]Availabilities EU Austria'!$AD$129</f>
        <v>1.3493554160948688E-2</v>
      </c>
      <c r="P109" s="6">
        <f t="shared" si="89"/>
        <v>2.1888979776125406</v>
      </c>
    </row>
    <row r="110" spans="1:16" x14ac:dyDescent="0.35">
      <c r="A110" s="5" t="s">
        <v>8</v>
      </c>
      <c r="B110">
        <v>69</v>
      </c>
      <c r="C110" s="6">
        <f>'[2]Conversion factors selected IV '!$G119</f>
        <v>0.27123986095017383</v>
      </c>
      <c r="D110" s="6">
        <f t="shared" si="79"/>
        <v>254.3873889268626</v>
      </c>
      <c r="E110" s="100"/>
      <c r="F110" s="61">
        <f>'[2]Availabilities EU Austria'!$AB152/'[2]Availabilities EU Austria'!$AB$148</f>
        <v>3.7545102588689108E-2</v>
      </c>
      <c r="G110" s="6">
        <f t="shared" si="68"/>
        <v>9.5510006145278119</v>
      </c>
      <c r="H110" s="130"/>
      <c r="I110" s="114">
        <f>'[2]Availabilities EU Austria'!$AC152/'[2]Availabilities EU Austria'!$AC$148</f>
        <v>4.4680890676063539E-2</v>
      </c>
      <c r="J110" s="6">
        <f t="shared" si="85"/>
        <v>11.366255114010404</v>
      </c>
      <c r="K110" s="6">
        <f t="shared" si="86"/>
        <v>9.6161910012305507E-2</v>
      </c>
      <c r="L110" s="6">
        <f t="shared" si="87"/>
        <v>24.462377202250323</v>
      </c>
      <c r="M110" s="6">
        <f t="shared" si="44"/>
        <v>9.972980405599273E-2</v>
      </c>
      <c r="N110" s="6">
        <f t="shared" si="88"/>
        <v>25.370004451991623</v>
      </c>
      <c r="O110" s="3">
        <f>'[2]Availabilities EU Austria'!$AD$133/'[2]Availabilities EU Austria'!$AD$129</f>
        <v>0.15477871743592192</v>
      </c>
      <c r="P110" s="6">
        <f t="shared" si="89"/>
        <v>39.373753789972838</v>
      </c>
    </row>
    <row r="111" spans="1:16" x14ac:dyDescent="0.35">
      <c r="A111" s="5" t="s">
        <v>9</v>
      </c>
      <c r="B111">
        <v>69</v>
      </c>
      <c r="C111" s="6">
        <f>'[2]Conversion factors selected IV '!$G120</f>
        <v>0.27123986095017383</v>
      </c>
      <c r="D111" s="6">
        <f t="shared" si="79"/>
        <v>254.3873889268626</v>
      </c>
      <c r="E111" s="100"/>
      <c r="F111" s="61">
        <f>'[2]Availabilities EU Austria'!$AB153/'[2]Availabilities EU Austria'!$AB$148</f>
        <v>8.5465459324464386E-3</v>
      </c>
      <c r="G111" s="6">
        <f t="shared" si="68"/>
        <v>2.1741335040985477</v>
      </c>
      <c r="H111" s="130"/>
      <c r="I111" s="114">
        <f>'[2]Availabilities EU Austria'!$AC153/'[2]Availabilities EU Austria'!$AC$148</f>
        <v>1.5696302132332411E-2</v>
      </c>
      <c r="J111" s="6">
        <f t="shared" si="85"/>
        <v>3.9929413152511879</v>
      </c>
      <c r="K111" s="6">
        <f t="shared" si="86"/>
        <v>1.954890206948743E-2</v>
      </c>
      <c r="L111" s="6">
        <f t="shared" si="87"/>
        <v>4.9729941538438478</v>
      </c>
      <c r="M111" s="6">
        <f t="shared" si="44"/>
        <v>2.3123780169430414E-2</v>
      </c>
      <c r="N111" s="6">
        <f t="shared" si="88"/>
        <v>5.8823980594201677</v>
      </c>
      <c r="O111" s="3">
        <f>'[2]Availabilities EU Austria'!$AD$134/'[2]Availabilities EU Austria'!$AD$129</f>
        <v>3.0551258206528417E-2</v>
      </c>
      <c r="P111" s="6">
        <f t="shared" si="89"/>
        <v>7.7718548035891475</v>
      </c>
    </row>
    <row r="112" spans="1:16" x14ac:dyDescent="0.35">
      <c r="A112" s="5" t="s">
        <v>10</v>
      </c>
      <c r="B112">
        <v>67</v>
      </c>
      <c r="C112" s="6">
        <f>'[2]Conversion factors selected IV '!$G121</f>
        <v>0.27123986095017383</v>
      </c>
      <c r="D112" s="6">
        <f t="shared" si="79"/>
        <v>247.01384142173615</v>
      </c>
      <c r="E112" s="100"/>
      <c r="F112" s="61">
        <f>'[2]Availabilities EU Austria'!$AB154/'[2]Availabilities EU Austria'!$AB$148</f>
        <v>0.19194867635907739</v>
      </c>
      <c r="G112" s="6">
        <f t="shared" si="68"/>
        <v>47.413979903273294</v>
      </c>
      <c r="H112" s="130"/>
      <c r="I112" s="114">
        <f>'[2]Availabilities EU Austria'!$AC154/'[2]Availabilities EU Austria'!$AC$148</f>
        <v>0.13392604980463399</v>
      </c>
      <c r="J112" s="6">
        <f t="shared" si="85"/>
        <v>33.081588028681395</v>
      </c>
      <c r="K112" s="6">
        <f t="shared" si="86"/>
        <v>0.15381233420693388</v>
      </c>
      <c r="L112" s="6">
        <f t="shared" si="87"/>
        <v>37.993775530498645</v>
      </c>
      <c r="M112" s="6">
        <f t="shared" si="44"/>
        <v>0.12480102092971218</v>
      </c>
      <c r="N112" s="6">
        <f t="shared" si="88"/>
        <v>30.827579593202699</v>
      </c>
      <c r="O112" s="3">
        <f>'[2]Availabilities EU Austria'!$AD$135/'[2]Availabilities EU Austria'!$AD$129</f>
        <v>0.11567599205479036</v>
      </c>
      <c r="P112" s="6">
        <f t="shared" si="89"/>
        <v>28.573571157723997</v>
      </c>
    </row>
    <row r="113" spans="1:16" x14ac:dyDescent="0.35">
      <c r="A113" s="5" t="s">
        <v>11</v>
      </c>
      <c r="B113">
        <v>67</v>
      </c>
      <c r="C113" s="6">
        <f>'[2]Conversion factors selected IV '!$G122</f>
        <v>0.27123986095017383</v>
      </c>
      <c r="D113" s="6">
        <f t="shared" si="79"/>
        <v>247.01384142173615</v>
      </c>
      <c r="E113" s="100"/>
      <c r="F113" s="61">
        <f>'[2]Availabilities EU Austria'!$AB155/'[2]Availabilities EU Austria'!$AB$148</f>
        <v>0.16793067664570088</v>
      </c>
      <c r="G113" s="6">
        <f t="shared" si="68"/>
        <v>41.481201530806004</v>
      </c>
      <c r="H113" s="130"/>
      <c r="I113" s="114">
        <f>'[2]Availabilities EU Austria'!$AC155/'[2]Availabilities EU Austria'!$AC$148</f>
        <v>0.16416304614213509</v>
      </c>
      <c r="J113" s="6">
        <f t="shared" si="85"/>
        <v>40.550544647062509</v>
      </c>
      <c r="K113" s="6">
        <f t="shared" si="86"/>
        <v>0.15804768347751358</v>
      </c>
      <c r="L113" s="6">
        <f t="shared" si="87"/>
        <v>39.03996542358729</v>
      </c>
      <c r="M113" s="6">
        <f t="shared" si="44"/>
        <v>0.1561638682257307</v>
      </c>
      <c r="N113" s="6">
        <f t="shared" si="88"/>
        <v>38.574636981715543</v>
      </c>
      <c r="O113" s="3">
        <f>'[2]Availabilities EU Austria'!$AD$136/'[2]Availabilities EU Austria'!$AD$129</f>
        <v>0.14816469030932627</v>
      </c>
      <c r="P113" s="6">
        <f t="shared" si="89"/>
        <v>36.598729316368569</v>
      </c>
    </row>
    <row r="114" spans="1:16" x14ac:dyDescent="0.35">
      <c r="A114" s="5" t="s">
        <v>12</v>
      </c>
      <c r="B114" s="24">
        <v>0</v>
      </c>
      <c r="C114" s="6">
        <f>'[2]Conversion factors selected IV '!$G123</f>
        <v>0.27123986095017383</v>
      </c>
      <c r="D114" s="6">
        <f t="shared" si="79"/>
        <v>0</v>
      </c>
      <c r="E114" s="100"/>
      <c r="F114" s="61">
        <f>'[2]Availabilities EU Austria'!$AB156/'[2]Availabilities EU Austria'!$AB$148</f>
        <v>6.0364184087109099E-2</v>
      </c>
      <c r="G114" s="6">
        <f t="shared" si="68"/>
        <v>0</v>
      </c>
      <c r="H114" s="130"/>
      <c r="I114" s="114">
        <f>'[2]Availabilities EU Austria'!$AC156/'[2]Availabilities EU Austria'!$AC$148</f>
        <v>5.6156238412695562E-2</v>
      </c>
      <c r="J114" s="6">
        <f t="shared" si="85"/>
        <v>0</v>
      </c>
      <c r="K114" s="6">
        <f t="shared" si="86"/>
        <v>5.9047430531406292E-2</v>
      </c>
      <c r="L114" s="6">
        <f t="shared" si="87"/>
        <v>0</v>
      </c>
      <c r="M114" s="6">
        <f t="shared" si="44"/>
        <v>5.694345769419952E-2</v>
      </c>
      <c r="N114" s="6">
        <f t="shared" si="88"/>
        <v>0</v>
      </c>
      <c r="O114" s="3">
        <f>'[2]Availabilities EU Austria'!$AD$137/'[2]Availabilities EU Austria'!$AD$129</f>
        <v>5.7730676975703485E-2</v>
      </c>
      <c r="P114" s="6">
        <f t="shared" si="89"/>
        <v>0</v>
      </c>
    </row>
    <row r="115" spans="1:16" s="87" customFormat="1" x14ac:dyDescent="0.35">
      <c r="A115" s="87" t="s">
        <v>228</v>
      </c>
      <c r="F115" s="87">
        <f t="shared" ref="F115:P115" si="90">SUM(F116:F123)</f>
        <v>0.99999999999999989</v>
      </c>
      <c r="G115" s="165">
        <f t="shared" si="90"/>
        <v>632.0716817667078</v>
      </c>
      <c r="H115" s="87">
        <f t="shared" si="90"/>
        <v>1</v>
      </c>
      <c r="I115" s="87">
        <f t="shared" si="90"/>
        <v>1</v>
      </c>
      <c r="J115" s="165">
        <f t="shared" si="90"/>
        <v>634.61720823442681</v>
      </c>
      <c r="K115" s="165">
        <f t="shared" si="90"/>
        <v>0.99999999999999989</v>
      </c>
      <c r="L115" s="165">
        <f t="shared" si="90"/>
        <v>641.08634488064467</v>
      </c>
      <c r="M115" s="165">
        <f t="shared" si="90"/>
        <v>0.99999999999999989</v>
      </c>
      <c r="N115" s="165">
        <f t="shared" si="90"/>
        <v>642.35910811450424</v>
      </c>
      <c r="O115" s="165">
        <f t="shared" si="90"/>
        <v>0.99999999999999967</v>
      </c>
      <c r="P115" s="165">
        <f t="shared" si="90"/>
        <v>650.10100799458155</v>
      </c>
    </row>
    <row r="116" spans="1:16" x14ac:dyDescent="0.35">
      <c r="A116" s="5" t="s">
        <v>5</v>
      </c>
      <c r="B116">
        <v>58</v>
      </c>
      <c r="C116" s="6">
        <f>'[2]Conversion factors selected IV '!$G$125</f>
        <v>8.7338247338247313E-2</v>
      </c>
      <c r="D116" s="6">
        <f t="shared" ref="D116:D123" si="91">B116/C116</f>
        <v>664.08477119279837</v>
      </c>
      <c r="E116" s="100">
        <f>'[2]Availabilities EU Austria'!$N$130/'[2]Availabilities EU Austria'!$N$129</f>
        <v>0.54821320343358704</v>
      </c>
      <c r="F116" s="61">
        <f>'[2]Availabilities EU Austria'!$AB$149/'[2]Availabilities EU Austria'!$AB$148</f>
        <v>0.47963053471346939</v>
      </c>
      <c r="G116" s="6">
        <f t="shared" si="68"/>
        <v>318.51533390227388</v>
      </c>
      <c r="H116" s="130">
        <f>'[2]Availabilities EU Austria'!$Q$140/'[2]Availabilities EU Austria'!$Q$138</f>
        <v>0.59623004817133585</v>
      </c>
      <c r="I116" s="114">
        <f>'[2]Availabilities EU Austria'!$AC$149/'[2]Availabilities EU Austria'!$AC$148</f>
        <v>0.53027367680943094</v>
      </c>
      <c r="J116" s="6">
        <f t="shared" ref="J116:J123" si="92">I116*D116</f>
        <v>352.14667333355487</v>
      </c>
      <c r="K116" s="6">
        <f t="shared" ref="K116:K123" si="93">(F116+O116)/2</f>
        <v>0.46452745835661524</v>
      </c>
      <c r="L116" s="6">
        <f t="shared" ref="L116:L123" si="94">K116*D116</f>
        <v>308.48561089552499</v>
      </c>
      <c r="M116" s="6">
        <f t="shared" si="44"/>
        <v>0.48984902940459596</v>
      </c>
      <c r="N116" s="6">
        <f t="shared" ref="N116:N123" si="95">M116*D116</f>
        <v>325.30128061116545</v>
      </c>
      <c r="O116" s="3">
        <f>'[2]Availabilities EU Austria'!$AD$130/'[2]Availabilities EU Austria'!$AD$129</f>
        <v>0.44942438199976104</v>
      </c>
      <c r="P116" s="6">
        <f t="shared" ref="P116:P123" si="96">O116*D116</f>
        <v>298.45588788877609</v>
      </c>
    </row>
    <row r="117" spans="1:16" x14ac:dyDescent="0.35">
      <c r="A117" s="5" t="s">
        <v>6</v>
      </c>
      <c r="B117">
        <v>44</v>
      </c>
      <c r="C117" s="6">
        <f>'[2]Conversion factors selected IV '!$G$126</f>
        <v>8.7338247338247313E-2</v>
      </c>
      <c r="D117" s="6">
        <f t="shared" si="91"/>
        <v>503.78844711177811</v>
      </c>
      <c r="E117" s="100">
        <f>'[2]Availabilities EU Austria'!$N$131/'[2]Availabilities EU Austria'!$N$129</f>
        <v>3.5580513125782073E-2</v>
      </c>
      <c r="F117" s="61">
        <f>'[2]Availabilities EU Austria'!$AB150/'[2]Availabilities EU Austria'!$AB$148</f>
        <v>3.6317532121655366E-2</v>
      </c>
      <c r="G117" s="6">
        <f t="shared" si="68"/>
        <v>18.296353110500878</v>
      </c>
      <c r="H117" s="130">
        <f>'[2]Availabilities EU Austria'!$Q$141/'[2]Availabilities EU Austria'!$Q$138</f>
        <v>3.5236699567198278E-2</v>
      </c>
      <c r="I117" s="114">
        <f>'[2]Availabilities EU Austria'!$AC150/'[2]Availabilities EU Austria'!$AC$148</f>
        <v>3.6561855072564896E-2</v>
      </c>
      <c r="J117" s="6">
        <f t="shared" si="92"/>
        <v>18.419440190533358</v>
      </c>
      <c r="K117" s="6">
        <f t="shared" si="93"/>
        <v>3.3249130489337524E-2</v>
      </c>
      <c r="L117" s="6">
        <f t="shared" si="94"/>
        <v>16.750527817040226</v>
      </c>
      <c r="M117" s="6">
        <f t="shared" si="44"/>
        <v>3.3371291964792285E-2</v>
      </c>
      <c r="N117" s="6">
        <f t="shared" si="95"/>
        <v>16.812071357056464</v>
      </c>
      <c r="O117" s="3">
        <f>'[2]Availabilities EU Austria'!$AD$131/'[2]Availabilities EU Austria'!$AD$129</f>
        <v>3.0180728857019678E-2</v>
      </c>
      <c r="P117" s="6">
        <f t="shared" si="96"/>
        <v>15.204702523579574</v>
      </c>
    </row>
    <row r="118" spans="1:16" x14ac:dyDescent="0.35">
      <c r="A118" s="5" t="s">
        <v>7</v>
      </c>
      <c r="B118">
        <v>44</v>
      </c>
      <c r="C118" s="6">
        <f>'[2]Conversion factors selected IV '!$G$127</f>
        <v>8.7338247338247313E-2</v>
      </c>
      <c r="D118" s="6">
        <f t="shared" si="91"/>
        <v>503.78844711177811</v>
      </c>
      <c r="E118" s="133">
        <f>'[2]Availabilities EU Austria'!$N$132/'[2]Availabilities EU Austria'!$N$129</f>
        <v>1.4464340223321777E-2</v>
      </c>
      <c r="F118" s="61">
        <f>'[2]Availabilities EU Austria'!$AB151/'[2]Availabilities EU Austria'!$AB$148</f>
        <v>1.7716747551852312E-2</v>
      </c>
      <c r="G118" s="6">
        <f t="shared" si="68"/>
        <v>8.9254927370190735</v>
      </c>
      <c r="H118" s="130">
        <f>'[2]Availabilities EU Austria'!$Q$142/'[2]Availabilities EU Austria'!$Q$138</f>
        <v>1.4891585810681092E-2</v>
      </c>
      <c r="I118" s="114">
        <f>'[2]Availabilities EU Austria'!$AC151/'[2]Availabilities EU Austria'!$AC$148</f>
        <v>1.8541940950143661E-2</v>
      </c>
      <c r="J118" s="6">
        <f t="shared" si="92"/>
        <v>9.3412156377111621</v>
      </c>
      <c r="K118" s="6">
        <f t="shared" si="93"/>
        <v>1.5605150856400501E-2</v>
      </c>
      <c r="L118" s="6">
        <f t="shared" si="94"/>
        <v>7.8616947168910425</v>
      </c>
      <c r="M118" s="6">
        <f t="shared" si="44"/>
        <v>1.6017747555546174E-2</v>
      </c>
      <c r="N118" s="6">
        <f t="shared" si="95"/>
        <v>8.0695561672370868</v>
      </c>
      <c r="O118" s="3">
        <f>'[2]Availabilities EU Austria'!$AD$132/'[2]Availabilities EU Austria'!$AD$129</f>
        <v>1.3493554160948688E-2</v>
      </c>
      <c r="P118" s="6">
        <f t="shared" si="96"/>
        <v>6.7978966967630114</v>
      </c>
    </row>
    <row r="119" spans="1:16" x14ac:dyDescent="0.35">
      <c r="A119" s="5" t="s">
        <v>8</v>
      </c>
      <c r="B119">
        <v>69</v>
      </c>
      <c r="C119" s="6">
        <f>'[2]Conversion factors selected IV '!$G$128</f>
        <v>8.7338247338247313E-2</v>
      </c>
      <c r="D119" s="6">
        <f t="shared" si="91"/>
        <v>790.03188297074291</v>
      </c>
      <c r="E119" s="100">
        <f>'[2]Availabilities EU Austria'!$N$133/'[2]Availabilities EU Austria'!$N$129</f>
        <v>2.1456850089500667E-2</v>
      </c>
      <c r="F119" s="61">
        <f>'[2]Availabilities EU Austria'!$AB152/'[2]Availabilities EU Austria'!$AB$148</f>
        <v>3.7545102588689108E-2</v>
      </c>
      <c r="G119" s="6">
        <f t="shared" si="68"/>
        <v>29.661828094471769</v>
      </c>
      <c r="H119" s="130">
        <f>'[2]Availabilities EU Austria'!$Q$143/'[2]Availabilities EU Austria'!$Q$138</f>
        <v>2.5119189170784952E-2</v>
      </c>
      <c r="I119" s="114">
        <f>'[2]Availabilities EU Austria'!$AC152/'[2]Availabilities EU Austria'!$AC$148</f>
        <v>4.4680890676063539E-2</v>
      </c>
      <c r="J119" s="6">
        <f t="shared" si="92"/>
        <v>35.29932819362039</v>
      </c>
      <c r="K119" s="6">
        <f t="shared" si="93"/>
        <v>9.6161910012305507E-2</v>
      </c>
      <c r="L119" s="6">
        <f t="shared" si="94"/>
        <v>75.970974837084853</v>
      </c>
      <c r="M119" s="6">
        <f t="shared" si="44"/>
        <v>9.972980405599273E-2</v>
      </c>
      <c r="N119" s="6">
        <f t="shared" si="95"/>
        <v>78.789724886659172</v>
      </c>
      <c r="O119" s="3">
        <f>'[2]Availabilities EU Austria'!$AD$133/'[2]Availabilities EU Austria'!$AD$129</f>
        <v>0.15477871743592192</v>
      </c>
      <c r="P119" s="6">
        <f t="shared" si="96"/>
        <v>122.28012157969795</v>
      </c>
    </row>
    <row r="120" spans="1:16" x14ac:dyDescent="0.35">
      <c r="A120" s="5" t="s">
        <v>9</v>
      </c>
      <c r="B120">
        <v>69</v>
      </c>
      <c r="C120" s="6">
        <f>'[2]Conversion factors selected IV '!$G$129</f>
        <v>8.7338247338247313E-2</v>
      </c>
      <c r="D120" s="6">
        <f t="shared" si="91"/>
        <v>790.03188297074291</v>
      </c>
      <c r="E120" s="100">
        <f>'[2]Availabilities EU Austria'!$N$134/'[2]Availabilities EU Austria'!$N$129</f>
        <v>9.7686218553991021E-3</v>
      </c>
      <c r="F120" s="61">
        <f>'[2]Availabilities EU Austria'!$AB153/'[2]Availabilities EU Austria'!$AB$148</f>
        <v>8.5465459324464386E-3</v>
      </c>
      <c r="G120" s="6">
        <f t="shared" si="68"/>
        <v>6.7520437759066034</v>
      </c>
      <c r="H120" s="130">
        <f>'[2]Availabilities EU Austria'!$Q$144/'[2]Availabilities EU Austria'!$Q$138</f>
        <v>1.7648635762539801E-2</v>
      </c>
      <c r="I120" s="114">
        <f>'[2]Availabilities EU Austria'!$AC153/'[2]Availabilities EU Austria'!$AC$148</f>
        <v>1.5696302132332411E-2</v>
      </c>
      <c r="J120" s="6">
        <f t="shared" si="92"/>
        <v>12.400579129284262</v>
      </c>
      <c r="K120" s="6">
        <f t="shared" si="93"/>
        <v>1.954890206948743E-2</v>
      </c>
      <c r="L120" s="6">
        <f t="shared" si="94"/>
        <v>15.444255911967806</v>
      </c>
      <c r="M120" s="6">
        <f t="shared" si="44"/>
        <v>2.3123780169430414E-2</v>
      </c>
      <c r="N120" s="6">
        <f t="shared" si="95"/>
        <v>18.268523588656635</v>
      </c>
      <c r="O120" s="3">
        <f>'[2]Availabilities EU Austria'!$AD$134/'[2]Availabilities EU Austria'!$AD$129</f>
        <v>3.0551258206528417E-2</v>
      </c>
      <c r="P120" s="6">
        <f t="shared" si="96"/>
        <v>24.136468048029009</v>
      </c>
    </row>
    <row r="121" spans="1:16" x14ac:dyDescent="0.35">
      <c r="A121" s="5" t="s">
        <v>10</v>
      </c>
      <c r="B121">
        <v>67</v>
      </c>
      <c r="C121" s="6">
        <f>'[2]Conversion factors selected IV '!$G$130</f>
        <v>9.6478296478296463E-2</v>
      </c>
      <c r="D121" s="6">
        <f t="shared" si="91"/>
        <v>694.4567062818337</v>
      </c>
      <c r="E121" s="133">
        <f>'[2]Availabilities EU Austria'!$N$135/'[2]Availabilities EU Austria'!$N$129</f>
        <v>0.15671109791163104</v>
      </c>
      <c r="F121" s="61">
        <f>'[2]Availabilities EU Austria'!$AB154/'[2]Availabilities EU Austria'!$AB$148</f>
        <v>0.19194867635907739</v>
      </c>
      <c r="G121" s="6">
        <f t="shared" si="68"/>
        <v>133.30004555948256</v>
      </c>
      <c r="H121" s="130">
        <f>'[2]Availabilities EU Austria'!$Q$145/'[2]Availabilities EU Austria'!$Q$138</f>
        <v>0.10756000508866924</v>
      </c>
      <c r="I121" s="114">
        <f>'[2]Availabilities EU Austria'!$AC154/'[2]Availabilities EU Austria'!$AC$148</f>
        <v>0.13392604980463399</v>
      </c>
      <c r="J121" s="6">
        <f t="shared" si="92"/>
        <v>93.005843432662942</v>
      </c>
      <c r="K121" s="6">
        <f t="shared" si="93"/>
        <v>0.15381233420693388</v>
      </c>
      <c r="L121" s="6">
        <f t="shared" si="94"/>
        <v>106.81600699886792</v>
      </c>
      <c r="M121" s="6">
        <f t="shared" si="44"/>
        <v>0.12480102092971218</v>
      </c>
      <c r="N121" s="6">
        <f t="shared" si="95"/>
        <v>86.668905935458113</v>
      </c>
      <c r="O121" s="3">
        <f>'[2]Availabilities EU Austria'!$AD$135/'[2]Availabilities EU Austria'!$AD$129</f>
        <v>0.11567599205479036</v>
      </c>
      <c r="P121" s="6">
        <f t="shared" si="96"/>
        <v>80.33196843825327</v>
      </c>
    </row>
    <row r="122" spans="1:16" x14ac:dyDescent="0.35">
      <c r="A122" s="5" t="s">
        <v>11</v>
      </c>
      <c r="B122">
        <v>67</v>
      </c>
      <c r="C122" s="6">
        <f>'[2]Conversion factors selected IV '!$G$131</f>
        <v>9.6478296478296463E-2</v>
      </c>
      <c r="D122" s="6">
        <f>B122/C122</f>
        <v>694.4567062818337</v>
      </c>
      <c r="E122" s="133">
        <f>'[2]Availabilities EU Austria'!$N$136/'[2]Availabilities EU Austria'!$N$129</f>
        <v>0.16452273311409904</v>
      </c>
      <c r="F122" s="61">
        <f>'[2]Availabilities EU Austria'!$AB155/'[2]Availabilities EU Austria'!$AB$148</f>
        <v>0.16793067664570088</v>
      </c>
      <c r="G122" s="6">
        <f t="shared" si="68"/>
        <v>116.62058458705309</v>
      </c>
      <c r="H122" s="130">
        <f>'[2]Availabilities EU Austria'!$Q$146/'[2]Availabilities EU Austria'!$Q$138</f>
        <v>0.15821308643846999</v>
      </c>
      <c r="I122" s="114">
        <f>'[2]Availabilities EU Austria'!$AC155/'[2]Availabilities EU Austria'!$AC$148</f>
        <v>0.16416304614213509</v>
      </c>
      <c r="J122" s="6">
        <f t="shared" si="92"/>
        <v>114.00412831705982</v>
      </c>
      <c r="K122" s="6">
        <f t="shared" si="93"/>
        <v>0.15804768347751358</v>
      </c>
      <c r="L122" s="6">
        <f t="shared" si="94"/>
        <v>109.75727370326787</v>
      </c>
      <c r="M122" s="6">
        <f t="shared" si="44"/>
        <v>0.1561638682257307</v>
      </c>
      <c r="N122" s="6">
        <f t="shared" si="95"/>
        <v>108.44904556827125</v>
      </c>
      <c r="O122" s="3">
        <f>'[2]Availabilities EU Austria'!$AD$136/'[2]Availabilities EU Austria'!$AD$129</f>
        <v>0.14816469030932627</v>
      </c>
      <c r="P122" s="6">
        <f t="shared" si="96"/>
        <v>102.89396281948265</v>
      </c>
    </row>
    <row r="123" spans="1:16" x14ac:dyDescent="0.35">
      <c r="A123" s="5" t="s">
        <v>12</v>
      </c>
      <c r="B123" s="24">
        <v>0</v>
      </c>
      <c r="C123" s="6">
        <f>'[2]Conversion factors selected IV '!$G$132</f>
        <v>9.6478296478296463E-2</v>
      </c>
      <c r="D123" s="6">
        <f t="shared" si="91"/>
        <v>0</v>
      </c>
      <c r="E123" s="132">
        <f>'[2]Availabilities EU Austria'!$N$137/'[2]Availabilities EU Austria'!$N$129</f>
        <v>4.9282640246679235E-2</v>
      </c>
      <c r="F123" s="61">
        <f>'[2]Availabilities EU Austria'!$AB156/'[2]Availabilities EU Austria'!$AB$148</f>
        <v>6.0364184087109099E-2</v>
      </c>
      <c r="G123" s="6">
        <f t="shared" si="68"/>
        <v>0</v>
      </c>
      <c r="H123" s="130">
        <f>'[2]Availabilities EU Austria'!$Q$147/'[2]Availabilities EU Austria'!$Q$138</f>
        <v>4.5100749990320863E-2</v>
      </c>
      <c r="I123" s="114">
        <f>'[2]Availabilities EU Austria'!$AC156/'[2]Availabilities EU Austria'!$AC$148</f>
        <v>5.6156238412695562E-2</v>
      </c>
      <c r="J123" s="6">
        <f t="shared" si="92"/>
        <v>0</v>
      </c>
      <c r="K123" s="6">
        <f t="shared" si="93"/>
        <v>5.9047430531406292E-2</v>
      </c>
      <c r="L123" s="6">
        <f t="shared" si="94"/>
        <v>0</v>
      </c>
      <c r="M123" s="6">
        <f t="shared" si="44"/>
        <v>5.694345769419952E-2</v>
      </c>
      <c r="N123" s="6">
        <f t="shared" si="95"/>
        <v>0</v>
      </c>
      <c r="O123" s="3">
        <f>'[2]Availabilities EU Austria'!$AD$137/'[2]Availabilities EU Austria'!$AD$129</f>
        <v>5.7730676975703485E-2</v>
      </c>
      <c r="P123" s="6">
        <f t="shared" si="96"/>
        <v>0</v>
      </c>
    </row>
    <row r="124" spans="1:16" x14ac:dyDescent="0.35">
      <c r="G124" s="6"/>
      <c r="H124" s="53"/>
    </row>
  </sheetData>
  <pageMargins left="0.7" right="0.7" top="0.78740157499999996" bottom="0.78740157499999996"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8668-460F-4DEA-8578-84C8FB8BB318}">
  <dimension ref="A1:K24"/>
  <sheetViews>
    <sheetView workbookViewId="0">
      <selection activeCell="H22" sqref="H22"/>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1" s="51" customFormat="1" ht="21" customHeight="1" x14ac:dyDescent="0.35">
      <c r="A1" s="51" t="s">
        <v>128</v>
      </c>
      <c r="B1" s="51" t="s">
        <v>193</v>
      </c>
      <c r="C1" s="51" t="s">
        <v>194</v>
      </c>
      <c r="D1" s="51" t="s">
        <v>200</v>
      </c>
      <c r="E1" s="51" t="s">
        <v>199</v>
      </c>
      <c r="F1" s="51" t="s">
        <v>201</v>
      </c>
      <c r="G1" s="51" t="s">
        <v>196</v>
      </c>
      <c r="H1" s="51" t="s">
        <v>197</v>
      </c>
      <c r="I1" s="51" t="s">
        <v>145</v>
      </c>
      <c r="J1" s="51" t="s">
        <v>167</v>
      </c>
    </row>
    <row r="2" spans="1:11" s="52" customFormat="1" x14ac:dyDescent="0.35">
      <c r="A2" s="89">
        <v>1</v>
      </c>
      <c r="B2" s="104">
        <f>'CAPEX only'!K3</f>
        <v>83</v>
      </c>
      <c r="C2" s="91">
        <f>'OPEX only'!E3</f>
        <v>267</v>
      </c>
      <c r="D2" s="91">
        <f>'Feedstock MIX per IVC'!L4</f>
        <v>1000</v>
      </c>
      <c r="E2" s="112">
        <f t="shared" ref="E2:E11" si="0">B2+C2+D2</f>
        <v>1350</v>
      </c>
      <c r="F2" s="301">
        <f t="shared" ref="F2:F23" si="1">B2/E2</f>
        <v>6.1481481481481484E-2</v>
      </c>
      <c r="G2" s="301">
        <f t="shared" ref="G2:G23" si="2">C2/E2</f>
        <v>0.19777777777777777</v>
      </c>
      <c r="H2" s="301">
        <f t="shared" ref="H2:H23" si="3">D2/E2</f>
        <v>0.7407407407407407</v>
      </c>
      <c r="I2" s="52">
        <f>(83+267+903)-1226</f>
        <v>27</v>
      </c>
      <c r="J2" s="90">
        <f t="shared" ref="J2:J9" si="4">B2+C2+D2-I2</f>
        <v>1323</v>
      </c>
      <c r="K2" s="53"/>
    </row>
    <row r="3" spans="1:11" x14ac:dyDescent="0.35">
      <c r="A3" t="s">
        <v>131</v>
      </c>
      <c r="B3" s="104">
        <f>'CAPEX only'!K4</f>
        <v>269</v>
      </c>
      <c r="C3" s="6">
        <f>'OPEX only'!E4</f>
        <v>405</v>
      </c>
      <c r="D3" s="6">
        <f>'Feedstock MIX per IVC'!L5</f>
        <v>616.45177989680133</v>
      </c>
      <c r="E3" s="112">
        <f t="shared" si="0"/>
        <v>1290.4517798968013</v>
      </c>
      <c r="F3" s="301">
        <f t="shared" si="1"/>
        <v>0.20845412760910151</v>
      </c>
      <c r="G3" s="301">
        <f t="shared" si="2"/>
        <v>0.31384357502485544</v>
      </c>
      <c r="H3" s="301">
        <f t="shared" si="3"/>
        <v>0.47770229736604303</v>
      </c>
      <c r="I3">
        <f>(269+405+1342)-1218</f>
        <v>798</v>
      </c>
      <c r="J3" s="2">
        <f t="shared" si="4"/>
        <v>492.45177989680133</v>
      </c>
    </row>
    <row r="4" spans="1:11" x14ac:dyDescent="0.35">
      <c r="A4" t="s">
        <v>130</v>
      </c>
      <c r="B4" s="104">
        <f>'CAPEX only'!K5</f>
        <v>376</v>
      </c>
      <c r="C4" s="6">
        <f>'OPEX only'!E5</f>
        <v>566</v>
      </c>
      <c r="D4" s="6">
        <f>'Feedstock MIX per IVC'!L8</f>
        <v>849.01953174193432</v>
      </c>
      <c r="E4" s="112">
        <f t="shared" si="0"/>
        <v>1791.0195317419343</v>
      </c>
      <c r="F4" s="301">
        <f t="shared" si="1"/>
        <v>0.20993629233864622</v>
      </c>
      <c r="G4" s="301">
        <f t="shared" si="2"/>
        <v>0.31602112091402595</v>
      </c>
      <c r="H4" s="301">
        <f t="shared" si="3"/>
        <v>0.4740425867473278</v>
      </c>
      <c r="I4">
        <f>(376+566+1961)-1844</f>
        <v>1059</v>
      </c>
      <c r="J4" s="2">
        <f t="shared" si="4"/>
        <v>732.01953174193432</v>
      </c>
    </row>
    <row r="5" spans="1:11" x14ac:dyDescent="0.35">
      <c r="A5" t="s">
        <v>132</v>
      </c>
      <c r="B5" s="104">
        <f>'CAPEX only'!K6</f>
        <v>555</v>
      </c>
      <c r="C5" s="6">
        <f>'OPEX only'!E6</f>
        <v>516</v>
      </c>
      <c r="D5" s="6">
        <f>'Feedstock MIX per IVC'!L12</f>
        <v>321.52553088673051</v>
      </c>
      <c r="E5" s="112">
        <f t="shared" si="0"/>
        <v>1392.5255308867304</v>
      </c>
      <c r="F5" s="301">
        <f t="shared" si="1"/>
        <v>0.3985564269307062</v>
      </c>
      <c r="G5" s="301">
        <f t="shared" si="2"/>
        <v>0.37054975909233223</v>
      </c>
      <c r="H5" s="301">
        <f t="shared" si="3"/>
        <v>0.23089381397696165</v>
      </c>
      <c r="I5">
        <f>(555+516+472)-1543</f>
        <v>0</v>
      </c>
      <c r="J5" s="2">
        <f t="shared" si="4"/>
        <v>1392.5255308867304</v>
      </c>
    </row>
    <row r="6" spans="1:11" s="52" customFormat="1" x14ac:dyDescent="0.35">
      <c r="A6" s="52" t="s">
        <v>133</v>
      </c>
      <c r="B6" s="90">
        <f>'CAPEX only'!K7</f>
        <v>1892</v>
      </c>
      <c r="C6" s="91">
        <v>1421</v>
      </c>
      <c r="D6" s="91">
        <f>'Feedstock MIX per IVC'!L17</f>
        <v>0</v>
      </c>
      <c r="E6" s="91">
        <f t="shared" si="0"/>
        <v>3313</v>
      </c>
      <c r="F6" s="302">
        <f t="shared" si="1"/>
        <v>0.57108361002112884</v>
      </c>
      <c r="G6" s="302">
        <f t="shared" si="2"/>
        <v>0.4289163899788711</v>
      </c>
      <c r="H6" s="302">
        <f t="shared" si="3"/>
        <v>0</v>
      </c>
      <c r="I6" s="52">
        <f>(1892+1421+1086)-3855</f>
        <v>544</v>
      </c>
      <c r="J6" s="90">
        <f t="shared" si="4"/>
        <v>2769</v>
      </c>
    </row>
    <row r="7" spans="1:11" s="45" customFormat="1" x14ac:dyDescent="0.35">
      <c r="A7" s="97">
        <v>6</v>
      </c>
      <c r="B7" s="139">
        <f>'CAPEX only'!K8</f>
        <v>0</v>
      </c>
      <c r="C7" s="46">
        <f>'OPEX only'!E8</f>
        <v>0</v>
      </c>
      <c r="D7" s="46">
        <f>'Feedstock MIX per IVC'!L22</f>
        <v>205.19148936170214</v>
      </c>
      <c r="E7" s="154">
        <f t="shared" si="0"/>
        <v>205.19148936170214</v>
      </c>
      <c r="F7" s="303">
        <f t="shared" si="1"/>
        <v>0</v>
      </c>
      <c r="G7" s="303">
        <f t="shared" si="2"/>
        <v>0</v>
      </c>
      <c r="H7" s="303">
        <f t="shared" si="3"/>
        <v>1</v>
      </c>
      <c r="J7" s="98">
        <f t="shared" si="4"/>
        <v>205.19148936170214</v>
      </c>
    </row>
    <row r="8" spans="1:11" x14ac:dyDescent="0.35">
      <c r="A8" s="50" t="s">
        <v>142</v>
      </c>
      <c r="B8" s="104">
        <f>'CAPEX only'!K10</f>
        <v>605</v>
      </c>
      <c r="C8" s="6">
        <f>'OPEX only'!E9</f>
        <v>913</v>
      </c>
      <c r="D8" s="6">
        <f>'Feedstock MIX per IVC'!L24</f>
        <v>-12.042465506432087</v>
      </c>
      <c r="E8" s="112">
        <f t="shared" si="0"/>
        <v>1505.9575344935679</v>
      </c>
      <c r="F8" s="301">
        <f t="shared" si="1"/>
        <v>0.40173775564226177</v>
      </c>
      <c r="G8" s="301">
        <f t="shared" si="2"/>
        <v>0.60625879487832235</v>
      </c>
      <c r="H8" s="301">
        <f t="shared" si="3"/>
        <v>-7.9965505205841E-3</v>
      </c>
      <c r="I8">
        <f>(965+913-525)-1354</f>
        <v>-1</v>
      </c>
      <c r="J8" s="2">
        <f t="shared" si="4"/>
        <v>1506.9575344935679</v>
      </c>
      <c r="K8" s="24" t="s">
        <v>183</v>
      </c>
    </row>
    <row r="9" spans="1:11" x14ac:dyDescent="0.35">
      <c r="A9" s="50" t="s">
        <v>143</v>
      </c>
      <c r="B9" s="104">
        <f>'CAPEX only'!K10</f>
        <v>605</v>
      </c>
      <c r="C9" s="6">
        <f>'OPEX only'!E10</f>
        <v>388</v>
      </c>
      <c r="D9" s="6">
        <f>'Feedstock MIX per IVC'!L24</f>
        <v>-12.042465506432087</v>
      </c>
      <c r="E9" s="112">
        <f t="shared" si="0"/>
        <v>980.95753449356789</v>
      </c>
      <c r="F9" s="301">
        <f t="shared" si="1"/>
        <v>0.61674433268137252</v>
      </c>
      <c r="G9" s="301">
        <f t="shared" si="2"/>
        <v>0.39553190261218601</v>
      </c>
      <c r="H9" s="301">
        <f t="shared" si="3"/>
        <v>-1.2276235293558519E-2</v>
      </c>
      <c r="I9">
        <f>(605+388+799)-1791</f>
        <v>1</v>
      </c>
      <c r="J9" s="2">
        <f t="shared" si="4"/>
        <v>979.95753449356789</v>
      </c>
    </row>
    <row r="10" spans="1:11" x14ac:dyDescent="0.35">
      <c r="A10" s="50" t="s">
        <v>182</v>
      </c>
      <c r="B10" s="104">
        <v>605</v>
      </c>
      <c r="C10" s="6">
        <f>0.1*C8+0.9*C9</f>
        <v>440.5</v>
      </c>
      <c r="D10" s="6">
        <f>D9</f>
        <v>-12.042465506432087</v>
      </c>
      <c r="E10" s="112">
        <f t="shared" si="0"/>
        <v>1033.4575344935679</v>
      </c>
      <c r="F10" s="301">
        <f t="shared" si="1"/>
        <v>0.58541350738370901</v>
      </c>
      <c r="G10" s="301">
        <f t="shared" si="2"/>
        <v>0.42623909091326251</v>
      </c>
      <c r="H10" s="301">
        <f t="shared" si="3"/>
        <v>-1.1652598296971474E-2</v>
      </c>
      <c r="I10">
        <v>0</v>
      </c>
      <c r="J10" s="2">
        <f>0.1*J8+0.9*J9</f>
        <v>1032.6575344935679</v>
      </c>
    </row>
    <row r="11" spans="1:11" x14ac:dyDescent="0.35">
      <c r="A11" s="50" t="s">
        <v>134</v>
      </c>
      <c r="B11" s="104">
        <f>'CAPEX only'!K11</f>
        <v>281</v>
      </c>
      <c r="C11" s="6">
        <f>'OPEX only'!E11</f>
        <v>186</v>
      </c>
      <c r="D11" s="6">
        <f>'Feedstock MIX per IVC'!L34</f>
        <v>122.2718550837359</v>
      </c>
      <c r="E11" s="112">
        <f t="shared" si="0"/>
        <v>589.27185508373589</v>
      </c>
      <c r="F11" s="301">
        <f t="shared" si="1"/>
        <v>0.47685969994285526</v>
      </c>
      <c r="G11" s="301">
        <f t="shared" si="2"/>
        <v>0.31564378715078678</v>
      </c>
      <c r="H11" s="301">
        <f t="shared" si="3"/>
        <v>0.20749651290635795</v>
      </c>
      <c r="I11">
        <f>(281+186+200)-668</f>
        <v>-1</v>
      </c>
      <c r="J11" s="2">
        <f>B11+C11+D11-I11</f>
        <v>590.27185508373589</v>
      </c>
    </row>
    <row r="12" spans="1:11" x14ac:dyDescent="0.35">
      <c r="A12" s="50" t="s">
        <v>135</v>
      </c>
      <c r="B12" s="104">
        <v>136</v>
      </c>
      <c r="C12" s="6">
        <v>92</v>
      </c>
      <c r="D12" s="6">
        <f>E12-B12-C12</f>
        <v>708</v>
      </c>
      <c r="E12" s="104">
        <v>936</v>
      </c>
      <c r="F12" s="301">
        <f t="shared" si="1"/>
        <v>0.14529914529914531</v>
      </c>
      <c r="G12" s="301">
        <f t="shared" si="2"/>
        <v>9.8290598290598288E-2</v>
      </c>
      <c r="H12" s="301">
        <f t="shared" si="3"/>
        <v>0.75641025641025639</v>
      </c>
      <c r="I12">
        <v>0</v>
      </c>
      <c r="J12" s="2">
        <v>936</v>
      </c>
      <c r="K12" t="s">
        <v>351</v>
      </c>
    </row>
    <row r="13" spans="1:11" x14ac:dyDescent="0.35">
      <c r="A13" s="50" t="s">
        <v>136</v>
      </c>
      <c r="B13" s="104">
        <f>'CAPEX only'!K13</f>
        <v>57</v>
      </c>
      <c r="C13" s="6">
        <f>'OPEX only'!E13</f>
        <v>29</v>
      </c>
      <c r="D13" s="6">
        <f>'Feedstock MIX per IVC'!L47</f>
        <v>291.86968567880001</v>
      </c>
      <c r="E13" s="112">
        <f t="shared" ref="E13:E23" si="5">B13+C13+D13</f>
        <v>377.86968567880001</v>
      </c>
      <c r="F13" s="301">
        <f t="shared" si="1"/>
        <v>0.15084565436257732</v>
      </c>
      <c r="G13" s="301">
        <f t="shared" si="2"/>
        <v>7.6746034675697239E-2</v>
      </c>
      <c r="H13" s="301">
        <f t="shared" si="3"/>
        <v>0.77240831096172546</v>
      </c>
      <c r="I13">
        <f>(57+29+427)-513</f>
        <v>0</v>
      </c>
      <c r="J13" s="2"/>
    </row>
    <row r="14" spans="1:11" x14ac:dyDescent="0.35">
      <c r="A14" s="50" t="s">
        <v>137</v>
      </c>
      <c r="B14" s="104">
        <f>'CAPEX only'!K14</f>
        <v>800</v>
      </c>
      <c r="C14" s="6">
        <f>'OPEX only'!E14</f>
        <v>360</v>
      </c>
      <c r="D14" s="6">
        <f>'Feedstock MIX per IVC'!L49</f>
        <v>215.94707294997968</v>
      </c>
      <c r="E14" s="112">
        <f t="shared" si="5"/>
        <v>1375.9470729499797</v>
      </c>
      <c r="F14" s="301">
        <f t="shared" si="1"/>
        <v>0.58141771273573017</v>
      </c>
      <c r="G14" s="301">
        <f t="shared" si="2"/>
        <v>0.26163797073107858</v>
      </c>
      <c r="H14" s="301">
        <f t="shared" si="3"/>
        <v>0.15694431653319132</v>
      </c>
      <c r="I14">
        <f>(800+360+446)-1606</f>
        <v>0</v>
      </c>
      <c r="J14" s="2">
        <f>B14+C14+D14-I14</f>
        <v>1375.9470729499797</v>
      </c>
    </row>
    <row r="15" spans="1:11" x14ac:dyDescent="0.35">
      <c r="A15" s="50" t="s">
        <v>138</v>
      </c>
      <c r="B15" s="104">
        <f>'CAPEX only'!K15</f>
        <v>128</v>
      </c>
      <c r="C15" s="6">
        <f>'OPEX only'!E15</f>
        <v>151</v>
      </c>
      <c r="D15" s="6">
        <f>'Feedstock MIX per IVC'!L60</f>
        <v>1696.5649183147032</v>
      </c>
      <c r="E15" s="112">
        <f t="shared" si="5"/>
        <v>1975.5649183147032</v>
      </c>
      <c r="F15" s="301">
        <f t="shared" si="1"/>
        <v>6.4791593945286829E-2</v>
      </c>
      <c r="G15" s="301">
        <f t="shared" si="2"/>
        <v>7.6433833482330557E-2</v>
      </c>
      <c r="H15" s="301">
        <f t="shared" si="3"/>
        <v>0.85877457257238266</v>
      </c>
      <c r="I15">
        <f>(128+151+976)-1255</f>
        <v>0</v>
      </c>
      <c r="J15" s="2">
        <f>B15+C15+D15-I15</f>
        <v>1975.5649183147032</v>
      </c>
      <c r="K15" s="24" t="s">
        <v>184</v>
      </c>
    </row>
    <row r="16" spans="1:11" x14ac:dyDescent="0.35">
      <c r="A16" s="50" t="s">
        <v>348</v>
      </c>
      <c r="B16" s="104">
        <f>B17</f>
        <v>1445</v>
      </c>
      <c r="C16" s="6">
        <f>C17</f>
        <v>955</v>
      </c>
      <c r="D16" s="6">
        <f>'Feedstock MIX per IVC'!L62</f>
        <v>299.99380141266732</v>
      </c>
      <c r="E16" s="112">
        <f t="shared" si="5"/>
        <v>2699.9938014126674</v>
      </c>
      <c r="F16" s="301">
        <f>B16/E16</f>
        <v>0.53518641385175014</v>
      </c>
      <c r="G16" s="301">
        <f t="shared" si="2"/>
        <v>0.35370451572901135</v>
      </c>
      <c r="H16" s="301">
        <f t="shared" si="3"/>
        <v>0.11110907041923843</v>
      </c>
      <c r="J16" s="2"/>
    </row>
    <row r="17" spans="1:10" x14ac:dyDescent="0.35">
      <c r="A17" s="50" t="s">
        <v>349</v>
      </c>
      <c r="B17" s="104">
        <f>'CAPEX only'!K16</f>
        <v>1445</v>
      </c>
      <c r="C17" s="6">
        <f>'OPEX only'!E16</f>
        <v>955</v>
      </c>
      <c r="D17" s="6">
        <f>'Feedstock MIX per IVC'!L73</f>
        <v>572.97561190753925</v>
      </c>
      <c r="E17" s="112">
        <f t="shared" si="5"/>
        <v>2972.9756119075391</v>
      </c>
      <c r="F17" s="301">
        <f t="shared" si="1"/>
        <v>0.48604502311165954</v>
      </c>
      <c r="G17" s="301">
        <f t="shared" si="2"/>
        <v>0.32122698759282686</v>
      </c>
      <c r="H17" s="301">
        <f t="shared" si="3"/>
        <v>0.19272798929551363</v>
      </c>
      <c r="I17">
        <f>(1445+955+1329)-1922</f>
        <v>1807</v>
      </c>
      <c r="J17" s="2">
        <f>B17+C17+D17-I17</f>
        <v>1165.9756119075391</v>
      </c>
    </row>
    <row r="18" spans="1:10" x14ac:dyDescent="0.35">
      <c r="A18" s="50" t="s">
        <v>170</v>
      </c>
      <c r="B18" s="104">
        <f>'CAPEX only'!K17</f>
        <v>278</v>
      </c>
      <c r="C18" s="6">
        <f>'OPEX only'!E17</f>
        <v>393</v>
      </c>
      <c r="D18" s="6">
        <f>'Feedstock MIX per IVC'!L84</f>
        <v>317.03814186666671</v>
      </c>
      <c r="E18" s="112">
        <f t="shared" si="5"/>
        <v>988.03814186666671</v>
      </c>
      <c r="F18" s="301">
        <f t="shared" si="1"/>
        <v>0.28136565606139868</v>
      </c>
      <c r="G18" s="301">
        <f t="shared" si="2"/>
        <v>0.3977579238565816</v>
      </c>
      <c r="H18" s="301">
        <f t="shared" si="3"/>
        <v>0.32087642008201966</v>
      </c>
      <c r="I18">
        <f>(278+393+463)-1134</f>
        <v>0</v>
      </c>
      <c r="J18" s="2">
        <f>B18+C18+D18-I18</f>
        <v>988.03814186666671</v>
      </c>
    </row>
    <row r="19" spans="1:10" x14ac:dyDescent="0.35">
      <c r="A19" s="50" t="s">
        <v>169</v>
      </c>
      <c r="B19" s="104">
        <f>'CAPEX only'!K18</f>
        <v>1257</v>
      </c>
      <c r="C19">
        <v>904</v>
      </c>
      <c r="D19" s="6">
        <f>'Feedstock MIX per IVC'!L86</f>
        <v>340.75466666666671</v>
      </c>
      <c r="E19" s="112">
        <f t="shared" si="5"/>
        <v>2501.7546666666667</v>
      </c>
      <c r="F19" s="301">
        <f t="shared" si="1"/>
        <v>0.50244734895401411</v>
      </c>
      <c r="G19" s="301">
        <f t="shared" si="2"/>
        <v>0.36134638301863864</v>
      </c>
      <c r="H19" s="301">
        <f t="shared" si="3"/>
        <v>0.13620626802734723</v>
      </c>
      <c r="I19" s="2">
        <f>(1257+904+1064)-2681</f>
        <v>544</v>
      </c>
      <c r="J19" s="2">
        <f>B19+C18+D19-I19</f>
        <v>1446.7546666666667</v>
      </c>
    </row>
    <row r="20" spans="1:10" x14ac:dyDescent="0.35">
      <c r="A20" s="50" t="s">
        <v>230</v>
      </c>
      <c r="B20" s="104">
        <f>'CAPEX only'!K$19</f>
        <v>805</v>
      </c>
      <c r="C20" s="6">
        <f>'OPEX only'!E$19</f>
        <v>582</v>
      </c>
      <c r="D20" s="6">
        <f>'Feedstock MIX per IVC'!L88</f>
        <v>213.31941758296242</v>
      </c>
      <c r="E20" s="112">
        <f t="shared" si="5"/>
        <v>1600.3194175829624</v>
      </c>
      <c r="F20" s="301">
        <f t="shared" si="1"/>
        <v>0.50302457819066482</v>
      </c>
      <c r="G20" s="301">
        <f t="shared" si="2"/>
        <v>0.3636773969030645</v>
      </c>
      <c r="H20" s="301">
        <f t="shared" si="3"/>
        <v>0.13329802490627074</v>
      </c>
      <c r="I20">
        <f>(805+582+711)-1283</f>
        <v>815</v>
      </c>
      <c r="J20" s="2">
        <f>B20+C20+D20-I20</f>
        <v>785.31941758296239</v>
      </c>
    </row>
    <row r="21" spans="1:10" x14ac:dyDescent="0.35">
      <c r="A21" s="50" t="s">
        <v>235</v>
      </c>
      <c r="B21" s="104">
        <f>'CAPEX only'!K$19</f>
        <v>805</v>
      </c>
      <c r="C21" s="6">
        <f>'OPEX only'!E$19</f>
        <v>582</v>
      </c>
      <c r="D21" s="6">
        <f>'Feedstock MIX per IVC'!L97</f>
        <v>677.28983637011117</v>
      </c>
      <c r="E21" s="112">
        <f t="shared" si="5"/>
        <v>2064.2898363701111</v>
      </c>
      <c r="F21" s="301">
        <f t="shared" si="1"/>
        <v>0.38996461922010345</v>
      </c>
      <c r="G21" s="301">
        <f t="shared" si="2"/>
        <v>0.28193715327465863</v>
      </c>
      <c r="H21" s="301">
        <f t="shared" si="3"/>
        <v>0.32809822750523798</v>
      </c>
      <c r="J21" s="2"/>
    </row>
    <row r="22" spans="1:10" x14ac:dyDescent="0.35">
      <c r="A22" s="50" t="s">
        <v>233</v>
      </c>
      <c r="B22" s="104">
        <f>'CAPEX only'!K$20</f>
        <v>685</v>
      </c>
      <c r="C22" s="6">
        <f>'OPEX only'!E$20</f>
        <v>843.5</v>
      </c>
      <c r="D22" s="6">
        <f>'Feedstock MIX per IVC'!L106</f>
        <v>213.72540149269201</v>
      </c>
      <c r="E22" s="112">
        <f>B22+C22+D22</f>
        <v>1742.2254014926921</v>
      </c>
      <c r="F22" s="301">
        <f>B22/E22</f>
        <v>0.39317530292757202</v>
      </c>
      <c r="G22" s="301">
        <f t="shared" si="2"/>
        <v>0.48415090221811241</v>
      </c>
      <c r="H22" s="301">
        <f>D22/E22</f>
        <v>0.12267379485431552</v>
      </c>
      <c r="J22" s="2">
        <f>B22+C22+D22-I22</f>
        <v>1742.2254014926921</v>
      </c>
    </row>
    <row r="23" spans="1:10" x14ac:dyDescent="0.35">
      <c r="A23" s="50" t="s">
        <v>236</v>
      </c>
      <c r="B23" s="104">
        <f>'CAPEX only'!K$20</f>
        <v>685</v>
      </c>
      <c r="C23" s="6">
        <f>'OPEX only'!E$20</f>
        <v>843.5</v>
      </c>
      <c r="D23" s="6">
        <f>'Feedstock MIX per IVC'!L115</f>
        <v>641.08634488064467</v>
      </c>
      <c r="E23" s="112">
        <f t="shared" si="5"/>
        <v>2169.5863448806449</v>
      </c>
      <c r="F23" s="301">
        <f t="shared" si="1"/>
        <v>0.3157283883244959</v>
      </c>
      <c r="G23" s="301">
        <f t="shared" si="2"/>
        <v>0.38878378912658734</v>
      </c>
      <c r="H23" s="301">
        <f t="shared" si="3"/>
        <v>0.29548782254891665</v>
      </c>
    </row>
    <row r="24" spans="1:10" x14ac:dyDescent="0.35">
      <c r="A24" s="50"/>
    </row>
  </sheetData>
  <pageMargins left="0.7" right="0.7" top="0.78740157499999996" bottom="0.78740157499999996"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6278-FBF3-4598-B3F2-AAE5FA80C044}">
  <dimension ref="A1:K24"/>
  <sheetViews>
    <sheetView workbookViewId="0">
      <selection activeCell="D23" sqref="D23"/>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1" s="51" customFormat="1" ht="21" customHeight="1" x14ac:dyDescent="0.35">
      <c r="A1" s="51" t="s">
        <v>128</v>
      </c>
      <c r="B1" s="51" t="s">
        <v>193</v>
      </c>
      <c r="C1" s="51" t="s">
        <v>194</v>
      </c>
      <c r="D1" s="51" t="s">
        <v>200</v>
      </c>
      <c r="E1" s="51" t="s">
        <v>199</v>
      </c>
      <c r="F1" s="51" t="s">
        <v>201</v>
      </c>
      <c r="G1" s="51" t="s">
        <v>196</v>
      </c>
      <c r="H1" s="51" t="s">
        <v>197</v>
      </c>
      <c r="I1" s="51" t="s">
        <v>145</v>
      </c>
      <c r="J1" s="51" t="s">
        <v>167</v>
      </c>
    </row>
    <row r="2" spans="1:11" s="52" customFormat="1" x14ac:dyDescent="0.35">
      <c r="A2" s="89">
        <v>1</v>
      </c>
      <c r="B2" s="104">
        <f>'CAPEX only'!K3</f>
        <v>83</v>
      </c>
      <c r="C2" s="91">
        <f>'OPEX only'!E3</f>
        <v>267</v>
      </c>
      <c r="D2" s="91">
        <f>'Feedstock MIX per IVC'!P4</f>
        <v>0</v>
      </c>
      <c r="E2" s="112">
        <f t="shared" ref="E2:E11" si="0">B2+C2+D2</f>
        <v>350</v>
      </c>
      <c r="F2" s="114">
        <f t="shared" ref="F2:F23" si="1">B2/E2</f>
        <v>0.23714285714285716</v>
      </c>
      <c r="G2" s="114">
        <f t="shared" ref="G2:G23" si="2">C2/E2</f>
        <v>0.7628571428571429</v>
      </c>
      <c r="H2" s="114">
        <f t="shared" ref="H2:H23" si="3">D2/E2</f>
        <v>0</v>
      </c>
      <c r="I2" s="52">
        <f>(83+267+903)-1226</f>
        <v>27</v>
      </c>
      <c r="J2" s="90">
        <f t="shared" ref="J2:J9" si="4">B2+C2+D2-I2</f>
        <v>323</v>
      </c>
      <c r="K2" s="53"/>
    </row>
    <row r="3" spans="1:11" x14ac:dyDescent="0.35">
      <c r="A3" t="s">
        <v>131</v>
      </c>
      <c r="B3" s="104">
        <f>'CAPEX only'!K4</f>
        <v>269</v>
      </c>
      <c r="C3" s="6">
        <f>'OPEX only'!E4</f>
        <v>405</v>
      </c>
      <c r="D3" s="6">
        <f>'Feedstock MIX per IVC'!P5</f>
        <v>619.22010854237158</v>
      </c>
      <c r="E3" s="112">
        <f t="shared" si="0"/>
        <v>1293.2201085423717</v>
      </c>
      <c r="F3" s="114">
        <f t="shared" si="1"/>
        <v>0.20800790076114592</v>
      </c>
      <c r="G3" s="114">
        <f t="shared" si="2"/>
        <v>0.31317174649912305</v>
      </c>
      <c r="H3" s="114">
        <f t="shared" si="3"/>
        <v>0.47882035273973095</v>
      </c>
      <c r="I3">
        <f>(269+405+1342)-1218</f>
        <v>798</v>
      </c>
      <c r="J3" s="2">
        <f t="shared" si="4"/>
        <v>495.22010854237169</v>
      </c>
    </row>
    <row r="4" spans="1:11" x14ac:dyDescent="0.35">
      <c r="A4" t="s">
        <v>130</v>
      </c>
      <c r="B4" s="104">
        <f>'CAPEX only'!K5</f>
        <v>376</v>
      </c>
      <c r="C4" s="6">
        <f>'OPEX only'!E5</f>
        <v>566</v>
      </c>
      <c r="D4" s="6">
        <f>'Feedstock MIX per IVC'!P8</f>
        <v>828.74466415495021</v>
      </c>
      <c r="E4" s="112">
        <f t="shared" si="0"/>
        <v>1770.7446641549502</v>
      </c>
      <c r="F4" s="114">
        <f t="shared" si="1"/>
        <v>0.21234004405679682</v>
      </c>
      <c r="G4" s="114">
        <f t="shared" si="2"/>
        <v>0.31963953440464626</v>
      </c>
      <c r="H4" s="114">
        <f t="shared" si="3"/>
        <v>0.46802042153855694</v>
      </c>
      <c r="I4">
        <f>(376+566+1961)-1844</f>
        <v>1059</v>
      </c>
      <c r="J4" s="2">
        <f t="shared" si="4"/>
        <v>711.74466415495021</v>
      </c>
    </row>
    <row r="5" spans="1:11" x14ac:dyDescent="0.35">
      <c r="A5" t="s">
        <v>132</v>
      </c>
      <c r="B5" s="104">
        <f>'CAPEX only'!K6</f>
        <v>555</v>
      </c>
      <c r="C5" s="6">
        <f>'OPEX only'!E6</f>
        <v>516</v>
      </c>
      <c r="D5" s="6">
        <f>'Feedstock MIX per IVC'!P12</f>
        <v>328.62582144642613</v>
      </c>
      <c r="E5" s="112">
        <f t="shared" si="0"/>
        <v>1399.625821446426</v>
      </c>
      <c r="F5" s="114">
        <f t="shared" si="1"/>
        <v>0.3965345533754458</v>
      </c>
      <c r="G5" s="114">
        <f t="shared" si="2"/>
        <v>0.36866996313825234</v>
      </c>
      <c r="H5" s="114">
        <f t="shared" si="3"/>
        <v>0.23479548348630194</v>
      </c>
      <c r="I5">
        <f>(555+516+472)-1543</f>
        <v>0</v>
      </c>
      <c r="J5" s="2">
        <f t="shared" si="4"/>
        <v>1399.625821446426</v>
      </c>
    </row>
    <row r="6" spans="1:11" s="52" customFormat="1" x14ac:dyDescent="0.35">
      <c r="A6" s="52" t="s">
        <v>133</v>
      </c>
      <c r="B6" s="90">
        <f>'CAPEX only'!K7</f>
        <v>1892</v>
      </c>
      <c r="C6" s="91">
        <v>1421</v>
      </c>
      <c r="D6" s="6">
        <f>'Feedstock MIX per IVC'!P17</f>
        <v>0</v>
      </c>
      <c r="E6" s="91">
        <f t="shared" si="0"/>
        <v>3313</v>
      </c>
      <c r="F6" s="130">
        <f t="shared" si="1"/>
        <v>0.57108361002112884</v>
      </c>
      <c r="G6" s="130">
        <f t="shared" si="2"/>
        <v>0.4289163899788711</v>
      </c>
      <c r="H6" s="130">
        <f t="shared" si="3"/>
        <v>0</v>
      </c>
      <c r="I6" s="52">
        <f>(1892+1421+1086)-3855</f>
        <v>544</v>
      </c>
      <c r="J6" s="90">
        <f t="shared" si="4"/>
        <v>2769</v>
      </c>
    </row>
    <row r="7" spans="1:11" s="45" customFormat="1" x14ac:dyDescent="0.35">
      <c r="A7" s="97">
        <v>6</v>
      </c>
      <c r="B7" s="139">
        <f>'CAPEX only'!K8</f>
        <v>0</v>
      </c>
      <c r="C7" s="46">
        <f>'OPEX only'!E8</f>
        <v>0</v>
      </c>
      <c r="D7" s="46">
        <f>'Feedstock MIX per IVC'!P22</f>
        <v>0</v>
      </c>
      <c r="E7" s="154">
        <f t="shared" si="0"/>
        <v>0</v>
      </c>
      <c r="F7" s="167" t="e">
        <f t="shared" si="1"/>
        <v>#DIV/0!</v>
      </c>
      <c r="G7" s="167" t="e">
        <f t="shared" si="2"/>
        <v>#DIV/0!</v>
      </c>
      <c r="H7" s="167" t="e">
        <f t="shared" si="3"/>
        <v>#DIV/0!</v>
      </c>
      <c r="J7" s="98">
        <f t="shared" si="4"/>
        <v>0</v>
      </c>
    </row>
    <row r="8" spans="1:11" x14ac:dyDescent="0.35">
      <c r="A8" s="50" t="s">
        <v>142</v>
      </c>
      <c r="B8" s="104">
        <f>'CAPEX only'!K10</f>
        <v>605</v>
      </c>
      <c r="C8" s="6">
        <f>'OPEX only'!E9</f>
        <v>913</v>
      </c>
      <c r="D8" s="6">
        <f>'Feedstock MIX per IVC'!P24</f>
        <v>-3.0033994354236828</v>
      </c>
      <c r="E8" s="112">
        <f t="shared" si="0"/>
        <v>1514.9966005645763</v>
      </c>
      <c r="F8" s="114">
        <f t="shared" si="1"/>
        <v>0.39934083005502563</v>
      </c>
      <c r="G8" s="114">
        <f t="shared" si="2"/>
        <v>0.60264161626485691</v>
      </c>
      <c r="H8" s="114">
        <f t="shared" si="3"/>
        <v>-1.9824463198824609E-3</v>
      </c>
      <c r="I8">
        <f>(965+913-525)-1354</f>
        <v>-1</v>
      </c>
      <c r="J8" s="2">
        <f t="shared" si="4"/>
        <v>1515.9966005645763</v>
      </c>
      <c r="K8" s="24" t="s">
        <v>183</v>
      </c>
    </row>
    <row r="9" spans="1:11" x14ac:dyDescent="0.35">
      <c r="A9" s="50" t="s">
        <v>143</v>
      </c>
      <c r="B9" s="104">
        <f>'CAPEX only'!K10</f>
        <v>605</v>
      </c>
      <c r="C9" s="6">
        <f>'OPEX only'!E10</f>
        <v>388</v>
      </c>
      <c r="D9" s="6">
        <f>'Feedstock MIX per IVC'!P24</f>
        <v>-3.0033994354236828</v>
      </c>
      <c r="E9" s="112">
        <f t="shared" si="0"/>
        <v>989.99660056457628</v>
      </c>
      <c r="F9" s="114">
        <f t="shared" si="1"/>
        <v>0.61111320953524484</v>
      </c>
      <c r="G9" s="114">
        <f t="shared" si="2"/>
        <v>0.39192053768541324</v>
      </c>
      <c r="H9" s="114">
        <f t="shared" si="3"/>
        <v>-3.0337472206580316E-3</v>
      </c>
      <c r="I9">
        <f>(605+388+799)-1791</f>
        <v>1</v>
      </c>
      <c r="J9" s="2">
        <f t="shared" si="4"/>
        <v>988.99660056457628</v>
      </c>
    </row>
    <row r="10" spans="1:11" x14ac:dyDescent="0.35">
      <c r="A10" s="50" t="s">
        <v>182</v>
      </c>
      <c r="B10" s="104">
        <v>605</v>
      </c>
      <c r="C10" s="6">
        <f>0.1*C8+0.9*C9</f>
        <v>440.5</v>
      </c>
      <c r="D10" s="6">
        <f>D9</f>
        <v>-3.0033994354236828</v>
      </c>
      <c r="E10" s="112">
        <f t="shared" si="0"/>
        <v>1042.4966005645763</v>
      </c>
      <c r="F10" s="114">
        <f t="shared" si="1"/>
        <v>0.58033762380841836</v>
      </c>
      <c r="G10" s="114">
        <f t="shared" si="2"/>
        <v>0.42254334427703844</v>
      </c>
      <c r="H10" s="114">
        <f t="shared" si="3"/>
        <v>-2.8809680854567357E-3</v>
      </c>
      <c r="I10">
        <v>0</v>
      </c>
      <c r="J10" s="2">
        <f>0.1*J8+0.9*J9</f>
        <v>1041.6966005645763</v>
      </c>
    </row>
    <row r="11" spans="1:11" x14ac:dyDescent="0.35">
      <c r="A11" s="50" t="s">
        <v>134</v>
      </c>
      <c r="B11" s="104">
        <f>'CAPEX only'!K11</f>
        <v>281</v>
      </c>
      <c r="C11" s="6">
        <f>'OPEX only'!E11</f>
        <v>186</v>
      </c>
      <c r="D11" s="6">
        <f>'Feedstock MIX per IVC'!P34</f>
        <v>125.34637859829898</v>
      </c>
      <c r="E11" s="112">
        <f t="shared" si="0"/>
        <v>592.346378598299</v>
      </c>
      <c r="F11" s="114">
        <f t="shared" si="1"/>
        <v>0.47438460021473478</v>
      </c>
      <c r="G11" s="114">
        <f t="shared" si="2"/>
        <v>0.31400546491082088</v>
      </c>
      <c r="H11" s="114">
        <f t="shared" si="3"/>
        <v>0.21160993487444432</v>
      </c>
      <c r="I11">
        <f>(281+186+200)-668</f>
        <v>-1</v>
      </c>
      <c r="J11" s="2">
        <f>B11+C11+D11-I11</f>
        <v>593.346378598299</v>
      </c>
    </row>
    <row r="12" spans="1:11" x14ac:dyDescent="0.35">
      <c r="A12" s="50" t="s">
        <v>135</v>
      </c>
      <c r="B12" s="104">
        <v>136</v>
      </c>
      <c r="C12" s="6">
        <v>92</v>
      </c>
      <c r="D12" s="6">
        <f>E12-B12-C12</f>
        <v>708</v>
      </c>
      <c r="E12" s="104">
        <v>936</v>
      </c>
      <c r="F12" s="114">
        <f t="shared" si="1"/>
        <v>0.14529914529914531</v>
      </c>
      <c r="G12" s="114">
        <f t="shared" si="2"/>
        <v>9.8290598290598288E-2</v>
      </c>
      <c r="H12" s="114">
        <f t="shared" si="3"/>
        <v>0.75641025641025639</v>
      </c>
      <c r="I12">
        <v>0</v>
      </c>
      <c r="J12" s="2">
        <v>936</v>
      </c>
      <c r="K12" t="s">
        <v>351</v>
      </c>
    </row>
    <row r="13" spans="1:11" x14ac:dyDescent="0.35">
      <c r="A13" s="50" t="s">
        <v>136</v>
      </c>
      <c r="B13" s="104">
        <f>'CAPEX only'!K13</f>
        <v>57</v>
      </c>
      <c r="C13" s="6">
        <f>'OPEX only'!E13</f>
        <v>29</v>
      </c>
      <c r="D13" s="6">
        <f>'Feedstock MIX per IVC'!P47</f>
        <v>96.44</v>
      </c>
      <c r="E13" s="112">
        <f t="shared" ref="E13:E23" si="5">B13+C13+D13</f>
        <v>182.44</v>
      </c>
      <c r="F13" s="114">
        <f t="shared" si="1"/>
        <v>0.31243148432361323</v>
      </c>
      <c r="G13" s="114">
        <f t="shared" si="2"/>
        <v>0.1589563692172769</v>
      </c>
      <c r="H13" s="114">
        <f t="shared" si="3"/>
        <v>0.52861214645910981</v>
      </c>
      <c r="I13">
        <f>(57+29+427)-513</f>
        <v>0</v>
      </c>
      <c r="J13" s="2"/>
    </row>
    <row r="14" spans="1:11" x14ac:dyDescent="0.35">
      <c r="A14" s="50" t="s">
        <v>137</v>
      </c>
      <c r="B14" s="104">
        <f>'CAPEX only'!K14</f>
        <v>800</v>
      </c>
      <c r="C14" s="6">
        <f>'OPEX only'!E14</f>
        <v>360</v>
      </c>
      <c r="D14" s="6">
        <f>'Feedstock MIX per IVC'!P49</f>
        <v>222.41423140746303</v>
      </c>
      <c r="E14" s="112">
        <f t="shared" si="5"/>
        <v>1382.4142314074629</v>
      </c>
      <c r="F14" s="114">
        <f t="shared" si="1"/>
        <v>0.5786977461780789</v>
      </c>
      <c r="G14" s="114">
        <f t="shared" si="2"/>
        <v>0.26041398578013553</v>
      </c>
      <c r="H14" s="114">
        <f t="shared" si="3"/>
        <v>0.16088826804178569</v>
      </c>
      <c r="I14">
        <f>(800+360+446)-1606</f>
        <v>0</v>
      </c>
      <c r="J14" s="2">
        <f>B14+C14+D14-I14</f>
        <v>1382.4142314074629</v>
      </c>
    </row>
    <row r="15" spans="1:11" x14ac:dyDescent="0.35">
      <c r="A15" s="50" t="s">
        <v>138</v>
      </c>
      <c r="B15" s="104">
        <f>'CAPEX only'!K15</f>
        <v>128</v>
      </c>
      <c r="C15" s="6">
        <f>'OPEX only'!E15</f>
        <v>151</v>
      </c>
      <c r="D15" s="6">
        <f>'Feedstock MIX per IVC'!P60</f>
        <v>115.26362854686155</v>
      </c>
      <c r="E15" s="112">
        <f t="shared" si="5"/>
        <v>394.26362854686158</v>
      </c>
      <c r="F15" s="114">
        <f t="shared" si="1"/>
        <v>0.32465586661333662</v>
      </c>
      <c r="G15" s="114">
        <f t="shared" si="2"/>
        <v>0.38299246764542055</v>
      </c>
      <c r="H15" s="114">
        <f t="shared" si="3"/>
        <v>0.29235166574124272</v>
      </c>
      <c r="I15">
        <f>(128+151+976)-1255</f>
        <v>0</v>
      </c>
      <c r="J15" s="2">
        <f>B15+C15+D15-I15</f>
        <v>394.26362854686158</v>
      </c>
      <c r="K15" s="24" t="s">
        <v>184</v>
      </c>
    </row>
    <row r="16" spans="1:11" x14ac:dyDescent="0.35">
      <c r="A16" s="50" t="s">
        <v>348</v>
      </c>
      <c r="B16" s="104">
        <f>B17</f>
        <v>1445</v>
      </c>
      <c r="C16" s="6">
        <f>C17</f>
        <v>955</v>
      </c>
      <c r="D16" s="6">
        <f>'Feedstock MIX per IVC'!P62</f>
        <v>307.41458453014508</v>
      </c>
      <c r="E16" s="112">
        <f t="shared" si="5"/>
        <v>2707.414584530145</v>
      </c>
      <c r="F16" s="114">
        <f t="shared" si="1"/>
        <v>0.53371951538436835</v>
      </c>
      <c r="G16" s="114">
        <f t="shared" si="2"/>
        <v>0.35273504303949604</v>
      </c>
      <c r="H16" s="114">
        <f t="shared" si="3"/>
        <v>0.11354544157613562</v>
      </c>
      <c r="J16" s="2"/>
    </row>
    <row r="17" spans="1:10" x14ac:dyDescent="0.35">
      <c r="A17" s="50" t="s">
        <v>349</v>
      </c>
      <c r="B17" s="104">
        <f>'CAPEX only'!K16</f>
        <v>1445</v>
      </c>
      <c r="C17" s="6">
        <f>'OPEX only'!E16</f>
        <v>955</v>
      </c>
      <c r="D17" s="6">
        <f>'Feedstock MIX per IVC'!P73</f>
        <v>578.93398243687375</v>
      </c>
      <c r="E17" s="112">
        <f t="shared" si="5"/>
        <v>2978.9339824368735</v>
      </c>
      <c r="F17" s="114">
        <f t="shared" si="1"/>
        <v>0.48507285106665532</v>
      </c>
      <c r="G17" s="114">
        <f t="shared" si="2"/>
        <v>0.32058447942467533</v>
      </c>
      <c r="H17" s="114">
        <f t="shared" si="3"/>
        <v>0.19434266950866941</v>
      </c>
      <c r="I17">
        <f>(1445+955+1329)-1922</f>
        <v>1807</v>
      </c>
      <c r="J17" s="2">
        <f>B17+C17+D17-I17</f>
        <v>1171.9339824368735</v>
      </c>
    </row>
    <row r="18" spans="1:10" x14ac:dyDescent="0.35">
      <c r="A18" s="50" t="s">
        <v>170</v>
      </c>
      <c r="B18" s="104">
        <f>'CAPEX only'!K17</f>
        <v>278</v>
      </c>
      <c r="C18" s="6">
        <f>'OPEX only'!E17</f>
        <v>393</v>
      </c>
      <c r="D18" s="6">
        <f>'Feedstock MIX per IVC'!P84</f>
        <v>317.03814186666671</v>
      </c>
      <c r="E18" s="112">
        <f t="shared" si="5"/>
        <v>988.03814186666671</v>
      </c>
      <c r="F18" s="114">
        <f t="shared" si="1"/>
        <v>0.28136565606139868</v>
      </c>
      <c r="G18" s="114">
        <f t="shared" si="2"/>
        <v>0.3977579238565816</v>
      </c>
      <c r="H18" s="114">
        <f t="shared" si="3"/>
        <v>0.32087642008201966</v>
      </c>
      <c r="I18">
        <f>(278+393+463)-1134</f>
        <v>0</v>
      </c>
      <c r="J18" s="2">
        <f>B18+C18+D18-I18</f>
        <v>988.03814186666671</v>
      </c>
    </row>
    <row r="19" spans="1:10" x14ac:dyDescent="0.35">
      <c r="A19" s="50" t="s">
        <v>169</v>
      </c>
      <c r="B19" s="104">
        <f>'CAPEX only'!K18</f>
        <v>1257</v>
      </c>
      <c r="C19">
        <v>904</v>
      </c>
      <c r="D19" s="6">
        <f>'Feedstock MIX per IVC'!P86</f>
        <v>340.75466666666671</v>
      </c>
      <c r="E19" s="112">
        <f t="shared" si="5"/>
        <v>2501.7546666666667</v>
      </c>
      <c r="F19" s="114">
        <f t="shared" si="1"/>
        <v>0.50244734895401411</v>
      </c>
      <c r="G19" s="114">
        <f t="shared" si="2"/>
        <v>0.36134638301863864</v>
      </c>
      <c r="H19" s="114">
        <f t="shared" si="3"/>
        <v>0.13620626802734723</v>
      </c>
      <c r="I19" s="2">
        <f>(1257+904+1064)-2681</f>
        <v>544</v>
      </c>
      <c r="J19" s="2">
        <f>B19+C18+D19-I19</f>
        <v>1446.7546666666667</v>
      </c>
    </row>
    <row r="20" spans="1:10" x14ac:dyDescent="0.35">
      <c r="A20" s="50" t="s">
        <v>230</v>
      </c>
      <c r="B20" s="104">
        <f>'CAPEX only'!K$19</f>
        <v>805</v>
      </c>
      <c r="C20" s="6">
        <f>'OPEX only'!E$19</f>
        <v>582</v>
      </c>
      <c r="D20" s="6">
        <f>'Feedstock MIX per IVC'!P88</f>
        <v>215.50437476901448</v>
      </c>
      <c r="E20" s="112">
        <f t="shared" si="5"/>
        <v>1602.5043747690145</v>
      </c>
      <c r="F20" s="114">
        <f t="shared" si="1"/>
        <v>0.50233872223658238</v>
      </c>
      <c r="G20" s="114">
        <f t="shared" si="2"/>
        <v>0.36318153582818746</v>
      </c>
      <c r="H20" s="114">
        <f t="shared" si="3"/>
        <v>0.13447974193523018</v>
      </c>
      <c r="I20">
        <f>(805+582+711)-1283</f>
        <v>815</v>
      </c>
      <c r="J20" s="2">
        <f>B20+C20+D20-I20</f>
        <v>787.50437476901448</v>
      </c>
    </row>
    <row r="21" spans="1:10" x14ac:dyDescent="0.35">
      <c r="A21" s="50" t="s">
        <v>235</v>
      </c>
      <c r="B21" s="104">
        <f>'CAPEX only'!K$19</f>
        <v>805</v>
      </c>
      <c r="C21" s="6">
        <f>'OPEX only'!E$19</f>
        <v>582</v>
      </c>
      <c r="D21" s="6">
        <f>'Feedstock MIX per IVC'!P97</f>
        <v>688.43620256920053</v>
      </c>
      <c r="E21" s="112">
        <f t="shared" si="5"/>
        <v>2075.4362025692008</v>
      </c>
      <c r="F21" s="114">
        <f t="shared" si="1"/>
        <v>0.38787026987554879</v>
      </c>
      <c r="G21" s="114">
        <f t="shared" si="2"/>
        <v>0.28042297772368868</v>
      </c>
      <c r="H21" s="114">
        <f t="shared" si="3"/>
        <v>0.33170675240076247</v>
      </c>
      <c r="J21" s="2"/>
    </row>
    <row r="22" spans="1:10" x14ac:dyDescent="0.35">
      <c r="A22" s="50" t="s">
        <v>233</v>
      </c>
      <c r="B22" s="104">
        <f>'CAPEX only'!K$20</f>
        <v>685</v>
      </c>
      <c r="C22" s="6">
        <f>'OPEX only'!E$20</f>
        <v>843.5</v>
      </c>
      <c r="D22" s="6">
        <f>'Feedstock MIX per IVC'!P106</f>
        <v>215.50437476901448</v>
      </c>
      <c r="E22" s="112">
        <f t="shared" si="5"/>
        <v>1744.0043747690145</v>
      </c>
      <c r="F22" s="114">
        <f t="shared" si="1"/>
        <v>0.39277424409599038</v>
      </c>
      <c r="G22" s="114">
        <f t="shared" si="2"/>
        <v>0.4836570436422889</v>
      </c>
      <c r="H22" s="114">
        <f t="shared" si="3"/>
        <v>0.12356871226172071</v>
      </c>
      <c r="J22" s="2">
        <f>B22+C22+D22-I22</f>
        <v>1744.0043747690145</v>
      </c>
    </row>
    <row r="23" spans="1:10" x14ac:dyDescent="0.35">
      <c r="A23" s="50" t="s">
        <v>236</v>
      </c>
      <c r="B23" s="104">
        <f>'CAPEX only'!K$20</f>
        <v>685</v>
      </c>
      <c r="C23" s="6">
        <f>'OPEX only'!E$20</f>
        <v>843.5</v>
      </c>
      <c r="D23" s="6">
        <f>'Feedstock MIX per IVC'!P115</f>
        <v>650.10100799458155</v>
      </c>
      <c r="E23" s="112">
        <f t="shared" si="5"/>
        <v>2178.6010079945818</v>
      </c>
      <c r="F23" s="114">
        <f t="shared" si="1"/>
        <v>0.31442196046285115</v>
      </c>
      <c r="G23" s="114">
        <f t="shared" si="2"/>
        <v>0.38717507102250354</v>
      </c>
      <c r="H23" s="114">
        <f t="shared" si="3"/>
        <v>0.29840296851464521</v>
      </c>
    </row>
    <row r="24" spans="1:10" x14ac:dyDescent="0.35">
      <c r="A24" s="50"/>
    </row>
  </sheetData>
  <pageMargins left="0.7" right="0.7" top="0.78740157499999996" bottom="0.78740157499999996"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30D81-7EA6-49B0-A148-1676CCC6EC76}">
  <dimension ref="A1:J57"/>
  <sheetViews>
    <sheetView workbookViewId="0">
      <pane ySplit="1" topLeftCell="A2" activePane="bottomLeft" state="frozen"/>
      <selection pane="bottomLeft" activeCell="I23" sqref="I23"/>
    </sheetView>
  </sheetViews>
  <sheetFormatPr baseColWidth="10" defaultRowHeight="14.5" x14ac:dyDescent="0.35"/>
  <cols>
    <col min="1" max="1" width="31.81640625" customWidth="1"/>
    <col min="2" max="2" width="22" customWidth="1"/>
    <col min="3" max="3" width="22.36328125" customWidth="1"/>
    <col min="4" max="4" width="13.26953125" customWidth="1"/>
    <col min="7" max="7" width="11.36328125" bestFit="1" customWidth="1"/>
    <col min="8" max="9" width="11" bestFit="1" customWidth="1"/>
  </cols>
  <sheetData>
    <row r="1" spans="1:10" ht="34" customHeight="1" x14ac:dyDescent="0.35">
      <c r="B1" t="s">
        <v>316</v>
      </c>
      <c r="E1" s="34" t="s">
        <v>110</v>
      </c>
      <c r="F1" s="34" t="s">
        <v>82</v>
      </c>
      <c r="G1" s="34" t="s">
        <v>86</v>
      </c>
      <c r="H1" s="141" t="s">
        <v>311</v>
      </c>
      <c r="I1" s="141" t="s">
        <v>217</v>
      </c>
      <c r="J1" s="34" t="s">
        <v>320</v>
      </c>
    </row>
    <row r="2" spans="1:10" x14ac:dyDescent="0.35">
      <c r="A2" s="198" t="s">
        <v>259</v>
      </c>
      <c r="B2" s="198"/>
      <c r="C2" s="198"/>
    </row>
    <row r="3" spans="1:10" x14ac:dyDescent="0.35">
      <c r="A3" s="82" t="s">
        <v>281</v>
      </c>
      <c r="B3" s="82"/>
      <c r="C3" s="185">
        <v>0.75</v>
      </c>
      <c r="I3" s="6">
        <f>SUM(I4:I7)</f>
        <v>466.0773333333334</v>
      </c>
    </row>
    <row r="4" spans="1:10" x14ac:dyDescent="0.35">
      <c r="C4" t="s">
        <v>279</v>
      </c>
      <c r="D4" t="s">
        <v>264</v>
      </c>
      <c r="E4">
        <v>440</v>
      </c>
      <c r="F4">
        <f>1/1.06</f>
        <v>0.94339622641509424</v>
      </c>
      <c r="G4">
        <f>E4/F4</f>
        <v>466.40000000000003</v>
      </c>
      <c r="H4" s="35">
        <v>0.76</v>
      </c>
      <c r="I4" s="6">
        <f>H4*G4</f>
        <v>354.46400000000006</v>
      </c>
      <c r="J4" s="61">
        <f>I4/I$3</f>
        <v>0.76052615016678204</v>
      </c>
    </row>
    <row r="5" spans="1:10" x14ac:dyDescent="0.35">
      <c r="C5" t="s">
        <v>411</v>
      </c>
      <c r="D5" t="s">
        <v>265</v>
      </c>
      <c r="E5">
        <v>440</v>
      </c>
      <c r="F5">
        <f>1/1.06</f>
        <v>0.94339622641509424</v>
      </c>
      <c r="G5">
        <f t="shared" ref="G5:G7" si="0">E5/F5</f>
        <v>466.40000000000003</v>
      </c>
      <c r="H5" s="35">
        <v>0.16</v>
      </c>
      <c r="I5">
        <f>H5*G5</f>
        <v>74.624000000000009</v>
      </c>
      <c r="J5" s="61">
        <f t="shared" ref="J5:J7" si="1">I5/I$3</f>
        <v>0.16011076845616465</v>
      </c>
    </row>
    <row r="6" spans="1:10" x14ac:dyDescent="0.35">
      <c r="C6" t="s">
        <v>310</v>
      </c>
      <c r="D6" t="s">
        <v>266</v>
      </c>
      <c r="E6">
        <v>440</v>
      </c>
      <c r="F6">
        <f>1/1.06</f>
        <v>0.94339622641509424</v>
      </c>
      <c r="G6" s="6">
        <f t="shared" si="0"/>
        <v>466.40000000000003</v>
      </c>
      <c r="H6" s="35">
        <v>0.04</v>
      </c>
      <c r="I6" s="6">
        <f t="shared" ref="I6" si="2">H6*G6</f>
        <v>18.656000000000002</v>
      </c>
      <c r="J6" s="61">
        <f t="shared" si="1"/>
        <v>4.0027692114041162E-2</v>
      </c>
    </row>
    <row r="7" spans="1:10" x14ac:dyDescent="0.35">
      <c r="C7" t="s">
        <v>290</v>
      </c>
      <c r="D7" t="s">
        <v>267</v>
      </c>
      <c r="E7">
        <v>440</v>
      </c>
      <c r="F7">
        <v>0.96</v>
      </c>
      <c r="G7" s="6">
        <f t="shared" si="0"/>
        <v>458.33333333333337</v>
      </c>
      <c r="H7" s="35">
        <v>0.04</v>
      </c>
      <c r="I7" s="6">
        <f>H7*G7</f>
        <v>18.333333333333336</v>
      </c>
      <c r="J7" s="61">
        <f t="shared" si="1"/>
        <v>3.9335389263012145E-2</v>
      </c>
    </row>
    <row r="8" spans="1:10" x14ac:dyDescent="0.35">
      <c r="A8" s="82" t="s">
        <v>282</v>
      </c>
      <c r="B8" s="82"/>
      <c r="C8" s="185">
        <v>0.7</v>
      </c>
    </row>
    <row r="9" spans="1:10" x14ac:dyDescent="0.35">
      <c r="D9" t="s">
        <v>313</v>
      </c>
      <c r="E9" t="s">
        <v>314</v>
      </c>
    </row>
    <row r="15" spans="1:10" x14ac:dyDescent="0.35">
      <c r="A15" s="82" t="s">
        <v>283</v>
      </c>
      <c r="B15" s="82">
        <f>83+267+903</f>
        <v>1253</v>
      </c>
      <c r="C15" s="88">
        <f>903/(83+267+903)</f>
        <v>0.72067039106145248</v>
      </c>
      <c r="I15" s="79">
        <f>SUM(I16:I18)</f>
        <v>853.09425278075696</v>
      </c>
    </row>
    <row r="16" spans="1:10" x14ac:dyDescent="0.35">
      <c r="C16" t="s">
        <v>289</v>
      </c>
      <c r="D16" t="s">
        <v>269</v>
      </c>
      <c r="E16">
        <v>880</v>
      </c>
      <c r="F16" s="6">
        <f>'[2]Conversion factors selected IV '!$G$5</f>
        <v>0.95978351434331599</v>
      </c>
      <c r="G16" s="6">
        <f t="shared" ref="G16:G18" si="3">E16/F16</f>
        <v>916.87342702702711</v>
      </c>
      <c r="H16" s="61">
        <f>0.6618*0.6</f>
        <v>0.39708000000000004</v>
      </c>
      <c r="I16" s="6">
        <f>H16*G16</f>
        <v>364.07210040389197</v>
      </c>
    </row>
    <row r="17" spans="1:10" x14ac:dyDescent="0.35">
      <c r="C17" t="s">
        <v>315</v>
      </c>
      <c r="D17" t="s">
        <v>269</v>
      </c>
      <c r="E17">
        <v>880</v>
      </c>
      <c r="F17" s="6">
        <f>'[2]Conversion factors selected IV '!$G$5</f>
        <v>0.95978351434331599</v>
      </c>
      <c r="G17" s="6">
        <f t="shared" si="3"/>
        <v>916.87342702702711</v>
      </c>
      <c r="H17" s="61">
        <f>0.6618*0.4</f>
        <v>0.26472000000000001</v>
      </c>
      <c r="I17" s="6">
        <f t="shared" ref="I17:I18" si="4">H17*G17</f>
        <v>242.71473360259463</v>
      </c>
    </row>
    <row r="18" spans="1:10" x14ac:dyDescent="0.35">
      <c r="C18" t="s">
        <v>292</v>
      </c>
      <c r="D18" t="s">
        <v>291</v>
      </c>
      <c r="E18">
        <v>699</v>
      </c>
      <c r="F18" s="6">
        <f>'[2]Conversion factors selected IV '!$G$5</f>
        <v>0.95978351434331599</v>
      </c>
      <c r="G18" s="6">
        <f t="shared" si="3"/>
        <v>728.28923351351364</v>
      </c>
      <c r="H18" s="61">
        <v>0.3382</v>
      </c>
      <c r="I18" s="6">
        <f t="shared" si="4"/>
        <v>246.3074187742703</v>
      </c>
    </row>
    <row r="22" spans="1:10" x14ac:dyDescent="0.35">
      <c r="A22" s="82" t="s">
        <v>285</v>
      </c>
      <c r="B22" s="82"/>
      <c r="C22" s="185">
        <v>0.7</v>
      </c>
      <c r="I22" s="6">
        <f>SUM(I23:I26)</f>
        <v>466.0773333333334</v>
      </c>
    </row>
    <row r="23" spans="1:10" x14ac:dyDescent="0.35">
      <c r="C23" t="s">
        <v>279</v>
      </c>
      <c r="D23" t="s">
        <v>264</v>
      </c>
      <c r="E23">
        <v>440</v>
      </c>
      <c r="F23">
        <f>1/1.06</f>
        <v>0.94339622641509424</v>
      </c>
      <c r="G23">
        <f>E23/F23</f>
        <v>466.40000000000003</v>
      </c>
      <c r="H23" s="35">
        <v>0.76</v>
      </c>
      <c r="I23" s="6">
        <f>H23*G23</f>
        <v>354.46400000000006</v>
      </c>
      <c r="J23" s="61">
        <f>I23/I$22</f>
        <v>0.76052615016678204</v>
      </c>
    </row>
    <row r="24" spans="1:10" x14ac:dyDescent="0.35">
      <c r="C24" t="s">
        <v>290</v>
      </c>
      <c r="D24" t="s">
        <v>265</v>
      </c>
      <c r="E24">
        <v>440</v>
      </c>
      <c r="F24">
        <f>1/1.06</f>
        <v>0.94339622641509424</v>
      </c>
      <c r="G24">
        <f t="shared" ref="G24:G26" si="5">E24/F24</f>
        <v>466.40000000000003</v>
      </c>
      <c r="H24" s="35">
        <v>0.16</v>
      </c>
      <c r="I24" s="6">
        <f t="shared" ref="I24:I26" si="6">H24*G24</f>
        <v>74.624000000000009</v>
      </c>
      <c r="J24" s="61">
        <f t="shared" ref="J24:J26" si="7">I24/I$22</f>
        <v>0.16011076845616465</v>
      </c>
    </row>
    <row r="25" spans="1:10" x14ac:dyDescent="0.35">
      <c r="C25" t="s">
        <v>310</v>
      </c>
      <c r="D25" t="s">
        <v>266</v>
      </c>
      <c r="E25">
        <v>440</v>
      </c>
      <c r="F25">
        <f>1/1.06</f>
        <v>0.94339622641509424</v>
      </c>
      <c r="G25">
        <f t="shared" si="5"/>
        <v>466.40000000000003</v>
      </c>
      <c r="H25" s="35">
        <v>0.04</v>
      </c>
      <c r="I25" s="6">
        <f t="shared" si="6"/>
        <v>18.656000000000002</v>
      </c>
      <c r="J25" s="61">
        <f t="shared" si="7"/>
        <v>4.0027692114041162E-2</v>
      </c>
    </row>
    <row r="26" spans="1:10" x14ac:dyDescent="0.35">
      <c r="C26" t="s">
        <v>290</v>
      </c>
      <c r="D26" t="s">
        <v>267</v>
      </c>
      <c r="E26">
        <v>440</v>
      </c>
      <c r="F26">
        <v>0.96</v>
      </c>
      <c r="G26" s="210">
        <f t="shared" si="5"/>
        <v>458.33333333333337</v>
      </c>
      <c r="H26" s="35">
        <v>0.04</v>
      </c>
      <c r="I26" s="6">
        <f t="shared" si="6"/>
        <v>18.333333333333336</v>
      </c>
      <c r="J26" s="61">
        <f t="shared" si="7"/>
        <v>3.9335389263012145E-2</v>
      </c>
    </row>
    <row r="29" spans="1:10" x14ac:dyDescent="0.35">
      <c r="A29" s="82" t="s">
        <v>284</v>
      </c>
      <c r="B29" s="82"/>
      <c r="C29" s="185">
        <v>0.64</v>
      </c>
    </row>
    <row r="36" spans="1:10" x14ac:dyDescent="0.35">
      <c r="A36" s="82" t="s">
        <v>303</v>
      </c>
      <c r="B36" s="82">
        <f>E36+H35+J35</f>
        <v>0</v>
      </c>
      <c r="C36" s="88"/>
      <c r="F36" s="61"/>
      <c r="H36" t="s">
        <v>318</v>
      </c>
      <c r="I36">
        <f>SUM(I37:I39)</f>
        <v>853.09425278075696</v>
      </c>
      <c r="J36" t="s">
        <v>319</v>
      </c>
    </row>
    <row r="37" spans="1:10" x14ac:dyDescent="0.35">
      <c r="C37" t="s">
        <v>289</v>
      </c>
      <c r="D37" t="s">
        <v>269</v>
      </c>
      <c r="E37">
        <v>880</v>
      </c>
      <c r="F37" s="6">
        <f>'[2]Conversion factors selected IV '!$G$5</f>
        <v>0.95978351434331599</v>
      </c>
      <c r="G37" s="6">
        <f t="shared" ref="G37:G39" si="8">E37/F37</f>
        <v>916.87342702702711</v>
      </c>
      <c r="H37" s="61">
        <f>0.6618*0.6</f>
        <v>0.39708000000000004</v>
      </c>
      <c r="I37" s="6">
        <f>H37*G37</f>
        <v>364.07210040389197</v>
      </c>
      <c r="J37" s="61">
        <f>I37/I36</f>
        <v>0.42676656092472537</v>
      </c>
    </row>
    <row r="38" spans="1:10" x14ac:dyDescent="0.35">
      <c r="C38" t="s">
        <v>315</v>
      </c>
      <c r="D38" t="s">
        <v>269</v>
      </c>
      <c r="E38">
        <v>880</v>
      </c>
      <c r="F38" s="6">
        <f>'[2]Conversion factors selected IV '!$G$5</f>
        <v>0.95978351434331599</v>
      </c>
      <c r="G38" s="6">
        <f t="shared" si="8"/>
        <v>916.87342702702711</v>
      </c>
      <c r="H38" s="61">
        <f>0.6618*0.4</f>
        <v>0.26472000000000001</v>
      </c>
      <c r="I38" s="6">
        <f t="shared" ref="I38:I39" si="9">H38*G38</f>
        <v>242.71473360259463</v>
      </c>
      <c r="J38" s="61">
        <f>I38/I36</f>
        <v>0.28451104061648358</v>
      </c>
    </row>
    <row r="39" spans="1:10" x14ac:dyDescent="0.35">
      <c r="C39" t="s">
        <v>292</v>
      </c>
      <c r="D39" t="s">
        <v>291</v>
      </c>
      <c r="E39">
        <v>699</v>
      </c>
      <c r="F39" s="6">
        <f>'[2]Conversion factors selected IV '!$G$5</f>
        <v>0.95978351434331599</v>
      </c>
      <c r="G39" s="6">
        <f t="shared" si="8"/>
        <v>728.28923351351364</v>
      </c>
      <c r="H39" s="61">
        <v>0.3382</v>
      </c>
      <c r="I39" s="6">
        <f t="shared" si="9"/>
        <v>246.3074187742703</v>
      </c>
      <c r="J39" s="61">
        <f>I39/I36</f>
        <v>0.288722398458791</v>
      </c>
    </row>
    <row r="41" spans="1:10" x14ac:dyDescent="0.35">
      <c r="C41" s="61"/>
    </row>
    <row r="42" spans="1:10" x14ac:dyDescent="0.35">
      <c r="C42" s="61"/>
    </row>
    <row r="43" spans="1:10" x14ac:dyDescent="0.35">
      <c r="A43" s="82" t="s">
        <v>302</v>
      </c>
      <c r="B43" s="82">
        <f>E43+H42+J42</f>
        <v>0</v>
      </c>
      <c r="C43" s="88"/>
    </row>
    <row r="44" spans="1:10" x14ac:dyDescent="0.35">
      <c r="B44" t="s">
        <v>289</v>
      </c>
      <c r="C44" t="s">
        <v>269</v>
      </c>
    </row>
    <row r="45" spans="1:10" x14ac:dyDescent="0.35">
      <c r="B45" t="s">
        <v>292</v>
      </c>
      <c r="C45" t="s">
        <v>291</v>
      </c>
    </row>
    <row r="46" spans="1:10" x14ac:dyDescent="0.35">
      <c r="C46" s="61"/>
    </row>
    <row r="47" spans="1:10" x14ac:dyDescent="0.35">
      <c r="C47" s="61"/>
    </row>
    <row r="48" spans="1:10" x14ac:dyDescent="0.35">
      <c r="C48" s="61"/>
    </row>
    <row r="49" spans="1:8" x14ac:dyDescent="0.35">
      <c r="C49" s="61"/>
    </row>
    <row r="50" spans="1:8" x14ac:dyDescent="0.35">
      <c r="A50" s="200" t="s">
        <v>270</v>
      </c>
      <c r="B50" s="187"/>
      <c r="C50" s="187"/>
    </row>
    <row r="51" spans="1:8" x14ac:dyDescent="0.35">
      <c r="A51" s="158" t="s">
        <v>293</v>
      </c>
      <c r="B51" s="158"/>
      <c r="C51" s="195">
        <v>0.7</v>
      </c>
    </row>
    <row r="52" spans="1:8" x14ac:dyDescent="0.35">
      <c r="D52" t="s">
        <v>271</v>
      </c>
      <c r="F52">
        <v>0.65</v>
      </c>
      <c r="H52" s="35">
        <v>0.17</v>
      </c>
    </row>
    <row r="53" spans="1:8" x14ac:dyDescent="0.35">
      <c r="D53" t="s">
        <v>272</v>
      </c>
      <c r="H53" s="35">
        <v>0.43</v>
      </c>
    </row>
    <row r="54" spans="1:8" x14ac:dyDescent="0.35">
      <c r="D54" t="s">
        <v>273</v>
      </c>
      <c r="H54" s="35">
        <v>0.09</v>
      </c>
    </row>
    <row r="55" spans="1:8" x14ac:dyDescent="0.35">
      <c r="D55" t="s">
        <v>274</v>
      </c>
      <c r="H55" s="35">
        <v>0.03</v>
      </c>
    </row>
    <row r="56" spans="1:8" x14ac:dyDescent="0.35">
      <c r="D56" t="s">
        <v>275</v>
      </c>
      <c r="H56" s="35">
        <v>0.02</v>
      </c>
    </row>
    <row r="57" spans="1:8" x14ac:dyDescent="0.35">
      <c r="D57" t="s">
        <v>276</v>
      </c>
      <c r="H57" s="35">
        <v>0.26</v>
      </c>
    </row>
  </sheetData>
  <pageMargins left="0.7" right="0.7" top="0.78740157499999996" bottom="0.78740157499999996"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1BF5A-39C2-4DB7-857B-96C1D24B7140}">
  <dimension ref="A1:G93"/>
  <sheetViews>
    <sheetView workbookViewId="0">
      <selection activeCell="E13" sqref="E13"/>
    </sheetView>
  </sheetViews>
  <sheetFormatPr baseColWidth="10" defaultRowHeight="14.5" x14ac:dyDescent="0.35"/>
  <cols>
    <col min="1" max="1" width="25.08984375" customWidth="1"/>
    <col min="2" max="2" width="6.81640625" customWidth="1"/>
    <col min="5" max="6" width="24.81640625" customWidth="1"/>
    <col min="7" max="7" width="27.90625" customWidth="1"/>
  </cols>
  <sheetData>
    <row r="1" spans="1:7" x14ac:dyDescent="0.35">
      <c r="F1">
        <v>2023</v>
      </c>
      <c r="G1">
        <v>2030</v>
      </c>
    </row>
    <row r="2" spans="1:7" ht="41.5" customHeight="1" x14ac:dyDescent="0.35">
      <c r="A2" s="34" t="s">
        <v>185</v>
      </c>
      <c r="B2" s="34" t="s">
        <v>41</v>
      </c>
      <c r="C2" s="34" t="s">
        <v>110</v>
      </c>
      <c r="D2" s="34" t="s">
        <v>82</v>
      </c>
      <c r="E2" s="34" t="s">
        <v>86</v>
      </c>
      <c r="F2" s="34"/>
      <c r="G2" s="34" t="s">
        <v>165</v>
      </c>
    </row>
    <row r="3" spans="1:7" x14ac:dyDescent="0.35">
      <c r="A3" s="82" t="s">
        <v>73</v>
      </c>
      <c r="B3" s="82"/>
      <c r="C3" s="82"/>
      <c r="D3" s="82"/>
      <c r="E3" s="82"/>
      <c r="F3" s="82"/>
      <c r="G3" s="82"/>
    </row>
    <row r="4" spans="1:7" x14ac:dyDescent="0.35">
      <c r="A4" t="s">
        <v>83</v>
      </c>
      <c r="C4">
        <v>520</v>
      </c>
      <c r="D4">
        <v>1</v>
      </c>
      <c r="E4">
        <f>C4/D4</f>
        <v>520</v>
      </c>
      <c r="G4" s="35">
        <v>1</v>
      </c>
    </row>
    <row r="5" spans="1:7" x14ac:dyDescent="0.35">
      <c r="A5" s="82" t="s">
        <v>74</v>
      </c>
      <c r="B5" s="82"/>
      <c r="C5" s="82"/>
      <c r="D5" s="82"/>
      <c r="E5" s="82"/>
      <c r="F5" s="82"/>
      <c r="G5" s="82"/>
    </row>
    <row r="6" spans="1:7" x14ac:dyDescent="0.35">
      <c r="A6" t="s">
        <v>162</v>
      </c>
      <c r="D6" s="6">
        <f>'[2]Conversion factors selected IV '!$O$9</f>
        <v>0.95154545454545458</v>
      </c>
      <c r="E6" s="6"/>
      <c r="F6" s="6"/>
      <c r="G6" s="61">
        <f>'[2]Availabilities EU Austria'!$N$13/'[2]Availabilities EU Austria'!$N$10</f>
        <v>6.301154684279596E-2</v>
      </c>
    </row>
    <row r="7" spans="1:7" x14ac:dyDescent="0.35">
      <c r="A7" t="s">
        <v>161</v>
      </c>
      <c r="C7" s="24">
        <v>96.44</v>
      </c>
      <c r="D7" s="6">
        <f>'[2]Conversion factors selected IV '!$G$10</f>
        <v>0.15387272727272727</v>
      </c>
      <c r="E7" s="6">
        <f>C7/D7</f>
        <v>626.75174288077517</v>
      </c>
      <c r="F7" s="6"/>
      <c r="G7" s="62">
        <f>('[2]Availabilities EU Austria'!$N$15+'[2]Availabilities EU Austria'!$N$14)/'[2]Availabilities EU Austria'!$N$10</f>
        <v>0.93698845315720403</v>
      </c>
    </row>
    <row r="8" spans="1:7" x14ac:dyDescent="0.35">
      <c r="A8" s="82" t="s">
        <v>91</v>
      </c>
      <c r="B8" s="82"/>
      <c r="C8" s="82"/>
      <c r="D8" s="82"/>
      <c r="E8" s="82"/>
      <c r="F8" s="82"/>
      <c r="G8" s="82"/>
    </row>
    <row r="9" spans="1:7" x14ac:dyDescent="0.35">
      <c r="A9" t="s">
        <v>83</v>
      </c>
      <c r="C9">
        <v>520</v>
      </c>
      <c r="D9" s="6">
        <f>'[2]Conversion factors selected IV '!$G$12</f>
        <v>0.42350471353132874</v>
      </c>
      <c r="E9" s="6">
        <f>C9/D9</f>
        <v>1227.849380149893</v>
      </c>
      <c r="F9" s="6"/>
      <c r="G9" s="61">
        <f>'[2]Availabilities EU Austria'!$N$21/'[2]Availabilities EU Austria'!$N$16</f>
        <v>7.2434800518989706E-2</v>
      </c>
    </row>
    <row r="10" spans="1:7" x14ac:dyDescent="0.35">
      <c r="A10" t="s">
        <v>162</v>
      </c>
      <c r="C10" t="s">
        <v>146</v>
      </c>
      <c r="D10" s="6">
        <f>'[2]Conversion factors selected IV '!$O$14</f>
        <v>0.97367441860465131</v>
      </c>
      <c r="E10" s="6"/>
      <c r="F10" s="6"/>
      <c r="G10" s="61">
        <f>'[2]Availabilities EU Austria'!$N$23/'[2]Availabilities EU Austria'!$N$16</f>
        <v>5.8447318016845058E-2</v>
      </c>
    </row>
    <row r="11" spans="1:7" x14ac:dyDescent="0.35">
      <c r="A11" t="s">
        <v>161</v>
      </c>
      <c r="C11" s="24">
        <v>96.44</v>
      </c>
      <c r="D11" s="6">
        <f>'[2]Conversion factors selected IV '!$G$15</f>
        <v>0.15387272727272727</v>
      </c>
      <c r="E11" s="6">
        <f>C11/D11</f>
        <v>626.75174288077517</v>
      </c>
      <c r="F11" s="6"/>
      <c r="G11" s="62">
        <f>('[2]Availabilities EU Austria'!$N$24+'[2]Availabilities EU Austria'!$N$25)/'[2]Availabilities EU Austria'!$N$16</f>
        <v>0.86911788146416524</v>
      </c>
    </row>
    <row r="12" spans="1:7" x14ac:dyDescent="0.35">
      <c r="A12" s="82" t="s">
        <v>92</v>
      </c>
      <c r="B12" s="82"/>
      <c r="C12" s="82"/>
      <c r="D12" s="82"/>
      <c r="E12" s="82"/>
      <c r="F12" s="82"/>
      <c r="G12" s="82"/>
    </row>
    <row r="13" spans="1:7" x14ac:dyDescent="0.35">
      <c r="A13" s="7" t="s">
        <v>5</v>
      </c>
      <c r="C13" s="24">
        <v>58</v>
      </c>
      <c r="D13" s="6">
        <f>'[2]Conversion factors selected IV '!$G$17</f>
        <v>0.18050496028765164</v>
      </c>
      <c r="E13" s="6">
        <f t="shared" ref="E13:E44" si="0">C13/D13</f>
        <v>321.32080973050017</v>
      </c>
      <c r="F13" s="6"/>
      <c r="G13" s="61">
        <f>'[2]Availabilities EU Austria'!$N$27/'[2]Availabilities EU Austria'!$N$26</f>
        <v>0.73688392593424479</v>
      </c>
    </row>
    <row r="14" spans="1:7" x14ac:dyDescent="0.35">
      <c r="A14" s="7" t="s">
        <v>8</v>
      </c>
      <c r="C14">
        <v>69</v>
      </c>
      <c r="D14" s="6">
        <f>'[2]Conversion factors selected IV '!$G$18</f>
        <v>0.18050496028765164</v>
      </c>
      <c r="E14" s="6">
        <f t="shared" si="0"/>
        <v>382.26096330007778</v>
      </c>
      <c r="F14" s="6"/>
      <c r="G14" s="61">
        <f>'[2]Availabilities EU Austria'!$N$28/'[2]Availabilities EU Austria'!$N$26</f>
        <v>2.8841348280385298E-2</v>
      </c>
    </row>
    <row r="15" spans="1:7" x14ac:dyDescent="0.35">
      <c r="A15" s="7" t="s">
        <v>9</v>
      </c>
      <c r="C15">
        <v>69</v>
      </c>
      <c r="D15" s="6">
        <f>'[2]Conversion factors selected IV '!$G$19</f>
        <v>0.18050496028765164</v>
      </c>
      <c r="E15" s="6">
        <f t="shared" si="0"/>
        <v>382.26096330007778</v>
      </c>
      <c r="F15" s="6"/>
      <c r="G15" s="61">
        <f>'[2]Availabilities EU Austria'!$N$29/'[2]Availabilities EU Austria'!$N$26</f>
        <v>1.3130549170812876E-2</v>
      </c>
    </row>
    <row r="16" spans="1:7" x14ac:dyDescent="0.35">
      <c r="A16" s="7" t="s">
        <v>11</v>
      </c>
      <c r="C16">
        <v>67</v>
      </c>
      <c r="D16" s="6">
        <f>'[2]Conversion factors selected IV '!$G$20</f>
        <v>0.23616905737803762</v>
      </c>
      <c r="E16" s="6">
        <f t="shared" si="0"/>
        <v>283.69508158197283</v>
      </c>
      <c r="F16" s="6"/>
      <c r="G16" s="63">
        <f>'[2]Availabilities EU Austria'!$N$30/'[2]Availabilities EU Austria'!$N$26</f>
        <v>0.22114417661455707</v>
      </c>
    </row>
    <row r="17" spans="1:7" x14ac:dyDescent="0.35">
      <c r="A17" s="82" t="s">
        <v>93</v>
      </c>
      <c r="B17" s="82"/>
      <c r="C17" s="82"/>
      <c r="D17" s="82"/>
      <c r="E17" s="82"/>
      <c r="F17" s="82"/>
      <c r="G17" s="82"/>
    </row>
    <row r="18" spans="1:7" x14ac:dyDescent="0.35">
      <c r="A18" s="7" t="s">
        <v>5</v>
      </c>
      <c r="C18" s="24">
        <v>58</v>
      </c>
      <c r="D18" s="6">
        <f>'[2]Conversion factors selected IV '!$G$22</f>
        <v>5.3146356056851488E-2</v>
      </c>
      <c r="E18" s="6">
        <f>C18/D18</f>
        <v>1091.3259967994136</v>
      </c>
      <c r="F18" s="6"/>
      <c r="G18" s="61">
        <f>'[2]Availabilities EU Austria'!$N$27/'[2]Availabilities EU Austria'!$N$26</f>
        <v>0.73688392593424479</v>
      </c>
    </row>
    <row r="19" spans="1:7" x14ac:dyDescent="0.35">
      <c r="A19" s="7" t="s">
        <v>8</v>
      </c>
      <c r="C19">
        <v>69</v>
      </c>
      <c r="D19" s="6">
        <f>'[2]Conversion factors selected IV '!$G$23</f>
        <v>5.3146356056851488E-2</v>
      </c>
      <c r="E19" s="6">
        <f t="shared" si="0"/>
        <v>1298.3016168820609</v>
      </c>
      <c r="F19" s="6"/>
      <c r="G19" s="61">
        <f>'[2]Availabilities EU Austria'!$N$28/'[2]Availabilities EU Austria'!$N$26</f>
        <v>2.8841348280385298E-2</v>
      </c>
    </row>
    <row r="20" spans="1:7" x14ac:dyDescent="0.35">
      <c r="A20" s="7" t="s">
        <v>9</v>
      </c>
      <c r="C20">
        <v>69</v>
      </c>
      <c r="D20" s="6">
        <f>'[2]Conversion factors selected IV '!$G$24</f>
        <v>5.3146356056851488E-2</v>
      </c>
      <c r="E20" s="6">
        <f t="shared" si="0"/>
        <v>1298.3016168820609</v>
      </c>
      <c r="F20" s="6"/>
      <c r="G20" s="61">
        <f>'[2]Availabilities EU Austria'!$N$29/'[2]Availabilities EU Austria'!$N$26</f>
        <v>1.3130549170812876E-2</v>
      </c>
    </row>
    <row r="21" spans="1:7" x14ac:dyDescent="0.35">
      <c r="A21" s="7" t="s">
        <v>11</v>
      </c>
      <c r="C21">
        <v>67</v>
      </c>
      <c r="D21" s="6">
        <f>'[2]Conversion factors selected IV '!$G$25</f>
        <v>6.9535622694368845E-2</v>
      </c>
      <c r="E21" s="6">
        <f t="shared" si="0"/>
        <v>963.5349106527209</v>
      </c>
      <c r="F21" s="6"/>
      <c r="G21" s="63">
        <f>'[2]Availabilities EU Austria'!$N$30/'[2]Availabilities EU Austria'!$N$26</f>
        <v>0.22114417661455707</v>
      </c>
    </row>
    <row r="22" spans="1:7" x14ac:dyDescent="0.35">
      <c r="A22" s="82" t="s">
        <v>18</v>
      </c>
      <c r="B22" s="82"/>
      <c r="C22" s="82"/>
      <c r="D22" s="82"/>
      <c r="E22" s="82"/>
      <c r="F22" s="82"/>
      <c r="G22" s="82"/>
    </row>
    <row r="23" spans="1:7" x14ac:dyDescent="0.35">
      <c r="A23" s="36" t="s">
        <v>17</v>
      </c>
      <c r="B23" s="20"/>
      <c r="C23" s="24">
        <v>96.44</v>
      </c>
      <c r="D23" s="6">
        <f>'[2]Conversion factors selected IV '!$G$27</f>
        <v>0.47</v>
      </c>
      <c r="E23" s="6">
        <f t="shared" si="0"/>
        <v>205.19148936170214</v>
      </c>
      <c r="F23" s="6"/>
      <c r="G23" s="62">
        <v>1</v>
      </c>
    </row>
    <row r="24" spans="1:7" x14ac:dyDescent="0.35">
      <c r="A24" s="81" t="s">
        <v>166</v>
      </c>
      <c r="B24" s="81"/>
      <c r="C24" s="82"/>
      <c r="D24" s="82"/>
      <c r="E24" s="82"/>
      <c r="F24" s="82"/>
      <c r="G24" s="88">
        <f>SUM(G25:G32)</f>
        <v>1</v>
      </c>
    </row>
    <row r="25" spans="1:7" x14ac:dyDescent="0.35">
      <c r="A25" s="5" t="s">
        <v>20</v>
      </c>
      <c r="B25" s="21"/>
      <c r="C25">
        <v>44</v>
      </c>
      <c r="D25" s="6">
        <f>'[2]Conversion factors selected IV '!$G$29</f>
        <v>0.50565325955726736</v>
      </c>
      <c r="E25" s="6">
        <f t="shared" si="0"/>
        <v>87.01615023410487</v>
      </c>
      <c r="F25" s="6"/>
      <c r="G25" s="61">
        <f>'[2]Availabilities EU Austria'!$N$41/('[2]Availabilities EU Austria'!$N$40-'[2]Availabilities EU Austria'!$N$48)</f>
        <v>3.2760716410893592E-2</v>
      </c>
    </row>
    <row r="26" spans="1:7" x14ac:dyDescent="0.35">
      <c r="A26" s="5" t="s">
        <v>8</v>
      </c>
      <c r="B26" s="21"/>
      <c r="C26">
        <v>69</v>
      </c>
      <c r="D26" s="6">
        <f>'[2]Conversion factors selected IV '!$G$30</f>
        <v>0.50565325955726736</v>
      </c>
      <c r="E26" s="6">
        <f t="shared" si="0"/>
        <v>136.45714468530082</v>
      </c>
      <c r="F26" s="6"/>
      <c r="G26" s="61">
        <f>'[2]Availabilities EU Austria'!$N$42/('[2]Availabilities EU Austria'!$N$40-'[2]Availabilities EU Austria'!$N$48)</f>
        <v>1.9756369964879113E-2</v>
      </c>
    </row>
    <row r="27" spans="1:7" x14ac:dyDescent="0.35">
      <c r="A27" s="5" t="s">
        <v>9</v>
      </c>
      <c r="B27" s="21"/>
      <c r="C27">
        <v>69</v>
      </c>
      <c r="D27" s="6">
        <f>'[2]Conversion factors selected IV '!$G$31</f>
        <v>0.50565325955726736</v>
      </c>
      <c r="E27" s="6">
        <f t="shared" si="0"/>
        <v>136.45714468530082</v>
      </c>
      <c r="F27" s="6"/>
      <c r="G27" s="61">
        <f>'[2]Availabilities EU Austria'!$N$43/('[2]Availabilities EU Austria'!$N$40-'[2]Availabilities EU Austria'!$N$48)</f>
        <v>8.9944473031810107E-3</v>
      </c>
    </row>
    <row r="28" spans="1:7" x14ac:dyDescent="0.35">
      <c r="A28" s="5" t="s">
        <v>21</v>
      </c>
      <c r="B28" s="21"/>
      <c r="C28">
        <v>44</v>
      </c>
      <c r="D28" s="6">
        <f>'[2]Conversion factors selected IV '!$G$32</f>
        <v>0.50565325955726736</v>
      </c>
      <c r="E28" s="6">
        <f t="shared" si="0"/>
        <v>87.01615023410487</v>
      </c>
      <c r="F28" s="6"/>
      <c r="G28" s="111">
        <f>'[2]Availabilities EU Austria'!$N$44/('[2]Availabilities EU Austria'!$N$40-'[2]Availabilities EU Austria'!$N$48)</f>
        <v>2.5238729020282836E-2</v>
      </c>
    </row>
    <row r="29" spans="1:7" x14ac:dyDescent="0.35">
      <c r="A29" s="5" t="s">
        <v>5</v>
      </c>
      <c r="B29" s="21"/>
      <c r="C29">
        <v>58</v>
      </c>
      <c r="D29" s="6">
        <f>'[2]Conversion factors selected IV '!$G$33</f>
        <v>0.50565325955726736</v>
      </c>
      <c r="E29" s="6">
        <f t="shared" si="0"/>
        <v>114.7031071267746</v>
      </c>
      <c r="F29" s="6"/>
      <c r="G29" s="65">
        <f>'[2]Availabilities EU Austria'!$N$45/('[2]Availabilities EU Austria'!$N$40-'[2]Availabilities EU Austria'!$N$48)</f>
        <v>0.50476667458124236</v>
      </c>
    </row>
    <row r="30" spans="1:7" x14ac:dyDescent="0.35">
      <c r="A30" s="5" t="s">
        <v>22</v>
      </c>
      <c r="B30" s="21"/>
      <c r="C30">
        <v>0</v>
      </c>
      <c r="D30" s="6">
        <f>'[2]Conversion factors selected IV '!$G$34</f>
        <v>0.11659945531529187</v>
      </c>
      <c r="E30" s="6">
        <f t="shared" si="0"/>
        <v>0</v>
      </c>
      <c r="F30" s="6"/>
      <c r="G30" s="61">
        <f>'[2]Availabilities EU Austria'!$N$46/('[2]Availabilities EU Austria'!$N$40-'[2]Availabilities EU Austria'!$N$48)</f>
        <v>0.37200916367212594</v>
      </c>
    </row>
    <row r="31" spans="1:7" x14ac:dyDescent="0.35">
      <c r="A31" s="5" t="s">
        <v>23</v>
      </c>
      <c r="B31" s="21"/>
      <c r="C31" s="24">
        <v>0</v>
      </c>
      <c r="D31" s="6">
        <f>'[2]Conversion factors selected IV '!$G$35</f>
        <v>0.11659945531529187</v>
      </c>
      <c r="E31" s="6">
        <f t="shared" si="0"/>
        <v>0</v>
      </c>
      <c r="F31" s="6"/>
      <c r="G31" s="66">
        <f>'[2]Availabilities EU Austria'!$N$47/('[2]Availabilities EU Austria'!$N$40-'[2]Availabilities EU Austria'!$N$48)</f>
        <v>3.4001984286291011E-2</v>
      </c>
    </row>
    <row r="32" spans="1:7" x14ac:dyDescent="0.35">
      <c r="A32" s="13" t="s">
        <v>25</v>
      </c>
      <c r="B32" s="14"/>
      <c r="C32" s="24">
        <v>96.44</v>
      </c>
      <c r="D32" s="24">
        <f>0.6</f>
        <v>0.6</v>
      </c>
      <c r="E32" s="6">
        <f t="shared" si="0"/>
        <v>160.73333333333335</v>
      </c>
      <c r="F32" s="6"/>
      <c r="G32" s="62">
        <f>'[2]Availabilities EU Austria'!$N$49/('[2]Availabilities EU Austria'!$N$40-'[2]Availabilities EU Austria'!$N$48)</f>
        <v>2.471914761104197E-3</v>
      </c>
    </row>
    <row r="33" spans="1:7" x14ac:dyDescent="0.35">
      <c r="A33" s="82" t="s">
        <v>121</v>
      </c>
      <c r="B33" s="82"/>
      <c r="C33" s="82"/>
      <c r="D33" s="82"/>
      <c r="E33" s="82"/>
      <c r="F33" s="82"/>
      <c r="G33" s="82"/>
    </row>
    <row r="34" spans="1:7" x14ac:dyDescent="0.35">
      <c r="A34" s="12" t="s">
        <v>24</v>
      </c>
      <c r="B34" s="107"/>
      <c r="C34">
        <f>-(55+70)/2</f>
        <v>-62.5</v>
      </c>
      <c r="D34" s="6">
        <f>'[2]Conversion factors selected IV '!$G$36</f>
        <v>0.18593291119169406</v>
      </c>
      <c r="E34" s="6">
        <f t="shared" ref="E34" si="1">C34/D34</f>
        <v>-336.14274955101109</v>
      </c>
      <c r="F34" s="6"/>
      <c r="G34" s="65">
        <f>'[2]Availabilities EU Austria'!$N$48/'[2]Availabilities EU Austria'!$N$48</f>
        <v>1</v>
      </c>
    </row>
    <row r="35" spans="1:7" x14ac:dyDescent="0.35">
      <c r="A35" s="83" t="s">
        <v>27</v>
      </c>
      <c r="B35" s="83"/>
      <c r="C35" s="82"/>
      <c r="D35" s="82"/>
      <c r="E35" s="82"/>
      <c r="F35" s="82"/>
      <c r="G35" s="82"/>
    </row>
    <row r="36" spans="1:7" x14ac:dyDescent="0.35">
      <c r="A36" s="5" t="s">
        <v>5</v>
      </c>
      <c r="B36" s="21"/>
      <c r="C36">
        <v>58</v>
      </c>
      <c r="D36" s="6">
        <f>'[2]Conversion factors selected IV '!$G$39</f>
        <v>0.44129562342499795</v>
      </c>
      <c r="E36" s="6">
        <f t="shared" si="0"/>
        <v>131.43116976744187</v>
      </c>
      <c r="F36" s="6"/>
      <c r="G36" s="65">
        <f>'[2]Availabilities EU Austria'!$N$61/'[2]Availabilities EU Austria'!$N$60</f>
        <v>0.51783810219756787</v>
      </c>
    </row>
    <row r="37" spans="1:7" x14ac:dyDescent="0.35">
      <c r="A37" s="5" t="s">
        <v>6</v>
      </c>
      <c r="B37" s="21"/>
      <c r="C37">
        <v>44</v>
      </c>
      <c r="D37" s="6">
        <f>'[2]Conversion factors selected IV '!$G$40</f>
        <v>0.44129562342499795</v>
      </c>
      <c r="E37" s="6">
        <f t="shared" si="0"/>
        <v>99.706404651162799</v>
      </c>
      <c r="F37" s="6"/>
      <c r="G37" s="61">
        <f>'[2]Availabilities EU Austria'!$N$62/'[2]Availabilities EU Austria'!$N$60</f>
        <v>3.3609087261800549E-2</v>
      </c>
    </row>
    <row r="38" spans="1:7" x14ac:dyDescent="0.35">
      <c r="A38" s="5" t="s">
        <v>23</v>
      </c>
      <c r="B38" s="21"/>
      <c r="C38" s="24">
        <v>0</v>
      </c>
      <c r="D38" s="6">
        <f>'[2]Conversion factors selected IV '!$G$41</f>
        <v>0.30788066750581256</v>
      </c>
      <c r="E38" s="6">
        <f t="shared" si="0"/>
        <v>0</v>
      </c>
      <c r="F38" s="6"/>
      <c r="G38" s="66">
        <f>'[2]Availabilities EU Austria'!$N$63/'[2]Availabilities EU Austria'!$N$60</f>
        <v>3.4882498985044481E-2</v>
      </c>
    </row>
    <row r="39" spans="1:7" x14ac:dyDescent="0.35">
      <c r="A39" s="5" t="s">
        <v>7</v>
      </c>
      <c r="B39" s="21"/>
      <c r="C39">
        <v>44</v>
      </c>
      <c r="D39" s="6">
        <f>'[2]Conversion factors selected IV '!$G$42</f>
        <v>0.44129562342499795</v>
      </c>
      <c r="E39" s="6">
        <f t="shared" si="0"/>
        <v>99.706404651162799</v>
      </c>
      <c r="F39" s="6"/>
      <c r="G39" s="64">
        <f>'[2]Availabilities EU Austria'!$N$64/'[2]Availabilities EU Austria'!$N$60</f>
        <v>1.366290786845722E-2</v>
      </c>
    </row>
    <row r="40" spans="1:7" x14ac:dyDescent="0.35">
      <c r="A40" s="5" t="s">
        <v>8</v>
      </c>
      <c r="B40" s="21"/>
      <c r="C40">
        <v>69</v>
      </c>
      <c r="D40" s="6">
        <f>'[2]Conversion factors selected IV '!$G$43</f>
        <v>0.44129562342499795</v>
      </c>
      <c r="E40" s="6">
        <f t="shared" si="0"/>
        <v>156.35777093023256</v>
      </c>
      <c r="F40" s="6"/>
      <c r="G40" s="61">
        <f>'[2]Availabilities EU Austria'!$N$65/'[2]Availabilities EU Austria'!$N$60</f>
        <v>2.0267980522710626E-2</v>
      </c>
    </row>
    <row r="41" spans="1:7" x14ac:dyDescent="0.35">
      <c r="A41" s="5" t="s">
        <v>9</v>
      </c>
      <c r="B41" s="21"/>
      <c r="C41">
        <v>69</v>
      </c>
      <c r="D41" s="6">
        <f>'[2]Conversion factors selected IV '!$G$44</f>
        <v>0.44129562342499795</v>
      </c>
      <c r="E41" s="6">
        <f t="shared" si="0"/>
        <v>156.35777093023256</v>
      </c>
      <c r="F41" s="6"/>
      <c r="G41" s="61">
        <f>'[2]Availabilities EU Austria'!$N$66/'[2]Availabilities EU Austria'!$N$60</f>
        <v>9.2273673289927829E-3</v>
      </c>
    </row>
    <row r="42" spans="1:7" x14ac:dyDescent="0.35">
      <c r="A42" s="5" t="s">
        <v>10</v>
      </c>
      <c r="B42" s="21"/>
      <c r="C42" s="24">
        <v>69</v>
      </c>
      <c r="D42" s="6">
        <f>'[2]Conversion factors selected IV '!$G$45</f>
        <v>0.48747772355086988</v>
      </c>
      <c r="E42" s="6">
        <f t="shared" si="0"/>
        <v>141.54492947368419</v>
      </c>
      <c r="F42" s="6"/>
      <c r="G42" s="66">
        <f>'[2]Availabilities EU Austria'!$N$67/'[2]Availabilities EU Austria'!$N$60</f>
        <v>0.14802813399529377</v>
      </c>
    </row>
    <row r="43" spans="1:7" x14ac:dyDescent="0.35">
      <c r="A43" s="5" t="s">
        <v>11</v>
      </c>
      <c r="B43" s="21"/>
      <c r="C43" s="24">
        <v>69</v>
      </c>
      <c r="D43" s="6">
        <f>'[2]Conversion factors selected IV '!$G$46</f>
        <v>0.48747772355086988</v>
      </c>
      <c r="E43" s="6">
        <f t="shared" si="0"/>
        <v>141.54492947368419</v>
      </c>
      <c r="F43" s="6"/>
      <c r="G43" s="68">
        <f>'[2]Availabilities EU Austria'!$N$68/'[2]Availabilities EU Austria'!$N$60</f>
        <v>0.15540694633138846</v>
      </c>
    </row>
    <row r="44" spans="1:7" x14ac:dyDescent="0.35">
      <c r="A44" s="5" t="s">
        <v>12</v>
      </c>
      <c r="B44" s="21"/>
      <c r="C44" s="24">
        <v>0</v>
      </c>
      <c r="D44" s="6">
        <f>'[2]Conversion factors selected IV '!$G$47</f>
        <v>0.41050755667441674</v>
      </c>
      <c r="E44" s="6">
        <f t="shared" si="0"/>
        <v>0</v>
      </c>
      <c r="F44" s="6"/>
      <c r="G44" s="65">
        <f>'[2]Availabilities EU Austria'!$N$69/'[2]Availabilities EU Austria'!$N$60</f>
        <v>4.6552014319949722E-2</v>
      </c>
    </row>
    <row r="45" spans="1:7" x14ac:dyDescent="0.35">
      <c r="A45" s="13" t="s">
        <v>26</v>
      </c>
      <c r="B45" s="14"/>
      <c r="C45" s="24">
        <v>96.44</v>
      </c>
      <c r="D45" s="38">
        <f>'[2]Conversion factors selected IV '!$G$48</f>
        <v>0.79651764705882355</v>
      </c>
      <c r="E45" s="6">
        <f>C45/D45</f>
        <v>121.07704123833156</v>
      </c>
      <c r="F45" s="6"/>
      <c r="G45" s="63">
        <f>'[2]Availabilities EU Austria'!$N$70/'[2]Availabilities EU Austria'!$N$60</f>
        <v>2.052496118879454E-2</v>
      </c>
    </row>
    <row r="46" spans="1:7" x14ac:dyDescent="0.35">
      <c r="A46" s="83" t="s">
        <v>28</v>
      </c>
      <c r="B46" s="83"/>
      <c r="C46" s="82"/>
      <c r="D46" s="82"/>
      <c r="E46" s="82"/>
      <c r="F46" s="82"/>
      <c r="G46" s="82"/>
    </row>
    <row r="47" spans="1:7" x14ac:dyDescent="0.35">
      <c r="A47" s="13" t="s">
        <v>29</v>
      </c>
      <c r="B47" s="14"/>
      <c r="C47" s="24">
        <v>96.44</v>
      </c>
      <c r="D47" s="6">
        <f>'[2]Conversion factors selected IV '!$O$49</f>
        <v>2.0934000000000004</v>
      </c>
      <c r="E47" s="6">
        <f>C47/D47</f>
        <v>46.068596541511404</v>
      </c>
      <c r="F47" s="6"/>
      <c r="G47" s="68">
        <v>1</v>
      </c>
    </row>
    <row r="48" spans="1:7" x14ac:dyDescent="0.35">
      <c r="A48" s="83" t="s">
        <v>30</v>
      </c>
      <c r="B48" s="83"/>
      <c r="C48" s="82"/>
      <c r="D48" s="81"/>
      <c r="E48" s="82"/>
      <c r="F48" s="82"/>
      <c r="G48" s="82"/>
    </row>
    <row r="49" spans="1:7" x14ac:dyDescent="0.35">
      <c r="A49" s="15" t="s">
        <v>31</v>
      </c>
      <c r="B49" s="108"/>
      <c r="C49" s="24">
        <v>96.44</v>
      </c>
      <c r="D49" s="6">
        <f>'[2]Conversion factors selected IV '!$O$50</f>
        <v>2.0934000000000004</v>
      </c>
      <c r="E49" s="6">
        <f>C49/D49</f>
        <v>46.068596541511404</v>
      </c>
      <c r="F49" s="6"/>
      <c r="G49" s="63">
        <v>1</v>
      </c>
    </row>
    <row r="50" spans="1:7" x14ac:dyDescent="0.35">
      <c r="A50" s="83" t="s">
        <v>32</v>
      </c>
      <c r="B50" s="83"/>
      <c r="C50" s="82"/>
      <c r="D50" s="81"/>
      <c r="E50" s="82"/>
      <c r="F50" s="82"/>
      <c r="G50" s="82"/>
    </row>
    <row r="51" spans="1:7" x14ac:dyDescent="0.35">
      <c r="A51" s="5" t="s">
        <v>5</v>
      </c>
      <c r="B51" s="21"/>
      <c r="C51">
        <v>58</v>
      </c>
      <c r="D51" s="6">
        <f>'[2]Conversion factors selected IV '!$G$52</f>
        <v>0.24762705465272858</v>
      </c>
      <c r="E51" s="6">
        <f t="shared" ref="E51:E59" si="2">C51/D51</f>
        <v>234.22319536667356</v>
      </c>
      <c r="F51" s="6"/>
      <c r="G51" s="65">
        <f>'[2]Availabilities EU Austria'!$N$61/'[2]Availabilities EU Austria'!$N$60</f>
        <v>0.51783810219756787</v>
      </c>
    </row>
    <row r="52" spans="1:7" x14ac:dyDescent="0.35">
      <c r="A52" s="5" t="s">
        <v>6</v>
      </c>
      <c r="B52" s="21"/>
      <c r="C52">
        <v>44</v>
      </c>
      <c r="D52" s="6">
        <f>'[2]Conversion factors selected IV '!$G$53</f>
        <v>0.24762705465272858</v>
      </c>
      <c r="E52" s="6">
        <f t="shared" si="2"/>
        <v>177.6865620023041</v>
      </c>
      <c r="F52" s="6"/>
      <c r="G52" s="61">
        <f>'[2]Availabilities EU Austria'!$N$62/'[2]Availabilities EU Austria'!$N$60</f>
        <v>3.3609087261800549E-2</v>
      </c>
    </row>
    <row r="53" spans="1:7" x14ac:dyDescent="0.35">
      <c r="A53" s="5" t="s">
        <v>23</v>
      </c>
      <c r="B53" s="21"/>
      <c r="C53" s="24">
        <v>0</v>
      </c>
      <c r="D53" s="6">
        <f>'[2]Conversion factors selected IV '!$G$54</f>
        <v>0.17276306138562458</v>
      </c>
      <c r="E53" s="6">
        <f t="shared" si="2"/>
        <v>0</v>
      </c>
      <c r="F53" s="6"/>
      <c r="G53" s="66">
        <f>'[2]Availabilities EU Austria'!$N$63/'[2]Availabilities EU Austria'!$N$60</f>
        <v>3.4882498985044481E-2</v>
      </c>
    </row>
    <row r="54" spans="1:7" x14ac:dyDescent="0.35">
      <c r="A54" s="5" t="s">
        <v>7</v>
      </c>
      <c r="B54" s="21"/>
      <c r="C54">
        <v>44</v>
      </c>
      <c r="D54" s="6">
        <f>'[2]Conversion factors selected IV '!$G$55</f>
        <v>0.24762705465272858</v>
      </c>
      <c r="E54" s="6">
        <f t="shared" si="2"/>
        <v>177.6865620023041</v>
      </c>
      <c r="F54" s="6"/>
      <c r="G54" s="64">
        <f>'[2]Availabilities EU Austria'!$N$64/'[2]Availabilities EU Austria'!$N$60</f>
        <v>1.366290786845722E-2</v>
      </c>
    </row>
    <row r="55" spans="1:7" x14ac:dyDescent="0.35">
      <c r="A55" s="5" t="s">
        <v>8</v>
      </c>
      <c r="B55" s="21"/>
      <c r="C55">
        <v>69</v>
      </c>
      <c r="D55" s="6">
        <f>'[2]Conversion factors selected IV '!$G$56</f>
        <v>0.24762705465272858</v>
      </c>
      <c r="E55" s="6">
        <f t="shared" si="2"/>
        <v>278.64483586724958</v>
      </c>
      <c r="F55" s="6"/>
      <c r="G55" s="61">
        <f>'[2]Availabilities EU Austria'!$N$65/'[2]Availabilities EU Austria'!$N$60</f>
        <v>2.0267980522710626E-2</v>
      </c>
    </row>
    <row r="56" spans="1:7" x14ac:dyDescent="0.35">
      <c r="A56" s="5" t="s">
        <v>9</v>
      </c>
      <c r="B56" s="21"/>
      <c r="C56">
        <v>69</v>
      </c>
      <c r="D56" s="6">
        <f>'[2]Conversion factors selected IV '!$G$57</f>
        <v>0.24762705465272858</v>
      </c>
      <c r="E56" s="6">
        <f t="shared" si="2"/>
        <v>278.64483586724958</v>
      </c>
      <c r="F56" s="6"/>
      <c r="G56" s="61">
        <f>'[2]Availabilities EU Austria'!$N$66/'[2]Availabilities EU Austria'!$N$60</f>
        <v>9.2273673289927829E-3</v>
      </c>
    </row>
    <row r="57" spans="1:7" x14ac:dyDescent="0.35">
      <c r="A57" s="5" t="s">
        <v>10</v>
      </c>
      <c r="B57" s="21"/>
      <c r="C57" s="24">
        <v>69</v>
      </c>
      <c r="D57" s="6">
        <f>'[2]Conversion factors selected IV '!$G$58</f>
        <v>0.27354151386057229</v>
      </c>
      <c r="E57" s="6">
        <f t="shared" si="2"/>
        <v>252.24690404824699</v>
      </c>
      <c r="F57" s="6"/>
      <c r="G57" s="66">
        <f>'[2]Availabilities EU Austria'!$N$67/'[2]Availabilities EU Austria'!$N$60</f>
        <v>0.14802813399529377</v>
      </c>
    </row>
    <row r="58" spans="1:7" x14ac:dyDescent="0.35">
      <c r="A58" s="5" t="s">
        <v>11</v>
      </c>
      <c r="B58" s="21"/>
      <c r="C58" s="24">
        <v>69</v>
      </c>
      <c r="D58" s="6">
        <f>'[2]Conversion factors selected IV '!$G$59</f>
        <v>0.27354151386057229</v>
      </c>
      <c r="E58" s="6">
        <f t="shared" si="2"/>
        <v>252.24690404824699</v>
      </c>
      <c r="F58" s="6"/>
      <c r="G58" s="68">
        <f>'[2]Availabilities EU Austria'!$N$68/'[2]Availabilities EU Austria'!$N$60</f>
        <v>0.15540694633138846</v>
      </c>
    </row>
    <row r="59" spans="1:7" x14ac:dyDescent="0.35">
      <c r="A59" s="5" t="s">
        <v>12</v>
      </c>
      <c r="B59" s="21"/>
      <c r="C59" s="24">
        <v>0</v>
      </c>
      <c r="D59" s="6">
        <f>'[2]Conversion factors selected IV '!$G$60</f>
        <v>0.23035074851416612</v>
      </c>
      <c r="E59" s="6">
        <f t="shared" si="2"/>
        <v>0</v>
      </c>
      <c r="F59" s="6"/>
      <c r="G59" s="65">
        <f>'[2]Availabilities EU Austria'!$N$69/'[2]Availabilities EU Austria'!$N$60</f>
        <v>4.6552014319949722E-2</v>
      </c>
    </row>
    <row r="60" spans="1:7" x14ac:dyDescent="0.35">
      <c r="A60" s="13" t="s">
        <v>33</v>
      </c>
      <c r="B60" s="14"/>
      <c r="C60" s="24">
        <v>96.44</v>
      </c>
      <c r="D60" s="6">
        <f>'[2]Conversion factors selected IV '!$G$61</f>
        <v>0.79651764705882355</v>
      </c>
      <c r="E60" s="6">
        <f>C60/D60</f>
        <v>121.07704123833156</v>
      </c>
      <c r="F60" s="6"/>
      <c r="G60" s="63">
        <f>'[2]Availabilities EU Austria'!$N$70/'[2]Availabilities EU Austria'!$N$60</f>
        <v>2.052496118879454E-2</v>
      </c>
    </row>
    <row r="61" spans="1:7" x14ac:dyDescent="0.35">
      <c r="A61" s="83" t="s">
        <v>34</v>
      </c>
      <c r="B61" s="83"/>
      <c r="C61" s="82"/>
      <c r="D61" s="81"/>
      <c r="E61" s="82"/>
      <c r="F61" s="82"/>
      <c r="G61" s="82"/>
    </row>
    <row r="62" spans="1:7" x14ac:dyDescent="0.35">
      <c r="A62" s="15" t="s">
        <v>31</v>
      </c>
      <c r="B62" s="108"/>
      <c r="C62" s="24">
        <v>96.44</v>
      </c>
      <c r="D62" s="6">
        <f>'[2]Conversion factors selected IV '!$O$62</f>
        <v>0.83669064748201449</v>
      </c>
      <c r="E62" s="6">
        <f>C62/D62</f>
        <v>115.26362854686155</v>
      </c>
      <c r="F62" s="6"/>
      <c r="G62" s="3">
        <v>1</v>
      </c>
    </row>
    <row r="63" spans="1:7" x14ac:dyDescent="0.35">
      <c r="A63" s="83" t="s">
        <v>35</v>
      </c>
      <c r="B63" s="83"/>
      <c r="C63" s="82"/>
      <c r="D63" s="81"/>
      <c r="E63" s="82"/>
      <c r="F63" s="82"/>
      <c r="G63" s="82"/>
    </row>
    <row r="64" spans="1:7" x14ac:dyDescent="0.35">
      <c r="A64" s="5" t="s">
        <v>5</v>
      </c>
      <c r="B64" s="21"/>
      <c r="C64">
        <v>58</v>
      </c>
      <c r="D64" s="6">
        <f>'[2]Conversion factors selected IV '!$G$75</f>
        <v>8.9990719257540611E-2</v>
      </c>
      <c r="E64" s="6">
        <f t="shared" ref="E64:E72" si="3">C64/D64</f>
        <v>644.51090599700922</v>
      </c>
      <c r="F64" s="6"/>
      <c r="G64" s="3">
        <f>'[2]Availabilities EU Austria'!$N$115/'[2]Availabilities EU Austria'!$N$114</f>
        <v>0.51783810219756787</v>
      </c>
    </row>
    <row r="65" spans="1:7" x14ac:dyDescent="0.35">
      <c r="A65" s="5" t="s">
        <v>6</v>
      </c>
      <c r="B65" s="21"/>
      <c r="C65">
        <v>44</v>
      </c>
      <c r="D65" s="6">
        <f>'[2]Conversion factors selected IV '!$G$76</f>
        <v>8.9990719257540611E-2</v>
      </c>
      <c r="E65" s="6">
        <f t="shared" si="3"/>
        <v>488.93930799773108</v>
      </c>
      <c r="F65" s="6"/>
      <c r="G65" s="3">
        <f>'[2]Availabilities EU Austria'!$N$116/'[2]Availabilities EU Austria'!$N$114</f>
        <v>3.3609087261800549E-2</v>
      </c>
    </row>
    <row r="66" spans="1:7" x14ac:dyDescent="0.35">
      <c r="A66" s="5" t="s">
        <v>23</v>
      </c>
      <c r="B66" s="21"/>
      <c r="C66" s="24">
        <v>0</v>
      </c>
      <c r="D66" s="6">
        <f>'[2]Conversion factors selected IV '!$G$77</f>
        <v>8.9990719257540611E-2</v>
      </c>
      <c r="E66" s="6">
        <f t="shared" si="3"/>
        <v>0</v>
      </c>
      <c r="F66" s="6"/>
      <c r="G66" s="3">
        <f>'[2]Availabilities EU Austria'!$N$117/'[2]Availabilities EU Austria'!$N$114</f>
        <v>3.4882498985044481E-2</v>
      </c>
    </row>
    <row r="67" spans="1:7" x14ac:dyDescent="0.35">
      <c r="A67" s="5" t="s">
        <v>7</v>
      </c>
      <c r="B67" s="21"/>
      <c r="C67">
        <v>44</v>
      </c>
      <c r="D67" s="6">
        <f>'[2]Conversion factors selected IV '!$G$78</f>
        <v>8.9990719257540611E-2</v>
      </c>
      <c r="E67" s="6">
        <f t="shared" si="3"/>
        <v>488.93930799773108</v>
      </c>
      <c r="F67" s="6"/>
      <c r="G67" s="3">
        <f>'[2]Availabilities EU Austria'!$N$118/'[2]Availabilities EU Austria'!$N$114</f>
        <v>1.366290786845722E-2</v>
      </c>
    </row>
    <row r="68" spans="1:7" x14ac:dyDescent="0.35">
      <c r="A68" s="5" t="s">
        <v>8</v>
      </c>
      <c r="B68" s="21"/>
      <c r="C68">
        <v>69</v>
      </c>
      <c r="D68" s="6">
        <f>'[2]Conversion factors selected IV '!$G$79</f>
        <v>8.9990719257540611E-2</v>
      </c>
      <c r="E68" s="6">
        <f t="shared" si="3"/>
        <v>766.74573299644192</v>
      </c>
      <c r="F68" s="6"/>
      <c r="G68" s="3">
        <f>'[2]Availabilities EU Austria'!$N$119/'[2]Availabilities EU Austria'!$N$114</f>
        <v>2.0267980522710626E-2</v>
      </c>
    </row>
    <row r="69" spans="1:7" x14ac:dyDescent="0.35">
      <c r="A69" s="5" t="s">
        <v>9</v>
      </c>
      <c r="B69" s="21"/>
      <c r="C69">
        <v>69</v>
      </c>
      <c r="D69" s="6">
        <f>'[2]Conversion factors selected IV '!$G$80</f>
        <v>8.9990719257540611E-2</v>
      </c>
      <c r="E69" s="6">
        <f t="shared" si="3"/>
        <v>766.74573299644192</v>
      </c>
      <c r="F69" s="6"/>
      <c r="G69" s="3">
        <f>'[2]Availabilities EU Austria'!$N$120/'[2]Availabilities EU Austria'!$N$114</f>
        <v>9.2273673289927829E-3</v>
      </c>
    </row>
    <row r="70" spans="1:7" x14ac:dyDescent="0.35">
      <c r="A70" s="5" t="s">
        <v>10</v>
      </c>
      <c r="B70" s="21"/>
      <c r="C70" s="24">
        <v>69</v>
      </c>
      <c r="D70" s="6">
        <f>'[2]Conversion factors selected IV '!$G$81</f>
        <v>9.9408352668213462E-2</v>
      </c>
      <c r="E70" s="6">
        <f t="shared" si="3"/>
        <v>694.10666355467379</v>
      </c>
      <c r="F70" s="6"/>
      <c r="G70" s="3">
        <f>'[2]Availabilities EU Austria'!$N$121/'[2]Availabilities EU Austria'!$N$114</f>
        <v>0.14802813399529377</v>
      </c>
    </row>
    <row r="71" spans="1:7" x14ac:dyDescent="0.35">
      <c r="A71" s="5" t="s">
        <v>11</v>
      </c>
      <c r="B71" s="21"/>
      <c r="C71" s="24">
        <v>69</v>
      </c>
      <c r="D71" s="6">
        <f>'[2]Conversion factors selected IV '!$G$82</f>
        <v>9.9408352668213462E-2</v>
      </c>
      <c r="E71" s="6">
        <f t="shared" si="3"/>
        <v>694.10666355467379</v>
      </c>
      <c r="F71" s="6"/>
      <c r="G71" s="3">
        <f>'[2]Availabilities EU Austria'!$N$122/'[2]Availabilities EU Austria'!$N$114</f>
        <v>0.15540694633138846</v>
      </c>
    </row>
    <row r="72" spans="1:7" x14ac:dyDescent="0.35">
      <c r="A72" s="5" t="s">
        <v>12</v>
      </c>
      <c r="B72" s="21"/>
      <c r="C72" s="24">
        <v>0</v>
      </c>
      <c r="D72" s="6">
        <f>'[2]Conversion factors selected IV '!$G$83</f>
        <v>8.3712296983758705E-2</v>
      </c>
      <c r="E72" s="6">
        <f t="shared" si="3"/>
        <v>0</v>
      </c>
      <c r="F72" s="6"/>
      <c r="G72" s="3">
        <f>'[2]Availabilities EU Austria'!$N$123/'[2]Availabilities EU Austria'!$N$114</f>
        <v>4.6552014319949722E-2</v>
      </c>
    </row>
    <row r="73" spans="1:7" x14ac:dyDescent="0.35">
      <c r="A73" s="13" t="s">
        <v>33</v>
      </c>
      <c r="B73" s="14"/>
      <c r="C73" s="24">
        <v>96.44</v>
      </c>
      <c r="D73" s="6">
        <f>'[2]Conversion factors selected IV '!$G$84</f>
        <v>0.31417169373549886</v>
      </c>
      <c r="E73" s="6">
        <f>C73*D73</f>
        <v>30.298718143851509</v>
      </c>
      <c r="F73" s="6"/>
      <c r="G73" s="3">
        <f>'[2]Availabilities EU Austria'!$N$124/'[2]Availabilities EU Austria'!$N$114</f>
        <v>2.052496118879454E-2</v>
      </c>
    </row>
    <row r="74" spans="1:7" x14ac:dyDescent="0.35">
      <c r="A74" s="83" t="s">
        <v>36</v>
      </c>
      <c r="B74" s="83"/>
      <c r="C74" s="82"/>
      <c r="D74" s="82"/>
      <c r="E74" s="82"/>
      <c r="F74" s="82"/>
      <c r="G74" s="82"/>
    </row>
    <row r="75" spans="1:7" x14ac:dyDescent="0.35">
      <c r="A75" s="16" t="s">
        <v>37</v>
      </c>
      <c r="B75" s="22"/>
      <c r="C75" s="24">
        <v>96.44</v>
      </c>
      <c r="D75" s="40">
        <f>'[2]Conversion factors selected IV '!$G$87</f>
        <v>0.28301886792452824</v>
      </c>
      <c r="E75" s="6">
        <f>C75*D75</f>
        <v>27.294339622641502</v>
      </c>
      <c r="F75" s="6"/>
      <c r="G75" s="70">
        <v>1</v>
      </c>
    </row>
    <row r="76" spans="1:7" x14ac:dyDescent="0.35">
      <c r="A76" s="84" t="s">
        <v>4</v>
      </c>
      <c r="B76" s="84"/>
      <c r="C76" s="82"/>
      <c r="D76" s="82"/>
      <c r="E76" s="82"/>
      <c r="F76" s="82"/>
      <c r="G76" s="82"/>
    </row>
    <row r="77" spans="1:7" x14ac:dyDescent="0.35">
      <c r="A77" s="5" t="s">
        <v>5</v>
      </c>
      <c r="B77" s="21"/>
      <c r="C77">
        <v>58</v>
      </c>
      <c r="D77" s="6">
        <f>'[2]Conversion factors selected IV '!$G$89</f>
        <v>0.27123986095017383</v>
      </c>
      <c r="E77" s="6">
        <f>C77/D77</f>
        <v>213.83287764866711</v>
      </c>
      <c r="F77" s="6"/>
      <c r="G77" s="61">
        <f>'[2]Availabilities EU Austria'!$N$130/'[2]Availabilities EU Austria'!$N$129</f>
        <v>0.54821320343358704</v>
      </c>
    </row>
    <row r="78" spans="1:7" x14ac:dyDescent="0.35">
      <c r="A78" s="5" t="s">
        <v>6</v>
      </c>
      <c r="B78" s="21"/>
      <c r="C78">
        <v>44</v>
      </c>
      <c r="D78" s="6">
        <f>'[2]Conversion factors selected IV '!$G$90</f>
        <v>0.27123986095017383</v>
      </c>
      <c r="E78" s="6">
        <f>C78/D78</f>
        <v>162.21804511278194</v>
      </c>
      <c r="F78" s="6"/>
      <c r="G78" s="61">
        <f>'[2]Availabilities EU Austria'!$N$131/'[2]Availabilities EU Austria'!$N$129</f>
        <v>3.5580513125782073E-2</v>
      </c>
    </row>
    <row r="79" spans="1:7" x14ac:dyDescent="0.35">
      <c r="A79" s="5" t="s">
        <v>7</v>
      </c>
      <c r="B79" s="21"/>
      <c r="C79">
        <v>44</v>
      </c>
      <c r="D79" s="6">
        <f>'[2]Conversion factors selected IV '!$G$91</f>
        <v>0.27123986095017383</v>
      </c>
      <c r="E79" s="6">
        <f t="shared" ref="E79:E84" si="4">C79/D79</f>
        <v>162.21804511278194</v>
      </c>
      <c r="F79" s="6"/>
      <c r="G79" s="66">
        <f>'[2]Availabilities EU Austria'!$N$132/'[2]Availabilities EU Austria'!$N$129</f>
        <v>1.4464340223321777E-2</v>
      </c>
    </row>
    <row r="80" spans="1:7" x14ac:dyDescent="0.35">
      <c r="A80" s="5" t="s">
        <v>8</v>
      </c>
      <c r="B80" s="21"/>
      <c r="C80">
        <v>69</v>
      </c>
      <c r="D80" s="6">
        <f>'[2]Conversion factors selected IV '!$G$92</f>
        <v>0.27123986095017383</v>
      </c>
      <c r="E80" s="6">
        <f t="shared" si="4"/>
        <v>254.3873889268626</v>
      </c>
      <c r="F80" s="6"/>
      <c r="G80" s="61">
        <f>'[2]Availabilities EU Austria'!$N$133/'[2]Availabilities EU Austria'!$N$129</f>
        <v>2.1456850089500667E-2</v>
      </c>
    </row>
    <row r="81" spans="1:7" x14ac:dyDescent="0.35">
      <c r="A81" s="5" t="s">
        <v>9</v>
      </c>
      <c r="B81" s="21"/>
      <c r="C81">
        <v>69</v>
      </c>
      <c r="D81" s="6">
        <f>'[2]Conversion factors selected IV '!$G$93</f>
        <v>0.27123986095017383</v>
      </c>
      <c r="E81" s="6">
        <f t="shared" si="4"/>
        <v>254.3873889268626</v>
      </c>
      <c r="F81" s="6"/>
      <c r="G81" s="61">
        <f>'[2]Availabilities EU Austria'!$N$134/'[2]Availabilities EU Austria'!$N$129</f>
        <v>9.7686218553991021E-3</v>
      </c>
    </row>
    <row r="82" spans="1:7" x14ac:dyDescent="0.35">
      <c r="A82" s="5" t="s">
        <v>10</v>
      </c>
      <c r="B82" s="21"/>
      <c r="C82">
        <v>67</v>
      </c>
      <c r="D82" s="6">
        <f>'[2]Conversion factors selected IV '!$G$94</f>
        <v>0.27123986095017383</v>
      </c>
      <c r="E82" s="6">
        <f t="shared" si="4"/>
        <v>247.01384142173615</v>
      </c>
      <c r="F82" s="6"/>
      <c r="G82" s="66">
        <f>'[2]Availabilities EU Austria'!$N$135/'[2]Availabilities EU Austria'!$N$129</f>
        <v>0.15671109791163104</v>
      </c>
    </row>
    <row r="83" spans="1:7" x14ac:dyDescent="0.35">
      <c r="A83" s="5" t="s">
        <v>11</v>
      </c>
      <c r="B83" s="21"/>
      <c r="C83">
        <v>67</v>
      </c>
      <c r="D83" s="6">
        <f>'[2]Conversion factors selected IV '!$G$95</f>
        <v>0.27123986095017383</v>
      </c>
      <c r="E83" s="6">
        <f t="shared" si="4"/>
        <v>247.01384142173615</v>
      </c>
      <c r="F83" s="6"/>
      <c r="G83" s="68">
        <f>'[2]Availabilities EU Austria'!$N$136/'[2]Availabilities EU Austria'!$N$129</f>
        <v>0.16452273311409904</v>
      </c>
    </row>
    <row r="84" spans="1:7" x14ac:dyDescent="0.35">
      <c r="A84" s="5" t="s">
        <v>12</v>
      </c>
      <c r="B84" s="21"/>
      <c r="C84" s="24">
        <v>0</v>
      </c>
      <c r="D84" s="6">
        <f>'[2]Conversion factors selected IV '!$G$96</f>
        <v>0.27123986095017383</v>
      </c>
      <c r="E84" s="6">
        <f t="shared" si="4"/>
        <v>0</v>
      </c>
      <c r="F84" s="6"/>
      <c r="G84" s="65">
        <f>'[2]Availabilities EU Austria'!$N$137/'[2]Availabilities EU Austria'!$N$129</f>
        <v>4.9282640246679235E-2</v>
      </c>
    </row>
    <row r="85" spans="1:7" x14ac:dyDescent="0.35">
      <c r="A85" s="87" t="s">
        <v>63</v>
      </c>
      <c r="B85" s="109"/>
      <c r="C85" s="82"/>
      <c r="D85" s="82"/>
      <c r="E85" s="82"/>
      <c r="F85" s="82"/>
      <c r="G85" s="88">
        <f>SUM(G86:G93)</f>
        <v>1</v>
      </c>
    </row>
    <row r="86" spans="1:7" x14ac:dyDescent="0.35">
      <c r="A86" s="5" t="s">
        <v>5</v>
      </c>
      <c r="B86" s="21"/>
      <c r="C86">
        <v>58</v>
      </c>
      <c r="D86" s="6">
        <f>'[2]Conversion factors selected IV '!$G$125</f>
        <v>8.7338247338247313E-2</v>
      </c>
      <c r="E86" s="6">
        <f t="shared" ref="E86:E93" si="5">C86/D86</f>
        <v>664.08477119279837</v>
      </c>
      <c r="F86" s="6"/>
      <c r="G86" s="61">
        <f>'[2]Availabilities EU Austria'!$N$130/'[2]Availabilities EU Austria'!$N$129</f>
        <v>0.54821320343358704</v>
      </c>
    </row>
    <row r="87" spans="1:7" x14ac:dyDescent="0.35">
      <c r="A87" s="5" t="s">
        <v>6</v>
      </c>
      <c r="B87" s="21"/>
      <c r="C87">
        <v>44</v>
      </c>
      <c r="D87" s="6">
        <f>'[2]Conversion factors selected IV '!$G$126</f>
        <v>8.7338247338247313E-2</v>
      </c>
      <c r="E87" s="6">
        <f t="shared" si="5"/>
        <v>503.78844711177811</v>
      </c>
      <c r="F87" s="6"/>
      <c r="G87" s="61">
        <f>'[2]Availabilities EU Austria'!$N$131/'[2]Availabilities EU Austria'!$N$129</f>
        <v>3.5580513125782073E-2</v>
      </c>
    </row>
    <row r="88" spans="1:7" x14ac:dyDescent="0.35">
      <c r="A88" s="5" t="s">
        <v>7</v>
      </c>
      <c r="B88" s="21"/>
      <c r="C88">
        <v>44</v>
      </c>
      <c r="D88" s="6">
        <f>'[2]Conversion factors selected IV '!$G$127</f>
        <v>8.7338247338247313E-2</v>
      </c>
      <c r="E88" s="6">
        <f t="shared" si="5"/>
        <v>503.78844711177811</v>
      </c>
      <c r="F88" s="6"/>
      <c r="G88" s="66">
        <f>'[2]Availabilities EU Austria'!$N$132/'[2]Availabilities EU Austria'!$N$129</f>
        <v>1.4464340223321777E-2</v>
      </c>
    </row>
    <row r="89" spans="1:7" x14ac:dyDescent="0.35">
      <c r="A89" s="5" t="s">
        <v>8</v>
      </c>
      <c r="B89" s="21"/>
      <c r="C89">
        <v>69</v>
      </c>
      <c r="D89" s="6">
        <f>'[2]Conversion factors selected IV '!$G$128</f>
        <v>8.7338247338247313E-2</v>
      </c>
      <c r="E89" s="6">
        <f t="shared" si="5"/>
        <v>790.03188297074291</v>
      </c>
      <c r="F89" s="6"/>
      <c r="G89" s="61">
        <f>'[2]Availabilities EU Austria'!$N$133/'[2]Availabilities EU Austria'!$N$129</f>
        <v>2.1456850089500667E-2</v>
      </c>
    </row>
    <row r="90" spans="1:7" x14ac:dyDescent="0.35">
      <c r="A90" s="5" t="s">
        <v>9</v>
      </c>
      <c r="B90" s="21"/>
      <c r="C90">
        <v>69</v>
      </c>
      <c r="D90" s="6">
        <f>'[2]Conversion factors selected IV '!$G$129</f>
        <v>8.7338247338247313E-2</v>
      </c>
      <c r="E90" s="6">
        <f t="shared" si="5"/>
        <v>790.03188297074291</v>
      </c>
      <c r="F90" s="6"/>
      <c r="G90" s="61">
        <f>'[2]Availabilities EU Austria'!$N$134/'[2]Availabilities EU Austria'!$N$129</f>
        <v>9.7686218553991021E-3</v>
      </c>
    </row>
    <row r="91" spans="1:7" x14ac:dyDescent="0.35">
      <c r="A91" s="5" t="s">
        <v>10</v>
      </c>
      <c r="B91" s="21"/>
      <c r="C91">
        <v>67</v>
      </c>
      <c r="D91" s="6">
        <f>'[2]Conversion factors selected IV '!$G$130</f>
        <v>9.6478296478296463E-2</v>
      </c>
      <c r="E91" s="6">
        <f t="shared" si="5"/>
        <v>694.4567062818337</v>
      </c>
      <c r="F91" s="6"/>
      <c r="G91" s="66">
        <f>'[2]Availabilities EU Austria'!$N$135/'[2]Availabilities EU Austria'!$N$129</f>
        <v>0.15671109791163104</v>
      </c>
    </row>
    <row r="92" spans="1:7" x14ac:dyDescent="0.35">
      <c r="A92" s="5" t="s">
        <v>11</v>
      </c>
      <c r="B92" s="21"/>
      <c r="C92">
        <v>67</v>
      </c>
      <c r="D92" s="6">
        <f>'[2]Conversion factors selected IV '!$G$131</f>
        <v>9.6478296478296463E-2</v>
      </c>
      <c r="E92" s="6">
        <f>C92/D92</f>
        <v>694.4567062818337</v>
      </c>
      <c r="F92" s="6"/>
      <c r="G92" s="68">
        <f>'[2]Availabilities EU Austria'!$N$136/'[2]Availabilities EU Austria'!$N$129</f>
        <v>0.16452273311409904</v>
      </c>
    </row>
    <row r="93" spans="1:7" x14ac:dyDescent="0.35">
      <c r="A93" s="5" t="s">
        <v>12</v>
      </c>
      <c r="B93" s="21"/>
      <c r="C93" s="24">
        <v>0</v>
      </c>
      <c r="D93" s="6">
        <f>'[2]Conversion factors selected IV '!$G$132</f>
        <v>9.6478296478296463E-2</v>
      </c>
      <c r="E93" s="6">
        <f t="shared" si="5"/>
        <v>0</v>
      </c>
      <c r="F93" s="6"/>
      <c r="G93" s="65">
        <f>'[2]Availabilities EU Austria'!$N$137/'[2]Availabilities EU Austria'!$N$129</f>
        <v>4.9282640246679235E-2</v>
      </c>
    </row>
  </sheetData>
  <pageMargins left="0.7" right="0.7" top="0.78740157499999996" bottom="0.78740157499999996"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8DBBE-3092-4A90-816C-F1EA02B28211}">
  <dimension ref="A1:S23"/>
  <sheetViews>
    <sheetView workbookViewId="0">
      <selection activeCell="D10" sqref="D10"/>
    </sheetView>
  </sheetViews>
  <sheetFormatPr baseColWidth="10" defaultRowHeight="14.5" x14ac:dyDescent="0.35"/>
  <cols>
    <col min="1" max="2" width="15.26953125" customWidth="1"/>
    <col min="3" max="3" width="14.453125" customWidth="1"/>
    <col min="4" max="6" width="14.7265625" customWidth="1"/>
    <col min="7" max="8" width="14.453125" customWidth="1"/>
    <col min="9" max="9" width="16.1796875" customWidth="1"/>
    <col min="10" max="12" width="13.81640625" customWidth="1"/>
    <col min="13" max="13" width="16.81640625" customWidth="1"/>
    <col min="16" max="16" width="18.81640625" customWidth="1"/>
  </cols>
  <sheetData>
    <row r="1" spans="1:19" ht="26.15" customHeight="1" x14ac:dyDescent="0.35">
      <c r="A1" t="s">
        <v>123</v>
      </c>
    </row>
    <row r="2" spans="1:19" ht="37" customHeight="1" x14ac:dyDescent="0.35">
      <c r="B2" t="s">
        <v>113</v>
      </c>
      <c r="C2" t="s">
        <v>124</v>
      </c>
      <c r="D2" t="s">
        <v>119</v>
      </c>
      <c r="E2" t="s">
        <v>147</v>
      </c>
      <c r="F2" t="s">
        <v>118</v>
      </c>
      <c r="G2" t="s">
        <v>126</v>
      </c>
      <c r="H2" t="s">
        <v>114</v>
      </c>
      <c r="I2" t="s">
        <v>127</v>
      </c>
      <c r="J2" t="s">
        <v>129</v>
      </c>
      <c r="K2" t="s">
        <v>173</v>
      </c>
      <c r="L2" s="52"/>
      <c r="M2" s="52"/>
    </row>
    <row r="3" spans="1:19" x14ac:dyDescent="0.35">
      <c r="A3" t="s">
        <v>0</v>
      </c>
      <c r="B3" s="6">
        <f>C3*D3/1000</f>
        <v>110.203</v>
      </c>
      <c r="C3">
        <v>193</v>
      </c>
      <c r="D3">
        <v>571</v>
      </c>
      <c r="E3">
        <f>20-2.75</f>
        <v>17.25</v>
      </c>
      <c r="F3">
        <v>0.08</v>
      </c>
      <c r="G3">
        <f>150*1000</f>
        <v>150000</v>
      </c>
      <c r="H3" s="79">
        <f>(F3*(1+F3)^E3)/((1+F3)^E3-1)</f>
        <v>0.10886110512204131</v>
      </c>
      <c r="I3" s="1">
        <f>B3*H3*1000000</f>
        <v>11996820.367764318</v>
      </c>
      <c r="J3" s="102">
        <f>I$3/G$3</f>
        <v>79.978802451762121</v>
      </c>
      <c r="K3" s="102">
        <v>83</v>
      </c>
      <c r="L3" s="53"/>
      <c r="M3" s="53"/>
      <c r="O3" s="6"/>
      <c r="P3" s="6"/>
      <c r="Q3" s="6"/>
      <c r="R3" s="35"/>
      <c r="S3" s="35"/>
    </row>
    <row r="4" spans="1:19" x14ac:dyDescent="0.35">
      <c r="A4" t="s">
        <v>174</v>
      </c>
      <c r="B4" s="6">
        <f>C4*D4/1000</f>
        <v>770.04</v>
      </c>
      <c r="C4">
        <v>744</v>
      </c>
      <c r="D4">
        <v>1035</v>
      </c>
      <c r="E4">
        <f>20-4.5</f>
        <v>15.5</v>
      </c>
      <c r="F4">
        <v>0.08</v>
      </c>
      <c r="G4">
        <f>500*1000</f>
        <v>500000</v>
      </c>
      <c r="H4" s="79">
        <f>(F4*(1+F4)^E4)/((1+F4)^E4-1)</f>
        <v>0.11483387741459251</v>
      </c>
      <c r="I4" s="1">
        <f>B4*H4*1000000</f>
        <v>88426678.964332819</v>
      </c>
      <c r="J4" s="102">
        <f>I4/G4</f>
        <v>176.85335792866564</v>
      </c>
      <c r="K4" s="102">
        <v>269</v>
      </c>
      <c r="L4" s="53"/>
      <c r="M4" s="53"/>
      <c r="O4" s="6"/>
      <c r="P4" s="6"/>
      <c r="Q4" s="6"/>
      <c r="R4" s="35"/>
      <c r="S4" s="35"/>
    </row>
    <row r="5" spans="1:19" x14ac:dyDescent="0.35">
      <c r="A5" t="s">
        <v>175</v>
      </c>
      <c r="B5" s="6">
        <f>C5*D5/1000</f>
        <v>770.04</v>
      </c>
      <c r="C5">
        <v>744</v>
      </c>
      <c r="D5">
        <v>1035</v>
      </c>
      <c r="E5">
        <f>20-4.5</f>
        <v>15.5</v>
      </c>
      <c r="F5">
        <v>0.08</v>
      </c>
      <c r="G5">
        <f>500*1000</f>
        <v>500000</v>
      </c>
      <c r="H5" s="79">
        <f>(F5*(1+F5)^E5)/((1+F5)^E5-1)</f>
        <v>0.11483387741459251</v>
      </c>
      <c r="I5" s="1">
        <f>B5*H5*1000000</f>
        <v>88426678.964332819</v>
      </c>
      <c r="J5" s="102">
        <f>I5/G5</f>
        <v>176.85335792866564</v>
      </c>
      <c r="K5" s="102">
        <v>376</v>
      </c>
      <c r="L5" s="53"/>
      <c r="M5" s="53"/>
      <c r="O5" s="6"/>
      <c r="P5" s="6"/>
      <c r="Q5" s="6"/>
      <c r="R5" s="35"/>
      <c r="S5" s="35"/>
    </row>
    <row r="6" spans="1:19" x14ac:dyDescent="0.35">
      <c r="A6" t="s">
        <v>120</v>
      </c>
      <c r="B6" s="6">
        <f>C6*D6/1000</f>
        <v>551.07000000000005</v>
      </c>
      <c r="C6" s="18">
        <v>78</v>
      </c>
      <c r="D6" s="24">
        <f>(5300+8830)/2</f>
        <v>7065</v>
      </c>
      <c r="E6">
        <f>20-3.5</f>
        <v>16.5</v>
      </c>
      <c r="F6">
        <v>0.08</v>
      </c>
      <c r="G6">
        <f>85*1000</f>
        <v>85000</v>
      </c>
      <c r="H6" s="79">
        <f t="shared" ref="H6:H19" si="0">(F6*(1+F6)^E6)/((1+F6)^E6-1)</f>
        <v>0.11124580093975582</v>
      </c>
      <c r="I6" s="1">
        <f>B6*H6*1000000</f>
        <v>61304223.523871243</v>
      </c>
      <c r="J6" s="102">
        <f t="shared" ref="J6:J19" si="1">I6/G6</f>
        <v>721.22615910436753</v>
      </c>
      <c r="K6" s="102">
        <v>555</v>
      </c>
      <c r="L6" s="53" t="s">
        <v>179</v>
      </c>
      <c r="M6" s="53"/>
      <c r="O6" s="6"/>
      <c r="P6" s="6"/>
      <c r="Q6" s="6"/>
      <c r="R6" s="35"/>
      <c r="S6" s="35"/>
    </row>
    <row r="7" spans="1:19" x14ac:dyDescent="0.35">
      <c r="A7" t="s">
        <v>115</v>
      </c>
      <c r="B7" s="6">
        <f>C7*D7/1000</f>
        <v>1084.9649999999999</v>
      </c>
      <c r="C7" s="24">
        <f>(75+135)/2</f>
        <v>105</v>
      </c>
      <c r="D7" s="24">
        <f>(8221+12445)/2</f>
        <v>10333</v>
      </c>
      <c r="E7">
        <f>20-3.5</f>
        <v>16.5</v>
      </c>
      <c r="F7">
        <v>0.08</v>
      </c>
      <c r="G7">
        <f>50*1000</f>
        <v>50000</v>
      </c>
      <c r="H7" s="79">
        <f t="shared" si="0"/>
        <v>0.11124580093975582</v>
      </c>
      <c r="I7" s="1">
        <f>B7*H7*1000000</f>
        <v>120697800.41660216</v>
      </c>
      <c r="J7" s="2">
        <f>I7/G7</f>
        <v>2413.9560083320434</v>
      </c>
      <c r="K7" s="2">
        <v>1892</v>
      </c>
      <c r="L7" s="53" t="s">
        <v>177</v>
      </c>
      <c r="M7" s="53"/>
      <c r="R7" s="35"/>
      <c r="S7" s="35"/>
    </row>
    <row r="8" spans="1:19" x14ac:dyDescent="0.35">
      <c r="A8" t="s">
        <v>116</v>
      </c>
      <c r="B8" s="6">
        <f t="shared" ref="B8:B17" si="2">C8*D8/1000</f>
        <v>828.89509999999996</v>
      </c>
      <c r="C8" s="24">
        <f>(135+74.9)/2</f>
        <v>104.95</v>
      </c>
      <c r="D8" s="10">
        <f>(((8221+12445)/2)+5463)/2</f>
        <v>7898</v>
      </c>
      <c r="E8">
        <v>16</v>
      </c>
      <c r="F8">
        <v>0.08</v>
      </c>
      <c r="G8">
        <f>50*1000</f>
        <v>50000</v>
      </c>
      <c r="H8" s="79">
        <f t="shared" si="0"/>
        <v>0.11297687198822257</v>
      </c>
      <c r="I8" s="1">
        <f t="shared" ref="I8:I19" si="3">B8*H8*1000000</f>
        <v>93645975.604364932</v>
      </c>
      <c r="J8" s="2">
        <f t="shared" si="1"/>
        <v>1872.9195120872987</v>
      </c>
      <c r="K8" s="2"/>
    </row>
    <row r="9" spans="1:19" x14ac:dyDescent="0.35">
      <c r="A9" t="s">
        <v>121</v>
      </c>
      <c r="B9" s="6">
        <f t="shared" ref="B9" si="4">C9*D9/1000</f>
        <v>31.6</v>
      </c>
      <c r="C9" s="24">
        <f>(5+11)/2</f>
        <v>8</v>
      </c>
      <c r="D9" s="24">
        <f>(2600+5300)/2</f>
        <v>3950</v>
      </c>
      <c r="E9">
        <f>20-(1.25+1.25)</f>
        <v>17.5</v>
      </c>
      <c r="F9">
        <v>0.08</v>
      </c>
      <c r="G9">
        <f>2.9*1000</f>
        <v>2900</v>
      </c>
      <c r="H9" s="79">
        <f t="shared" ref="H9" si="5">(F9*(1+F9)^E9)/((1+F9)^E9-1)</f>
        <v>0.10811781238078196</v>
      </c>
      <c r="I9" s="1">
        <f>B9*H9*1000000</f>
        <v>3416522.8712327098</v>
      </c>
      <c r="J9" s="2">
        <f t="shared" ref="J9" si="6">I9/G9</f>
        <v>1178.111334907831</v>
      </c>
      <c r="K9" s="2">
        <v>965</v>
      </c>
    </row>
    <row r="10" spans="1:19" x14ac:dyDescent="0.35">
      <c r="A10" t="s">
        <v>122</v>
      </c>
      <c r="B10" s="6">
        <f>C10*D10/1000</f>
        <v>16.5</v>
      </c>
      <c r="C10">
        <v>5</v>
      </c>
      <c r="D10">
        <v>3300</v>
      </c>
      <c r="E10">
        <f>20-(1.25+1.25)</f>
        <v>17.5</v>
      </c>
      <c r="F10">
        <v>0.08</v>
      </c>
      <c r="G10">
        <f>2.9*1000</f>
        <v>2900</v>
      </c>
      <c r="H10" s="79">
        <f t="shared" si="0"/>
        <v>0.10811781238078196</v>
      </c>
      <c r="I10" s="1">
        <f t="shared" si="3"/>
        <v>1783943.9042829021</v>
      </c>
      <c r="J10" s="2">
        <f t="shared" si="1"/>
        <v>615.15307044238</v>
      </c>
      <c r="K10" s="2">
        <v>605</v>
      </c>
    </row>
    <row r="11" spans="1:19" ht="15.5" customHeight="1" x14ac:dyDescent="0.35">
      <c r="A11" t="s">
        <v>27</v>
      </c>
      <c r="B11" s="6">
        <f>C11*D11/1000</f>
        <v>415.72500000000002</v>
      </c>
      <c r="C11" s="24">
        <f>(100+130)/2</f>
        <v>115</v>
      </c>
      <c r="D11">
        <v>3615</v>
      </c>
      <c r="E11">
        <v>16</v>
      </c>
      <c r="F11">
        <v>0.08</v>
      </c>
      <c r="G11">
        <f>145*1000</f>
        <v>145000</v>
      </c>
      <c r="H11" s="79">
        <f>(F11*(1+F11)^E11)/((1+F11)^E11-1)</f>
        <v>0.11297687198822257</v>
      </c>
      <c r="I11" s="1">
        <f>B11*H11*1000000</f>
        <v>46967310.107303828</v>
      </c>
      <c r="J11" s="2">
        <f>I11/G11</f>
        <v>323.91248349864708</v>
      </c>
      <c r="K11" s="2">
        <v>281</v>
      </c>
    </row>
    <row r="12" spans="1:19" x14ac:dyDescent="0.35">
      <c r="A12" t="s">
        <v>28</v>
      </c>
      <c r="B12" s="6">
        <f t="shared" si="2"/>
        <v>220.5</v>
      </c>
      <c r="C12">
        <v>105</v>
      </c>
      <c r="D12">
        <v>2100</v>
      </c>
      <c r="E12">
        <v>17</v>
      </c>
      <c r="F12">
        <v>0.08</v>
      </c>
      <c r="G12">
        <f>150*1000</f>
        <v>150000</v>
      </c>
      <c r="H12" s="79">
        <f t="shared" si="0"/>
        <v>0.1096294314987091</v>
      </c>
      <c r="I12" s="1">
        <f t="shared" si="3"/>
        <v>24173289.645465355</v>
      </c>
      <c r="J12" s="2">
        <f t="shared" si="1"/>
        <v>161.15526430310237</v>
      </c>
      <c r="K12" s="2"/>
    </row>
    <row r="13" spans="1:19" x14ac:dyDescent="0.35">
      <c r="A13" t="s">
        <v>30</v>
      </c>
      <c r="B13" s="6">
        <f t="shared" si="2"/>
        <v>24.209</v>
      </c>
      <c r="C13">
        <v>43</v>
      </c>
      <c r="D13">
        <v>563</v>
      </c>
      <c r="E13">
        <v>15.5</v>
      </c>
      <c r="F13">
        <v>0.08</v>
      </c>
      <c r="G13">
        <f>62*1000</f>
        <v>62000</v>
      </c>
      <c r="H13" s="79">
        <f t="shared" si="0"/>
        <v>0.11483387741459251</v>
      </c>
      <c r="I13" s="1">
        <f t="shared" si="3"/>
        <v>2780013.3383298703</v>
      </c>
      <c r="J13" s="102">
        <f t="shared" si="1"/>
        <v>44.838924811772102</v>
      </c>
      <c r="K13" s="102">
        <v>57</v>
      </c>
    </row>
    <row r="14" spans="1:19" x14ac:dyDescent="0.35">
      <c r="A14" t="s">
        <v>60</v>
      </c>
      <c r="B14" s="6">
        <f t="shared" si="2"/>
        <v>352.9</v>
      </c>
      <c r="C14">
        <v>100</v>
      </c>
      <c r="D14">
        <v>3529</v>
      </c>
      <c r="E14">
        <v>16</v>
      </c>
      <c r="F14">
        <v>0.08</v>
      </c>
      <c r="G14">
        <f>57.8*1000</f>
        <v>57800</v>
      </c>
      <c r="H14" s="79">
        <f t="shared" si="0"/>
        <v>0.11297687198822257</v>
      </c>
      <c r="I14" s="1">
        <f t="shared" si="3"/>
        <v>39869538.124643736</v>
      </c>
      <c r="J14" s="102">
        <f t="shared" si="1"/>
        <v>689.78439662013386</v>
      </c>
      <c r="K14" s="102">
        <v>800</v>
      </c>
    </row>
    <row r="15" spans="1:19" x14ac:dyDescent="0.35">
      <c r="A15" t="s">
        <v>34</v>
      </c>
      <c r="B15" s="6">
        <f t="shared" si="2"/>
        <v>2.52</v>
      </c>
      <c r="C15">
        <v>5</v>
      </c>
      <c r="D15">
        <v>504</v>
      </c>
      <c r="E15">
        <v>18</v>
      </c>
      <c r="F15">
        <v>0.08</v>
      </c>
      <c r="G15">
        <f>2.9*1000</f>
        <v>2900</v>
      </c>
      <c r="H15" s="79">
        <f t="shared" si="0"/>
        <v>0.10670209590483774</v>
      </c>
      <c r="I15" s="1">
        <f t="shared" si="3"/>
        <v>268889.28168019111</v>
      </c>
      <c r="J15" s="2">
        <f t="shared" si="1"/>
        <v>92.720441958686592</v>
      </c>
      <c r="K15" s="2">
        <v>128</v>
      </c>
    </row>
    <row r="16" spans="1:19" x14ac:dyDescent="0.35">
      <c r="A16" t="s">
        <v>35</v>
      </c>
      <c r="B16" s="6">
        <f t="shared" si="2"/>
        <v>1248.7065</v>
      </c>
      <c r="C16" s="24">
        <f>(200+217)/2</f>
        <v>208.5</v>
      </c>
      <c r="D16" s="24">
        <f>(3798+8180)/2</f>
        <v>5989</v>
      </c>
      <c r="E16">
        <f>20-3</f>
        <v>17</v>
      </c>
      <c r="F16">
        <v>0.08</v>
      </c>
      <c r="G16">
        <f>134*1000</f>
        <v>134000</v>
      </c>
      <c r="H16" s="79">
        <f t="shared" si="0"/>
        <v>0.1096294314987091</v>
      </c>
      <c r="I16" s="1">
        <f t="shared" si="3"/>
        <v>136894983.7037428</v>
      </c>
      <c r="J16" s="102">
        <f t="shared" si="1"/>
        <v>1021.6043559980806</v>
      </c>
      <c r="K16" s="102">
        <v>1445</v>
      </c>
      <c r="L16" s="24" t="s">
        <v>176</v>
      </c>
    </row>
    <row r="17" spans="1:11" x14ac:dyDescent="0.35">
      <c r="A17" t="s">
        <v>171</v>
      </c>
      <c r="B17" s="6">
        <f t="shared" si="2"/>
        <v>208.58360000000002</v>
      </c>
      <c r="C17" s="18">
        <v>78.8</v>
      </c>
      <c r="D17" s="18">
        <v>2647</v>
      </c>
      <c r="E17">
        <v>16</v>
      </c>
      <c r="F17">
        <v>0.08</v>
      </c>
      <c r="G17">
        <f>85*1000</f>
        <v>85000</v>
      </c>
      <c r="H17" s="79">
        <f>(F17*(1+F17)^E17)/((1+F17)^E17-1)</f>
        <v>0.11297687198822257</v>
      </c>
      <c r="I17" s="1">
        <f>B17*H17*1000000</f>
        <v>23565122.676042624</v>
      </c>
      <c r="J17" s="2">
        <f>I17/G17</f>
        <v>277.23673736520732</v>
      </c>
      <c r="K17" s="2">
        <v>278</v>
      </c>
    </row>
    <row r="18" spans="1:11" x14ac:dyDescent="0.35">
      <c r="A18" t="s">
        <v>172</v>
      </c>
      <c r="B18" s="6">
        <f>C18*D18/1000</f>
        <v>573.61500000000001</v>
      </c>
      <c r="C18" s="24">
        <f>(75+135)/2</f>
        <v>105</v>
      </c>
      <c r="D18">
        <v>5463</v>
      </c>
      <c r="E18">
        <f>20-4</f>
        <v>16</v>
      </c>
      <c r="F18">
        <v>0.08</v>
      </c>
      <c r="G18">
        <f>50*1000</f>
        <v>50000</v>
      </c>
      <c r="H18" s="79">
        <f t="shared" si="0"/>
        <v>0.11297687198822257</v>
      </c>
      <c r="I18" s="1">
        <f t="shared" si="3"/>
        <v>64805228.425524294</v>
      </c>
      <c r="J18" s="2">
        <f t="shared" si="1"/>
        <v>1296.1045685104859</v>
      </c>
      <c r="K18" s="2">
        <v>1257</v>
      </c>
    </row>
    <row r="19" spans="1:11" x14ac:dyDescent="0.35">
      <c r="A19" t="s">
        <v>62</v>
      </c>
      <c r="B19" s="6">
        <f t="shared" ref="B19:B20" si="7">C19*D19/1000</f>
        <v>196.48099999999999</v>
      </c>
      <c r="C19">
        <v>61</v>
      </c>
      <c r="D19">
        <v>3221</v>
      </c>
      <c r="E19">
        <v>15</v>
      </c>
      <c r="F19">
        <v>0.08</v>
      </c>
      <c r="G19">
        <f>38.7*1000</f>
        <v>38700</v>
      </c>
      <c r="H19" s="79">
        <f t="shared" si="0"/>
        <v>0.11682954493601999</v>
      </c>
      <c r="I19" s="1">
        <f t="shared" si="3"/>
        <v>22954785.818574145</v>
      </c>
      <c r="J19" s="2">
        <f t="shared" si="1"/>
        <v>593.1469203765929</v>
      </c>
      <c r="K19" s="2">
        <v>805</v>
      </c>
    </row>
    <row r="20" spans="1:11" x14ac:dyDescent="0.35">
      <c r="A20" t="s">
        <v>63</v>
      </c>
      <c r="B20" s="6">
        <f t="shared" si="7"/>
        <v>451.92</v>
      </c>
      <c r="C20">
        <v>120</v>
      </c>
      <c r="D20">
        <v>3766</v>
      </c>
      <c r="E20">
        <v>15</v>
      </c>
      <c r="F20">
        <v>0.08</v>
      </c>
      <c r="G20">
        <f>120*1000</f>
        <v>120000</v>
      </c>
      <c r="H20" s="79">
        <f>(F20*(1+F20)^E20)/((1+F20)^E20-1)</f>
        <v>0.11682954493601999</v>
      </c>
      <c r="I20" s="1">
        <f>B20*H20*1000000</f>
        <v>52797607.947486155</v>
      </c>
      <c r="J20" s="2">
        <f>I20/G20</f>
        <v>439.98006622905132</v>
      </c>
      <c r="K20" s="2">
        <v>685</v>
      </c>
    </row>
    <row r="23" spans="1:11" x14ac:dyDescent="0.35">
      <c r="E23" t="s">
        <v>178</v>
      </c>
    </row>
  </sheetData>
  <pageMargins left="0.7" right="0.7" top="0.78740157499999996" bottom="0.78740157499999996"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F0A88-8CE0-40E1-B31F-4CBC72698B5B}">
  <dimension ref="A1:H22"/>
  <sheetViews>
    <sheetView workbookViewId="0">
      <selection activeCell="E3" sqref="E3"/>
    </sheetView>
  </sheetViews>
  <sheetFormatPr baseColWidth="10" defaultRowHeight="14.5" x14ac:dyDescent="0.35"/>
  <cols>
    <col min="4" max="4" width="24.453125" customWidth="1"/>
    <col min="5" max="5" width="16.36328125" customWidth="1"/>
    <col min="6" max="6" width="22.6328125" customWidth="1"/>
  </cols>
  <sheetData>
    <row r="1" spans="1:8" s="54" customFormat="1" ht="19.5" customHeight="1" x14ac:dyDescent="0.35">
      <c r="A1" s="54" t="s">
        <v>148</v>
      </c>
      <c r="B1" s="54" t="s">
        <v>149</v>
      </c>
      <c r="C1" s="54" t="s">
        <v>150</v>
      </c>
      <c r="D1" s="54" t="s">
        <v>153</v>
      </c>
      <c r="E1" s="54" t="s">
        <v>154</v>
      </c>
      <c r="F1" s="54" t="s">
        <v>157</v>
      </c>
      <c r="G1" s="54" t="s">
        <v>158</v>
      </c>
    </row>
    <row r="2" spans="1:8" s="55" customFormat="1" ht="19.5" customHeight="1" x14ac:dyDescent="0.35">
      <c r="A2" s="55" t="s">
        <v>151</v>
      </c>
    </row>
    <row r="3" spans="1:8" x14ac:dyDescent="0.35">
      <c r="A3" s="50">
        <v>1</v>
      </c>
      <c r="B3">
        <v>14.5</v>
      </c>
      <c r="C3">
        <v>150</v>
      </c>
      <c r="D3" s="6">
        <f>B3*1000/C3</f>
        <v>96.666666666666671</v>
      </c>
      <c r="E3">
        <v>267</v>
      </c>
      <c r="F3" s="6">
        <f>E3-D3</f>
        <v>170.33333333333331</v>
      </c>
    </row>
    <row r="4" spans="1:8" x14ac:dyDescent="0.35">
      <c r="A4" t="s">
        <v>131</v>
      </c>
      <c r="B4">
        <v>156</v>
      </c>
      <c r="C4">
        <v>500</v>
      </c>
      <c r="D4" s="6">
        <f>B4*1000/C4</f>
        <v>312</v>
      </c>
      <c r="E4">
        <v>405</v>
      </c>
      <c r="F4" s="6">
        <f t="shared" ref="F4:F20" si="0">E4-D4</f>
        <v>93</v>
      </c>
    </row>
    <row r="5" spans="1:8" x14ac:dyDescent="0.35">
      <c r="A5" t="s">
        <v>130</v>
      </c>
      <c r="B5">
        <v>156</v>
      </c>
      <c r="C5">
        <v>500</v>
      </c>
      <c r="D5" s="6">
        <f t="shared" ref="D5" si="1">B5*1000/C5</f>
        <v>312</v>
      </c>
      <c r="E5">
        <v>566</v>
      </c>
      <c r="F5" s="6">
        <f t="shared" si="0"/>
        <v>254</v>
      </c>
    </row>
    <row r="6" spans="1:8" x14ac:dyDescent="0.35">
      <c r="A6" t="s">
        <v>132</v>
      </c>
      <c r="B6">
        <v>43.8</v>
      </c>
      <c r="C6">
        <v>85</v>
      </c>
      <c r="D6" s="6">
        <f>B6*1000/C6</f>
        <v>515.29411764705878</v>
      </c>
      <c r="E6">
        <v>516</v>
      </c>
      <c r="F6" s="6">
        <f t="shared" si="0"/>
        <v>0.7058823529412166</v>
      </c>
    </row>
    <row r="7" spans="1:8" x14ac:dyDescent="0.35">
      <c r="A7" t="s">
        <v>133</v>
      </c>
      <c r="C7">
        <v>85</v>
      </c>
      <c r="D7" s="6"/>
      <c r="F7" s="6">
        <f t="shared" si="0"/>
        <v>0</v>
      </c>
    </row>
    <row r="8" spans="1:8" x14ac:dyDescent="0.35">
      <c r="A8" s="50">
        <v>6</v>
      </c>
      <c r="B8" s="24">
        <f>(52.5+93.7)/2</f>
        <v>73.099999999999994</v>
      </c>
      <c r="C8">
        <v>50</v>
      </c>
      <c r="D8" s="6">
        <f t="shared" ref="D8:D20" si="2">B8*1000/C8</f>
        <v>1462</v>
      </c>
      <c r="E8" s="39"/>
      <c r="F8" s="6">
        <f t="shared" si="0"/>
        <v>-1462</v>
      </c>
      <c r="H8" s="24" t="s">
        <v>156</v>
      </c>
    </row>
    <row r="9" spans="1:8" x14ac:dyDescent="0.35">
      <c r="A9" s="50" t="s">
        <v>142</v>
      </c>
      <c r="B9">
        <v>2.63</v>
      </c>
      <c r="C9">
        <v>2.9</v>
      </c>
      <c r="D9" s="6">
        <f t="shared" si="2"/>
        <v>906.89655172413791</v>
      </c>
      <c r="E9">
        <v>913</v>
      </c>
      <c r="F9" s="6">
        <f t="shared" si="0"/>
        <v>6.1034482758620925</v>
      </c>
    </row>
    <row r="10" spans="1:8" x14ac:dyDescent="0.35">
      <c r="A10" s="50" t="s">
        <v>143</v>
      </c>
      <c r="B10">
        <v>1.1200000000000001</v>
      </c>
      <c r="C10">
        <v>2.9</v>
      </c>
      <c r="D10" s="6">
        <f t="shared" si="2"/>
        <v>386.20689655172413</v>
      </c>
      <c r="E10">
        <v>388</v>
      </c>
      <c r="F10" s="6">
        <f t="shared" si="0"/>
        <v>1.7931034482758719</v>
      </c>
    </row>
    <row r="11" spans="1:8" x14ac:dyDescent="0.35">
      <c r="A11" s="50" t="s">
        <v>134</v>
      </c>
      <c r="B11">
        <v>27.1</v>
      </c>
      <c r="C11">
        <v>145</v>
      </c>
      <c r="D11" s="6">
        <f t="shared" si="2"/>
        <v>186.89655172413794</v>
      </c>
      <c r="E11">
        <v>186</v>
      </c>
      <c r="F11" s="6">
        <f t="shared" si="0"/>
        <v>-0.89655172413793593</v>
      </c>
    </row>
    <row r="12" spans="1:8" x14ac:dyDescent="0.35">
      <c r="A12" s="50" t="s">
        <v>135</v>
      </c>
      <c r="B12">
        <v>180</v>
      </c>
      <c r="C12">
        <v>150</v>
      </c>
      <c r="D12" s="6">
        <f t="shared" si="2"/>
        <v>1200</v>
      </c>
      <c r="E12" t="s">
        <v>146</v>
      </c>
      <c r="F12" s="6"/>
    </row>
    <row r="13" spans="1:8" x14ac:dyDescent="0.35">
      <c r="A13" s="50" t="s">
        <v>136</v>
      </c>
      <c r="B13">
        <v>1.8</v>
      </c>
      <c r="C13">
        <v>62</v>
      </c>
      <c r="D13" s="6">
        <f t="shared" si="2"/>
        <v>29.032258064516128</v>
      </c>
      <c r="E13">
        <v>29</v>
      </c>
      <c r="F13" s="6">
        <f t="shared" si="0"/>
        <v>-3.2258064516128115E-2</v>
      </c>
    </row>
    <row r="14" spans="1:8" x14ac:dyDescent="0.35">
      <c r="A14" s="50" t="s">
        <v>137</v>
      </c>
      <c r="B14">
        <v>20.8</v>
      </c>
      <c r="C14">
        <v>57.8</v>
      </c>
      <c r="D14" s="6">
        <f t="shared" si="2"/>
        <v>359.86159169550177</v>
      </c>
      <c r="E14">
        <v>360</v>
      </c>
      <c r="F14" s="6">
        <f t="shared" si="0"/>
        <v>0.13840830449822761</v>
      </c>
    </row>
    <row r="15" spans="1:8" x14ac:dyDescent="0.35">
      <c r="A15" s="50" t="s">
        <v>138</v>
      </c>
      <c r="B15">
        <v>0.2</v>
      </c>
      <c r="C15">
        <v>2.9</v>
      </c>
      <c r="D15" s="6">
        <f t="shared" si="2"/>
        <v>68.965517241379317</v>
      </c>
      <c r="E15">
        <v>151</v>
      </c>
      <c r="F15" s="6">
        <f t="shared" si="0"/>
        <v>82.034482758620683</v>
      </c>
    </row>
    <row r="16" spans="1:8" x14ac:dyDescent="0.35">
      <c r="A16" s="50" t="s">
        <v>139</v>
      </c>
      <c r="B16" s="24">
        <f>(57+163.9)/2</f>
        <v>110.45</v>
      </c>
      <c r="C16">
        <v>134</v>
      </c>
      <c r="D16" s="6">
        <f t="shared" si="2"/>
        <v>824.25373134328356</v>
      </c>
      <c r="E16">
        <v>955</v>
      </c>
      <c r="F16" s="6">
        <f t="shared" si="0"/>
        <v>130.74626865671644</v>
      </c>
    </row>
    <row r="17" spans="1:8" x14ac:dyDescent="0.35">
      <c r="A17" s="50" t="s">
        <v>180</v>
      </c>
      <c r="B17">
        <v>33.4</v>
      </c>
      <c r="C17">
        <v>85</v>
      </c>
      <c r="D17" s="6">
        <f t="shared" si="2"/>
        <v>392.94117647058823</v>
      </c>
      <c r="E17">
        <v>393</v>
      </c>
      <c r="F17" s="6">
        <f t="shared" si="0"/>
        <v>5.882352941176805E-2</v>
      </c>
    </row>
    <row r="18" spans="1:8" x14ac:dyDescent="0.35">
      <c r="A18" s="50" t="s">
        <v>181</v>
      </c>
      <c r="D18" s="6"/>
      <c r="F18" s="6"/>
    </row>
    <row r="19" spans="1:8" x14ac:dyDescent="0.35">
      <c r="A19" s="50" t="s">
        <v>140</v>
      </c>
      <c r="C19">
        <v>38.700000000000003</v>
      </c>
      <c r="D19" s="6"/>
      <c r="E19">
        <v>582</v>
      </c>
      <c r="F19" s="6"/>
    </row>
    <row r="20" spans="1:8" x14ac:dyDescent="0.35">
      <c r="A20" s="50" t="s">
        <v>141</v>
      </c>
      <c r="B20">
        <v>33.799999999999997</v>
      </c>
      <c r="C20">
        <v>120</v>
      </c>
      <c r="D20" s="6">
        <f t="shared" si="2"/>
        <v>281.66666666666669</v>
      </c>
      <c r="E20">
        <f>(981+706)/2</f>
        <v>843.5</v>
      </c>
      <c r="F20" s="6">
        <f t="shared" si="0"/>
        <v>561.83333333333326</v>
      </c>
      <c r="G20" t="s">
        <v>159</v>
      </c>
      <c r="H20" s="24" t="s">
        <v>155</v>
      </c>
    </row>
    <row r="22" spans="1:8" x14ac:dyDescent="0.35">
      <c r="A22" s="50" t="s">
        <v>152</v>
      </c>
    </row>
  </sheetData>
  <pageMargins left="0.7" right="0.7" top="0.78740157499999996" bottom="0.78740157499999996"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C4E9-543E-4CA0-9793-DC1F652386CA}">
  <sheetPr codeName="Tabelle3"/>
  <dimension ref="A1:H31"/>
  <sheetViews>
    <sheetView workbookViewId="0">
      <pane ySplit="1" topLeftCell="A2" activePane="bottomLeft" state="frozen"/>
      <selection pane="bottomLeft" activeCell="E1" sqref="E1"/>
    </sheetView>
  </sheetViews>
  <sheetFormatPr baseColWidth="10" defaultRowHeight="14.5" x14ac:dyDescent="0.35"/>
  <cols>
    <col min="2" max="2" width="16.1796875" customWidth="1"/>
    <col min="3" max="3" width="18" customWidth="1"/>
    <col min="4" max="4" width="24.54296875" customWidth="1"/>
    <col min="5" max="5" width="35.26953125" customWidth="1"/>
    <col min="6" max="6" width="20.453125" customWidth="1"/>
    <col min="7" max="7" width="18.54296875" customWidth="1"/>
  </cols>
  <sheetData>
    <row r="1" spans="1:8" s="27" customFormat="1" x14ac:dyDescent="0.35">
      <c r="B1" s="27" t="s">
        <v>99</v>
      </c>
      <c r="C1" s="27" t="s">
        <v>100</v>
      </c>
      <c r="D1" s="27" t="s">
        <v>98</v>
      </c>
      <c r="E1" s="27" t="s">
        <v>117</v>
      </c>
      <c r="F1" s="27" t="s">
        <v>41</v>
      </c>
      <c r="G1" s="27" t="s">
        <v>67</v>
      </c>
      <c r="H1" s="27" t="s">
        <v>71</v>
      </c>
    </row>
    <row r="2" spans="1:8" s="10" customFormat="1" x14ac:dyDescent="0.35">
      <c r="A2" s="10" t="s">
        <v>0</v>
      </c>
    </row>
    <row r="3" spans="1:8" x14ac:dyDescent="0.35">
      <c r="B3" s="32">
        <v>13.2</v>
      </c>
      <c r="C3" s="31">
        <v>110</v>
      </c>
      <c r="D3" s="32">
        <v>14.5</v>
      </c>
      <c r="E3" t="s">
        <v>64</v>
      </c>
      <c r="F3" t="s">
        <v>76</v>
      </c>
      <c r="G3" t="s">
        <v>68</v>
      </c>
      <c r="H3" t="s">
        <v>72</v>
      </c>
    </row>
    <row r="4" spans="1:8" x14ac:dyDescent="0.35">
      <c r="E4" t="s">
        <v>65</v>
      </c>
      <c r="F4" t="s">
        <v>77</v>
      </c>
      <c r="G4" t="s">
        <v>69</v>
      </c>
    </row>
    <row r="5" spans="1:8" x14ac:dyDescent="0.35">
      <c r="E5" t="s">
        <v>66</v>
      </c>
      <c r="F5" t="s">
        <v>43</v>
      </c>
      <c r="G5" t="s">
        <v>70</v>
      </c>
    </row>
    <row r="6" spans="1:8" s="10" customFormat="1" x14ac:dyDescent="0.35">
      <c r="A6" s="10" t="s">
        <v>1</v>
      </c>
    </row>
    <row r="7" spans="1:8" x14ac:dyDescent="0.35">
      <c r="E7" t="s">
        <v>78</v>
      </c>
      <c r="H7" t="s">
        <v>81</v>
      </c>
    </row>
    <row r="8" spans="1:8" x14ac:dyDescent="0.35">
      <c r="E8" t="s">
        <v>64</v>
      </c>
      <c r="F8" t="s">
        <v>76</v>
      </c>
      <c r="G8" t="s">
        <v>79</v>
      </c>
    </row>
    <row r="9" spans="1:8" x14ac:dyDescent="0.35">
      <c r="E9" t="s">
        <v>65</v>
      </c>
      <c r="F9" t="s">
        <v>77</v>
      </c>
      <c r="G9" t="s">
        <v>80</v>
      </c>
    </row>
    <row r="12" spans="1:8" s="10" customFormat="1" x14ac:dyDescent="0.35">
      <c r="A12" s="10" t="s">
        <v>16</v>
      </c>
    </row>
    <row r="13" spans="1:8" x14ac:dyDescent="0.35">
      <c r="B13">
        <v>10.6</v>
      </c>
      <c r="D13">
        <v>43.8</v>
      </c>
      <c r="H13" t="s">
        <v>95</v>
      </c>
    </row>
    <row r="14" spans="1:8" x14ac:dyDescent="0.35">
      <c r="H14" t="s">
        <v>96</v>
      </c>
    </row>
    <row r="15" spans="1:8" x14ac:dyDescent="0.35">
      <c r="H15" t="s">
        <v>97</v>
      </c>
    </row>
    <row r="17" spans="1:8" s="10" customFormat="1" x14ac:dyDescent="0.35">
      <c r="A17" s="10" t="s">
        <v>18</v>
      </c>
    </row>
    <row r="18" spans="1:8" x14ac:dyDescent="0.35">
      <c r="D18">
        <v>48.2</v>
      </c>
      <c r="H18" s="24" t="s">
        <v>101</v>
      </c>
    </row>
    <row r="19" spans="1:8" s="10" customFormat="1" x14ac:dyDescent="0.35">
      <c r="A19" s="10" t="s">
        <v>59</v>
      </c>
    </row>
    <row r="21" spans="1:8" s="10" customFormat="1" x14ac:dyDescent="0.35">
      <c r="A21" s="10" t="s">
        <v>27</v>
      </c>
    </row>
    <row r="22" spans="1:8" x14ac:dyDescent="0.35">
      <c r="B22">
        <v>7.5</v>
      </c>
      <c r="H22" t="s">
        <v>102</v>
      </c>
    </row>
    <row r="23" spans="1:8" x14ac:dyDescent="0.35">
      <c r="H23" t="s">
        <v>103</v>
      </c>
    </row>
    <row r="25" spans="1:8" x14ac:dyDescent="0.35">
      <c r="A25" t="s">
        <v>60</v>
      </c>
    </row>
    <row r="26" spans="1:8" x14ac:dyDescent="0.35">
      <c r="A26" t="s">
        <v>34</v>
      </c>
    </row>
    <row r="27" spans="1:8" x14ac:dyDescent="0.35">
      <c r="A27" t="s">
        <v>61</v>
      </c>
    </row>
    <row r="28" spans="1:8" s="10" customFormat="1" x14ac:dyDescent="0.35">
      <c r="A28" s="10" t="s">
        <v>36</v>
      </c>
    </row>
    <row r="29" spans="1:8" x14ac:dyDescent="0.35">
      <c r="D29">
        <v>33.4</v>
      </c>
    </row>
    <row r="30" spans="1:8" x14ac:dyDescent="0.35">
      <c r="A30" t="s">
        <v>62</v>
      </c>
    </row>
    <row r="31" spans="1:8" x14ac:dyDescent="0.35">
      <c r="A31" t="s">
        <v>63</v>
      </c>
    </row>
  </sheetData>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23</vt:i4>
      </vt:variant>
    </vt:vector>
  </HeadingPairs>
  <TitlesOfParts>
    <vt:vector size="23" baseType="lpstr">
      <vt:lpstr>Prices per feedstock &amp; per IVC</vt:lpstr>
      <vt:lpstr>LCoP CONVENTIONAL</vt:lpstr>
      <vt:lpstr>2023 costs</vt:lpstr>
      <vt:lpstr>2030 costs Sc 1</vt:lpstr>
      <vt:lpstr>2030 costs Sc 2</vt:lpstr>
      <vt:lpstr>2030 costs Sc 3</vt:lpstr>
      <vt:lpstr>2035 costs Sc 1</vt:lpstr>
      <vt:lpstr>2035 costs Scenario 2</vt:lpstr>
      <vt:lpstr>2040 Sc 1</vt:lpstr>
      <vt:lpstr>2040 Sc 2</vt:lpstr>
      <vt:lpstr>2040 costs Sc 3</vt:lpstr>
      <vt:lpstr>LCoP 2030 MEDIUM</vt:lpstr>
      <vt:lpstr>LCoP 2040 high</vt:lpstr>
      <vt:lpstr>Co-products</vt:lpstr>
      <vt:lpstr>LCoP 2030 HIGH</vt:lpstr>
      <vt:lpstr>Feedstock MIX per IVC</vt:lpstr>
      <vt:lpstr>LCoP 2040 medium-high</vt:lpstr>
      <vt:lpstr>LCoP 2050 high</vt:lpstr>
      <vt:lpstr>Feedtstocks only CONVENTIONAL</vt:lpstr>
      <vt:lpstr>Feedstock share development</vt:lpstr>
      <vt:lpstr>CAPEX only</vt:lpstr>
      <vt:lpstr>OPEX only</vt:lpstr>
      <vt:lpstr>CAPEX and OPEX</vt:lpstr>
    </vt:vector>
  </TitlesOfParts>
  <Company>BEST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Lucie Catalina Cherpin</dc:creator>
  <cp:lastModifiedBy>Lucie Catalina Cherpin</cp:lastModifiedBy>
  <dcterms:created xsi:type="dcterms:W3CDTF">2026-06-24T14:04:02Z</dcterms:created>
  <dcterms:modified xsi:type="dcterms:W3CDTF">2026-08-28T13:37:35Z</dcterms:modified>
</cp:coreProperties>
</file>