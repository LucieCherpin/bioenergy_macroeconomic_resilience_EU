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2c94b4791397b6/BEST MA/Modell Files/"/>
    </mc:Choice>
  </mc:AlternateContent>
  <xr:revisionPtr revIDLastSave="242" documentId="8_{0778CCFC-D1E6-4AD1-8F1E-2B3F2115D773}" xr6:coauthVersionLast="47" xr6:coauthVersionMax="47" xr10:uidLastSave="{4E46E05B-734D-43EE-95AE-CDFC5444E3EC}"/>
  <bookViews>
    <workbookView xWindow="-11985" yWindow="-18120" windowWidth="29040" windowHeight="17520" activeTab="1" xr2:uid="{00000000-000D-0000-FFFF-FFFF00000000}"/>
  </bookViews>
  <sheets>
    <sheet name="Summary" sheetId="1" r:id="rId1"/>
    <sheet name="Sheet 1 " sheetId="8" r:id="rId2"/>
    <sheet name="Sheet 3" sheetId="4" r:id="rId3"/>
    <sheet name="Sheet 2" sheetId="2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11" i="8" l="1"/>
  <c r="O11" i="8"/>
  <c r="P11" i="8"/>
  <c r="Q11" i="8"/>
  <c r="R11" i="8"/>
  <c r="S11" i="8"/>
  <c r="T11" i="8"/>
  <c r="U11" i="8"/>
  <c r="N11" i="8"/>
  <c r="C105" i="2"/>
  <c r="E105" i="2" a="1"/>
  <c r="E105" i="2" s="1"/>
  <c r="L21" i="2"/>
  <c r="AH21" i="2"/>
  <c r="AI23" i="2"/>
  <c r="AR23" i="2"/>
  <c r="AS23" i="2"/>
  <c r="AK22" i="2"/>
  <c r="AK24" i="2"/>
  <c r="AI24" i="2" s="1"/>
  <c r="AJ21" i="2"/>
  <c r="AI25" i="2"/>
  <c r="AI26" i="2"/>
  <c r="AI27" i="2"/>
  <c r="AI28" i="2"/>
  <c r="AI29" i="2"/>
  <c r="AI30" i="2"/>
  <c r="AI31" i="2"/>
  <c r="AI32" i="2"/>
  <c r="AI33" i="2"/>
  <c r="AI34" i="2"/>
  <c r="AK35" i="2"/>
  <c r="AI35" i="2" s="1"/>
  <c r="AK36" i="2"/>
  <c r="AI36" i="2" s="1"/>
  <c r="AK37" i="2"/>
  <c r="AI37" i="2" s="1"/>
  <c r="AK38" i="2"/>
  <c r="AI38" i="2" s="1"/>
  <c r="AI39" i="2"/>
  <c r="AI40" i="2"/>
  <c r="AI41" i="2"/>
  <c r="AK42" i="2"/>
  <c r="AI42" i="2" s="1"/>
  <c r="AK44" i="2"/>
  <c r="AK43" i="2" s="1"/>
  <c r="AJ43" i="2"/>
  <c r="AI45" i="2"/>
  <c r="AI46" i="2"/>
  <c r="AI47" i="2"/>
  <c r="AK48" i="2"/>
  <c r="AI48" i="2" s="1"/>
  <c r="AI49" i="2"/>
  <c r="AI50" i="2"/>
  <c r="AI51" i="2"/>
  <c r="AK52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K66" i="2"/>
  <c r="AI66" i="2" s="1"/>
  <c r="AK67" i="2"/>
  <c r="AI67" i="2" s="1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K11" i="2"/>
  <c r="AI11" i="2" s="1"/>
  <c r="AI12" i="2"/>
  <c r="AI13" i="2"/>
  <c r="AI14" i="2"/>
  <c r="AK15" i="2"/>
  <c r="AI15" i="2" s="1"/>
  <c r="AI16" i="2"/>
  <c r="AI17" i="2"/>
  <c r="AI18" i="2"/>
  <c r="AI19" i="2"/>
  <c r="AI20" i="2"/>
  <c r="AI10" i="2"/>
  <c r="O52" i="2"/>
  <c r="M10" i="2"/>
  <c r="M53" i="2"/>
  <c r="M45" i="2"/>
  <c r="I43" i="2"/>
  <c r="J43" i="2"/>
  <c r="K43" i="2"/>
  <c r="L43" i="2"/>
  <c r="N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L43" i="2"/>
  <c r="AN43" i="2"/>
  <c r="AO43" i="2"/>
  <c r="AP43" i="2"/>
  <c r="AQ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CH43" i="2"/>
  <c r="CI43" i="2"/>
  <c r="CJ43" i="2"/>
  <c r="CK43" i="2"/>
  <c r="CL43" i="2"/>
  <c r="CM43" i="2"/>
  <c r="CN43" i="2"/>
  <c r="CO43" i="2"/>
  <c r="C43" i="2"/>
  <c r="D43" i="2"/>
  <c r="E43" i="2"/>
  <c r="F43" i="2"/>
  <c r="G43" i="2"/>
  <c r="H43" i="2"/>
  <c r="CI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J21" i="2"/>
  <c r="CK21" i="2"/>
  <c r="CL21" i="2"/>
  <c r="CM21" i="2"/>
  <c r="CN21" i="2"/>
  <c r="CO21" i="2"/>
  <c r="BP21" i="2"/>
  <c r="D21" i="2"/>
  <c r="E21" i="2"/>
  <c r="F21" i="2"/>
  <c r="G21" i="2"/>
  <c r="H21" i="2"/>
  <c r="I21" i="2"/>
  <c r="J21" i="2"/>
  <c r="K21" i="2"/>
  <c r="N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L21" i="2"/>
  <c r="AM21" i="2"/>
  <c r="AN21" i="2"/>
  <c r="AO21" i="2"/>
  <c r="AP21" i="2"/>
  <c r="AQ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M13" i="2"/>
  <c r="M14" i="2"/>
  <c r="M16" i="2"/>
  <c r="M17" i="2"/>
  <c r="M19" i="2"/>
  <c r="M20" i="2"/>
  <c r="M23" i="2"/>
  <c r="M24" i="2"/>
  <c r="M25" i="2"/>
  <c r="M26" i="2"/>
  <c r="M27" i="2"/>
  <c r="M28" i="2"/>
  <c r="M29" i="2"/>
  <c r="M31" i="2"/>
  <c r="M32" i="2"/>
  <c r="M33" i="2"/>
  <c r="M34" i="2"/>
  <c r="M39" i="2"/>
  <c r="M40" i="2"/>
  <c r="M41" i="2"/>
  <c r="M46" i="2"/>
  <c r="M49" i="2"/>
  <c r="M50" i="2"/>
  <c r="M51" i="2"/>
  <c r="M54" i="2"/>
  <c r="M55" i="2"/>
  <c r="M56" i="2"/>
  <c r="M57" i="2"/>
  <c r="M58" i="2"/>
  <c r="M59" i="2"/>
  <c r="M60" i="2"/>
  <c r="M61" i="2"/>
  <c r="M62" i="2"/>
  <c r="M63" i="2"/>
  <c r="M64" i="2"/>
  <c r="M65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8" i="2"/>
  <c r="M90" i="2"/>
  <c r="M92" i="2"/>
  <c r="M93" i="2"/>
  <c r="M94" i="2"/>
  <c r="M95" i="2"/>
  <c r="M102" i="2"/>
  <c r="M103" i="2"/>
  <c r="B25" i="2"/>
  <c r="AR25" i="2"/>
  <c r="AR45" i="2"/>
  <c r="AR43" i="2" s="1"/>
  <c r="B26" i="2"/>
  <c r="AR26" i="2"/>
  <c r="Q22" i="2"/>
  <c r="Q21" i="2" s="1"/>
  <c r="Q52" i="2"/>
  <c r="Q42" i="2"/>
  <c r="Q44" i="2"/>
  <c r="Q43" i="2"/>
  <c r="B45" i="2"/>
  <c r="B43" i="2" s="1"/>
  <c r="Q11" i="2"/>
  <c r="Q47" i="2"/>
  <c r="Q66" i="2"/>
  <c r="Q38" i="2"/>
  <c r="Q36" i="2"/>
  <c r="Q35" i="2"/>
  <c r="Q48" i="2"/>
  <c r="Q67" i="2"/>
  <c r="B24" i="2"/>
  <c r="B23" i="2"/>
  <c r="AS24" i="2"/>
  <c r="AT24" i="2"/>
  <c r="AT21" i="2"/>
  <c r="AR24" i="2"/>
  <c r="C21" i="2"/>
  <c r="P52" i="2"/>
  <c r="P42" i="2"/>
  <c r="R22" i="2"/>
  <c r="R21" i="2" s="1"/>
  <c r="R42" i="2"/>
  <c r="R52" i="2"/>
  <c r="P44" i="2"/>
  <c r="P43" i="2"/>
  <c r="R44" i="2"/>
  <c r="R43" i="2" s="1"/>
  <c r="O44" i="2"/>
  <c r="O42" i="2"/>
  <c r="O22" i="2"/>
  <c r="O21" i="2"/>
  <c r="P18" i="2"/>
  <c r="R18" i="2"/>
  <c r="M18" i="2" s="1"/>
  <c r="R15" i="2"/>
  <c r="M15" i="2" s="1"/>
  <c r="R12" i="2"/>
  <c r="P15" i="2"/>
  <c r="P12" i="2"/>
  <c r="P11" i="2"/>
  <c r="R11" i="2"/>
  <c r="R66" i="2"/>
  <c r="R37" i="2"/>
  <c r="R38" i="2"/>
  <c r="R48" i="2"/>
  <c r="R67" i="2"/>
  <c r="R36" i="2"/>
  <c r="R35" i="2"/>
  <c r="P22" i="2"/>
  <c r="P21" i="2" s="1"/>
  <c r="P66" i="2"/>
  <c r="M66" i="2" s="1"/>
  <c r="P35" i="2"/>
  <c r="P36" i="2"/>
  <c r="P67" i="2"/>
  <c r="P48" i="2"/>
  <c r="P38" i="2"/>
  <c r="P37" i="2"/>
  <c r="O15" i="2"/>
  <c r="O67" i="2"/>
  <c r="O48" i="2"/>
  <c r="O35" i="2"/>
  <c r="O36" i="2"/>
  <c r="O38" i="2"/>
  <c r="O66" i="2"/>
  <c r="O47" i="2"/>
  <c r="AM45" i="2"/>
  <c r="AM43" i="2"/>
  <c r="M37" i="2" l="1"/>
  <c r="D105" i="2"/>
  <c r="D106" i="2" s="1"/>
  <c r="L106" i="2"/>
  <c r="L107" i="2" s="1"/>
  <c r="AI43" i="2"/>
  <c r="M48" i="2"/>
  <c r="AK21" i="2"/>
  <c r="AI21" i="2" s="1"/>
  <c r="AR6" i="2"/>
  <c r="M42" i="2"/>
  <c r="B21" i="2"/>
  <c r="M12" i="2"/>
  <c r="M44" i="2"/>
  <c r="M43" i="2" s="1"/>
  <c r="M47" i="2"/>
  <c r="AI22" i="2"/>
  <c r="M11" i="2"/>
  <c r="M38" i="2"/>
  <c r="M22" i="2"/>
  <c r="M21" i="2" s="1"/>
  <c r="M36" i="2"/>
  <c r="M35" i="2"/>
  <c r="M67" i="2"/>
  <c r="M52" i="2"/>
  <c r="AS21" i="2"/>
  <c r="O43" i="2"/>
  <c r="AI44" i="2"/>
  <c r="AR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tc={F99F0DCC-2EBC-4F68-AFBB-3C1374604807}</author>
    <author>tc={45F79860-20A6-47FA-AA9F-B1CE87D2BB85}</author>
    <author>tc={DE6C3B40-E4BA-4A31-B5ED-08D8072E2EC7}</author>
    <author>tc={BFD982DA-8895-46C9-B4E2-A5BEA808B4C4}</author>
    <author>tc={87A101BC-F53B-43C8-B543-44E0AD1B1738}</author>
    <author>tc={EC16EA39-0E7F-4DD5-8AA1-40D2BE60E195}</author>
    <author>tc={B47681D3-D6F5-45B1-B242-A118EED5CC93}</author>
    <author>tc={FA817646-0DE1-4C2F-B9B9-1F17FE08679C}</author>
  </authors>
  <commentList>
    <comment ref="B9" authorId="0" shapeId="0" xr:uid="{F99F0DCC-2EBC-4F68-AFBB-3C137460480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= the sum of what that sector (in the row) supples to other sectors</t>
      </text>
    </comment>
    <comment ref="A10" authorId="1" shapeId="0" xr:uid="{45F79860-20A6-47FA-AA9F-B1CE87D2BB8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= total value of all inputs (in the rows) consumed by that product (in the column)</t>
      </text>
    </comment>
    <comment ref="A86" authorId="2" shapeId="0" xr:uid="{DE6C3B40-E4BA-4A31-B5ED-08D8072E2EC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GVA = Output - "Total Intermediate Consumption/ final use"</t>
      </text>
    </comment>
    <comment ref="A88" authorId="3" shapeId="0" xr:uid="{BFD982DA-8895-46C9-B4E2-A5BEA808B4C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the income remaining to producers after paying 1) intermediate inputs, 2) employees, 3) production-related taxes</t>
      </text>
    </comment>
    <comment ref="A89" authorId="4" shapeId="0" xr:uid="{87A101BC-F53B-43C8-B543-44E0AD1B173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especially relevat for self-employed/ unincorporated buisnesses; when labour renumeration and return to capital cnannot always be separated</t>
      </text>
    </comment>
    <comment ref="A95" authorId="5" shapeId="0" xr:uid="{EC16EA39-0E7F-4DD5-8AA1-40D2BE60E19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all that the sector consumes in terms of intermediate consumption/ inputs. When it is LESS than the sum of all intermediare inputs of this table (rows 10 to 86), this is because of the imports they cosnume/ receive</t>
      </text>
    </comment>
    <comment ref="A102" authorId="6" shapeId="0" xr:uid="{B47681D3-D6F5-45B1-B242-A118EED5CC9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corresponds to the "total" in the first row of the imports table</t>
      </text>
    </comment>
    <comment ref="A103" authorId="7" shapeId="0" xr:uid="{FA817646-0DE1-4C2F-B9B9-1F17FE08679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equals the output!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<sst xmlns="http://schemas.openxmlformats.org/spreadsheetml/2006/main" count="4372" uniqueCount="139">
  <si>
    <t>Symmetric input-output table at basic prices (product by product) [naio_10_cp1700__custom_22171884]</t>
  </si>
  <si>
    <t>Open product page</t>
  </si>
  <si>
    <t>Open in Data Browser</t>
  </si>
  <si>
    <t xml:space="preserve">Description: </t>
  </si>
  <si>
    <t>-</t>
  </si>
  <si>
    <t xml:space="preserve">Last update of data: </t>
  </si>
  <si>
    <t>03/07/2026 23:00</t>
  </si>
  <si>
    <t xml:space="preserve">Last change of data structure: </t>
  </si>
  <si>
    <t>04/06/2026 23:00</t>
  </si>
  <si>
    <t>Institutional source(s)</t>
  </si>
  <si>
    <t>Eurostat</t>
  </si>
  <si>
    <t>Contents</t>
  </si>
  <si>
    <t>Time frequency</t>
  </si>
  <si>
    <t>Unit of measure</t>
  </si>
  <si>
    <t>Stock or flow</t>
  </si>
  <si>
    <t>Sheet 1</t>
  </si>
  <si>
    <t>Annual</t>
  </si>
  <si>
    <t>Million euro</t>
  </si>
  <si>
    <t>Domestic uses</t>
  </si>
  <si>
    <t>Data extracted on 22/07/2026 13:02:41 from [ESTAT]</t>
  </si>
  <si>
    <t xml:space="preserve">Dataset: </t>
  </si>
  <si>
    <t xml:space="preserve">Last updated: </t>
  </si>
  <si>
    <t>PRD_USE (Labels)</t>
  </si>
  <si>
    <t>Total</t>
  </si>
  <si>
    <t>Products of agriculture, hunting and related services</t>
  </si>
  <si>
    <t>Products of forestry, logging and related services</t>
  </si>
  <si>
    <t>Fish and other fishing products; aquaculture products; support services to fishing</t>
  </si>
  <si>
    <t>Mining and quarrying</t>
  </si>
  <si>
    <t>Food, beverages and tobacco products</t>
  </si>
  <si>
    <t>Textiles, wearing apparel, leather and related products</t>
  </si>
  <si>
    <t>Wood and of products of wood and cork, except furniture; articles of straw and plaiting materials</t>
  </si>
  <si>
    <t>Paper and paper products</t>
  </si>
  <si>
    <t>Printing and recording services</t>
  </si>
  <si>
    <t>Coke and refined petroleum products</t>
  </si>
  <si>
    <t>Basic pharmaceutical products and pharmaceutical preparations</t>
  </si>
  <si>
    <t>Rubber and plastic products</t>
  </si>
  <si>
    <t>Other non-metallic mineral products</t>
  </si>
  <si>
    <t>Basic metals</t>
  </si>
  <si>
    <t>Fabricated metal products, except machinery and equipment</t>
  </si>
  <si>
    <t>Computer, electronic and optical products</t>
  </si>
  <si>
    <t>Electrical equipment</t>
  </si>
  <si>
    <t>Machinery and equipment n.e.c.</t>
  </si>
  <si>
    <t>Motor vehicles, trailers and semi-trailers</t>
  </si>
  <si>
    <t>Other transport equipment</t>
  </si>
  <si>
    <t>Furniture and other manufactured goods</t>
  </si>
  <si>
    <t>Repair and installation services of machinery and equipment</t>
  </si>
  <si>
    <t>Natural water; water treatment and supply services</t>
  </si>
  <si>
    <t>Sewerage services; sewage sludge; waste collection, treatment and disposal services; materials recovery services; remediation services and other waste management services</t>
  </si>
  <si>
    <t>Constructions and construction works</t>
  </si>
  <si>
    <t>Wholesale and retail trade and repair services of motor vehicles and motorcycles</t>
  </si>
  <si>
    <t>Wholesale trade services, except of motor vehicles and motorcycles</t>
  </si>
  <si>
    <t>Retail trade services, except of motor vehicles and motorcycles</t>
  </si>
  <si>
    <t>Land transport services and transport services via pipelines</t>
  </si>
  <si>
    <t>Water transport services</t>
  </si>
  <si>
    <t>Air transport services</t>
  </si>
  <si>
    <t>Warehousing and support services for transportation</t>
  </si>
  <si>
    <t>Postal and courier services</t>
  </si>
  <si>
    <t>Accommodation and food services</t>
  </si>
  <si>
    <t>Publishing services</t>
  </si>
  <si>
    <t>Motion picture, video and television programme production services, sound recording and music publishing; programming and broadcasting services</t>
  </si>
  <si>
    <t>Telecommunications services</t>
  </si>
  <si>
    <t>Computer programming, consultancy and related services; Information services</t>
  </si>
  <si>
    <t>Financial services, except insurance and pension funding</t>
  </si>
  <si>
    <t>Insurance, reinsurance and pension funding services, except compulsory social security</t>
  </si>
  <si>
    <t>Services auxiliary to financial services and insurance services</t>
  </si>
  <si>
    <t>Real estate services excluding imputed rents</t>
  </si>
  <si>
    <t>Legal and accounting services; services of head offices; management consultancy services</t>
  </si>
  <si>
    <t>Architectural and engineering services; technical testing and analysis services</t>
  </si>
  <si>
    <t>Scientific research and development services</t>
  </si>
  <si>
    <t>Advertising and market research services</t>
  </si>
  <si>
    <t>Other professional, scientific and technical services and veterinary services</t>
  </si>
  <si>
    <t>Rental and leasing services</t>
  </si>
  <si>
    <t>Employment services</t>
  </si>
  <si>
    <t>Travel agency, tour operator and other reservation services and related services</t>
  </si>
  <si>
    <t>Security and investigation services; services to buildings and landscape; office administrative, office support and other business support services</t>
  </si>
  <si>
    <t>Public administration and defence services; compulsory social security services</t>
  </si>
  <si>
    <t>Education services</t>
  </si>
  <si>
    <t>Human health services</t>
  </si>
  <si>
    <t>Residential care services; social work services without accommodation</t>
  </si>
  <si>
    <t>Creative, arts, entertainment, library, archive, museum, other cultural services; gambling and betting services</t>
  </si>
  <si>
    <t>Sporting services and amusement and recreation services</t>
  </si>
  <si>
    <t>Services furnished by membership organisations</t>
  </si>
  <si>
    <t>Repair services of computers and personal and household goods</t>
  </si>
  <si>
    <t>Other personal services</t>
  </si>
  <si>
    <t>Services of households as employers; undifferentiated goods and services produced by households for own use</t>
  </si>
  <si>
    <t>Services provided by extraterritorial organisations and bodies</t>
  </si>
  <si>
    <t>Final consumption expediture</t>
  </si>
  <si>
    <t>Final consumption expenditure by government</t>
  </si>
  <si>
    <t>Final consumption expenditure by households</t>
  </si>
  <si>
    <t>Final consumption expenditure by non-profit organisations serving households (NPISH)</t>
  </si>
  <si>
    <t>Gross capital formation</t>
  </si>
  <si>
    <t>Changes in inventories and acquisition less disposals of valuables</t>
  </si>
  <si>
    <t>Exports of goods and services</t>
  </si>
  <si>
    <t>Exports of goods and services to EU countries</t>
  </si>
  <si>
    <t>Exports of goods and services to non-EU countries</t>
  </si>
  <si>
    <t>Exports of goods and services to euro area countries</t>
  </si>
  <si>
    <t>Exports of goods and services to EU countries outside the euro area</t>
  </si>
  <si>
    <t>Gross fixed capital formation</t>
  </si>
  <si>
    <t>Changes in inventories</t>
  </si>
  <si>
    <t>Acquisitions less disposals of valuables</t>
  </si>
  <si>
    <t>Total use</t>
  </si>
  <si>
    <t>Total final use</t>
  </si>
  <si>
    <t>:</t>
  </si>
  <si>
    <t>Value added, gross</t>
  </si>
  <si>
    <t>Operating surplus and mixed income, net</t>
  </si>
  <si>
    <t>Operating surplus and mixed income, gross</t>
  </si>
  <si>
    <t>Mixed income, gross</t>
  </si>
  <si>
    <t>Compensation of employees</t>
  </si>
  <si>
    <t>Wages and salaries</t>
  </si>
  <si>
    <t>Taxes less subsidies on products</t>
  </si>
  <si>
    <t>Other taxes less other subsidies on production</t>
  </si>
  <si>
    <t>Output</t>
  </si>
  <si>
    <t>Total intermediate consumption /final use</t>
  </si>
  <si>
    <t>Imports of goods and services</t>
  </si>
  <si>
    <t>Imports of goods and services from EU countries</t>
  </si>
  <si>
    <t>Imports of goods and services from non-EU countries</t>
  </si>
  <si>
    <t>Imports of goods and services from euro area countries</t>
  </si>
  <si>
    <t>Imports of goods and services from EU countries outside the euro area</t>
  </si>
  <si>
    <t>Consumption of fixed capital</t>
  </si>
  <si>
    <t>Use of imported products</t>
  </si>
  <si>
    <t>Total supply at basic prices</t>
  </si>
  <si>
    <t>Time</t>
  </si>
  <si>
    <t>Conventional biodiesel</t>
  </si>
  <si>
    <t>Advanced biodiesel</t>
  </si>
  <si>
    <t>Conventional  biogasoline</t>
  </si>
  <si>
    <t>Advanced biogasoline</t>
  </si>
  <si>
    <t>Conventional bio-kerosene</t>
  </si>
  <si>
    <t>Advanced bio-kerosene</t>
  </si>
  <si>
    <t>Advanced bio-HFO</t>
  </si>
  <si>
    <t>Advanced biogas</t>
  </si>
  <si>
    <t>Chemicals and chemical products - original</t>
  </si>
  <si>
    <t>Chemicals and chemical products - adapted</t>
  </si>
  <si>
    <t>RFNBOs</t>
  </si>
  <si>
    <t>Electricity, gas, steam and air conditioning - adapted</t>
  </si>
  <si>
    <t>Electricity, gas, steam and air conditioning - original</t>
  </si>
  <si>
    <t>TIME</t>
  </si>
  <si>
    <t>2023</t>
  </si>
  <si>
    <t>to be filled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</si>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</sst>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#,##0.##########"/>
    <numFmt numFmtId="165" formatCode="#,##0.0000000000"/>
    <numFmt numFmtId="166" formatCode="#,##0.###"/>
    <numFmt numFmtId="167" formatCode="#,##0.##"/>
    <numFmt numFmtId="168" formatCode="#,##0.######"/>
    <numFmt numFmtId="169" formatCode="#,##0.000"/>
    <numFmt numFmtId="170" formatCode="#,##0.#########"/>
    <numFmt numFmtId="171" formatCode="#,##0.####"/>
    <numFmt numFmtId="172" formatCode="0.000"/>
    <numFmt numFmtId="173" formatCode="#,##0.00000"/>
    <numFmt numFmtId="174" formatCode="_-* #,##0.0000_-;\-* #,##0.0000_-;_-* &quot;-&quot;??_-;_-@_-"/>
    <numFmt numFmtId="175" formatCode="0.0000"/>
    <numFmt numFmtId="176" formatCode="#,##0.#######"/>
    <numFmt numFmtId="177" formatCode="0.000000"/>
    <numFmt numFmtId="178" formatCode="_-* #,##0.0000000000_-;\-* #,##0.0000000000_-;_-* &quot;-&quot;??????????_-;_-@_-"/>
    <numFmt numFmtId="179" formatCode="0.0"/>
  </numFmts>
  <fonts count="9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1"/>
      <color indexed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0" fontId="2" fillId="5" borderId="0" xfId="0" applyFont="1" applyFill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164" fontId="2" fillId="6" borderId="0" xfId="0" applyNumberFormat="1" applyFont="1" applyFill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1" fillId="7" borderId="1" xfId="0" applyFont="1" applyFill="1" applyBorder="1" applyAlignment="1">
      <alignment horizontal="left" vertical="center"/>
    </xf>
    <xf numFmtId="164" fontId="2" fillId="7" borderId="0" xfId="0" applyNumberFormat="1" applyFont="1" applyFill="1" applyAlignment="1">
      <alignment horizontal="right" vertical="center" shrinkToFit="1"/>
    </xf>
    <xf numFmtId="3" fontId="2" fillId="7" borderId="0" xfId="0" applyNumberFormat="1" applyFont="1" applyFill="1" applyAlignment="1">
      <alignment horizontal="right" vertical="center" shrinkToFit="1"/>
    </xf>
    <xf numFmtId="0" fontId="1" fillId="8" borderId="1" xfId="0" applyFont="1" applyFill="1" applyBorder="1" applyAlignment="1">
      <alignment horizontal="left" vertical="center"/>
    </xf>
    <xf numFmtId="164" fontId="2" fillId="8" borderId="0" xfId="0" applyNumberFormat="1" applyFont="1" applyFill="1" applyAlignment="1">
      <alignment horizontal="right" vertical="center" shrinkToFit="1"/>
    </xf>
    <xf numFmtId="3" fontId="2" fillId="8" borderId="0" xfId="0" applyNumberFormat="1" applyFont="1" applyFill="1" applyAlignment="1">
      <alignment horizontal="right" vertical="center" shrinkToFit="1"/>
    </xf>
    <xf numFmtId="0" fontId="1" fillId="9" borderId="1" xfId="0" applyFont="1" applyFill="1" applyBorder="1" applyAlignment="1">
      <alignment horizontal="left" vertical="center"/>
    </xf>
    <xf numFmtId="164" fontId="2" fillId="9" borderId="0" xfId="0" applyNumberFormat="1" applyFont="1" applyFill="1" applyAlignment="1">
      <alignment horizontal="right" vertical="center" shrinkToFit="1"/>
    </xf>
    <xf numFmtId="3" fontId="2" fillId="9" borderId="0" xfId="0" applyNumberFormat="1" applyFont="1" applyFill="1" applyAlignment="1">
      <alignment horizontal="right" vertical="center" shrinkToFit="1"/>
    </xf>
    <xf numFmtId="0" fontId="1" fillId="5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164" fontId="2" fillId="11" borderId="0" xfId="0" applyNumberFormat="1" applyFont="1" applyFill="1" applyAlignment="1">
      <alignment horizontal="right" vertical="center" shrinkToFit="1"/>
    </xf>
    <xf numFmtId="3" fontId="2" fillId="11" borderId="0" xfId="0" applyNumberFormat="1" applyFont="1" applyFill="1" applyAlignment="1">
      <alignment horizontal="right" vertical="center" shrinkToFit="1"/>
    </xf>
    <xf numFmtId="0" fontId="3" fillId="11" borderId="1" xfId="0" applyFont="1" applyFill="1" applyBorder="1" applyAlignment="1">
      <alignment horizontal="left" vertical="center"/>
    </xf>
    <xf numFmtId="166" fontId="2" fillId="6" borderId="0" xfId="0" applyNumberFormat="1" applyFont="1" applyFill="1" applyAlignment="1">
      <alignment horizontal="right" vertical="center" shrinkToFit="1"/>
    </xf>
    <xf numFmtId="167" fontId="2" fillId="6" borderId="0" xfId="0" applyNumberFormat="1" applyFont="1" applyFill="1" applyAlignment="1">
      <alignment horizontal="right" vertical="center" shrinkToFit="1"/>
    </xf>
    <xf numFmtId="167" fontId="2" fillId="7" borderId="0" xfId="0" applyNumberFormat="1" applyFont="1" applyFill="1" applyAlignment="1">
      <alignment horizontal="right" vertical="center" shrinkToFit="1"/>
    </xf>
    <xf numFmtId="166" fontId="2" fillId="11" borderId="0" xfId="0" applyNumberFormat="1" applyFont="1" applyFill="1" applyAlignment="1">
      <alignment horizontal="right" vertical="center" shrinkToFit="1"/>
    </xf>
    <xf numFmtId="0" fontId="1" fillId="12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right" vertical="center"/>
    </xf>
    <xf numFmtId="2" fontId="1" fillId="10" borderId="1" xfId="0" applyNumberFormat="1" applyFont="1" applyFill="1" applyBorder="1" applyAlignment="1">
      <alignment horizontal="right" vertical="center"/>
    </xf>
    <xf numFmtId="2" fontId="2" fillId="6" borderId="0" xfId="0" applyNumberFormat="1" applyFont="1" applyFill="1" applyAlignment="1">
      <alignment horizontal="right" vertical="center" shrinkToFit="1"/>
    </xf>
    <xf numFmtId="2" fontId="1" fillId="5" borderId="1" xfId="0" applyNumberFormat="1" applyFont="1" applyFill="1" applyBorder="1" applyAlignment="1">
      <alignment horizontal="right" vertical="center"/>
    </xf>
    <xf numFmtId="164" fontId="2" fillId="12" borderId="0" xfId="0" applyNumberFormat="1" applyFont="1" applyFill="1" applyAlignment="1">
      <alignment horizontal="right" vertical="center" shrinkToFit="1"/>
    </xf>
    <xf numFmtId="3" fontId="2" fillId="12" borderId="0" xfId="0" applyNumberFormat="1" applyFont="1" applyFill="1" applyAlignment="1">
      <alignment horizontal="right" vertical="center" shrinkToFit="1"/>
    </xf>
    <xf numFmtId="0" fontId="1" fillId="12" borderId="1" xfId="0" applyFont="1" applyFill="1" applyBorder="1" applyAlignment="1">
      <alignment horizontal="right" vertical="center"/>
    </xf>
    <xf numFmtId="4" fontId="2" fillId="12" borderId="0" xfId="0" applyNumberFormat="1" applyFont="1" applyFill="1" applyAlignment="1">
      <alignment horizontal="right" vertical="center" shrinkToFit="1"/>
    </xf>
    <xf numFmtId="2" fontId="2" fillId="0" borderId="0" xfId="0" applyNumberFormat="1" applyFont="1" applyAlignment="1">
      <alignment horizontal="right" vertical="center" shrinkToFit="1"/>
    </xf>
    <xf numFmtId="2" fontId="2" fillId="4" borderId="0" xfId="0" applyNumberFormat="1" applyFont="1" applyFill="1" applyAlignment="1">
      <alignment horizontal="right" vertical="center" shrinkToFit="1"/>
    </xf>
    <xf numFmtId="0" fontId="6" fillId="12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right" vertical="center"/>
    </xf>
    <xf numFmtId="43" fontId="2" fillId="10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167" fontId="7" fillId="13" borderId="0" xfId="0" applyNumberFormat="1" applyFont="1" applyFill="1" applyAlignment="1">
      <alignment horizontal="right" vertical="center" shrinkToFit="1"/>
    </xf>
    <xf numFmtId="167" fontId="2" fillId="12" borderId="0" xfId="0" applyNumberFormat="1" applyFont="1" applyFill="1" applyAlignment="1">
      <alignment horizontal="right" vertical="center" shrinkToFit="1"/>
    </xf>
    <xf numFmtId="0" fontId="0" fillId="0" borderId="0" xfId="0" applyAlignment="1">
      <alignment horizontal="right"/>
    </xf>
    <xf numFmtId="0" fontId="0" fillId="6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0" fillId="11" borderId="0" xfId="0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5" borderId="1" xfId="0" applyFont="1" applyFill="1" applyBorder="1" applyAlignment="1">
      <alignment horizontal="right" vertical="center"/>
    </xf>
    <xf numFmtId="43" fontId="1" fillId="5" borderId="1" xfId="0" applyNumberFormat="1" applyFont="1" applyFill="1" applyBorder="1" applyAlignment="1">
      <alignment horizontal="right" vertical="center"/>
    </xf>
    <xf numFmtId="0" fontId="6" fillId="12" borderId="1" xfId="0" applyFont="1" applyFill="1" applyBorder="1" applyAlignment="1">
      <alignment horizontal="right" vertical="center"/>
    </xf>
    <xf numFmtId="0" fontId="0" fillId="12" borderId="0" xfId="0" applyFill="1" applyAlignment="1">
      <alignment horizontal="right"/>
    </xf>
    <xf numFmtId="43" fontId="1" fillId="10" borderId="1" xfId="0" applyNumberFormat="1" applyFont="1" applyFill="1" applyBorder="1" applyAlignment="1">
      <alignment horizontal="right" vertical="center"/>
    </xf>
    <xf numFmtId="43" fontId="1" fillId="12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68" fontId="2" fillId="4" borderId="0" xfId="0" applyNumberFormat="1" applyFont="1" applyFill="1" applyAlignment="1">
      <alignment horizontal="right" vertical="center" shrinkToFit="1"/>
    </xf>
    <xf numFmtId="166" fontId="2" fillId="4" borderId="0" xfId="0" applyNumberFormat="1" applyFont="1" applyFill="1" applyAlignment="1">
      <alignment horizontal="right" vertical="center" shrinkToFit="1"/>
    </xf>
    <xf numFmtId="167" fontId="2" fillId="4" borderId="0" xfId="0" applyNumberFormat="1" applyFont="1" applyFill="1" applyAlignment="1">
      <alignment horizontal="right" vertical="center" shrinkToFit="1"/>
    </xf>
    <xf numFmtId="0" fontId="0" fillId="14" borderId="0" xfId="0" applyFill="1" applyAlignment="1">
      <alignment horizontal="right"/>
    </xf>
    <xf numFmtId="0" fontId="1" fillId="14" borderId="1" xfId="0" applyFont="1" applyFill="1" applyBorder="1" applyAlignment="1">
      <alignment horizontal="left" vertical="center"/>
    </xf>
    <xf numFmtId="3" fontId="2" fillId="14" borderId="0" xfId="0" applyNumberFormat="1" applyFont="1" applyFill="1" applyAlignment="1">
      <alignment horizontal="right" vertical="center" shrinkToFit="1"/>
    </xf>
    <xf numFmtId="43" fontId="1" fillId="14" borderId="1" xfId="0" applyNumberFormat="1" applyFont="1" applyFill="1" applyBorder="1" applyAlignment="1">
      <alignment horizontal="right" vertical="center"/>
    </xf>
    <xf numFmtId="0" fontId="1" fillId="14" borderId="1" xfId="0" applyFont="1" applyFill="1" applyBorder="1" applyAlignment="1">
      <alignment horizontal="right" vertical="center"/>
    </xf>
    <xf numFmtId="164" fontId="2" fillId="14" borderId="0" xfId="0" applyNumberFormat="1" applyFont="1" applyFill="1" applyAlignment="1">
      <alignment horizontal="right" vertical="center" shrinkToFit="1"/>
    </xf>
    <xf numFmtId="167" fontId="2" fillId="14" borderId="0" xfId="0" applyNumberFormat="1" applyFont="1" applyFill="1" applyAlignment="1">
      <alignment horizontal="right" vertical="center" shrinkToFit="1"/>
    </xf>
    <xf numFmtId="2" fontId="1" fillId="12" borderId="1" xfId="0" applyNumberFormat="1" applyFont="1" applyFill="1" applyBorder="1" applyAlignment="1">
      <alignment horizontal="right" vertical="center"/>
    </xf>
    <xf numFmtId="2" fontId="6" fillId="12" borderId="1" xfId="0" applyNumberFormat="1" applyFont="1" applyFill="1" applyBorder="1" applyAlignment="1">
      <alignment horizontal="right" vertical="center"/>
    </xf>
    <xf numFmtId="166" fontId="2" fillId="12" borderId="0" xfId="0" applyNumberFormat="1" applyFont="1" applyFill="1" applyAlignment="1">
      <alignment horizontal="right" vertical="center" shrinkToFit="1"/>
    </xf>
    <xf numFmtId="167" fontId="2" fillId="13" borderId="0" xfId="0" applyNumberFormat="1" applyFont="1" applyFill="1" applyAlignment="1">
      <alignment horizontal="right" vertical="center" shrinkToFit="1"/>
    </xf>
    <xf numFmtId="2" fontId="1" fillId="13" borderId="1" xfId="0" applyNumberFormat="1" applyFont="1" applyFill="1" applyBorder="1" applyAlignment="1">
      <alignment horizontal="right" vertical="center"/>
    </xf>
    <xf numFmtId="43" fontId="0" fillId="0" borderId="0" xfId="1" applyFont="1" applyAlignment="1">
      <alignment horizontal="right"/>
    </xf>
    <xf numFmtId="4" fontId="6" fillId="12" borderId="1" xfId="0" applyNumberFormat="1" applyFont="1" applyFill="1" applyBorder="1" applyAlignment="1">
      <alignment horizontal="right" vertical="center"/>
    </xf>
    <xf numFmtId="169" fontId="2" fillId="6" borderId="0" xfId="0" applyNumberFormat="1" applyFont="1" applyFill="1" applyAlignment="1">
      <alignment horizontal="right" vertical="center" shrinkToFit="1"/>
    </xf>
    <xf numFmtId="2" fontId="2" fillId="12" borderId="0" xfId="0" applyNumberFormat="1" applyFont="1" applyFill="1" applyAlignment="1">
      <alignment horizontal="right" vertical="center" shrinkToFit="1"/>
    </xf>
    <xf numFmtId="164" fontId="2" fillId="13" borderId="0" xfId="0" applyNumberFormat="1" applyFont="1" applyFill="1" applyAlignment="1">
      <alignment horizontal="right" vertical="center" shrinkToFit="1"/>
    </xf>
    <xf numFmtId="170" fontId="2" fillId="4" borderId="0" xfId="0" applyNumberFormat="1" applyFont="1" applyFill="1" applyAlignment="1">
      <alignment horizontal="right" vertical="center" shrinkToFit="1"/>
    </xf>
    <xf numFmtId="4" fontId="0" fillId="0" borderId="0" xfId="0" applyNumberFormat="1" applyAlignment="1">
      <alignment horizontal="right"/>
    </xf>
    <xf numFmtId="0" fontId="0" fillId="13" borderId="0" xfId="0" applyFill="1" applyAlignment="1">
      <alignment horizontal="right"/>
    </xf>
    <xf numFmtId="0" fontId="1" fillId="15" borderId="1" xfId="0" applyFont="1" applyFill="1" applyBorder="1" applyAlignment="1">
      <alignment horizontal="left" vertical="center"/>
    </xf>
    <xf numFmtId="169" fontId="6" fillId="12" borderId="1" xfId="0" applyNumberFormat="1" applyFont="1" applyFill="1" applyBorder="1" applyAlignment="1">
      <alignment horizontal="right" vertical="center"/>
    </xf>
    <xf numFmtId="43" fontId="6" fillId="12" borderId="1" xfId="1" applyFont="1" applyFill="1" applyBorder="1" applyAlignment="1">
      <alignment horizontal="right" vertical="center"/>
    </xf>
    <xf numFmtId="164" fontId="2" fillId="5" borderId="0" xfId="0" applyNumberFormat="1" applyFont="1" applyFill="1" applyAlignment="1">
      <alignment horizontal="right" vertical="center" shrinkToFit="1"/>
    </xf>
    <xf numFmtId="4" fontId="0" fillId="5" borderId="0" xfId="0" applyNumberFormat="1" applyFill="1" applyAlignment="1">
      <alignment horizontal="right"/>
    </xf>
    <xf numFmtId="43" fontId="0" fillId="0" borderId="0" xfId="2" applyFont="1" applyAlignment="1">
      <alignment horizontal="right"/>
    </xf>
    <xf numFmtId="171" fontId="2" fillId="6" borderId="0" xfId="0" applyNumberFormat="1" applyFont="1" applyFill="1" applyAlignment="1">
      <alignment horizontal="right" vertical="center" shrinkToFit="1"/>
    </xf>
    <xf numFmtId="171" fontId="2" fillId="7" borderId="0" xfId="0" applyNumberFormat="1" applyFont="1" applyFill="1" applyAlignment="1">
      <alignment horizontal="right" vertical="center" shrinkToFit="1"/>
    </xf>
    <xf numFmtId="171" fontId="2" fillId="8" borderId="0" xfId="0" applyNumberFormat="1" applyFont="1" applyFill="1" applyAlignment="1">
      <alignment horizontal="right" vertical="center" shrinkToFit="1"/>
    </xf>
    <xf numFmtId="167" fontId="2" fillId="8" borderId="0" xfId="0" applyNumberFormat="1" applyFont="1" applyFill="1" applyAlignment="1">
      <alignment horizontal="right" vertical="center" shrinkToFit="1"/>
    </xf>
    <xf numFmtId="167" fontId="2" fillId="9" borderId="0" xfId="0" applyNumberFormat="1" applyFont="1" applyFill="1" applyAlignment="1">
      <alignment horizontal="right" vertical="center" shrinkToFit="1"/>
    </xf>
    <xf numFmtId="43" fontId="0" fillId="0" borderId="0" xfId="0" applyNumberFormat="1" applyAlignment="1">
      <alignment horizontal="right"/>
    </xf>
    <xf numFmtId="173" fontId="2" fillId="11" borderId="0" xfId="0" applyNumberFormat="1" applyFont="1" applyFill="1" applyAlignment="1">
      <alignment horizontal="right" vertical="center" shrinkToFit="1"/>
    </xf>
    <xf numFmtId="173" fontId="1" fillId="5" borderId="1" xfId="0" applyNumberFormat="1" applyFont="1" applyFill="1" applyBorder="1" applyAlignment="1">
      <alignment horizontal="right" vertical="center"/>
    </xf>
    <xf numFmtId="173" fontId="6" fillId="12" borderId="1" xfId="0" applyNumberFormat="1" applyFont="1" applyFill="1" applyBorder="1" applyAlignment="1">
      <alignment horizontal="right" vertical="center"/>
    </xf>
    <xf numFmtId="173" fontId="2" fillId="12" borderId="0" xfId="0" applyNumberFormat="1" applyFont="1" applyFill="1" applyAlignment="1">
      <alignment horizontal="right" vertical="center" shrinkToFit="1"/>
    </xf>
    <xf numFmtId="173" fontId="2" fillId="7" borderId="0" xfId="0" applyNumberFormat="1" applyFont="1" applyFill="1" applyAlignment="1">
      <alignment horizontal="right" vertical="center" shrinkToFit="1"/>
    </xf>
    <xf numFmtId="173" fontId="2" fillId="10" borderId="1" xfId="0" applyNumberFormat="1" applyFont="1" applyFill="1" applyBorder="1" applyAlignment="1">
      <alignment horizontal="right" vertical="center"/>
    </xf>
    <xf numFmtId="174" fontId="0" fillId="11" borderId="0" xfId="0" applyNumberFormat="1" applyFill="1" applyAlignment="1">
      <alignment horizontal="right"/>
    </xf>
    <xf numFmtId="174" fontId="1" fillId="5" borderId="1" xfId="0" applyNumberFormat="1" applyFont="1" applyFill="1" applyBorder="1" applyAlignment="1">
      <alignment horizontal="right" vertical="center"/>
    </xf>
    <xf numFmtId="174" fontId="2" fillId="6" borderId="0" xfId="0" applyNumberFormat="1" applyFont="1" applyFill="1" applyAlignment="1">
      <alignment horizontal="right" vertical="center" shrinkToFit="1"/>
    </xf>
    <xf numFmtId="174" fontId="6" fillId="12" borderId="1" xfId="0" applyNumberFormat="1" applyFont="1" applyFill="1" applyBorder="1" applyAlignment="1">
      <alignment horizontal="right" vertical="center"/>
    </xf>
    <xf numFmtId="174" fontId="2" fillId="12" borderId="0" xfId="0" applyNumberFormat="1" applyFont="1" applyFill="1" applyAlignment="1">
      <alignment horizontal="right" vertical="center" shrinkToFit="1"/>
    </xf>
    <xf numFmtId="174" fontId="1" fillId="10" borderId="1" xfId="0" applyNumberFormat="1" applyFont="1" applyFill="1" applyBorder="1" applyAlignment="1">
      <alignment horizontal="right" vertical="center"/>
    </xf>
    <xf numFmtId="172" fontId="0" fillId="6" borderId="0" xfId="0" applyNumberFormat="1" applyFill="1" applyAlignment="1">
      <alignment horizontal="right"/>
    </xf>
    <xf numFmtId="175" fontId="0" fillId="6" borderId="0" xfId="0" applyNumberFormat="1" applyFill="1" applyAlignment="1">
      <alignment horizontal="right"/>
    </xf>
    <xf numFmtId="176" fontId="2" fillId="11" borderId="0" xfId="0" applyNumberFormat="1" applyFont="1" applyFill="1" applyAlignment="1">
      <alignment horizontal="right" vertical="center" shrinkToFit="1"/>
    </xf>
    <xf numFmtId="3" fontId="2" fillId="5" borderId="0" xfId="0" applyNumberFormat="1" applyFont="1" applyFill="1" applyAlignment="1">
      <alignment horizontal="right" vertical="center" shrinkToFit="1"/>
    </xf>
    <xf numFmtId="173" fontId="0" fillId="11" borderId="0" xfId="0" applyNumberFormat="1" applyFill="1" applyAlignment="1">
      <alignment horizontal="right"/>
    </xf>
    <xf numFmtId="167" fontId="0" fillId="0" borderId="0" xfId="0" applyNumberFormat="1" applyAlignment="1">
      <alignment horizontal="right"/>
    </xf>
    <xf numFmtId="176" fontId="2" fillId="6" borderId="0" xfId="0" applyNumberFormat="1" applyFont="1" applyFill="1" applyAlignment="1">
      <alignment horizontal="right" vertical="center" shrinkToFit="1"/>
    </xf>
    <xf numFmtId="164" fontId="0" fillId="13" borderId="0" xfId="0" applyNumberFormat="1" applyFill="1" applyAlignment="1">
      <alignment horizontal="right"/>
    </xf>
    <xf numFmtId="177" fontId="0" fillId="0" borderId="0" xfId="0" applyNumberFormat="1" applyAlignment="1">
      <alignment horizontal="right"/>
    </xf>
    <xf numFmtId="167" fontId="2" fillId="0" borderId="0" xfId="0" applyNumberFormat="1" applyFont="1" applyAlignment="1">
      <alignment horizontal="right" vertical="center" shrinkToFit="1"/>
    </xf>
    <xf numFmtId="43" fontId="0" fillId="0" borderId="0" xfId="3" applyFont="1" applyAlignment="1">
      <alignment horizontal="right"/>
    </xf>
    <xf numFmtId="0" fontId="2" fillId="6" borderId="0" xfId="0" applyFont="1" applyFill="1" applyAlignment="1">
      <alignment horizontal="right" vertical="center" shrinkToFit="1"/>
    </xf>
    <xf numFmtId="178" fontId="0" fillId="0" borderId="0" xfId="0" applyNumberFormat="1" applyAlignment="1">
      <alignment horizontal="right"/>
    </xf>
    <xf numFmtId="179" fontId="6" fillId="12" borderId="1" xfId="0" applyNumberFormat="1" applyFont="1" applyFill="1" applyBorder="1" applyAlignment="1">
      <alignment horizontal="right" vertical="center"/>
    </xf>
    <xf numFmtId="43" fontId="6" fillId="12" borderId="1" xfId="3" applyFont="1" applyFill="1" applyBorder="1" applyAlignment="1">
      <alignment horizontal="right" vertical="center"/>
    </xf>
    <xf numFmtId="166" fontId="0" fillId="0" borderId="0" xfId="0" applyNumberFormat="1" applyAlignment="1">
      <alignment horizontal="right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</cellXfs>
  <cellStyles count="4">
    <cellStyle name="Komma" xfId="1" builtinId="3"/>
    <cellStyle name="Komma 2" xfId="2" xr:uid="{99D87795-C150-4CE7-BC91-F53A702A6EAA}"/>
    <cellStyle name="Komma 3" xfId="3" xr:uid="{60F410E7-7A63-4450-82AD-4C4350823FAE}"/>
    <cellStyle name="Standard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10/relationships/person" Target="persons/perso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174038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rojekte\Standort%20WB\N-31-535-0-ETIP-B_2026-2028\Daten\WP3%20Sector%20Monitoring%20and%20Analysis\Task%203.2%20Assessment%20of%20building%20capacity\Providing%20secto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rojekte\Standort%20WB\N-31-535-0-ETIP-B_2026-2028\Daten\WP3%20Sector%20Monitoring%20and%20Analysis\Task%203.2%20Assessment%20of%20building%20capacity\2023%20production%20-%20reference%20scena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 per feedstock &amp; per IVC"/>
      <sheetName val="costs reference scenario 2023"/>
      <sheetName val="2030 costs Scenario 1"/>
      <sheetName val="LCoP MEDIUM"/>
      <sheetName val="LCoP CONVENTIONAL"/>
      <sheetName val="Feedtstocks only CONVENTIONAL"/>
      <sheetName val="Feedstock MIX per IVC"/>
      <sheetName val="LCoP HIGH"/>
      <sheetName val="Feedstock share development"/>
      <sheetName val="CAPEX only"/>
      <sheetName val="OPEX only"/>
      <sheetName val="CAPEX and OPEX"/>
      <sheetName val="2023 costs"/>
      <sheetName val="2030 costs Sc 1"/>
      <sheetName val="2030 costs Sc 2"/>
      <sheetName val="2030 costs Sc 3"/>
      <sheetName val="LCoP 2030 HIGH"/>
      <sheetName val="2035 costs Sc 1"/>
      <sheetName val="2035 costs Scenario 2"/>
      <sheetName val="2040 Sc 1"/>
      <sheetName val="LCoP 2030 MEDIUM"/>
      <sheetName val="LCoP 2040 medium-high"/>
      <sheetName val="LCoP 2040 high"/>
      <sheetName val="LCoP 2050 high"/>
    </sheetNames>
    <sheetDataSet>
      <sheetData sheetId="0" refreshError="1"/>
      <sheetData sheetId="1">
        <row r="109">
          <cell r="K109">
            <v>1852837435.3693089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>
        <row r="29">
          <cell r="J29">
            <v>2352192.0523857232</v>
          </cell>
          <cell r="M29">
            <v>9560206.2530712541</v>
          </cell>
        </row>
        <row r="30">
          <cell r="J30">
            <v>845496.15046998893</v>
          </cell>
          <cell r="M30">
            <v>3180082.5012285016</v>
          </cell>
          <cell r="P30">
            <v>102504790.87223586</v>
          </cell>
        </row>
        <row r="31">
          <cell r="M31">
            <v>71551856.277641281</v>
          </cell>
          <cell r="P31">
            <v>82003832.6977887</v>
          </cell>
        </row>
        <row r="32">
          <cell r="J32">
            <v>58579.20418775954</v>
          </cell>
          <cell r="M32">
            <v>23045618.75921376</v>
          </cell>
        </row>
        <row r="33">
          <cell r="M33">
            <v>46896237.518427521</v>
          </cell>
        </row>
        <row r="34">
          <cell r="J34">
            <v>966421.80089473526</v>
          </cell>
          <cell r="M34">
            <v>4770123.7518427521</v>
          </cell>
        </row>
        <row r="57">
          <cell r="J57">
            <v>51505735.255361967</v>
          </cell>
          <cell r="M57">
            <v>2415000</v>
          </cell>
        </row>
        <row r="58">
          <cell r="J58">
            <v>15075889.060886312</v>
          </cell>
          <cell r="M58">
            <v>2559612</v>
          </cell>
        </row>
        <row r="59">
          <cell r="M59">
            <v>63185300</v>
          </cell>
          <cell r="P59">
            <v>17930808</v>
          </cell>
        </row>
        <row r="60">
          <cell r="J60">
            <v>58579.20418775954</v>
          </cell>
          <cell r="M60">
            <v>18392090</v>
          </cell>
        </row>
        <row r="61">
          <cell r="M61">
            <v>37589180</v>
          </cell>
        </row>
        <row r="62">
          <cell r="J62">
            <v>966421.80089473526</v>
          </cell>
          <cell r="M62">
            <v>3839418</v>
          </cell>
        </row>
        <row r="76">
          <cell r="J76">
            <v>1806222.9602335496</v>
          </cell>
          <cell r="M76">
            <v>3290285.9712230228</v>
          </cell>
          <cell r="P76">
            <v>9582617.9856115133</v>
          </cell>
        </row>
        <row r="77">
          <cell r="M77">
            <v>1316114.3884892089</v>
          </cell>
          <cell r="P77">
            <v>23956544.964028783</v>
          </cell>
        </row>
        <row r="78">
          <cell r="J78">
            <v>77110.197796418652</v>
          </cell>
          <cell r="M78">
            <v>26322287.769784182</v>
          </cell>
        </row>
        <row r="79">
          <cell r="J79">
            <v>426225.78669176984</v>
          </cell>
          <cell r="M79">
            <v>19741715.827338133</v>
          </cell>
          <cell r="P79">
            <v>4791308.9928057566</v>
          </cell>
        </row>
        <row r="80">
          <cell r="J80">
            <v>-4602592.5844290983</v>
          </cell>
          <cell r="M80">
            <v>13161143.884892091</v>
          </cell>
        </row>
        <row r="81">
          <cell r="M81">
            <v>1974171.5827338134</v>
          </cell>
        </row>
        <row r="106">
          <cell r="J106">
            <v>6089104846.6306906</v>
          </cell>
          <cell r="M106">
            <v>423862079.30000007</v>
          </cell>
        </row>
        <row r="107">
          <cell r="M107">
            <v>234085681.5</v>
          </cell>
        </row>
        <row r="108">
          <cell r="M108">
            <v>94202332.599999994</v>
          </cell>
          <cell r="P108">
            <v>471222630.40000004</v>
          </cell>
        </row>
        <row r="109">
          <cell r="M109">
            <v>58500562.820000008</v>
          </cell>
        </row>
        <row r="110">
          <cell r="M110">
            <v>25071669.780000001</v>
          </cell>
        </row>
        <row r="111">
          <cell r="P111">
            <v>93450000</v>
          </cell>
        </row>
        <row r="116">
          <cell r="M116">
            <v>92064242.656012356</v>
          </cell>
        </row>
        <row r="117">
          <cell r="M117">
            <v>46032121.328006178</v>
          </cell>
        </row>
        <row r="118">
          <cell r="M118">
            <v>27619272.796803705</v>
          </cell>
          <cell r="P118">
            <v>73651394.124809891</v>
          </cell>
        </row>
        <row r="119">
          <cell r="M119">
            <v>12888993.97184173</v>
          </cell>
        </row>
        <row r="120">
          <cell r="M120">
            <v>5523854.5593607416</v>
          </cell>
        </row>
        <row r="121">
          <cell r="P121">
            <v>0</v>
          </cell>
        </row>
        <row r="122">
          <cell r="J122">
            <v>1288899397.1841726</v>
          </cell>
        </row>
      </sheetData>
      <sheetData sheetId="13">
        <row r="8">
          <cell r="B8">
            <v>1.8981083404987085</v>
          </cell>
        </row>
      </sheetData>
      <sheetData sheetId="14">
        <row r="8">
          <cell r="B8">
            <v>6.5581511062380091</v>
          </cell>
        </row>
      </sheetData>
      <sheetData sheetId="15">
        <row r="8">
          <cell r="B8">
            <v>12.552380421043075</v>
          </cell>
        </row>
      </sheetData>
      <sheetData sheetId="16" refreshError="1"/>
      <sheetData sheetId="17">
        <row r="8">
          <cell r="B8">
            <v>2.5103140482332202</v>
          </cell>
        </row>
      </sheetData>
      <sheetData sheetId="18">
        <row r="8">
          <cell r="B8">
            <v>11.738742056271013</v>
          </cell>
        </row>
      </sheetData>
      <sheetData sheetId="19">
        <row r="8">
          <cell r="B8">
            <v>3.0156959287010836</v>
          </cell>
        </row>
      </sheetData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 prices"/>
      <sheetName val="Production costs"/>
    </sheetNames>
    <sheetDataSet>
      <sheetData sheetId="0">
        <row r="3">
          <cell r="H3">
            <v>2109.8060243287136</v>
          </cell>
        </row>
        <row r="5">
          <cell r="I5">
            <v>1965.3259972407984</v>
          </cell>
          <cell r="J5">
            <v>22.907548689299958</v>
          </cell>
          <cell r="K5">
            <v>121.5724783986155</v>
          </cell>
        </row>
        <row r="7">
          <cell r="H7">
            <v>207.67723703066784</v>
          </cell>
        </row>
        <row r="9">
          <cell r="I9">
            <v>207.67723703066784</v>
          </cell>
        </row>
        <row r="10">
          <cell r="H10">
            <v>341.36978417266198</v>
          </cell>
        </row>
        <row r="12">
          <cell r="I12">
            <v>341.36978417266198</v>
          </cell>
        </row>
        <row r="15">
          <cell r="H15">
            <v>15969.07806818182</v>
          </cell>
        </row>
        <row r="17">
          <cell r="I17">
            <v>15779.358701872621</v>
          </cell>
          <cell r="K17">
            <v>189.71936630919828</v>
          </cell>
        </row>
        <row r="18">
          <cell r="H18">
            <v>4992.9509505703409</v>
          </cell>
        </row>
        <row r="20">
          <cell r="I20">
            <v>4992.9509505703409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cie Cherpin" id="{DA591002-7384-4A0D-AA20-9E3F4FBD3154}" userId="0a2c94b4791397b6" providerId="Windows Liv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6-08-14T08:02:15.64" personId="{DA591002-7384-4A0D-AA20-9E3F4FBD3154}" id="{F99F0DCC-2EBC-4F68-AFBB-3C1374604807}">
    <text>= the sum of what that sector (in the row) supples to other sectors</text>
  </threadedComment>
  <threadedComment ref="A10" dT="2026-08-10T18:00:35.21" personId="{DA591002-7384-4A0D-AA20-9E3F4FBD3154}" id="{45F79860-20A6-47FA-AA9F-B1CE87D2BB85}">
    <text>= total value of all inputs (in the rows) consumed by that product (in the column)</text>
  </threadedComment>
  <threadedComment ref="A86" dT="2026-08-10T18:16:34.95" personId="{DA591002-7384-4A0D-AA20-9E3F4FBD3154}" id="{DE6C3B40-E4BA-4A31-B5ED-08D8072E2EC7}">
    <text>GVA = Output - "Total Intermediate Consumption/ final use"</text>
  </threadedComment>
  <threadedComment ref="A88" dT="2026-08-10T18:20:06.17" personId="{DA591002-7384-4A0D-AA20-9E3F4FBD3154}" id="{BFD982DA-8895-46C9-B4E2-A5BEA808B4C4}">
    <text>the income remaining to producers after paying 1) intermediate inputs, 2) employees, 3) production-related taxes</text>
  </threadedComment>
  <threadedComment ref="A89" dT="2026-08-10T18:21:46.60" personId="{DA591002-7384-4A0D-AA20-9E3F4FBD3154}" id="{87A101BC-F53B-43C8-B543-44E0AD1B1738}">
    <text>especially relevat for self-employed/ unincorporated buisnesses; when labour renumeration and return to capital cnannot always be separated</text>
  </threadedComment>
  <threadedComment ref="A95" dT="2026-08-14T07:11:56.79" personId="{DA591002-7384-4A0D-AA20-9E3F4FBD3154}" id="{EC16EA39-0E7F-4DD5-8AA1-40D2BE60E195}">
    <text>this is all that the sector consumes in terms of intermediate consumption/ inputs. When it is LESS than the sum of all intermediare inputs of this table (rows 10 to 86), this is because of the imports they cosnume/ receive</text>
  </threadedComment>
  <threadedComment ref="A102" dT="2026-08-10T17:58:35.09" personId="{DA591002-7384-4A0D-AA20-9E3F4FBD3154}" id="{B47681D3-D6F5-45B1-B242-A118EED5CC93}">
    <text>this corresponds to the "total" in the first row of the imports table</text>
  </threadedComment>
  <threadedComment ref="A103" dT="2026-08-14T07:10:16.87" personId="{DA591002-7384-4A0D-AA20-9E3F4FBD3154}" id="{FA817646-0DE1-4C2F-B9B9-1F17FE08679C}">
    <text>equals the output!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aio_10_cp1700__custom_22171884/default/table" TargetMode="External"/><Relationship Id="rId1" Type="http://schemas.openxmlformats.org/officeDocument/2006/relationships/hyperlink" Target="https://ec.europa.eu/eurostat/databrowser/product/page/naio_10_cp1700__custom_22171884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>
      <selection activeCell="C26" sqref="C26"/>
    </sheetView>
  </sheetViews>
  <sheetFormatPr baseColWidth="10" defaultColWidth="8.7265625" defaultRowHeight="14.5" x14ac:dyDescent="0.35"/>
  <cols>
    <col min="1" max="1" width="19.90625" customWidth="1"/>
    <col min="2" max="2" width="8.90625" customWidth="1"/>
    <col min="3" max="3" width="14.453125" customWidth="1"/>
    <col min="4" max="4" width="14.81640625" customWidth="1"/>
    <col min="5" max="5" width="12.453125" customWidth="1"/>
  </cols>
  <sheetData>
    <row r="6" spans="1:15" x14ac:dyDescent="0.35">
      <c r="A6" s="6" t="s">
        <v>0</v>
      </c>
    </row>
    <row r="7" spans="1:15" x14ac:dyDescent="0.35">
      <c r="A7" s="8" t="s">
        <v>1</v>
      </c>
      <c r="B7" s="8" t="s">
        <v>2</v>
      </c>
    </row>
    <row r="8" spans="1:15" ht="42.75" customHeight="1" x14ac:dyDescent="0.35">
      <c r="A8" s="7" t="s">
        <v>3</v>
      </c>
      <c r="B8" s="132" t="s">
        <v>4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5" spans="1:15" x14ac:dyDescent="0.35">
      <c r="B15" s="6" t="s">
        <v>11</v>
      </c>
      <c r="C15" s="6" t="s">
        <v>12</v>
      </c>
      <c r="D15" s="6" t="s">
        <v>13</v>
      </c>
      <c r="E15" s="6" t="s">
        <v>14</v>
      </c>
      <c r="F15" s="6" t="s">
        <v>121</v>
      </c>
    </row>
    <row r="16" spans="1:15" x14ac:dyDescent="0.35">
      <c r="B16" s="9" t="s">
        <v>15</v>
      </c>
      <c r="C16" s="2" t="s">
        <v>16</v>
      </c>
      <c r="D16" s="2" t="s">
        <v>17</v>
      </c>
      <c r="E16" s="12" t="s">
        <v>18</v>
      </c>
      <c r="F16">
        <v>2023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249E-FCAB-4441-AC4D-5846135447A9}">
  <dimension ref="A1:CP113"/>
  <sheetViews>
    <sheetView tabSelected="1" topLeftCell="S1" workbookViewId="0">
      <selection activeCell="AJ21" sqref="AJ21"/>
    </sheetView>
  </sheetViews>
  <sheetFormatPr baseColWidth="10" defaultRowHeight="14.5" x14ac:dyDescent="0.35"/>
  <cols>
    <col min="14" max="14" width="19.6328125" customWidth="1"/>
    <col min="15" max="15" width="13.26953125" bestFit="1" customWidth="1"/>
    <col min="16" max="16" width="14.81640625" bestFit="1" customWidth="1"/>
    <col min="17" max="17" width="12.26953125" bestFit="1" customWidth="1"/>
    <col min="18" max="21" width="11" bestFit="1" customWidth="1"/>
  </cols>
  <sheetData>
    <row r="1" spans="1:91" x14ac:dyDescent="0.35">
      <c r="A1" s="2" t="s">
        <v>19</v>
      </c>
      <c r="BX1" s="91"/>
    </row>
    <row r="2" spans="1:91" x14ac:dyDescent="0.35">
      <c r="A2" s="2" t="s">
        <v>20</v>
      </c>
      <c r="B2" s="1" t="s">
        <v>0</v>
      </c>
      <c r="BX2" s="91"/>
    </row>
    <row r="3" spans="1:91" x14ac:dyDescent="0.35">
      <c r="A3" s="2" t="s">
        <v>21</v>
      </c>
      <c r="B3" s="2" t="s">
        <v>6</v>
      </c>
      <c r="AI3" s="120"/>
      <c r="BW3" s="121"/>
      <c r="BX3" s="91"/>
      <c r="BY3" s="10"/>
    </row>
    <row r="4" spans="1:91" x14ac:dyDescent="0.35">
      <c r="I4" s="61"/>
      <c r="J4" s="61"/>
      <c r="K4" s="61"/>
      <c r="BW4" s="121"/>
      <c r="BX4" s="123"/>
      <c r="BY4" s="90"/>
    </row>
    <row r="5" spans="1:91" x14ac:dyDescent="0.35">
      <c r="A5" s="1" t="s">
        <v>12</v>
      </c>
      <c r="B5" s="2" t="s">
        <v>16</v>
      </c>
      <c r="D5" s="61"/>
      <c r="I5" s="61"/>
      <c r="N5" s="55"/>
      <c r="O5" s="55"/>
      <c r="P5" s="56"/>
      <c r="Q5" s="56"/>
      <c r="AI5" s="59"/>
      <c r="AJ5" s="68"/>
      <c r="BX5" s="91"/>
    </row>
    <row r="6" spans="1:91" x14ac:dyDescent="0.35">
      <c r="A6" s="1" t="s">
        <v>13</v>
      </c>
      <c r="B6" s="2" t="s">
        <v>17</v>
      </c>
      <c r="N6" s="117"/>
      <c r="O6" s="117"/>
      <c r="P6" s="117"/>
      <c r="Q6" s="117"/>
      <c r="AI6" s="116"/>
      <c r="AJ6" s="124"/>
      <c r="BW6" s="121"/>
      <c r="BX6" s="88"/>
      <c r="BZ6" s="10"/>
    </row>
    <row r="7" spans="1:91" x14ac:dyDescent="0.35">
      <c r="A7" s="1" t="s">
        <v>14</v>
      </c>
      <c r="B7" s="2" t="s">
        <v>18</v>
      </c>
      <c r="D7" s="60"/>
      <c r="E7" s="61"/>
      <c r="I7" s="61"/>
      <c r="J7" s="61"/>
      <c r="K7" s="61"/>
      <c r="L7" s="126"/>
      <c r="AI7" s="110"/>
      <c r="AJ7" s="103"/>
      <c r="BX7" s="91"/>
      <c r="BY7" s="11"/>
    </row>
    <row r="8" spans="1:91" x14ac:dyDescent="0.35">
      <c r="D8" s="61"/>
      <c r="BX8" s="82"/>
    </row>
    <row r="9" spans="1:91" x14ac:dyDescent="0.35">
      <c r="A9" s="49" t="s">
        <v>135</v>
      </c>
      <c r="B9" s="134" t="s">
        <v>136</v>
      </c>
      <c r="C9" s="134" t="s">
        <v>136</v>
      </c>
      <c r="D9" s="134" t="s">
        <v>136</v>
      </c>
      <c r="E9" s="134" t="s">
        <v>136</v>
      </c>
      <c r="F9" s="134" t="s">
        <v>136</v>
      </c>
      <c r="G9" s="134" t="s">
        <v>136</v>
      </c>
      <c r="H9" s="134" t="s">
        <v>136</v>
      </c>
      <c r="I9" s="134" t="s">
        <v>136</v>
      </c>
      <c r="J9" s="134" t="s">
        <v>136</v>
      </c>
      <c r="K9" s="134" t="s">
        <v>136</v>
      </c>
      <c r="L9" s="134" t="s">
        <v>136</v>
      </c>
      <c r="M9" s="134"/>
      <c r="N9" s="134"/>
      <c r="O9" s="134"/>
      <c r="P9" s="134"/>
      <c r="Q9" s="134"/>
      <c r="R9" s="134"/>
      <c r="S9" s="134"/>
      <c r="T9" s="134"/>
      <c r="U9" s="134"/>
      <c r="V9" s="134" t="s">
        <v>136</v>
      </c>
      <c r="W9" s="134" t="s">
        <v>136</v>
      </c>
      <c r="X9" s="134" t="s">
        <v>136</v>
      </c>
      <c r="Y9" s="134" t="s">
        <v>136</v>
      </c>
      <c r="Z9" s="134" t="s">
        <v>136</v>
      </c>
      <c r="AA9" s="134" t="s">
        <v>136</v>
      </c>
      <c r="AB9" s="134" t="s">
        <v>136</v>
      </c>
      <c r="AC9" s="134" t="s">
        <v>136</v>
      </c>
      <c r="AD9" s="134" t="s">
        <v>136</v>
      </c>
      <c r="AE9" s="134" t="s">
        <v>136</v>
      </c>
      <c r="AF9" s="134" t="s">
        <v>136</v>
      </c>
      <c r="AG9" s="134" t="s">
        <v>136</v>
      </c>
      <c r="AH9" s="134"/>
      <c r="AI9" s="134"/>
      <c r="AJ9" s="134" t="s">
        <v>136</v>
      </c>
      <c r="AK9" s="134" t="s">
        <v>136</v>
      </c>
      <c r="AL9" s="134" t="s">
        <v>136</v>
      </c>
      <c r="AM9" s="134" t="s">
        <v>136</v>
      </c>
      <c r="AN9" s="134" t="s">
        <v>136</v>
      </c>
      <c r="AO9" s="134" t="s">
        <v>136</v>
      </c>
      <c r="AP9" s="134" t="s">
        <v>136</v>
      </c>
      <c r="AQ9" s="134" t="s">
        <v>136</v>
      </c>
      <c r="AR9" s="134" t="s">
        <v>136</v>
      </c>
      <c r="AS9" s="134" t="s">
        <v>136</v>
      </c>
      <c r="AT9" s="134" t="s">
        <v>136</v>
      </c>
      <c r="AU9" s="134" t="s">
        <v>136</v>
      </c>
      <c r="AV9" s="134" t="s">
        <v>136</v>
      </c>
      <c r="AW9" s="134" t="s">
        <v>136</v>
      </c>
      <c r="AX9" s="134" t="s">
        <v>136</v>
      </c>
      <c r="AY9" s="134" t="s">
        <v>136</v>
      </c>
      <c r="AZ9" s="134" t="s">
        <v>136</v>
      </c>
      <c r="BA9" s="134" t="s">
        <v>136</v>
      </c>
      <c r="BB9" s="134" t="s">
        <v>136</v>
      </c>
      <c r="BC9" s="134" t="s">
        <v>136</v>
      </c>
      <c r="BD9" s="134" t="s">
        <v>136</v>
      </c>
      <c r="BE9" s="134" t="s">
        <v>136</v>
      </c>
      <c r="BF9" s="134" t="s">
        <v>136</v>
      </c>
      <c r="BG9" s="134" t="s">
        <v>136</v>
      </c>
      <c r="BH9" s="134" t="s">
        <v>136</v>
      </c>
      <c r="BI9" s="134" t="s">
        <v>136</v>
      </c>
      <c r="BJ9" s="134" t="s">
        <v>136</v>
      </c>
      <c r="BK9" s="134" t="s">
        <v>136</v>
      </c>
      <c r="BL9" s="134" t="s">
        <v>136</v>
      </c>
      <c r="BM9" s="134" t="s">
        <v>136</v>
      </c>
      <c r="BN9" s="134" t="s">
        <v>136</v>
      </c>
      <c r="BO9" s="134" t="s">
        <v>136</v>
      </c>
      <c r="BP9" s="134" t="s">
        <v>136</v>
      </c>
      <c r="BQ9" s="134" t="s">
        <v>136</v>
      </c>
      <c r="BR9" s="134" t="s">
        <v>136</v>
      </c>
      <c r="BS9" s="134" t="s">
        <v>136</v>
      </c>
      <c r="BT9" s="134" t="s">
        <v>136</v>
      </c>
      <c r="BU9" s="134" t="s">
        <v>136</v>
      </c>
      <c r="BV9" s="134" t="s">
        <v>136</v>
      </c>
      <c r="BW9" s="134" t="s">
        <v>136</v>
      </c>
      <c r="BX9" s="134" t="s">
        <v>136</v>
      </c>
      <c r="BY9" s="134" t="s">
        <v>136</v>
      </c>
      <c r="BZ9" s="134" t="s">
        <v>136</v>
      </c>
      <c r="CA9" s="134" t="s">
        <v>136</v>
      </c>
      <c r="CB9" s="134" t="s">
        <v>136</v>
      </c>
      <c r="CC9" s="134" t="s">
        <v>136</v>
      </c>
      <c r="CD9" s="134" t="s">
        <v>136</v>
      </c>
      <c r="CE9" s="134" t="s">
        <v>136</v>
      </c>
      <c r="CF9" s="134" t="s">
        <v>136</v>
      </c>
      <c r="CG9" s="134" t="s">
        <v>136</v>
      </c>
      <c r="CH9" s="134" t="s">
        <v>136</v>
      </c>
      <c r="CI9" s="134" t="s">
        <v>136</v>
      </c>
      <c r="CJ9" s="134" t="s">
        <v>136</v>
      </c>
      <c r="CK9" s="134" t="s">
        <v>136</v>
      </c>
      <c r="CL9" s="134" t="s">
        <v>136</v>
      </c>
      <c r="CM9" s="134" t="s">
        <v>136</v>
      </c>
    </row>
    <row r="10" spans="1:91" x14ac:dyDescent="0.35">
      <c r="A10" s="49" t="s">
        <v>22</v>
      </c>
      <c r="B10" s="49" t="s">
        <v>23</v>
      </c>
      <c r="C10" s="49" t="s">
        <v>24</v>
      </c>
      <c r="D10" s="49" t="s">
        <v>25</v>
      </c>
      <c r="E10" s="50" t="s">
        <v>26</v>
      </c>
      <c r="F10" s="50" t="s">
        <v>27</v>
      </c>
      <c r="G10" s="49" t="s">
        <v>28</v>
      </c>
      <c r="H10" s="49" t="s">
        <v>29</v>
      </c>
      <c r="I10" s="49" t="s">
        <v>30</v>
      </c>
      <c r="J10" s="49" t="s">
        <v>31</v>
      </c>
      <c r="K10" s="49" t="s">
        <v>32</v>
      </c>
      <c r="L10" s="49" t="s">
        <v>33</v>
      </c>
      <c r="M10" s="51" t="s">
        <v>131</v>
      </c>
      <c r="N10" s="13" t="s">
        <v>122</v>
      </c>
      <c r="O10" s="13" t="s">
        <v>123</v>
      </c>
      <c r="P10" s="16" t="s">
        <v>124</v>
      </c>
      <c r="Q10" s="16" t="s">
        <v>125</v>
      </c>
      <c r="R10" s="19" t="s">
        <v>126</v>
      </c>
      <c r="S10" s="19" t="s">
        <v>127</v>
      </c>
      <c r="T10" s="22" t="s">
        <v>128</v>
      </c>
      <c r="U10" s="73" t="s">
        <v>132</v>
      </c>
      <c r="V10" s="49" t="s">
        <v>34</v>
      </c>
      <c r="W10" s="49" t="s">
        <v>35</v>
      </c>
      <c r="X10" s="49" t="s">
        <v>36</v>
      </c>
      <c r="Y10" s="49" t="s">
        <v>37</v>
      </c>
      <c r="Z10" s="49" t="s">
        <v>38</v>
      </c>
      <c r="AA10" s="49" t="s">
        <v>39</v>
      </c>
      <c r="AB10" s="49" t="s">
        <v>40</v>
      </c>
      <c r="AC10" s="49" t="s">
        <v>41</v>
      </c>
      <c r="AD10" s="49" t="s">
        <v>42</v>
      </c>
      <c r="AE10" s="49" t="s">
        <v>43</v>
      </c>
      <c r="AF10" s="49" t="s">
        <v>44</v>
      </c>
      <c r="AG10" s="49" t="s">
        <v>45</v>
      </c>
      <c r="AH10" s="51" t="s">
        <v>133</v>
      </c>
      <c r="AI10" s="30" t="s">
        <v>129</v>
      </c>
      <c r="AJ10" s="49" t="s">
        <v>46</v>
      </c>
      <c r="AK10" s="49" t="s">
        <v>47</v>
      </c>
      <c r="AL10" s="49" t="s">
        <v>48</v>
      </c>
      <c r="AM10" s="49" t="s">
        <v>49</v>
      </c>
      <c r="AN10" s="49" t="s">
        <v>50</v>
      </c>
      <c r="AO10" s="49" t="s">
        <v>51</v>
      </c>
      <c r="AP10" s="49" t="s">
        <v>52</v>
      </c>
      <c r="AQ10" s="49" t="s">
        <v>53</v>
      </c>
      <c r="AR10" s="49" t="s">
        <v>54</v>
      </c>
      <c r="AS10" s="49" t="s">
        <v>55</v>
      </c>
      <c r="AT10" s="49" t="s">
        <v>56</v>
      </c>
      <c r="AU10" s="49" t="s">
        <v>57</v>
      </c>
      <c r="AV10" s="49" t="s">
        <v>58</v>
      </c>
      <c r="AW10" s="49" t="s">
        <v>59</v>
      </c>
      <c r="AX10" s="49" t="s">
        <v>60</v>
      </c>
      <c r="AY10" s="49" t="s">
        <v>61</v>
      </c>
      <c r="AZ10" s="49" t="s">
        <v>62</v>
      </c>
      <c r="BA10" s="49" t="s">
        <v>63</v>
      </c>
      <c r="BB10" s="49" t="s">
        <v>64</v>
      </c>
      <c r="BC10" s="49" t="s">
        <v>65</v>
      </c>
      <c r="BD10" s="49" t="s">
        <v>66</v>
      </c>
      <c r="BE10" s="49" t="s">
        <v>67</v>
      </c>
      <c r="BF10" s="49" t="s">
        <v>68</v>
      </c>
      <c r="BG10" s="49" t="s">
        <v>69</v>
      </c>
      <c r="BH10" s="49" t="s">
        <v>70</v>
      </c>
      <c r="BI10" s="49" t="s">
        <v>71</v>
      </c>
      <c r="BJ10" s="49" t="s">
        <v>72</v>
      </c>
      <c r="BK10" s="49" t="s">
        <v>73</v>
      </c>
      <c r="BL10" s="49" t="s">
        <v>74</v>
      </c>
      <c r="BM10" s="49" t="s">
        <v>75</v>
      </c>
      <c r="BN10" s="49" t="s">
        <v>76</v>
      </c>
      <c r="BO10" s="49" t="s">
        <v>77</v>
      </c>
      <c r="BP10" s="49" t="s">
        <v>78</v>
      </c>
      <c r="BQ10" s="49" t="s">
        <v>79</v>
      </c>
      <c r="BR10" s="49" t="s">
        <v>80</v>
      </c>
      <c r="BS10" s="49" t="s">
        <v>81</v>
      </c>
      <c r="BT10" s="49" t="s">
        <v>82</v>
      </c>
      <c r="BU10" s="49" t="s">
        <v>83</v>
      </c>
      <c r="BV10" s="49" t="s">
        <v>84</v>
      </c>
      <c r="BW10" s="49" t="s">
        <v>85</v>
      </c>
      <c r="BX10" s="49" t="s">
        <v>86</v>
      </c>
      <c r="BY10" s="49" t="s">
        <v>87</v>
      </c>
      <c r="BZ10" s="49" t="s">
        <v>88</v>
      </c>
      <c r="CA10" s="49" t="s">
        <v>89</v>
      </c>
      <c r="CB10" s="49" t="s">
        <v>90</v>
      </c>
      <c r="CC10" s="49" t="s">
        <v>91</v>
      </c>
      <c r="CD10" s="49" t="s">
        <v>92</v>
      </c>
      <c r="CE10" s="49" t="s">
        <v>93</v>
      </c>
      <c r="CF10" s="49" t="s">
        <v>94</v>
      </c>
      <c r="CG10" s="49" t="s">
        <v>95</v>
      </c>
      <c r="CH10" s="49" t="s">
        <v>96</v>
      </c>
      <c r="CI10" s="49" t="s">
        <v>97</v>
      </c>
      <c r="CJ10" s="49" t="s">
        <v>98</v>
      </c>
      <c r="CK10" s="49" t="s">
        <v>99</v>
      </c>
      <c r="CL10" s="49" t="s">
        <v>100</v>
      </c>
      <c r="CM10" s="49" t="s">
        <v>101</v>
      </c>
    </row>
    <row r="11" spans="1:91" x14ac:dyDescent="0.35">
      <c r="A11" s="3" t="s">
        <v>23</v>
      </c>
      <c r="B11" s="11">
        <v>15415075.76</v>
      </c>
      <c r="C11" s="11">
        <v>268706.46000000002</v>
      </c>
      <c r="D11" s="11">
        <v>30618.13</v>
      </c>
      <c r="E11" s="11">
        <v>6489.54</v>
      </c>
      <c r="F11" s="11">
        <v>43290.2</v>
      </c>
      <c r="G11" s="11">
        <v>929964.59</v>
      </c>
      <c r="H11" s="11">
        <v>122564.69</v>
      </c>
      <c r="I11" s="11">
        <v>103798.64</v>
      </c>
      <c r="J11" s="11">
        <v>141498.67000000001</v>
      </c>
      <c r="K11" s="11">
        <v>33305.67</v>
      </c>
      <c r="L11" s="11">
        <v>168969.34</v>
      </c>
      <c r="M11" s="71">
        <v>367988.36</v>
      </c>
      <c r="N11" s="131">
        <f>SUM(N12:N84)</f>
        <v>9895.2262227305073</v>
      </c>
      <c r="O11" s="131">
        <f>SUM(O12:O84)</f>
        <v>573.24597775830671</v>
      </c>
      <c r="P11" s="131">
        <f t="shared" ref="P11:U11" si="0">SUM(P12:P84)</f>
        <v>4427.4929999999986</v>
      </c>
      <c r="Q11" s="131">
        <f t="shared" si="0"/>
        <v>311.24594532133074</v>
      </c>
      <c r="R11" s="131">
        <f t="shared" si="0"/>
        <v>0</v>
      </c>
      <c r="S11" s="131">
        <f t="shared" si="0"/>
        <v>0</v>
      </c>
      <c r="T11" s="131">
        <f t="shared" si="0"/>
        <v>0</v>
      </c>
      <c r="U11" s="131">
        <f t="shared" si="0"/>
        <v>0</v>
      </c>
      <c r="V11" s="11">
        <v>123896.2</v>
      </c>
      <c r="W11" s="11">
        <v>199872.38</v>
      </c>
      <c r="X11" s="11">
        <v>145701.82</v>
      </c>
      <c r="Y11" s="11">
        <v>318222.82</v>
      </c>
      <c r="Z11" s="11">
        <v>344601.61</v>
      </c>
      <c r="AA11" s="11">
        <v>136483.93</v>
      </c>
      <c r="AB11" s="11">
        <v>204979.41</v>
      </c>
      <c r="AC11" s="11">
        <v>404427.28</v>
      </c>
      <c r="AD11" s="11">
        <v>609255.18999999994</v>
      </c>
      <c r="AE11" s="11">
        <v>148951.91</v>
      </c>
      <c r="AF11" s="11">
        <v>140053.12</v>
      </c>
      <c r="AG11" s="11">
        <v>177190.99</v>
      </c>
      <c r="AH11" s="71">
        <v>553798.5</v>
      </c>
      <c r="AI11" s="131">
        <f>SUM(AI12:AI84)</f>
        <v>116.02836829723978</v>
      </c>
      <c r="AJ11" s="11">
        <v>33208.370000000003</v>
      </c>
      <c r="AK11" s="11">
        <v>174031.83</v>
      </c>
      <c r="AL11" s="11">
        <v>1424171.46</v>
      </c>
      <c r="AM11" s="11">
        <v>183654.58</v>
      </c>
      <c r="AN11" s="11">
        <v>797261.67</v>
      </c>
      <c r="AO11" s="11">
        <v>446436.16</v>
      </c>
      <c r="AP11" s="11">
        <v>421900.5</v>
      </c>
      <c r="AQ11" s="11">
        <v>110154.95</v>
      </c>
      <c r="AR11" s="11">
        <v>95530.62</v>
      </c>
      <c r="AS11" s="11">
        <v>392113.96</v>
      </c>
      <c r="AT11" s="11">
        <v>80584.33</v>
      </c>
      <c r="AU11" s="11">
        <v>439547.4</v>
      </c>
      <c r="AV11" s="11">
        <v>95819.15</v>
      </c>
      <c r="AW11" s="11">
        <v>82580.600000000006</v>
      </c>
      <c r="AX11" s="11">
        <v>182771.74</v>
      </c>
      <c r="AY11" s="11">
        <v>464495.81</v>
      </c>
      <c r="AZ11" s="11">
        <v>299279.58</v>
      </c>
      <c r="BA11" s="11">
        <v>216185.66</v>
      </c>
      <c r="BB11" s="11">
        <v>160417.10999999999</v>
      </c>
      <c r="BC11" s="11">
        <v>444965.67</v>
      </c>
      <c r="BD11" s="11">
        <v>506259.07</v>
      </c>
      <c r="BE11" s="11">
        <v>216655.01</v>
      </c>
      <c r="BF11" s="11">
        <v>169190.95</v>
      </c>
      <c r="BG11" s="11">
        <v>110052.54</v>
      </c>
      <c r="BH11" s="11">
        <v>80908.42</v>
      </c>
      <c r="BI11" s="11">
        <v>238717.33</v>
      </c>
      <c r="BJ11" s="11">
        <v>57204.23</v>
      </c>
      <c r="BK11" s="11">
        <v>85522.48</v>
      </c>
      <c r="BL11" s="11">
        <v>303361.87</v>
      </c>
      <c r="BM11" s="11">
        <v>367793.01</v>
      </c>
      <c r="BN11" s="11">
        <v>173113.36</v>
      </c>
      <c r="BO11" s="11">
        <v>375424.39</v>
      </c>
      <c r="BP11" s="11">
        <v>143983.07999999999</v>
      </c>
      <c r="BQ11" s="11">
        <v>97780.95</v>
      </c>
      <c r="BR11" s="11">
        <v>79084.58</v>
      </c>
      <c r="BS11" s="11">
        <v>52205.95</v>
      </c>
      <c r="BT11" s="5">
        <v>18643</v>
      </c>
      <c r="BU11" s="11">
        <v>68738.17</v>
      </c>
      <c r="BV11" s="11">
        <v>696.82</v>
      </c>
      <c r="BW11" s="5">
        <v>0</v>
      </c>
      <c r="BX11" s="11">
        <v>11329092.800000001</v>
      </c>
      <c r="BY11" s="11">
        <v>3582352.57</v>
      </c>
      <c r="BZ11" s="11">
        <v>7519519.04</v>
      </c>
      <c r="CA11" s="11">
        <v>227221.2</v>
      </c>
      <c r="CB11" s="11">
        <v>3281875.82</v>
      </c>
      <c r="CC11" s="11">
        <v>10818.64</v>
      </c>
      <c r="CD11" s="11">
        <v>3688498.18</v>
      </c>
      <c r="CE11" s="5" t="s">
        <v>102</v>
      </c>
      <c r="CF11" s="11">
        <v>3688498.18</v>
      </c>
      <c r="CG11" s="5" t="s">
        <v>102</v>
      </c>
      <c r="CH11" s="5" t="s">
        <v>102</v>
      </c>
      <c r="CI11" s="11">
        <v>3271057.18</v>
      </c>
      <c r="CJ11" s="5" t="s">
        <v>102</v>
      </c>
      <c r="CK11" s="5" t="s">
        <v>102</v>
      </c>
      <c r="CL11" s="11">
        <v>33714542.560000002</v>
      </c>
      <c r="CM11" s="11">
        <v>18299466.789999999</v>
      </c>
    </row>
    <row r="12" spans="1:91" x14ac:dyDescent="0.35">
      <c r="A12" s="25" t="s">
        <v>24</v>
      </c>
      <c r="B12" s="62">
        <v>354686.15</v>
      </c>
      <c r="C12" s="62">
        <v>59792.08</v>
      </c>
      <c r="D12" s="62">
        <v>572.84</v>
      </c>
      <c r="E12" s="62">
        <v>95.76</v>
      </c>
      <c r="F12" s="62">
        <v>59.6</v>
      </c>
      <c r="G12" s="62">
        <v>242674.95</v>
      </c>
      <c r="H12" s="62">
        <v>2583.1999999999998</v>
      </c>
      <c r="I12" s="62">
        <v>97.86</v>
      </c>
      <c r="J12" s="62">
        <v>108.57</v>
      </c>
      <c r="K12" s="62">
        <v>20.03</v>
      </c>
      <c r="L12" s="62">
        <v>139.36000000000001</v>
      </c>
      <c r="M12" s="71">
        <v>233.2069726922532</v>
      </c>
      <c r="N12" s="83">
        <v>0</v>
      </c>
      <c r="O12" s="39">
        <v>2.3521920523857234</v>
      </c>
      <c r="P12" s="63">
        <v>3099.2450999999992</v>
      </c>
      <c r="Q12" s="111">
        <v>51.505735255361969</v>
      </c>
      <c r="R12" s="62">
        <v>0</v>
      </c>
      <c r="S12" s="62">
        <v>0</v>
      </c>
      <c r="T12" s="62">
        <v>0</v>
      </c>
      <c r="U12" s="62">
        <v>0</v>
      </c>
      <c r="V12" s="62">
        <v>580.05999999999995</v>
      </c>
      <c r="W12" s="62">
        <v>1289.0899999999999</v>
      </c>
      <c r="X12" s="62">
        <v>91.62</v>
      </c>
      <c r="Y12" s="62">
        <v>92.11</v>
      </c>
      <c r="Z12" s="62">
        <v>102.91</v>
      </c>
      <c r="AA12" s="62">
        <v>106.86</v>
      </c>
      <c r="AB12" s="62">
        <v>43.38</v>
      </c>
      <c r="AC12" s="62">
        <v>115.95</v>
      </c>
      <c r="AD12" s="62">
        <v>105.18</v>
      </c>
      <c r="AE12" s="62">
        <v>8.74</v>
      </c>
      <c r="AF12" s="62">
        <v>232.62</v>
      </c>
      <c r="AG12" s="62">
        <v>239.75</v>
      </c>
      <c r="AH12" s="71">
        <v>1275.8537770397666</v>
      </c>
      <c r="AI12" s="105">
        <v>1.8062229602335496</v>
      </c>
      <c r="AJ12" s="62">
        <v>12.64</v>
      </c>
      <c r="AK12" s="62">
        <v>123.51</v>
      </c>
      <c r="AL12" s="62">
        <v>809.55</v>
      </c>
      <c r="AM12" s="62">
        <v>34.33</v>
      </c>
      <c r="AN12" s="62">
        <v>9814.35</v>
      </c>
      <c r="AO12" s="62">
        <v>3755.41</v>
      </c>
      <c r="AP12" s="62">
        <v>330.69</v>
      </c>
      <c r="AQ12" s="62">
        <v>54.02</v>
      </c>
      <c r="AR12" s="62">
        <v>1.67</v>
      </c>
      <c r="AS12" s="62">
        <v>219.12</v>
      </c>
      <c r="AT12" s="62">
        <v>4.42</v>
      </c>
      <c r="AU12" s="62">
        <v>12663.66</v>
      </c>
      <c r="AV12" s="62">
        <v>5.18</v>
      </c>
      <c r="AW12" s="62">
        <v>19.82</v>
      </c>
      <c r="AX12" s="62">
        <v>23.39</v>
      </c>
      <c r="AY12" s="62">
        <v>278.68</v>
      </c>
      <c r="AZ12" s="62">
        <v>6.66</v>
      </c>
      <c r="BA12" s="62">
        <v>32.340000000000003</v>
      </c>
      <c r="BB12" s="62">
        <v>5.32</v>
      </c>
      <c r="BC12" s="62">
        <v>1085.8499999999999</v>
      </c>
      <c r="BD12" s="62">
        <v>698.07</v>
      </c>
      <c r="BE12" s="62">
        <v>227.85</v>
      </c>
      <c r="BF12" s="62">
        <v>744.89</v>
      </c>
      <c r="BG12" s="62">
        <v>128.44999999999999</v>
      </c>
      <c r="BH12" s="62">
        <v>472.56</v>
      </c>
      <c r="BI12" s="62">
        <v>784.73</v>
      </c>
      <c r="BJ12" s="62">
        <v>34.17</v>
      </c>
      <c r="BK12" s="62">
        <v>24.95</v>
      </c>
      <c r="BL12" s="62">
        <v>5029.5600000000004</v>
      </c>
      <c r="BM12" s="62">
        <v>1096.6600000000001</v>
      </c>
      <c r="BN12" s="62">
        <v>392.07</v>
      </c>
      <c r="BO12" s="62">
        <v>669.26</v>
      </c>
      <c r="BP12" s="62">
        <v>587.55999999999995</v>
      </c>
      <c r="BQ12" s="62">
        <v>225.86</v>
      </c>
      <c r="BR12" s="62">
        <v>190.33</v>
      </c>
      <c r="BS12" s="62">
        <v>54.56</v>
      </c>
      <c r="BT12" s="62">
        <v>47.04</v>
      </c>
      <c r="BU12" s="62">
        <v>179.54</v>
      </c>
      <c r="BV12" s="62">
        <v>0.98</v>
      </c>
      <c r="BW12" s="62">
        <v>0</v>
      </c>
      <c r="BX12" s="62">
        <v>125203.62</v>
      </c>
      <c r="BY12" s="62">
        <v>1624.15</v>
      </c>
      <c r="BZ12" s="62">
        <v>123558.62</v>
      </c>
      <c r="CA12" s="62">
        <v>20.85</v>
      </c>
      <c r="CB12" s="62">
        <v>11359.24</v>
      </c>
      <c r="CC12" s="62">
        <v>4816.8900000000003</v>
      </c>
      <c r="CD12" s="62">
        <v>34689.800000000003</v>
      </c>
      <c r="CE12" s="62" t="s">
        <v>102</v>
      </c>
      <c r="CF12" s="62">
        <v>34689.800000000003</v>
      </c>
      <c r="CG12" s="62" t="s">
        <v>102</v>
      </c>
      <c r="CH12" s="62" t="s">
        <v>102</v>
      </c>
      <c r="CI12" s="62">
        <v>6542.35</v>
      </c>
      <c r="CJ12" s="62" t="s">
        <v>102</v>
      </c>
      <c r="CK12" s="62" t="s">
        <v>102</v>
      </c>
      <c r="CL12" s="62">
        <v>525938.80000000005</v>
      </c>
      <c r="CM12" s="62">
        <v>171252.66</v>
      </c>
    </row>
    <row r="13" spans="1:91" x14ac:dyDescent="0.35">
      <c r="A13" s="25" t="s">
        <v>25</v>
      </c>
      <c r="B13" s="62">
        <v>46675.55</v>
      </c>
      <c r="C13" s="62">
        <v>662.06</v>
      </c>
      <c r="D13" s="62">
        <v>16064.23</v>
      </c>
      <c r="E13" s="62">
        <v>42.27</v>
      </c>
      <c r="F13" s="62">
        <v>74.040000000000006</v>
      </c>
      <c r="G13" s="62">
        <v>320.88</v>
      </c>
      <c r="H13" s="62">
        <v>43.52</v>
      </c>
      <c r="I13" s="62">
        <v>16178.42</v>
      </c>
      <c r="J13" s="62">
        <v>6423.73</v>
      </c>
      <c r="K13" s="62">
        <v>25.49</v>
      </c>
      <c r="L13" s="62">
        <v>5.44</v>
      </c>
      <c r="M13" s="71">
        <v>335.07715639821055</v>
      </c>
      <c r="N13" s="83">
        <v>0</v>
      </c>
      <c r="O13" s="39">
        <v>0.96642180089473528</v>
      </c>
      <c r="P13" s="62">
        <v>0</v>
      </c>
      <c r="Q13" s="111">
        <v>0.96642180089473528</v>
      </c>
      <c r="R13" s="62">
        <v>0</v>
      </c>
      <c r="S13" s="62">
        <v>0</v>
      </c>
      <c r="T13" s="62">
        <v>0</v>
      </c>
      <c r="U13" s="62">
        <v>0</v>
      </c>
      <c r="V13" s="62">
        <v>13.4</v>
      </c>
      <c r="W13" s="62">
        <v>229.78</v>
      </c>
      <c r="X13" s="62">
        <v>37.26</v>
      </c>
      <c r="Y13" s="62">
        <v>39.47</v>
      </c>
      <c r="Z13" s="62">
        <v>87.73</v>
      </c>
      <c r="AA13" s="62">
        <v>4.18</v>
      </c>
      <c r="AB13" s="62">
        <v>5</v>
      </c>
      <c r="AC13" s="62">
        <v>20.48</v>
      </c>
      <c r="AD13" s="62">
        <v>14.3</v>
      </c>
      <c r="AE13" s="62">
        <v>4.87</v>
      </c>
      <c r="AF13" s="62">
        <v>983.23</v>
      </c>
      <c r="AG13" s="62">
        <v>33.99</v>
      </c>
      <c r="AH13" s="71">
        <v>1224.92</v>
      </c>
      <c r="AI13" s="105"/>
      <c r="AJ13" s="62">
        <v>8.91</v>
      </c>
      <c r="AK13" s="62">
        <v>139.38999999999999</v>
      </c>
      <c r="AL13" s="62">
        <v>863.24</v>
      </c>
      <c r="AM13" s="62">
        <v>11.5</v>
      </c>
      <c r="AN13" s="62">
        <v>942.51</v>
      </c>
      <c r="AO13" s="62">
        <v>242.39</v>
      </c>
      <c r="AP13" s="62">
        <v>95.79</v>
      </c>
      <c r="AQ13" s="62">
        <v>9.34</v>
      </c>
      <c r="AR13" s="62">
        <v>2.6</v>
      </c>
      <c r="AS13" s="62">
        <v>64.319999999999993</v>
      </c>
      <c r="AT13" s="62">
        <v>0.8</v>
      </c>
      <c r="AU13" s="62">
        <v>70.290000000000006</v>
      </c>
      <c r="AV13" s="62">
        <v>5</v>
      </c>
      <c r="AW13" s="62">
        <v>2.65</v>
      </c>
      <c r="AX13" s="62">
        <v>3.91</v>
      </c>
      <c r="AY13" s="62">
        <v>57.42</v>
      </c>
      <c r="AZ13" s="62">
        <v>2.44</v>
      </c>
      <c r="BA13" s="62">
        <v>0.11</v>
      </c>
      <c r="BB13" s="62">
        <v>1.7</v>
      </c>
      <c r="BC13" s="62">
        <v>116.88</v>
      </c>
      <c r="BD13" s="62">
        <v>234.07</v>
      </c>
      <c r="BE13" s="62">
        <v>77.5</v>
      </c>
      <c r="BF13" s="62">
        <v>85.09</v>
      </c>
      <c r="BG13" s="62">
        <v>8.76</v>
      </c>
      <c r="BH13" s="62">
        <v>18.649999999999999</v>
      </c>
      <c r="BI13" s="62">
        <v>145.18</v>
      </c>
      <c r="BJ13" s="62">
        <v>9.36</v>
      </c>
      <c r="BK13" s="62">
        <v>1.21</v>
      </c>
      <c r="BL13" s="62">
        <v>177.81</v>
      </c>
      <c r="BM13" s="62">
        <v>232.96</v>
      </c>
      <c r="BN13" s="62">
        <v>24.7</v>
      </c>
      <c r="BO13" s="62">
        <v>34.340000000000003</v>
      </c>
      <c r="BP13" s="62">
        <v>12.86</v>
      </c>
      <c r="BQ13" s="62">
        <v>31.13</v>
      </c>
      <c r="BR13" s="62">
        <v>20.05</v>
      </c>
      <c r="BS13" s="62">
        <v>13.9</v>
      </c>
      <c r="BT13" s="62">
        <v>8.6</v>
      </c>
      <c r="BU13" s="62">
        <v>22.5</v>
      </c>
      <c r="BV13" s="62">
        <v>0.04</v>
      </c>
      <c r="BW13" s="62">
        <v>0</v>
      </c>
      <c r="BX13" s="62">
        <v>13363.16</v>
      </c>
      <c r="BY13" s="62">
        <v>1583.09</v>
      </c>
      <c r="BZ13" s="62">
        <v>11776.85</v>
      </c>
      <c r="CA13" s="62">
        <v>3.22</v>
      </c>
      <c r="CB13" s="62">
        <v>1651.99</v>
      </c>
      <c r="CC13" s="62">
        <v>1300.58</v>
      </c>
      <c r="CD13" s="62">
        <v>2467.1999999999998</v>
      </c>
      <c r="CE13" s="62" t="s">
        <v>102</v>
      </c>
      <c r="CF13" s="62">
        <v>2467.1999999999998</v>
      </c>
      <c r="CG13" s="62" t="s">
        <v>102</v>
      </c>
      <c r="CH13" s="62" t="s">
        <v>102</v>
      </c>
      <c r="CI13" s="62">
        <v>351.41</v>
      </c>
      <c r="CJ13" s="62" t="s">
        <v>102</v>
      </c>
      <c r="CK13" s="62" t="s">
        <v>102</v>
      </c>
      <c r="CL13" s="62">
        <v>64157.9</v>
      </c>
      <c r="CM13" s="62">
        <v>17482.349999999999</v>
      </c>
    </row>
    <row r="14" spans="1:91" x14ac:dyDescent="0.35">
      <c r="A14" s="3" t="s">
        <v>26</v>
      </c>
      <c r="B14" s="10">
        <v>5430.84</v>
      </c>
      <c r="C14" s="10">
        <v>9.7799999999999994</v>
      </c>
      <c r="D14" s="10">
        <v>1.94</v>
      </c>
      <c r="E14" s="10">
        <v>461.27</v>
      </c>
      <c r="F14" s="10">
        <v>0.56000000000000005</v>
      </c>
      <c r="G14" s="10">
        <v>2832.06</v>
      </c>
      <c r="H14" s="10">
        <v>4.34</v>
      </c>
      <c r="I14" s="10">
        <v>0.21</v>
      </c>
      <c r="J14" s="10">
        <v>0.37</v>
      </c>
      <c r="K14" s="10">
        <v>0.06</v>
      </c>
      <c r="L14" s="10">
        <v>0.43</v>
      </c>
      <c r="M14" s="71">
        <v>34.93</v>
      </c>
      <c r="N14" s="38">
        <v>0</v>
      </c>
      <c r="O14" s="15">
        <v>0</v>
      </c>
      <c r="P14" s="15">
        <v>0</v>
      </c>
      <c r="Q14" s="112">
        <v>0</v>
      </c>
      <c r="R14" s="15">
        <v>0</v>
      </c>
      <c r="S14" s="15">
        <v>0</v>
      </c>
      <c r="T14" s="15">
        <v>0</v>
      </c>
      <c r="U14" s="15">
        <v>0</v>
      </c>
      <c r="V14" s="10">
        <v>6.79</v>
      </c>
      <c r="W14" s="10">
        <v>0.68</v>
      </c>
      <c r="X14" s="10">
        <v>0.21</v>
      </c>
      <c r="Y14" s="10">
        <v>0.42</v>
      </c>
      <c r="Z14" s="10">
        <v>0.97</v>
      </c>
      <c r="AA14" s="10">
        <v>0.2</v>
      </c>
      <c r="AB14" s="10">
        <v>0.1</v>
      </c>
      <c r="AC14" s="10">
        <v>0.37</v>
      </c>
      <c r="AD14" s="10">
        <v>0.69</v>
      </c>
      <c r="AE14" s="10">
        <v>0.02</v>
      </c>
      <c r="AF14" s="10">
        <v>3.34</v>
      </c>
      <c r="AG14" s="10">
        <v>0.71</v>
      </c>
      <c r="AH14" s="71">
        <v>17.21</v>
      </c>
      <c r="AI14" s="104"/>
      <c r="AJ14" s="10">
        <v>0.08</v>
      </c>
      <c r="AK14" s="10">
        <v>1.36</v>
      </c>
      <c r="AL14" s="10">
        <v>33.72</v>
      </c>
      <c r="AM14" s="10">
        <v>0.21</v>
      </c>
      <c r="AN14" s="10">
        <v>59.18</v>
      </c>
      <c r="AO14" s="10">
        <v>20.440000000000001</v>
      </c>
      <c r="AP14" s="10">
        <v>3.63</v>
      </c>
      <c r="AQ14" s="10">
        <v>5.42</v>
      </c>
      <c r="AR14" s="10">
        <v>0.04</v>
      </c>
      <c r="AS14" s="10">
        <v>3.59</v>
      </c>
      <c r="AT14" s="10">
        <v>0.28999999999999998</v>
      </c>
      <c r="AU14" s="10">
        <v>1717.39</v>
      </c>
      <c r="AV14" s="10">
        <v>0.47</v>
      </c>
      <c r="AW14" s="10">
        <v>2.5099999999999998</v>
      </c>
      <c r="AX14" s="10">
        <v>1.53</v>
      </c>
      <c r="AY14" s="10">
        <v>4.47</v>
      </c>
      <c r="AZ14" s="10">
        <v>0.89</v>
      </c>
      <c r="BA14" s="10">
        <v>0.49</v>
      </c>
      <c r="BB14" s="10">
        <v>0.24</v>
      </c>
      <c r="BC14" s="10">
        <v>13.35</v>
      </c>
      <c r="BD14" s="10">
        <v>7.39</v>
      </c>
      <c r="BE14" s="10">
        <v>2.04</v>
      </c>
      <c r="BF14" s="10">
        <v>8.32</v>
      </c>
      <c r="BG14" s="10">
        <v>1.05</v>
      </c>
      <c r="BH14" s="10">
        <v>2.38</v>
      </c>
      <c r="BI14" s="10">
        <v>10.02</v>
      </c>
      <c r="BJ14" s="10">
        <v>0.56000000000000005</v>
      </c>
      <c r="BK14" s="10">
        <v>1.7</v>
      </c>
      <c r="BL14" s="10">
        <v>7.27</v>
      </c>
      <c r="BM14" s="10">
        <v>13.88</v>
      </c>
      <c r="BN14" s="10">
        <v>7.98</v>
      </c>
      <c r="BO14" s="10">
        <v>35.83</v>
      </c>
      <c r="BP14" s="10">
        <v>31.37</v>
      </c>
      <c r="BQ14" s="10">
        <v>7.65</v>
      </c>
      <c r="BR14" s="10">
        <v>10.17</v>
      </c>
      <c r="BS14" s="10">
        <v>33.53</v>
      </c>
      <c r="BT14" s="10">
        <v>0.09</v>
      </c>
      <c r="BU14" s="10">
        <v>2.64</v>
      </c>
      <c r="BV14" s="10">
        <v>0.01</v>
      </c>
      <c r="BW14" s="4">
        <v>0</v>
      </c>
      <c r="BX14" s="10">
        <v>7964.41</v>
      </c>
      <c r="BY14" s="10">
        <v>6.92</v>
      </c>
      <c r="BZ14" s="10">
        <v>7956.08</v>
      </c>
      <c r="CA14" s="10">
        <v>1.41</v>
      </c>
      <c r="CB14" s="10">
        <v>-148.32</v>
      </c>
      <c r="CC14" s="10">
        <v>-180.5</v>
      </c>
      <c r="CD14" s="10">
        <v>1166.3699999999999</v>
      </c>
      <c r="CE14" s="4" t="s">
        <v>102</v>
      </c>
      <c r="CF14" s="10">
        <v>1166.3699999999999</v>
      </c>
      <c r="CG14" s="4" t="s">
        <v>102</v>
      </c>
      <c r="CH14" s="4" t="s">
        <v>102</v>
      </c>
      <c r="CI14" s="10">
        <v>32.19</v>
      </c>
      <c r="CJ14" s="4" t="s">
        <v>102</v>
      </c>
      <c r="CK14" s="4" t="s">
        <v>102</v>
      </c>
      <c r="CL14" s="10">
        <v>14413.3</v>
      </c>
      <c r="CM14" s="10">
        <v>8982.4699999999993</v>
      </c>
    </row>
    <row r="15" spans="1:91" x14ac:dyDescent="0.35">
      <c r="A15" s="3" t="s">
        <v>27</v>
      </c>
      <c r="B15" s="11">
        <v>95548.77</v>
      </c>
      <c r="C15" s="11">
        <v>812.02</v>
      </c>
      <c r="D15" s="11">
        <v>61.22</v>
      </c>
      <c r="E15" s="11">
        <v>47.45</v>
      </c>
      <c r="F15" s="11">
        <v>5547.63</v>
      </c>
      <c r="G15" s="11">
        <v>1174.5899999999999</v>
      </c>
      <c r="H15" s="11">
        <v>127.08</v>
      </c>
      <c r="I15" s="11">
        <v>57.77</v>
      </c>
      <c r="J15" s="11">
        <v>545.45000000000005</v>
      </c>
      <c r="K15" s="11">
        <v>38.83</v>
      </c>
      <c r="L15" s="11">
        <v>21936.560000000001</v>
      </c>
      <c r="M15" s="71">
        <v>6838.53</v>
      </c>
      <c r="N15" s="38">
        <v>0</v>
      </c>
      <c r="O15" s="15">
        <v>0</v>
      </c>
      <c r="P15" s="15">
        <v>0</v>
      </c>
      <c r="Q15" s="112">
        <v>0</v>
      </c>
      <c r="R15" s="15">
        <v>0</v>
      </c>
      <c r="S15" s="15">
        <v>0</v>
      </c>
      <c r="T15" s="15">
        <v>0</v>
      </c>
      <c r="U15" s="15">
        <v>0</v>
      </c>
      <c r="V15" s="11">
        <v>138.63999999999999</v>
      </c>
      <c r="W15" s="11">
        <v>411.72</v>
      </c>
      <c r="X15" s="11">
        <v>9450.74</v>
      </c>
      <c r="Y15" s="5">
        <v>7728</v>
      </c>
      <c r="Z15" s="11">
        <v>603.91</v>
      </c>
      <c r="AA15" s="11">
        <v>63.64</v>
      </c>
      <c r="AB15" s="11">
        <v>192.15</v>
      </c>
      <c r="AC15" s="11">
        <v>301.83</v>
      </c>
      <c r="AD15" s="11">
        <v>158.03</v>
      </c>
      <c r="AE15" s="11">
        <v>43.76</v>
      </c>
      <c r="AF15" s="11">
        <v>381.44</v>
      </c>
      <c r="AG15" s="5">
        <v>287</v>
      </c>
      <c r="AH15" s="71">
        <v>15343.18</v>
      </c>
      <c r="AI15" s="104"/>
      <c r="AJ15" s="11">
        <v>185.01</v>
      </c>
      <c r="AK15" s="11">
        <v>524.54999999999995</v>
      </c>
      <c r="AL15" s="11">
        <v>14038.44</v>
      </c>
      <c r="AM15" s="11">
        <v>32.909999999999997</v>
      </c>
      <c r="AN15" s="11">
        <v>1995.5</v>
      </c>
      <c r="AO15" s="11">
        <v>338.31</v>
      </c>
      <c r="AP15" s="11">
        <v>489.82</v>
      </c>
      <c r="AQ15" s="11">
        <v>16.91</v>
      </c>
      <c r="AR15" s="11">
        <v>6.35</v>
      </c>
      <c r="AS15" s="11">
        <v>339.37</v>
      </c>
      <c r="AT15" s="11">
        <v>9.58</v>
      </c>
      <c r="AU15" s="11">
        <v>220.54</v>
      </c>
      <c r="AV15" s="11">
        <v>9.4700000000000006</v>
      </c>
      <c r="AW15" s="11">
        <v>7.74</v>
      </c>
      <c r="AX15" s="11">
        <v>29.87</v>
      </c>
      <c r="AY15" s="11">
        <v>153.44999999999999</v>
      </c>
      <c r="AZ15" s="11">
        <v>32.99</v>
      </c>
      <c r="BA15" s="11">
        <v>3.78</v>
      </c>
      <c r="BB15" s="11">
        <v>20.29</v>
      </c>
      <c r="BC15" s="11">
        <v>645.16999999999996</v>
      </c>
      <c r="BD15" s="11">
        <v>926.11</v>
      </c>
      <c r="BE15" s="11">
        <v>433.32</v>
      </c>
      <c r="BF15" s="11">
        <v>238.61</v>
      </c>
      <c r="BG15" s="11">
        <v>18.760000000000002</v>
      </c>
      <c r="BH15" s="11">
        <v>59.53</v>
      </c>
      <c r="BI15" s="11">
        <v>219.65</v>
      </c>
      <c r="BJ15" s="11">
        <v>51.36</v>
      </c>
      <c r="BK15" s="11">
        <v>5.98</v>
      </c>
      <c r="BL15" s="11">
        <v>658.35</v>
      </c>
      <c r="BM15" s="11">
        <v>818.4</v>
      </c>
      <c r="BN15" s="11">
        <v>124.14</v>
      </c>
      <c r="BO15" s="11">
        <v>301.44</v>
      </c>
      <c r="BP15" s="11">
        <v>113.7</v>
      </c>
      <c r="BQ15" s="11">
        <v>25.47</v>
      </c>
      <c r="BR15" s="11">
        <v>55.77</v>
      </c>
      <c r="BS15" s="11">
        <v>55.48</v>
      </c>
      <c r="BT15" s="11">
        <v>7.8</v>
      </c>
      <c r="BU15" s="11">
        <v>42.73</v>
      </c>
      <c r="BV15" s="11">
        <v>0.98</v>
      </c>
      <c r="BW15" s="5">
        <v>0</v>
      </c>
      <c r="BX15" s="11">
        <v>4236.17</v>
      </c>
      <c r="BY15" s="11">
        <v>252.17</v>
      </c>
      <c r="BZ15" s="11">
        <v>3981.76</v>
      </c>
      <c r="CA15" s="11">
        <v>2.2400000000000002</v>
      </c>
      <c r="CB15" s="11">
        <v>-2178.88</v>
      </c>
      <c r="CC15" s="11">
        <v>-3372.11</v>
      </c>
      <c r="CD15" s="11">
        <v>6608.23</v>
      </c>
      <c r="CE15" s="5" t="s">
        <v>102</v>
      </c>
      <c r="CF15" s="11">
        <v>6608.23</v>
      </c>
      <c r="CG15" s="5" t="s">
        <v>102</v>
      </c>
      <c r="CH15" s="5" t="s">
        <v>102</v>
      </c>
      <c r="CI15" s="11">
        <v>1193.24</v>
      </c>
      <c r="CJ15" s="5" t="s">
        <v>102</v>
      </c>
      <c r="CK15" s="5" t="s">
        <v>102</v>
      </c>
      <c r="CL15" s="11">
        <v>104214.3</v>
      </c>
      <c r="CM15" s="11">
        <v>8665.5300000000007</v>
      </c>
    </row>
    <row r="16" spans="1:91" x14ac:dyDescent="0.35">
      <c r="A16" s="25" t="s">
        <v>28</v>
      </c>
      <c r="B16" s="62">
        <v>507187.6</v>
      </c>
      <c r="C16" s="62">
        <v>52956.91</v>
      </c>
      <c r="D16" s="62">
        <v>183.48</v>
      </c>
      <c r="E16" s="62">
        <v>646.97</v>
      </c>
      <c r="F16" s="62">
        <v>208.57</v>
      </c>
      <c r="G16" s="62">
        <v>225899.14</v>
      </c>
      <c r="H16" s="62">
        <v>1779.91</v>
      </c>
      <c r="I16" s="62">
        <v>116.19</v>
      </c>
      <c r="J16" s="62">
        <v>552.52</v>
      </c>
      <c r="K16" s="62">
        <v>29.59</v>
      </c>
      <c r="L16" s="62">
        <v>907.3</v>
      </c>
      <c r="M16" s="71">
        <v>3090.5675968611176</v>
      </c>
      <c r="N16" s="39">
        <v>6854.6652447305078</v>
      </c>
      <c r="O16" s="39">
        <v>5.857920418775954E-2</v>
      </c>
      <c r="P16" s="62">
        <v>0</v>
      </c>
      <c r="Q16" s="111">
        <v>5.857920418775954E-2</v>
      </c>
      <c r="R16" s="62">
        <v>0</v>
      </c>
      <c r="S16" s="62">
        <v>0</v>
      </c>
      <c r="T16" s="62">
        <v>0</v>
      </c>
      <c r="U16" s="62">
        <v>0</v>
      </c>
      <c r="V16" s="62">
        <v>2436.71</v>
      </c>
      <c r="W16" s="62">
        <v>362.16</v>
      </c>
      <c r="X16" s="62">
        <v>358.67</v>
      </c>
      <c r="Y16" s="62">
        <v>623.08000000000004</v>
      </c>
      <c r="Z16" s="62">
        <v>248.27</v>
      </c>
      <c r="AA16" s="62">
        <v>143.63999999999999</v>
      </c>
      <c r="AB16" s="62">
        <v>153.41</v>
      </c>
      <c r="AC16" s="62">
        <v>268.37</v>
      </c>
      <c r="AD16" s="62">
        <v>259.26</v>
      </c>
      <c r="AE16" s="62">
        <v>79.69</v>
      </c>
      <c r="AF16" s="62">
        <v>673.26</v>
      </c>
      <c r="AG16" s="62">
        <v>389.91</v>
      </c>
      <c r="AH16" s="71">
        <v>1277.9337742133082</v>
      </c>
      <c r="AI16" s="105">
        <v>0.42622578669176986</v>
      </c>
      <c r="AJ16" s="62">
        <v>44.23</v>
      </c>
      <c r="AK16" s="62">
        <v>745.45</v>
      </c>
      <c r="AL16" s="62">
        <v>1475.79</v>
      </c>
      <c r="AM16" s="62">
        <v>434.31</v>
      </c>
      <c r="AN16" s="62">
        <v>15802.71</v>
      </c>
      <c r="AO16" s="62">
        <v>7500.65</v>
      </c>
      <c r="AP16" s="62">
        <v>1451.09</v>
      </c>
      <c r="AQ16" s="62">
        <v>677.08</v>
      </c>
      <c r="AR16" s="62">
        <v>341.51</v>
      </c>
      <c r="AS16" s="62">
        <v>802.85</v>
      </c>
      <c r="AT16" s="62">
        <v>132.56</v>
      </c>
      <c r="AU16" s="62">
        <v>122068.75</v>
      </c>
      <c r="AV16" s="62">
        <v>340.5</v>
      </c>
      <c r="AW16" s="62">
        <v>489.32</v>
      </c>
      <c r="AX16" s="62">
        <v>497.34</v>
      </c>
      <c r="AY16" s="62">
        <v>1264.8900000000001</v>
      </c>
      <c r="AZ16" s="62">
        <v>208.46</v>
      </c>
      <c r="BA16" s="62">
        <v>130.93</v>
      </c>
      <c r="BB16" s="62">
        <v>121.21</v>
      </c>
      <c r="BC16" s="62">
        <v>1892.85</v>
      </c>
      <c r="BD16" s="62">
        <v>2201.63</v>
      </c>
      <c r="BE16" s="62">
        <v>609.45000000000005</v>
      </c>
      <c r="BF16" s="62">
        <v>1847.18</v>
      </c>
      <c r="BG16" s="62">
        <v>575.52</v>
      </c>
      <c r="BH16" s="62">
        <v>821.6</v>
      </c>
      <c r="BI16" s="62">
        <v>1825.25</v>
      </c>
      <c r="BJ16" s="62">
        <v>248.58</v>
      </c>
      <c r="BK16" s="62">
        <v>459.97</v>
      </c>
      <c r="BL16" s="62">
        <v>2810.89</v>
      </c>
      <c r="BM16" s="62">
        <v>5946.08</v>
      </c>
      <c r="BN16" s="62">
        <v>6003.62</v>
      </c>
      <c r="BO16" s="62">
        <v>12542.82</v>
      </c>
      <c r="BP16" s="62">
        <v>8608.6</v>
      </c>
      <c r="BQ16" s="62">
        <v>1243.4000000000001</v>
      </c>
      <c r="BR16" s="62">
        <v>2721.55</v>
      </c>
      <c r="BS16" s="62">
        <v>1109.47</v>
      </c>
      <c r="BT16" s="62">
        <v>143.91</v>
      </c>
      <c r="BU16" s="62">
        <v>538.58000000000004</v>
      </c>
      <c r="BV16" s="62">
        <v>6.3</v>
      </c>
      <c r="BW16" s="62">
        <v>0</v>
      </c>
      <c r="BX16" s="62">
        <v>652911.48</v>
      </c>
      <c r="BY16" s="62">
        <v>1132.6099999999999</v>
      </c>
      <c r="BZ16" s="62">
        <v>651537.61</v>
      </c>
      <c r="CA16" s="62">
        <v>241.26</v>
      </c>
      <c r="CB16" s="62">
        <v>20033.02</v>
      </c>
      <c r="CC16" s="62">
        <v>20032.25</v>
      </c>
      <c r="CD16" s="62">
        <v>181233.45</v>
      </c>
      <c r="CE16" s="62" t="s">
        <v>102</v>
      </c>
      <c r="CF16" s="62">
        <v>181233.45</v>
      </c>
      <c r="CG16" s="62" t="s">
        <v>102</v>
      </c>
      <c r="CH16" s="62" t="s">
        <v>102</v>
      </c>
      <c r="CI16" s="62">
        <v>0.77</v>
      </c>
      <c r="CJ16" s="62" t="s">
        <v>102</v>
      </c>
      <c r="CK16" s="62" t="s">
        <v>102</v>
      </c>
      <c r="CL16" s="62">
        <v>1361365.54</v>
      </c>
      <c r="CM16" s="62">
        <v>854177.94</v>
      </c>
    </row>
    <row r="17" spans="1:94" x14ac:dyDescent="0.35">
      <c r="A17" s="3" t="s">
        <v>29</v>
      </c>
      <c r="B17" s="11">
        <v>82586.070000000007</v>
      </c>
      <c r="C17" s="11">
        <v>503.94</v>
      </c>
      <c r="D17" s="11">
        <v>46.62</v>
      </c>
      <c r="E17" s="11">
        <v>93.46</v>
      </c>
      <c r="F17" s="11">
        <v>62.7</v>
      </c>
      <c r="G17" s="11">
        <v>690.02</v>
      </c>
      <c r="H17" s="11">
        <v>41233.08</v>
      </c>
      <c r="I17" s="11">
        <v>674.26</v>
      </c>
      <c r="J17" s="11">
        <v>1099.99</v>
      </c>
      <c r="K17" s="11">
        <v>384.77</v>
      </c>
      <c r="L17" s="11">
        <v>152.47999999999999</v>
      </c>
      <c r="M17" s="71">
        <v>797.06</v>
      </c>
      <c r="N17" s="38">
        <v>0</v>
      </c>
      <c r="O17" s="15">
        <v>0</v>
      </c>
      <c r="P17" s="15">
        <v>0</v>
      </c>
      <c r="Q17" s="112">
        <v>0</v>
      </c>
      <c r="R17" s="15">
        <v>0</v>
      </c>
      <c r="S17" s="15">
        <v>0</v>
      </c>
      <c r="T17" s="15">
        <v>0</v>
      </c>
      <c r="U17" s="15">
        <v>0</v>
      </c>
      <c r="V17" s="11">
        <v>256.27</v>
      </c>
      <c r="W17" s="11">
        <v>1878.4</v>
      </c>
      <c r="X17" s="11">
        <v>445.31</v>
      </c>
      <c r="Y17" s="11">
        <v>279.36</v>
      </c>
      <c r="Z17" s="11">
        <v>625.05999999999995</v>
      </c>
      <c r="AA17" s="5">
        <v>253</v>
      </c>
      <c r="AB17" s="11">
        <v>337.42</v>
      </c>
      <c r="AC17" s="11">
        <v>565.99</v>
      </c>
      <c r="AD17" s="11">
        <v>3035.16</v>
      </c>
      <c r="AE17" s="11">
        <v>487.61</v>
      </c>
      <c r="AF17" s="11">
        <v>3610.31</v>
      </c>
      <c r="AG17" s="11">
        <v>463.07</v>
      </c>
      <c r="AH17" s="71">
        <v>342.25</v>
      </c>
      <c r="AI17" s="104"/>
      <c r="AJ17" s="11">
        <v>30.13</v>
      </c>
      <c r="AK17" s="11">
        <v>419.99</v>
      </c>
      <c r="AL17" s="11">
        <v>1992.74</v>
      </c>
      <c r="AM17" s="11">
        <v>476.37</v>
      </c>
      <c r="AN17" s="11">
        <v>3798.76</v>
      </c>
      <c r="AO17" s="11">
        <v>2330.2199999999998</v>
      </c>
      <c r="AP17" s="11">
        <v>462.13</v>
      </c>
      <c r="AQ17" s="11">
        <v>99.21</v>
      </c>
      <c r="AR17" s="11">
        <v>45.05</v>
      </c>
      <c r="AS17" s="11">
        <v>379.59</v>
      </c>
      <c r="AT17" s="11">
        <v>94.08</v>
      </c>
      <c r="AU17" s="11">
        <v>1282.56</v>
      </c>
      <c r="AV17" s="11">
        <v>102.34</v>
      </c>
      <c r="AW17" s="5">
        <v>479</v>
      </c>
      <c r="AX17" s="11">
        <v>250.87</v>
      </c>
      <c r="AY17" s="11">
        <v>371.48</v>
      </c>
      <c r="AZ17" s="11">
        <v>95.32</v>
      </c>
      <c r="BA17" s="11">
        <v>32.74</v>
      </c>
      <c r="BB17" s="11">
        <v>26.9</v>
      </c>
      <c r="BC17" s="11">
        <v>582.39</v>
      </c>
      <c r="BD17" s="11">
        <v>589.14</v>
      </c>
      <c r="BE17" s="11">
        <v>287.02999999999997</v>
      </c>
      <c r="BF17" s="5">
        <v>666</v>
      </c>
      <c r="BG17" s="11">
        <v>102.49</v>
      </c>
      <c r="BH17" s="11">
        <v>422.97</v>
      </c>
      <c r="BI17" s="11">
        <v>473.21</v>
      </c>
      <c r="BJ17" s="11">
        <v>151.88</v>
      </c>
      <c r="BK17" s="11">
        <v>68.739999999999995</v>
      </c>
      <c r="BL17" s="11">
        <v>1221.6400000000001</v>
      </c>
      <c r="BM17" s="11">
        <v>1078.92</v>
      </c>
      <c r="BN17" s="11">
        <v>392.31</v>
      </c>
      <c r="BO17" s="11">
        <v>2565.39</v>
      </c>
      <c r="BP17" s="11">
        <v>864.77</v>
      </c>
      <c r="BQ17" s="11">
        <v>609.83000000000004</v>
      </c>
      <c r="BR17" s="11">
        <v>491.78</v>
      </c>
      <c r="BS17" s="11">
        <v>111.32</v>
      </c>
      <c r="BT17" s="11">
        <v>222.49</v>
      </c>
      <c r="BU17" s="11">
        <v>593.64</v>
      </c>
      <c r="BV17" s="11">
        <v>3.13</v>
      </c>
      <c r="BW17" s="5">
        <v>0</v>
      </c>
      <c r="BX17" s="5">
        <v>82199</v>
      </c>
      <c r="BY17" s="11">
        <v>331.62</v>
      </c>
      <c r="BZ17" s="11">
        <v>81849.41</v>
      </c>
      <c r="CA17" s="11">
        <v>17.97</v>
      </c>
      <c r="CB17" s="11">
        <v>283.33999999999997</v>
      </c>
      <c r="CC17" s="11">
        <v>-646.92999999999995</v>
      </c>
      <c r="CD17" s="11">
        <v>64333.09</v>
      </c>
      <c r="CE17" s="5" t="s">
        <v>102</v>
      </c>
      <c r="CF17" s="11">
        <v>64333.09</v>
      </c>
      <c r="CG17" s="5" t="s">
        <v>102</v>
      </c>
      <c r="CH17" s="5" t="s">
        <v>102</v>
      </c>
      <c r="CI17" s="11">
        <v>930.28</v>
      </c>
      <c r="CJ17" s="5" t="s">
        <v>102</v>
      </c>
      <c r="CK17" s="5" t="s">
        <v>102</v>
      </c>
      <c r="CL17" s="11">
        <v>229401.5</v>
      </c>
      <c r="CM17" s="11">
        <v>146815.43</v>
      </c>
      <c r="CN17" s="61"/>
    </row>
    <row r="18" spans="1:94" x14ac:dyDescent="0.35">
      <c r="A18" s="3" t="s">
        <v>30</v>
      </c>
      <c r="B18" s="10">
        <v>119880.69</v>
      </c>
      <c r="C18" s="10">
        <v>1255.6300000000001</v>
      </c>
      <c r="D18" s="10">
        <v>419.73</v>
      </c>
      <c r="E18" s="10">
        <v>70.92</v>
      </c>
      <c r="F18" s="10">
        <v>217.43</v>
      </c>
      <c r="G18" s="10">
        <v>3490.08</v>
      </c>
      <c r="H18" s="10">
        <v>337.1</v>
      </c>
      <c r="I18" s="10">
        <v>28550.38</v>
      </c>
      <c r="J18" s="10">
        <v>4234.75</v>
      </c>
      <c r="K18" s="10">
        <v>138.51</v>
      </c>
      <c r="L18" s="10">
        <v>124.08</v>
      </c>
      <c r="M18" s="71">
        <v>943.55</v>
      </c>
      <c r="N18" s="38">
        <v>0</v>
      </c>
      <c r="O18" s="15">
        <v>0</v>
      </c>
      <c r="P18" s="15">
        <v>0</v>
      </c>
      <c r="Q18" s="112">
        <v>0</v>
      </c>
      <c r="R18" s="15">
        <v>0</v>
      </c>
      <c r="S18" s="15">
        <v>0</v>
      </c>
      <c r="T18" s="15">
        <v>0</v>
      </c>
      <c r="U18" s="15">
        <v>0</v>
      </c>
      <c r="V18" s="10">
        <v>211.16</v>
      </c>
      <c r="W18" s="10">
        <v>1135.46</v>
      </c>
      <c r="X18" s="10">
        <v>1324.37</v>
      </c>
      <c r="Y18" s="10">
        <v>732.44</v>
      </c>
      <c r="Z18" s="10">
        <v>1812.44</v>
      </c>
      <c r="AA18" s="10">
        <v>300.24</v>
      </c>
      <c r="AB18" s="10">
        <v>533.79999999999995</v>
      </c>
      <c r="AC18" s="10">
        <v>1005.83</v>
      </c>
      <c r="AD18" s="10">
        <v>1015.9</v>
      </c>
      <c r="AE18" s="10">
        <v>906.58</v>
      </c>
      <c r="AF18" s="10">
        <v>13651.4</v>
      </c>
      <c r="AG18" s="10">
        <v>1287.46</v>
      </c>
      <c r="AH18" s="71">
        <v>2245.5100000000002</v>
      </c>
      <c r="AI18" s="104"/>
      <c r="AJ18" s="10">
        <v>35.5</v>
      </c>
      <c r="AK18" s="10">
        <v>411.34</v>
      </c>
      <c r="AL18" s="10">
        <v>36974.33</v>
      </c>
      <c r="AM18" s="10">
        <v>218.97</v>
      </c>
      <c r="AN18" s="10">
        <v>3132.26</v>
      </c>
      <c r="AO18" s="10">
        <v>1252.08</v>
      </c>
      <c r="AP18" s="10">
        <v>774.65</v>
      </c>
      <c r="AQ18" s="10">
        <v>21.82</v>
      </c>
      <c r="AR18" s="10">
        <v>12.66</v>
      </c>
      <c r="AS18" s="10">
        <v>637.66</v>
      </c>
      <c r="AT18" s="10">
        <v>35.25</v>
      </c>
      <c r="AU18" s="10">
        <v>604.11</v>
      </c>
      <c r="AV18" s="10">
        <v>86.01</v>
      </c>
      <c r="AW18" s="10">
        <v>413.02</v>
      </c>
      <c r="AX18" s="10">
        <v>161.69</v>
      </c>
      <c r="AY18" s="10">
        <v>323.19</v>
      </c>
      <c r="AZ18" s="10">
        <v>29.25</v>
      </c>
      <c r="BA18" s="10">
        <v>23.96</v>
      </c>
      <c r="BB18" s="10">
        <v>35.270000000000003</v>
      </c>
      <c r="BC18" s="10">
        <v>2160.9699999999998</v>
      </c>
      <c r="BD18" s="10">
        <v>502.08</v>
      </c>
      <c r="BE18" s="10">
        <v>411.76</v>
      </c>
      <c r="BF18" s="10">
        <v>409.58</v>
      </c>
      <c r="BG18" s="10">
        <v>174.62</v>
      </c>
      <c r="BH18" s="10">
        <v>241.47</v>
      </c>
      <c r="BI18" s="10">
        <v>489.83</v>
      </c>
      <c r="BJ18" s="10">
        <v>57.21</v>
      </c>
      <c r="BK18" s="10">
        <v>15.93</v>
      </c>
      <c r="BL18" s="10">
        <v>1585.87</v>
      </c>
      <c r="BM18" s="10">
        <v>255.89</v>
      </c>
      <c r="BN18" s="10">
        <v>274.62</v>
      </c>
      <c r="BO18" s="10">
        <v>149.15</v>
      </c>
      <c r="BP18" s="10">
        <v>149.01</v>
      </c>
      <c r="BQ18" s="10">
        <v>331.86</v>
      </c>
      <c r="BR18" s="10">
        <v>190.19</v>
      </c>
      <c r="BS18" s="10">
        <v>125.56</v>
      </c>
      <c r="BT18" s="10">
        <v>113.52</v>
      </c>
      <c r="BU18" s="10">
        <v>1110.67</v>
      </c>
      <c r="BV18" s="10">
        <v>3.17</v>
      </c>
      <c r="BW18" s="4">
        <v>0</v>
      </c>
      <c r="BX18" s="10">
        <v>9009.86</v>
      </c>
      <c r="BY18" s="10">
        <v>0.04</v>
      </c>
      <c r="BZ18" s="10">
        <v>9003.08</v>
      </c>
      <c r="CA18" s="10">
        <v>6.74</v>
      </c>
      <c r="CB18" s="10">
        <v>13301.14</v>
      </c>
      <c r="CC18" s="10">
        <v>3792.96</v>
      </c>
      <c r="CD18" s="10">
        <v>25213.06</v>
      </c>
      <c r="CE18" s="4" t="s">
        <v>102</v>
      </c>
      <c r="CF18" s="10">
        <v>25213.06</v>
      </c>
      <c r="CG18" s="4" t="s">
        <v>102</v>
      </c>
      <c r="CH18" s="4" t="s">
        <v>102</v>
      </c>
      <c r="CI18" s="10">
        <v>9508.18</v>
      </c>
      <c r="CJ18" s="4" t="s">
        <v>102</v>
      </c>
      <c r="CK18" s="4" t="s">
        <v>102</v>
      </c>
      <c r="CL18" s="10">
        <v>167404.75</v>
      </c>
      <c r="CM18" s="10">
        <v>47524.06</v>
      </c>
      <c r="CN18" s="61"/>
    </row>
    <row r="19" spans="1:94" x14ac:dyDescent="0.35">
      <c r="A19" s="25" t="s">
        <v>31</v>
      </c>
      <c r="B19" s="62">
        <v>145665.32999999999</v>
      </c>
      <c r="C19" s="62">
        <v>592.38</v>
      </c>
      <c r="D19" s="62">
        <v>134.38</v>
      </c>
      <c r="E19" s="62">
        <v>33.659999999999997</v>
      </c>
      <c r="F19" s="62">
        <v>142.05000000000001</v>
      </c>
      <c r="G19" s="62">
        <v>18247.96</v>
      </c>
      <c r="H19" s="62">
        <v>1158.57</v>
      </c>
      <c r="I19" s="62">
        <v>1614.09</v>
      </c>
      <c r="J19" s="62">
        <v>43049.71</v>
      </c>
      <c r="K19" s="62">
        <v>6757.19</v>
      </c>
      <c r="L19" s="62">
        <v>260.83</v>
      </c>
      <c r="M19" s="71">
        <v>4171.8686147886438</v>
      </c>
      <c r="N19" s="39">
        <v>0</v>
      </c>
      <c r="O19" s="39">
        <v>0.84549615046998894</v>
      </c>
      <c r="P19" s="62">
        <v>0</v>
      </c>
      <c r="Q19" s="111">
        <v>15.075889060886313</v>
      </c>
      <c r="R19" s="62">
        <v>0</v>
      </c>
      <c r="S19" s="62">
        <v>0</v>
      </c>
      <c r="T19" s="62">
        <v>0</v>
      </c>
      <c r="U19" s="62">
        <v>0</v>
      </c>
      <c r="V19" s="62">
        <v>1888.07</v>
      </c>
      <c r="W19" s="62">
        <v>2782.88</v>
      </c>
      <c r="X19" s="62">
        <v>1292.45</v>
      </c>
      <c r="Y19" s="62">
        <v>791.52</v>
      </c>
      <c r="Z19" s="62">
        <v>1432.34</v>
      </c>
      <c r="AA19" s="62">
        <v>804.69</v>
      </c>
      <c r="AB19" s="62">
        <v>1563.6</v>
      </c>
      <c r="AC19" s="62">
        <v>1457.4</v>
      </c>
      <c r="AD19" s="62">
        <v>812.24</v>
      </c>
      <c r="AE19" s="62">
        <v>218.47</v>
      </c>
      <c r="AF19" s="62">
        <v>2319.4699999999998</v>
      </c>
      <c r="AG19" s="62">
        <v>572.96</v>
      </c>
      <c r="AH19" s="71">
        <v>1349.5</v>
      </c>
      <c r="AI19" s="105">
        <v>0</v>
      </c>
      <c r="AJ19" s="62">
        <v>82.29</v>
      </c>
      <c r="AK19" s="62">
        <v>1531.17</v>
      </c>
      <c r="AL19" s="62">
        <v>1936.52</v>
      </c>
      <c r="AM19" s="62">
        <v>508.38</v>
      </c>
      <c r="AN19" s="62">
        <v>7514.41</v>
      </c>
      <c r="AO19" s="62">
        <v>3948.38</v>
      </c>
      <c r="AP19" s="62">
        <v>1089.49</v>
      </c>
      <c r="AQ19" s="62">
        <v>62.95</v>
      </c>
      <c r="AR19" s="62">
        <v>31.68</v>
      </c>
      <c r="AS19" s="62">
        <v>1197.4100000000001</v>
      </c>
      <c r="AT19" s="62">
        <v>233</v>
      </c>
      <c r="AU19" s="62">
        <v>2984.59</v>
      </c>
      <c r="AV19" s="62">
        <v>3264.91</v>
      </c>
      <c r="AW19" s="62">
        <v>598.30999999999995</v>
      </c>
      <c r="AX19" s="62">
        <v>210.3</v>
      </c>
      <c r="AY19" s="62">
        <v>1210.95</v>
      </c>
      <c r="AZ19" s="62">
        <v>929.93</v>
      </c>
      <c r="BA19" s="62">
        <v>420.68</v>
      </c>
      <c r="BB19" s="62">
        <v>920.72</v>
      </c>
      <c r="BC19" s="62">
        <v>1264.96</v>
      </c>
      <c r="BD19" s="62">
        <v>3322.16</v>
      </c>
      <c r="BE19" s="62">
        <v>1834.87</v>
      </c>
      <c r="BF19" s="62">
        <v>1125.0899999999999</v>
      </c>
      <c r="BG19" s="62">
        <v>1418.77</v>
      </c>
      <c r="BH19" s="62">
        <v>1393.68</v>
      </c>
      <c r="BI19" s="62">
        <v>1002.39</v>
      </c>
      <c r="BJ19" s="62">
        <v>162.99</v>
      </c>
      <c r="BK19" s="62">
        <v>386.05</v>
      </c>
      <c r="BL19" s="62">
        <v>4290.07</v>
      </c>
      <c r="BM19" s="62">
        <v>1756.83</v>
      </c>
      <c r="BN19" s="62">
        <v>1264.8399999999999</v>
      </c>
      <c r="BO19" s="62">
        <v>1326.17</v>
      </c>
      <c r="BP19" s="62">
        <v>896.78</v>
      </c>
      <c r="BQ19" s="62">
        <v>1111.54</v>
      </c>
      <c r="BR19" s="62">
        <v>381.73</v>
      </c>
      <c r="BS19" s="62">
        <v>264.14999999999998</v>
      </c>
      <c r="BT19" s="62">
        <v>89.09</v>
      </c>
      <c r="BU19" s="62">
        <v>230.84</v>
      </c>
      <c r="BV19" s="62">
        <v>2.08</v>
      </c>
      <c r="BW19" s="62">
        <v>0</v>
      </c>
      <c r="BX19" s="62">
        <v>31558.06</v>
      </c>
      <c r="BY19" s="62">
        <v>123.91</v>
      </c>
      <c r="BZ19" s="62">
        <v>31433.38</v>
      </c>
      <c r="CA19" s="62">
        <v>0.77</v>
      </c>
      <c r="CB19" s="62">
        <v>-3637.98</v>
      </c>
      <c r="CC19" s="62">
        <v>-3638.25</v>
      </c>
      <c r="CD19" s="62">
        <v>43155.74</v>
      </c>
      <c r="CE19" s="62" t="s">
        <v>102</v>
      </c>
      <c r="CF19" s="62">
        <v>43155.74</v>
      </c>
      <c r="CG19" s="62" t="s">
        <v>102</v>
      </c>
      <c r="CH19" s="62" t="s">
        <v>102</v>
      </c>
      <c r="CI19" s="62">
        <v>0.27</v>
      </c>
      <c r="CJ19" s="62" t="s">
        <v>102</v>
      </c>
      <c r="CK19" s="62" t="s">
        <v>102</v>
      </c>
      <c r="CL19" s="62">
        <v>216741.15</v>
      </c>
      <c r="CM19" s="62">
        <v>71075.820000000007</v>
      </c>
      <c r="CN19" s="62"/>
      <c r="CO19" s="62"/>
      <c r="CP19" s="62"/>
    </row>
    <row r="20" spans="1:94" x14ac:dyDescent="0.35">
      <c r="A20" s="3" t="s">
        <v>32</v>
      </c>
      <c r="B20" s="10">
        <v>56623.56</v>
      </c>
      <c r="C20" s="10">
        <v>92.54</v>
      </c>
      <c r="D20" s="10">
        <v>13.28</v>
      </c>
      <c r="E20" s="10">
        <v>8.4</v>
      </c>
      <c r="F20" s="10">
        <v>28.45</v>
      </c>
      <c r="G20" s="10">
        <v>1022.15</v>
      </c>
      <c r="H20" s="10">
        <v>248.88</v>
      </c>
      <c r="I20" s="10">
        <v>355.17</v>
      </c>
      <c r="J20" s="10">
        <v>1663.26</v>
      </c>
      <c r="K20" s="10">
        <v>3695.85</v>
      </c>
      <c r="L20" s="10">
        <v>100.12</v>
      </c>
      <c r="M20" s="71">
        <v>480.07</v>
      </c>
      <c r="N20" s="15">
        <v>0</v>
      </c>
      <c r="O20" s="15">
        <v>0</v>
      </c>
      <c r="P20" s="15">
        <v>0</v>
      </c>
      <c r="Q20" s="112">
        <v>0</v>
      </c>
      <c r="R20" s="15">
        <v>0</v>
      </c>
      <c r="S20" s="15">
        <v>0</v>
      </c>
      <c r="T20" s="15">
        <v>0</v>
      </c>
      <c r="U20" s="15">
        <v>0</v>
      </c>
      <c r="V20" s="10">
        <v>377.56</v>
      </c>
      <c r="W20" s="10">
        <v>409.33</v>
      </c>
      <c r="X20" s="10">
        <v>142.99</v>
      </c>
      <c r="Y20" s="10">
        <v>209.56</v>
      </c>
      <c r="Z20" s="10">
        <v>396.8</v>
      </c>
      <c r="AA20" s="10">
        <v>200.85</v>
      </c>
      <c r="AB20" s="10">
        <v>244.64</v>
      </c>
      <c r="AC20" s="10">
        <v>491.65</v>
      </c>
      <c r="AD20" s="10">
        <v>597.25</v>
      </c>
      <c r="AE20" s="10">
        <v>90.44</v>
      </c>
      <c r="AF20" s="10">
        <v>472.52</v>
      </c>
      <c r="AG20" s="10">
        <v>169.67</v>
      </c>
      <c r="AH20" s="71">
        <v>413.82</v>
      </c>
      <c r="AI20" s="104"/>
      <c r="AJ20" s="10">
        <v>44.94</v>
      </c>
      <c r="AK20" s="10">
        <v>304.8</v>
      </c>
      <c r="AL20" s="10">
        <v>723.94</v>
      </c>
      <c r="AM20" s="10">
        <v>687.63</v>
      </c>
      <c r="AN20" s="10">
        <v>2706.87</v>
      </c>
      <c r="AO20" s="10">
        <v>3446.42</v>
      </c>
      <c r="AP20" s="10">
        <v>727.96</v>
      </c>
      <c r="AQ20" s="10">
        <v>32.56</v>
      </c>
      <c r="AR20" s="10">
        <v>53.48</v>
      </c>
      <c r="AS20" s="10">
        <v>525.28</v>
      </c>
      <c r="AT20" s="10">
        <v>497.15</v>
      </c>
      <c r="AU20" s="10">
        <v>1007.62</v>
      </c>
      <c r="AV20" s="10">
        <v>6115.91</v>
      </c>
      <c r="AW20" s="10">
        <v>1490.44</v>
      </c>
      <c r="AX20" s="10">
        <v>843.65</v>
      </c>
      <c r="AY20" s="10">
        <v>1570.66</v>
      </c>
      <c r="AZ20" s="10">
        <v>1386.04</v>
      </c>
      <c r="BA20" s="10">
        <v>874.22</v>
      </c>
      <c r="BB20" s="10">
        <v>1390.79</v>
      </c>
      <c r="BC20" s="10">
        <v>792.93</v>
      </c>
      <c r="BD20" s="10">
        <v>2234.73</v>
      </c>
      <c r="BE20" s="10">
        <v>1279.93</v>
      </c>
      <c r="BF20" s="10">
        <v>773.67</v>
      </c>
      <c r="BG20" s="10">
        <v>1605.82</v>
      </c>
      <c r="BH20" s="10">
        <v>1106.27</v>
      </c>
      <c r="BI20" s="10">
        <v>642.54</v>
      </c>
      <c r="BJ20" s="10">
        <v>232.84</v>
      </c>
      <c r="BK20" s="10">
        <v>606.02</v>
      </c>
      <c r="BL20" s="10">
        <v>2920.67</v>
      </c>
      <c r="BM20" s="10">
        <v>1860.05</v>
      </c>
      <c r="BN20" s="10">
        <v>1511.52</v>
      </c>
      <c r="BO20" s="10">
        <v>548.78</v>
      </c>
      <c r="BP20" s="10">
        <v>890.37</v>
      </c>
      <c r="BQ20" s="10">
        <v>1448.78</v>
      </c>
      <c r="BR20" s="10">
        <v>753.29</v>
      </c>
      <c r="BS20" s="10">
        <v>764.8</v>
      </c>
      <c r="BT20" s="10">
        <v>70.84</v>
      </c>
      <c r="BU20" s="10">
        <v>223.34</v>
      </c>
      <c r="BV20" s="10">
        <v>0.8</v>
      </c>
      <c r="BW20" s="4">
        <v>0</v>
      </c>
      <c r="BX20" s="10">
        <v>5009.88</v>
      </c>
      <c r="BY20" s="10">
        <v>7.55</v>
      </c>
      <c r="BZ20" s="10">
        <v>4992.26</v>
      </c>
      <c r="CA20" s="10">
        <v>10.08</v>
      </c>
      <c r="CB20" s="10">
        <v>-3399.78</v>
      </c>
      <c r="CC20" s="10">
        <v>-3409.83</v>
      </c>
      <c r="CD20" s="10">
        <v>2760.18</v>
      </c>
      <c r="CE20" s="4" t="s">
        <v>102</v>
      </c>
      <c r="CF20" s="10">
        <v>2760.18</v>
      </c>
      <c r="CG20" s="4" t="s">
        <v>102</v>
      </c>
      <c r="CH20" s="4" t="s">
        <v>102</v>
      </c>
      <c r="CI20" s="10">
        <v>10.050000000000001</v>
      </c>
      <c r="CJ20" s="4" t="s">
        <v>102</v>
      </c>
      <c r="CK20" s="4" t="s">
        <v>102</v>
      </c>
      <c r="CL20" s="10">
        <v>60993.85</v>
      </c>
      <c r="CM20" s="10">
        <v>4370.29</v>
      </c>
      <c r="CN20" s="60"/>
      <c r="CO20" s="61"/>
    </row>
    <row r="21" spans="1:94" x14ac:dyDescent="0.35">
      <c r="A21" s="3" t="s">
        <v>33</v>
      </c>
      <c r="B21" s="11">
        <v>277346.2</v>
      </c>
      <c r="C21" s="11">
        <v>10946.23</v>
      </c>
      <c r="D21" s="11">
        <v>1126.97</v>
      </c>
      <c r="E21" s="11">
        <v>613.47</v>
      </c>
      <c r="F21" s="11">
        <v>1826.07</v>
      </c>
      <c r="G21" s="11">
        <v>4049.36</v>
      </c>
      <c r="H21" s="11">
        <v>614.54</v>
      </c>
      <c r="I21" s="11">
        <v>627.79</v>
      </c>
      <c r="J21" s="11">
        <v>685.44</v>
      </c>
      <c r="K21" s="11">
        <v>165.47</v>
      </c>
      <c r="L21" s="11">
        <v>37264.43</v>
      </c>
      <c r="M21" s="71">
        <v>28252.799999999999</v>
      </c>
      <c r="N21" s="15">
        <v>0</v>
      </c>
      <c r="O21" s="15">
        <v>0</v>
      </c>
      <c r="P21" s="15">
        <v>0</v>
      </c>
      <c r="Q21" s="112">
        <v>0</v>
      </c>
      <c r="R21" s="15">
        <v>0</v>
      </c>
      <c r="S21" s="15">
        <v>0</v>
      </c>
      <c r="T21" s="15">
        <v>0</v>
      </c>
      <c r="U21" s="15">
        <v>0</v>
      </c>
      <c r="V21" s="11">
        <v>786.52</v>
      </c>
      <c r="W21" s="11">
        <v>1103.31</v>
      </c>
      <c r="X21" s="11">
        <v>4453.88</v>
      </c>
      <c r="Y21" s="11">
        <v>5776.15</v>
      </c>
      <c r="Z21" s="11">
        <v>1686.89</v>
      </c>
      <c r="AA21" s="11">
        <v>253.1</v>
      </c>
      <c r="AB21" s="11">
        <v>752.7</v>
      </c>
      <c r="AC21" s="11">
        <v>1273.24</v>
      </c>
      <c r="AD21" s="11">
        <v>2099.5</v>
      </c>
      <c r="AE21" s="11">
        <v>355.01</v>
      </c>
      <c r="AF21" s="11">
        <v>814.01</v>
      </c>
      <c r="AG21" s="11">
        <v>1568.22</v>
      </c>
      <c r="AH21" s="71">
        <v>9866.82</v>
      </c>
      <c r="AI21" s="104"/>
      <c r="AJ21" s="11">
        <v>313.02</v>
      </c>
      <c r="AK21" s="11">
        <v>2919.13</v>
      </c>
      <c r="AL21" s="11">
        <v>21543.69</v>
      </c>
      <c r="AM21" s="11">
        <v>2542.52</v>
      </c>
      <c r="AN21" s="11">
        <v>10133.959999999999</v>
      </c>
      <c r="AO21" s="11">
        <v>3252.39</v>
      </c>
      <c r="AP21" s="11">
        <v>40245.230000000003</v>
      </c>
      <c r="AQ21" s="11">
        <v>15837.62</v>
      </c>
      <c r="AR21" s="11">
        <v>16953.23</v>
      </c>
      <c r="AS21" s="11">
        <v>9157.9</v>
      </c>
      <c r="AT21" s="11">
        <v>1815.97</v>
      </c>
      <c r="AU21" s="11">
        <v>2488.2800000000002</v>
      </c>
      <c r="AV21" s="11">
        <v>164.71</v>
      </c>
      <c r="AW21" s="11">
        <v>507.84</v>
      </c>
      <c r="AX21" s="11">
        <v>409.39</v>
      </c>
      <c r="AY21" s="11">
        <v>1220.6400000000001</v>
      </c>
      <c r="AZ21" s="11">
        <v>449.12</v>
      </c>
      <c r="BA21" s="11">
        <v>670.86</v>
      </c>
      <c r="BB21" s="11">
        <v>1633.02</v>
      </c>
      <c r="BC21" s="11">
        <v>1679.8</v>
      </c>
      <c r="BD21" s="11">
        <v>2347.9899999999998</v>
      </c>
      <c r="BE21" s="11">
        <v>1434.76</v>
      </c>
      <c r="BF21" s="11">
        <v>1268.76</v>
      </c>
      <c r="BG21" s="11">
        <v>480.4</v>
      </c>
      <c r="BH21" s="11">
        <v>636.02</v>
      </c>
      <c r="BI21" s="11">
        <v>4106.18</v>
      </c>
      <c r="BJ21" s="11">
        <v>331.01</v>
      </c>
      <c r="BK21" s="11">
        <v>337.75</v>
      </c>
      <c r="BL21" s="11">
        <v>3265.55</v>
      </c>
      <c r="BM21" s="11">
        <v>4839.93</v>
      </c>
      <c r="BN21" s="11">
        <v>1458.41</v>
      </c>
      <c r="BO21" s="11">
        <v>1722.16</v>
      </c>
      <c r="BP21" s="11">
        <v>1165.32</v>
      </c>
      <c r="BQ21" s="11">
        <v>653.73</v>
      </c>
      <c r="BR21" s="11">
        <v>688.26</v>
      </c>
      <c r="BS21" s="11">
        <v>578.98</v>
      </c>
      <c r="BT21" s="11">
        <v>146.93</v>
      </c>
      <c r="BU21" s="11">
        <v>975.42</v>
      </c>
      <c r="BV21" s="11">
        <v>8.43</v>
      </c>
      <c r="BW21" s="5">
        <v>0</v>
      </c>
      <c r="BX21" s="11">
        <v>147381.46</v>
      </c>
      <c r="BY21" s="11">
        <v>522.27</v>
      </c>
      <c r="BZ21" s="11">
        <v>146851.4</v>
      </c>
      <c r="CA21" s="11">
        <v>7.79</v>
      </c>
      <c r="CB21" s="11">
        <v>-9006.61</v>
      </c>
      <c r="CC21" s="11">
        <v>-9006.61</v>
      </c>
      <c r="CD21" s="11">
        <v>101636.74</v>
      </c>
      <c r="CE21" s="5" t="s">
        <v>102</v>
      </c>
      <c r="CF21" s="11">
        <v>101636.74</v>
      </c>
      <c r="CG21" s="5" t="s">
        <v>102</v>
      </c>
      <c r="CH21" s="5" t="s">
        <v>102</v>
      </c>
      <c r="CI21" s="5">
        <v>0</v>
      </c>
      <c r="CJ21" s="5" t="s">
        <v>102</v>
      </c>
      <c r="CK21" s="5" t="s">
        <v>102</v>
      </c>
      <c r="CL21" s="11">
        <v>517357.78</v>
      </c>
      <c r="CM21" s="11">
        <v>240011.58</v>
      </c>
      <c r="CN21" s="126"/>
      <c r="CO21" s="11"/>
      <c r="CP21" s="128"/>
    </row>
    <row r="22" spans="1:94" x14ac:dyDescent="0.35">
      <c r="A22" s="46" t="s">
        <v>131</v>
      </c>
      <c r="B22" s="80">
        <v>371756.19</v>
      </c>
      <c r="C22" s="129">
        <v>18410</v>
      </c>
      <c r="D22" s="64">
        <v>300.58999999999997</v>
      </c>
      <c r="E22" s="64">
        <v>160.6</v>
      </c>
      <c r="F22" s="64">
        <v>1248.19</v>
      </c>
      <c r="G22" s="64">
        <v>11118.01</v>
      </c>
      <c r="H22" s="64">
        <v>7682.61</v>
      </c>
      <c r="I22" s="64">
        <v>4525.74</v>
      </c>
      <c r="J22" s="64">
        <v>7371.85</v>
      </c>
      <c r="K22" s="64">
        <v>1679.2</v>
      </c>
      <c r="L22" s="85">
        <v>14715.45</v>
      </c>
      <c r="M22" s="71">
        <v>105228.25039832777</v>
      </c>
      <c r="N22" s="80">
        <v>681.25066080000011</v>
      </c>
      <c r="O22" s="80">
        <v>102.50479087223586</v>
      </c>
      <c r="P22" s="80">
        <v>132.82478999999998</v>
      </c>
      <c r="Q22" s="113">
        <v>54.919359999999998</v>
      </c>
      <c r="R22" s="64">
        <v>0</v>
      </c>
      <c r="S22" s="64">
        <v>0</v>
      </c>
      <c r="T22" s="64">
        <v>0</v>
      </c>
      <c r="U22" s="64">
        <v>0</v>
      </c>
      <c r="V22" s="64">
        <v>12939.59</v>
      </c>
      <c r="W22" s="64">
        <v>41259.21</v>
      </c>
      <c r="X22" s="64">
        <v>6552.55</v>
      </c>
      <c r="Y22" s="64">
        <v>6858.1</v>
      </c>
      <c r="Z22" s="64">
        <v>6834.17</v>
      </c>
      <c r="AA22" s="64">
        <v>2841.04</v>
      </c>
      <c r="AB22" s="64">
        <v>5087.42</v>
      </c>
      <c r="AC22" s="64">
        <v>4268.8</v>
      </c>
      <c r="AD22" s="64">
        <v>7947.53</v>
      </c>
      <c r="AE22" s="64">
        <v>2415.7199999999998</v>
      </c>
      <c r="AF22" s="64">
        <v>5960.3</v>
      </c>
      <c r="AG22" s="64">
        <v>2166.19</v>
      </c>
      <c r="AH22" s="71">
        <v>10254.386344838174</v>
      </c>
      <c r="AI22" s="106">
        <v>24.033655161825202</v>
      </c>
      <c r="AJ22" s="64">
        <v>463.78</v>
      </c>
      <c r="AK22" s="64">
        <v>2226.75</v>
      </c>
      <c r="AL22" s="64">
        <v>16752.21</v>
      </c>
      <c r="AM22" s="64">
        <v>1997.4</v>
      </c>
      <c r="AN22" s="64">
        <v>10892.85</v>
      </c>
      <c r="AO22" s="64">
        <v>2720.6</v>
      </c>
      <c r="AP22" s="64">
        <v>1872.63</v>
      </c>
      <c r="AQ22" s="64">
        <v>105.55</v>
      </c>
      <c r="AR22" s="64">
        <v>89.25</v>
      </c>
      <c r="AS22" s="64">
        <v>820.8</v>
      </c>
      <c r="AT22" s="64">
        <v>55.08</v>
      </c>
      <c r="AU22" s="64">
        <v>2183.98</v>
      </c>
      <c r="AV22" s="64">
        <v>1398.78</v>
      </c>
      <c r="AW22" s="64">
        <v>302.06</v>
      </c>
      <c r="AX22" s="64">
        <v>105.74</v>
      </c>
      <c r="AY22" s="64">
        <v>1608.55</v>
      </c>
      <c r="AZ22" s="64">
        <v>89.59</v>
      </c>
      <c r="BA22" s="64">
        <v>68.430000000000007</v>
      </c>
      <c r="BB22" s="64">
        <v>55.11</v>
      </c>
      <c r="BC22" s="64">
        <v>3304.55</v>
      </c>
      <c r="BD22" s="64">
        <v>1900.37</v>
      </c>
      <c r="BE22" s="64">
        <v>1918.16</v>
      </c>
      <c r="BF22" s="64">
        <v>5276.42</v>
      </c>
      <c r="BG22" s="64">
        <v>304.58</v>
      </c>
      <c r="BH22" s="64">
        <v>961.91</v>
      </c>
      <c r="BI22" s="64">
        <v>2667.04</v>
      </c>
      <c r="BJ22" s="64">
        <v>215.81</v>
      </c>
      <c r="BK22" s="64">
        <v>64.209999999999994</v>
      </c>
      <c r="BL22" s="64">
        <v>6626.34</v>
      </c>
      <c r="BM22" s="64">
        <v>1413.84</v>
      </c>
      <c r="BN22" s="64">
        <v>794.96</v>
      </c>
      <c r="BO22" s="64">
        <v>8885.6</v>
      </c>
      <c r="BP22" s="64">
        <v>1107.6600000000001</v>
      </c>
      <c r="BQ22" s="64">
        <v>471.25</v>
      </c>
      <c r="BR22" s="64">
        <v>316.52999999999997</v>
      </c>
      <c r="BS22" s="64">
        <v>276.25</v>
      </c>
      <c r="BT22" s="64">
        <v>107.89</v>
      </c>
      <c r="BU22" s="64">
        <v>2507.08</v>
      </c>
      <c r="BV22" s="64">
        <v>5.62</v>
      </c>
      <c r="BW22" s="64">
        <v>0</v>
      </c>
      <c r="BX22" s="93">
        <v>32890.310588217399</v>
      </c>
      <c r="BY22" s="64">
        <v>624.47</v>
      </c>
      <c r="BZ22" s="64">
        <v>53395.97</v>
      </c>
      <c r="CA22" s="64">
        <v>0.6</v>
      </c>
      <c r="CB22" s="64">
        <v>-359.33</v>
      </c>
      <c r="CC22" s="64">
        <v>-414.64</v>
      </c>
      <c r="CD22" s="64">
        <v>196457.18</v>
      </c>
      <c r="CE22" s="41" t="s">
        <v>102</v>
      </c>
      <c r="CF22" s="80">
        <v>194307.77166999999</v>
      </c>
      <c r="CG22" s="41" t="s">
        <v>102</v>
      </c>
      <c r="CH22" s="41" t="s">
        <v>102</v>
      </c>
      <c r="CI22" s="64">
        <v>55.32</v>
      </c>
      <c r="CJ22" s="41" t="s">
        <v>102</v>
      </c>
      <c r="CK22" s="41" t="s">
        <v>102</v>
      </c>
      <c r="CL22" s="64">
        <v>598594.93225821736</v>
      </c>
      <c r="CM22" s="130">
        <v>226838.7522582174</v>
      </c>
      <c r="CN22" s="64"/>
      <c r="CO22" s="64"/>
      <c r="CP22" s="64"/>
    </row>
    <row r="23" spans="1:94" x14ac:dyDescent="0.35">
      <c r="A23" s="13" t="s">
        <v>122</v>
      </c>
      <c r="B23" s="32">
        <v>0</v>
      </c>
      <c r="C23" s="32">
        <v>0</v>
      </c>
      <c r="D23" s="32">
        <v>0</v>
      </c>
      <c r="E23" s="32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18">
        <v>0</v>
      </c>
      <c r="M23" s="71">
        <v>0</v>
      </c>
      <c r="N23" s="15">
        <v>0</v>
      </c>
      <c r="O23" s="15">
        <v>0</v>
      </c>
      <c r="P23" s="15">
        <v>0</v>
      </c>
      <c r="Q23" s="127">
        <v>0</v>
      </c>
      <c r="R23" s="15">
        <v>0</v>
      </c>
      <c r="S23" s="15">
        <v>0</v>
      </c>
      <c r="T23" s="15">
        <v>0</v>
      </c>
      <c r="U23" s="15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71">
        <v>0</v>
      </c>
      <c r="AI23" s="10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32">
        <v>13865.658032083678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 t="s">
        <v>102</v>
      </c>
      <c r="CF23" s="32">
        <v>2098.3071759999998</v>
      </c>
      <c r="CG23" s="14" t="s">
        <v>102</v>
      </c>
      <c r="CH23" s="14" t="s">
        <v>102</v>
      </c>
      <c r="CI23" s="14">
        <v>0</v>
      </c>
      <c r="CJ23" s="14" t="s">
        <v>102</v>
      </c>
      <c r="CK23" s="14" t="s">
        <v>102</v>
      </c>
      <c r="CL23" s="32">
        <v>15963.965208083679</v>
      </c>
      <c r="CM23" s="32">
        <v>15963.965208083679</v>
      </c>
      <c r="CN23" s="55"/>
      <c r="CO23" s="55"/>
      <c r="CP23" s="55"/>
    </row>
    <row r="24" spans="1:94" x14ac:dyDescent="0.35">
      <c r="A24" s="13" t="s">
        <v>123</v>
      </c>
      <c r="B24" s="32">
        <v>0</v>
      </c>
      <c r="C24" s="98">
        <v>0</v>
      </c>
      <c r="D24" s="32">
        <v>0</v>
      </c>
      <c r="E24" s="32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18">
        <v>0</v>
      </c>
      <c r="M24" s="71">
        <v>0</v>
      </c>
      <c r="N24" s="15">
        <v>0</v>
      </c>
      <c r="O24" s="15">
        <v>0</v>
      </c>
      <c r="P24" s="15">
        <v>0</v>
      </c>
      <c r="Q24" s="127">
        <v>0</v>
      </c>
      <c r="R24" s="15">
        <v>0</v>
      </c>
      <c r="S24" s="15">
        <v>0</v>
      </c>
      <c r="T24" s="15">
        <v>0</v>
      </c>
      <c r="U24" s="15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71">
        <v>0</v>
      </c>
      <c r="AI24" s="10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32">
        <v>2092.6449164619166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 t="s">
        <v>102</v>
      </c>
      <c r="CF24" s="122">
        <v>0</v>
      </c>
      <c r="CG24" s="14" t="s">
        <v>102</v>
      </c>
      <c r="CH24" s="14" t="s">
        <v>102</v>
      </c>
      <c r="CI24" s="14">
        <v>0</v>
      </c>
      <c r="CJ24" s="14" t="s">
        <v>102</v>
      </c>
      <c r="CK24" s="14" t="s">
        <v>102</v>
      </c>
      <c r="CL24" s="32">
        <v>2092.6449164619166</v>
      </c>
      <c r="CM24" s="32">
        <v>2092.6449164619166</v>
      </c>
      <c r="CN24" s="55"/>
      <c r="CO24" s="55"/>
      <c r="CP24" s="55"/>
    </row>
    <row r="25" spans="1:94" x14ac:dyDescent="0.35">
      <c r="A25" s="16" t="s">
        <v>124</v>
      </c>
      <c r="B25" s="33">
        <v>0</v>
      </c>
      <c r="C25" s="99">
        <v>0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18">
        <v>0</v>
      </c>
      <c r="M25" s="71">
        <v>0</v>
      </c>
      <c r="N25" s="15">
        <v>0</v>
      </c>
      <c r="O25" s="15">
        <v>0</v>
      </c>
      <c r="P25" s="15">
        <v>0</v>
      </c>
      <c r="Q25" s="127">
        <v>0</v>
      </c>
      <c r="R25" s="15">
        <v>0</v>
      </c>
      <c r="S25" s="15">
        <v>0</v>
      </c>
      <c r="T25" s="15">
        <v>0</v>
      </c>
      <c r="U25" s="15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71">
        <v>0</v>
      </c>
      <c r="AI25" s="10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32">
        <v>4941.8497965703409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 t="s">
        <v>102</v>
      </c>
      <c r="CF25" s="31">
        <v>51.101154000000001</v>
      </c>
      <c r="CG25" s="14" t="s">
        <v>102</v>
      </c>
      <c r="CH25" s="14" t="s">
        <v>102</v>
      </c>
      <c r="CI25" s="14">
        <v>0</v>
      </c>
      <c r="CJ25" s="14" t="s">
        <v>102</v>
      </c>
      <c r="CK25" s="14" t="s">
        <v>102</v>
      </c>
      <c r="CL25" s="32">
        <v>4992.9509505703409</v>
      </c>
      <c r="CM25" s="32">
        <v>4992.9509505703409</v>
      </c>
      <c r="CN25" s="56"/>
      <c r="CO25" s="56"/>
      <c r="CP25" s="56"/>
    </row>
    <row r="26" spans="1:94" x14ac:dyDescent="0.35">
      <c r="A26" s="16" t="s">
        <v>125</v>
      </c>
      <c r="B26" s="33">
        <v>0</v>
      </c>
      <c r="C26" s="99">
        <v>0</v>
      </c>
      <c r="D26" s="33">
        <v>0</v>
      </c>
      <c r="E26" s="33">
        <v>0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18">
        <v>0</v>
      </c>
      <c r="M26" s="71">
        <v>0</v>
      </c>
      <c r="N26" s="15">
        <v>0</v>
      </c>
      <c r="O26" s="15">
        <v>0</v>
      </c>
      <c r="P26" s="15">
        <v>0</v>
      </c>
      <c r="Q26" s="127">
        <v>0</v>
      </c>
      <c r="R26" s="15">
        <v>0</v>
      </c>
      <c r="S26" s="15">
        <v>0</v>
      </c>
      <c r="T26" s="15">
        <v>0</v>
      </c>
      <c r="U26" s="15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71">
        <v>0</v>
      </c>
      <c r="AI26" s="10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32">
        <v>230.58666666666667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 t="s">
        <v>102</v>
      </c>
      <c r="CF26" s="14">
        <v>0</v>
      </c>
      <c r="CG26" s="14" t="s">
        <v>102</v>
      </c>
      <c r="CH26" s="14" t="s">
        <v>102</v>
      </c>
      <c r="CI26" s="14">
        <v>0</v>
      </c>
      <c r="CJ26" s="14" t="s">
        <v>102</v>
      </c>
      <c r="CK26" s="14" t="s">
        <v>102</v>
      </c>
      <c r="CL26" s="32">
        <v>230.58666666666667</v>
      </c>
      <c r="CM26" s="32">
        <v>230.58666666666667</v>
      </c>
      <c r="CN26" s="56"/>
      <c r="CO26" s="56"/>
      <c r="CP26" s="56"/>
    </row>
    <row r="27" spans="1:94" x14ac:dyDescent="0.35">
      <c r="A27" s="19" t="s">
        <v>126</v>
      </c>
      <c r="B27" s="101">
        <v>0</v>
      </c>
      <c r="C27" s="100">
        <v>0</v>
      </c>
      <c r="D27" s="101">
        <v>0</v>
      </c>
      <c r="E27" s="101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18">
        <v>0</v>
      </c>
      <c r="M27" s="71">
        <v>0</v>
      </c>
      <c r="N27" s="15">
        <v>0</v>
      </c>
      <c r="O27" s="15">
        <v>0</v>
      </c>
      <c r="P27" s="15">
        <v>0</v>
      </c>
      <c r="Q27" s="127">
        <v>0</v>
      </c>
      <c r="R27" s="15">
        <v>0</v>
      </c>
      <c r="S27" s="15">
        <v>0</v>
      </c>
      <c r="T27" s="15">
        <v>0</v>
      </c>
      <c r="U27" s="15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71">
        <v>0</v>
      </c>
      <c r="AI27" s="10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 t="s">
        <v>102</v>
      </c>
      <c r="CF27" s="14">
        <v>0</v>
      </c>
      <c r="CG27" s="14" t="s">
        <v>102</v>
      </c>
      <c r="CH27" s="14" t="s">
        <v>102</v>
      </c>
      <c r="CI27" s="14">
        <v>0</v>
      </c>
      <c r="CJ27" s="14" t="s">
        <v>102</v>
      </c>
      <c r="CK27" s="14" t="s">
        <v>102</v>
      </c>
      <c r="CL27" s="32">
        <v>0</v>
      </c>
      <c r="CM27" s="32">
        <v>0</v>
      </c>
      <c r="CN27" s="57"/>
      <c r="CO27" s="57"/>
      <c r="CP27" s="57"/>
    </row>
    <row r="28" spans="1:94" x14ac:dyDescent="0.35">
      <c r="A28" s="19" t="s">
        <v>127</v>
      </c>
      <c r="B28" s="101">
        <v>0</v>
      </c>
      <c r="C28" s="100">
        <v>0</v>
      </c>
      <c r="D28" s="101">
        <v>0</v>
      </c>
      <c r="E28" s="101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18">
        <v>0</v>
      </c>
      <c r="M28" s="71">
        <v>0</v>
      </c>
      <c r="N28" s="15">
        <v>0</v>
      </c>
      <c r="O28" s="15">
        <v>0</v>
      </c>
      <c r="P28" s="15">
        <v>0</v>
      </c>
      <c r="Q28" s="127">
        <v>0</v>
      </c>
      <c r="R28" s="15">
        <v>0</v>
      </c>
      <c r="S28" s="15">
        <v>0</v>
      </c>
      <c r="T28" s="15">
        <v>0</v>
      </c>
      <c r="U28" s="15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71">
        <v>0</v>
      </c>
      <c r="AI28" s="10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 t="s">
        <v>102</v>
      </c>
      <c r="CF28" s="14">
        <v>0</v>
      </c>
      <c r="CG28" s="14" t="s">
        <v>102</v>
      </c>
      <c r="CH28" s="14" t="s">
        <v>102</v>
      </c>
      <c r="CI28" s="14">
        <v>0</v>
      </c>
      <c r="CJ28" s="14" t="s">
        <v>102</v>
      </c>
      <c r="CK28" s="14" t="s">
        <v>102</v>
      </c>
      <c r="CL28" s="32">
        <v>0</v>
      </c>
      <c r="CM28" s="32">
        <v>0</v>
      </c>
      <c r="CN28" s="57"/>
      <c r="CO28" s="57"/>
      <c r="CP28" s="57"/>
    </row>
    <row r="29" spans="1:94" x14ac:dyDescent="0.35">
      <c r="A29" s="22" t="s">
        <v>128</v>
      </c>
      <c r="B29" s="102">
        <v>0</v>
      </c>
      <c r="C29" s="102">
        <v>0</v>
      </c>
      <c r="D29" s="102">
        <v>0</v>
      </c>
      <c r="E29" s="102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18">
        <v>0</v>
      </c>
      <c r="M29" s="71">
        <v>0</v>
      </c>
      <c r="N29" s="15">
        <v>0</v>
      </c>
      <c r="O29" s="15">
        <v>0</v>
      </c>
      <c r="P29" s="15">
        <v>0</v>
      </c>
      <c r="Q29" s="127">
        <v>0</v>
      </c>
      <c r="R29" s="15">
        <v>0</v>
      </c>
      <c r="S29" s="15">
        <v>0</v>
      </c>
      <c r="T29" s="15">
        <v>0</v>
      </c>
      <c r="U29" s="15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71">
        <v>0</v>
      </c>
      <c r="AI29" s="10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 t="s">
        <v>102</v>
      </c>
      <c r="CF29" s="14">
        <v>0</v>
      </c>
      <c r="CG29" s="14" t="s">
        <v>102</v>
      </c>
      <c r="CH29" s="14" t="s">
        <v>102</v>
      </c>
      <c r="CI29" s="14">
        <v>0</v>
      </c>
      <c r="CJ29" s="14" t="s">
        <v>102</v>
      </c>
      <c r="CK29" s="14" t="s">
        <v>102</v>
      </c>
      <c r="CL29" s="32">
        <v>0</v>
      </c>
      <c r="CM29" s="32">
        <v>0</v>
      </c>
      <c r="CN29" s="58"/>
      <c r="CO29" s="58"/>
      <c r="CP29" s="58"/>
    </row>
    <row r="30" spans="1:94" x14ac:dyDescent="0.35">
      <c r="A30" s="73" t="s">
        <v>132</v>
      </c>
      <c r="B30" s="78">
        <v>0</v>
      </c>
      <c r="C30" s="78">
        <v>0</v>
      </c>
      <c r="D30" s="78">
        <v>0</v>
      </c>
      <c r="E30" s="78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18">
        <v>0</v>
      </c>
      <c r="M30" s="71">
        <v>0</v>
      </c>
      <c r="N30" s="74">
        <v>0</v>
      </c>
      <c r="O30" s="15">
        <v>0</v>
      </c>
      <c r="P30" s="15">
        <v>0</v>
      </c>
      <c r="Q30" s="127">
        <v>0</v>
      </c>
      <c r="R30" s="15">
        <v>0</v>
      </c>
      <c r="S30" s="15">
        <v>0</v>
      </c>
      <c r="T30" s="15">
        <v>0</v>
      </c>
      <c r="U30" s="15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71">
        <v>0</v>
      </c>
      <c r="AI30" s="10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 t="s">
        <v>102</v>
      </c>
      <c r="CF30" s="14">
        <v>0</v>
      </c>
      <c r="CG30" s="14" t="s">
        <v>102</v>
      </c>
      <c r="CH30" s="14" t="s">
        <v>102</v>
      </c>
      <c r="CI30" s="14">
        <v>0</v>
      </c>
      <c r="CJ30" s="14" t="s">
        <v>102</v>
      </c>
      <c r="CK30" s="14" t="s">
        <v>102</v>
      </c>
      <c r="CL30" s="32">
        <v>0</v>
      </c>
      <c r="CM30" s="32">
        <v>0</v>
      </c>
      <c r="CN30" s="72"/>
      <c r="CO30" s="72"/>
      <c r="CP30" s="72"/>
    </row>
    <row r="31" spans="1:94" x14ac:dyDescent="0.35">
      <c r="A31" s="3" t="s">
        <v>34</v>
      </c>
      <c r="B31" s="11">
        <v>72121.850000000006</v>
      </c>
      <c r="C31" s="11">
        <v>1030.33</v>
      </c>
      <c r="D31" s="11">
        <v>2.97</v>
      </c>
      <c r="E31" s="11">
        <v>19.46</v>
      </c>
      <c r="F31" s="11">
        <v>10.4</v>
      </c>
      <c r="G31" s="11">
        <v>2317.54</v>
      </c>
      <c r="H31" s="11">
        <v>36.9</v>
      </c>
      <c r="I31" s="11">
        <v>14.27</v>
      </c>
      <c r="J31" s="11">
        <v>29.56</v>
      </c>
      <c r="K31" s="11">
        <v>4.7699999999999996</v>
      </c>
      <c r="L31" s="11">
        <v>42.71</v>
      </c>
      <c r="M31" s="71">
        <v>2905.7</v>
      </c>
      <c r="N31" s="15">
        <v>0</v>
      </c>
      <c r="O31" s="15">
        <v>0</v>
      </c>
      <c r="P31" s="15">
        <v>0</v>
      </c>
      <c r="Q31" s="127">
        <v>0</v>
      </c>
      <c r="R31" s="15">
        <v>0</v>
      </c>
      <c r="S31" s="15">
        <v>0</v>
      </c>
      <c r="T31" s="15">
        <v>0</v>
      </c>
      <c r="U31" s="15">
        <v>0</v>
      </c>
      <c r="V31" s="11">
        <v>18500.04</v>
      </c>
      <c r="W31" s="11">
        <v>1036.1500000000001</v>
      </c>
      <c r="X31" s="11">
        <v>169.45</v>
      </c>
      <c r="Y31" s="11">
        <v>22.99</v>
      </c>
      <c r="Z31" s="11">
        <v>26.35</v>
      </c>
      <c r="AA31" s="11">
        <v>37.450000000000003</v>
      </c>
      <c r="AB31" s="11">
        <v>22.43</v>
      </c>
      <c r="AC31" s="11">
        <v>42.81</v>
      </c>
      <c r="AD31" s="11">
        <v>22.3</v>
      </c>
      <c r="AE31" s="11">
        <v>10.87</v>
      </c>
      <c r="AF31" s="11">
        <v>266.8</v>
      </c>
      <c r="AG31" s="11">
        <v>49.87</v>
      </c>
      <c r="AH31" s="71">
        <v>25.54</v>
      </c>
      <c r="AI31" s="104"/>
      <c r="AJ31" s="11">
        <v>1.79</v>
      </c>
      <c r="AK31" s="11">
        <v>59.38</v>
      </c>
      <c r="AL31" s="11">
        <v>60.98</v>
      </c>
      <c r="AM31" s="11">
        <v>5.62</v>
      </c>
      <c r="AN31" s="11">
        <v>3115.32</v>
      </c>
      <c r="AO31" s="11">
        <v>896.16</v>
      </c>
      <c r="AP31" s="11">
        <v>45.43</v>
      </c>
      <c r="AQ31" s="11">
        <v>2.29</v>
      </c>
      <c r="AR31" s="11">
        <v>2.4700000000000002</v>
      </c>
      <c r="AS31" s="11">
        <v>70.64</v>
      </c>
      <c r="AT31" s="11">
        <v>14.82</v>
      </c>
      <c r="AU31" s="11">
        <v>104.17</v>
      </c>
      <c r="AV31" s="11">
        <v>10.56</v>
      </c>
      <c r="AW31" s="11">
        <v>3.57</v>
      </c>
      <c r="AX31" s="11">
        <v>14.67</v>
      </c>
      <c r="AY31" s="11">
        <v>266.64999999999998</v>
      </c>
      <c r="AZ31" s="11">
        <v>4.87</v>
      </c>
      <c r="BA31" s="11">
        <v>4.3600000000000003</v>
      </c>
      <c r="BB31" s="11">
        <v>1.71</v>
      </c>
      <c r="BC31" s="11">
        <v>387.99</v>
      </c>
      <c r="BD31" s="11">
        <v>519.29999999999995</v>
      </c>
      <c r="BE31" s="11">
        <v>169.73</v>
      </c>
      <c r="BF31" s="5">
        <v>2436</v>
      </c>
      <c r="BG31" s="11">
        <v>83.74</v>
      </c>
      <c r="BH31" s="11">
        <v>904.75</v>
      </c>
      <c r="BI31" s="11">
        <v>1123.0999999999999</v>
      </c>
      <c r="BJ31" s="11">
        <v>69.47</v>
      </c>
      <c r="BK31" s="11">
        <v>1.63</v>
      </c>
      <c r="BL31" s="11">
        <v>458.38</v>
      </c>
      <c r="BM31" s="11">
        <v>869.54</v>
      </c>
      <c r="BN31" s="11">
        <v>470.29</v>
      </c>
      <c r="BO31" s="11">
        <v>30564.85</v>
      </c>
      <c r="BP31" s="11">
        <v>2573.75</v>
      </c>
      <c r="BQ31" s="11">
        <v>21.29</v>
      </c>
      <c r="BR31" s="11">
        <v>32.01</v>
      </c>
      <c r="BS31" s="11">
        <v>31.8</v>
      </c>
      <c r="BT31" s="11">
        <v>3.84</v>
      </c>
      <c r="BU31" s="11">
        <v>57.49</v>
      </c>
      <c r="BV31" s="11">
        <v>9.8000000000000007</v>
      </c>
      <c r="BW31" s="5">
        <v>0</v>
      </c>
      <c r="BX31" s="11">
        <v>101179.67</v>
      </c>
      <c r="BY31" s="11">
        <v>51857.72</v>
      </c>
      <c r="BZ31" s="11">
        <v>49300.639999999999</v>
      </c>
      <c r="CA31" s="11">
        <v>21.31</v>
      </c>
      <c r="CB31" s="11">
        <v>-41066.449999999997</v>
      </c>
      <c r="CC31" s="11">
        <v>-41067.230000000003</v>
      </c>
      <c r="CD31" s="11">
        <v>203993.76</v>
      </c>
      <c r="CE31" s="5" t="s">
        <v>102</v>
      </c>
      <c r="CF31" s="11">
        <v>203993.76</v>
      </c>
      <c r="CG31" s="5" t="s">
        <v>102</v>
      </c>
      <c r="CH31" s="5" t="s">
        <v>102</v>
      </c>
      <c r="CI31" s="5">
        <v>0.78</v>
      </c>
      <c r="CJ31" s="5" t="s">
        <v>102</v>
      </c>
      <c r="CK31" s="5" t="s">
        <v>102</v>
      </c>
      <c r="CL31" s="11">
        <v>336228.83</v>
      </c>
      <c r="CM31" s="11">
        <v>264106.98</v>
      </c>
    </row>
    <row r="32" spans="1:94" x14ac:dyDescent="0.35">
      <c r="A32" s="3" t="s">
        <v>35</v>
      </c>
      <c r="B32" s="10">
        <v>258792.05</v>
      </c>
      <c r="C32" s="10">
        <v>2002.38</v>
      </c>
      <c r="D32" s="10">
        <v>73.010000000000005</v>
      </c>
      <c r="E32" s="10">
        <v>63.36</v>
      </c>
      <c r="F32" s="10">
        <v>350.46</v>
      </c>
      <c r="G32" s="10">
        <v>17290.37</v>
      </c>
      <c r="H32" s="10">
        <v>2377.7399999999998</v>
      </c>
      <c r="I32" s="10">
        <v>1272.46</v>
      </c>
      <c r="J32" s="10">
        <v>2481.35</v>
      </c>
      <c r="K32" s="10">
        <v>713.21</v>
      </c>
      <c r="L32" s="10">
        <v>1647.32</v>
      </c>
      <c r="M32" s="71">
        <v>7799.63</v>
      </c>
      <c r="N32" s="15">
        <v>0</v>
      </c>
      <c r="O32" s="15">
        <v>0</v>
      </c>
      <c r="P32" s="15">
        <v>0</v>
      </c>
      <c r="Q32" s="127">
        <v>0</v>
      </c>
      <c r="R32" s="15">
        <v>0</v>
      </c>
      <c r="S32" s="15">
        <v>0</v>
      </c>
      <c r="T32" s="15">
        <v>0</v>
      </c>
      <c r="U32" s="15">
        <v>0</v>
      </c>
      <c r="V32" s="10">
        <v>3521.06</v>
      </c>
      <c r="W32" s="10">
        <v>37369.5</v>
      </c>
      <c r="X32" s="10">
        <v>3383.13</v>
      </c>
      <c r="Y32" s="10">
        <v>2595.64</v>
      </c>
      <c r="Z32" s="10">
        <v>7949.88</v>
      </c>
      <c r="AA32" s="10">
        <v>3286.87</v>
      </c>
      <c r="AB32" s="10">
        <v>8659.2999999999993</v>
      </c>
      <c r="AC32" s="10">
        <v>11525.72</v>
      </c>
      <c r="AD32" s="10">
        <v>27733.23</v>
      </c>
      <c r="AE32" s="10">
        <v>2288.29</v>
      </c>
      <c r="AF32" s="10">
        <v>5964.29</v>
      </c>
      <c r="AG32" s="10">
        <v>3393.84</v>
      </c>
      <c r="AH32" s="71">
        <v>1051.43</v>
      </c>
      <c r="AI32" s="104"/>
      <c r="AJ32" s="10">
        <v>144.91</v>
      </c>
      <c r="AK32" s="10">
        <v>1512.08</v>
      </c>
      <c r="AL32" s="10">
        <v>50457.91</v>
      </c>
      <c r="AM32" s="10">
        <v>5192.1499999999996</v>
      </c>
      <c r="AN32" s="10">
        <v>8698.2800000000007</v>
      </c>
      <c r="AO32" s="10">
        <v>4453.28</v>
      </c>
      <c r="AP32" s="10">
        <v>4276.03</v>
      </c>
      <c r="AQ32" s="10">
        <v>84.19</v>
      </c>
      <c r="AR32" s="10">
        <v>115.29</v>
      </c>
      <c r="AS32" s="10">
        <v>1531.45</v>
      </c>
      <c r="AT32" s="10">
        <v>198.23</v>
      </c>
      <c r="AU32" s="10">
        <v>1326.27</v>
      </c>
      <c r="AV32" s="10">
        <v>339.82</v>
      </c>
      <c r="AW32" s="10">
        <v>214.99</v>
      </c>
      <c r="AX32" s="10">
        <v>805.93</v>
      </c>
      <c r="AY32" s="10">
        <v>1093.6199999999999</v>
      </c>
      <c r="AZ32" s="10">
        <v>333.81</v>
      </c>
      <c r="BA32" s="10">
        <v>216.69</v>
      </c>
      <c r="BB32" s="10">
        <v>189.65</v>
      </c>
      <c r="BC32" s="10">
        <v>3067.68</v>
      </c>
      <c r="BD32" s="10">
        <v>1694.48</v>
      </c>
      <c r="BE32" s="10">
        <v>2024.13</v>
      </c>
      <c r="BF32" s="10">
        <v>2959.23</v>
      </c>
      <c r="BG32" s="10">
        <v>550.30999999999995</v>
      </c>
      <c r="BH32" s="10">
        <v>835.72</v>
      </c>
      <c r="BI32" s="10">
        <v>1654.85</v>
      </c>
      <c r="BJ32" s="10">
        <v>122.89</v>
      </c>
      <c r="BK32" s="10">
        <v>55.47</v>
      </c>
      <c r="BL32" s="10">
        <v>4256.46</v>
      </c>
      <c r="BM32" s="10">
        <v>765.03</v>
      </c>
      <c r="BN32" s="10">
        <v>384.26</v>
      </c>
      <c r="BO32" s="10">
        <v>1951.45</v>
      </c>
      <c r="BP32" s="10">
        <v>914.81</v>
      </c>
      <c r="BQ32" s="10">
        <v>491.67</v>
      </c>
      <c r="BR32" s="10">
        <v>233.71</v>
      </c>
      <c r="BS32" s="10">
        <v>139.94999999999999</v>
      </c>
      <c r="BT32" s="10">
        <v>261.33</v>
      </c>
      <c r="BU32" s="10">
        <v>444.58</v>
      </c>
      <c r="BV32" s="10">
        <v>6.02</v>
      </c>
      <c r="BW32" s="4">
        <v>0</v>
      </c>
      <c r="BX32" s="10">
        <v>23982.77</v>
      </c>
      <c r="BY32" s="10">
        <v>101.53</v>
      </c>
      <c r="BZ32" s="10">
        <v>23880.98</v>
      </c>
      <c r="CA32" s="10">
        <v>0.27</v>
      </c>
      <c r="CB32" s="10">
        <v>1638.39</v>
      </c>
      <c r="CC32" s="10">
        <v>-2019.93</v>
      </c>
      <c r="CD32" s="10">
        <v>64460.66</v>
      </c>
      <c r="CE32" s="4" t="s">
        <v>102</v>
      </c>
      <c r="CF32" s="10">
        <v>64460.66</v>
      </c>
      <c r="CG32" s="4" t="s">
        <v>102</v>
      </c>
      <c r="CH32" s="4" t="s">
        <v>102</v>
      </c>
      <c r="CI32" s="10">
        <v>3658.32</v>
      </c>
      <c r="CJ32" s="4" t="s">
        <v>102</v>
      </c>
      <c r="CK32" s="4" t="s">
        <v>102</v>
      </c>
      <c r="CL32" s="10">
        <v>348873.88</v>
      </c>
      <c r="CM32" s="10">
        <v>90081.83</v>
      </c>
    </row>
    <row r="33" spans="1:91" x14ac:dyDescent="0.35">
      <c r="A33" s="3" t="s">
        <v>36</v>
      </c>
      <c r="B33" s="11">
        <v>203900.16</v>
      </c>
      <c r="C33" s="11">
        <v>1540.85</v>
      </c>
      <c r="D33" s="11">
        <v>54.64</v>
      </c>
      <c r="E33" s="11">
        <v>51.59</v>
      </c>
      <c r="F33" s="11">
        <v>1096.25</v>
      </c>
      <c r="G33" s="11">
        <v>6779.8</v>
      </c>
      <c r="H33" s="11">
        <v>386.65</v>
      </c>
      <c r="I33" s="11">
        <v>1597.33</v>
      </c>
      <c r="J33" s="11">
        <v>185.49</v>
      </c>
      <c r="K33" s="11">
        <v>29.4</v>
      </c>
      <c r="L33" s="11">
        <v>337.04</v>
      </c>
      <c r="M33" s="71">
        <v>2318.91</v>
      </c>
      <c r="N33" s="15">
        <v>0</v>
      </c>
      <c r="O33" s="15">
        <v>0</v>
      </c>
      <c r="P33" s="15">
        <v>0</v>
      </c>
      <c r="Q33" s="127">
        <v>0</v>
      </c>
      <c r="R33" s="15">
        <v>0</v>
      </c>
      <c r="S33" s="15">
        <v>0</v>
      </c>
      <c r="T33" s="15">
        <v>0</v>
      </c>
      <c r="U33" s="15">
        <v>0</v>
      </c>
      <c r="V33" s="11">
        <v>889.67</v>
      </c>
      <c r="W33" s="11">
        <v>2328.67</v>
      </c>
      <c r="X33" s="11">
        <v>24088.79</v>
      </c>
      <c r="Y33" s="11">
        <v>3491.47</v>
      </c>
      <c r="Z33" s="11">
        <v>3626.71</v>
      </c>
      <c r="AA33" s="11">
        <v>1173.07</v>
      </c>
      <c r="AB33" s="11">
        <v>2335.4899999999998</v>
      </c>
      <c r="AC33" s="11">
        <v>2090.7199999999998</v>
      </c>
      <c r="AD33" s="11">
        <v>3898.93</v>
      </c>
      <c r="AE33" s="11">
        <v>670.74</v>
      </c>
      <c r="AF33" s="11">
        <v>1771.88</v>
      </c>
      <c r="AG33" s="11">
        <v>2060.89</v>
      </c>
      <c r="AH33" s="71">
        <v>1801.67</v>
      </c>
      <c r="AI33" s="104"/>
      <c r="AJ33" s="11">
        <v>295.41000000000003</v>
      </c>
      <c r="AK33" s="11">
        <v>1201.3499999999999</v>
      </c>
      <c r="AL33" s="11">
        <v>114192.92</v>
      </c>
      <c r="AM33" s="11">
        <v>1035.79</v>
      </c>
      <c r="AN33" s="11">
        <v>3220.75</v>
      </c>
      <c r="AO33" s="11">
        <v>1181.55</v>
      </c>
      <c r="AP33" s="11">
        <v>862.16</v>
      </c>
      <c r="AQ33" s="11">
        <v>29.62</v>
      </c>
      <c r="AR33" s="11">
        <v>42.31</v>
      </c>
      <c r="AS33" s="11">
        <v>615.66999999999996</v>
      </c>
      <c r="AT33" s="11">
        <v>19.93</v>
      </c>
      <c r="AU33" s="11">
        <v>1422.26</v>
      </c>
      <c r="AV33" s="11">
        <v>30.2</v>
      </c>
      <c r="AW33" s="11">
        <v>14.29</v>
      </c>
      <c r="AX33" s="11">
        <v>322.55</v>
      </c>
      <c r="AY33" s="11">
        <v>345.77</v>
      </c>
      <c r="AZ33" s="11">
        <v>46.37</v>
      </c>
      <c r="BA33" s="11">
        <v>3.62</v>
      </c>
      <c r="BB33" s="11">
        <v>18.09</v>
      </c>
      <c r="BC33" s="11">
        <v>4665.13</v>
      </c>
      <c r="BD33" s="11">
        <v>557.91</v>
      </c>
      <c r="BE33" s="11">
        <v>1165.57</v>
      </c>
      <c r="BF33" s="11">
        <v>973.6</v>
      </c>
      <c r="BG33" s="11">
        <v>125.76</v>
      </c>
      <c r="BH33" s="11">
        <v>284.04000000000002</v>
      </c>
      <c r="BI33" s="11">
        <v>773.53</v>
      </c>
      <c r="BJ33" s="11">
        <v>68.92</v>
      </c>
      <c r="BK33" s="11">
        <v>16.84</v>
      </c>
      <c r="BL33" s="11">
        <v>1978.02</v>
      </c>
      <c r="BM33" s="11">
        <v>812.25</v>
      </c>
      <c r="BN33" s="11">
        <v>411.93</v>
      </c>
      <c r="BO33" s="11">
        <v>1180.54</v>
      </c>
      <c r="BP33" s="11">
        <v>215.19</v>
      </c>
      <c r="BQ33" s="11">
        <v>370.5</v>
      </c>
      <c r="BR33" s="11">
        <v>181.44</v>
      </c>
      <c r="BS33" s="11">
        <v>162.83000000000001</v>
      </c>
      <c r="BT33" s="11">
        <v>88.84</v>
      </c>
      <c r="BU33" s="11">
        <v>355.39</v>
      </c>
      <c r="BV33" s="11">
        <v>4.7</v>
      </c>
      <c r="BW33" s="5">
        <v>0</v>
      </c>
      <c r="BX33" s="11">
        <v>17306.939999999999</v>
      </c>
      <c r="BY33" s="11">
        <v>0.24</v>
      </c>
      <c r="BZ33" s="11">
        <v>17306.7</v>
      </c>
      <c r="CA33" s="5">
        <v>0</v>
      </c>
      <c r="CB33" s="11">
        <v>-352.19</v>
      </c>
      <c r="CC33" s="11">
        <v>-7989.28</v>
      </c>
      <c r="CD33" s="11">
        <v>31016.18</v>
      </c>
      <c r="CE33" s="5" t="s">
        <v>102</v>
      </c>
      <c r="CF33" s="11">
        <v>31016.18</v>
      </c>
      <c r="CG33" s="5" t="s">
        <v>102</v>
      </c>
      <c r="CH33" s="5" t="s">
        <v>102</v>
      </c>
      <c r="CI33" s="11">
        <v>7637.08</v>
      </c>
      <c r="CJ33" s="5" t="s">
        <v>102</v>
      </c>
      <c r="CK33" s="5" t="s">
        <v>102</v>
      </c>
      <c r="CL33" s="11">
        <v>251871.08</v>
      </c>
      <c r="CM33" s="11">
        <v>47970.92</v>
      </c>
    </row>
    <row r="34" spans="1:91" x14ac:dyDescent="0.35">
      <c r="A34" s="3" t="s">
        <v>37</v>
      </c>
      <c r="B34" s="10">
        <v>405360.2</v>
      </c>
      <c r="C34" s="10">
        <v>184.93</v>
      </c>
      <c r="D34" s="10">
        <v>24.53</v>
      </c>
      <c r="E34" s="10">
        <v>3.47</v>
      </c>
      <c r="F34" s="10">
        <v>473.62</v>
      </c>
      <c r="G34" s="10">
        <v>2107.3200000000002</v>
      </c>
      <c r="H34" s="10">
        <v>516.71</v>
      </c>
      <c r="I34" s="10">
        <v>869.53</v>
      </c>
      <c r="J34" s="10">
        <v>542.84</v>
      </c>
      <c r="K34" s="10">
        <v>168.51</v>
      </c>
      <c r="L34" s="10">
        <v>1084.5</v>
      </c>
      <c r="M34" s="71">
        <v>5197.13</v>
      </c>
      <c r="N34" s="15">
        <v>0</v>
      </c>
      <c r="O34" s="15">
        <v>0</v>
      </c>
      <c r="P34" s="15">
        <v>0</v>
      </c>
      <c r="Q34" s="127">
        <v>0</v>
      </c>
      <c r="R34" s="15">
        <v>0</v>
      </c>
      <c r="S34" s="15">
        <v>0</v>
      </c>
      <c r="T34" s="15">
        <v>0</v>
      </c>
      <c r="U34" s="15">
        <v>0</v>
      </c>
      <c r="V34" s="10">
        <v>783.84</v>
      </c>
      <c r="W34" s="10">
        <v>5403.9</v>
      </c>
      <c r="X34" s="10">
        <v>2565.2199999999998</v>
      </c>
      <c r="Y34" s="10">
        <v>124946.37</v>
      </c>
      <c r="Z34" s="10">
        <v>72804.460000000006</v>
      </c>
      <c r="AA34" s="10">
        <v>4460.01</v>
      </c>
      <c r="AB34" s="10">
        <v>21271.19</v>
      </c>
      <c r="AC34" s="10">
        <v>32507.119999999999</v>
      </c>
      <c r="AD34" s="10">
        <v>35314.120000000003</v>
      </c>
      <c r="AE34" s="10">
        <v>5374.35</v>
      </c>
      <c r="AF34" s="10">
        <v>9258.61</v>
      </c>
      <c r="AG34" s="10">
        <v>10469.459999999999</v>
      </c>
      <c r="AH34" s="71">
        <v>1816.52</v>
      </c>
      <c r="AI34" s="104"/>
      <c r="AJ34" s="10">
        <v>297.67</v>
      </c>
      <c r="AK34" s="10">
        <v>5666.11</v>
      </c>
      <c r="AL34" s="10">
        <v>28115.279999999999</v>
      </c>
      <c r="AM34" s="10">
        <v>2447.5</v>
      </c>
      <c r="AN34" s="10">
        <v>7326.78</v>
      </c>
      <c r="AO34" s="10">
        <v>1446.94</v>
      </c>
      <c r="AP34" s="10">
        <v>1571.91</v>
      </c>
      <c r="AQ34" s="10">
        <v>30.55</v>
      </c>
      <c r="AR34" s="4">
        <v>23</v>
      </c>
      <c r="AS34" s="10">
        <v>910.33</v>
      </c>
      <c r="AT34" s="10">
        <v>14.11</v>
      </c>
      <c r="AU34" s="10">
        <v>297.92</v>
      </c>
      <c r="AV34" s="10">
        <v>84.77</v>
      </c>
      <c r="AW34" s="10">
        <v>24.98</v>
      </c>
      <c r="AX34" s="10">
        <v>224.7</v>
      </c>
      <c r="AY34" s="10">
        <v>1103.2</v>
      </c>
      <c r="AZ34" s="10">
        <v>39.869999999999997</v>
      </c>
      <c r="BA34" s="10">
        <v>19.37</v>
      </c>
      <c r="BB34" s="10">
        <v>49.49</v>
      </c>
      <c r="BC34" s="10">
        <v>2324.52</v>
      </c>
      <c r="BD34" s="10">
        <v>874.34</v>
      </c>
      <c r="BE34" s="4">
        <v>3413</v>
      </c>
      <c r="BF34" s="10">
        <v>4306.9799999999996</v>
      </c>
      <c r="BG34" s="10">
        <v>295.44</v>
      </c>
      <c r="BH34" s="10">
        <v>603.46</v>
      </c>
      <c r="BI34" s="10">
        <v>1605.06</v>
      </c>
      <c r="BJ34" s="10">
        <v>107.35</v>
      </c>
      <c r="BK34" s="10">
        <v>7.53</v>
      </c>
      <c r="BL34" s="10">
        <v>1393.21</v>
      </c>
      <c r="BM34" s="10">
        <v>260.77</v>
      </c>
      <c r="BN34" s="10">
        <v>100.75</v>
      </c>
      <c r="BO34" s="10">
        <v>1646.74</v>
      </c>
      <c r="BP34" s="10">
        <v>7.28</v>
      </c>
      <c r="BQ34" s="10">
        <v>154.75</v>
      </c>
      <c r="BR34" s="10">
        <v>55.29</v>
      </c>
      <c r="BS34" s="10">
        <v>14.24</v>
      </c>
      <c r="BT34" s="10">
        <v>252.35</v>
      </c>
      <c r="BU34" s="10">
        <v>93.3</v>
      </c>
      <c r="BV34" s="10">
        <v>1.1299999999999999</v>
      </c>
      <c r="BW34" s="4">
        <v>0</v>
      </c>
      <c r="BX34" s="10">
        <v>469.96</v>
      </c>
      <c r="BY34" s="4">
        <v>0</v>
      </c>
      <c r="BZ34" s="10">
        <v>469.96</v>
      </c>
      <c r="CA34" s="4">
        <v>0</v>
      </c>
      <c r="CB34" s="10">
        <v>5252.36</v>
      </c>
      <c r="CC34" s="10">
        <v>2235.98</v>
      </c>
      <c r="CD34" s="10">
        <v>87771.92</v>
      </c>
      <c r="CE34" s="4" t="s">
        <v>102</v>
      </c>
      <c r="CF34" s="10">
        <v>87771.92</v>
      </c>
      <c r="CG34" s="4" t="s">
        <v>102</v>
      </c>
      <c r="CH34" s="4" t="s">
        <v>102</v>
      </c>
      <c r="CI34" s="10">
        <v>3016.38</v>
      </c>
      <c r="CJ34" s="4" t="s">
        <v>102</v>
      </c>
      <c r="CK34" s="4" t="s">
        <v>102</v>
      </c>
      <c r="CL34" s="10">
        <v>498854.44</v>
      </c>
      <c r="CM34" s="10">
        <v>93494.24</v>
      </c>
    </row>
    <row r="35" spans="1:91" x14ac:dyDescent="0.35">
      <c r="A35" s="26" t="s">
        <v>38</v>
      </c>
      <c r="B35" s="36">
        <v>451376.99</v>
      </c>
      <c r="C35" s="36">
        <v>3421.16</v>
      </c>
      <c r="D35" s="36">
        <v>129.16</v>
      </c>
      <c r="E35" s="36">
        <v>80.37</v>
      </c>
      <c r="F35" s="36">
        <v>804.52</v>
      </c>
      <c r="G35" s="36">
        <v>8973.18</v>
      </c>
      <c r="H35" s="36">
        <v>1262.42</v>
      </c>
      <c r="I35" s="36">
        <v>1894.02</v>
      </c>
      <c r="J35" s="36">
        <v>853.5</v>
      </c>
      <c r="K35" s="36">
        <v>279.81</v>
      </c>
      <c r="L35" s="36">
        <v>1665.71</v>
      </c>
      <c r="M35" s="71">
        <v>3548.9217799269286</v>
      </c>
      <c r="N35" s="66">
        <v>58.500562820000006</v>
      </c>
      <c r="O35" s="37">
        <v>9.5602062530712519</v>
      </c>
      <c r="P35" s="37">
        <v>30.992450999999999</v>
      </c>
      <c r="Q35" s="115">
        <v>2.415</v>
      </c>
      <c r="R35" s="15">
        <v>0</v>
      </c>
      <c r="S35" s="15">
        <v>0</v>
      </c>
      <c r="T35" s="15">
        <v>0</v>
      </c>
      <c r="U35" s="15">
        <v>0</v>
      </c>
      <c r="V35" s="36">
        <v>1080.47</v>
      </c>
      <c r="W35" s="36">
        <v>6397.01</v>
      </c>
      <c r="X35" s="36">
        <v>2532.4699999999998</v>
      </c>
      <c r="Y35" s="36">
        <v>15492.17</v>
      </c>
      <c r="Z35" s="36">
        <v>91022.56</v>
      </c>
      <c r="AA35" s="36">
        <v>5598.39</v>
      </c>
      <c r="AB35" s="36">
        <v>13506.21</v>
      </c>
      <c r="AC35" s="36">
        <v>60986.15</v>
      </c>
      <c r="AD35" s="36">
        <v>41561.160000000003</v>
      </c>
      <c r="AE35" s="36">
        <v>12199.55</v>
      </c>
      <c r="AF35" s="36">
        <v>7235.74</v>
      </c>
      <c r="AG35" s="36">
        <v>17901.64</v>
      </c>
      <c r="AH35" s="71">
        <v>2813.7797140287771</v>
      </c>
      <c r="AI35" s="109">
        <v>3.2902859712230228</v>
      </c>
      <c r="AJ35" s="47">
        <v>529.23</v>
      </c>
      <c r="AK35" s="47">
        <v>3774.32</v>
      </c>
      <c r="AL35" s="47">
        <v>90166.61</v>
      </c>
      <c r="AM35" s="36">
        <v>4961.74</v>
      </c>
      <c r="AN35" s="36">
        <v>9504.91</v>
      </c>
      <c r="AO35" s="36">
        <v>2571.98</v>
      </c>
      <c r="AP35" s="36">
        <v>2436.52</v>
      </c>
      <c r="AQ35" s="36">
        <v>127.07</v>
      </c>
      <c r="AR35" s="36">
        <v>44.42</v>
      </c>
      <c r="AS35" s="36">
        <v>2692.14</v>
      </c>
      <c r="AT35" s="36">
        <v>94.93</v>
      </c>
      <c r="AU35" s="36">
        <v>1466.12</v>
      </c>
      <c r="AV35" s="36">
        <v>155.07</v>
      </c>
      <c r="AW35" s="36">
        <v>103.16</v>
      </c>
      <c r="AX35" s="36">
        <v>734.47</v>
      </c>
      <c r="AY35" s="36">
        <v>1670</v>
      </c>
      <c r="AZ35" s="36">
        <v>210.09</v>
      </c>
      <c r="BA35" s="36">
        <v>95.15</v>
      </c>
      <c r="BB35" s="36">
        <v>99.52</v>
      </c>
      <c r="BC35" s="36">
        <v>3612.48</v>
      </c>
      <c r="BD35" s="36">
        <v>1861.43</v>
      </c>
      <c r="BE35" s="36">
        <v>3885.66</v>
      </c>
      <c r="BF35" s="36">
        <v>5227.1099999999997</v>
      </c>
      <c r="BG35" s="36">
        <v>606.67999999999995</v>
      </c>
      <c r="BH35" s="36">
        <v>708.9</v>
      </c>
      <c r="BI35" s="36">
        <v>2569.5</v>
      </c>
      <c r="BJ35" s="36">
        <v>196.49</v>
      </c>
      <c r="BK35" s="36">
        <v>61.56</v>
      </c>
      <c r="BL35" s="36">
        <v>3647.5</v>
      </c>
      <c r="BM35" s="36">
        <v>2980.82</v>
      </c>
      <c r="BN35" s="36">
        <v>393.44</v>
      </c>
      <c r="BO35" s="36">
        <v>564.19000000000005</v>
      </c>
      <c r="BP35" s="36">
        <v>324.36</v>
      </c>
      <c r="BQ35" s="36">
        <v>705.77</v>
      </c>
      <c r="BR35" s="36">
        <v>293.07</v>
      </c>
      <c r="BS35" s="36">
        <v>174.16</v>
      </c>
      <c r="BT35" s="36">
        <v>436.08</v>
      </c>
      <c r="BU35" s="36">
        <v>335.97</v>
      </c>
      <c r="BV35" s="36">
        <v>9.5500000000000007</v>
      </c>
      <c r="BW35" s="36">
        <v>0</v>
      </c>
      <c r="BX35" s="36">
        <v>19376.02</v>
      </c>
      <c r="BY35" s="36">
        <v>155.94999999999999</v>
      </c>
      <c r="BZ35" s="36">
        <v>19183.84</v>
      </c>
      <c r="CA35" s="36">
        <v>36.229999999999997</v>
      </c>
      <c r="CB35" s="36">
        <v>63743.77</v>
      </c>
      <c r="CC35" s="36">
        <v>2911.8</v>
      </c>
      <c r="CD35" s="36">
        <v>65351.360000000001</v>
      </c>
      <c r="CE35" s="36" t="s">
        <v>102</v>
      </c>
      <c r="CF35" s="36">
        <v>65351.360000000001</v>
      </c>
      <c r="CG35" s="36" t="s">
        <v>102</v>
      </c>
      <c r="CH35" s="36" t="s">
        <v>102</v>
      </c>
      <c r="CI35" s="36">
        <v>60831.97</v>
      </c>
      <c r="CJ35" s="36" t="s">
        <v>102</v>
      </c>
      <c r="CK35" s="36" t="s">
        <v>102</v>
      </c>
      <c r="CL35" s="36">
        <v>599848.14</v>
      </c>
      <c r="CM35" s="36">
        <v>148471.15</v>
      </c>
    </row>
    <row r="36" spans="1:91" x14ac:dyDescent="0.35">
      <c r="A36" s="26" t="s">
        <v>39</v>
      </c>
      <c r="B36" s="36">
        <v>104816.95</v>
      </c>
      <c r="C36" s="36">
        <v>92.86</v>
      </c>
      <c r="D36" s="36">
        <v>14.62</v>
      </c>
      <c r="E36" s="36">
        <v>10.26</v>
      </c>
      <c r="F36" s="36">
        <v>45.25</v>
      </c>
      <c r="G36" s="36">
        <v>286.95</v>
      </c>
      <c r="H36" s="36">
        <v>71.75</v>
      </c>
      <c r="I36" s="36">
        <v>38.28</v>
      </c>
      <c r="J36" s="36">
        <v>69.77</v>
      </c>
      <c r="K36" s="36">
        <v>189.8</v>
      </c>
      <c r="L36" s="36">
        <v>177.16</v>
      </c>
      <c r="M36" s="71">
        <v>367.14630946815726</v>
      </c>
      <c r="N36" s="66">
        <v>25.071669780000001</v>
      </c>
      <c r="O36" s="37">
        <v>4.7701237518427524</v>
      </c>
      <c r="P36" s="37">
        <v>13.282478999999999</v>
      </c>
      <c r="Q36" s="115">
        <v>3.8394180000000002</v>
      </c>
      <c r="R36" s="15">
        <v>0</v>
      </c>
      <c r="S36" s="15">
        <v>0</v>
      </c>
      <c r="T36" s="15">
        <v>0</v>
      </c>
      <c r="U36" s="15">
        <v>0</v>
      </c>
      <c r="V36" s="36">
        <v>477.13</v>
      </c>
      <c r="W36" s="36">
        <v>437.26</v>
      </c>
      <c r="X36" s="36">
        <v>275.57</v>
      </c>
      <c r="Y36" s="36">
        <v>386.73</v>
      </c>
      <c r="Z36" s="36">
        <v>1453.17</v>
      </c>
      <c r="AA36" s="36">
        <v>24020.41</v>
      </c>
      <c r="AB36" s="36">
        <v>8096.51</v>
      </c>
      <c r="AC36" s="36">
        <v>4366.6099999999997</v>
      </c>
      <c r="AD36" s="36">
        <v>6124.62</v>
      </c>
      <c r="AE36" s="36">
        <v>2852</v>
      </c>
      <c r="AF36" s="36">
        <v>1845.91</v>
      </c>
      <c r="AG36" s="36">
        <v>4103.22</v>
      </c>
      <c r="AH36" s="71">
        <v>1816.8658284172661</v>
      </c>
      <c r="AI36" s="109">
        <v>1.9741715827338135</v>
      </c>
      <c r="AJ36" s="47">
        <v>129.13999999999999</v>
      </c>
      <c r="AK36" s="47">
        <v>245.78</v>
      </c>
      <c r="AL36" s="47">
        <v>4972.63</v>
      </c>
      <c r="AM36" s="36">
        <v>569.96</v>
      </c>
      <c r="AN36" s="36">
        <v>3813.84</v>
      </c>
      <c r="AO36" s="36">
        <v>1153.1400000000001</v>
      </c>
      <c r="AP36" s="36">
        <v>568.4</v>
      </c>
      <c r="AQ36" s="36">
        <v>52.25</v>
      </c>
      <c r="AR36" s="36">
        <v>100.99</v>
      </c>
      <c r="AS36" s="36">
        <v>538.72</v>
      </c>
      <c r="AT36" s="36">
        <v>180.01</v>
      </c>
      <c r="AU36" s="36">
        <v>312.64</v>
      </c>
      <c r="AV36" s="36">
        <v>781.28</v>
      </c>
      <c r="AW36" s="36">
        <v>763.51</v>
      </c>
      <c r="AX36" s="36">
        <v>5327.82</v>
      </c>
      <c r="AY36" s="36">
        <v>7211.75</v>
      </c>
      <c r="AZ36" s="36">
        <v>232.83</v>
      </c>
      <c r="BA36" s="36">
        <v>182.11</v>
      </c>
      <c r="BB36" s="36">
        <v>315.01</v>
      </c>
      <c r="BC36" s="36">
        <v>536.20000000000005</v>
      </c>
      <c r="BD36" s="36">
        <v>1066.27</v>
      </c>
      <c r="BE36" s="36">
        <v>2128.3200000000002</v>
      </c>
      <c r="BF36" s="36">
        <v>2841.82</v>
      </c>
      <c r="BG36" s="36">
        <v>540.49</v>
      </c>
      <c r="BH36" s="36">
        <v>681.04</v>
      </c>
      <c r="BI36" s="36">
        <v>1285.05</v>
      </c>
      <c r="BJ36" s="36">
        <v>126.54</v>
      </c>
      <c r="BK36" s="36">
        <v>49.94</v>
      </c>
      <c r="BL36" s="36">
        <v>1695.43</v>
      </c>
      <c r="BM36" s="36">
        <v>1430.88</v>
      </c>
      <c r="BN36" s="36">
        <v>830.99</v>
      </c>
      <c r="BO36" s="36">
        <v>3396.14</v>
      </c>
      <c r="BP36" s="36">
        <v>702.77</v>
      </c>
      <c r="BQ36" s="36">
        <v>1011.45</v>
      </c>
      <c r="BR36" s="36">
        <v>321.49</v>
      </c>
      <c r="BS36" s="36">
        <v>103.81</v>
      </c>
      <c r="BT36" s="36">
        <v>847.52</v>
      </c>
      <c r="BU36" s="36">
        <v>96.85</v>
      </c>
      <c r="BV36" s="36">
        <v>3.37</v>
      </c>
      <c r="BW36" s="36">
        <v>0</v>
      </c>
      <c r="BX36" s="36">
        <v>44953.78</v>
      </c>
      <c r="BY36" s="36">
        <v>1472.33</v>
      </c>
      <c r="BZ36" s="36">
        <v>43475.6</v>
      </c>
      <c r="CA36" s="36">
        <v>5.85</v>
      </c>
      <c r="CB36" s="36">
        <v>64322.559999999998</v>
      </c>
      <c r="CC36" s="36">
        <v>3601.5</v>
      </c>
      <c r="CD36" s="36">
        <v>144753.01999999999</v>
      </c>
      <c r="CE36" s="36" t="s">
        <v>102</v>
      </c>
      <c r="CF36" s="36">
        <v>144753.01999999999</v>
      </c>
      <c r="CG36" s="36" t="s">
        <v>102</v>
      </c>
      <c r="CH36" s="36" t="s">
        <v>102</v>
      </c>
      <c r="CI36" s="36">
        <v>60721.06</v>
      </c>
      <c r="CJ36" s="36" t="s">
        <v>102</v>
      </c>
      <c r="CK36" s="36" t="s">
        <v>102</v>
      </c>
      <c r="CL36" s="36">
        <v>358846.32</v>
      </c>
      <c r="CM36" s="36">
        <v>254029.37</v>
      </c>
    </row>
    <row r="37" spans="1:91" x14ac:dyDescent="0.35">
      <c r="A37" s="26" t="s">
        <v>40</v>
      </c>
      <c r="B37" s="36">
        <v>173795.62</v>
      </c>
      <c r="C37" s="36">
        <v>342.05</v>
      </c>
      <c r="D37" s="36">
        <v>20.94</v>
      </c>
      <c r="E37" s="36">
        <v>29.84</v>
      </c>
      <c r="F37" s="36">
        <v>170.11</v>
      </c>
      <c r="G37" s="36">
        <v>1692.89</v>
      </c>
      <c r="H37" s="36">
        <v>208.63</v>
      </c>
      <c r="I37" s="36">
        <v>215.4</v>
      </c>
      <c r="J37" s="36">
        <v>240.74</v>
      </c>
      <c r="K37" s="36">
        <v>66.06</v>
      </c>
      <c r="L37" s="36">
        <v>324.36</v>
      </c>
      <c r="M37" s="71">
        <v>655.23030549877149</v>
      </c>
      <c r="N37" s="66">
        <v>0</v>
      </c>
      <c r="O37" s="37">
        <v>3.180082501228501</v>
      </c>
      <c r="P37" s="37"/>
      <c r="Q37" s="115">
        <v>2.559612</v>
      </c>
      <c r="R37" s="15">
        <v>0</v>
      </c>
      <c r="S37" s="15">
        <v>0</v>
      </c>
      <c r="T37" s="15">
        <v>0</v>
      </c>
      <c r="U37" s="15">
        <v>0</v>
      </c>
      <c r="V37" s="36">
        <v>509.63</v>
      </c>
      <c r="W37" s="36">
        <v>1200.4000000000001</v>
      </c>
      <c r="X37" s="36">
        <v>521.38</v>
      </c>
      <c r="Y37" s="36">
        <v>2048.87</v>
      </c>
      <c r="Z37" s="36">
        <v>4179.13</v>
      </c>
      <c r="AA37" s="36">
        <v>7953.57</v>
      </c>
      <c r="AB37" s="36">
        <v>36092.46</v>
      </c>
      <c r="AC37" s="36">
        <v>14712.06</v>
      </c>
      <c r="AD37" s="36">
        <v>17448.099999999999</v>
      </c>
      <c r="AE37" s="36">
        <v>3587.31</v>
      </c>
      <c r="AF37" s="36">
        <v>1839.35</v>
      </c>
      <c r="AG37" s="36">
        <v>6570.05</v>
      </c>
      <c r="AH37" s="71">
        <v>6314.6338856115108</v>
      </c>
      <c r="AI37" s="109">
        <v>1.3161143884892088</v>
      </c>
      <c r="AJ37" s="47">
        <v>350.47</v>
      </c>
      <c r="AK37" s="47">
        <v>755.18</v>
      </c>
      <c r="AL37" s="47">
        <v>34317.97</v>
      </c>
      <c r="AM37" s="36">
        <v>1777.05</v>
      </c>
      <c r="AN37" s="36">
        <v>4827.18</v>
      </c>
      <c r="AO37" s="36">
        <v>1428.02</v>
      </c>
      <c r="AP37" s="36">
        <v>1218.6400000000001</v>
      </c>
      <c r="AQ37" s="36">
        <v>60.17</v>
      </c>
      <c r="AR37" s="36">
        <v>67.69</v>
      </c>
      <c r="AS37" s="36">
        <v>1076.6600000000001</v>
      </c>
      <c r="AT37" s="36">
        <v>124.8</v>
      </c>
      <c r="AU37" s="36">
        <v>1569.47</v>
      </c>
      <c r="AV37" s="36">
        <v>130.97999999999999</v>
      </c>
      <c r="AW37" s="36">
        <v>266.13</v>
      </c>
      <c r="AX37" s="36">
        <v>1612.28</v>
      </c>
      <c r="AY37" s="36">
        <v>1999.6</v>
      </c>
      <c r="AZ37" s="36">
        <v>71.489999999999995</v>
      </c>
      <c r="BA37" s="36">
        <v>32.090000000000003</v>
      </c>
      <c r="BB37" s="36">
        <v>89.54</v>
      </c>
      <c r="BC37" s="36">
        <v>2287.34</v>
      </c>
      <c r="BD37" s="36">
        <v>1224.4000000000001</v>
      </c>
      <c r="BE37" s="36">
        <v>1730.84</v>
      </c>
      <c r="BF37" s="36">
        <v>2804.02</v>
      </c>
      <c r="BG37" s="36">
        <v>220.35</v>
      </c>
      <c r="BH37" s="36">
        <v>471.69</v>
      </c>
      <c r="BI37" s="36">
        <v>1463.68</v>
      </c>
      <c r="BJ37" s="36">
        <v>75.91</v>
      </c>
      <c r="BK37" s="36">
        <v>35.619999999999997</v>
      </c>
      <c r="BL37" s="36">
        <v>1470.31</v>
      </c>
      <c r="BM37" s="36">
        <v>577.29999999999995</v>
      </c>
      <c r="BN37" s="36">
        <v>279.37</v>
      </c>
      <c r="BO37" s="36">
        <v>348.8</v>
      </c>
      <c r="BP37" s="36">
        <v>245.38</v>
      </c>
      <c r="BQ37" s="36">
        <v>623.92999999999995</v>
      </c>
      <c r="BR37" s="36">
        <v>258.23</v>
      </c>
      <c r="BS37" s="36">
        <v>50.41</v>
      </c>
      <c r="BT37" s="36">
        <v>450.02</v>
      </c>
      <c r="BU37" s="36">
        <v>449.96</v>
      </c>
      <c r="BV37" s="36">
        <v>2.42</v>
      </c>
      <c r="BW37" s="36">
        <v>0</v>
      </c>
      <c r="BX37" s="36">
        <v>43592.89</v>
      </c>
      <c r="BY37" s="36">
        <v>27.26</v>
      </c>
      <c r="BZ37" s="36">
        <v>43561.56</v>
      </c>
      <c r="CA37" s="36">
        <v>4.07</v>
      </c>
      <c r="CB37" s="36">
        <v>44468.09</v>
      </c>
      <c r="CC37" s="36">
        <v>8927.48</v>
      </c>
      <c r="CD37" s="36">
        <v>105715.13</v>
      </c>
      <c r="CE37" s="36" t="s">
        <v>102</v>
      </c>
      <c r="CF37" s="36">
        <v>105715.13</v>
      </c>
      <c r="CG37" s="36" t="s">
        <v>102</v>
      </c>
      <c r="CH37" s="36" t="s">
        <v>102</v>
      </c>
      <c r="CI37" s="36">
        <v>35540.61</v>
      </c>
      <c r="CJ37" s="36" t="s">
        <v>102</v>
      </c>
      <c r="CK37" s="36" t="s">
        <v>102</v>
      </c>
      <c r="CL37" s="36">
        <v>367571.73</v>
      </c>
      <c r="CM37" s="36">
        <v>193776.11</v>
      </c>
    </row>
    <row r="38" spans="1:91" x14ac:dyDescent="0.35">
      <c r="A38" s="26" t="s">
        <v>41</v>
      </c>
      <c r="B38" s="36">
        <v>226030.11</v>
      </c>
      <c r="C38" s="36">
        <v>2080.4299999999998</v>
      </c>
      <c r="D38" s="36">
        <v>351.9</v>
      </c>
      <c r="E38" s="36">
        <v>81.28</v>
      </c>
      <c r="F38" s="36">
        <v>631.36</v>
      </c>
      <c r="G38" s="36">
        <v>3707.43</v>
      </c>
      <c r="H38" s="36">
        <v>705.77</v>
      </c>
      <c r="I38" s="36">
        <v>432.9</v>
      </c>
      <c r="J38" s="36">
        <v>1061.18</v>
      </c>
      <c r="K38" s="36">
        <v>261.85000000000002</v>
      </c>
      <c r="L38" s="36">
        <v>1011.81</v>
      </c>
      <c r="M38" s="71">
        <v>694.87611442235868</v>
      </c>
      <c r="N38" s="66">
        <v>423.86207930000006</v>
      </c>
      <c r="O38" s="37">
        <v>71.551856277641278</v>
      </c>
      <c r="P38" s="37">
        <v>221.37464999999997</v>
      </c>
      <c r="Q38" s="115">
        <v>63.185299999999998</v>
      </c>
      <c r="R38" s="15">
        <v>0</v>
      </c>
      <c r="S38" s="15">
        <v>0</v>
      </c>
      <c r="T38" s="15">
        <v>0</v>
      </c>
      <c r="U38" s="15">
        <v>0</v>
      </c>
      <c r="V38" s="36">
        <v>830.41</v>
      </c>
      <c r="W38" s="36">
        <v>2337.4</v>
      </c>
      <c r="X38" s="36">
        <v>1232.45</v>
      </c>
      <c r="Y38" s="36">
        <v>4121.95</v>
      </c>
      <c r="Z38" s="36">
        <v>8189.95</v>
      </c>
      <c r="AA38" s="36">
        <v>3128.35</v>
      </c>
      <c r="AB38" s="36">
        <v>6385.89</v>
      </c>
      <c r="AC38" s="36">
        <v>82060.5</v>
      </c>
      <c r="AD38" s="36">
        <v>20474.2</v>
      </c>
      <c r="AE38" s="36">
        <v>6161.9</v>
      </c>
      <c r="AF38" s="36">
        <v>1370.65</v>
      </c>
      <c r="AG38" s="36">
        <v>15474.16</v>
      </c>
      <c r="AH38" s="71">
        <v>2318.217712230216</v>
      </c>
      <c r="AI38" s="109">
        <v>26.322287769784182</v>
      </c>
      <c r="AJ38" s="47">
        <v>455.91</v>
      </c>
      <c r="AK38" s="47">
        <v>1948.18</v>
      </c>
      <c r="AL38" s="47">
        <v>19805.78</v>
      </c>
      <c r="AM38" s="36">
        <v>3135.22</v>
      </c>
      <c r="AN38" s="36">
        <v>6156.97</v>
      </c>
      <c r="AO38" s="36">
        <v>1735.76</v>
      </c>
      <c r="AP38" s="36">
        <v>1403.4</v>
      </c>
      <c r="AQ38" s="36">
        <v>276.62</v>
      </c>
      <c r="AR38" s="36">
        <v>162.87</v>
      </c>
      <c r="AS38" s="36">
        <v>3196.41</v>
      </c>
      <c r="AT38" s="36">
        <v>136.25</v>
      </c>
      <c r="AU38" s="36">
        <v>983.71</v>
      </c>
      <c r="AV38" s="36">
        <v>153.18</v>
      </c>
      <c r="AW38" s="36">
        <v>133.72</v>
      </c>
      <c r="AX38" s="36">
        <v>735.16</v>
      </c>
      <c r="AY38" s="36">
        <v>1311.98</v>
      </c>
      <c r="AZ38" s="36">
        <v>259.42</v>
      </c>
      <c r="BA38" s="36">
        <v>103.53</v>
      </c>
      <c r="BB38" s="36">
        <v>91.18</v>
      </c>
      <c r="BC38" s="36">
        <v>1176.3399999999999</v>
      </c>
      <c r="BD38" s="36">
        <v>1443.9</v>
      </c>
      <c r="BE38" s="36">
        <v>2067.4499999999998</v>
      </c>
      <c r="BF38" s="36">
        <v>4368.8900000000003</v>
      </c>
      <c r="BG38" s="36">
        <v>237.89</v>
      </c>
      <c r="BH38" s="36">
        <v>507.3</v>
      </c>
      <c r="BI38" s="36">
        <v>2946.81</v>
      </c>
      <c r="BJ38" s="36">
        <v>150.94</v>
      </c>
      <c r="BK38" s="36">
        <v>82.28</v>
      </c>
      <c r="BL38" s="36">
        <v>2126.59</v>
      </c>
      <c r="BM38" s="36">
        <v>542.67999999999995</v>
      </c>
      <c r="BN38" s="36">
        <v>214.39</v>
      </c>
      <c r="BO38" s="36">
        <v>532.22</v>
      </c>
      <c r="BP38" s="36">
        <v>315.08999999999997</v>
      </c>
      <c r="BQ38" s="36">
        <v>347.1</v>
      </c>
      <c r="BR38" s="36">
        <v>161.36000000000001</v>
      </c>
      <c r="BS38" s="36">
        <v>258.54000000000002</v>
      </c>
      <c r="BT38" s="36">
        <v>231.88</v>
      </c>
      <c r="BU38" s="36">
        <v>215.9</v>
      </c>
      <c r="BV38" s="36">
        <v>4.21</v>
      </c>
      <c r="BW38" s="36">
        <v>0</v>
      </c>
      <c r="BX38" s="36">
        <v>9536.1299999999992</v>
      </c>
      <c r="BY38" s="36">
        <v>179.34</v>
      </c>
      <c r="BZ38" s="36">
        <v>9354.5</v>
      </c>
      <c r="CA38" s="36">
        <v>2.29</v>
      </c>
      <c r="CB38" s="36">
        <v>209478.74</v>
      </c>
      <c r="CC38" s="36">
        <v>10933.08</v>
      </c>
      <c r="CD38" s="36">
        <v>271397.75</v>
      </c>
      <c r="CE38" s="36" t="s">
        <v>102</v>
      </c>
      <c r="CF38" s="36">
        <v>271397.75</v>
      </c>
      <c r="CG38" s="36" t="s">
        <v>102</v>
      </c>
      <c r="CH38" s="36" t="s">
        <v>102</v>
      </c>
      <c r="CI38" s="36">
        <v>198545.66</v>
      </c>
      <c r="CJ38" s="36" t="s">
        <v>102</v>
      </c>
      <c r="CK38" s="36" t="s">
        <v>102</v>
      </c>
      <c r="CL38" s="36">
        <v>716442.73</v>
      </c>
      <c r="CM38" s="36">
        <v>490412.62</v>
      </c>
    </row>
    <row r="39" spans="1:91" x14ac:dyDescent="0.35">
      <c r="A39" s="3" t="s">
        <v>42</v>
      </c>
      <c r="B39" s="11">
        <v>324908.2</v>
      </c>
      <c r="C39" s="11">
        <v>692.55</v>
      </c>
      <c r="D39" s="11">
        <v>87.52</v>
      </c>
      <c r="E39" s="11">
        <v>13.12</v>
      </c>
      <c r="F39" s="11">
        <v>106.74</v>
      </c>
      <c r="G39" s="11">
        <v>383.74</v>
      </c>
      <c r="H39" s="11">
        <v>217.73</v>
      </c>
      <c r="I39" s="11">
        <v>136.94999999999999</v>
      </c>
      <c r="J39" s="11">
        <v>33.79</v>
      </c>
      <c r="K39" s="11">
        <v>7.42</v>
      </c>
      <c r="L39" s="11">
        <v>190.91</v>
      </c>
      <c r="M39" s="71">
        <v>851.8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1">
        <v>33.86</v>
      </c>
      <c r="W39" s="11">
        <v>1609.71</v>
      </c>
      <c r="X39" s="11">
        <v>1259.08</v>
      </c>
      <c r="Y39" s="11">
        <v>548.84</v>
      </c>
      <c r="Z39" s="11">
        <v>3499.77</v>
      </c>
      <c r="AA39" s="11">
        <v>1712.02</v>
      </c>
      <c r="AB39" s="11">
        <v>4656.24</v>
      </c>
      <c r="AC39" s="11">
        <v>15994.5</v>
      </c>
      <c r="AD39" s="11">
        <v>211080.68</v>
      </c>
      <c r="AE39" s="11">
        <v>1839.6</v>
      </c>
      <c r="AF39" s="11">
        <v>689.17</v>
      </c>
      <c r="AG39" s="11">
        <v>3239.97</v>
      </c>
      <c r="AH39" s="71">
        <v>418.14</v>
      </c>
      <c r="AI39" s="104"/>
      <c r="AJ39" s="11">
        <v>57.55</v>
      </c>
      <c r="AK39" s="11">
        <v>1977.84</v>
      </c>
      <c r="AL39" s="11">
        <v>3386.29</v>
      </c>
      <c r="AM39" s="11">
        <v>28247.37</v>
      </c>
      <c r="AN39" s="11">
        <v>5144.71</v>
      </c>
      <c r="AO39" s="11">
        <v>882.01</v>
      </c>
      <c r="AP39" s="11">
        <v>10349.42</v>
      </c>
      <c r="AQ39" s="11">
        <v>103.25</v>
      </c>
      <c r="AR39" s="11">
        <v>325.47000000000003</v>
      </c>
      <c r="AS39" s="11">
        <v>2405.4299999999998</v>
      </c>
      <c r="AT39" s="11">
        <v>109.4</v>
      </c>
      <c r="AU39" s="11">
        <v>375.29</v>
      </c>
      <c r="AV39" s="11">
        <v>28.97</v>
      </c>
      <c r="AW39" s="11">
        <v>47.96</v>
      </c>
      <c r="AX39" s="11">
        <v>120.27</v>
      </c>
      <c r="AY39" s="11">
        <v>1162.02</v>
      </c>
      <c r="AZ39" s="11">
        <v>154.51</v>
      </c>
      <c r="BA39" s="11">
        <v>87.48</v>
      </c>
      <c r="BB39" s="11">
        <v>202.93</v>
      </c>
      <c r="BC39" s="11">
        <v>955.82</v>
      </c>
      <c r="BD39" s="11">
        <v>1410.93</v>
      </c>
      <c r="BE39" s="11">
        <v>720.33</v>
      </c>
      <c r="BF39" s="11">
        <v>8681.0300000000007</v>
      </c>
      <c r="BG39" s="11">
        <v>276.8</v>
      </c>
      <c r="BH39" s="11">
        <v>593.78</v>
      </c>
      <c r="BI39" s="11">
        <v>4193.4799999999996</v>
      </c>
      <c r="BJ39" s="11">
        <v>207.46</v>
      </c>
      <c r="BK39" s="11">
        <v>69.64</v>
      </c>
      <c r="BL39" s="11">
        <v>1896.87</v>
      </c>
      <c r="BM39" s="11">
        <v>448.78</v>
      </c>
      <c r="BN39" s="11">
        <v>254.86</v>
      </c>
      <c r="BO39" s="11">
        <v>182.22</v>
      </c>
      <c r="BP39" s="11">
        <v>105.24</v>
      </c>
      <c r="BQ39" s="11">
        <v>69.11</v>
      </c>
      <c r="BR39" s="11">
        <v>152.15</v>
      </c>
      <c r="BS39" s="11">
        <v>147.52000000000001</v>
      </c>
      <c r="BT39" s="11">
        <v>31.71</v>
      </c>
      <c r="BU39" s="11">
        <v>36.340000000000003</v>
      </c>
      <c r="BV39" s="11">
        <v>2.13</v>
      </c>
      <c r="BW39" s="5">
        <v>0</v>
      </c>
      <c r="BX39" s="11">
        <v>221480.02</v>
      </c>
      <c r="BY39" s="11">
        <v>66.81</v>
      </c>
      <c r="BZ39" s="11">
        <v>221410.83</v>
      </c>
      <c r="CA39" s="11">
        <v>2.38</v>
      </c>
      <c r="CB39" s="11">
        <v>161950.93</v>
      </c>
      <c r="CC39" s="11">
        <v>21822.39</v>
      </c>
      <c r="CD39" s="11">
        <v>241454.97</v>
      </c>
      <c r="CE39" s="5" t="s">
        <v>102</v>
      </c>
      <c r="CF39" s="11">
        <v>241454.97</v>
      </c>
      <c r="CG39" s="5" t="s">
        <v>102</v>
      </c>
      <c r="CH39" s="5" t="s">
        <v>102</v>
      </c>
      <c r="CI39" s="11">
        <v>140128.54</v>
      </c>
      <c r="CJ39" s="5" t="s">
        <v>102</v>
      </c>
      <c r="CK39" s="5" t="s">
        <v>102</v>
      </c>
      <c r="CL39" s="11">
        <v>949794.12</v>
      </c>
      <c r="CM39" s="11">
        <v>624885.92000000004</v>
      </c>
    </row>
    <row r="40" spans="1:91" x14ac:dyDescent="0.35">
      <c r="A40" s="3" t="s">
        <v>43</v>
      </c>
      <c r="B40" s="10">
        <v>77075.100000000006</v>
      </c>
      <c r="C40" s="10">
        <v>17.809999999999999</v>
      </c>
      <c r="D40" s="10">
        <v>12.23</v>
      </c>
      <c r="E40" s="10">
        <v>108.71</v>
      </c>
      <c r="F40" s="10">
        <v>15.02</v>
      </c>
      <c r="G40" s="10">
        <v>32.53</v>
      </c>
      <c r="H40" s="10">
        <v>20.96</v>
      </c>
      <c r="I40" s="10">
        <v>13.96</v>
      </c>
      <c r="J40" s="10">
        <v>4.6900000000000004</v>
      </c>
      <c r="K40" s="10">
        <v>1.96</v>
      </c>
      <c r="L40" s="10">
        <v>13.47</v>
      </c>
      <c r="M40" s="71">
        <v>14.72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0">
        <v>4.07</v>
      </c>
      <c r="W40" s="10">
        <v>116.81</v>
      </c>
      <c r="X40" s="10">
        <v>18.38</v>
      </c>
      <c r="Y40" s="10">
        <v>54.18</v>
      </c>
      <c r="Z40" s="10">
        <v>428.37</v>
      </c>
      <c r="AA40" s="10">
        <v>320.99</v>
      </c>
      <c r="AB40" s="10">
        <v>472.31</v>
      </c>
      <c r="AC40" s="10">
        <v>442.96</v>
      </c>
      <c r="AD40" s="10">
        <v>564.96</v>
      </c>
      <c r="AE40" s="10">
        <v>49987.92</v>
      </c>
      <c r="AF40" s="10">
        <v>241.01</v>
      </c>
      <c r="AG40" s="10">
        <v>5855.26</v>
      </c>
      <c r="AH40" s="71">
        <v>73.260000000000005</v>
      </c>
      <c r="AI40" s="104"/>
      <c r="AJ40" s="10">
        <v>16.64</v>
      </c>
      <c r="AK40" s="10">
        <v>125.84</v>
      </c>
      <c r="AL40" s="10">
        <v>436.3</v>
      </c>
      <c r="AM40" s="10">
        <v>330.01</v>
      </c>
      <c r="AN40" s="10">
        <v>519.55999999999995</v>
      </c>
      <c r="AO40" s="10">
        <v>187.09</v>
      </c>
      <c r="AP40" s="10">
        <v>2082.7600000000002</v>
      </c>
      <c r="AQ40" s="10">
        <v>184.67</v>
      </c>
      <c r="AR40" s="10">
        <v>2681.7</v>
      </c>
      <c r="AS40" s="10">
        <v>1530.99</v>
      </c>
      <c r="AT40" s="10">
        <v>11.75</v>
      </c>
      <c r="AU40" s="10">
        <v>106.29</v>
      </c>
      <c r="AV40" s="10">
        <v>25.9</v>
      </c>
      <c r="AW40" s="10">
        <v>1.78</v>
      </c>
      <c r="AX40" s="10">
        <v>8.7100000000000009</v>
      </c>
      <c r="AY40" s="10">
        <v>175.15</v>
      </c>
      <c r="AZ40" s="10">
        <v>9.4499999999999993</v>
      </c>
      <c r="BA40" s="10">
        <v>1.84</v>
      </c>
      <c r="BB40" s="10">
        <v>7.22</v>
      </c>
      <c r="BC40" s="10">
        <v>222.19</v>
      </c>
      <c r="BD40" s="10">
        <v>82.09</v>
      </c>
      <c r="BE40" s="10">
        <v>217.07</v>
      </c>
      <c r="BF40" s="10">
        <v>874.72</v>
      </c>
      <c r="BG40" s="10">
        <v>17.88</v>
      </c>
      <c r="BH40" s="10">
        <v>150.27000000000001</v>
      </c>
      <c r="BI40" s="10">
        <v>1042.29</v>
      </c>
      <c r="BJ40" s="10">
        <v>17.14</v>
      </c>
      <c r="BK40" s="10">
        <v>12.87</v>
      </c>
      <c r="BL40" s="10">
        <v>170.82</v>
      </c>
      <c r="BM40" s="10">
        <v>6556.48</v>
      </c>
      <c r="BN40" s="10">
        <v>81.64</v>
      </c>
      <c r="BO40" s="10">
        <v>167.45</v>
      </c>
      <c r="BP40" s="10">
        <v>19.600000000000001</v>
      </c>
      <c r="BQ40" s="10">
        <v>27.06</v>
      </c>
      <c r="BR40" s="10">
        <v>57.57</v>
      </c>
      <c r="BS40" s="10">
        <v>10.99</v>
      </c>
      <c r="BT40" s="10">
        <v>20.38</v>
      </c>
      <c r="BU40" s="10">
        <v>45.89</v>
      </c>
      <c r="BV40" s="10">
        <v>0.53</v>
      </c>
      <c r="BW40" s="4">
        <v>0</v>
      </c>
      <c r="BX40" s="10">
        <v>19410.38</v>
      </c>
      <c r="BY40" s="10">
        <v>1105.1500000000001</v>
      </c>
      <c r="BZ40" s="10">
        <v>18301.099999999999</v>
      </c>
      <c r="CA40" s="10">
        <v>4.13</v>
      </c>
      <c r="CB40" s="10">
        <v>52453.38</v>
      </c>
      <c r="CC40" s="10">
        <v>-12630.78</v>
      </c>
      <c r="CD40" s="10">
        <v>106771.5</v>
      </c>
      <c r="CE40" s="4" t="s">
        <v>102</v>
      </c>
      <c r="CF40" s="10">
        <v>106771.5</v>
      </c>
      <c r="CG40" s="4" t="s">
        <v>102</v>
      </c>
      <c r="CH40" s="4" t="s">
        <v>102</v>
      </c>
      <c r="CI40" s="10">
        <v>65084.160000000003</v>
      </c>
      <c r="CJ40" s="4" t="s">
        <v>102</v>
      </c>
      <c r="CK40" s="4" t="s">
        <v>102</v>
      </c>
      <c r="CL40" s="10">
        <v>255710.35</v>
      </c>
      <c r="CM40" s="10">
        <v>178635.25</v>
      </c>
    </row>
    <row r="41" spans="1:91" x14ac:dyDescent="0.35">
      <c r="A41" s="3" t="s">
        <v>44</v>
      </c>
      <c r="B41" s="11">
        <v>68966.16</v>
      </c>
      <c r="C41" s="11">
        <v>222.99</v>
      </c>
      <c r="D41" s="11">
        <v>12.27</v>
      </c>
      <c r="E41" s="11">
        <v>17.86</v>
      </c>
      <c r="F41" s="11">
        <v>41.91</v>
      </c>
      <c r="G41" s="11">
        <v>977.47</v>
      </c>
      <c r="H41" s="11">
        <v>500.03</v>
      </c>
      <c r="I41" s="11">
        <v>1087.56</v>
      </c>
      <c r="J41" s="11">
        <v>163.6</v>
      </c>
      <c r="K41" s="11">
        <v>79.19</v>
      </c>
      <c r="L41" s="11">
        <v>105.55</v>
      </c>
      <c r="M41" s="71">
        <v>835.45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1">
        <v>691.41</v>
      </c>
      <c r="W41" s="11">
        <v>495.88</v>
      </c>
      <c r="X41" s="11">
        <v>271.45</v>
      </c>
      <c r="Y41" s="11">
        <v>474.52</v>
      </c>
      <c r="Z41" s="11">
        <v>673.31</v>
      </c>
      <c r="AA41" s="11">
        <v>971.95</v>
      </c>
      <c r="AB41" s="11">
        <v>382.13</v>
      </c>
      <c r="AC41" s="11">
        <v>831.81</v>
      </c>
      <c r="AD41" s="11">
        <v>1538.8</v>
      </c>
      <c r="AE41" s="11">
        <v>305.26</v>
      </c>
      <c r="AF41" s="11">
        <v>11347.42</v>
      </c>
      <c r="AG41" s="11">
        <v>864.51</v>
      </c>
      <c r="AH41" s="71">
        <v>365.5</v>
      </c>
      <c r="AI41" s="104"/>
      <c r="AJ41" s="11">
        <v>41.46</v>
      </c>
      <c r="AK41" s="11">
        <v>277.33</v>
      </c>
      <c r="AL41" s="11">
        <v>7055.69</v>
      </c>
      <c r="AM41" s="11">
        <v>569.89</v>
      </c>
      <c r="AN41" s="11">
        <v>2072.65</v>
      </c>
      <c r="AO41" s="11">
        <v>1540.24</v>
      </c>
      <c r="AP41" s="11">
        <v>578.01</v>
      </c>
      <c r="AQ41" s="11">
        <v>58.93</v>
      </c>
      <c r="AR41" s="11">
        <v>35.020000000000003</v>
      </c>
      <c r="AS41" s="11">
        <v>333.72</v>
      </c>
      <c r="AT41" s="11">
        <v>37.99</v>
      </c>
      <c r="AU41" s="11">
        <v>1678.49</v>
      </c>
      <c r="AV41" s="11">
        <v>114.92</v>
      </c>
      <c r="AW41" s="11">
        <v>584.07000000000005</v>
      </c>
      <c r="AX41" s="11">
        <v>261.07</v>
      </c>
      <c r="AY41" s="11">
        <v>648.72</v>
      </c>
      <c r="AZ41" s="11">
        <v>207.09</v>
      </c>
      <c r="BA41" s="11">
        <v>85.42</v>
      </c>
      <c r="BB41" s="11">
        <v>108.52</v>
      </c>
      <c r="BC41" s="11">
        <v>1431.86</v>
      </c>
      <c r="BD41" s="11">
        <v>814.5</v>
      </c>
      <c r="BE41" s="11">
        <v>512.23</v>
      </c>
      <c r="BF41" s="11">
        <v>763.37</v>
      </c>
      <c r="BG41" s="11">
        <v>304.77</v>
      </c>
      <c r="BH41" s="11">
        <v>533.62</v>
      </c>
      <c r="BI41" s="11">
        <v>722.13</v>
      </c>
      <c r="BJ41" s="11">
        <v>154.28</v>
      </c>
      <c r="BK41" s="11">
        <v>45.31</v>
      </c>
      <c r="BL41" s="11">
        <v>933.75</v>
      </c>
      <c r="BM41" s="11">
        <v>782.81</v>
      </c>
      <c r="BN41" s="11">
        <v>772.23</v>
      </c>
      <c r="BO41" s="11">
        <v>17802.439999999999</v>
      </c>
      <c r="BP41" s="11">
        <v>1532.46</v>
      </c>
      <c r="BQ41" s="11">
        <v>914.86</v>
      </c>
      <c r="BR41" s="11">
        <v>792.42</v>
      </c>
      <c r="BS41" s="11">
        <v>228.55</v>
      </c>
      <c r="BT41" s="11">
        <v>101.79</v>
      </c>
      <c r="BU41" s="11">
        <v>270.61</v>
      </c>
      <c r="BV41" s="11">
        <v>5.16</v>
      </c>
      <c r="BW41" s="5">
        <v>0</v>
      </c>
      <c r="BX41" s="11">
        <v>91320.78</v>
      </c>
      <c r="BY41" s="11">
        <v>6251.17</v>
      </c>
      <c r="BZ41" s="11">
        <v>85049.23</v>
      </c>
      <c r="CA41" s="11">
        <v>20.39</v>
      </c>
      <c r="CB41" s="11">
        <v>35153.03</v>
      </c>
      <c r="CC41" s="11">
        <v>-386.26</v>
      </c>
      <c r="CD41" s="11">
        <v>79971.19</v>
      </c>
      <c r="CE41" s="5" t="s">
        <v>102</v>
      </c>
      <c r="CF41" s="11">
        <v>79971.19</v>
      </c>
      <c r="CG41" s="5" t="s">
        <v>102</v>
      </c>
      <c r="CH41" s="5" t="s">
        <v>102</v>
      </c>
      <c r="CI41" s="11">
        <v>35539.279999999999</v>
      </c>
      <c r="CJ41" s="5" t="s">
        <v>102</v>
      </c>
      <c r="CK41" s="5" t="s">
        <v>102</v>
      </c>
      <c r="CL41" s="11">
        <v>275411.15999999997</v>
      </c>
      <c r="CM41" s="5">
        <v>206445</v>
      </c>
    </row>
    <row r="42" spans="1:91" x14ac:dyDescent="0.35">
      <c r="A42" s="35" t="s">
        <v>45</v>
      </c>
      <c r="B42" s="40">
        <v>212981.69</v>
      </c>
      <c r="C42" s="40">
        <v>9700.25</v>
      </c>
      <c r="D42" s="40">
        <v>374.98</v>
      </c>
      <c r="E42" s="40">
        <v>229.5</v>
      </c>
      <c r="F42" s="40">
        <v>2178.2800000000002</v>
      </c>
      <c r="G42" s="40">
        <v>7739.73</v>
      </c>
      <c r="H42" s="40">
        <v>969.23</v>
      </c>
      <c r="I42" s="40">
        <v>1565.6</v>
      </c>
      <c r="J42" s="40">
        <v>2475.86</v>
      </c>
      <c r="K42" s="40">
        <v>480.4</v>
      </c>
      <c r="L42" s="40">
        <v>1886.62</v>
      </c>
      <c r="M42" s="71">
        <v>4763.401665676658</v>
      </c>
      <c r="N42" s="41">
        <v>377.45079780000003</v>
      </c>
      <c r="O42" s="43">
        <v>63.24887452334152</v>
      </c>
      <c r="P42" s="41">
        <v>132.82478999999998</v>
      </c>
      <c r="Q42" s="41">
        <v>13.893872</v>
      </c>
      <c r="R42" s="41">
        <v>0</v>
      </c>
      <c r="S42" s="41">
        <v>0</v>
      </c>
      <c r="T42" s="41">
        <v>0</v>
      </c>
      <c r="U42" s="41">
        <v>0</v>
      </c>
      <c r="V42" s="40">
        <v>1166.3599999999999</v>
      </c>
      <c r="W42" s="40">
        <v>2076.0700000000002</v>
      </c>
      <c r="X42" s="40">
        <v>2773.04</v>
      </c>
      <c r="Y42" s="40">
        <v>7972.54</v>
      </c>
      <c r="Z42" s="40">
        <v>5930.95</v>
      </c>
      <c r="AA42" s="40">
        <v>2000.7</v>
      </c>
      <c r="AB42" s="40">
        <v>2941.76</v>
      </c>
      <c r="AC42" s="40">
        <v>9066.0400000000009</v>
      </c>
      <c r="AD42" s="40">
        <v>7587.33</v>
      </c>
      <c r="AE42" s="40">
        <v>5369.25</v>
      </c>
      <c r="AF42" s="40">
        <v>1643.63</v>
      </c>
      <c r="AG42" s="40">
        <v>13721.7</v>
      </c>
      <c r="AH42" s="71">
        <v>16688.208691007196</v>
      </c>
      <c r="AI42" s="107">
        <v>4.7913089928057566</v>
      </c>
      <c r="AJ42" s="40">
        <v>931.82</v>
      </c>
      <c r="AK42" s="40">
        <v>2737.76</v>
      </c>
      <c r="AL42" s="40">
        <v>11896.25</v>
      </c>
      <c r="AM42" s="40">
        <v>1531.31</v>
      </c>
      <c r="AN42" s="40">
        <v>6288.82</v>
      </c>
      <c r="AO42" s="40">
        <v>3643.03</v>
      </c>
      <c r="AP42" s="40">
        <v>8929.52</v>
      </c>
      <c r="AQ42" s="40">
        <v>4329.59</v>
      </c>
      <c r="AR42" s="40">
        <v>7949.34</v>
      </c>
      <c r="AS42" s="40">
        <v>3759.57</v>
      </c>
      <c r="AT42" s="40">
        <v>327.54000000000002</v>
      </c>
      <c r="AU42" s="40">
        <v>2799.88</v>
      </c>
      <c r="AV42" s="40">
        <v>379.69</v>
      </c>
      <c r="AW42" s="40">
        <v>379.99</v>
      </c>
      <c r="AX42" s="40">
        <v>3477.4</v>
      </c>
      <c r="AY42" s="40">
        <v>2633.13</v>
      </c>
      <c r="AZ42" s="40">
        <v>633.78</v>
      </c>
      <c r="BA42" s="40">
        <v>288.95</v>
      </c>
      <c r="BB42" s="40">
        <v>515.94000000000005</v>
      </c>
      <c r="BC42" s="40">
        <v>8446.9599999999991</v>
      </c>
      <c r="BD42" s="40">
        <v>2123.69</v>
      </c>
      <c r="BE42" s="40">
        <v>1386.26</v>
      </c>
      <c r="BF42" s="40">
        <v>2501.23</v>
      </c>
      <c r="BG42" s="40">
        <v>386.01</v>
      </c>
      <c r="BH42" s="40">
        <v>700.34</v>
      </c>
      <c r="BI42" s="41">
        <v>3649</v>
      </c>
      <c r="BJ42" s="40">
        <v>547.24</v>
      </c>
      <c r="BK42" s="40">
        <v>174.27</v>
      </c>
      <c r="BL42" s="40">
        <v>2550.64</v>
      </c>
      <c r="BM42" s="40">
        <v>6229.32</v>
      </c>
      <c r="BN42" s="40">
        <v>807.41</v>
      </c>
      <c r="BO42" s="40">
        <v>4684.51</v>
      </c>
      <c r="BP42" s="40">
        <v>1238.83</v>
      </c>
      <c r="BQ42" s="40">
        <v>510.64</v>
      </c>
      <c r="BR42" s="40">
        <v>791.73</v>
      </c>
      <c r="BS42" s="40">
        <v>241.55</v>
      </c>
      <c r="BT42" s="40">
        <v>137.94</v>
      </c>
      <c r="BU42" s="40">
        <v>466.85</v>
      </c>
      <c r="BV42" s="40">
        <v>80.349999999999994</v>
      </c>
      <c r="BW42" s="41">
        <v>0</v>
      </c>
      <c r="BX42" s="40">
        <v>3270.67</v>
      </c>
      <c r="BY42" s="40">
        <v>81.63</v>
      </c>
      <c r="BZ42" s="40">
        <v>3188.79</v>
      </c>
      <c r="CA42" s="40">
        <v>0.25</v>
      </c>
      <c r="CB42" s="40">
        <v>102013.88</v>
      </c>
      <c r="CC42" s="40">
        <v>1987.08</v>
      </c>
      <c r="CD42" s="40">
        <v>20853.490000000002</v>
      </c>
      <c r="CE42" s="41" t="s">
        <v>102</v>
      </c>
      <c r="CF42" s="40">
        <v>20853.490000000002</v>
      </c>
      <c r="CG42" s="41" t="s">
        <v>102</v>
      </c>
      <c r="CH42" s="41" t="s">
        <v>102</v>
      </c>
      <c r="CI42" s="40">
        <v>100026.8</v>
      </c>
      <c r="CJ42" s="41" t="s">
        <v>102</v>
      </c>
      <c r="CK42" s="41" t="s">
        <v>102</v>
      </c>
      <c r="CL42" s="40">
        <v>339119.74</v>
      </c>
      <c r="CM42" s="40">
        <v>126138.05</v>
      </c>
    </row>
    <row r="43" spans="1:91" x14ac:dyDescent="0.35">
      <c r="A43" s="35" t="s">
        <v>133</v>
      </c>
      <c r="B43" s="81">
        <v>749334.35021582735</v>
      </c>
      <c r="C43" s="81">
        <v>11412.38</v>
      </c>
      <c r="D43" s="81">
        <v>326.48</v>
      </c>
      <c r="E43" s="81">
        <v>232.31</v>
      </c>
      <c r="F43" s="81">
        <v>5413.72</v>
      </c>
      <c r="G43" s="81">
        <v>26659.95</v>
      </c>
      <c r="H43" s="81">
        <v>3839.72</v>
      </c>
      <c r="I43" s="81">
        <v>4232.6099999999997</v>
      </c>
      <c r="J43" s="81">
        <v>11605.75</v>
      </c>
      <c r="K43" s="81">
        <v>1305.9100000000001</v>
      </c>
      <c r="L43" s="81">
        <v>10274.57</v>
      </c>
      <c r="M43" s="71">
        <v>22186.429378378867</v>
      </c>
      <c r="N43" s="81">
        <v>394.24273040000003</v>
      </c>
      <c r="O43" s="81">
        <v>141.1787072211302</v>
      </c>
      <c r="P43" s="81">
        <v>354.19943999999998</v>
      </c>
      <c r="Q43" s="81">
        <v>22.549744</v>
      </c>
      <c r="R43" s="81">
        <v>0</v>
      </c>
      <c r="S43" s="81">
        <v>0</v>
      </c>
      <c r="T43" s="81">
        <v>0</v>
      </c>
      <c r="U43" s="81">
        <v>0</v>
      </c>
      <c r="V43" s="81">
        <v>2728.51</v>
      </c>
      <c r="W43" s="81">
        <v>9458.68</v>
      </c>
      <c r="X43" s="81">
        <v>13638.3</v>
      </c>
      <c r="Y43" s="81">
        <v>26666.52</v>
      </c>
      <c r="Z43" s="81">
        <v>10303.969999999999</v>
      </c>
      <c r="AA43" s="81">
        <v>2533.66</v>
      </c>
      <c r="AB43" s="81">
        <v>4841.8500000000004</v>
      </c>
      <c r="AC43" s="81">
        <v>6162.95</v>
      </c>
      <c r="AD43" s="81">
        <v>10392.469999999999</v>
      </c>
      <c r="AE43" s="81">
        <v>1563.22</v>
      </c>
      <c r="AF43" s="81">
        <v>3220.65</v>
      </c>
      <c r="AG43" s="81">
        <v>3426.07</v>
      </c>
      <c r="AH43" s="71">
        <v>300498.24738201441</v>
      </c>
      <c r="AI43" s="107">
        <v>9.5826179856115132</v>
      </c>
      <c r="AJ43" s="81">
        <v>5743.23</v>
      </c>
      <c r="AK43" s="81">
        <v>7303.5574074155711</v>
      </c>
      <c r="AL43" s="81">
        <v>18197.87</v>
      </c>
      <c r="AM43" s="81">
        <v>4972.24</v>
      </c>
      <c r="AN43" s="81">
        <v>17128.419999999998</v>
      </c>
      <c r="AO43" s="81">
        <v>24517.87</v>
      </c>
      <c r="AP43" s="81">
        <v>15540.07</v>
      </c>
      <c r="AQ43" s="81">
        <v>263.27999999999997</v>
      </c>
      <c r="AR43" s="81">
        <v>506.6</v>
      </c>
      <c r="AS43" s="81">
        <v>8069.09</v>
      </c>
      <c r="AT43" s="81">
        <v>1569.15</v>
      </c>
      <c r="AU43" s="81">
        <v>24805.72</v>
      </c>
      <c r="AV43" s="81">
        <v>1171.18</v>
      </c>
      <c r="AW43" s="81">
        <v>1483.07</v>
      </c>
      <c r="AX43" s="81">
        <v>6601.09</v>
      </c>
      <c r="AY43" s="81">
        <v>6697.83</v>
      </c>
      <c r="AZ43" s="81">
        <v>2526.19</v>
      </c>
      <c r="BA43" s="81">
        <v>969.48</v>
      </c>
      <c r="BB43" s="81">
        <v>994.22</v>
      </c>
      <c r="BC43" s="81">
        <v>17505.310000000001</v>
      </c>
      <c r="BD43" s="81">
        <v>6699.71</v>
      </c>
      <c r="BE43" s="81">
        <v>3424.06</v>
      </c>
      <c r="BF43" s="81">
        <v>4383.08</v>
      </c>
      <c r="BG43" s="81">
        <v>1377.9</v>
      </c>
      <c r="BH43" s="81">
        <v>1847.07</v>
      </c>
      <c r="BI43" s="81">
        <v>3034.59</v>
      </c>
      <c r="BJ43" s="81">
        <v>1423.32</v>
      </c>
      <c r="BK43" s="81">
        <v>797.71</v>
      </c>
      <c r="BL43" s="81">
        <v>6683.18</v>
      </c>
      <c r="BM43" s="81">
        <v>13855.71</v>
      </c>
      <c r="BN43" s="81">
        <v>10071.83</v>
      </c>
      <c r="BO43" s="81">
        <v>13082.05</v>
      </c>
      <c r="BP43" s="81">
        <v>7581.05</v>
      </c>
      <c r="BQ43" s="81">
        <v>3292.59</v>
      </c>
      <c r="BR43" s="81">
        <v>4784</v>
      </c>
      <c r="BS43" s="81">
        <v>2215.41</v>
      </c>
      <c r="BT43" s="81">
        <v>505.04</v>
      </c>
      <c r="BU43" s="81">
        <v>4185.51</v>
      </c>
      <c r="BV43" s="81">
        <v>15.21</v>
      </c>
      <c r="BW43" s="81">
        <v>0</v>
      </c>
      <c r="BX43" s="81">
        <v>291633.09111776424</v>
      </c>
      <c r="BY43" s="81">
        <v>3293.14</v>
      </c>
      <c r="BZ43" s="81">
        <v>288471.8</v>
      </c>
      <c r="CA43" s="81">
        <v>2.23</v>
      </c>
      <c r="CB43" s="81">
        <v>1691.84</v>
      </c>
      <c r="CC43" s="81">
        <v>1118.46</v>
      </c>
      <c r="CD43" s="81">
        <v>12378.05</v>
      </c>
      <c r="CE43" s="41" t="s">
        <v>102</v>
      </c>
      <c r="CF43" s="81">
        <v>12378.05</v>
      </c>
      <c r="CG43" s="41" t="s">
        <v>102</v>
      </c>
      <c r="CH43" s="41" t="s">
        <v>102</v>
      </c>
      <c r="CI43" s="81">
        <v>573.38</v>
      </c>
      <c r="CJ43" s="41" t="s">
        <v>102</v>
      </c>
      <c r="CK43" s="41" t="s">
        <v>102</v>
      </c>
      <c r="CL43" s="81">
        <v>1055383.3037103487</v>
      </c>
      <c r="CM43" s="81">
        <v>305702.98111776426</v>
      </c>
    </row>
    <row r="44" spans="1:91" x14ac:dyDescent="0.35">
      <c r="A44" s="27" t="s">
        <v>129</v>
      </c>
      <c r="B44" s="34">
        <v>0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71">
        <v>0</v>
      </c>
      <c r="N44" s="29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71">
        <v>0</v>
      </c>
      <c r="AI44" s="28">
        <v>0</v>
      </c>
      <c r="AJ44" s="28">
        <v>0</v>
      </c>
      <c r="AK44" s="118">
        <v>4.6025925844290985</v>
      </c>
      <c r="AL44" s="28">
        <v>0</v>
      </c>
      <c r="AM44" s="28">
        <v>0</v>
      </c>
      <c r="AN44" s="28">
        <v>0</v>
      </c>
      <c r="AO44" s="28">
        <v>0</v>
      </c>
      <c r="AP44" s="34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0</v>
      </c>
      <c r="BF44" s="28">
        <v>0</v>
      </c>
      <c r="BG44" s="28">
        <v>0</v>
      </c>
      <c r="BH44" s="28">
        <v>0</v>
      </c>
      <c r="BI44" s="28">
        <v>0</v>
      </c>
      <c r="BJ44" s="28">
        <v>0</v>
      </c>
      <c r="BK44" s="28">
        <v>0</v>
      </c>
      <c r="BL44" s="28">
        <v>0</v>
      </c>
      <c r="BM44" s="28">
        <v>0</v>
      </c>
      <c r="BN44" s="28">
        <v>0</v>
      </c>
      <c r="BO44" s="28">
        <v>0</v>
      </c>
      <c r="BP44" s="28">
        <v>0</v>
      </c>
      <c r="BQ44" s="28">
        <v>0</v>
      </c>
      <c r="BR44" s="28">
        <v>0</v>
      </c>
      <c r="BS44" s="28">
        <v>0</v>
      </c>
      <c r="BT44" s="28">
        <v>0</v>
      </c>
      <c r="BU44" s="28">
        <v>0</v>
      </c>
      <c r="BV44" s="28">
        <v>0</v>
      </c>
      <c r="BW44" s="28">
        <v>0</v>
      </c>
      <c r="BX44" s="34">
        <v>134.07888223571481</v>
      </c>
      <c r="BY44" s="28">
        <v>0</v>
      </c>
      <c r="BZ44" s="28">
        <v>0</v>
      </c>
      <c r="CA44" s="28">
        <v>0</v>
      </c>
      <c r="CB44" s="28">
        <v>0</v>
      </c>
      <c r="CC44" s="28">
        <v>0</v>
      </c>
      <c r="CD44" s="28">
        <v>0</v>
      </c>
      <c r="CE44" s="41" t="s">
        <v>102</v>
      </c>
      <c r="CF44" s="28">
        <v>0</v>
      </c>
      <c r="CG44" s="41" t="s">
        <v>102</v>
      </c>
      <c r="CH44" s="41" t="s">
        <v>102</v>
      </c>
      <c r="CI44" s="28">
        <v>0</v>
      </c>
      <c r="CJ44" s="41" t="s">
        <v>102</v>
      </c>
      <c r="CK44" s="41" t="s">
        <v>102</v>
      </c>
      <c r="CL44" s="34">
        <v>129.47628965128573</v>
      </c>
      <c r="CM44" s="34">
        <v>134.07888223571481</v>
      </c>
    </row>
    <row r="45" spans="1:91" x14ac:dyDescent="0.35">
      <c r="A45" s="25" t="s">
        <v>46</v>
      </c>
      <c r="B45" s="62">
        <v>33865.49</v>
      </c>
      <c r="C45" s="62">
        <v>1722.95</v>
      </c>
      <c r="D45" s="62">
        <v>24.47</v>
      </c>
      <c r="E45" s="62">
        <v>39.76</v>
      </c>
      <c r="F45" s="62">
        <v>111.53</v>
      </c>
      <c r="G45" s="62">
        <v>1836.18</v>
      </c>
      <c r="H45" s="62">
        <v>186.71</v>
      </c>
      <c r="I45" s="62">
        <v>70.97</v>
      </c>
      <c r="J45" s="62">
        <v>343.15</v>
      </c>
      <c r="K45" s="62">
        <v>55.22</v>
      </c>
      <c r="L45" s="62">
        <v>293.5</v>
      </c>
      <c r="M45" s="71">
        <v>897.38</v>
      </c>
      <c r="N45" s="39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62">
        <v>177.8</v>
      </c>
      <c r="W45" s="62">
        <v>223.13</v>
      </c>
      <c r="X45" s="62">
        <v>281.77999999999997</v>
      </c>
      <c r="Y45" s="62">
        <v>548.01</v>
      </c>
      <c r="Z45" s="62">
        <v>433.74</v>
      </c>
      <c r="AA45" s="62">
        <v>121.8</v>
      </c>
      <c r="AB45" s="62">
        <v>182.15</v>
      </c>
      <c r="AC45" s="62">
        <v>309.54000000000002</v>
      </c>
      <c r="AD45" s="62">
        <v>435.03</v>
      </c>
      <c r="AE45" s="62">
        <v>119.07</v>
      </c>
      <c r="AF45" s="62">
        <v>134.38999999999999</v>
      </c>
      <c r="AG45" s="62">
        <v>186.02</v>
      </c>
      <c r="AH45" s="71">
        <v>1181.96</v>
      </c>
      <c r="AI45" s="62"/>
      <c r="AJ45" s="62">
        <v>2839.03</v>
      </c>
      <c r="AK45" s="62">
        <v>1158.04</v>
      </c>
      <c r="AL45" s="62">
        <v>933.04</v>
      </c>
      <c r="AM45" s="62">
        <v>204.78</v>
      </c>
      <c r="AN45" s="62">
        <v>849.3</v>
      </c>
      <c r="AO45" s="62">
        <v>871.15</v>
      </c>
      <c r="AP45" s="62">
        <v>317</v>
      </c>
      <c r="AQ45" s="62">
        <v>16.82</v>
      </c>
      <c r="AR45" s="62">
        <v>13.27</v>
      </c>
      <c r="AS45" s="62">
        <v>301.02999999999997</v>
      </c>
      <c r="AT45" s="62">
        <v>76.010000000000005</v>
      </c>
      <c r="AU45" s="62">
        <v>2123.5</v>
      </c>
      <c r="AV45" s="62">
        <v>71.53</v>
      </c>
      <c r="AW45" s="62">
        <v>218.56</v>
      </c>
      <c r="AX45" s="62">
        <v>180.17</v>
      </c>
      <c r="AY45" s="62">
        <v>219.79</v>
      </c>
      <c r="AZ45" s="62">
        <v>193.73</v>
      </c>
      <c r="BA45" s="62">
        <v>96.05</v>
      </c>
      <c r="BB45" s="62">
        <v>198.34</v>
      </c>
      <c r="BC45" s="62">
        <v>2540.1999999999998</v>
      </c>
      <c r="BD45" s="62">
        <v>408.93</v>
      </c>
      <c r="BE45" s="62">
        <v>699.61</v>
      </c>
      <c r="BF45" s="62">
        <v>333.52</v>
      </c>
      <c r="BG45" s="62">
        <v>66.81</v>
      </c>
      <c r="BH45" s="62">
        <v>110.48</v>
      </c>
      <c r="BI45" s="62">
        <v>179.64</v>
      </c>
      <c r="BJ45" s="62">
        <v>59.31</v>
      </c>
      <c r="BK45" s="62">
        <v>48.58</v>
      </c>
      <c r="BL45" s="62">
        <v>538.41</v>
      </c>
      <c r="BM45" s="62">
        <v>1855.6</v>
      </c>
      <c r="BN45" s="62">
        <v>1363.63</v>
      </c>
      <c r="BO45" s="62">
        <v>1848.94</v>
      </c>
      <c r="BP45" s="62">
        <v>976.42</v>
      </c>
      <c r="BQ45" s="62">
        <v>386.5</v>
      </c>
      <c r="BR45" s="62">
        <v>757.6</v>
      </c>
      <c r="BS45" s="62">
        <v>271.64</v>
      </c>
      <c r="BT45" s="62">
        <v>25.4</v>
      </c>
      <c r="BU45" s="62">
        <v>596.16999999999996</v>
      </c>
      <c r="BV45" s="62">
        <v>0.76</v>
      </c>
      <c r="BW45" s="62">
        <v>0</v>
      </c>
      <c r="BX45" s="62">
        <v>34337.519999999997</v>
      </c>
      <c r="BY45" s="62">
        <v>3687.75</v>
      </c>
      <c r="BZ45" s="62">
        <v>30649.69</v>
      </c>
      <c r="CA45" s="62">
        <v>0.09</v>
      </c>
      <c r="CB45" s="62">
        <v>-29.96</v>
      </c>
      <c r="CC45" s="62">
        <v>-31.47</v>
      </c>
      <c r="CD45" s="62">
        <v>71.069999999999993</v>
      </c>
      <c r="CE45" s="62" t="s">
        <v>102</v>
      </c>
      <c r="CF45" s="62">
        <v>71.069999999999993</v>
      </c>
      <c r="CG45" s="62" t="s">
        <v>102</v>
      </c>
      <c r="CH45" s="62" t="s">
        <v>102</v>
      </c>
      <c r="CI45" s="62">
        <v>1.51</v>
      </c>
      <c r="CJ45" s="62" t="s">
        <v>102</v>
      </c>
      <c r="CK45" s="62" t="s">
        <v>102</v>
      </c>
      <c r="CL45" s="62">
        <v>68244.12</v>
      </c>
      <c r="CM45" s="62">
        <v>34378.629999999997</v>
      </c>
    </row>
    <row r="46" spans="1:91" x14ac:dyDescent="0.35">
      <c r="A46" s="25" t="s">
        <v>47</v>
      </c>
      <c r="B46" s="62">
        <v>238357.71</v>
      </c>
      <c r="C46" s="62">
        <v>2305.66</v>
      </c>
      <c r="D46" s="62">
        <v>119.15</v>
      </c>
      <c r="E46" s="62">
        <v>45.18</v>
      </c>
      <c r="F46" s="62">
        <v>1493.21</v>
      </c>
      <c r="G46" s="62">
        <v>8111.93</v>
      </c>
      <c r="H46" s="62">
        <v>1738.56</v>
      </c>
      <c r="I46" s="62">
        <v>1155.95</v>
      </c>
      <c r="J46" s="62">
        <v>6801.83</v>
      </c>
      <c r="K46" s="62">
        <v>330.91</v>
      </c>
      <c r="L46" s="62">
        <v>2621.35</v>
      </c>
      <c r="M46" s="71">
        <v>5843.67</v>
      </c>
      <c r="N46" s="39">
        <v>93.45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62">
        <v>1110.08</v>
      </c>
      <c r="W46" s="62">
        <v>5801.42</v>
      </c>
      <c r="X46" s="62">
        <v>2839.39</v>
      </c>
      <c r="Y46" s="62">
        <v>22640.06</v>
      </c>
      <c r="Z46" s="62">
        <v>7380.42</v>
      </c>
      <c r="AA46" s="62">
        <v>579.37</v>
      </c>
      <c r="AB46" s="62">
        <v>4154.24</v>
      </c>
      <c r="AC46" s="62">
        <v>2883.84</v>
      </c>
      <c r="AD46" s="62">
        <v>2319.14</v>
      </c>
      <c r="AE46" s="62">
        <v>626.78</v>
      </c>
      <c r="AF46" s="62">
        <v>1309.21</v>
      </c>
      <c r="AG46" s="62">
        <v>1252</v>
      </c>
      <c r="AH46" s="71">
        <v>4680.1899999999996</v>
      </c>
      <c r="AI46" s="62"/>
      <c r="AJ46" s="62">
        <v>3236.33</v>
      </c>
      <c r="AK46" s="62">
        <v>52934.63</v>
      </c>
      <c r="AL46" s="62">
        <v>14955.26</v>
      </c>
      <c r="AM46" s="62">
        <v>1294.68</v>
      </c>
      <c r="AN46" s="62">
        <v>5930.08</v>
      </c>
      <c r="AO46" s="62">
        <v>5429.92</v>
      </c>
      <c r="AP46" s="62">
        <v>1713.22</v>
      </c>
      <c r="AQ46" s="62">
        <v>175.62</v>
      </c>
      <c r="AR46" s="62">
        <v>162.56</v>
      </c>
      <c r="AS46" s="62">
        <v>1308.3399999999999</v>
      </c>
      <c r="AT46" s="62">
        <v>312.42</v>
      </c>
      <c r="AU46" s="62">
        <v>5254.96</v>
      </c>
      <c r="AV46" s="62">
        <v>419.1</v>
      </c>
      <c r="AW46" s="62">
        <v>346.75</v>
      </c>
      <c r="AX46" s="62">
        <v>807.01</v>
      </c>
      <c r="AY46" s="62">
        <v>2087.81</v>
      </c>
      <c r="AZ46" s="62">
        <v>548.79999999999995</v>
      </c>
      <c r="BA46" s="62">
        <v>280.39999999999998</v>
      </c>
      <c r="BB46" s="62">
        <v>263.3</v>
      </c>
      <c r="BC46" s="62">
        <v>8676.67</v>
      </c>
      <c r="BD46" s="62">
        <v>2734.31</v>
      </c>
      <c r="BE46" s="62">
        <v>1751.18</v>
      </c>
      <c r="BF46" s="62">
        <v>1570.15</v>
      </c>
      <c r="BG46" s="62">
        <v>727.68</v>
      </c>
      <c r="BH46" s="62">
        <v>1341.26</v>
      </c>
      <c r="BI46" s="62">
        <v>1369.04</v>
      </c>
      <c r="BJ46" s="62">
        <v>277.10000000000002</v>
      </c>
      <c r="BK46" s="62">
        <v>202.57</v>
      </c>
      <c r="BL46" s="62">
        <v>4800.88</v>
      </c>
      <c r="BM46" s="62">
        <v>18140.259999999998</v>
      </c>
      <c r="BN46" s="62">
        <v>1439.51</v>
      </c>
      <c r="BO46" s="62">
        <v>3920.1</v>
      </c>
      <c r="BP46" s="62">
        <v>2029.87</v>
      </c>
      <c r="BQ46" s="62">
        <v>1011.25</v>
      </c>
      <c r="BR46" s="62">
        <v>925.56</v>
      </c>
      <c r="BS46" s="62">
        <v>326.73</v>
      </c>
      <c r="BT46" s="62">
        <v>116.14</v>
      </c>
      <c r="BU46" s="62">
        <v>1288.31</v>
      </c>
      <c r="BV46" s="62">
        <v>10.99</v>
      </c>
      <c r="BW46" s="62">
        <v>0</v>
      </c>
      <c r="BX46" s="62">
        <v>77580.67</v>
      </c>
      <c r="BY46" s="62">
        <v>20926.54</v>
      </c>
      <c r="BZ46" s="62">
        <v>56633.919999999998</v>
      </c>
      <c r="CA46" s="62">
        <v>20.21</v>
      </c>
      <c r="CB46" s="62">
        <v>759.7</v>
      </c>
      <c r="CC46" s="62">
        <v>716.92</v>
      </c>
      <c r="CD46" s="62">
        <v>15417.59</v>
      </c>
      <c r="CE46" s="62" t="s">
        <v>102</v>
      </c>
      <c r="CF46" s="62">
        <v>15417.59</v>
      </c>
      <c r="CG46" s="62" t="s">
        <v>102</v>
      </c>
      <c r="CH46" s="62" t="s">
        <v>102</v>
      </c>
      <c r="CI46" s="62">
        <v>42.79</v>
      </c>
      <c r="CJ46" s="62" t="s">
        <v>102</v>
      </c>
      <c r="CK46" s="62" t="s">
        <v>102</v>
      </c>
      <c r="CL46" s="62">
        <v>332115.67</v>
      </c>
      <c r="CM46" s="62">
        <v>93757.96</v>
      </c>
    </row>
    <row r="47" spans="1:91" x14ac:dyDescent="0.35">
      <c r="A47" s="26" t="s">
        <v>48</v>
      </c>
      <c r="B47" s="36">
        <v>846786.89</v>
      </c>
      <c r="C47" s="36">
        <v>5468.84</v>
      </c>
      <c r="D47" s="36">
        <v>590.04999999999995</v>
      </c>
      <c r="E47" s="36">
        <v>200.79</v>
      </c>
      <c r="F47" s="36">
        <v>1386.25</v>
      </c>
      <c r="G47" s="36">
        <v>5734.28</v>
      </c>
      <c r="H47" s="36">
        <v>1078.56</v>
      </c>
      <c r="I47" s="36">
        <v>1967.54</v>
      </c>
      <c r="J47" s="36">
        <v>1187.8699999999999</v>
      </c>
      <c r="K47" s="36">
        <v>589.57000000000005</v>
      </c>
      <c r="L47" s="36">
        <v>1965.93</v>
      </c>
      <c r="M47" s="71">
        <v>4137.9075636407861</v>
      </c>
      <c r="N47" s="37">
        <v>94.202332599999991</v>
      </c>
      <c r="O47" s="37">
        <v>23.04561875921376</v>
      </c>
      <c r="P47" s="37">
        <v>66.412394999999989</v>
      </c>
      <c r="Q47" s="66">
        <v>18.39209</v>
      </c>
      <c r="R47" s="36">
        <v>0</v>
      </c>
      <c r="S47" s="36">
        <v>0</v>
      </c>
      <c r="T47" s="36">
        <v>0</v>
      </c>
      <c r="U47" s="36">
        <v>0</v>
      </c>
      <c r="V47" s="36">
        <v>2027.24</v>
      </c>
      <c r="W47" s="36">
        <v>2346.62</v>
      </c>
      <c r="X47" s="36">
        <v>3260.7</v>
      </c>
      <c r="Y47" s="36">
        <v>3735.8</v>
      </c>
      <c r="Z47" s="36">
        <v>4928.05</v>
      </c>
      <c r="AA47" s="36">
        <v>1476.28</v>
      </c>
      <c r="AB47" s="36">
        <v>2238.29</v>
      </c>
      <c r="AC47" s="36">
        <v>3444.61</v>
      </c>
      <c r="AD47" s="36">
        <v>3305.05</v>
      </c>
      <c r="AE47" s="36">
        <v>1095.49</v>
      </c>
      <c r="AF47" s="36">
        <v>1344.27</v>
      </c>
      <c r="AG47" s="36">
        <v>5391.5</v>
      </c>
      <c r="AH47" s="71">
        <v>24159.26828417266</v>
      </c>
      <c r="AI47" s="66">
        <v>19.741715827338133</v>
      </c>
      <c r="AJ47" s="36">
        <v>3013.97</v>
      </c>
      <c r="AK47" s="36">
        <v>9300.73</v>
      </c>
      <c r="AL47" s="36">
        <v>442249.44</v>
      </c>
      <c r="AM47" s="36">
        <v>2611.0300000000002</v>
      </c>
      <c r="AN47" s="36">
        <v>11774.85</v>
      </c>
      <c r="AO47" s="36">
        <v>9866.3799999999992</v>
      </c>
      <c r="AP47" s="36">
        <v>9673.0300000000007</v>
      </c>
      <c r="AQ47" s="36">
        <v>338.8</v>
      </c>
      <c r="AR47" s="36">
        <v>515.52</v>
      </c>
      <c r="AS47" s="36">
        <v>16718.7</v>
      </c>
      <c r="AT47" s="36">
        <v>1570.29</v>
      </c>
      <c r="AU47" s="36">
        <v>11430.46</v>
      </c>
      <c r="AV47" s="36">
        <v>934.14</v>
      </c>
      <c r="AW47" s="36">
        <v>1164.93</v>
      </c>
      <c r="AX47" s="36">
        <v>5295.29</v>
      </c>
      <c r="AY47" s="36">
        <v>4204.9799999999996</v>
      </c>
      <c r="AZ47" s="36">
        <v>2610.2399999999998</v>
      </c>
      <c r="BA47" s="36">
        <v>1797.18</v>
      </c>
      <c r="BB47" s="36">
        <v>1888.39</v>
      </c>
      <c r="BC47" s="36">
        <v>113221.8</v>
      </c>
      <c r="BD47" s="36">
        <v>7213.89</v>
      </c>
      <c r="BE47" s="36">
        <v>12068.6</v>
      </c>
      <c r="BF47" s="36">
        <v>3871.55</v>
      </c>
      <c r="BG47" s="36">
        <v>1201.8900000000001</v>
      </c>
      <c r="BH47" s="36">
        <v>1624.14</v>
      </c>
      <c r="BI47" s="36">
        <v>4300.82</v>
      </c>
      <c r="BJ47" s="36">
        <v>1598.35</v>
      </c>
      <c r="BK47" s="36">
        <v>549.04</v>
      </c>
      <c r="BL47" s="36">
        <v>8171.73</v>
      </c>
      <c r="BM47" s="36">
        <v>34305.47</v>
      </c>
      <c r="BN47" s="36">
        <v>11267.15</v>
      </c>
      <c r="BO47" s="36">
        <v>10934.6</v>
      </c>
      <c r="BP47" s="36">
        <v>5961.84</v>
      </c>
      <c r="BQ47" s="36">
        <v>3520.35</v>
      </c>
      <c r="BR47" s="36">
        <v>2612</v>
      </c>
      <c r="BS47" s="36">
        <v>2197.19</v>
      </c>
      <c r="BT47" s="36">
        <v>421.51</v>
      </c>
      <c r="BU47" s="36">
        <v>1502.2</v>
      </c>
      <c r="BV47" s="36">
        <v>1.91</v>
      </c>
      <c r="BW47" s="36">
        <v>0</v>
      </c>
      <c r="BX47" s="36">
        <v>81814.23</v>
      </c>
      <c r="BY47" s="36">
        <v>8784.39</v>
      </c>
      <c r="BZ47" s="36">
        <v>73024.92</v>
      </c>
      <c r="CA47" s="36">
        <v>4.93</v>
      </c>
      <c r="CB47" s="36">
        <v>1506899.18</v>
      </c>
      <c r="CC47" s="36">
        <v>2601.9499999999998</v>
      </c>
      <c r="CD47" s="36">
        <v>10598.99</v>
      </c>
      <c r="CE47" s="36" t="s">
        <v>102</v>
      </c>
      <c r="CF47" s="36">
        <v>10598.99</v>
      </c>
      <c r="CG47" s="36" t="s">
        <v>102</v>
      </c>
      <c r="CH47" s="36" t="s">
        <v>102</v>
      </c>
      <c r="CI47" s="36">
        <v>1504297.23</v>
      </c>
      <c r="CJ47" s="36" t="s">
        <v>102</v>
      </c>
      <c r="CK47" s="36" t="s">
        <v>102</v>
      </c>
      <c r="CL47" s="36">
        <v>2446099.29</v>
      </c>
      <c r="CM47" s="36">
        <v>1599312.4</v>
      </c>
    </row>
    <row r="48" spans="1:91" x14ac:dyDescent="0.35">
      <c r="A48" s="3" t="s">
        <v>49</v>
      </c>
      <c r="B48" s="11">
        <v>193821.63</v>
      </c>
      <c r="C48" s="11">
        <v>2564.64</v>
      </c>
      <c r="D48" s="11">
        <v>395.32</v>
      </c>
      <c r="E48" s="11">
        <v>150.83000000000001</v>
      </c>
      <c r="F48" s="11">
        <v>467.28</v>
      </c>
      <c r="G48" s="11">
        <v>4130.3999999999996</v>
      </c>
      <c r="H48" s="11">
        <v>796.1</v>
      </c>
      <c r="I48" s="11">
        <v>754.81</v>
      </c>
      <c r="J48" s="11">
        <v>599.15</v>
      </c>
      <c r="K48" s="11">
        <v>279.43</v>
      </c>
      <c r="L48" s="11">
        <v>747.97</v>
      </c>
      <c r="M48" s="71">
        <v>1503.48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1">
        <v>709.03</v>
      </c>
      <c r="W48" s="11">
        <v>1178.23</v>
      </c>
      <c r="X48" s="11">
        <v>1513.83</v>
      </c>
      <c r="Y48" s="11">
        <v>1115.46</v>
      </c>
      <c r="Z48" s="11">
        <v>2054.27</v>
      </c>
      <c r="AA48" s="11">
        <v>1111.8900000000001</v>
      </c>
      <c r="AB48" s="11">
        <v>1713.13</v>
      </c>
      <c r="AC48" s="11">
        <v>4693.26</v>
      </c>
      <c r="AD48" s="11">
        <v>35752.199999999997</v>
      </c>
      <c r="AE48" s="11">
        <v>2449.7399999999998</v>
      </c>
      <c r="AF48" s="11">
        <v>907.92</v>
      </c>
      <c r="AG48" s="11">
        <v>2059.6</v>
      </c>
      <c r="AH48" s="71">
        <v>1316.68</v>
      </c>
      <c r="AI48" s="29"/>
      <c r="AJ48" s="11">
        <v>296.33999999999997</v>
      </c>
      <c r="AK48" s="11">
        <v>2612.8000000000002</v>
      </c>
      <c r="AL48" s="11">
        <v>9033.74</v>
      </c>
      <c r="AM48" s="11">
        <v>18673.060000000001</v>
      </c>
      <c r="AN48" s="11">
        <v>9445.7900000000009</v>
      </c>
      <c r="AO48" s="11">
        <v>7124.13</v>
      </c>
      <c r="AP48" s="11">
        <v>20805.14</v>
      </c>
      <c r="AQ48" s="11">
        <v>407.52</v>
      </c>
      <c r="AR48" s="11">
        <v>1080.58</v>
      </c>
      <c r="AS48" s="11">
        <v>6815.98</v>
      </c>
      <c r="AT48" s="11">
        <v>6135.87</v>
      </c>
      <c r="AU48" s="11">
        <v>2996.02</v>
      </c>
      <c r="AV48" s="11">
        <v>484.21</v>
      </c>
      <c r="AW48" s="11">
        <v>770.35</v>
      </c>
      <c r="AX48" s="11">
        <v>1318.72</v>
      </c>
      <c r="AY48" s="11">
        <v>1811.48</v>
      </c>
      <c r="AZ48" s="11">
        <v>714.06</v>
      </c>
      <c r="BA48" s="11">
        <v>504.72</v>
      </c>
      <c r="BB48" s="11">
        <v>812.47</v>
      </c>
      <c r="BC48" s="11">
        <v>1335.33</v>
      </c>
      <c r="BD48" s="11">
        <v>2319.44</v>
      </c>
      <c r="BE48" s="11">
        <v>1296.8399999999999</v>
      </c>
      <c r="BF48" s="11">
        <v>3317.27</v>
      </c>
      <c r="BG48" s="11">
        <v>726.63</v>
      </c>
      <c r="BH48" s="11">
        <v>850.61</v>
      </c>
      <c r="BI48" s="11">
        <v>8898.83</v>
      </c>
      <c r="BJ48" s="11">
        <v>516.51</v>
      </c>
      <c r="BK48" s="11">
        <v>414.18</v>
      </c>
      <c r="BL48" s="11">
        <v>2165.21</v>
      </c>
      <c r="BM48" s="11">
        <v>3284.1</v>
      </c>
      <c r="BN48" s="11">
        <v>1029.3900000000001</v>
      </c>
      <c r="BO48" s="11">
        <v>2651.72</v>
      </c>
      <c r="BP48" s="11">
        <v>1314.08</v>
      </c>
      <c r="BQ48" s="11">
        <v>656.53</v>
      </c>
      <c r="BR48" s="11">
        <v>691.18</v>
      </c>
      <c r="BS48" s="11">
        <v>713.03</v>
      </c>
      <c r="BT48" s="11">
        <v>277.61</v>
      </c>
      <c r="BU48" s="11">
        <v>552.36</v>
      </c>
      <c r="BV48" s="11">
        <v>3.17</v>
      </c>
      <c r="BW48" s="5">
        <v>0</v>
      </c>
      <c r="BX48" s="11">
        <v>159087.32</v>
      </c>
      <c r="BY48" s="11">
        <v>325.83999999999997</v>
      </c>
      <c r="BZ48" s="11">
        <v>158732.32999999999</v>
      </c>
      <c r="CA48" s="11">
        <v>29.14</v>
      </c>
      <c r="CB48" s="11">
        <v>29417.52</v>
      </c>
      <c r="CC48" s="11">
        <v>241.61</v>
      </c>
      <c r="CD48" s="11">
        <v>27066.43</v>
      </c>
      <c r="CE48" s="5" t="s">
        <v>102</v>
      </c>
      <c r="CF48" s="11">
        <v>27066.43</v>
      </c>
      <c r="CG48" s="5" t="s">
        <v>102</v>
      </c>
      <c r="CH48" s="5" t="s">
        <v>102</v>
      </c>
      <c r="CI48" s="11">
        <v>29175.9</v>
      </c>
      <c r="CJ48" s="5" t="s">
        <v>102</v>
      </c>
      <c r="CK48" s="5" t="s">
        <v>102</v>
      </c>
      <c r="CL48" s="11">
        <v>409392.89</v>
      </c>
      <c r="CM48" s="11">
        <v>215571.26</v>
      </c>
    </row>
    <row r="49" spans="1:91" x14ac:dyDescent="0.35">
      <c r="A49" s="3" t="s">
        <v>50</v>
      </c>
      <c r="B49" s="10">
        <v>1015163.95</v>
      </c>
      <c r="C49" s="10">
        <v>23700.240000000002</v>
      </c>
      <c r="D49" s="10">
        <v>2273.7600000000002</v>
      </c>
      <c r="E49" s="10">
        <v>596.70000000000005</v>
      </c>
      <c r="F49" s="10">
        <v>2176.65</v>
      </c>
      <c r="G49" s="10">
        <v>98680.11</v>
      </c>
      <c r="H49" s="10">
        <v>15438.12</v>
      </c>
      <c r="I49" s="10">
        <v>11045.84</v>
      </c>
      <c r="J49" s="10">
        <v>11315.02</v>
      </c>
      <c r="K49" s="10">
        <v>2824.64</v>
      </c>
      <c r="L49" s="10">
        <v>12772.36</v>
      </c>
      <c r="M49" s="71">
        <v>33927.71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0">
        <v>15204.91</v>
      </c>
      <c r="W49" s="10">
        <v>17847.169999999998</v>
      </c>
      <c r="X49" s="10">
        <v>14187.62</v>
      </c>
      <c r="Y49" s="10">
        <v>21164.99</v>
      </c>
      <c r="Z49" s="10">
        <v>26413.42</v>
      </c>
      <c r="AA49" s="10">
        <v>19911.830000000002</v>
      </c>
      <c r="AB49" s="10">
        <v>20506.78</v>
      </c>
      <c r="AC49" s="10">
        <v>37329.43</v>
      </c>
      <c r="AD49" s="10">
        <v>41867.160000000003</v>
      </c>
      <c r="AE49" s="4">
        <v>10714</v>
      </c>
      <c r="AF49" s="10">
        <v>18677.34</v>
      </c>
      <c r="AG49" s="10">
        <v>19263.97</v>
      </c>
      <c r="AH49" s="71">
        <v>17544.8</v>
      </c>
      <c r="AI49" s="29"/>
      <c r="AJ49" s="10">
        <v>1040.27</v>
      </c>
      <c r="AK49" s="10">
        <v>8555.59</v>
      </c>
      <c r="AL49" s="10">
        <v>101184.39</v>
      </c>
      <c r="AM49" s="10">
        <v>11553.96</v>
      </c>
      <c r="AN49" s="10">
        <v>94515.51</v>
      </c>
      <c r="AO49" s="10">
        <v>28726.54</v>
      </c>
      <c r="AP49" s="10">
        <v>11046.39</v>
      </c>
      <c r="AQ49" s="10">
        <v>3067.01</v>
      </c>
      <c r="AR49" s="10">
        <v>3084.47</v>
      </c>
      <c r="AS49" s="10">
        <v>8004.48</v>
      </c>
      <c r="AT49" s="10">
        <v>1397.02</v>
      </c>
      <c r="AU49" s="10">
        <v>42692.65</v>
      </c>
      <c r="AV49" s="10">
        <v>8549.7000000000007</v>
      </c>
      <c r="AW49" s="10">
        <v>3209.48</v>
      </c>
      <c r="AX49" s="10">
        <v>7917.9</v>
      </c>
      <c r="AY49" s="10">
        <v>23497.46</v>
      </c>
      <c r="AZ49" s="10">
        <v>1616.23</v>
      </c>
      <c r="BA49" s="10">
        <v>801.6</v>
      </c>
      <c r="BB49" s="10">
        <v>5299.47</v>
      </c>
      <c r="BC49" s="10">
        <v>9210.82</v>
      </c>
      <c r="BD49" s="10">
        <v>11172.41</v>
      </c>
      <c r="BE49" s="10">
        <v>7373.12</v>
      </c>
      <c r="BF49" s="10">
        <v>10628.69</v>
      </c>
      <c r="BG49" s="10">
        <v>3463.4</v>
      </c>
      <c r="BH49" s="10">
        <v>3913.64</v>
      </c>
      <c r="BI49" s="10">
        <v>10553.77</v>
      </c>
      <c r="BJ49" s="10">
        <v>1096.3399999999999</v>
      </c>
      <c r="BK49" s="10">
        <v>1609.6</v>
      </c>
      <c r="BL49" s="10">
        <v>14398.13</v>
      </c>
      <c r="BM49" s="10">
        <v>10833.37</v>
      </c>
      <c r="BN49" s="10">
        <v>6548.16</v>
      </c>
      <c r="BO49" s="10">
        <v>39383.269999999997</v>
      </c>
      <c r="BP49" s="10">
        <v>9661.0300000000007</v>
      </c>
      <c r="BQ49" s="10">
        <v>3996.24</v>
      </c>
      <c r="BR49" s="10">
        <v>3173.36</v>
      </c>
      <c r="BS49" s="10">
        <v>1985.94</v>
      </c>
      <c r="BT49" s="10">
        <v>1661.69</v>
      </c>
      <c r="BU49" s="10">
        <v>3328.64</v>
      </c>
      <c r="BV49" s="10">
        <v>27.7</v>
      </c>
      <c r="BW49" s="4">
        <v>0</v>
      </c>
      <c r="BX49" s="10">
        <v>341345.44</v>
      </c>
      <c r="BY49" s="10">
        <v>17166.41</v>
      </c>
      <c r="BZ49" s="10">
        <v>324091.40000000002</v>
      </c>
      <c r="CA49" s="10">
        <v>87.63</v>
      </c>
      <c r="CB49" s="10">
        <v>113466.05</v>
      </c>
      <c r="CC49" s="10">
        <v>4914.01</v>
      </c>
      <c r="CD49" s="10">
        <v>309608.76</v>
      </c>
      <c r="CE49" s="4" t="s">
        <v>102</v>
      </c>
      <c r="CF49" s="10">
        <v>309608.76</v>
      </c>
      <c r="CG49" s="4" t="s">
        <v>102</v>
      </c>
      <c r="CH49" s="4" t="s">
        <v>102</v>
      </c>
      <c r="CI49" s="10">
        <v>108552.05</v>
      </c>
      <c r="CJ49" s="4" t="s">
        <v>102</v>
      </c>
      <c r="CK49" s="4" t="s">
        <v>102</v>
      </c>
      <c r="CL49" s="10">
        <v>1779584.2</v>
      </c>
      <c r="CM49" s="10">
        <v>764420.25</v>
      </c>
    </row>
    <row r="50" spans="1:91" x14ac:dyDescent="0.35">
      <c r="A50" s="3" t="s">
        <v>51</v>
      </c>
      <c r="B50" s="11">
        <v>250170.21</v>
      </c>
      <c r="C50" s="11">
        <v>8758.9699999999993</v>
      </c>
      <c r="D50" s="11">
        <v>660.95</v>
      </c>
      <c r="E50" s="11">
        <v>387.09</v>
      </c>
      <c r="F50" s="11">
        <v>854.85</v>
      </c>
      <c r="G50" s="11">
        <v>26130.7</v>
      </c>
      <c r="H50" s="11">
        <v>3108.07</v>
      </c>
      <c r="I50" s="11">
        <v>2651.46</v>
      </c>
      <c r="J50" s="11">
        <v>2276.41</v>
      </c>
      <c r="K50" s="11">
        <v>896.73</v>
      </c>
      <c r="L50" s="11">
        <v>2481.6799999999998</v>
      </c>
      <c r="M50" s="71">
        <v>7000.46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1">
        <v>2528.59</v>
      </c>
      <c r="W50" s="11">
        <v>4431.8900000000003</v>
      </c>
      <c r="X50" s="11">
        <v>3206.49</v>
      </c>
      <c r="Y50" s="11">
        <v>3683.71</v>
      </c>
      <c r="Z50" s="11">
        <v>5641.04</v>
      </c>
      <c r="AA50" s="11">
        <v>5437.39</v>
      </c>
      <c r="AB50" s="11">
        <v>5028.6499999999996</v>
      </c>
      <c r="AC50" s="11">
        <v>6476.56</v>
      </c>
      <c r="AD50" s="11">
        <v>10586.59</v>
      </c>
      <c r="AE50" s="11">
        <v>4120.2700000000004</v>
      </c>
      <c r="AF50" s="11">
        <v>4945.6499999999996</v>
      </c>
      <c r="AG50" s="11">
        <v>4072.23</v>
      </c>
      <c r="AH50" s="71">
        <v>4267.3900000000003</v>
      </c>
      <c r="AI50" s="29"/>
      <c r="AJ50" s="11">
        <v>457.88</v>
      </c>
      <c r="AK50" s="11">
        <v>1674.5</v>
      </c>
      <c r="AL50" s="11">
        <v>20583.3</v>
      </c>
      <c r="AM50" s="11">
        <v>2356.81</v>
      </c>
      <c r="AN50" s="11">
        <v>6907.21</v>
      </c>
      <c r="AO50" s="11">
        <v>4207.87</v>
      </c>
      <c r="AP50" s="11">
        <v>4230.66</v>
      </c>
      <c r="AQ50" s="11">
        <v>1243.8800000000001</v>
      </c>
      <c r="AR50" s="11">
        <v>1069.97</v>
      </c>
      <c r="AS50" s="11">
        <v>2118.67</v>
      </c>
      <c r="AT50" s="11">
        <v>721.01</v>
      </c>
      <c r="AU50" s="11">
        <v>16122.74</v>
      </c>
      <c r="AV50" s="11">
        <v>986.74</v>
      </c>
      <c r="AW50" s="11">
        <v>1057.72</v>
      </c>
      <c r="AX50" s="11">
        <v>1957.74</v>
      </c>
      <c r="AY50" s="11">
        <v>2293.11</v>
      </c>
      <c r="AZ50" s="11">
        <v>764.02</v>
      </c>
      <c r="BA50" s="11">
        <v>777.55</v>
      </c>
      <c r="BB50" s="11">
        <v>829.43</v>
      </c>
      <c r="BC50" s="11">
        <v>2846.08</v>
      </c>
      <c r="BD50" s="11">
        <v>1948.6</v>
      </c>
      <c r="BE50" s="11">
        <v>2109.11</v>
      </c>
      <c r="BF50" s="11">
        <v>3085.78</v>
      </c>
      <c r="BG50" s="11">
        <v>1250.8</v>
      </c>
      <c r="BH50" s="11">
        <v>1611.91</v>
      </c>
      <c r="BI50" s="11">
        <v>2019.55</v>
      </c>
      <c r="BJ50" s="11">
        <v>555.25</v>
      </c>
      <c r="BK50" s="11">
        <v>727.48</v>
      </c>
      <c r="BL50" s="11">
        <v>3817.09</v>
      </c>
      <c r="BM50" s="11">
        <v>5095.87</v>
      </c>
      <c r="BN50" s="11">
        <v>2733.32</v>
      </c>
      <c r="BO50" s="11">
        <v>19494.669999999998</v>
      </c>
      <c r="BP50" s="11">
        <v>6844.39</v>
      </c>
      <c r="BQ50" s="11">
        <v>1694.32</v>
      </c>
      <c r="BR50" s="11">
        <v>1023.45</v>
      </c>
      <c r="BS50" s="11">
        <v>978.93</v>
      </c>
      <c r="BT50" s="11">
        <v>630.69000000000005</v>
      </c>
      <c r="BU50" s="11">
        <v>1698.47</v>
      </c>
      <c r="BV50" s="11">
        <v>9.82</v>
      </c>
      <c r="BW50" s="5">
        <v>0</v>
      </c>
      <c r="BX50" s="11">
        <v>778196.37</v>
      </c>
      <c r="BY50" s="11">
        <v>36958.29</v>
      </c>
      <c r="BZ50" s="11">
        <v>741179.99</v>
      </c>
      <c r="CA50" s="11">
        <v>58.1</v>
      </c>
      <c r="CB50" s="11">
        <v>38468.81</v>
      </c>
      <c r="CC50" s="11">
        <v>4672.21</v>
      </c>
      <c r="CD50" s="11">
        <v>43538.12</v>
      </c>
      <c r="CE50" s="5" t="s">
        <v>102</v>
      </c>
      <c r="CF50" s="11">
        <v>43538.12</v>
      </c>
      <c r="CG50" s="5" t="s">
        <v>102</v>
      </c>
      <c r="CH50" s="5" t="s">
        <v>102</v>
      </c>
      <c r="CI50" s="11">
        <v>33796.6</v>
      </c>
      <c r="CJ50" s="5" t="s">
        <v>102</v>
      </c>
      <c r="CK50" s="5" t="s">
        <v>102</v>
      </c>
      <c r="CL50" s="11">
        <v>1110373.51</v>
      </c>
      <c r="CM50" s="11">
        <v>860203.3</v>
      </c>
    </row>
    <row r="51" spans="1:91" x14ac:dyDescent="0.35">
      <c r="A51" s="35" t="s">
        <v>52</v>
      </c>
      <c r="B51" s="42">
        <v>514548.59</v>
      </c>
      <c r="C51" s="42">
        <v>4381.95</v>
      </c>
      <c r="D51" s="42">
        <v>2450.0700000000002</v>
      </c>
      <c r="E51" s="42">
        <v>115.25</v>
      </c>
      <c r="F51" s="42">
        <v>2863.48</v>
      </c>
      <c r="G51" s="42">
        <v>32611.48</v>
      </c>
      <c r="H51" s="42">
        <v>3816.61</v>
      </c>
      <c r="I51" s="42">
        <v>4549.68</v>
      </c>
      <c r="J51" s="42">
        <v>7267.78</v>
      </c>
      <c r="K51" s="42">
        <v>790.81</v>
      </c>
      <c r="L51" s="42">
        <v>13637.68</v>
      </c>
      <c r="M51" s="71">
        <v>13342.490413225552</v>
      </c>
      <c r="N51" s="67">
        <v>187.22183260000003</v>
      </c>
      <c r="O51" s="67">
        <v>21.082958174447175</v>
      </c>
      <c r="P51" s="79">
        <v>88.549859999999995</v>
      </c>
      <c r="Q51" s="67">
        <v>6.3649360000000001</v>
      </c>
      <c r="R51" s="42">
        <v>0</v>
      </c>
      <c r="S51" s="42">
        <v>0</v>
      </c>
      <c r="T51" s="42">
        <v>0</v>
      </c>
      <c r="U51" s="42">
        <v>0</v>
      </c>
      <c r="V51" s="42">
        <v>2654.12</v>
      </c>
      <c r="W51" s="42">
        <v>7256.75</v>
      </c>
      <c r="X51" s="42">
        <v>9900.86</v>
      </c>
      <c r="Y51" s="42">
        <v>12557.4</v>
      </c>
      <c r="Z51" s="42">
        <v>7349.2</v>
      </c>
      <c r="AA51" s="42">
        <v>2402.29</v>
      </c>
      <c r="AB51" s="42">
        <v>4837.3999999999996</v>
      </c>
      <c r="AC51" s="42">
        <v>7692.96</v>
      </c>
      <c r="AD51" s="42">
        <v>13616.37</v>
      </c>
      <c r="AE51" s="42">
        <v>1661.59</v>
      </c>
      <c r="AF51" s="42">
        <v>4785.24</v>
      </c>
      <c r="AG51" s="42">
        <v>3071.27</v>
      </c>
      <c r="AH51" s="71">
        <v>14278.084345503597</v>
      </c>
      <c r="AI51" s="67">
        <v>2.3956544964028783</v>
      </c>
      <c r="AJ51" s="42">
        <v>346.95</v>
      </c>
      <c r="AK51" s="42">
        <v>4478.0600000000004</v>
      </c>
      <c r="AL51" s="42">
        <v>21940.04</v>
      </c>
      <c r="AM51" s="42">
        <v>6627.96</v>
      </c>
      <c r="AN51" s="42">
        <v>65912.02</v>
      </c>
      <c r="AO51" s="42">
        <v>21086.7</v>
      </c>
      <c r="AP51" s="42">
        <v>75958.34</v>
      </c>
      <c r="AQ51" s="42">
        <v>1382.53</v>
      </c>
      <c r="AR51" s="42">
        <v>1111.72</v>
      </c>
      <c r="AS51" s="42">
        <v>55772.74</v>
      </c>
      <c r="AT51" s="42">
        <v>4131.87</v>
      </c>
      <c r="AU51" s="42">
        <v>4468.74</v>
      </c>
      <c r="AV51" s="42">
        <v>1630.59</v>
      </c>
      <c r="AW51" s="42">
        <v>800.79</v>
      </c>
      <c r="AX51" s="42">
        <v>1099.27</v>
      </c>
      <c r="AY51" s="42">
        <v>2884.16</v>
      </c>
      <c r="AZ51" s="42">
        <v>846.84</v>
      </c>
      <c r="BA51" s="42">
        <v>415.38</v>
      </c>
      <c r="BB51" s="42">
        <v>1034.56</v>
      </c>
      <c r="BC51" s="42">
        <v>2925.94</v>
      </c>
      <c r="BD51" s="42">
        <v>3731.52</v>
      </c>
      <c r="BE51" s="42">
        <v>1915.5</v>
      </c>
      <c r="BF51" s="42">
        <v>3507.01</v>
      </c>
      <c r="BG51" s="42">
        <v>1652.58</v>
      </c>
      <c r="BH51" s="42">
        <v>1203.01</v>
      </c>
      <c r="BI51" s="42">
        <v>4369.95</v>
      </c>
      <c r="BJ51" s="42">
        <v>467.01</v>
      </c>
      <c r="BK51" s="42">
        <v>8860.1299999999992</v>
      </c>
      <c r="BL51" s="42">
        <v>3313.4</v>
      </c>
      <c r="BM51" s="42">
        <v>9693.2900000000009</v>
      </c>
      <c r="BN51" s="42">
        <v>11232.34</v>
      </c>
      <c r="BO51" s="42">
        <v>4490.25</v>
      </c>
      <c r="BP51" s="42">
        <v>2193.4899999999998</v>
      </c>
      <c r="BQ51" s="42">
        <v>825.2</v>
      </c>
      <c r="BR51" s="42">
        <v>859.83</v>
      </c>
      <c r="BS51" s="42">
        <v>1765.06</v>
      </c>
      <c r="BT51" s="42">
        <v>699.35</v>
      </c>
      <c r="BU51" s="42">
        <v>702.91</v>
      </c>
      <c r="BV51" s="42">
        <v>15.11</v>
      </c>
      <c r="BW51" s="42">
        <v>0</v>
      </c>
      <c r="BX51" s="42">
        <v>176960.92</v>
      </c>
      <c r="BY51" s="42">
        <v>33848.04</v>
      </c>
      <c r="BZ51" s="42">
        <v>143069.60999999999</v>
      </c>
      <c r="CA51" s="42">
        <v>43.28</v>
      </c>
      <c r="CB51" s="42">
        <v>9812.6</v>
      </c>
      <c r="CC51" s="42">
        <v>283.67</v>
      </c>
      <c r="CD51" s="42">
        <v>95005.39</v>
      </c>
      <c r="CE51" s="42" t="s">
        <v>102</v>
      </c>
      <c r="CF51" s="42">
        <v>95005.39</v>
      </c>
      <c r="CG51" s="42" t="s">
        <v>102</v>
      </c>
      <c r="CH51" s="42" t="s">
        <v>102</v>
      </c>
      <c r="CI51" s="42">
        <v>9528.93</v>
      </c>
      <c r="CJ51" s="42" t="s">
        <v>102</v>
      </c>
      <c r="CK51" s="42" t="s">
        <v>102</v>
      </c>
      <c r="CL51" s="42">
        <v>796327.49</v>
      </c>
      <c r="CM51" s="42">
        <v>281778.90999999997</v>
      </c>
    </row>
    <row r="52" spans="1:91" x14ac:dyDescent="0.35">
      <c r="A52" s="3" t="s">
        <v>53</v>
      </c>
      <c r="B52" s="11">
        <v>63393.03</v>
      </c>
      <c r="C52" s="11">
        <v>182.95</v>
      </c>
      <c r="D52" s="11">
        <v>208.83</v>
      </c>
      <c r="E52" s="11">
        <v>49.17</v>
      </c>
      <c r="F52" s="11">
        <v>287.79000000000002</v>
      </c>
      <c r="G52" s="11">
        <v>2129.46</v>
      </c>
      <c r="H52" s="11">
        <v>217.56</v>
      </c>
      <c r="I52" s="11">
        <v>345.94</v>
      </c>
      <c r="J52" s="11">
        <v>687.24</v>
      </c>
      <c r="K52" s="11">
        <v>37.880000000000003</v>
      </c>
      <c r="L52" s="11">
        <v>2056.44</v>
      </c>
      <c r="M52" s="71">
        <v>1576.67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1">
        <v>527.96</v>
      </c>
      <c r="W52" s="11">
        <v>466.85</v>
      </c>
      <c r="X52" s="11">
        <v>553.12</v>
      </c>
      <c r="Y52" s="11">
        <v>1438.3</v>
      </c>
      <c r="Z52" s="11">
        <v>625.95000000000005</v>
      </c>
      <c r="AA52" s="11">
        <v>636.59</v>
      </c>
      <c r="AB52" s="11">
        <v>693.04</v>
      </c>
      <c r="AC52" s="11">
        <v>983.44</v>
      </c>
      <c r="AD52" s="11">
        <v>1265.95</v>
      </c>
      <c r="AE52" s="11">
        <v>153.27000000000001</v>
      </c>
      <c r="AF52" s="11">
        <v>287.18</v>
      </c>
      <c r="AG52" s="11">
        <v>327.97</v>
      </c>
      <c r="AH52" s="71">
        <v>610.27</v>
      </c>
      <c r="AI52" s="29"/>
      <c r="AJ52" s="11">
        <v>20.05</v>
      </c>
      <c r="AK52" s="11">
        <v>288.3</v>
      </c>
      <c r="AL52" s="11">
        <v>1000.13</v>
      </c>
      <c r="AM52" s="11">
        <v>433.41</v>
      </c>
      <c r="AN52" s="11">
        <v>6235.36</v>
      </c>
      <c r="AO52" s="11">
        <v>540.44000000000005</v>
      </c>
      <c r="AP52" s="11">
        <v>3577.12</v>
      </c>
      <c r="AQ52" s="11">
        <v>21957.74</v>
      </c>
      <c r="AR52" s="11">
        <v>230.26</v>
      </c>
      <c r="AS52" s="11">
        <v>6170.35</v>
      </c>
      <c r="AT52" s="11">
        <v>141.06</v>
      </c>
      <c r="AU52" s="11">
        <v>315.14999999999998</v>
      </c>
      <c r="AV52" s="11">
        <v>110.68</v>
      </c>
      <c r="AW52" s="11">
        <v>36.340000000000003</v>
      </c>
      <c r="AX52" s="11">
        <v>143.47</v>
      </c>
      <c r="AY52" s="11">
        <v>327.81</v>
      </c>
      <c r="AZ52" s="11">
        <v>35.81</v>
      </c>
      <c r="BA52" s="11">
        <v>12.37</v>
      </c>
      <c r="BB52" s="11">
        <v>34.39</v>
      </c>
      <c r="BC52" s="11">
        <v>239.78</v>
      </c>
      <c r="BD52" s="11">
        <v>322.77</v>
      </c>
      <c r="BE52" s="11">
        <v>110.92</v>
      </c>
      <c r="BF52" s="11">
        <v>260.5</v>
      </c>
      <c r="BG52" s="11">
        <v>73.2</v>
      </c>
      <c r="BH52" s="11">
        <v>74.28</v>
      </c>
      <c r="BI52" s="11">
        <v>571.57000000000005</v>
      </c>
      <c r="BJ52" s="11">
        <v>73.64</v>
      </c>
      <c r="BK52" s="11">
        <v>2315.85</v>
      </c>
      <c r="BL52" s="11">
        <v>256.63</v>
      </c>
      <c r="BM52" s="11">
        <v>356.25</v>
      </c>
      <c r="BN52" s="11">
        <v>139.79</v>
      </c>
      <c r="BO52" s="11">
        <v>370.14</v>
      </c>
      <c r="BP52" s="11">
        <v>117.8</v>
      </c>
      <c r="BQ52" s="11">
        <v>39.270000000000003</v>
      </c>
      <c r="BR52" s="11">
        <v>32.270000000000003</v>
      </c>
      <c r="BS52" s="11">
        <v>29.19</v>
      </c>
      <c r="BT52" s="11">
        <v>20.91</v>
      </c>
      <c r="BU52" s="11">
        <v>23.81</v>
      </c>
      <c r="BV52" s="11">
        <v>4.45</v>
      </c>
      <c r="BW52" s="5">
        <v>0</v>
      </c>
      <c r="BX52" s="11">
        <v>18653.810000000001</v>
      </c>
      <c r="BY52" s="11">
        <v>625.69000000000005</v>
      </c>
      <c r="BZ52" s="11">
        <v>18027.64</v>
      </c>
      <c r="CA52" s="11">
        <v>0.48</v>
      </c>
      <c r="CB52" s="11">
        <v>-2941.77</v>
      </c>
      <c r="CC52" s="11">
        <v>-4868.67</v>
      </c>
      <c r="CD52" s="11">
        <v>149558.53</v>
      </c>
      <c r="CE52" s="5" t="s">
        <v>102</v>
      </c>
      <c r="CF52" s="11">
        <v>149558.53</v>
      </c>
      <c r="CG52" s="5" t="s">
        <v>102</v>
      </c>
      <c r="CH52" s="5" t="s">
        <v>102</v>
      </c>
      <c r="CI52" s="11">
        <v>1926.9</v>
      </c>
      <c r="CJ52" s="5" t="s">
        <v>102</v>
      </c>
      <c r="CK52" s="5" t="s">
        <v>102</v>
      </c>
      <c r="CL52" s="11">
        <v>228663.6</v>
      </c>
      <c r="CM52" s="11">
        <v>165270.57</v>
      </c>
    </row>
    <row r="53" spans="1:91" x14ac:dyDescent="0.35">
      <c r="A53" s="3" t="s">
        <v>54</v>
      </c>
      <c r="B53" s="10">
        <v>60809.03</v>
      </c>
      <c r="C53" s="10">
        <v>175.75</v>
      </c>
      <c r="D53" s="10">
        <v>29.97</v>
      </c>
      <c r="E53" s="10">
        <v>57.66</v>
      </c>
      <c r="F53" s="10">
        <v>64.069999999999993</v>
      </c>
      <c r="G53" s="10">
        <v>1066.47</v>
      </c>
      <c r="H53" s="10">
        <v>195.36</v>
      </c>
      <c r="I53" s="10">
        <v>80.53</v>
      </c>
      <c r="J53" s="10">
        <v>141.63999999999999</v>
      </c>
      <c r="K53" s="10">
        <v>82.98</v>
      </c>
      <c r="L53" s="10">
        <v>195.11</v>
      </c>
      <c r="M53" s="71">
        <v>784.55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0">
        <v>452.38</v>
      </c>
      <c r="W53" s="10">
        <v>297.23</v>
      </c>
      <c r="X53" s="10">
        <v>224.67</v>
      </c>
      <c r="Y53" s="10">
        <v>250.11</v>
      </c>
      <c r="Z53" s="10">
        <v>735.59</v>
      </c>
      <c r="AA53" s="10">
        <v>1914.31</v>
      </c>
      <c r="AB53" s="10">
        <v>1074.43</v>
      </c>
      <c r="AC53" s="10">
        <v>2174.29</v>
      </c>
      <c r="AD53" s="10">
        <v>1586.32</v>
      </c>
      <c r="AE53" s="10">
        <v>594.02</v>
      </c>
      <c r="AF53" s="10">
        <v>445.06</v>
      </c>
      <c r="AG53" s="10">
        <v>818.19</v>
      </c>
      <c r="AH53" s="71">
        <v>378.98</v>
      </c>
      <c r="AI53" s="29"/>
      <c r="AJ53" s="10">
        <v>21.06</v>
      </c>
      <c r="AK53" s="10">
        <v>155.51</v>
      </c>
      <c r="AL53" s="10">
        <v>954.52</v>
      </c>
      <c r="AM53" s="10">
        <v>317.25</v>
      </c>
      <c r="AN53" s="10">
        <v>2073.4499999999998</v>
      </c>
      <c r="AO53" s="10">
        <v>1063.96</v>
      </c>
      <c r="AP53" s="10">
        <v>531.48</v>
      </c>
      <c r="AQ53" s="10">
        <v>369.4</v>
      </c>
      <c r="AR53" s="10">
        <v>11268.68</v>
      </c>
      <c r="AS53" s="10">
        <v>2441.61</v>
      </c>
      <c r="AT53" s="10">
        <v>2156.0700000000002</v>
      </c>
      <c r="AU53" s="10">
        <v>516.63</v>
      </c>
      <c r="AV53" s="10">
        <v>194.68</v>
      </c>
      <c r="AW53" s="10">
        <v>296.23</v>
      </c>
      <c r="AX53" s="10">
        <v>258.43</v>
      </c>
      <c r="AY53" s="10">
        <v>924.74</v>
      </c>
      <c r="AZ53" s="10">
        <v>1210.5</v>
      </c>
      <c r="BA53" s="10">
        <v>778.53</v>
      </c>
      <c r="BB53" s="10">
        <v>1561.06</v>
      </c>
      <c r="BC53" s="10">
        <v>297.36</v>
      </c>
      <c r="BD53" s="10">
        <v>1579.98</v>
      </c>
      <c r="BE53" s="10">
        <v>681.58</v>
      </c>
      <c r="BF53" s="10">
        <v>984.92</v>
      </c>
      <c r="BG53" s="10">
        <v>280.94</v>
      </c>
      <c r="BH53" s="10">
        <v>248.59</v>
      </c>
      <c r="BI53" s="10">
        <v>690.54</v>
      </c>
      <c r="BJ53" s="10">
        <v>134.19</v>
      </c>
      <c r="BK53" s="10">
        <v>9855.99</v>
      </c>
      <c r="BL53" s="10">
        <v>564.87</v>
      </c>
      <c r="BM53" s="10">
        <v>1734.3</v>
      </c>
      <c r="BN53" s="10">
        <v>620.84</v>
      </c>
      <c r="BO53" s="10">
        <v>681.81</v>
      </c>
      <c r="BP53" s="10">
        <v>286.99</v>
      </c>
      <c r="BQ53" s="10">
        <v>329.7</v>
      </c>
      <c r="BR53" s="10">
        <v>217.56</v>
      </c>
      <c r="BS53" s="10">
        <v>519.57000000000005</v>
      </c>
      <c r="BT53" s="10">
        <v>40.53</v>
      </c>
      <c r="BU53" s="10">
        <v>142.49</v>
      </c>
      <c r="BV53" s="10">
        <v>2.88</v>
      </c>
      <c r="BW53" s="4">
        <v>0</v>
      </c>
      <c r="BX53" s="10">
        <v>35212.129999999997</v>
      </c>
      <c r="BY53" s="10">
        <v>1520.32</v>
      </c>
      <c r="BZ53" s="10">
        <v>33691.21</v>
      </c>
      <c r="CA53" s="10">
        <v>0.61</v>
      </c>
      <c r="CB53" s="10">
        <v>1478.98</v>
      </c>
      <c r="CC53" s="10">
        <v>81.83</v>
      </c>
      <c r="CD53" s="10">
        <v>57932.19</v>
      </c>
      <c r="CE53" s="4" t="s">
        <v>102</v>
      </c>
      <c r="CF53" s="10">
        <v>57932.19</v>
      </c>
      <c r="CG53" s="4" t="s">
        <v>102</v>
      </c>
      <c r="CH53" s="4" t="s">
        <v>102</v>
      </c>
      <c r="CI53" s="10">
        <v>1397.15</v>
      </c>
      <c r="CJ53" s="4" t="s">
        <v>102</v>
      </c>
      <c r="CK53" s="4" t="s">
        <v>102</v>
      </c>
      <c r="CL53" s="10">
        <v>155432.32999999999</v>
      </c>
      <c r="CM53" s="10">
        <v>94623.3</v>
      </c>
    </row>
    <row r="54" spans="1:91" x14ac:dyDescent="0.35">
      <c r="A54" s="3" t="s">
        <v>55</v>
      </c>
      <c r="B54" s="11">
        <v>546811.76</v>
      </c>
      <c r="C54" s="11">
        <v>1158.6600000000001</v>
      </c>
      <c r="D54" s="11">
        <v>273.07</v>
      </c>
      <c r="E54" s="11">
        <v>212.3</v>
      </c>
      <c r="F54" s="11">
        <v>1708.36</v>
      </c>
      <c r="G54" s="11">
        <v>23897.83</v>
      </c>
      <c r="H54" s="11">
        <v>2632.81</v>
      </c>
      <c r="I54" s="11">
        <v>1814.8</v>
      </c>
      <c r="J54" s="11">
        <v>4138.22</v>
      </c>
      <c r="K54" s="11">
        <v>473.87</v>
      </c>
      <c r="L54" s="11">
        <v>7186.33</v>
      </c>
      <c r="M54" s="71">
        <v>7867.56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1">
        <v>1670.88</v>
      </c>
      <c r="W54" s="11">
        <v>3480.46</v>
      </c>
      <c r="X54" s="11">
        <v>4624.3</v>
      </c>
      <c r="Y54" s="11">
        <v>4657.8999999999996</v>
      </c>
      <c r="Z54" s="11">
        <v>4196.3599999999997</v>
      </c>
      <c r="AA54" s="11">
        <v>1894.31</v>
      </c>
      <c r="AB54" s="11">
        <v>2757.83</v>
      </c>
      <c r="AC54" s="11">
        <v>6999.84</v>
      </c>
      <c r="AD54" s="11">
        <v>9175.89</v>
      </c>
      <c r="AE54" s="11">
        <v>1415.74</v>
      </c>
      <c r="AF54" s="11">
        <v>2466.83</v>
      </c>
      <c r="AG54" s="11">
        <v>2493.7199999999998</v>
      </c>
      <c r="AH54" s="71">
        <v>7874.56</v>
      </c>
      <c r="AI54" s="29"/>
      <c r="AJ54" s="11">
        <v>156.05000000000001</v>
      </c>
      <c r="AK54" s="11">
        <v>2664.39</v>
      </c>
      <c r="AL54" s="11">
        <v>9661.14</v>
      </c>
      <c r="AM54" s="11">
        <v>5839.43</v>
      </c>
      <c r="AN54" s="11">
        <v>82793.47</v>
      </c>
      <c r="AO54" s="11">
        <v>21135.31</v>
      </c>
      <c r="AP54" s="11">
        <v>80881.100000000006</v>
      </c>
      <c r="AQ54" s="11">
        <v>32599.98</v>
      </c>
      <c r="AR54" s="11">
        <v>13822.02</v>
      </c>
      <c r="AS54" s="11">
        <v>134975.39000000001</v>
      </c>
      <c r="AT54" s="11">
        <v>17037.82</v>
      </c>
      <c r="AU54" s="11">
        <v>2409.98</v>
      </c>
      <c r="AV54" s="11">
        <v>1620.85</v>
      </c>
      <c r="AW54" s="11">
        <v>275.98</v>
      </c>
      <c r="AX54" s="11">
        <v>1594.88</v>
      </c>
      <c r="AY54" s="11">
        <v>2918.85</v>
      </c>
      <c r="AZ54" s="11">
        <v>275.97000000000003</v>
      </c>
      <c r="BA54" s="11">
        <v>180.68</v>
      </c>
      <c r="BB54" s="11">
        <v>746.74</v>
      </c>
      <c r="BC54" s="11">
        <v>3134.01</v>
      </c>
      <c r="BD54" s="11">
        <v>4860.1400000000003</v>
      </c>
      <c r="BE54" s="11">
        <v>1265.44</v>
      </c>
      <c r="BF54" s="11">
        <v>1949.51</v>
      </c>
      <c r="BG54" s="11">
        <v>1327.35</v>
      </c>
      <c r="BH54" s="11">
        <v>1208.75</v>
      </c>
      <c r="BI54" s="11">
        <v>5580.38</v>
      </c>
      <c r="BJ54" s="11">
        <v>389.53</v>
      </c>
      <c r="BK54" s="11">
        <v>792.53</v>
      </c>
      <c r="BL54" s="11">
        <v>2941.91</v>
      </c>
      <c r="BM54" s="11">
        <v>3233.73</v>
      </c>
      <c r="BN54" s="11">
        <v>452.05</v>
      </c>
      <c r="BO54" s="11">
        <v>721.78</v>
      </c>
      <c r="BP54" s="11">
        <v>225.04</v>
      </c>
      <c r="BQ54" s="11">
        <v>399.81</v>
      </c>
      <c r="BR54" s="11">
        <v>381.67</v>
      </c>
      <c r="BS54" s="11">
        <v>163.5</v>
      </c>
      <c r="BT54" s="11">
        <v>688.17</v>
      </c>
      <c r="BU54" s="11">
        <v>428.51</v>
      </c>
      <c r="BV54" s="11">
        <v>5.51</v>
      </c>
      <c r="BW54" s="5">
        <v>0</v>
      </c>
      <c r="BX54" s="11">
        <v>97732.33</v>
      </c>
      <c r="BY54" s="11">
        <v>66229.22</v>
      </c>
      <c r="BZ54" s="11">
        <v>31469.73</v>
      </c>
      <c r="CA54" s="11">
        <v>33.380000000000003</v>
      </c>
      <c r="CB54" s="11">
        <v>360.45</v>
      </c>
      <c r="CC54" s="11">
        <v>15.43</v>
      </c>
      <c r="CD54" s="11">
        <v>63714.32</v>
      </c>
      <c r="CE54" s="5" t="s">
        <v>102</v>
      </c>
      <c r="CF54" s="11">
        <v>63714.32</v>
      </c>
      <c r="CG54" s="5" t="s">
        <v>102</v>
      </c>
      <c r="CH54" s="5" t="s">
        <v>102</v>
      </c>
      <c r="CI54" s="11">
        <v>345.03</v>
      </c>
      <c r="CJ54" s="5" t="s">
        <v>102</v>
      </c>
      <c r="CK54" s="5" t="s">
        <v>102</v>
      </c>
      <c r="CL54" s="11">
        <v>708618.86</v>
      </c>
      <c r="CM54" s="11">
        <v>161807.1</v>
      </c>
    </row>
    <row r="55" spans="1:91" x14ac:dyDescent="0.35">
      <c r="A55" s="3" t="s">
        <v>56</v>
      </c>
      <c r="B55" s="10">
        <v>121787.92</v>
      </c>
      <c r="C55" s="10">
        <v>169.51</v>
      </c>
      <c r="D55" s="10">
        <v>40.619999999999997</v>
      </c>
      <c r="E55" s="10">
        <v>4.47</v>
      </c>
      <c r="F55" s="10">
        <v>103.15</v>
      </c>
      <c r="G55" s="10">
        <v>1243.29</v>
      </c>
      <c r="H55" s="10">
        <v>389.86</v>
      </c>
      <c r="I55" s="10">
        <v>120.56</v>
      </c>
      <c r="J55" s="10">
        <v>232.47</v>
      </c>
      <c r="K55" s="10">
        <v>324.63</v>
      </c>
      <c r="L55" s="10">
        <v>415.61</v>
      </c>
      <c r="M55" s="71">
        <v>2362.41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0">
        <v>926.14</v>
      </c>
      <c r="W55" s="10">
        <v>587.9</v>
      </c>
      <c r="X55" s="10">
        <v>258.58999999999997</v>
      </c>
      <c r="Y55" s="10">
        <v>317.61</v>
      </c>
      <c r="Z55" s="10">
        <v>993.6</v>
      </c>
      <c r="AA55" s="10">
        <v>1347.82</v>
      </c>
      <c r="AB55" s="10">
        <v>1573.45</v>
      </c>
      <c r="AC55" s="10">
        <v>2770.11</v>
      </c>
      <c r="AD55" s="10">
        <v>1749.26</v>
      </c>
      <c r="AE55" s="10">
        <v>161.31</v>
      </c>
      <c r="AF55" s="10">
        <v>909.65</v>
      </c>
      <c r="AG55" s="10">
        <v>772.6</v>
      </c>
      <c r="AH55" s="71">
        <v>1489.68</v>
      </c>
      <c r="AI55" s="29"/>
      <c r="AJ55" s="10">
        <v>325.56</v>
      </c>
      <c r="AK55" s="10">
        <v>934.93</v>
      </c>
      <c r="AL55" s="10">
        <v>2001.43</v>
      </c>
      <c r="AM55" s="10">
        <v>1439.77</v>
      </c>
      <c r="AN55" s="10">
        <v>11704.4</v>
      </c>
      <c r="AO55" s="10">
        <v>17530.189999999999</v>
      </c>
      <c r="AP55" s="10">
        <v>3747.87</v>
      </c>
      <c r="AQ55" s="10">
        <v>264.27</v>
      </c>
      <c r="AR55" s="10">
        <v>401.3</v>
      </c>
      <c r="AS55" s="10">
        <v>3622.35</v>
      </c>
      <c r="AT55" s="10">
        <v>14468.63</v>
      </c>
      <c r="AU55" s="10">
        <v>3094.57</v>
      </c>
      <c r="AV55" s="10">
        <v>1377.19</v>
      </c>
      <c r="AW55" s="10">
        <v>438.44</v>
      </c>
      <c r="AX55" s="10">
        <v>4354.16</v>
      </c>
      <c r="AY55" s="10">
        <v>2533.98</v>
      </c>
      <c r="AZ55" s="10">
        <v>2477.7800000000002</v>
      </c>
      <c r="BA55" s="10">
        <v>1156.1400000000001</v>
      </c>
      <c r="BB55" s="10">
        <v>1723.6</v>
      </c>
      <c r="BC55" s="10">
        <v>1469.49</v>
      </c>
      <c r="BD55" s="10">
        <v>4355.66</v>
      </c>
      <c r="BE55" s="10">
        <v>929.23</v>
      </c>
      <c r="BF55" s="10">
        <v>1166.6600000000001</v>
      </c>
      <c r="BG55" s="10">
        <v>814.1</v>
      </c>
      <c r="BH55" s="10">
        <v>818.71</v>
      </c>
      <c r="BI55" s="10">
        <v>1357.47</v>
      </c>
      <c r="BJ55" s="10">
        <v>1421.37</v>
      </c>
      <c r="BK55" s="10">
        <v>299.63</v>
      </c>
      <c r="BL55" s="10">
        <v>2301.2199999999998</v>
      </c>
      <c r="BM55" s="10">
        <v>7234.56</v>
      </c>
      <c r="BN55" s="10">
        <v>1005.33</v>
      </c>
      <c r="BO55" s="10">
        <v>1489.18</v>
      </c>
      <c r="BP55" s="4">
        <v>1344</v>
      </c>
      <c r="BQ55" s="10">
        <v>969.33</v>
      </c>
      <c r="BR55" s="10">
        <v>461.45</v>
      </c>
      <c r="BS55" s="10">
        <v>816.6</v>
      </c>
      <c r="BT55" s="10">
        <v>192.41</v>
      </c>
      <c r="BU55" s="10">
        <v>473.67</v>
      </c>
      <c r="BV55" s="10">
        <v>7.02</v>
      </c>
      <c r="BW55" s="4">
        <v>0</v>
      </c>
      <c r="BX55" s="10">
        <v>9783.82</v>
      </c>
      <c r="BY55" s="10">
        <v>26.17</v>
      </c>
      <c r="BZ55" s="10">
        <v>9757.43</v>
      </c>
      <c r="CA55" s="10">
        <v>0.23</v>
      </c>
      <c r="CB55" s="10">
        <v>-2.12</v>
      </c>
      <c r="CC55" s="10">
        <v>-2.12</v>
      </c>
      <c r="CD55" s="10">
        <v>18453.62</v>
      </c>
      <c r="CE55" s="4" t="s">
        <v>102</v>
      </c>
      <c r="CF55" s="10">
        <v>18453.62</v>
      </c>
      <c r="CG55" s="4" t="s">
        <v>102</v>
      </c>
      <c r="CH55" s="4" t="s">
        <v>102</v>
      </c>
      <c r="CI55" s="4">
        <v>0</v>
      </c>
      <c r="CJ55" s="4" t="s">
        <v>102</v>
      </c>
      <c r="CK55" s="4" t="s">
        <v>102</v>
      </c>
      <c r="CL55" s="10">
        <v>150023.24</v>
      </c>
      <c r="CM55" s="10">
        <v>28235.32</v>
      </c>
    </row>
    <row r="56" spans="1:91" x14ac:dyDescent="0.35">
      <c r="A56" s="3" t="s">
        <v>57</v>
      </c>
      <c r="B56" s="11">
        <v>191786.4</v>
      </c>
      <c r="C56" s="11">
        <v>537.19000000000005</v>
      </c>
      <c r="D56" s="11">
        <v>75.86</v>
      </c>
      <c r="E56" s="11">
        <v>43.98</v>
      </c>
      <c r="F56" s="11">
        <v>354.68</v>
      </c>
      <c r="G56" s="11">
        <v>2844.25</v>
      </c>
      <c r="H56" s="11">
        <v>889.96</v>
      </c>
      <c r="I56" s="11">
        <v>707.41</v>
      </c>
      <c r="J56" s="11">
        <v>466.42</v>
      </c>
      <c r="K56" s="11">
        <v>223.7</v>
      </c>
      <c r="L56" s="11">
        <v>891.65</v>
      </c>
      <c r="M56" s="71">
        <v>1670.96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1">
        <v>1055.3900000000001</v>
      </c>
      <c r="W56" s="11">
        <v>742.56</v>
      </c>
      <c r="X56" s="11">
        <v>674.61</v>
      </c>
      <c r="Y56" s="11">
        <v>836.82</v>
      </c>
      <c r="Z56" s="11">
        <v>1997.88</v>
      </c>
      <c r="AA56" s="11">
        <v>937.58</v>
      </c>
      <c r="AB56" s="11">
        <v>1041.06</v>
      </c>
      <c r="AC56" s="11">
        <v>2389.35</v>
      </c>
      <c r="AD56" s="11">
        <v>1239.07</v>
      </c>
      <c r="AE56" s="11">
        <v>670.31</v>
      </c>
      <c r="AF56" s="11">
        <v>1072.72</v>
      </c>
      <c r="AG56" s="11">
        <v>2048.91</v>
      </c>
      <c r="AH56" s="71">
        <v>2429.85</v>
      </c>
      <c r="AI56" s="29"/>
      <c r="AJ56" s="11">
        <v>338.06</v>
      </c>
      <c r="AK56" s="11">
        <v>1093.1600000000001</v>
      </c>
      <c r="AL56" s="11">
        <v>14270.93</v>
      </c>
      <c r="AM56" s="11">
        <v>1857.03</v>
      </c>
      <c r="AN56" s="11">
        <v>12435.04</v>
      </c>
      <c r="AO56" s="5">
        <v>4868</v>
      </c>
      <c r="AP56" s="11">
        <v>7989.01</v>
      </c>
      <c r="AQ56" s="11">
        <v>764.46</v>
      </c>
      <c r="AR56" s="11">
        <v>4207.16</v>
      </c>
      <c r="AS56" s="11">
        <v>7680.23</v>
      </c>
      <c r="AT56" s="11">
        <v>445.5</v>
      </c>
      <c r="AU56" s="11">
        <v>9015.1200000000008</v>
      </c>
      <c r="AV56" s="11">
        <v>1109.56</v>
      </c>
      <c r="AW56" s="11">
        <v>2501.16</v>
      </c>
      <c r="AX56" s="11">
        <v>1988.84</v>
      </c>
      <c r="AY56" s="11">
        <v>5738.45</v>
      </c>
      <c r="AZ56" s="11">
        <v>2682.19</v>
      </c>
      <c r="BA56" s="11">
        <v>1088.45</v>
      </c>
      <c r="BB56" s="11">
        <v>3591.35</v>
      </c>
      <c r="BC56" s="11">
        <v>2033.04</v>
      </c>
      <c r="BD56" s="11">
        <v>8151.13</v>
      </c>
      <c r="BE56" s="11">
        <v>2563.85</v>
      </c>
      <c r="BF56" s="11">
        <v>1695.81</v>
      </c>
      <c r="BG56" s="11">
        <v>1298.1400000000001</v>
      </c>
      <c r="BH56" s="11">
        <v>1292.6600000000001</v>
      </c>
      <c r="BI56" s="11">
        <v>2095.46</v>
      </c>
      <c r="BJ56" s="11">
        <v>1277.9000000000001</v>
      </c>
      <c r="BK56" s="11">
        <v>18908.79</v>
      </c>
      <c r="BL56" s="11">
        <v>6092.45</v>
      </c>
      <c r="BM56" s="11">
        <v>7554.76</v>
      </c>
      <c r="BN56" s="11">
        <v>5684.03</v>
      </c>
      <c r="BO56" s="11">
        <v>6583.34</v>
      </c>
      <c r="BP56" s="11">
        <v>6753.07</v>
      </c>
      <c r="BQ56" s="11">
        <v>2074.81</v>
      </c>
      <c r="BR56" s="11">
        <v>2858.2</v>
      </c>
      <c r="BS56" s="11">
        <v>3420.66</v>
      </c>
      <c r="BT56" s="11">
        <v>321.39999999999998</v>
      </c>
      <c r="BU56" s="11">
        <v>1608.34</v>
      </c>
      <c r="BV56" s="11">
        <v>12.72</v>
      </c>
      <c r="BW56" s="5">
        <v>0</v>
      </c>
      <c r="BX56" s="11">
        <v>714173.68</v>
      </c>
      <c r="BY56" s="11">
        <v>4105.4399999999996</v>
      </c>
      <c r="BZ56" s="11">
        <v>707935.57</v>
      </c>
      <c r="CA56" s="11">
        <v>2132.67</v>
      </c>
      <c r="CB56" s="11">
        <v>-201.21</v>
      </c>
      <c r="CC56" s="11">
        <v>-263.32</v>
      </c>
      <c r="CD56" s="11">
        <v>6079.26</v>
      </c>
      <c r="CE56" s="5" t="s">
        <v>102</v>
      </c>
      <c r="CF56" s="11">
        <v>6079.26</v>
      </c>
      <c r="CG56" s="5" t="s">
        <v>102</v>
      </c>
      <c r="CH56" s="5" t="s">
        <v>102</v>
      </c>
      <c r="CI56" s="11">
        <v>62.11</v>
      </c>
      <c r="CJ56" s="5" t="s">
        <v>102</v>
      </c>
      <c r="CK56" s="5" t="s">
        <v>102</v>
      </c>
      <c r="CL56" s="11">
        <v>911838.13</v>
      </c>
      <c r="CM56" s="11">
        <v>720051.73</v>
      </c>
    </row>
    <row r="57" spans="1:91" x14ac:dyDescent="0.35">
      <c r="A57" s="3" t="s">
        <v>58</v>
      </c>
      <c r="B57" s="10">
        <v>88165.18</v>
      </c>
      <c r="C57" s="10">
        <v>244.51</v>
      </c>
      <c r="D57" s="10">
        <v>35.409999999999997</v>
      </c>
      <c r="E57" s="10">
        <v>2.96</v>
      </c>
      <c r="F57" s="10">
        <v>226.59</v>
      </c>
      <c r="G57" s="10">
        <v>1249.8399999999999</v>
      </c>
      <c r="H57" s="10">
        <v>185.94</v>
      </c>
      <c r="I57" s="10">
        <v>98.02</v>
      </c>
      <c r="J57" s="10">
        <v>377.71</v>
      </c>
      <c r="K57" s="10">
        <v>367.48</v>
      </c>
      <c r="L57" s="10">
        <v>298.47000000000003</v>
      </c>
      <c r="M57" s="71">
        <v>724.78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0">
        <v>443.98</v>
      </c>
      <c r="W57" s="10">
        <v>273.66000000000003</v>
      </c>
      <c r="X57" s="10">
        <v>190.11</v>
      </c>
      <c r="Y57" s="10">
        <v>279.93</v>
      </c>
      <c r="Z57" s="10">
        <v>488.26</v>
      </c>
      <c r="AA57" s="10">
        <v>463.99</v>
      </c>
      <c r="AB57" s="10">
        <v>547.6</v>
      </c>
      <c r="AC57" s="10">
        <v>642.94000000000005</v>
      </c>
      <c r="AD57" s="10">
        <v>808.49</v>
      </c>
      <c r="AE57" s="10">
        <v>226.87</v>
      </c>
      <c r="AF57" s="10">
        <v>311.76</v>
      </c>
      <c r="AG57" s="10">
        <v>299.56</v>
      </c>
      <c r="AH57" s="71">
        <v>543.80999999999995</v>
      </c>
      <c r="AI57" s="29"/>
      <c r="AJ57" s="10">
        <v>74.94</v>
      </c>
      <c r="AK57" s="10">
        <v>683.99</v>
      </c>
      <c r="AL57" s="10">
        <v>1234.06</v>
      </c>
      <c r="AM57" s="10">
        <v>654.37</v>
      </c>
      <c r="AN57" s="10">
        <v>4792.1400000000003</v>
      </c>
      <c r="AO57" s="10">
        <v>3324.02</v>
      </c>
      <c r="AP57" s="10">
        <v>706.13</v>
      </c>
      <c r="AQ57" s="10">
        <v>123.6</v>
      </c>
      <c r="AR57" s="10">
        <v>185.1</v>
      </c>
      <c r="AS57" s="10">
        <v>659.22</v>
      </c>
      <c r="AT57" s="10">
        <v>300.01</v>
      </c>
      <c r="AU57" s="4">
        <v>1380</v>
      </c>
      <c r="AV57" s="10">
        <v>5929.65</v>
      </c>
      <c r="AW57" s="10">
        <v>831.9</v>
      </c>
      <c r="AX57" s="10">
        <v>1228.04</v>
      </c>
      <c r="AY57" s="4">
        <v>6494</v>
      </c>
      <c r="AZ57" s="10">
        <v>3288.79</v>
      </c>
      <c r="BA57" s="10">
        <v>1281.3699999999999</v>
      </c>
      <c r="BB57" s="10">
        <v>2847.05</v>
      </c>
      <c r="BC57" s="10">
        <v>1004.82</v>
      </c>
      <c r="BD57" s="10">
        <v>4267.74</v>
      </c>
      <c r="BE57" s="10">
        <v>2372.9</v>
      </c>
      <c r="BF57" s="10">
        <v>1690.29</v>
      </c>
      <c r="BG57" s="10">
        <v>4858.54</v>
      </c>
      <c r="BH57" s="10">
        <v>1113.6099999999999</v>
      </c>
      <c r="BI57" s="10">
        <v>1688.85</v>
      </c>
      <c r="BJ57" s="10">
        <v>678.3</v>
      </c>
      <c r="BK57" s="10">
        <v>481.78</v>
      </c>
      <c r="BL57" s="10">
        <v>3095.15</v>
      </c>
      <c r="BM57" s="10">
        <v>5576.92</v>
      </c>
      <c r="BN57" s="10">
        <v>5947.07</v>
      </c>
      <c r="BO57" s="10">
        <v>2668.91</v>
      </c>
      <c r="BP57" s="10">
        <v>1749.85</v>
      </c>
      <c r="BQ57" s="10">
        <v>2509.2800000000002</v>
      </c>
      <c r="BR57" s="10">
        <v>1055.02</v>
      </c>
      <c r="BS57" s="10">
        <v>1643.01</v>
      </c>
      <c r="BT57" s="10">
        <v>91.54</v>
      </c>
      <c r="BU57" s="10">
        <v>315.7</v>
      </c>
      <c r="BV57" s="10">
        <v>4.87</v>
      </c>
      <c r="BW57" s="4">
        <v>0</v>
      </c>
      <c r="BX57" s="10">
        <v>52635.08</v>
      </c>
      <c r="BY57" s="10">
        <v>630.21</v>
      </c>
      <c r="BZ57" s="10">
        <v>51941.22</v>
      </c>
      <c r="CA57" s="10">
        <v>63.65</v>
      </c>
      <c r="CB57" s="10">
        <v>25377.08</v>
      </c>
      <c r="CC57" s="10">
        <v>310.66000000000003</v>
      </c>
      <c r="CD57" s="10">
        <v>78598.61</v>
      </c>
      <c r="CE57" s="4" t="s">
        <v>102</v>
      </c>
      <c r="CF57" s="10">
        <v>78598.61</v>
      </c>
      <c r="CG57" s="4" t="s">
        <v>102</v>
      </c>
      <c r="CH57" s="4" t="s">
        <v>102</v>
      </c>
      <c r="CI57" s="10">
        <v>25066.42</v>
      </c>
      <c r="CJ57" s="4" t="s">
        <v>102</v>
      </c>
      <c r="CK57" s="4" t="s">
        <v>102</v>
      </c>
      <c r="CL57" s="10">
        <v>244775.95</v>
      </c>
      <c r="CM57" s="10">
        <v>156610.76999999999</v>
      </c>
    </row>
    <row r="58" spans="1:91" x14ac:dyDescent="0.35">
      <c r="A58" s="3" t="s">
        <v>59</v>
      </c>
      <c r="B58" s="11">
        <v>79094.720000000001</v>
      </c>
      <c r="C58" s="11">
        <v>29.34</v>
      </c>
      <c r="D58" s="11">
        <v>7.56</v>
      </c>
      <c r="E58" s="11">
        <v>7.42</v>
      </c>
      <c r="F58" s="11">
        <v>19.7</v>
      </c>
      <c r="G58" s="11">
        <v>1650.33</v>
      </c>
      <c r="H58" s="11">
        <v>107.96</v>
      </c>
      <c r="I58" s="11">
        <v>39.799999999999997</v>
      </c>
      <c r="J58" s="11">
        <v>48.24</v>
      </c>
      <c r="K58" s="11">
        <v>134.82</v>
      </c>
      <c r="L58" s="11">
        <v>136.96</v>
      </c>
      <c r="M58" s="71">
        <v>330.96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1">
        <v>284.7</v>
      </c>
      <c r="W58" s="11">
        <v>83.46</v>
      </c>
      <c r="X58" s="11">
        <v>83.73</v>
      </c>
      <c r="Y58" s="11">
        <v>67.98</v>
      </c>
      <c r="Z58" s="11">
        <v>141.74</v>
      </c>
      <c r="AA58" s="11">
        <v>264.98</v>
      </c>
      <c r="AB58" s="11">
        <v>137.59</v>
      </c>
      <c r="AC58" s="11">
        <v>146.22999999999999</v>
      </c>
      <c r="AD58" s="11">
        <v>260.58</v>
      </c>
      <c r="AE58" s="11">
        <v>292.8</v>
      </c>
      <c r="AF58" s="11">
        <v>138.59</v>
      </c>
      <c r="AG58" s="11">
        <v>199.41</v>
      </c>
      <c r="AH58" s="71">
        <v>390.53</v>
      </c>
      <c r="AI58" s="29"/>
      <c r="AJ58" s="11">
        <v>48.34</v>
      </c>
      <c r="AK58" s="11">
        <v>113.42</v>
      </c>
      <c r="AL58" s="11">
        <v>719.13</v>
      </c>
      <c r="AM58" s="11">
        <v>410.14</v>
      </c>
      <c r="AN58" s="11">
        <v>3466.95</v>
      </c>
      <c r="AO58" s="11">
        <v>2666.67</v>
      </c>
      <c r="AP58" s="11">
        <v>327.3</v>
      </c>
      <c r="AQ58" s="11">
        <v>100.39</v>
      </c>
      <c r="AR58" s="11">
        <v>98.96</v>
      </c>
      <c r="AS58" s="11">
        <v>309.31</v>
      </c>
      <c r="AT58" s="11">
        <v>95.41</v>
      </c>
      <c r="AU58" s="11">
        <v>1987.46</v>
      </c>
      <c r="AV58" s="11">
        <v>1909.43</v>
      </c>
      <c r="AW58" s="11">
        <v>22829.23</v>
      </c>
      <c r="AX58" s="11">
        <v>7266.66</v>
      </c>
      <c r="AY58" s="11">
        <v>5306.59</v>
      </c>
      <c r="AZ58" s="11">
        <v>286.32</v>
      </c>
      <c r="BA58" s="11">
        <v>118.98</v>
      </c>
      <c r="BB58" s="11">
        <v>117.72</v>
      </c>
      <c r="BC58" s="11">
        <v>455.16</v>
      </c>
      <c r="BD58" s="11">
        <v>3207.58</v>
      </c>
      <c r="BE58" s="11">
        <v>986.49</v>
      </c>
      <c r="BF58" s="11">
        <v>659.95</v>
      </c>
      <c r="BG58" s="11">
        <v>10603.91</v>
      </c>
      <c r="BH58" s="11">
        <v>503.71</v>
      </c>
      <c r="BI58" s="11">
        <v>1693.57</v>
      </c>
      <c r="BJ58" s="11">
        <v>138.05000000000001</v>
      </c>
      <c r="BK58" s="11">
        <v>156.91</v>
      </c>
      <c r="BL58" s="11">
        <v>1547.85</v>
      </c>
      <c r="BM58" s="11">
        <v>1090.6199999999999</v>
      </c>
      <c r="BN58" s="11">
        <v>569.62</v>
      </c>
      <c r="BO58" s="11">
        <v>515.83000000000004</v>
      </c>
      <c r="BP58" s="11">
        <v>278.05</v>
      </c>
      <c r="BQ58" s="11">
        <v>1265.04</v>
      </c>
      <c r="BR58" s="11">
        <v>1316.09</v>
      </c>
      <c r="BS58" s="11">
        <v>645.28</v>
      </c>
      <c r="BT58" s="11">
        <v>58.24</v>
      </c>
      <c r="BU58" s="11">
        <v>213.87</v>
      </c>
      <c r="BV58" s="11">
        <v>5.0999999999999996</v>
      </c>
      <c r="BW58" s="5">
        <v>0</v>
      </c>
      <c r="BX58" s="11">
        <v>49695.57</v>
      </c>
      <c r="BY58" s="11">
        <v>25421.03</v>
      </c>
      <c r="BZ58" s="11">
        <v>23501.07</v>
      </c>
      <c r="CA58" s="11">
        <v>773.47</v>
      </c>
      <c r="CB58" s="11">
        <v>16579.93</v>
      </c>
      <c r="CC58" s="11">
        <v>-83.84</v>
      </c>
      <c r="CD58" s="11">
        <v>11478.17</v>
      </c>
      <c r="CE58" s="5" t="s">
        <v>102</v>
      </c>
      <c r="CF58" s="11">
        <v>11478.17</v>
      </c>
      <c r="CG58" s="5" t="s">
        <v>102</v>
      </c>
      <c r="CH58" s="5" t="s">
        <v>102</v>
      </c>
      <c r="CI58" s="11">
        <v>16663.77</v>
      </c>
      <c r="CJ58" s="5" t="s">
        <v>102</v>
      </c>
      <c r="CK58" s="5" t="s">
        <v>102</v>
      </c>
      <c r="CL58" s="11">
        <v>156848.37</v>
      </c>
      <c r="CM58" s="11">
        <v>77753.66</v>
      </c>
    </row>
    <row r="59" spans="1:91" x14ac:dyDescent="0.35">
      <c r="A59" s="3" t="s">
        <v>60</v>
      </c>
      <c r="B59" s="10">
        <v>185894.7</v>
      </c>
      <c r="C59" s="10">
        <v>413.08</v>
      </c>
      <c r="D59" s="10">
        <v>74.180000000000007</v>
      </c>
      <c r="E59" s="10">
        <v>36.14</v>
      </c>
      <c r="F59" s="10">
        <v>286.86</v>
      </c>
      <c r="G59" s="10">
        <v>3032.63</v>
      </c>
      <c r="H59" s="10">
        <v>987.03</v>
      </c>
      <c r="I59" s="10">
        <v>301.61</v>
      </c>
      <c r="J59" s="10">
        <v>658.73</v>
      </c>
      <c r="K59" s="10">
        <v>233.68</v>
      </c>
      <c r="L59" s="4">
        <v>626</v>
      </c>
      <c r="M59" s="71">
        <v>1389.6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0">
        <v>592.05999999999995</v>
      </c>
      <c r="W59" s="10">
        <v>979.14</v>
      </c>
      <c r="X59" s="10">
        <v>1086.54</v>
      </c>
      <c r="Y59" s="10">
        <v>1315.43</v>
      </c>
      <c r="Z59" s="10">
        <v>1751.07</v>
      </c>
      <c r="AA59" s="10">
        <v>1288.3900000000001</v>
      </c>
      <c r="AB59" s="10">
        <v>799.25</v>
      </c>
      <c r="AC59" s="10">
        <v>1578.32</v>
      </c>
      <c r="AD59" s="10">
        <v>1512.79</v>
      </c>
      <c r="AE59" s="10">
        <v>495.92</v>
      </c>
      <c r="AF59" s="10">
        <v>639.58000000000004</v>
      </c>
      <c r="AG59" s="10">
        <v>959.28</v>
      </c>
      <c r="AH59" s="71">
        <v>1717.31</v>
      </c>
      <c r="AI59" s="29"/>
      <c r="AJ59" s="10">
        <v>371.41</v>
      </c>
      <c r="AK59" s="10">
        <v>1316.92</v>
      </c>
      <c r="AL59" s="10">
        <v>4682.22</v>
      </c>
      <c r="AM59" s="10">
        <v>1767.44</v>
      </c>
      <c r="AN59" s="10">
        <v>8579.52</v>
      </c>
      <c r="AO59" s="10">
        <v>5801.89</v>
      </c>
      <c r="AP59" s="10">
        <v>2549.87</v>
      </c>
      <c r="AQ59" s="10">
        <v>230.18</v>
      </c>
      <c r="AR59" s="10">
        <v>488.82</v>
      </c>
      <c r="AS59" s="10">
        <v>2140.5</v>
      </c>
      <c r="AT59" s="10">
        <v>3163.4</v>
      </c>
      <c r="AU59" s="10">
        <v>5699.74</v>
      </c>
      <c r="AV59" s="10">
        <v>1994.88</v>
      </c>
      <c r="AW59" s="10">
        <v>2428.63</v>
      </c>
      <c r="AX59" s="10">
        <v>50904.66</v>
      </c>
      <c r="AY59" s="10">
        <v>8851.01</v>
      </c>
      <c r="AZ59" s="10">
        <v>6233.38</v>
      </c>
      <c r="BA59" s="10">
        <v>2347.6</v>
      </c>
      <c r="BB59" s="10">
        <v>4753.3</v>
      </c>
      <c r="BC59" s="10">
        <v>3060.57</v>
      </c>
      <c r="BD59" s="10">
        <v>6583.3</v>
      </c>
      <c r="BE59" s="10">
        <v>2357.8000000000002</v>
      </c>
      <c r="BF59" s="10">
        <v>1888.72</v>
      </c>
      <c r="BG59" s="10">
        <v>1999.9</v>
      </c>
      <c r="BH59" s="4">
        <v>1468</v>
      </c>
      <c r="BI59" s="10">
        <v>2290.5100000000002</v>
      </c>
      <c r="BJ59" s="10">
        <v>2011.81</v>
      </c>
      <c r="BK59" s="10">
        <v>2655.12</v>
      </c>
      <c r="BL59" s="10">
        <v>3321.59</v>
      </c>
      <c r="BM59" s="10">
        <v>7430.07</v>
      </c>
      <c r="BN59" s="10">
        <v>2248.73</v>
      </c>
      <c r="BO59" s="10">
        <v>3501.56</v>
      </c>
      <c r="BP59" s="10">
        <v>2336.88</v>
      </c>
      <c r="BQ59" s="10">
        <v>2083.37</v>
      </c>
      <c r="BR59" s="10">
        <v>1213.3</v>
      </c>
      <c r="BS59" s="10">
        <v>986.08</v>
      </c>
      <c r="BT59" s="10">
        <v>253.48</v>
      </c>
      <c r="BU59" s="10">
        <v>1134.76</v>
      </c>
      <c r="BV59" s="10">
        <v>9.18</v>
      </c>
      <c r="BW59" s="4">
        <v>0</v>
      </c>
      <c r="BX59" s="10">
        <v>133062.63</v>
      </c>
      <c r="BY59" s="10">
        <v>1107.5899999999999</v>
      </c>
      <c r="BZ59" s="10">
        <v>131946.63</v>
      </c>
      <c r="CA59" s="10">
        <v>8.42</v>
      </c>
      <c r="CB59" s="10">
        <v>9.4</v>
      </c>
      <c r="CC59" s="10">
        <v>9.4</v>
      </c>
      <c r="CD59" s="10">
        <v>17224.09</v>
      </c>
      <c r="CE59" s="4" t="s">
        <v>102</v>
      </c>
      <c r="CF59" s="10">
        <v>17224.09</v>
      </c>
      <c r="CG59" s="4" t="s">
        <v>102</v>
      </c>
      <c r="CH59" s="4" t="s">
        <v>102</v>
      </c>
      <c r="CI59" s="4">
        <v>0</v>
      </c>
      <c r="CJ59" s="4" t="s">
        <v>102</v>
      </c>
      <c r="CK59" s="4" t="s">
        <v>102</v>
      </c>
      <c r="CL59" s="10">
        <v>336190.82</v>
      </c>
      <c r="CM59" s="10">
        <v>150296.12</v>
      </c>
    </row>
    <row r="60" spans="1:91" x14ac:dyDescent="0.35">
      <c r="A60" s="3" t="s">
        <v>61</v>
      </c>
      <c r="B60" s="11">
        <v>628872.82999999996</v>
      </c>
      <c r="C60" s="11">
        <v>468.47</v>
      </c>
      <c r="D60" s="11">
        <v>127.21</v>
      </c>
      <c r="E60" s="11">
        <v>21.35</v>
      </c>
      <c r="F60" s="11">
        <v>667.38</v>
      </c>
      <c r="G60" s="11">
        <v>5370.27</v>
      </c>
      <c r="H60" s="11">
        <v>1517.93</v>
      </c>
      <c r="I60" s="11">
        <v>542.79</v>
      </c>
      <c r="J60" s="11">
        <v>1599.76</v>
      </c>
      <c r="K60" s="11">
        <v>966.99</v>
      </c>
      <c r="L60" s="11">
        <v>2321.1</v>
      </c>
      <c r="M60" s="71">
        <v>6521.02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1">
        <v>2656.65</v>
      </c>
      <c r="W60" s="11">
        <v>1951.29</v>
      </c>
      <c r="X60" s="11">
        <v>1513.58</v>
      </c>
      <c r="Y60" s="11">
        <v>2648.95</v>
      </c>
      <c r="Z60" s="11">
        <v>5034.17</v>
      </c>
      <c r="AA60" s="11">
        <v>4330.74</v>
      </c>
      <c r="AB60" s="11">
        <v>4064.47</v>
      </c>
      <c r="AC60" s="11">
        <v>7567.07</v>
      </c>
      <c r="AD60" s="11">
        <v>8691.92</v>
      </c>
      <c r="AE60" s="11">
        <v>3573.78</v>
      </c>
      <c r="AF60" s="11">
        <v>1726.22</v>
      </c>
      <c r="AG60" s="11">
        <v>3417.73</v>
      </c>
      <c r="AH60" s="71">
        <v>9357.73</v>
      </c>
      <c r="AI60" s="29"/>
      <c r="AJ60" s="11">
        <v>687.6</v>
      </c>
      <c r="AK60" s="11">
        <v>4519.49</v>
      </c>
      <c r="AL60" s="11">
        <v>9772.7800000000007</v>
      </c>
      <c r="AM60" s="11">
        <v>5325.47</v>
      </c>
      <c r="AN60" s="11">
        <v>32949.5</v>
      </c>
      <c r="AO60" s="11">
        <v>17456.64</v>
      </c>
      <c r="AP60" s="11">
        <v>6872.14</v>
      </c>
      <c r="AQ60" s="11">
        <v>2362.44</v>
      </c>
      <c r="AR60" s="11">
        <v>2727.5</v>
      </c>
      <c r="AS60" s="11">
        <v>8687.93</v>
      </c>
      <c r="AT60" s="11">
        <v>4558.8</v>
      </c>
      <c r="AU60" s="11">
        <v>4493.51</v>
      </c>
      <c r="AV60" s="11">
        <v>18792.18</v>
      </c>
      <c r="AW60" s="11">
        <v>4271.54</v>
      </c>
      <c r="AX60" s="11">
        <v>15278.18</v>
      </c>
      <c r="AY60" s="11">
        <v>203282.58</v>
      </c>
      <c r="AZ60" s="11">
        <v>23056.79</v>
      </c>
      <c r="BA60" s="11">
        <v>7578.57</v>
      </c>
      <c r="BB60" s="11">
        <v>9121.08</v>
      </c>
      <c r="BC60" s="11">
        <v>6555.93</v>
      </c>
      <c r="BD60" s="11">
        <v>40470.22</v>
      </c>
      <c r="BE60" s="11">
        <v>10163.58</v>
      </c>
      <c r="BF60" s="11">
        <v>12108.19</v>
      </c>
      <c r="BG60" s="11">
        <v>7823.71</v>
      </c>
      <c r="BH60" s="11">
        <v>4565.93</v>
      </c>
      <c r="BI60" s="11">
        <v>12786.41</v>
      </c>
      <c r="BJ60" s="11">
        <v>4251.47</v>
      </c>
      <c r="BK60" s="11">
        <v>2093.46</v>
      </c>
      <c r="BL60" s="11">
        <v>12395.11</v>
      </c>
      <c r="BM60" s="11">
        <v>20080.740000000002</v>
      </c>
      <c r="BN60" s="11">
        <v>9078.9699999999993</v>
      </c>
      <c r="BO60" s="11">
        <v>10741.56</v>
      </c>
      <c r="BP60" s="11">
        <v>4694.75</v>
      </c>
      <c r="BQ60" s="11">
        <v>6670.98</v>
      </c>
      <c r="BR60" s="11">
        <v>1299.06</v>
      </c>
      <c r="BS60" s="11">
        <v>1781.84</v>
      </c>
      <c r="BT60" s="11">
        <v>1181.24</v>
      </c>
      <c r="BU60" s="11">
        <v>1586.76</v>
      </c>
      <c r="BV60" s="11">
        <v>89.65</v>
      </c>
      <c r="BW60" s="5">
        <v>0</v>
      </c>
      <c r="BX60" s="11">
        <v>11920.04</v>
      </c>
      <c r="BY60" s="11">
        <v>2314.6</v>
      </c>
      <c r="BZ60" s="11">
        <v>9553.2800000000007</v>
      </c>
      <c r="CA60" s="11">
        <v>52.16</v>
      </c>
      <c r="CB60" s="11">
        <v>281451.61</v>
      </c>
      <c r="CC60" s="11">
        <v>256.31</v>
      </c>
      <c r="CD60" s="11">
        <v>184698.25</v>
      </c>
      <c r="CE60" s="5" t="s">
        <v>102</v>
      </c>
      <c r="CF60" s="11">
        <v>184698.25</v>
      </c>
      <c r="CG60" s="5" t="s">
        <v>102</v>
      </c>
      <c r="CH60" s="5" t="s">
        <v>102</v>
      </c>
      <c r="CI60" s="11">
        <v>281195.3</v>
      </c>
      <c r="CJ60" s="5" t="s">
        <v>102</v>
      </c>
      <c r="CK60" s="5" t="s">
        <v>102</v>
      </c>
      <c r="CL60" s="11">
        <v>1106942.73</v>
      </c>
      <c r="CM60" s="11">
        <v>478069.9</v>
      </c>
    </row>
    <row r="61" spans="1:91" x14ac:dyDescent="0.35">
      <c r="A61" s="3" t="s">
        <v>62</v>
      </c>
      <c r="B61" s="10">
        <v>510848.41</v>
      </c>
      <c r="C61" s="10">
        <v>6565.91</v>
      </c>
      <c r="D61" s="10">
        <v>654.28</v>
      </c>
      <c r="E61" s="10">
        <v>236.58</v>
      </c>
      <c r="F61" s="10">
        <v>877.49</v>
      </c>
      <c r="G61" s="10">
        <v>10280.969999999999</v>
      </c>
      <c r="H61" s="10">
        <v>2419.9699999999998</v>
      </c>
      <c r="I61" s="10">
        <v>1171.49</v>
      </c>
      <c r="J61" s="10">
        <v>1501.77</v>
      </c>
      <c r="K61" s="10">
        <v>597.15</v>
      </c>
      <c r="L61" s="10">
        <v>2700.21</v>
      </c>
      <c r="M61" s="71">
        <v>4308.41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0">
        <v>1536.69</v>
      </c>
      <c r="W61" s="10">
        <v>2677.94</v>
      </c>
      <c r="X61" s="10">
        <v>2001.52</v>
      </c>
      <c r="Y61" s="10">
        <v>3395.51</v>
      </c>
      <c r="Z61" s="10">
        <v>4683.1400000000003</v>
      </c>
      <c r="AA61" s="10">
        <v>1848.64</v>
      </c>
      <c r="AB61" s="10">
        <v>2357.4699999999998</v>
      </c>
      <c r="AC61" s="10">
        <v>4965.92</v>
      </c>
      <c r="AD61" s="10">
        <v>5335.38</v>
      </c>
      <c r="AE61" s="10">
        <v>1206.78</v>
      </c>
      <c r="AF61" s="10">
        <v>1964.83</v>
      </c>
      <c r="AG61" s="10">
        <v>2214.19</v>
      </c>
      <c r="AH61" s="71">
        <v>7594.96</v>
      </c>
      <c r="AI61" s="29"/>
      <c r="AJ61" s="10">
        <v>917.54</v>
      </c>
      <c r="AK61" s="10">
        <v>2736.35</v>
      </c>
      <c r="AL61" s="10">
        <v>24374.61</v>
      </c>
      <c r="AM61" s="10">
        <v>5518.86</v>
      </c>
      <c r="AN61" s="10">
        <v>26881.82</v>
      </c>
      <c r="AO61" s="10">
        <v>18795.57</v>
      </c>
      <c r="AP61" s="10">
        <v>7240.47</v>
      </c>
      <c r="AQ61" s="10">
        <v>2378.39</v>
      </c>
      <c r="AR61" s="10">
        <v>1477.69</v>
      </c>
      <c r="AS61" s="10">
        <v>7583.08</v>
      </c>
      <c r="AT61" s="10">
        <v>1208.23</v>
      </c>
      <c r="AU61" s="10">
        <v>11811.51</v>
      </c>
      <c r="AV61" s="10">
        <v>1908.79</v>
      </c>
      <c r="AW61" s="10">
        <v>1432.5</v>
      </c>
      <c r="AX61" s="10">
        <v>2987.84</v>
      </c>
      <c r="AY61" s="10">
        <v>8091.85</v>
      </c>
      <c r="AZ61" s="10">
        <v>91104.54</v>
      </c>
      <c r="BA61" s="10">
        <v>28218.720000000001</v>
      </c>
      <c r="BB61" s="10">
        <v>21020.35</v>
      </c>
      <c r="BC61" s="10">
        <v>79736.58</v>
      </c>
      <c r="BD61" s="10">
        <v>18177.21</v>
      </c>
      <c r="BE61" s="10">
        <v>4363.74</v>
      </c>
      <c r="BF61" s="10">
        <v>2502.29</v>
      </c>
      <c r="BG61" s="10">
        <v>2494.5500000000002</v>
      </c>
      <c r="BH61" s="10">
        <v>2087.1799999999998</v>
      </c>
      <c r="BI61" s="10">
        <v>8357.34</v>
      </c>
      <c r="BJ61" s="10">
        <v>1901.63</v>
      </c>
      <c r="BK61" s="10">
        <v>1682.36</v>
      </c>
      <c r="BL61" s="10">
        <v>5894.09</v>
      </c>
      <c r="BM61" s="10">
        <v>20159.439999999999</v>
      </c>
      <c r="BN61" s="10">
        <v>2921.82</v>
      </c>
      <c r="BO61" s="10">
        <v>7577.51</v>
      </c>
      <c r="BP61" s="10">
        <v>3406.77</v>
      </c>
      <c r="BQ61" s="10">
        <v>2287.04</v>
      </c>
      <c r="BR61" s="10">
        <v>1545.51</v>
      </c>
      <c r="BS61" s="10">
        <v>3558.52</v>
      </c>
      <c r="BT61" s="10">
        <v>494.15</v>
      </c>
      <c r="BU61" s="10">
        <v>2878.54</v>
      </c>
      <c r="BV61" s="10">
        <v>36.25</v>
      </c>
      <c r="BW61" s="4">
        <v>0</v>
      </c>
      <c r="BX61" s="10">
        <v>162950.63</v>
      </c>
      <c r="BY61" s="10">
        <v>802.51</v>
      </c>
      <c r="BZ61" s="10">
        <v>162047.23000000001</v>
      </c>
      <c r="CA61" s="10">
        <v>100.89</v>
      </c>
      <c r="CB61" s="4">
        <v>81</v>
      </c>
      <c r="CC61" s="10">
        <v>0.12</v>
      </c>
      <c r="CD61" s="10">
        <v>92110.53</v>
      </c>
      <c r="CE61" s="4" t="s">
        <v>102</v>
      </c>
      <c r="CF61" s="10">
        <v>92110.53</v>
      </c>
      <c r="CG61" s="4" t="s">
        <v>102</v>
      </c>
      <c r="CH61" s="4" t="s">
        <v>102</v>
      </c>
      <c r="CI61" s="10">
        <v>80.88</v>
      </c>
      <c r="CJ61" s="4" t="s">
        <v>102</v>
      </c>
      <c r="CK61" s="4" t="s">
        <v>102</v>
      </c>
      <c r="CL61" s="10">
        <v>765990.58</v>
      </c>
      <c r="CM61" s="10">
        <v>255142.16</v>
      </c>
    </row>
    <row r="62" spans="1:91" x14ac:dyDescent="0.35">
      <c r="A62" s="3" t="s">
        <v>63</v>
      </c>
      <c r="B62" s="11">
        <v>130811.62</v>
      </c>
      <c r="C62" s="11">
        <v>3440.58</v>
      </c>
      <c r="D62" s="11">
        <v>109.45</v>
      </c>
      <c r="E62" s="11">
        <v>65.37</v>
      </c>
      <c r="F62" s="11">
        <v>231.38</v>
      </c>
      <c r="G62" s="11">
        <v>2612.02</v>
      </c>
      <c r="H62" s="11">
        <v>451.1</v>
      </c>
      <c r="I62" s="11">
        <v>489.56</v>
      </c>
      <c r="J62" s="11">
        <v>593.44000000000005</v>
      </c>
      <c r="K62" s="11">
        <v>264.29000000000002</v>
      </c>
      <c r="L62" s="11">
        <v>613.08000000000004</v>
      </c>
      <c r="M62" s="71">
        <v>1913.17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1">
        <v>539.4</v>
      </c>
      <c r="W62" s="11">
        <v>896.86</v>
      </c>
      <c r="X62" s="11">
        <v>684.71</v>
      </c>
      <c r="Y62" s="11">
        <v>724.69</v>
      </c>
      <c r="Z62" s="11">
        <v>1149.6500000000001</v>
      </c>
      <c r="AA62" s="11">
        <v>433.28</v>
      </c>
      <c r="AB62" s="11">
        <v>619.97</v>
      </c>
      <c r="AC62" s="11">
        <v>1201.4100000000001</v>
      </c>
      <c r="AD62" s="11">
        <v>1275.3399999999999</v>
      </c>
      <c r="AE62" s="11">
        <v>442.41</v>
      </c>
      <c r="AF62" s="11">
        <v>616.59</v>
      </c>
      <c r="AG62" s="11">
        <v>740.54</v>
      </c>
      <c r="AH62" s="71">
        <v>2463.04</v>
      </c>
      <c r="AI62" s="29"/>
      <c r="AJ62" s="11">
        <v>278.93</v>
      </c>
      <c r="AK62" s="11">
        <v>1447.52</v>
      </c>
      <c r="AL62" s="11">
        <v>6113.34</v>
      </c>
      <c r="AM62" s="11">
        <v>1686.75</v>
      </c>
      <c r="AN62" s="11">
        <v>5043.3999999999996</v>
      </c>
      <c r="AO62" s="11">
        <v>4696.3999999999996</v>
      </c>
      <c r="AP62" s="11">
        <v>7411.35</v>
      </c>
      <c r="AQ62" s="11">
        <v>1168.1600000000001</v>
      </c>
      <c r="AR62" s="11">
        <v>664.82</v>
      </c>
      <c r="AS62" s="11">
        <v>3958.66</v>
      </c>
      <c r="AT62" s="11">
        <v>337.96</v>
      </c>
      <c r="AU62" s="11">
        <v>2239.27</v>
      </c>
      <c r="AV62" s="11">
        <v>478.09</v>
      </c>
      <c r="AW62" s="11">
        <v>306.69</v>
      </c>
      <c r="AX62" s="11">
        <v>1050.95</v>
      </c>
      <c r="AY62" s="11">
        <v>1756.78</v>
      </c>
      <c r="AZ62" s="11">
        <v>2450.5300000000002</v>
      </c>
      <c r="BA62" s="5">
        <v>28194</v>
      </c>
      <c r="BB62" s="11">
        <v>4626.7700000000004</v>
      </c>
      <c r="BC62" s="11">
        <v>7880.84</v>
      </c>
      <c r="BD62" s="11">
        <v>3663.85</v>
      </c>
      <c r="BE62" s="11">
        <v>1268.5</v>
      </c>
      <c r="BF62" s="11">
        <v>891.2</v>
      </c>
      <c r="BG62" s="11">
        <v>385.04</v>
      </c>
      <c r="BH62" s="11">
        <v>474.31</v>
      </c>
      <c r="BI62" s="11">
        <v>4465.3500000000004</v>
      </c>
      <c r="BJ62" s="11">
        <v>315.70999999999998</v>
      </c>
      <c r="BK62" s="11">
        <v>348.46</v>
      </c>
      <c r="BL62" s="11">
        <v>2015.39</v>
      </c>
      <c r="BM62" s="11">
        <v>4371.66</v>
      </c>
      <c r="BN62" s="11">
        <v>3103.38</v>
      </c>
      <c r="BO62" s="11">
        <v>2104.08</v>
      </c>
      <c r="BP62" s="11">
        <v>1027.44</v>
      </c>
      <c r="BQ62" s="5">
        <v>556</v>
      </c>
      <c r="BR62" s="11">
        <v>347.11</v>
      </c>
      <c r="BS62" s="11">
        <v>522.82000000000005</v>
      </c>
      <c r="BT62" s="11">
        <v>164.23</v>
      </c>
      <c r="BU62" s="11">
        <v>421.76</v>
      </c>
      <c r="BV62" s="11">
        <v>2.78</v>
      </c>
      <c r="BW62" s="5">
        <v>0</v>
      </c>
      <c r="BX62" s="11">
        <v>224408.33</v>
      </c>
      <c r="BY62" s="11">
        <v>985.75</v>
      </c>
      <c r="BZ62" s="11">
        <v>223158.2</v>
      </c>
      <c r="CA62" s="11">
        <v>264.38</v>
      </c>
      <c r="CB62" s="11">
        <v>532.27</v>
      </c>
      <c r="CC62" s="11">
        <v>-2.66</v>
      </c>
      <c r="CD62" s="11">
        <v>36428.35</v>
      </c>
      <c r="CE62" s="5" t="s">
        <v>102</v>
      </c>
      <c r="CF62" s="11">
        <v>36428.35</v>
      </c>
      <c r="CG62" s="5" t="s">
        <v>102</v>
      </c>
      <c r="CH62" s="5" t="s">
        <v>102</v>
      </c>
      <c r="CI62" s="11">
        <v>534.92999999999995</v>
      </c>
      <c r="CJ62" s="5" t="s">
        <v>102</v>
      </c>
      <c r="CK62" s="5" t="s">
        <v>102</v>
      </c>
      <c r="CL62" s="11">
        <v>392180.56</v>
      </c>
      <c r="CM62" s="11">
        <v>261368.95</v>
      </c>
    </row>
    <row r="63" spans="1:91" x14ac:dyDescent="0.35">
      <c r="A63" s="3" t="s">
        <v>64</v>
      </c>
      <c r="B63" s="10">
        <v>290528.28000000003</v>
      </c>
      <c r="C63" s="10">
        <v>917.95</v>
      </c>
      <c r="D63" s="10">
        <v>59.52</v>
      </c>
      <c r="E63" s="10">
        <v>45.14</v>
      </c>
      <c r="F63" s="10">
        <v>94.88</v>
      </c>
      <c r="G63" s="10">
        <v>2604.41</v>
      </c>
      <c r="H63" s="10">
        <v>1015.33</v>
      </c>
      <c r="I63" s="10">
        <v>320.77999999999997</v>
      </c>
      <c r="J63" s="10">
        <v>261.5</v>
      </c>
      <c r="K63" s="10">
        <v>140.56</v>
      </c>
      <c r="L63" s="10">
        <v>849.48</v>
      </c>
      <c r="M63" s="71">
        <v>1626.27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0">
        <v>441.98</v>
      </c>
      <c r="W63" s="10">
        <v>552.17999999999995</v>
      </c>
      <c r="X63" s="10">
        <v>665.84</v>
      </c>
      <c r="Y63" s="10">
        <v>503.01</v>
      </c>
      <c r="Z63" s="10">
        <v>1009.63</v>
      </c>
      <c r="AA63" s="10">
        <v>431.09</v>
      </c>
      <c r="AB63" s="10">
        <v>620.72</v>
      </c>
      <c r="AC63" s="10">
        <v>1578.2</v>
      </c>
      <c r="AD63" s="10">
        <v>661.3</v>
      </c>
      <c r="AE63" s="10">
        <v>628.66</v>
      </c>
      <c r="AF63" s="10">
        <v>944.25</v>
      </c>
      <c r="AG63" s="10">
        <v>625.95000000000005</v>
      </c>
      <c r="AH63" s="71">
        <v>2015.4</v>
      </c>
      <c r="AI63" s="29"/>
      <c r="AJ63" s="10">
        <v>128.81</v>
      </c>
      <c r="AK63" s="10">
        <v>403.63</v>
      </c>
      <c r="AL63" s="10">
        <v>4173.37</v>
      </c>
      <c r="AM63" s="10">
        <v>1004.73</v>
      </c>
      <c r="AN63" s="10">
        <v>7235.78</v>
      </c>
      <c r="AO63" s="10">
        <v>3607.18</v>
      </c>
      <c r="AP63" s="10">
        <v>2747.73</v>
      </c>
      <c r="AQ63" s="10">
        <v>1016.89</v>
      </c>
      <c r="AR63" s="10">
        <v>621.14</v>
      </c>
      <c r="AS63" s="10">
        <v>887.29</v>
      </c>
      <c r="AT63" s="10">
        <v>367.32</v>
      </c>
      <c r="AU63" s="10">
        <v>2033.97</v>
      </c>
      <c r="AV63" s="10">
        <v>819.07</v>
      </c>
      <c r="AW63" s="10">
        <v>230.3</v>
      </c>
      <c r="AX63" s="10">
        <v>3080.64</v>
      </c>
      <c r="AY63" s="10">
        <v>2768.26</v>
      </c>
      <c r="AZ63" s="10">
        <v>71264.97</v>
      </c>
      <c r="BA63" s="10">
        <v>97128.91</v>
      </c>
      <c r="BB63" s="10">
        <v>46647.1</v>
      </c>
      <c r="BC63" s="10">
        <v>5306.52</v>
      </c>
      <c r="BD63" s="10">
        <v>6332.27</v>
      </c>
      <c r="BE63" s="10">
        <v>1484.88</v>
      </c>
      <c r="BF63" s="10">
        <v>964.85</v>
      </c>
      <c r="BG63" s="10">
        <v>424.78</v>
      </c>
      <c r="BH63" s="10">
        <v>695.73</v>
      </c>
      <c r="BI63" s="10">
        <v>3796.81</v>
      </c>
      <c r="BJ63" s="10">
        <v>309.07</v>
      </c>
      <c r="BK63" s="10">
        <v>440.26</v>
      </c>
      <c r="BL63" s="10">
        <v>2071.29</v>
      </c>
      <c r="BM63" s="10">
        <v>684.46</v>
      </c>
      <c r="BN63" s="10">
        <v>494.41</v>
      </c>
      <c r="BO63" s="10">
        <v>633.69000000000005</v>
      </c>
      <c r="BP63" s="10">
        <v>477.36</v>
      </c>
      <c r="BQ63" s="10">
        <v>367.69</v>
      </c>
      <c r="BR63" s="10">
        <v>337.17</v>
      </c>
      <c r="BS63" s="10">
        <v>412.97</v>
      </c>
      <c r="BT63" s="10">
        <v>260.45</v>
      </c>
      <c r="BU63" s="10">
        <v>250.32</v>
      </c>
      <c r="BV63" s="10">
        <v>2.16</v>
      </c>
      <c r="BW63" s="4">
        <v>0</v>
      </c>
      <c r="BX63" s="10">
        <v>30550.42</v>
      </c>
      <c r="BY63" s="10">
        <v>806.02</v>
      </c>
      <c r="BZ63" s="4">
        <v>29744</v>
      </c>
      <c r="CA63" s="10">
        <v>0.41</v>
      </c>
      <c r="CB63" s="10">
        <v>2011.81</v>
      </c>
      <c r="CC63" s="10">
        <v>110.99</v>
      </c>
      <c r="CD63" s="10">
        <v>22519.17</v>
      </c>
      <c r="CE63" s="4" t="s">
        <v>102</v>
      </c>
      <c r="CF63" s="10">
        <v>22519.17</v>
      </c>
      <c r="CG63" s="4" t="s">
        <v>102</v>
      </c>
      <c r="CH63" s="4" t="s">
        <v>102</v>
      </c>
      <c r="CI63" s="10">
        <v>1900.82</v>
      </c>
      <c r="CJ63" s="4" t="s">
        <v>102</v>
      </c>
      <c r="CK63" s="4" t="s">
        <v>102</v>
      </c>
      <c r="CL63" s="10">
        <v>345609.68</v>
      </c>
      <c r="CM63" s="10">
        <v>55081.4</v>
      </c>
    </row>
    <row r="64" spans="1:91" x14ac:dyDescent="0.35">
      <c r="A64" s="3" t="s">
        <v>65</v>
      </c>
      <c r="B64" s="11">
        <v>603565.47</v>
      </c>
      <c r="C64" s="11">
        <v>1965.65</v>
      </c>
      <c r="D64" s="11">
        <v>195.96</v>
      </c>
      <c r="E64" s="11">
        <v>39.21</v>
      </c>
      <c r="F64" s="11">
        <v>686.51</v>
      </c>
      <c r="G64" s="11">
        <v>10835.76</v>
      </c>
      <c r="H64" s="11">
        <v>3104.72</v>
      </c>
      <c r="I64" s="11">
        <v>1409.69</v>
      </c>
      <c r="J64" s="11">
        <v>1754.11</v>
      </c>
      <c r="K64" s="11">
        <v>1165.8900000000001</v>
      </c>
      <c r="L64" s="11">
        <v>1401.6</v>
      </c>
      <c r="M64" s="71">
        <v>3635.91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1">
        <v>1647.56</v>
      </c>
      <c r="W64" s="11">
        <v>3362.99</v>
      </c>
      <c r="X64" s="11">
        <v>2295.41</v>
      </c>
      <c r="Y64" s="11">
        <v>2111.89</v>
      </c>
      <c r="Z64" s="11">
        <v>6613.81</v>
      </c>
      <c r="AA64" s="11">
        <v>2744.68</v>
      </c>
      <c r="AB64" s="11">
        <v>2822.31</v>
      </c>
      <c r="AC64" s="11">
        <v>6142.97</v>
      </c>
      <c r="AD64" s="11">
        <v>7846.95</v>
      </c>
      <c r="AE64" s="11">
        <v>1535.33</v>
      </c>
      <c r="AF64" s="11">
        <v>3070.48</v>
      </c>
      <c r="AG64" s="11">
        <v>3794.24</v>
      </c>
      <c r="AH64" s="71">
        <v>7602.43</v>
      </c>
      <c r="AI64" s="29"/>
      <c r="AJ64" s="11">
        <v>948.77</v>
      </c>
      <c r="AK64" s="11">
        <v>3361.4</v>
      </c>
      <c r="AL64" s="11">
        <v>39873.199999999997</v>
      </c>
      <c r="AM64" s="11">
        <v>15680.18</v>
      </c>
      <c r="AN64" s="11">
        <v>41356.31</v>
      </c>
      <c r="AO64" s="11">
        <v>75385.240000000005</v>
      </c>
      <c r="AP64" s="11">
        <v>9643.58</v>
      </c>
      <c r="AQ64" s="11">
        <v>760.59</v>
      </c>
      <c r="AR64" s="11">
        <v>1608.38</v>
      </c>
      <c r="AS64" s="11">
        <v>12424.2</v>
      </c>
      <c r="AT64" s="11">
        <v>2341.9899999999998</v>
      </c>
      <c r="AU64" s="11">
        <v>46660.23</v>
      </c>
      <c r="AV64" s="11">
        <v>2826.75</v>
      </c>
      <c r="AW64" s="11">
        <v>2925.54</v>
      </c>
      <c r="AX64" s="11">
        <v>11291.88</v>
      </c>
      <c r="AY64" s="11">
        <v>14270.12</v>
      </c>
      <c r="AZ64" s="11">
        <v>15083.57</v>
      </c>
      <c r="BA64" s="11">
        <v>7350.86</v>
      </c>
      <c r="BB64" s="11">
        <v>8162.01</v>
      </c>
      <c r="BC64" s="11">
        <v>44806.83</v>
      </c>
      <c r="BD64" s="11">
        <v>31470.83</v>
      </c>
      <c r="BE64" s="11">
        <v>12679.62</v>
      </c>
      <c r="BF64" s="11">
        <v>5419.23</v>
      </c>
      <c r="BG64" s="11">
        <v>4968.3900000000003</v>
      </c>
      <c r="BH64" s="11">
        <v>4085.28</v>
      </c>
      <c r="BI64" s="11">
        <v>8561.59</v>
      </c>
      <c r="BJ64" s="11">
        <v>4860.88</v>
      </c>
      <c r="BK64" s="11">
        <v>2361.46</v>
      </c>
      <c r="BL64" s="11">
        <v>16775.5</v>
      </c>
      <c r="BM64" s="11">
        <v>20705.400000000001</v>
      </c>
      <c r="BN64" s="11">
        <v>9773.61</v>
      </c>
      <c r="BO64" s="11">
        <v>15157.42</v>
      </c>
      <c r="BP64" s="11">
        <v>12324.23</v>
      </c>
      <c r="BQ64" s="11">
        <v>4090.83</v>
      </c>
      <c r="BR64" s="11">
        <v>4736.45</v>
      </c>
      <c r="BS64" s="11">
        <v>3442.1</v>
      </c>
      <c r="BT64" s="11">
        <v>1249.82</v>
      </c>
      <c r="BU64" s="11">
        <v>6306.23</v>
      </c>
      <c r="BV64" s="11">
        <v>48.96</v>
      </c>
      <c r="BW64" s="5">
        <v>0</v>
      </c>
      <c r="BX64" s="11">
        <v>1546624.07</v>
      </c>
      <c r="BY64" s="11">
        <v>25824.94</v>
      </c>
      <c r="BZ64" s="11">
        <v>1520140.86</v>
      </c>
      <c r="CA64" s="11">
        <v>658.28</v>
      </c>
      <c r="CB64" s="11">
        <v>46060.28</v>
      </c>
      <c r="CC64" s="11">
        <v>-166.71</v>
      </c>
      <c r="CD64" s="11">
        <v>3850.18</v>
      </c>
      <c r="CE64" s="5" t="s">
        <v>102</v>
      </c>
      <c r="CF64" s="11">
        <v>3850.18</v>
      </c>
      <c r="CG64" s="5" t="s">
        <v>102</v>
      </c>
      <c r="CH64" s="5" t="s">
        <v>102</v>
      </c>
      <c r="CI64" s="11">
        <v>46226.98</v>
      </c>
      <c r="CJ64" s="5" t="s">
        <v>102</v>
      </c>
      <c r="CK64" s="5" t="s">
        <v>102</v>
      </c>
      <c r="CL64" s="11">
        <v>2200099.9900000002</v>
      </c>
      <c r="CM64" s="11">
        <v>1596534.53</v>
      </c>
    </row>
    <row r="65" spans="1:91" x14ac:dyDescent="0.35">
      <c r="A65" s="35" t="s">
        <v>66</v>
      </c>
      <c r="B65" s="42">
        <v>954675.51</v>
      </c>
      <c r="C65" s="42">
        <v>3247.14</v>
      </c>
      <c r="D65" s="42">
        <v>347.45</v>
      </c>
      <c r="E65" s="42">
        <v>175.42</v>
      </c>
      <c r="F65" s="42">
        <v>1677.68</v>
      </c>
      <c r="G65" s="42">
        <v>23822.54</v>
      </c>
      <c r="H65" s="42">
        <v>3822.42</v>
      </c>
      <c r="I65" s="42">
        <v>2024.45</v>
      </c>
      <c r="J65" s="42">
        <v>3791.88</v>
      </c>
      <c r="K65" s="42">
        <v>1504.14</v>
      </c>
      <c r="L65" s="42">
        <v>6980.24</v>
      </c>
      <c r="M65" s="71">
        <v>12536.533008902212</v>
      </c>
      <c r="N65" s="67">
        <v>471.22263040000001</v>
      </c>
      <c r="O65" s="67">
        <v>82.003832697788695</v>
      </c>
      <c r="P65" s="79">
        <v>177.09971999999999</v>
      </c>
      <c r="Q65" s="67">
        <v>17.930807999999999</v>
      </c>
      <c r="R65" s="42"/>
      <c r="S65" s="42"/>
      <c r="T65" s="42"/>
      <c r="U65" s="76"/>
      <c r="V65" s="42">
        <v>8170.55</v>
      </c>
      <c r="W65" s="42">
        <v>5548.91</v>
      </c>
      <c r="X65" s="42">
        <v>4596.03</v>
      </c>
      <c r="Y65" s="42">
        <v>6892.88</v>
      </c>
      <c r="Z65" s="42">
        <v>10032.86</v>
      </c>
      <c r="AA65" s="42">
        <v>7364.6</v>
      </c>
      <c r="AB65" s="42">
        <v>7809.39</v>
      </c>
      <c r="AC65" s="42">
        <v>16568.07</v>
      </c>
      <c r="AD65" s="42">
        <v>16777.330000000002</v>
      </c>
      <c r="AE65" s="42">
        <v>4897.55</v>
      </c>
      <c r="AF65" s="42">
        <v>4247.41</v>
      </c>
      <c r="AG65" s="42">
        <v>7017.33</v>
      </c>
      <c r="AH65" s="71">
        <v>12849.513036510793</v>
      </c>
      <c r="AI65" s="67">
        <v>7.1869634892086349</v>
      </c>
      <c r="AJ65" s="42">
        <v>1157.25</v>
      </c>
      <c r="AK65" s="42">
        <v>6418.15</v>
      </c>
      <c r="AL65" s="42">
        <v>39380.11</v>
      </c>
      <c r="AM65" s="42">
        <v>10610.5</v>
      </c>
      <c r="AN65" s="42">
        <v>66403.09</v>
      </c>
      <c r="AO65" s="42">
        <v>33430.050000000003</v>
      </c>
      <c r="AP65" s="42">
        <v>12857.94</v>
      </c>
      <c r="AQ65" s="42">
        <v>3295.08</v>
      </c>
      <c r="AR65" s="42">
        <v>2428.25</v>
      </c>
      <c r="AS65" s="42">
        <v>14316.59</v>
      </c>
      <c r="AT65" s="42">
        <v>3737.58</v>
      </c>
      <c r="AU65" s="42">
        <v>18199.14</v>
      </c>
      <c r="AV65" s="42">
        <v>9593.48</v>
      </c>
      <c r="AW65" s="42">
        <v>4764.34</v>
      </c>
      <c r="AX65" s="42">
        <v>9883.24</v>
      </c>
      <c r="AY65" s="42">
        <v>42518.2</v>
      </c>
      <c r="AZ65" s="42">
        <v>26803.24</v>
      </c>
      <c r="BA65" s="42">
        <v>10802.2</v>
      </c>
      <c r="BB65" s="42">
        <v>14978.68</v>
      </c>
      <c r="BC65" s="42">
        <v>35424.53</v>
      </c>
      <c r="BD65" s="42">
        <v>202983.63</v>
      </c>
      <c r="BE65" s="42">
        <v>36518.019999999997</v>
      </c>
      <c r="BF65" s="42">
        <v>11318.93</v>
      </c>
      <c r="BG65" s="42">
        <v>9054.7999999999993</v>
      </c>
      <c r="BH65" s="42">
        <v>10593.82</v>
      </c>
      <c r="BI65" s="42">
        <v>19358.78</v>
      </c>
      <c r="BJ65" s="42">
        <v>8190.26</v>
      </c>
      <c r="BK65" s="42">
        <v>4634.5</v>
      </c>
      <c r="BL65" s="42">
        <v>42437.87</v>
      </c>
      <c r="BM65" s="42">
        <v>18612.830000000002</v>
      </c>
      <c r="BN65" s="42">
        <v>6793.16</v>
      </c>
      <c r="BO65" s="42">
        <v>17121.41</v>
      </c>
      <c r="BP65" s="42">
        <v>7193.2</v>
      </c>
      <c r="BQ65" s="42">
        <v>5452.8</v>
      </c>
      <c r="BR65" s="42">
        <v>4016.01</v>
      </c>
      <c r="BS65" s="42">
        <v>4752.7</v>
      </c>
      <c r="BT65" s="42">
        <v>1139.3900000000001</v>
      </c>
      <c r="BU65" s="42">
        <v>4022.36</v>
      </c>
      <c r="BV65" s="42">
        <v>21.73</v>
      </c>
      <c r="BW65" s="42">
        <v>0</v>
      </c>
      <c r="BX65" s="42">
        <v>27760.02</v>
      </c>
      <c r="BY65" s="42">
        <v>2758.29</v>
      </c>
      <c r="BZ65" s="42">
        <v>24445.89</v>
      </c>
      <c r="CA65" s="42">
        <v>555.84</v>
      </c>
      <c r="CB65" s="42">
        <v>35542.46</v>
      </c>
      <c r="CC65" s="42">
        <v>-34.840000000000003</v>
      </c>
      <c r="CD65" s="42">
        <v>95242.559999999998</v>
      </c>
      <c r="CE65" s="42" t="s">
        <v>102</v>
      </c>
      <c r="CF65" s="42">
        <v>95242.559999999998</v>
      </c>
      <c r="CG65" s="42" t="s">
        <v>102</v>
      </c>
      <c r="CH65" s="42" t="s">
        <v>102</v>
      </c>
      <c r="CI65" s="42">
        <v>35577.300000000003</v>
      </c>
      <c r="CJ65" s="42" t="s">
        <v>102</v>
      </c>
      <c r="CK65" s="42" t="s">
        <v>102</v>
      </c>
      <c r="CL65" s="42">
        <v>1113220.55</v>
      </c>
      <c r="CM65" s="42">
        <v>158545.04</v>
      </c>
    </row>
    <row r="66" spans="1:91" x14ac:dyDescent="0.35">
      <c r="A66" s="26" t="s">
        <v>67</v>
      </c>
      <c r="B66" s="36">
        <v>324639.71999999997</v>
      </c>
      <c r="C66" s="36">
        <v>1308.69</v>
      </c>
      <c r="D66" s="36">
        <v>119.36</v>
      </c>
      <c r="E66" s="36">
        <v>22.28</v>
      </c>
      <c r="F66" s="36">
        <v>1469.12</v>
      </c>
      <c r="G66" s="36">
        <v>4569.8900000000003</v>
      </c>
      <c r="H66" s="36">
        <v>1293.8699999999999</v>
      </c>
      <c r="I66" s="36">
        <v>865.04</v>
      </c>
      <c r="J66" s="36">
        <v>1234.7</v>
      </c>
      <c r="K66" s="36">
        <v>296.64</v>
      </c>
      <c r="L66" s="36">
        <v>2810.55</v>
      </c>
      <c r="M66" s="71">
        <v>6477.9315759815718</v>
      </c>
      <c r="N66" s="66">
        <v>234.08568149999999</v>
      </c>
      <c r="O66" s="37">
        <v>46.896237518427519</v>
      </c>
      <c r="P66" s="37">
        <v>110.68732499999999</v>
      </c>
      <c r="Q66" s="66">
        <v>37.589179999999999</v>
      </c>
      <c r="R66" s="36"/>
      <c r="S66" s="36"/>
      <c r="T66" s="36"/>
      <c r="U66" s="76"/>
      <c r="V66" s="36">
        <v>3148.01</v>
      </c>
      <c r="W66" s="36">
        <v>3527.04</v>
      </c>
      <c r="X66" s="36">
        <v>2537.7800000000002</v>
      </c>
      <c r="Y66" s="36">
        <v>2678.09</v>
      </c>
      <c r="Z66" s="36">
        <v>5100.66</v>
      </c>
      <c r="AA66" s="36">
        <v>3639.73</v>
      </c>
      <c r="AB66" s="36">
        <v>4710.87</v>
      </c>
      <c r="AC66" s="36">
        <v>6769.32</v>
      </c>
      <c r="AD66" s="36">
        <v>8284.9500000000007</v>
      </c>
      <c r="AE66" s="36">
        <v>4861.7700000000004</v>
      </c>
      <c r="AF66" s="36">
        <v>1221.1600000000001</v>
      </c>
      <c r="AG66" s="36">
        <v>5308.23</v>
      </c>
      <c r="AH66" s="71">
        <v>7637.1988561151074</v>
      </c>
      <c r="AI66" s="66">
        <v>13.161143884892091</v>
      </c>
      <c r="AJ66" s="36">
        <v>1345.61</v>
      </c>
      <c r="AK66" s="36">
        <v>7374.88</v>
      </c>
      <c r="AL66" s="36">
        <v>57315.48</v>
      </c>
      <c r="AM66" s="36">
        <v>2268.04</v>
      </c>
      <c r="AN66" s="36">
        <v>9964.2900000000009</v>
      </c>
      <c r="AO66" s="36">
        <v>4900.84</v>
      </c>
      <c r="AP66" s="36">
        <v>6116.97</v>
      </c>
      <c r="AQ66" s="36">
        <v>971.5</v>
      </c>
      <c r="AR66" s="36">
        <v>1326.27</v>
      </c>
      <c r="AS66" s="36">
        <v>6045.65</v>
      </c>
      <c r="AT66" s="36">
        <v>581.22</v>
      </c>
      <c r="AU66" s="36">
        <v>3318.13</v>
      </c>
      <c r="AV66" s="36">
        <v>1527.59</v>
      </c>
      <c r="AW66" s="36">
        <v>685.2</v>
      </c>
      <c r="AX66" s="36">
        <v>3596.02</v>
      </c>
      <c r="AY66" s="36">
        <v>10304.18</v>
      </c>
      <c r="AZ66" s="36">
        <v>2106.36</v>
      </c>
      <c r="BA66" s="36">
        <v>1247.55</v>
      </c>
      <c r="BB66" s="36">
        <v>1557.49</v>
      </c>
      <c r="BC66" s="36">
        <v>9894.85</v>
      </c>
      <c r="BD66" s="36">
        <v>12793.41</v>
      </c>
      <c r="BE66" s="36">
        <v>49357.55</v>
      </c>
      <c r="BF66" s="36">
        <v>5906.61</v>
      </c>
      <c r="BG66" s="36">
        <v>2850.63</v>
      </c>
      <c r="BH66" s="36">
        <v>3785.26</v>
      </c>
      <c r="BI66" s="36">
        <v>5285.82</v>
      </c>
      <c r="BJ66" s="36">
        <v>1682.57</v>
      </c>
      <c r="BK66" s="36">
        <v>240.35</v>
      </c>
      <c r="BL66" s="36">
        <v>9076.5300000000007</v>
      </c>
      <c r="BM66" s="36">
        <v>8833.92</v>
      </c>
      <c r="BN66" s="36">
        <v>2445.3000000000002</v>
      </c>
      <c r="BO66" s="36">
        <v>3635.41</v>
      </c>
      <c r="BP66" s="36">
        <v>757.45</v>
      </c>
      <c r="BQ66" s="36">
        <v>1617.36</v>
      </c>
      <c r="BR66" s="36">
        <v>1102.5999999999999</v>
      </c>
      <c r="BS66" s="36">
        <v>744.02</v>
      </c>
      <c r="BT66" s="36">
        <v>300.77999999999997</v>
      </c>
      <c r="BU66" s="36">
        <v>1422.04</v>
      </c>
      <c r="BV66" s="36">
        <v>18.739999999999998</v>
      </c>
      <c r="BW66" s="36">
        <v>0</v>
      </c>
      <c r="BX66" s="36">
        <v>14718.47</v>
      </c>
      <c r="BY66" s="36">
        <v>2220.67</v>
      </c>
      <c r="BZ66" s="36">
        <v>12423.51</v>
      </c>
      <c r="CA66" s="36">
        <v>74.28</v>
      </c>
      <c r="CB66" s="36">
        <v>95094.15</v>
      </c>
      <c r="CC66" s="36">
        <v>980.34</v>
      </c>
      <c r="CD66" s="36">
        <v>32044.84</v>
      </c>
      <c r="CE66" s="36" t="s">
        <v>102</v>
      </c>
      <c r="CF66" s="36">
        <v>32044.84</v>
      </c>
      <c r="CG66" s="36" t="s">
        <v>102</v>
      </c>
      <c r="CH66" s="36" t="s">
        <v>102</v>
      </c>
      <c r="CI66" s="36">
        <v>94113.81</v>
      </c>
      <c r="CJ66" s="36" t="s">
        <v>102</v>
      </c>
      <c r="CK66" s="36" t="s">
        <v>102</v>
      </c>
      <c r="CL66" s="36">
        <v>466497.17</v>
      </c>
      <c r="CM66" s="36">
        <v>141857.45000000001</v>
      </c>
    </row>
    <row r="67" spans="1:91" x14ac:dyDescent="0.35">
      <c r="A67" s="3" t="s">
        <v>68</v>
      </c>
      <c r="B67" s="10">
        <v>28973.53</v>
      </c>
      <c r="C67" s="10">
        <v>61.53</v>
      </c>
      <c r="D67" s="10">
        <v>4.5999999999999996</v>
      </c>
      <c r="E67" s="10">
        <v>3.2</v>
      </c>
      <c r="F67" s="10">
        <v>29.03</v>
      </c>
      <c r="G67" s="10">
        <v>288.87</v>
      </c>
      <c r="H67" s="10">
        <v>104.08</v>
      </c>
      <c r="I67" s="10">
        <v>5.89</v>
      </c>
      <c r="J67" s="10">
        <v>43.04</v>
      </c>
      <c r="K67" s="10">
        <v>10.34</v>
      </c>
      <c r="L67" s="10">
        <v>111.07</v>
      </c>
      <c r="M67" s="71">
        <v>392.91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0">
        <v>2031.71</v>
      </c>
      <c r="W67" s="10">
        <v>352.65</v>
      </c>
      <c r="X67" s="10">
        <v>62.13</v>
      </c>
      <c r="Y67" s="10">
        <v>35.89</v>
      </c>
      <c r="Z67" s="10">
        <v>213.36</v>
      </c>
      <c r="AA67" s="10">
        <v>630.27</v>
      </c>
      <c r="AB67" s="10">
        <v>422.29</v>
      </c>
      <c r="AC67" s="10">
        <v>1412.49</v>
      </c>
      <c r="AD67" s="10">
        <v>2234.9699999999998</v>
      </c>
      <c r="AE67" s="10">
        <v>142.76</v>
      </c>
      <c r="AF67" s="10">
        <v>105.6</v>
      </c>
      <c r="AG67" s="10">
        <v>164.66</v>
      </c>
      <c r="AH67" s="71">
        <v>91.34</v>
      </c>
      <c r="AI67" s="29"/>
      <c r="AJ67" s="10">
        <v>7.53</v>
      </c>
      <c r="AK67" s="10">
        <v>50.9</v>
      </c>
      <c r="AL67" s="10">
        <v>422.74</v>
      </c>
      <c r="AM67" s="10">
        <v>330.69</v>
      </c>
      <c r="AN67" s="10">
        <v>1259.54</v>
      </c>
      <c r="AO67" s="10">
        <v>129.97999999999999</v>
      </c>
      <c r="AP67" s="10">
        <v>46.51</v>
      </c>
      <c r="AQ67" s="10">
        <v>2.29</v>
      </c>
      <c r="AR67" s="10">
        <v>2.65</v>
      </c>
      <c r="AS67" s="10">
        <v>25.46</v>
      </c>
      <c r="AT67" s="10">
        <v>58.65</v>
      </c>
      <c r="AU67" s="10">
        <v>13.07</v>
      </c>
      <c r="AV67" s="10">
        <v>196.95</v>
      </c>
      <c r="AW67" s="10">
        <v>23.84</v>
      </c>
      <c r="AX67" s="10">
        <v>28.7</v>
      </c>
      <c r="AY67" s="10">
        <v>1173.56</v>
      </c>
      <c r="AZ67" s="10">
        <v>161.66</v>
      </c>
      <c r="BA67" s="10">
        <v>24.39</v>
      </c>
      <c r="BB67" s="10">
        <v>26.6</v>
      </c>
      <c r="BC67" s="10">
        <v>60.2</v>
      </c>
      <c r="BD67" s="10">
        <v>1090.1199999999999</v>
      </c>
      <c r="BE67" s="10">
        <v>371.82</v>
      </c>
      <c r="BF67" s="10">
        <v>10887.14</v>
      </c>
      <c r="BG67" s="10">
        <v>195.07</v>
      </c>
      <c r="BH67" s="10">
        <v>190.7</v>
      </c>
      <c r="BI67" s="10">
        <v>1257.82</v>
      </c>
      <c r="BJ67" s="10">
        <v>81.12</v>
      </c>
      <c r="BK67" s="10">
        <v>13.13</v>
      </c>
      <c r="BL67" s="10">
        <v>324.43</v>
      </c>
      <c r="BM67" s="10">
        <v>274.48</v>
      </c>
      <c r="BN67" s="10">
        <v>796.65</v>
      </c>
      <c r="BO67" s="10">
        <v>323.05</v>
      </c>
      <c r="BP67" s="10">
        <v>33.69</v>
      </c>
      <c r="BQ67" s="10">
        <v>39.89</v>
      </c>
      <c r="BR67" s="10">
        <v>21.09</v>
      </c>
      <c r="BS67" s="10">
        <v>52.99</v>
      </c>
      <c r="BT67" s="10">
        <v>6.75</v>
      </c>
      <c r="BU67" s="10">
        <v>2.54</v>
      </c>
      <c r="BV67" s="10">
        <v>10.48</v>
      </c>
      <c r="BW67" s="4">
        <v>0</v>
      </c>
      <c r="BX67" s="10">
        <v>51975.55</v>
      </c>
      <c r="BY67" s="10">
        <v>49279.53</v>
      </c>
      <c r="BZ67" s="10">
        <v>0.65</v>
      </c>
      <c r="CA67" s="10">
        <v>2695.37</v>
      </c>
      <c r="CB67" s="10">
        <v>320077.46000000002</v>
      </c>
      <c r="CC67" s="10">
        <v>93.12</v>
      </c>
      <c r="CD67" s="10">
        <v>45070.13</v>
      </c>
      <c r="CE67" s="4" t="s">
        <v>102</v>
      </c>
      <c r="CF67" s="10">
        <v>45070.13</v>
      </c>
      <c r="CG67" s="4" t="s">
        <v>102</v>
      </c>
      <c r="CH67" s="4" t="s">
        <v>102</v>
      </c>
      <c r="CI67" s="10">
        <v>319984.34999999998</v>
      </c>
      <c r="CJ67" s="4" t="s">
        <v>102</v>
      </c>
      <c r="CK67" s="4" t="s">
        <v>102</v>
      </c>
      <c r="CL67" s="10">
        <v>446096.66</v>
      </c>
      <c r="CM67" s="10">
        <v>417123.14</v>
      </c>
    </row>
    <row r="68" spans="1:91" x14ac:dyDescent="0.35">
      <c r="A68" s="3" t="s">
        <v>69</v>
      </c>
      <c r="B68" s="11">
        <v>179239.67999999999</v>
      </c>
      <c r="C68" s="11">
        <v>318.20999999999998</v>
      </c>
      <c r="D68" s="11">
        <v>55.88</v>
      </c>
      <c r="E68" s="11">
        <v>19.440000000000001</v>
      </c>
      <c r="F68" s="11">
        <v>196.34</v>
      </c>
      <c r="G68" s="11">
        <v>17468.39</v>
      </c>
      <c r="H68" s="11">
        <v>1611.24</v>
      </c>
      <c r="I68" s="11">
        <v>316.52</v>
      </c>
      <c r="J68" s="11">
        <v>951.87</v>
      </c>
      <c r="K68" s="11">
        <v>241.59</v>
      </c>
      <c r="L68" s="11">
        <v>1321.83</v>
      </c>
      <c r="M68" s="71">
        <v>4067.37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1">
        <v>4374.88</v>
      </c>
      <c r="W68" s="5">
        <v>1172</v>
      </c>
      <c r="X68" s="11">
        <v>868.6</v>
      </c>
      <c r="Y68" s="11">
        <v>642.84</v>
      </c>
      <c r="Z68" s="11">
        <v>1360.67</v>
      </c>
      <c r="AA68" s="11">
        <v>1187.8</v>
      </c>
      <c r="AB68" s="11">
        <v>1385.63</v>
      </c>
      <c r="AC68" s="11">
        <v>1577.07</v>
      </c>
      <c r="AD68" s="11">
        <v>3583.02</v>
      </c>
      <c r="AE68" s="11">
        <v>350.26</v>
      </c>
      <c r="AF68" s="11">
        <v>1812.61</v>
      </c>
      <c r="AG68" s="11">
        <v>782.37</v>
      </c>
      <c r="AH68" s="71">
        <v>1491.59</v>
      </c>
      <c r="AI68" s="29"/>
      <c r="AJ68" s="11">
        <v>141.9</v>
      </c>
      <c r="AK68" s="11">
        <v>787.71</v>
      </c>
      <c r="AL68" s="11">
        <v>2992.25</v>
      </c>
      <c r="AM68" s="11">
        <v>5485.43</v>
      </c>
      <c r="AN68" s="11">
        <v>20968.2</v>
      </c>
      <c r="AO68" s="11">
        <v>14735.12</v>
      </c>
      <c r="AP68" s="11">
        <v>1325.27</v>
      </c>
      <c r="AQ68" s="11">
        <v>146.97999999999999</v>
      </c>
      <c r="AR68" s="11">
        <v>722.15</v>
      </c>
      <c r="AS68" s="11">
        <v>1388.1</v>
      </c>
      <c r="AT68" s="11">
        <v>730.12</v>
      </c>
      <c r="AU68" s="11">
        <v>3374.37</v>
      </c>
      <c r="AV68" s="11">
        <v>2663.44</v>
      </c>
      <c r="AW68" s="11">
        <v>2108.1999999999998</v>
      </c>
      <c r="AX68" s="11">
        <v>2914.33</v>
      </c>
      <c r="AY68" s="11">
        <v>7137.73</v>
      </c>
      <c r="AZ68" s="11">
        <v>4740.57</v>
      </c>
      <c r="BA68" s="11">
        <v>2512.8000000000002</v>
      </c>
      <c r="BB68" s="11">
        <v>1608.12</v>
      </c>
      <c r="BC68" s="11">
        <v>2191.81</v>
      </c>
      <c r="BD68" s="11">
        <v>7199.8</v>
      </c>
      <c r="BE68" s="11">
        <v>1135.98</v>
      </c>
      <c r="BF68" s="11">
        <v>1737.35</v>
      </c>
      <c r="BG68" s="11">
        <v>20519.45</v>
      </c>
      <c r="BH68" s="11">
        <v>1321.67</v>
      </c>
      <c r="BI68" s="11">
        <v>3411.66</v>
      </c>
      <c r="BJ68" s="11">
        <v>1493.15</v>
      </c>
      <c r="BK68" s="11">
        <v>3117.83</v>
      </c>
      <c r="BL68" s="11">
        <v>3069.08</v>
      </c>
      <c r="BM68" s="11">
        <v>2800.58</v>
      </c>
      <c r="BN68" s="11">
        <v>925.11</v>
      </c>
      <c r="BO68" s="11">
        <v>1240.58</v>
      </c>
      <c r="BP68" s="11">
        <v>397.15</v>
      </c>
      <c r="BQ68" s="11">
        <v>2142.5</v>
      </c>
      <c r="BR68" s="11">
        <v>1238.78</v>
      </c>
      <c r="BS68" s="11">
        <v>721.82</v>
      </c>
      <c r="BT68" s="11">
        <v>314.89</v>
      </c>
      <c r="BU68" s="11">
        <v>617.96</v>
      </c>
      <c r="BV68" s="11">
        <v>1.74</v>
      </c>
      <c r="BW68" s="5">
        <v>0</v>
      </c>
      <c r="BX68" s="5">
        <v>161</v>
      </c>
      <c r="BY68" s="11">
        <v>35.130000000000003</v>
      </c>
      <c r="BZ68" s="11">
        <v>117.96</v>
      </c>
      <c r="CA68" s="11">
        <v>7.91</v>
      </c>
      <c r="CB68" s="11">
        <v>-121.71</v>
      </c>
      <c r="CC68" s="11">
        <v>-127.38</v>
      </c>
      <c r="CD68" s="11">
        <v>25193.51</v>
      </c>
      <c r="CE68" s="5" t="s">
        <v>102</v>
      </c>
      <c r="CF68" s="11">
        <v>25193.51</v>
      </c>
      <c r="CG68" s="5" t="s">
        <v>102</v>
      </c>
      <c r="CH68" s="5" t="s">
        <v>102</v>
      </c>
      <c r="CI68" s="11">
        <v>5.67</v>
      </c>
      <c r="CJ68" s="5" t="s">
        <v>102</v>
      </c>
      <c r="CK68" s="5" t="s">
        <v>102</v>
      </c>
      <c r="CL68" s="11">
        <v>204472.48</v>
      </c>
      <c r="CM68" s="11">
        <v>25232.799999999999</v>
      </c>
    </row>
    <row r="69" spans="1:91" x14ac:dyDescent="0.35">
      <c r="A69" s="3" t="s">
        <v>70</v>
      </c>
      <c r="B69" s="10">
        <v>139029.29999999999</v>
      </c>
      <c r="C69" s="10">
        <v>7086.7</v>
      </c>
      <c r="D69" s="10">
        <v>125.7</v>
      </c>
      <c r="E69" s="10">
        <v>47.04</v>
      </c>
      <c r="F69" s="10">
        <v>279.39</v>
      </c>
      <c r="G69" s="10">
        <v>3392.81</v>
      </c>
      <c r="H69" s="10">
        <v>1403.78</v>
      </c>
      <c r="I69" s="10">
        <v>229.37</v>
      </c>
      <c r="J69" s="10">
        <v>429.09</v>
      </c>
      <c r="K69" s="10">
        <v>244.71</v>
      </c>
      <c r="L69" s="10">
        <v>573.49</v>
      </c>
      <c r="M69" s="71">
        <v>1561.97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0">
        <v>654.84</v>
      </c>
      <c r="W69" s="10">
        <v>843.88</v>
      </c>
      <c r="X69" s="10">
        <v>572.21</v>
      </c>
      <c r="Y69" s="10">
        <v>750.32</v>
      </c>
      <c r="Z69" s="10">
        <v>1304.0999999999999</v>
      </c>
      <c r="AA69" s="10">
        <v>1205.32</v>
      </c>
      <c r="AB69" s="10">
        <v>1376.76</v>
      </c>
      <c r="AC69" s="10">
        <v>2080.41</v>
      </c>
      <c r="AD69" s="10">
        <v>2685.06</v>
      </c>
      <c r="AE69" s="10">
        <v>541.62</v>
      </c>
      <c r="AF69" s="10">
        <v>1140.02</v>
      </c>
      <c r="AG69" s="10">
        <v>890.41</v>
      </c>
      <c r="AH69" s="71">
        <v>1707.83</v>
      </c>
      <c r="AI69" s="29"/>
      <c r="AJ69" s="10">
        <v>225.37</v>
      </c>
      <c r="AK69" s="10">
        <v>1335.9</v>
      </c>
      <c r="AL69" s="10">
        <v>5228.3</v>
      </c>
      <c r="AM69" s="10">
        <v>1783.95</v>
      </c>
      <c r="AN69" s="10">
        <v>12473.66</v>
      </c>
      <c r="AO69" s="10">
        <v>3749.55</v>
      </c>
      <c r="AP69" s="10">
        <v>1622.68</v>
      </c>
      <c r="AQ69" s="10">
        <v>155.18</v>
      </c>
      <c r="AR69" s="10">
        <v>856.91</v>
      </c>
      <c r="AS69" s="10">
        <v>1706.03</v>
      </c>
      <c r="AT69" s="10">
        <v>339.39</v>
      </c>
      <c r="AU69" s="10">
        <v>2744.45</v>
      </c>
      <c r="AV69" s="10">
        <v>1914.07</v>
      </c>
      <c r="AW69" s="10">
        <v>1071.8699999999999</v>
      </c>
      <c r="AX69" s="10">
        <v>2200.12</v>
      </c>
      <c r="AY69" s="10">
        <v>6324.94</v>
      </c>
      <c r="AZ69" s="10">
        <v>3718.35</v>
      </c>
      <c r="BA69" s="10">
        <v>2785.25</v>
      </c>
      <c r="BB69" s="10">
        <v>2647.79</v>
      </c>
      <c r="BC69" s="10">
        <v>3491.21</v>
      </c>
      <c r="BD69" s="10">
        <v>10585.9</v>
      </c>
      <c r="BE69" s="10">
        <v>3831.29</v>
      </c>
      <c r="BF69" s="10">
        <v>1854.92</v>
      </c>
      <c r="BG69" s="10">
        <v>3203.03</v>
      </c>
      <c r="BH69" s="10">
        <v>6736.36</v>
      </c>
      <c r="BI69" s="10">
        <v>2877.58</v>
      </c>
      <c r="BJ69" s="10">
        <v>988.27</v>
      </c>
      <c r="BK69" s="10">
        <v>556.1</v>
      </c>
      <c r="BL69" s="10">
        <v>5145.68</v>
      </c>
      <c r="BM69" s="10">
        <v>4384.1000000000004</v>
      </c>
      <c r="BN69" s="10">
        <v>2375.4499999999998</v>
      </c>
      <c r="BO69" s="10">
        <v>2471.4499999999998</v>
      </c>
      <c r="BP69" s="10">
        <v>1230.6500000000001</v>
      </c>
      <c r="BQ69" s="10">
        <v>1810.06</v>
      </c>
      <c r="BR69" s="10">
        <v>1600.19</v>
      </c>
      <c r="BS69" s="10">
        <v>898.44</v>
      </c>
      <c r="BT69" s="10">
        <v>182.3</v>
      </c>
      <c r="BU69" s="10">
        <v>788.98</v>
      </c>
      <c r="BV69" s="10">
        <v>6.78</v>
      </c>
      <c r="BW69" s="4">
        <v>0</v>
      </c>
      <c r="BX69" s="10">
        <v>25992.37</v>
      </c>
      <c r="BY69" s="10">
        <v>2083.2199999999998</v>
      </c>
      <c r="BZ69" s="10">
        <v>23872.04</v>
      </c>
      <c r="CA69" s="10">
        <v>37.11</v>
      </c>
      <c r="CB69" s="10">
        <v>374.77</v>
      </c>
      <c r="CC69" s="10">
        <v>289.31</v>
      </c>
      <c r="CD69" s="10">
        <v>12817.42</v>
      </c>
      <c r="CE69" s="4" t="s">
        <v>102</v>
      </c>
      <c r="CF69" s="10">
        <v>12817.42</v>
      </c>
      <c r="CG69" s="4" t="s">
        <v>102</v>
      </c>
      <c r="CH69" s="4" t="s">
        <v>102</v>
      </c>
      <c r="CI69" s="10">
        <v>85.46</v>
      </c>
      <c r="CJ69" s="4" t="s">
        <v>102</v>
      </c>
      <c r="CK69" s="4" t="s">
        <v>102</v>
      </c>
      <c r="CL69" s="10">
        <v>178213.86</v>
      </c>
      <c r="CM69" s="10">
        <v>39184.559999999998</v>
      </c>
    </row>
    <row r="70" spans="1:91" x14ac:dyDescent="0.35">
      <c r="A70" s="3" t="s">
        <v>71</v>
      </c>
      <c r="B70" s="11">
        <v>440512.03</v>
      </c>
      <c r="C70" s="11">
        <v>4945.3500000000004</v>
      </c>
      <c r="D70" s="11">
        <v>338.45</v>
      </c>
      <c r="E70" s="11">
        <v>102.29</v>
      </c>
      <c r="F70" s="11">
        <v>1171.71</v>
      </c>
      <c r="G70" s="11">
        <v>9606.92</v>
      </c>
      <c r="H70" s="11">
        <v>1622.03</v>
      </c>
      <c r="I70" s="11">
        <v>1266.3599999999999</v>
      </c>
      <c r="J70" s="11">
        <v>1906.26</v>
      </c>
      <c r="K70" s="11">
        <v>1315.01</v>
      </c>
      <c r="L70" s="11">
        <v>1980.1</v>
      </c>
      <c r="M70" s="71">
        <v>7338.27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1">
        <v>8545.19</v>
      </c>
      <c r="W70" s="11">
        <v>3565.52</v>
      </c>
      <c r="X70" s="11">
        <v>3012.76</v>
      </c>
      <c r="Y70" s="11">
        <v>2638.27</v>
      </c>
      <c r="Z70" s="11">
        <v>4904.3999999999996</v>
      </c>
      <c r="AA70" s="11">
        <v>3240.91</v>
      </c>
      <c r="AB70" s="11">
        <v>3094.29</v>
      </c>
      <c r="AC70" s="11">
        <v>5887.91</v>
      </c>
      <c r="AD70" s="11">
        <v>6354.88</v>
      </c>
      <c r="AE70" s="11">
        <v>1678.01</v>
      </c>
      <c r="AF70" s="11">
        <v>2256.91</v>
      </c>
      <c r="AG70" s="11">
        <v>3721.86</v>
      </c>
      <c r="AH70" s="71">
        <v>7787.54</v>
      </c>
      <c r="AI70" s="29"/>
      <c r="AJ70" s="11">
        <v>1133.3499999999999</v>
      </c>
      <c r="AK70" s="11">
        <v>5813.94</v>
      </c>
      <c r="AL70" s="11">
        <v>40735.879999999997</v>
      </c>
      <c r="AM70" s="11">
        <v>4168.66</v>
      </c>
      <c r="AN70" s="11">
        <v>30267.21</v>
      </c>
      <c r="AO70" s="11">
        <v>16258.56</v>
      </c>
      <c r="AP70" s="11">
        <v>16823.37</v>
      </c>
      <c r="AQ70" s="11">
        <v>5155.62</v>
      </c>
      <c r="AR70" s="11">
        <v>8531.24</v>
      </c>
      <c r="AS70" s="11">
        <v>12268.35</v>
      </c>
      <c r="AT70" s="11">
        <v>1922.06</v>
      </c>
      <c r="AU70" s="11">
        <v>9967.2999999999993</v>
      </c>
      <c r="AV70" s="11">
        <v>3202.83</v>
      </c>
      <c r="AW70" s="11">
        <v>7143.88</v>
      </c>
      <c r="AX70" s="11">
        <v>7349.15</v>
      </c>
      <c r="AY70" s="11">
        <v>25466.560000000001</v>
      </c>
      <c r="AZ70" s="11">
        <v>4296.7299999999996</v>
      </c>
      <c r="BA70" s="11">
        <v>3261.13</v>
      </c>
      <c r="BB70" s="11">
        <v>4407.1099999999997</v>
      </c>
      <c r="BC70" s="11">
        <v>3611.69</v>
      </c>
      <c r="BD70" s="11">
        <v>16226.16</v>
      </c>
      <c r="BE70" s="11">
        <v>4810.26</v>
      </c>
      <c r="BF70" s="11">
        <v>5678.18</v>
      </c>
      <c r="BG70" s="11">
        <v>3911.19</v>
      </c>
      <c r="BH70" s="11">
        <v>2678.26</v>
      </c>
      <c r="BI70" s="11">
        <v>52722.58</v>
      </c>
      <c r="BJ70" s="11">
        <v>1271.18</v>
      </c>
      <c r="BK70" s="11">
        <v>1482.96</v>
      </c>
      <c r="BL70" s="11">
        <v>15783.52</v>
      </c>
      <c r="BM70" s="11">
        <v>8053.14</v>
      </c>
      <c r="BN70" s="11">
        <v>5263.93</v>
      </c>
      <c r="BO70" s="11">
        <v>7178.37</v>
      </c>
      <c r="BP70" s="11">
        <v>3936.78</v>
      </c>
      <c r="BQ70" s="11">
        <v>3009.38</v>
      </c>
      <c r="BR70" s="11">
        <v>3059.33</v>
      </c>
      <c r="BS70" s="11">
        <v>1574.17</v>
      </c>
      <c r="BT70" s="11">
        <v>511.02</v>
      </c>
      <c r="BU70" s="11">
        <v>3279.58</v>
      </c>
      <c r="BV70" s="11">
        <v>16.23</v>
      </c>
      <c r="BW70" s="5">
        <v>0</v>
      </c>
      <c r="BX70" s="11">
        <v>47920.71</v>
      </c>
      <c r="BY70" s="11">
        <v>777.47</v>
      </c>
      <c r="BZ70" s="11">
        <v>47139.46</v>
      </c>
      <c r="CA70" s="11">
        <v>3.78</v>
      </c>
      <c r="CB70" s="11">
        <v>3019.6</v>
      </c>
      <c r="CC70" s="11">
        <v>35.33</v>
      </c>
      <c r="CD70" s="11">
        <v>56960.639999999999</v>
      </c>
      <c r="CE70" s="5" t="s">
        <v>102</v>
      </c>
      <c r="CF70" s="11">
        <v>56960.639999999999</v>
      </c>
      <c r="CG70" s="5" t="s">
        <v>102</v>
      </c>
      <c r="CH70" s="5" t="s">
        <v>102</v>
      </c>
      <c r="CI70" s="11">
        <v>2984.27</v>
      </c>
      <c r="CJ70" s="5" t="s">
        <v>102</v>
      </c>
      <c r="CK70" s="5" t="s">
        <v>102</v>
      </c>
      <c r="CL70" s="11">
        <v>548412.97</v>
      </c>
      <c r="CM70" s="11">
        <v>107900.95</v>
      </c>
    </row>
    <row r="71" spans="1:91" x14ac:dyDescent="0.35">
      <c r="A71" s="3" t="s">
        <v>72</v>
      </c>
      <c r="B71" s="10">
        <v>237752.99</v>
      </c>
      <c r="C71" s="4">
        <v>3449</v>
      </c>
      <c r="D71" s="10">
        <v>155.83000000000001</v>
      </c>
      <c r="E71" s="10">
        <v>27.21</v>
      </c>
      <c r="F71" s="10">
        <v>640.89</v>
      </c>
      <c r="G71" s="10">
        <v>13532.56</v>
      </c>
      <c r="H71" s="10">
        <v>1162.47</v>
      </c>
      <c r="I71" s="10">
        <v>1089.27</v>
      </c>
      <c r="J71" s="10">
        <v>1428.23</v>
      </c>
      <c r="K71" s="10">
        <v>590.19000000000005</v>
      </c>
      <c r="L71" s="10">
        <v>497.95</v>
      </c>
      <c r="M71" s="71">
        <v>3212.03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0">
        <v>2569.08</v>
      </c>
      <c r="W71" s="10">
        <v>3269.07</v>
      </c>
      <c r="X71" s="10">
        <v>2567.4</v>
      </c>
      <c r="Y71" s="10">
        <v>2305.23</v>
      </c>
      <c r="Z71" s="10">
        <v>5937.46</v>
      </c>
      <c r="AA71" s="10">
        <v>2649.79</v>
      </c>
      <c r="AB71" s="10">
        <v>3364.39</v>
      </c>
      <c r="AC71" s="10">
        <v>7017.32</v>
      </c>
      <c r="AD71" s="4">
        <v>5968</v>
      </c>
      <c r="AE71" s="10">
        <v>3404.44</v>
      </c>
      <c r="AF71" s="10">
        <v>1939.64</v>
      </c>
      <c r="AG71" s="10">
        <v>4855.8500000000004</v>
      </c>
      <c r="AH71" s="71">
        <v>2819.26</v>
      </c>
      <c r="AI71" s="29"/>
      <c r="AJ71" s="10">
        <v>389.41</v>
      </c>
      <c r="AK71" s="10">
        <v>2615.2800000000002</v>
      </c>
      <c r="AL71" s="10">
        <v>19675.66</v>
      </c>
      <c r="AM71" s="10">
        <v>1827.51</v>
      </c>
      <c r="AN71" s="10">
        <v>14839.95</v>
      </c>
      <c r="AO71" s="10">
        <v>7912.6</v>
      </c>
      <c r="AP71" s="10">
        <v>8502.77</v>
      </c>
      <c r="AQ71" s="10">
        <v>2396.71</v>
      </c>
      <c r="AR71" s="10">
        <v>1243.46</v>
      </c>
      <c r="AS71" s="10">
        <v>10500.7</v>
      </c>
      <c r="AT71" s="10">
        <v>2815.98</v>
      </c>
      <c r="AU71" s="10">
        <v>5790.7</v>
      </c>
      <c r="AV71" s="10">
        <v>1158.3</v>
      </c>
      <c r="AW71" s="10">
        <v>386.22</v>
      </c>
      <c r="AX71" s="10">
        <v>1893.68</v>
      </c>
      <c r="AY71" s="10">
        <v>6797.65</v>
      </c>
      <c r="AZ71" s="10">
        <v>2406.36</v>
      </c>
      <c r="BA71" s="10">
        <v>740.45</v>
      </c>
      <c r="BB71" s="10">
        <v>1856.68</v>
      </c>
      <c r="BC71" s="10">
        <v>2655.67</v>
      </c>
      <c r="BD71" s="10">
        <v>7929.76</v>
      </c>
      <c r="BE71" s="4">
        <v>4440</v>
      </c>
      <c r="BF71" s="10">
        <v>3188.68</v>
      </c>
      <c r="BG71" s="10">
        <v>1263.43</v>
      </c>
      <c r="BH71" s="10">
        <v>1224.82</v>
      </c>
      <c r="BI71" s="10">
        <v>5012.58</v>
      </c>
      <c r="BJ71" s="10">
        <v>10537.84</v>
      </c>
      <c r="BK71" s="10">
        <v>594.96</v>
      </c>
      <c r="BL71" s="10">
        <v>9627.39</v>
      </c>
      <c r="BM71" s="10">
        <v>5017.41</v>
      </c>
      <c r="BN71" s="10">
        <v>3360.38</v>
      </c>
      <c r="BO71" s="10">
        <v>7351.91</v>
      </c>
      <c r="BP71" s="10">
        <v>4475.49</v>
      </c>
      <c r="BQ71" s="10">
        <v>674.74</v>
      </c>
      <c r="BR71" s="10">
        <v>532.52</v>
      </c>
      <c r="BS71" s="10">
        <v>652.70000000000005</v>
      </c>
      <c r="BT71" s="10">
        <v>356.82</v>
      </c>
      <c r="BU71" s="10">
        <v>644.26</v>
      </c>
      <c r="BV71" s="10">
        <v>9.01</v>
      </c>
      <c r="BW71" s="4">
        <v>0</v>
      </c>
      <c r="BX71" s="10">
        <v>4820.3999999999996</v>
      </c>
      <c r="BY71" s="10">
        <v>2890.68</v>
      </c>
      <c r="BZ71" s="10">
        <v>1914.56</v>
      </c>
      <c r="CA71" s="10">
        <v>15.16</v>
      </c>
      <c r="CB71" s="10">
        <v>55.24</v>
      </c>
      <c r="CC71" s="4">
        <v>30</v>
      </c>
      <c r="CD71" s="10">
        <v>4076.48</v>
      </c>
      <c r="CE71" s="4" t="s">
        <v>102</v>
      </c>
      <c r="CF71" s="10">
        <v>4076.48</v>
      </c>
      <c r="CG71" s="4" t="s">
        <v>102</v>
      </c>
      <c r="CH71" s="4" t="s">
        <v>102</v>
      </c>
      <c r="CI71" s="10">
        <v>25.23</v>
      </c>
      <c r="CJ71" s="4" t="s">
        <v>102</v>
      </c>
      <c r="CK71" s="4" t="s">
        <v>102</v>
      </c>
      <c r="CL71" s="10">
        <v>246705.1</v>
      </c>
      <c r="CM71" s="10">
        <v>8952.11</v>
      </c>
    </row>
    <row r="72" spans="1:91" x14ac:dyDescent="0.35">
      <c r="A72" s="3" t="s">
        <v>73</v>
      </c>
      <c r="B72" s="11">
        <v>32270.03</v>
      </c>
      <c r="C72" s="11">
        <v>55.61</v>
      </c>
      <c r="D72" s="11">
        <v>19.850000000000001</v>
      </c>
      <c r="E72" s="5">
        <v>15</v>
      </c>
      <c r="F72" s="11">
        <v>51.6</v>
      </c>
      <c r="G72" s="11">
        <v>273.75</v>
      </c>
      <c r="H72" s="11">
        <v>104.26</v>
      </c>
      <c r="I72" s="11">
        <v>47.05</v>
      </c>
      <c r="J72" s="11">
        <v>65.040000000000006</v>
      </c>
      <c r="K72" s="11">
        <v>35.14</v>
      </c>
      <c r="L72" s="11">
        <v>80.02</v>
      </c>
      <c r="M72" s="71">
        <v>197.42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1">
        <v>148.29</v>
      </c>
      <c r="W72" s="11">
        <v>98.43</v>
      </c>
      <c r="X72" s="11">
        <v>150.63999999999999</v>
      </c>
      <c r="Y72" s="11">
        <v>97.92</v>
      </c>
      <c r="Z72" s="11">
        <v>240.12</v>
      </c>
      <c r="AA72" s="11">
        <v>138.44</v>
      </c>
      <c r="AB72" s="11">
        <v>295.91000000000003</v>
      </c>
      <c r="AC72" s="11">
        <v>260.23</v>
      </c>
      <c r="AD72" s="11">
        <v>361.52</v>
      </c>
      <c r="AE72" s="11">
        <v>123.4</v>
      </c>
      <c r="AF72" s="11">
        <v>99.89</v>
      </c>
      <c r="AG72" s="11">
        <v>155.28</v>
      </c>
      <c r="AH72" s="71">
        <v>332.97</v>
      </c>
      <c r="AI72" s="29"/>
      <c r="AJ72" s="11">
        <v>41.75</v>
      </c>
      <c r="AK72" s="11">
        <v>130.27000000000001</v>
      </c>
      <c r="AL72" s="11">
        <v>585.62</v>
      </c>
      <c r="AM72" s="11">
        <v>156.15</v>
      </c>
      <c r="AN72" s="11">
        <v>986.6</v>
      </c>
      <c r="AO72" s="11">
        <v>447.12</v>
      </c>
      <c r="AP72" s="11">
        <v>2084.66</v>
      </c>
      <c r="AQ72" s="11">
        <v>343.5</v>
      </c>
      <c r="AR72" s="11">
        <v>2484.85</v>
      </c>
      <c r="AS72" s="11">
        <v>1064.8399999999999</v>
      </c>
      <c r="AT72" s="11">
        <v>65.48</v>
      </c>
      <c r="AU72" s="11">
        <v>1611.73</v>
      </c>
      <c r="AV72" s="11">
        <v>77.44</v>
      </c>
      <c r="AW72" s="11">
        <v>216.77</v>
      </c>
      <c r="AX72" s="11">
        <v>391.61</v>
      </c>
      <c r="AY72" s="11">
        <v>522.24</v>
      </c>
      <c r="AZ72" s="11">
        <v>203.76</v>
      </c>
      <c r="BA72" s="11">
        <v>113.63</v>
      </c>
      <c r="BB72" s="11">
        <v>126.1</v>
      </c>
      <c r="BC72" s="11">
        <v>222.63</v>
      </c>
      <c r="BD72" s="11">
        <v>657.19</v>
      </c>
      <c r="BE72" s="11">
        <v>146.83000000000001</v>
      </c>
      <c r="BF72" s="11">
        <v>279.42</v>
      </c>
      <c r="BG72" s="11">
        <v>162.51</v>
      </c>
      <c r="BH72" s="11">
        <v>87.47</v>
      </c>
      <c r="BI72" s="11">
        <v>517.48</v>
      </c>
      <c r="BJ72" s="11">
        <v>72.59</v>
      </c>
      <c r="BK72" s="11">
        <v>11649.85</v>
      </c>
      <c r="BL72" s="11">
        <v>257.91000000000003</v>
      </c>
      <c r="BM72" s="11">
        <v>586.19000000000005</v>
      </c>
      <c r="BN72" s="11">
        <v>365.79</v>
      </c>
      <c r="BO72" s="11">
        <v>213.25</v>
      </c>
      <c r="BP72" s="11">
        <v>158.16</v>
      </c>
      <c r="BQ72" s="11">
        <v>524.08000000000004</v>
      </c>
      <c r="BR72" s="11">
        <v>1075.68</v>
      </c>
      <c r="BS72" s="11">
        <v>93.91</v>
      </c>
      <c r="BT72" s="11">
        <v>36.4</v>
      </c>
      <c r="BU72" s="11">
        <v>59.17</v>
      </c>
      <c r="BV72" s="11">
        <v>1.67</v>
      </c>
      <c r="BW72" s="5">
        <v>0</v>
      </c>
      <c r="BX72" s="11">
        <v>81919.5</v>
      </c>
      <c r="BY72" s="11">
        <v>2473.59</v>
      </c>
      <c r="BZ72" s="11">
        <v>79288.77</v>
      </c>
      <c r="CA72" s="11">
        <v>157.13999999999999</v>
      </c>
      <c r="CB72" s="11">
        <v>95.34</v>
      </c>
      <c r="CC72" s="11">
        <v>49.31</v>
      </c>
      <c r="CD72" s="11">
        <v>14011.33</v>
      </c>
      <c r="CE72" s="5" t="s">
        <v>102</v>
      </c>
      <c r="CF72" s="11">
        <v>14011.33</v>
      </c>
      <c r="CG72" s="5" t="s">
        <v>102</v>
      </c>
      <c r="CH72" s="5" t="s">
        <v>102</v>
      </c>
      <c r="CI72" s="11">
        <v>46.02</v>
      </c>
      <c r="CJ72" s="5" t="s">
        <v>102</v>
      </c>
      <c r="CK72" s="5" t="s">
        <v>102</v>
      </c>
      <c r="CL72" s="11">
        <v>128296.19</v>
      </c>
      <c r="CM72" s="11">
        <v>96026.17</v>
      </c>
    </row>
    <row r="73" spans="1:91" x14ac:dyDescent="0.35">
      <c r="A73" s="3" t="s">
        <v>74</v>
      </c>
      <c r="B73" s="10">
        <v>567997.41</v>
      </c>
      <c r="C73" s="10">
        <v>2242.0500000000002</v>
      </c>
      <c r="D73" s="10">
        <v>298.48</v>
      </c>
      <c r="E73" s="10">
        <v>49.77</v>
      </c>
      <c r="F73" s="10">
        <v>1294.9100000000001</v>
      </c>
      <c r="G73" s="10">
        <v>13053.09</v>
      </c>
      <c r="H73" s="10">
        <v>2628.54</v>
      </c>
      <c r="I73" s="10">
        <v>1260.48</v>
      </c>
      <c r="J73" s="10">
        <v>2360.36</v>
      </c>
      <c r="K73" s="10">
        <v>930.78</v>
      </c>
      <c r="L73" s="10">
        <v>3401.5</v>
      </c>
      <c r="M73" s="71">
        <v>8798.7099999999991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0">
        <v>4073.63</v>
      </c>
      <c r="W73" s="10">
        <v>3070.69</v>
      </c>
      <c r="X73" s="10">
        <v>2722.88</v>
      </c>
      <c r="Y73" s="10">
        <v>4079.89</v>
      </c>
      <c r="Z73" s="10">
        <v>5046.97</v>
      </c>
      <c r="AA73" s="10">
        <v>2731.9</v>
      </c>
      <c r="AB73" s="10">
        <v>3567.34</v>
      </c>
      <c r="AC73" s="10">
        <v>6950.68</v>
      </c>
      <c r="AD73" s="10">
        <v>8488.7900000000009</v>
      </c>
      <c r="AE73" s="10">
        <v>2402.65</v>
      </c>
      <c r="AF73" s="10">
        <v>2743.29</v>
      </c>
      <c r="AG73" s="10">
        <v>3843.08</v>
      </c>
      <c r="AH73" s="71">
        <v>13384.22</v>
      </c>
      <c r="AI73" s="29"/>
      <c r="AJ73" s="10">
        <v>1921.89</v>
      </c>
      <c r="AK73" s="10">
        <v>8235.23</v>
      </c>
      <c r="AL73" s="10">
        <v>31410.959999999999</v>
      </c>
      <c r="AM73" s="10">
        <v>6738.77</v>
      </c>
      <c r="AN73" s="10">
        <v>40069.33</v>
      </c>
      <c r="AO73" s="10">
        <v>24814.67</v>
      </c>
      <c r="AP73" s="10">
        <v>10979.23</v>
      </c>
      <c r="AQ73" s="10">
        <v>3203.68</v>
      </c>
      <c r="AR73" s="10">
        <v>1962.78</v>
      </c>
      <c r="AS73" s="10">
        <v>16146.35</v>
      </c>
      <c r="AT73" s="10">
        <v>2442.7199999999998</v>
      </c>
      <c r="AU73" s="10">
        <v>15311.47</v>
      </c>
      <c r="AV73" s="10">
        <v>4900.07</v>
      </c>
      <c r="AW73" s="10">
        <v>5485.59</v>
      </c>
      <c r="AX73" s="10">
        <v>6657.27</v>
      </c>
      <c r="AY73" s="10">
        <v>18805.23</v>
      </c>
      <c r="AZ73" s="10">
        <v>13955.45</v>
      </c>
      <c r="BA73" s="10">
        <v>7760.58</v>
      </c>
      <c r="BB73" s="10">
        <v>8236.32</v>
      </c>
      <c r="BC73" s="10">
        <v>22451.45</v>
      </c>
      <c r="BD73" s="10">
        <v>28346.97</v>
      </c>
      <c r="BE73" s="10">
        <v>9446.83</v>
      </c>
      <c r="BF73" s="10">
        <v>6834.68</v>
      </c>
      <c r="BG73" s="10">
        <v>5423.8</v>
      </c>
      <c r="BH73" s="10">
        <v>4880.3500000000004</v>
      </c>
      <c r="BI73" s="10">
        <v>17204.41</v>
      </c>
      <c r="BJ73" s="10">
        <v>2792.05</v>
      </c>
      <c r="BK73" s="10">
        <v>3096.34</v>
      </c>
      <c r="BL73" s="10">
        <v>49301.79</v>
      </c>
      <c r="BM73" s="10">
        <v>32089.52</v>
      </c>
      <c r="BN73" s="10">
        <v>10665.69</v>
      </c>
      <c r="BO73" s="10">
        <v>20534.27</v>
      </c>
      <c r="BP73" s="10">
        <v>9878.5499999999993</v>
      </c>
      <c r="BQ73" s="10">
        <v>5199.8900000000003</v>
      </c>
      <c r="BR73" s="10">
        <v>4261.2700000000004</v>
      </c>
      <c r="BS73" s="10">
        <v>3127.01</v>
      </c>
      <c r="BT73" s="10">
        <v>969.32</v>
      </c>
      <c r="BU73" s="10">
        <v>2994.82</v>
      </c>
      <c r="BV73" s="10">
        <v>36.200000000000003</v>
      </c>
      <c r="BW73" s="4">
        <v>0</v>
      </c>
      <c r="BX73" s="10">
        <v>48218.7</v>
      </c>
      <c r="BY73" s="10">
        <v>3804.93</v>
      </c>
      <c r="BZ73" s="10">
        <v>44352.07</v>
      </c>
      <c r="CA73" s="10">
        <v>61.7</v>
      </c>
      <c r="CB73" s="10">
        <v>12855.92</v>
      </c>
      <c r="CC73" s="10">
        <v>-281.86</v>
      </c>
      <c r="CD73" s="4">
        <v>40292</v>
      </c>
      <c r="CE73" s="4" t="s">
        <v>102</v>
      </c>
      <c r="CF73" s="4">
        <v>40292</v>
      </c>
      <c r="CG73" s="4" t="s">
        <v>102</v>
      </c>
      <c r="CH73" s="4" t="s">
        <v>102</v>
      </c>
      <c r="CI73" s="10">
        <v>13137.79</v>
      </c>
      <c r="CJ73" s="4" t="s">
        <v>102</v>
      </c>
      <c r="CK73" s="4" t="s">
        <v>102</v>
      </c>
      <c r="CL73" s="10">
        <v>669364.03</v>
      </c>
      <c r="CM73" s="10">
        <v>101366.62</v>
      </c>
    </row>
    <row r="74" spans="1:91" x14ac:dyDescent="0.35">
      <c r="A74" s="3" t="s">
        <v>75</v>
      </c>
      <c r="B74" s="11">
        <v>101522.29</v>
      </c>
      <c r="C74" s="11">
        <v>720.38</v>
      </c>
      <c r="D74" s="11">
        <v>168.71</v>
      </c>
      <c r="E74" s="11">
        <v>52.89</v>
      </c>
      <c r="F74" s="11">
        <v>329.96</v>
      </c>
      <c r="G74" s="11">
        <v>2462.5500000000002</v>
      </c>
      <c r="H74" s="11">
        <v>336.3</v>
      </c>
      <c r="I74" s="11">
        <v>393.08</v>
      </c>
      <c r="J74" s="11">
        <v>671.56</v>
      </c>
      <c r="K74" s="11">
        <v>248.25</v>
      </c>
      <c r="L74" s="11">
        <v>867.58</v>
      </c>
      <c r="M74" s="71">
        <v>2069.8000000000002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1">
        <v>547.16999999999996</v>
      </c>
      <c r="W74" s="11">
        <v>875.54</v>
      </c>
      <c r="X74" s="11">
        <v>773.9</v>
      </c>
      <c r="Y74" s="11">
        <v>995.19</v>
      </c>
      <c r="Z74" s="11">
        <v>1050.43</v>
      </c>
      <c r="AA74" s="11">
        <v>618.30999999999995</v>
      </c>
      <c r="AB74" s="11">
        <v>1067.6099999999999</v>
      </c>
      <c r="AC74" s="11">
        <v>1165.95</v>
      </c>
      <c r="AD74" s="11">
        <v>1836.39</v>
      </c>
      <c r="AE74" s="11">
        <v>259.08</v>
      </c>
      <c r="AF74" s="11">
        <v>460.12</v>
      </c>
      <c r="AG74" s="11">
        <v>450.19</v>
      </c>
      <c r="AH74" s="71">
        <v>11514.62</v>
      </c>
      <c r="AI74" s="29"/>
      <c r="AJ74" s="11">
        <v>623.45000000000005</v>
      </c>
      <c r="AK74" s="11">
        <v>1368.01</v>
      </c>
      <c r="AL74" s="11">
        <v>8599.6200000000008</v>
      </c>
      <c r="AM74" s="11">
        <v>831.91</v>
      </c>
      <c r="AN74" s="11">
        <v>2629.26</v>
      </c>
      <c r="AO74" s="11">
        <v>2307.09</v>
      </c>
      <c r="AP74" s="11">
        <v>1664.75</v>
      </c>
      <c r="AQ74" s="11">
        <v>215.44</v>
      </c>
      <c r="AR74" s="11">
        <v>276.95999999999998</v>
      </c>
      <c r="AS74" s="11">
        <v>1184.1600000000001</v>
      </c>
      <c r="AT74" s="11">
        <v>259.86</v>
      </c>
      <c r="AU74" s="11">
        <v>1607.06</v>
      </c>
      <c r="AV74" s="11">
        <v>315.66000000000003</v>
      </c>
      <c r="AW74" s="11">
        <v>356.57</v>
      </c>
      <c r="AX74" s="11">
        <v>917.44</v>
      </c>
      <c r="AY74" s="11">
        <v>1901.13</v>
      </c>
      <c r="AZ74" s="11">
        <v>1095.6400000000001</v>
      </c>
      <c r="BA74" s="11">
        <v>444.03</v>
      </c>
      <c r="BB74" s="11">
        <v>577.49</v>
      </c>
      <c r="BC74" s="11">
        <v>4112.7</v>
      </c>
      <c r="BD74" s="11">
        <v>6611.75</v>
      </c>
      <c r="BE74" s="11">
        <v>3611.74</v>
      </c>
      <c r="BF74" s="11">
        <v>1187.29</v>
      </c>
      <c r="BG74" s="5">
        <v>1191</v>
      </c>
      <c r="BH74" s="11">
        <v>1240.56</v>
      </c>
      <c r="BI74" s="11">
        <v>1477.54</v>
      </c>
      <c r="BJ74" s="11">
        <v>499.03</v>
      </c>
      <c r="BK74" s="11">
        <v>123.73</v>
      </c>
      <c r="BL74" s="11">
        <v>3643.7</v>
      </c>
      <c r="BM74" s="11">
        <v>12601.2</v>
      </c>
      <c r="BN74" s="11">
        <v>2509.0500000000002</v>
      </c>
      <c r="BO74" s="11">
        <v>1958.43</v>
      </c>
      <c r="BP74" s="11">
        <v>1247.28</v>
      </c>
      <c r="BQ74" s="11">
        <v>471.16</v>
      </c>
      <c r="BR74" s="11">
        <v>530.23</v>
      </c>
      <c r="BS74" s="11">
        <v>1076.22</v>
      </c>
      <c r="BT74" s="11">
        <v>52.62</v>
      </c>
      <c r="BU74" s="11">
        <v>258.83999999999997</v>
      </c>
      <c r="BV74" s="11">
        <v>7.14</v>
      </c>
      <c r="BW74" s="5">
        <v>0</v>
      </c>
      <c r="BX74" s="11">
        <v>1205275.19</v>
      </c>
      <c r="BY74" s="11">
        <v>1177332.23</v>
      </c>
      <c r="BZ74" s="11">
        <v>27534.83</v>
      </c>
      <c r="CA74" s="11">
        <v>408.13</v>
      </c>
      <c r="CB74" s="11">
        <v>4659.54</v>
      </c>
      <c r="CC74" s="11">
        <v>69.13</v>
      </c>
      <c r="CD74" s="11">
        <v>10616.71</v>
      </c>
      <c r="CE74" s="5" t="s">
        <v>102</v>
      </c>
      <c r="CF74" s="11">
        <v>10616.71</v>
      </c>
      <c r="CG74" s="5" t="s">
        <v>102</v>
      </c>
      <c r="CH74" s="5" t="s">
        <v>102</v>
      </c>
      <c r="CI74" s="11">
        <v>4590.41</v>
      </c>
      <c r="CJ74" s="5" t="s">
        <v>102</v>
      </c>
      <c r="CK74" s="5" t="s">
        <v>102</v>
      </c>
      <c r="CL74" s="11">
        <v>1322073.73</v>
      </c>
      <c r="CM74" s="11">
        <v>1220551.44</v>
      </c>
    </row>
    <row r="75" spans="1:91" x14ac:dyDescent="0.35">
      <c r="A75" s="3" t="s">
        <v>76</v>
      </c>
      <c r="B75" s="10">
        <v>90900.79</v>
      </c>
      <c r="C75" s="10">
        <v>242.34</v>
      </c>
      <c r="D75" s="10">
        <v>48.07</v>
      </c>
      <c r="E75" s="10">
        <v>17.09</v>
      </c>
      <c r="F75" s="10">
        <v>112.34</v>
      </c>
      <c r="G75" s="10">
        <v>1125.8800000000001</v>
      </c>
      <c r="H75" s="10">
        <v>323.44</v>
      </c>
      <c r="I75" s="10">
        <v>107.92</v>
      </c>
      <c r="J75" s="10">
        <v>150.81</v>
      </c>
      <c r="K75" s="10">
        <v>61.57</v>
      </c>
      <c r="L75" s="10">
        <v>420.34</v>
      </c>
      <c r="M75" s="71">
        <v>720.03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0">
        <v>411.42</v>
      </c>
      <c r="W75" s="10">
        <v>279.26</v>
      </c>
      <c r="X75" s="10">
        <v>245.38</v>
      </c>
      <c r="Y75" s="10">
        <v>261.77999999999997</v>
      </c>
      <c r="Z75" s="10">
        <v>700.83</v>
      </c>
      <c r="AA75" s="10">
        <v>460.89</v>
      </c>
      <c r="AB75" s="10">
        <v>664.17</v>
      </c>
      <c r="AC75" s="10">
        <v>955.27</v>
      </c>
      <c r="AD75" s="10">
        <v>2146.5500000000002</v>
      </c>
      <c r="AE75" s="10">
        <v>574.14</v>
      </c>
      <c r="AF75" s="10">
        <v>302.47000000000003</v>
      </c>
      <c r="AG75" s="10">
        <v>548.09</v>
      </c>
      <c r="AH75" s="71">
        <v>768.59</v>
      </c>
      <c r="AI75" s="29"/>
      <c r="AJ75" s="10">
        <v>93.02</v>
      </c>
      <c r="AK75" s="10">
        <v>579.21</v>
      </c>
      <c r="AL75" s="10">
        <v>2053.14</v>
      </c>
      <c r="AM75" s="10">
        <v>826.9</v>
      </c>
      <c r="AN75" s="10">
        <v>2640.54</v>
      </c>
      <c r="AO75" s="10">
        <v>1636.15</v>
      </c>
      <c r="AP75" s="10">
        <v>1555.02</v>
      </c>
      <c r="AQ75" s="10">
        <v>597.70000000000005</v>
      </c>
      <c r="AR75" s="10">
        <v>617.11</v>
      </c>
      <c r="AS75" s="10">
        <v>1153.19</v>
      </c>
      <c r="AT75" s="10">
        <v>428.01</v>
      </c>
      <c r="AU75" s="10">
        <v>1073.31</v>
      </c>
      <c r="AV75" s="10">
        <v>429.5</v>
      </c>
      <c r="AW75" s="10">
        <v>282.61</v>
      </c>
      <c r="AX75" s="10">
        <v>1000.98</v>
      </c>
      <c r="AY75" s="10">
        <v>3434.5</v>
      </c>
      <c r="AZ75" s="10">
        <v>2083.4</v>
      </c>
      <c r="BA75" s="10">
        <v>764.16</v>
      </c>
      <c r="BB75" s="10">
        <v>471.51</v>
      </c>
      <c r="BC75" s="10">
        <v>1454.48</v>
      </c>
      <c r="BD75" s="10">
        <v>3806.89</v>
      </c>
      <c r="BE75" s="10">
        <v>898.27</v>
      </c>
      <c r="BF75" s="10">
        <v>3501.63</v>
      </c>
      <c r="BG75" s="10">
        <v>672.96</v>
      </c>
      <c r="BH75" s="10">
        <v>689.47</v>
      </c>
      <c r="BI75" s="10">
        <v>1350.03</v>
      </c>
      <c r="BJ75" s="10">
        <v>1037.8</v>
      </c>
      <c r="BK75" s="10">
        <v>152.72999999999999</v>
      </c>
      <c r="BL75" s="10">
        <v>1623.7</v>
      </c>
      <c r="BM75" s="10">
        <v>7838.63</v>
      </c>
      <c r="BN75" s="10">
        <v>25044.77</v>
      </c>
      <c r="BO75" s="10">
        <v>4625.1499999999996</v>
      </c>
      <c r="BP75" s="10">
        <v>2072.4699999999998</v>
      </c>
      <c r="BQ75" s="10">
        <v>680.4</v>
      </c>
      <c r="BR75" s="10">
        <v>782.97</v>
      </c>
      <c r="BS75" s="10">
        <v>970.72</v>
      </c>
      <c r="BT75" s="10">
        <v>114.26</v>
      </c>
      <c r="BU75" s="10">
        <v>207.96</v>
      </c>
      <c r="BV75" s="10">
        <v>6.93</v>
      </c>
      <c r="BW75" s="4">
        <v>0</v>
      </c>
      <c r="BX75" s="10">
        <v>812084.32</v>
      </c>
      <c r="BY75" s="10">
        <v>681061.28</v>
      </c>
      <c r="BZ75" s="10">
        <v>99886.720000000001</v>
      </c>
      <c r="CA75" s="10">
        <v>31136.31</v>
      </c>
      <c r="CB75" s="10">
        <v>15.39</v>
      </c>
      <c r="CC75" s="10">
        <v>7.95</v>
      </c>
      <c r="CD75" s="10">
        <v>705.87</v>
      </c>
      <c r="CE75" s="4" t="s">
        <v>102</v>
      </c>
      <c r="CF75" s="10">
        <v>705.87</v>
      </c>
      <c r="CG75" s="4" t="s">
        <v>102</v>
      </c>
      <c r="CH75" s="4" t="s">
        <v>102</v>
      </c>
      <c r="CI75" s="10">
        <v>7.44</v>
      </c>
      <c r="CJ75" s="4" t="s">
        <v>102</v>
      </c>
      <c r="CK75" s="4" t="s">
        <v>102</v>
      </c>
      <c r="CL75" s="10">
        <v>903706.36</v>
      </c>
      <c r="CM75" s="10">
        <v>812805.58</v>
      </c>
    </row>
    <row r="76" spans="1:91" x14ac:dyDescent="0.35">
      <c r="A76" s="3" t="s">
        <v>77</v>
      </c>
      <c r="B76" s="11">
        <v>106344.66</v>
      </c>
      <c r="C76" s="11">
        <v>115.05</v>
      </c>
      <c r="D76" s="11">
        <v>25.9</v>
      </c>
      <c r="E76" s="11">
        <v>13.67</v>
      </c>
      <c r="F76" s="11">
        <v>85.22</v>
      </c>
      <c r="G76" s="11">
        <v>347.13</v>
      </c>
      <c r="H76" s="11">
        <v>83.17</v>
      </c>
      <c r="I76" s="11">
        <v>49.92</v>
      </c>
      <c r="J76" s="11">
        <v>59.2</v>
      </c>
      <c r="K76" s="11">
        <v>29.36</v>
      </c>
      <c r="L76" s="11">
        <v>123.27</v>
      </c>
      <c r="M76" s="71">
        <v>182.05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1">
        <v>437.36</v>
      </c>
      <c r="W76" s="11">
        <v>106.63</v>
      </c>
      <c r="X76" s="11">
        <v>80.349999999999994</v>
      </c>
      <c r="Y76" s="11">
        <v>120.16</v>
      </c>
      <c r="Z76" s="11">
        <v>172.81</v>
      </c>
      <c r="AA76" s="11">
        <v>95.63</v>
      </c>
      <c r="AB76" s="11">
        <v>170.9</v>
      </c>
      <c r="AC76" s="11">
        <v>210.78</v>
      </c>
      <c r="AD76" s="11">
        <v>346.62</v>
      </c>
      <c r="AE76" s="11">
        <v>109.58</v>
      </c>
      <c r="AF76" s="11">
        <v>190.9</v>
      </c>
      <c r="AG76" s="11">
        <v>182.28</v>
      </c>
      <c r="AH76" s="71">
        <v>183.11</v>
      </c>
      <c r="AI76" s="29"/>
      <c r="AJ76" s="11">
        <v>59.68</v>
      </c>
      <c r="AK76" s="11">
        <v>546.36</v>
      </c>
      <c r="AL76" s="11">
        <v>817.21</v>
      </c>
      <c r="AM76" s="11">
        <v>177.98</v>
      </c>
      <c r="AN76" s="11">
        <v>1251.8599999999999</v>
      </c>
      <c r="AO76" s="11">
        <v>710.61</v>
      </c>
      <c r="AP76" s="11">
        <v>496.98</v>
      </c>
      <c r="AQ76" s="11">
        <v>45.39</v>
      </c>
      <c r="AR76" s="11">
        <v>165.4</v>
      </c>
      <c r="AS76" s="11">
        <v>444.99</v>
      </c>
      <c r="AT76" s="11">
        <v>84.55</v>
      </c>
      <c r="AU76" s="11">
        <v>703.63</v>
      </c>
      <c r="AV76" s="11">
        <v>159.38999999999999</v>
      </c>
      <c r="AW76" s="11">
        <v>92.47</v>
      </c>
      <c r="AX76" s="11">
        <v>238.81</v>
      </c>
      <c r="AY76" s="11">
        <v>815.36</v>
      </c>
      <c r="AZ76" s="11">
        <v>404.63</v>
      </c>
      <c r="BA76" s="11">
        <v>375.38</v>
      </c>
      <c r="BB76" s="11">
        <v>329.25</v>
      </c>
      <c r="BC76" s="11">
        <v>417.42</v>
      </c>
      <c r="BD76" s="11">
        <v>823.13</v>
      </c>
      <c r="BE76" s="11">
        <v>283.31</v>
      </c>
      <c r="BF76" s="11">
        <v>940.94</v>
      </c>
      <c r="BG76" s="11">
        <v>1563.49</v>
      </c>
      <c r="BH76" s="11">
        <v>995.41</v>
      </c>
      <c r="BI76" s="11">
        <v>337.72</v>
      </c>
      <c r="BJ76" s="11">
        <v>411.54</v>
      </c>
      <c r="BK76" s="11">
        <v>128.57</v>
      </c>
      <c r="BL76" s="11">
        <v>2551.67</v>
      </c>
      <c r="BM76" s="11">
        <v>15914.09</v>
      </c>
      <c r="BN76" s="11">
        <v>1793.32</v>
      </c>
      <c r="BO76" s="11">
        <v>58282.37</v>
      </c>
      <c r="BP76" s="11">
        <v>9260.42</v>
      </c>
      <c r="BQ76" s="11">
        <v>224.59</v>
      </c>
      <c r="BR76" s="11">
        <v>465.82</v>
      </c>
      <c r="BS76" s="11">
        <v>236.25</v>
      </c>
      <c r="BT76" s="11">
        <v>54.14</v>
      </c>
      <c r="BU76" s="11">
        <v>211.02</v>
      </c>
      <c r="BV76" s="11">
        <v>8.5399999999999991</v>
      </c>
      <c r="BW76" s="5">
        <v>0</v>
      </c>
      <c r="BX76" s="11">
        <v>1130251.8400000001</v>
      </c>
      <c r="BY76" s="11">
        <v>891407.14</v>
      </c>
      <c r="BZ76" s="11">
        <v>231554.44</v>
      </c>
      <c r="CA76" s="11">
        <v>7290.27</v>
      </c>
      <c r="CB76" s="11">
        <v>8.5399999999999991</v>
      </c>
      <c r="CC76" s="11">
        <v>6.13</v>
      </c>
      <c r="CD76" s="11">
        <v>1338.2</v>
      </c>
      <c r="CE76" s="5" t="s">
        <v>102</v>
      </c>
      <c r="CF76" s="11">
        <v>1338.2</v>
      </c>
      <c r="CG76" s="5" t="s">
        <v>102</v>
      </c>
      <c r="CH76" s="5" t="s">
        <v>102</v>
      </c>
      <c r="CI76" s="11">
        <v>2.41</v>
      </c>
      <c r="CJ76" s="5" t="s">
        <v>102</v>
      </c>
      <c r="CK76" s="5" t="s">
        <v>102</v>
      </c>
      <c r="CL76" s="11">
        <v>1237943.25</v>
      </c>
      <c r="CM76" s="11">
        <v>1131598.5900000001</v>
      </c>
    </row>
    <row r="77" spans="1:91" x14ac:dyDescent="0.35">
      <c r="A77" s="3" t="s">
        <v>78</v>
      </c>
      <c r="B77" s="10">
        <v>15118.65</v>
      </c>
      <c r="C77" s="10">
        <v>3.06</v>
      </c>
      <c r="D77" s="10">
        <v>0.71</v>
      </c>
      <c r="E77" s="10">
        <v>0.43</v>
      </c>
      <c r="F77" s="10">
        <v>0.92</v>
      </c>
      <c r="G77" s="10">
        <v>9.43</v>
      </c>
      <c r="H77" s="10">
        <v>10.85</v>
      </c>
      <c r="I77" s="10">
        <v>1.01</v>
      </c>
      <c r="J77" s="10">
        <v>3.78</v>
      </c>
      <c r="K77" s="10">
        <v>1.1599999999999999</v>
      </c>
      <c r="L77" s="10">
        <v>1.64</v>
      </c>
      <c r="M77" s="71">
        <v>3.62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0">
        <v>3.25</v>
      </c>
      <c r="W77" s="10">
        <v>1.32</v>
      </c>
      <c r="X77" s="10">
        <v>1.02</v>
      </c>
      <c r="Y77" s="10">
        <v>1.8</v>
      </c>
      <c r="Z77" s="10">
        <v>5.19</v>
      </c>
      <c r="AA77" s="10">
        <v>1.92</v>
      </c>
      <c r="AB77" s="10">
        <v>1.23</v>
      </c>
      <c r="AC77" s="10">
        <v>2.62</v>
      </c>
      <c r="AD77" s="10">
        <v>4.3499999999999996</v>
      </c>
      <c r="AE77" s="10">
        <v>10.84</v>
      </c>
      <c r="AF77" s="10">
        <v>14.4</v>
      </c>
      <c r="AG77" s="10">
        <v>6.9</v>
      </c>
      <c r="AH77" s="71">
        <v>4.1900000000000004</v>
      </c>
      <c r="AI77" s="29"/>
      <c r="AJ77" s="10">
        <v>1.93</v>
      </c>
      <c r="AK77" s="10">
        <v>24.32</v>
      </c>
      <c r="AL77" s="10">
        <v>16.649999999999999</v>
      </c>
      <c r="AM77" s="10">
        <v>1.23</v>
      </c>
      <c r="AN77" s="10">
        <v>17.670000000000002</v>
      </c>
      <c r="AO77" s="10">
        <v>86.42</v>
      </c>
      <c r="AP77" s="10">
        <v>48.02</v>
      </c>
      <c r="AQ77" s="10">
        <v>2.88</v>
      </c>
      <c r="AR77" s="10">
        <v>1.93</v>
      </c>
      <c r="AS77" s="10">
        <v>22.95</v>
      </c>
      <c r="AT77" s="10">
        <v>3.72</v>
      </c>
      <c r="AU77" s="10">
        <v>87.83</v>
      </c>
      <c r="AV77" s="10">
        <v>48.35</v>
      </c>
      <c r="AW77" s="10">
        <v>7.96</v>
      </c>
      <c r="AX77" s="10">
        <v>3.33</v>
      </c>
      <c r="AY77" s="10">
        <v>87.8</v>
      </c>
      <c r="AZ77" s="10">
        <v>24.57</v>
      </c>
      <c r="BA77" s="10">
        <v>1.45</v>
      </c>
      <c r="BB77" s="10">
        <v>4.58</v>
      </c>
      <c r="BC77" s="10">
        <v>48.69</v>
      </c>
      <c r="BD77" s="10">
        <v>229.32</v>
      </c>
      <c r="BE77" s="10">
        <v>7.55</v>
      </c>
      <c r="BF77" s="10">
        <v>100.65</v>
      </c>
      <c r="BG77" s="10">
        <v>1517.76</v>
      </c>
      <c r="BH77" s="10">
        <v>361.18</v>
      </c>
      <c r="BI77" s="10">
        <v>30.88</v>
      </c>
      <c r="BJ77" s="10">
        <v>15.03</v>
      </c>
      <c r="BK77" s="4">
        <v>26</v>
      </c>
      <c r="BL77" s="10">
        <v>1722.11</v>
      </c>
      <c r="BM77" s="10">
        <v>910.43</v>
      </c>
      <c r="BN77" s="10">
        <v>466.94</v>
      </c>
      <c r="BO77" s="10">
        <v>3413.25</v>
      </c>
      <c r="BP77" s="10">
        <v>4943.93</v>
      </c>
      <c r="BQ77" s="10">
        <v>557.29</v>
      </c>
      <c r="BR77" s="10">
        <v>106.16</v>
      </c>
      <c r="BS77" s="10">
        <v>45.91</v>
      </c>
      <c r="BT77" s="4">
        <v>2</v>
      </c>
      <c r="BU77" s="10">
        <v>24.35</v>
      </c>
      <c r="BV77" s="4">
        <v>0</v>
      </c>
      <c r="BW77" s="4">
        <v>0</v>
      </c>
      <c r="BX77" s="10">
        <v>525095.32999999996</v>
      </c>
      <c r="BY77" s="10">
        <v>326756.59999999998</v>
      </c>
      <c r="BZ77" s="10">
        <v>128537.76</v>
      </c>
      <c r="CA77" s="10">
        <v>69800.97</v>
      </c>
      <c r="CB77" s="10">
        <v>2.33</v>
      </c>
      <c r="CC77" s="10">
        <v>1.1200000000000001</v>
      </c>
      <c r="CD77" s="10">
        <v>68.400000000000006</v>
      </c>
      <c r="CE77" s="4" t="s">
        <v>102</v>
      </c>
      <c r="CF77" s="10">
        <v>68.400000000000006</v>
      </c>
      <c r="CG77" s="4" t="s">
        <v>102</v>
      </c>
      <c r="CH77" s="4" t="s">
        <v>102</v>
      </c>
      <c r="CI77" s="10">
        <v>1.21</v>
      </c>
      <c r="CJ77" s="4" t="s">
        <v>102</v>
      </c>
      <c r="CK77" s="4" t="s">
        <v>102</v>
      </c>
      <c r="CL77" s="10">
        <v>540284.71</v>
      </c>
      <c r="CM77" s="10">
        <v>525166.06000000006</v>
      </c>
    </row>
    <row r="78" spans="1:91" x14ac:dyDescent="0.35">
      <c r="A78" s="3" t="s">
        <v>79</v>
      </c>
      <c r="B78" s="11">
        <v>46277.87</v>
      </c>
      <c r="C78" s="11">
        <v>12.79</v>
      </c>
      <c r="D78" s="11">
        <v>2.15</v>
      </c>
      <c r="E78" s="11">
        <v>9.0399999999999991</v>
      </c>
      <c r="F78" s="11">
        <v>13.3</v>
      </c>
      <c r="G78" s="11">
        <v>642.46</v>
      </c>
      <c r="H78" s="11">
        <v>257.79000000000002</v>
      </c>
      <c r="I78" s="11">
        <v>33.99</v>
      </c>
      <c r="J78" s="11">
        <v>165.2</v>
      </c>
      <c r="K78" s="11">
        <v>181.46</v>
      </c>
      <c r="L78" s="11">
        <v>118.61</v>
      </c>
      <c r="M78" s="71">
        <v>74.27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1">
        <v>128.26</v>
      </c>
      <c r="W78" s="11">
        <v>51.4</v>
      </c>
      <c r="X78" s="11">
        <v>38.630000000000003</v>
      </c>
      <c r="Y78" s="11">
        <v>73.94</v>
      </c>
      <c r="Z78" s="11">
        <v>82.31</v>
      </c>
      <c r="AA78" s="11">
        <v>78.569999999999993</v>
      </c>
      <c r="AB78" s="11">
        <v>68.819999999999993</v>
      </c>
      <c r="AC78" s="11">
        <v>63.52</v>
      </c>
      <c r="AD78" s="11">
        <v>36.97</v>
      </c>
      <c r="AE78" s="11">
        <v>64.47</v>
      </c>
      <c r="AF78" s="11">
        <v>132.18</v>
      </c>
      <c r="AG78" s="11">
        <v>113.74</v>
      </c>
      <c r="AH78" s="71">
        <v>110.23</v>
      </c>
      <c r="AI78" s="29"/>
      <c r="AJ78" s="11">
        <v>9.26</v>
      </c>
      <c r="AK78" s="11">
        <v>81.12</v>
      </c>
      <c r="AL78" s="11">
        <v>897.18</v>
      </c>
      <c r="AM78" s="11">
        <v>226.92</v>
      </c>
      <c r="AN78" s="11">
        <v>413.87</v>
      </c>
      <c r="AO78" s="11">
        <v>764.8</v>
      </c>
      <c r="AP78" s="11">
        <v>337.13</v>
      </c>
      <c r="AQ78" s="11">
        <v>39.520000000000003</v>
      </c>
      <c r="AR78" s="11">
        <v>19.559999999999999</v>
      </c>
      <c r="AS78" s="11">
        <v>271.31</v>
      </c>
      <c r="AT78" s="11">
        <v>35.53</v>
      </c>
      <c r="AU78" s="11">
        <v>4870.7700000000004</v>
      </c>
      <c r="AV78" s="11">
        <v>1700.57</v>
      </c>
      <c r="AW78" s="11">
        <v>3117.82</v>
      </c>
      <c r="AX78" s="11">
        <v>269.58</v>
      </c>
      <c r="AY78" s="11">
        <v>759.39</v>
      </c>
      <c r="AZ78" s="11">
        <v>358.15</v>
      </c>
      <c r="BA78" s="11">
        <v>31.34</v>
      </c>
      <c r="BB78" s="11">
        <v>61.19</v>
      </c>
      <c r="BC78" s="11">
        <v>319.39999999999998</v>
      </c>
      <c r="BD78" s="11">
        <v>890.91</v>
      </c>
      <c r="BE78" s="11">
        <v>159.44</v>
      </c>
      <c r="BF78" s="11">
        <v>287.39</v>
      </c>
      <c r="BG78" s="11">
        <v>427.33</v>
      </c>
      <c r="BH78" s="11">
        <v>430.72</v>
      </c>
      <c r="BI78" s="11">
        <v>486.32</v>
      </c>
      <c r="BJ78" s="11">
        <v>177.91</v>
      </c>
      <c r="BK78" s="5">
        <v>523</v>
      </c>
      <c r="BL78" s="11">
        <v>818.78</v>
      </c>
      <c r="BM78" s="11">
        <v>1404.73</v>
      </c>
      <c r="BN78" s="11">
        <v>1036.32</v>
      </c>
      <c r="BO78" s="11">
        <v>88.03</v>
      </c>
      <c r="BP78" s="11">
        <v>242.33</v>
      </c>
      <c r="BQ78" s="11">
        <v>18761.3</v>
      </c>
      <c r="BR78" s="11">
        <v>2710.23</v>
      </c>
      <c r="BS78" s="11">
        <v>582.77</v>
      </c>
      <c r="BT78" s="11">
        <v>45.3</v>
      </c>
      <c r="BU78" s="11">
        <v>59.74</v>
      </c>
      <c r="BV78" s="11">
        <v>6.83</v>
      </c>
      <c r="BW78" s="5">
        <v>0</v>
      </c>
      <c r="BX78" s="11">
        <v>164710.39999999999</v>
      </c>
      <c r="BY78" s="11">
        <v>61871.19</v>
      </c>
      <c r="BZ78" s="11">
        <v>95115.28</v>
      </c>
      <c r="CA78" s="11">
        <v>7723.93</v>
      </c>
      <c r="CB78" s="11">
        <v>7105.19</v>
      </c>
      <c r="CC78" s="11">
        <v>2254.25</v>
      </c>
      <c r="CD78" s="11">
        <v>6542.17</v>
      </c>
      <c r="CE78" s="5" t="s">
        <v>102</v>
      </c>
      <c r="CF78" s="11">
        <v>6542.17</v>
      </c>
      <c r="CG78" s="5" t="s">
        <v>102</v>
      </c>
      <c r="CH78" s="5" t="s">
        <v>102</v>
      </c>
      <c r="CI78" s="11">
        <v>4850.9399999999996</v>
      </c>
      <c r="CJ78" s="5" t="s">
        <v>102</v>
      </c>
      <c r="CK78" s="5" t="s">
        <v>102</v>
      </c>
      <c r="CL78" s="11">
        <v>224635.63</v>
      </c>
      <c r="CM78" s="11">
        <v>178357.76000000001</v>
      </c>
    </row>
    <row r="79" spans="1:91" x14ac:dyDescent="0.35">
      <c r="A79" s="3" t="s">
        <v>80</v>
      </c>
      <c r="B79" s="10">
        <v>56829.64</v>
      </c>
      <c r="C79" s="10">
        <v>62.35</v>
      </c>
      <c r="D79" s="10">
        <v>9.32</v>
      </c>
      <c r="E79" s="10">
        <v>13.27</v>
      </c>
      <c r="F79" s="10">
        <v>30.89</v>
      </c>
      <c r="G79" s="10">
        <v>913.04</v>
      </c>
      <c r="H79" s="10">
        <v>173.42</v>
      </c>
      <c r="I79" s="10">
        <v>35.44</v>
      </c>
      <c r="J79" s="10">
        <v>97.89</v>
      </c>
      <c r="K79" s="10">
        <v>107.77</v>
      </c>
      <c r="L79" s="10">
        <v>106.26</v>
      </c>
      <c r="M79" s="71">
        <v>152.87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0">
        <v>158.32</v>
      </c>
      <c r="W79" s="10">
        <v>68.069999999999993</v>
      </c>
      <c r="X79" s="10">
        <v>57.44</v>
      </c>
      <c r="Y79" s="10">
        <v>98.01</v>
      </c>
      <c r="Z79" s="10">
        <v>110.66</v>
      </c>
      <c r="AA79" s="10">
        <v>59.56</v>
      </c>
      <c r="AB79" s="10">
        <v>91.44</v>
      </c>
      <c r="AC79" s="10">
        <v>140.88</v>
      </c>
      <c r="AD79" s="10">
        <v>201.38</v>
      </c>
      <c r="AE79" s="10">
        <v>123.65</v>
      </c>
      <c r="AF79" s="10">
        <v>126.61</v>
      </c>
      <c r="AG79" s="10">
        <v>149.69</v>
      </c>
      <c r="AH79" s="71">
        <v>218.1</v>
      </c>
      <c r="AI79" s="29"/>
      <c r="AJ79" s="10">
        <v>31.8</v>
      </c>
      <c r="AK79" s="10">
        <v>175.07</v>
      </c>
      <c r="AL79" s="10">
        <v>991.35</v>
      </c>
      <c r="AM79" s="10">
        <v>196.07</v>
      </c>
      <c r="AN79" s="10">
        <v>3292.02</v>
      </c>
      <c r="AO79" s="10">
        <v>1347.66</v>
      </c>
      <c r="AP79" s="10">
        <v>363.12</v>
      </c>
      <c r="AQ79" s="10">
        <v>116.56</v>
      </c>
      <c r="AR79" s="10">
        <v>44.2</v>
      </c>
      <c r="AS79" s="10">
        <v>336.5</v>
      </c>
      <c r="AT79" s="10">
        <v>70.97</v>
      </c>
      <c r="AU79" s="10">
        <v>5293.5</v>
      </c>
      <c r="AV79" s="10">
        <v>165.07</v>
      </c>
      <c r="AW79" s="10">
        <v>1393.74</v>
      </c>
      <c r="AX79" s="10">
        <v>389.81</v>
      </c>
      <c r="AY79" s="10">
        <v>694.15</v>
      </c>
      <c r="AZ79" s="10">
        <v>628.29999999999995</v>
      </c>
      <c r="BA79" s="10">
        <v>150.35</v>
      </c>
      <c r="BB79" s="10">
        <v>160.72999999999999</v>
      </c>
      <c r="BC79" s="10">
        <v>349.35</v>
      </c>
      <c r="BD79" s="10">
        <v>849.12</v>
      </c>
      <c r="BE79" s="10">
        <v>230.67</v>
      </c>
      <c r="BF79" s="10">
        <v>299.56</v>
      </c>
      <c r="BG79" s="10">
        <v>735.04</v>
      </c>
      <c r="BH79" s="10">
        <v>181.22</v>
      </c>
      <c r="BI79" s="10">
        <v>1066.8699999999999</v>
      </c>
      <c r="BJ79" s="10">
        <v>108.82</v>
      </c>
      <c r="BK79" s="10">
        <v>574.35</v>
      </c>
      <c r="BL79" s="10">
        <v>855.64</v>
      </c>
      <c r="BM79" s="10">
        <v>5994.59</v>
      </c>
      <c r="BN79" s="10">
        <v>1832.9</v>
      </c>
      <c r="BO79" s="10">
        <v>443.85</v>
      </c>
      <c r="BP79" s="10">
        <v>446.05</v>
      </c>
      <c r="BQ79" s="10">
        <v>4952.8500000000004</v>
      </c>
      <c r="BR79" s="10">
        <v>16565.560000000001</v>
      </c>
      <c r="BS79" s="10">
        <v>1368.68</v>
      </c>
      <c r="BT79" s="10">
        <v>92.43</v>
      </c>
      <c r="BU79" s="10">
        <v>733.21</v>
      </c>
      <c r="BV79" s="10">
        <v>1.59</v>
      </c>
      <c r="BW79" s="4">
        <v>0</v>
      </c>
      <c r="BX79" s="10">
        <v>108822.37</v>
      </c>
      <c r="BY79" s="10">
        <v>37333.33</v>
      </c>
      <c r="BZ79" s="10">
        <v>54318.99</v>
      </c>
      <c r="CA79" s="10">
        <v>17170.05</v>
      </c>
      <c r="CB79" s="10">
        <v>-2.93</v>
      </c>
      <c r="CC79" s="10">
        <v>-7.85</v>
      </c>
      <c r="CD79" s="10">
        <v>660.87</v>
      </c>
      <c r="CE79" s="4" t="s">
        <v>102</v>
      </c>
      <c r="CF79" s="10">
        <v>660.87</v>
      </c>
      <c r="CG79" s="4" t="s">
        <v>102</v>
      </c>
      <c r="CH79" s="4" t="s">
        <v>102</v>
      </c>
      <c r="CI79" s="10">
        <v>4.92</v>
      </c>
      <c r="CJ79" s="4" t="s">
        <v>102</v>
      </c>
      <c r="CK79" s="4" t="s">
        <v>102</v>
      </c>
      <c r="CL79" s="10">
        <v>166309.94</v>
      </c>
      <c r="CM79" s="10">
        <v>109480.3</v>
      </c>
    </row>
    <row r="80" spans="1:91" x14ac:dyDescent="0.35">
      <c r="A80" s="3" t="s">
        <v>81</v>
      </c>
      <c r="B80" s="11">
        <v>40535.919999999998</v>
      </c>
      <c r="C80" s="11">
        <v>727.64</v>
      </c>
      <c r="D80" s="11">
        <v>29.45</v>
      </c>
      <c r="E80" s="11">
        <v>246.16</v>
      </c>
      <c r="F80" s="11">
        <v>97.89</v>
      </c>
      <c r="G80" s="11">
        <v>939.93</v>
      </c>
      <c r="H80" s="11">
        <v>203.82</v>
      </c>
      <c r="I80" s="11">
        <v>82.15</v>
      </c>
      <c r="J80" s="11">
        <v>176.09</v>
      </c>
      <c r="K80" s="11">
        <v>105.72</v>
      </c>
      <c r="L80" s="11">
        <v>621.79</v>
      </c>
      <c r="M80" s="71">
        <v>517.53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1">
        <v>235.64</v>
      </c>
      <c r="W80" s="11">
        <v>197.07</v>
      </c>
      <c r="X80" s="11">
        <v>206.56</v>
      </c>
      <c r="Y80" s="11">
        <v>318.26</v>
      </c>
      <c r="Z80" s="11">
        <v>352.16</v>
      </c>
      <c r="AA80" s="11">
        <v>165.66</v>
      </c>
      <c r="AB80" s="11">
        <v>199.52</v>
      </c>
      <c r="AC80" s="11">
        <v>308.61</v>
      </c>
      <c r="AD80" s="11">
        <v>312.04000000000002</v>
      </c>
      <c r="AE80" s="11">
        <v>115.55</v>
      </c>
      <c r="AF80" s="11">
        <v>198.24</v>
      </c>
      <c r="AG80" s="11">
        <v>198.95</v>
      </c>
      <c r="AH80" s="71">
        <v>673.22</v>
      </c>
      <c r="AI80" s="29"/>
      <c r="AJ80" s="11">
        <v>104.22</v>
      </c>
      <c r="AK80" s="11">
        <v>509.63</v>
      </c>
      <c r="AL80" s="11">
        <v>2048.54</v>
      </c>
      <c r="AM80" s="11">
        <v>776.17</v>
      </c>
      <c r="AN80" s="11">
        <v>2371.85</v>
      </c>
      <c r="AO80" s="11">
        <v>2288.48</v>
      </c>
      <c r="AP80" s="11">
        <v>827.47</v>
      </c>
      <c r="AQ80" s="11">
        <v>89.48</v>
      </c>
      <c r="AR80" s="11">
        <v>58.44</v>
      </c>
      <c r="AS80" s="11">
        <v>999.78</v>
      </c>
      <c r="AT80" s="11">
        <v>118.39</v>
      </c>
      <c r="AU80" s="11">
        <v>1049.7</v>
      </c>
      <c r="AV80" s="11">
        <v>485.34</v>
      </c>
      <c r="AW80" s="11">
        <v>164.59</v>
      </c>
      <c r="AX80" s="11">
        <v>1061.82</v>
      </c>
      <c r="AY80" s="11">
        <v>1257.67</v>
      </c>
      <c r="AZ80" s="11">
        <v>838.85</v>
      </c>
      <c r="BA80" s="11">
        <v>418.2</v>
      </c>
      <c r="BB80" s="11">
        <v>865.72</v>
      </c>
      <c r="BC80" s="11">
        <v>608.34</v>
      </c>
      <c r="BD80" s="11">
        <v>3731.16</v>
      </c>
      <c r="BE80" s="11">
        <v>834.28</v>
      </c>
      <c r="BF80" s="11">
        <v>584.52</v>
      </c>
      <c r="BG80" s="11">
        <v>486.61</v>
      </c>
      <c r="BH80" s="11">
        <v>340.08</v>
      </c>
      <c r="BI80" s="11">
        <v>561.6</v>
      </c>
      <c r="BJ80" s="11">
        <v>369.41</v>
      </c>
      <c r="BK80" s="11">
        <v>148.79</v>
      </c>
      <c r="BL80" s="11">
        <v>1402.5</v>
      </c>
      <c r="BM80" s="11">
        <v>714.34</v>
      </c>
      <c r="BN80" s="11">
        <v>1180.03</v>
      </c>
      <c r="BO80" s="11">
        <v>2009.57</v>
      </c>
      <c r="BP80" s="11">
        <v>1161.54</v>
      </c>
      <c r="BQ80" s="11">
        <v>410.6</v>
      </c>
      <c r="BR80" s="11">
        <v>512.29</v>
      </c>
      <c r="BS80" s="5">
        <v>1439</v>
      </c>
      <c r="BT80" s="11">
        <v>39.81</v>
      </c>
      <c r="BU80" s="11">
        <v>436.61</v>
      </c>
      <c r="BV80" s="11">
        <v>0.92</v>
      </c>
      <c r="BW80" s="5">
        <v>0</v>
      </c>
      <c r="BX80" s="11">
        <v>109925.51</v>
      </c>
      <c r="BY80" s="11">
        <v>14453.42</v>
      </c>
      <c r="BZ80" s="11">
        <v>10258.120000000001</v>
      </c>
      <c r="CA80" s="11">
        <v>85213.97</v>
      </c>
      <c r="CB80" s="11">
        <v>9.9700000000000006</v>
      </c>
      <c r="CC80" s="11">
        <v>5.58</v>
      </c>
      <c r="CD80" s="11">
        <v>244.47</v>
      </c>
      <c r="CE80" s="5" t="s">
        <v>102</v>
      </c>
      <c r="CF80" s="11">
        <v>244.47</v>
      </c>
      <c r="CG80" s="5" t="s">
        <v>102</v>
      </c>
      <c r="CH80" s="5" t="s">
        <v>102</v>
      </c>
      <c r="CI80" s="11">
        <v>4.3899999999999997</v>
      </c>
      <c r="CJ80" s="5" t="s">
        <v>102</v>
      </c>
      <c r="CK80" s="5" t="s">
        <v>102</v>
      </c>
      <c r="CL80" s="11">
        <v>150715.85999999999</v>
      </c>
      <c r="CM80" s="11">
        <v>110179.94</v>
      </c>
    </row>
    <row r="81" spans="1:91" x14ac:dyDescent="0.35">
      <c r="A81" s="3" t="s">
        <v>82</v>
      </c>
      <c r="B81" s="10">
        <v>24485.03</v>
      </c>
      <c r="C81" s="10">
        <v>71.95</v>
      </c>
      <c r="D81" s="10">
        <v>36.74</v>
      </c>
      <c r="E81" s="10">
        <v>64.13</v>
      </c>
      <c r="F81" s="10">
        <v>53.41</v>
      </c>
      <c r="G81" s="10">
        <v>611.30999999999995</v>
      </c>
      <c r="H81" s="10">
        <v>138.58000000000001</v>
      </c>
      <c r="I81" s="10">
        <v>84.44</v>
      </c>
      <c r="J81" s="10">
        <v>137.30000000000001</v>
      </c>
      <c r="K81" s="10">
        <v>54.31</v>
      </c>
      <c r="L81" s="10">
        <v>265.33999999999997</v>
      </c>
      <c r="M81" s="71">
        <v>237.93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0">
        <v>101.86</v>
      </c>
      <c r="W81" s="10">
        <v>163.63999999999999</v>
      </c>
      <c r="X81" s="10">
        <v>182.61</v>
      </c>
      <c r="Y81" s="10">
        <v>159.08000000000001</v>
      </c>
      <c r="Z81" s="10">
        <v>269.63</v>
      </c>
      <c r="AA81" s="10">
        <v>351.6</v>
      </c>
      <c r="AB81" s="10">
        <v>208.82</v>
      </c>
      <c r="AC81" s="10">
        <v>316.5</v>
      </c>
      <c r="AD81" s="10">
        <v>346.86</v>
      </c>
      <c r="AE81" s="10">
        <v>210.91</v>
      </c>
      <c r="AF81" s="10">
        <v>292.58999999999997</v>
      </c>
      <c r="AG81" s="10">
        <v>381.29</v>
      </c>
      <c r="AH81" s="71">
        <v>368.9</v>
      </c>
      <c r="AI81" s="29"/>
      <c r="AJ81" s="10">
        <v>109.52</v>
      </c>
      <c r="AK81" s="10">
        <v>191.15</v>
      </c>
      <c r="AL81" s="10">
        <v>579.69000000000005</v>
      </c>
      <c r="AM81" s="10">
        <v>158.94999999999999</v>
      </c>
      <c r="AN81" s="10">
        <v>1460.95</v>
      </c>
      <c r="AO81" s="10">
        <v>1636.69</v>
      </c>
      <c r="AP81" s="10">
        <v>431.33</v>
      </c>
      <c r="AQ81" s="10">
        <v>75.790000000000006</v>
      </c>
      <c r="AR81" s="10">
        <v>188.01</v>
      </c>
      <c r="AS81" s="10">
        <v>375.97</v>
      </c>
      <c r="AT81" s="10">
        <v>126.76</v>
      </c>
      <c r="AU81" s="10">
        <v>834.89</v>
      </c>
      <c r="AV81" s="10">
        <v>158.63999999999999</v>
      </c>
      <c r="AW81" s="10">
        <v>341.56</v>
      </c>
      <c r="AX81" s="10">
        <v>994.5</v>
      </c>
      <c r="AY81" s="10">
        <v>1411.22</v>
      </c>
      <c r="AZ81" s="10">
        <v>618.64</v>
      </c>
      <c r="BA81" s="10">
        <v>226.95</v>
      </c>
      <c r="BB81" s="10">
        <v>286.74</v>
      </c>
      <c r="BC81" s="10">
        <v>436.22</v>
      </c>
      <c r="BD81" s="10">
        <v>1580.72</v>
      </c>
      <c r="BE81" s="10">
        <v>374.24</v>
      </c>
      <c r="BF81" s="10">
        <v>239.13</v>
      </c>
      <c r="BG81" s="10">
        <v>251.19</v>
      </c>
      <c r="BH81" s="10">
        <v>687.43</v>
      </c>
      <c r="BI81" s="10">
        <v>652.72</v>
      </c>
      <c r="BJ81" s="10">
        <v>54.45</v>
      </c>
      <c r="BK81" s="10">
        <v>156.1</v>
      </c>
      <c r="BL81" s="10">
        <v>687.81</v>
      </c>
      <c r="BM81" s="10">
        <v>1119.7</v>
      </c>
      <c r="BN81" s="10">
        <v>431.79</v>
      </c>
      <c r="BO81" s="10">
        <v>549.98</v>
      </c>
      <c r="BP81" s="10">
        <v>187.16</v>
      </c>
      <c r="BQ81" s="10">
        <v>140.81</v>
      </c>
      <c r="BR81" s="10">
        <v>175.75</v>
      </c>
      <c r="BS81" s="10">
        <v>154.66999999999999</v>
      </c>
      <c r="BT81" s="10">
        <v>1229.1099999999999</v>
      </c>
      <c r="BU81" s="10">
        <v>58.41</v>
      </c>
      <c r="BV81" s="4">
        <v>0</v>
      </c>
      <c r="BW81" s="4">
        <v>0</v>
      </c>
      <c r="BX81" s="10">
        <v>14217.78</v>
      </c>
      <c r="BY81" s="10">
        <v>1.4</v>
      </c>
      <c r="BZ81" s="10">
        <v>14176.88</v>
      </c>
      <c r="CA81" s="10">
        <v>39.5</v>
      </c>
      <c r="CB81" s="10">
        <v>4827.32</v>
      </c>
      <c r="CC81" s="10">
        <v>-79.680000000000007</v>
      </c>
      <c r="CD81" s="10">
        <v>1655.07</v>
      </c>
      <c r="CE81" s="4" t="s">
        <v>102</v>
      </c>
      <c r="CF81" s="10">
        <v>1655.07</v>
      </c>
      <c r="CG81" s="4" t="s">
        <v>102</v>
      </c>
      <c r="CH81" s="4" t="s">
        <v>102</v>
      </c>
      <c r="CI81" s="10">
        <v>4907.01</v>
      </c>
      <c r="CJ81" s="4" t="s">
        <v>102</v>
      </c>
      <c r="CK81" s="4" t="s">
        <v>102</v>
      </c>
      <c r="CL81" s="10">
        <v>45185.21</v>
      </c>
      <c r="CM81" s="10">
        <v>20700.169999999998</v>
      </c>
    </row>
    <row r="82" spans="1:91" x14ac:dyDescent="0.35">
      <c r="A82" s="3" t="s">
        <v>83</v>
      </c>
      <c r="B82" s="11">
        <v>37240.42</v>
      </c>
      <c r="C82" s="11">
        <v>88.81</v>
      </c>
      <c r="D82" s="11">
        <v>9.9600000000000009</v>
      </c>
      <c r="E82" s="11">
        <v>18.57</v>
      </c>
      <c r="F82" s="11">
        <v>40.64</v>
      </c>
      <c r="G82" s="11">
        <v>383.38</v>
      </c>
      <c r="H82" s="11">
        <v>79.33</v>
      </c>
      <c r="I82" s="11">
        <v>97.35</v>
      </c>
      <c r="J82" s="11">
        <v>90.22</v>
      </c>
      <c r="K82" s="11">
        <v>43.04</v>
      </c>
      <c r="L82" s="11">
        <v>107.06</v>
      </c>
      <c r="M82" s="71">
        <v>329.34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1">
        <v>118.06</v>
      </c>
      <c r="W82" s="11">
        <v>114.12</v>
      </c>
      <c r="X82" s="11">
        <v>99.35</v>
      </c>
      <c r="Y82" s="11">
        <v>126.7</v>
      </c>
      <c r="Z82" s="11">
        <v>175.92</v>
      </c>
      <c r="AA82" s="11">
        <v>116.97</v>
      </c>
      <c r="AB82" s="11">
        <v>132.79</v>
      </c>
      <c r="AC82" s="11">
        <v>209.3</v>
      </c>
      <c r="AD82" s="11">
        <v>208.79</v>
      </c>
      <c r="AE82" s="11">
        <v>75.959999999999994</v>
      </c>
      <c r="AF82" s="11">
        <v>274.3</v>
      </c>
      <c r="AG82" s="11">
        <v>91.8</v>
      </c>
      <c r="AH82" s="71">
        <v>229.8</v>
      </c>
      <c r="AI82" s="29"/>
      <c r="AJ82" s="11">
        <v>47.79</v>
      </c>
      <c r="AK82" s="11">
        <v>424.62</v>
      </c>
      <c r="AL82" s="11">
        <v>474.12</v>
      </c>
      <c r="AM82" s="11">
        <v>111.31</v>
      </c>
      <c r="AN82" s="11">
        <v>458.35</v>
      </c>
      <c r="AO82" s="11">
        <v>651.11</v>
      </c>
      <c r="AP82" s="11">
        <v>442.94</v>
      </c>
      <c r="AQ82" s="11">
        <v>46.06</v>
      </c>
      <c r="AR82" s="11">
        <v>165.87</v>
      </c>
      <c r="AS82" s="11">
        <v>353.59</v>
      </c>
      <c r="AT82" s="11">
        <v>79.56</v>
      </c>
      <c r="AU82" s="11">
        <v>2406.23</v>
      </c>
      <c r="AV82" s="11">
        <v>74.44</v>
      </c>
      <c r="AW82" s="11">
        <v>230.44</v>
      </c>
      <c r="AX82" s="11">
        <v>192.83</v>
      </c>
      <c r="AY82" s="11">
        <v>426.97</v>
      </c>
      <c r="AZ82" s="11">
        <v>129.41999999999999</v>
      </c>
      <c r="BA82" s="11">
        <v>69.209999999999994</v>
      </c>
      <c r="BB82" s="11">
        <v>42.96</v>
      </c>
      <c r="BC82" s="11">
        <v>284.95999999999998</v>
      </c>
      <c r="BD82" s="11">
        <v>1614.67</v>
      </c>
      <c r="BE82" s="11">
        <v>374.45</v>
      </c>
      <c r="BF82" s="11">
        <v>247.1</v>
      </c>
      <c r="BG82" s="11">
        <v>337.74</v>
      </c>
      <c r="BH82" s="11">
        <v>232.82</v>
      </c>
      <c r="BI82" s="11">
        <v>1047.77</v>
      </c>
      <c r="BJ82" s="11">
        <v>312.74</v>
      </c>
      <c r="BK82" s="11">
        <v>113.92</v>
      </c>
      <c r="BL82" s="11">
        <v>675.53</v>
      </c>
      <c r="BM82" s="11">
        <v>700.3</v>
      </c>
      <c r="BN82" s="11">
        <v>523.55999999999995</v>
      </c>
      <c r="BO82" s="11">
        <v>3342.1</v>
      </c>
      <c r="BP82" s="11">
        <v>1820.48</v>
      </c>
      <c r="BQ82" s="11">
        <v>632.20000000000005</v>
      </c>
      <c r="BR82" s="11">
        <v>526.73</v>
      </c>
      <c r="BS82" s="11">
        <v>360.52</v>
      </c>
      <c r="BT82" s="11">
        <v>19.809999999999999</v>
      </c>
      <c r="BU82" s="11">
        <v>13980.9</v>
      </c>
      <c r="BV82" s="11">
        <v>2.78</v>
      </c>
      <c r="BW82" s="5">
        <v>0</v>
      </c>
      <c r="BX82" s="11">
        <v>152088.65</v>
      </c>
      <c r="BY82" s="11">
        <v>733.94</v>
      </c>
      <c r="BZ82" s="11">
        <v>151269.63</v>
      </c>
      <c r="CA82" s="11">
        <v>85.08</v>
      </c>
      <c r="CB82" s="11">
        <v>19.440000000000001</v>
      </c>
      <c r="CC82" s="11">
        <v>14.25</v>
      </c>
      <c r="CD82" s="11">
        <v>1395.07</v>
      </c>
      <c r="CE82" s="5" t="s">
        <v>102</v>
      </c>
      <c r="CF82" s="11">
        <v>1395.07</v>
      </c>
      <c r="CG82" s="5" t="s">
        <v>102</v>
      </c>
      <c r="CH82" s="5" t="s">
        <v>102</v>
      </c>
      <c r="CI82" s="11">
        <v>5.19</v>
      </c>
      <c r="CJ82" s="5" t="s">
        <v>102</v>
      </c>
      <c r="CK82" s="5" t="s">
        <v>102</v>
      </c>
      <c r="CL82" s="11">
        <v>190743.59</v>
      </c>
      <c r="CM82" s="11">
        <v>153503.17000000001</v>
      </c>
    </row>
    <row r="83" spans="1:91" x14ac:dyDescent="0.35">
      <c r="A83" s="3" t="s">
        <v>84</v>
      </c>
      <c r="B83" s="10">
        <v>2458.7800000000002</v>
      </c>
      <c r="C83" s="10">
        <v>0.49</v>
      </c>
      <c r="D83" s="10">
        <v>5.31</v>
      </c>
      <c r="E83" s="10">
        <v>19.989999999999998</v>
      </c>
      <c r="F83" s="4">
        <v>0</v>
      </c>
      <c r="G83" s="4">
        <v>0</v>
      </c>
      <c r="H83" s="4">
        <v>0</v>
      </c>
      <c r="I83" s="10">
        <v>0.94</v>
      </c>
      <c r="J83" s="4">
        <v>0</v>
      </c>
      <c r="K83" s="4">
        <v>0</v>
      </c>
      <c r="L83" s="4">
        <v>0</v>
      </c>
      <c r="M83" s="71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10">
        <v>0.19</v>
      </c>
      <c r="AD83" s="10">
        <v>0.04</v>
      </c>
      <c r="AE83" s="4">
        <v>0</v>
      </c>
      <c r="AF83" s="4">
        <v>0</v>
      </c>
      <c r="AG83" s="10">
        <v>10.55</v>
      </c>
      <c r="AH83" s="71">
        <v>0</v>
      </c>
      <c r="AI83" s="29"/>
      <c r="AJ83" s="4">
        <v>0</v>
      </c>
      <c r="AK83" s="4">
        <v>0</v>
      </c>
      <c r="AL83" s="10">
        <v>30.3</v>
      </c>
      <c r="AM83" s="4">
        <v>0</v>
      </c>
      <c r="AN83" s="4">
        <v>0</v>
      </c>
      <c r="AO83" s="10">
        <v>0.14000000000000001</v>
      </c>
      <c r="AP83" s="10">
        <v>0.05</v>
      </c>
      <c r="AQ83" s="10">
        <v>2.0099999999999998</v>
      </c>
      <c r="AR83" s="4">
        <v>0</v>
      </c>
      <c r="AS83" s="10">
        <v>50.67</v>
      </c>
      <c r="AT83" s="4">
        <v>0</v>
      </c>
      <c r="AU83" s="10">
        <v>3.94</v>
      </c>
      <c r="AV83" s="10">
        <v>0.45</v>
      </c>
      <c r="AW83" s="4">
        <v>0</v>
      </c>
      <c r="AX83" s="4">
        <v>0</v>
      </c>
      <c r="AY83" s="10">
        <v>9.77</v>
      </c>
      <c r="AZ83" s="4">
        <v>0</v>
      </c>
      <c r="BA83" s="4">
        <v>0</v>
      </c>
      <c r="BB83" s="4">
        <v>0</v>
      </c>
      <c r="BC83" s="10">
        <v>32.840000000000003</v>
      </c>
      <c r="BD83" s="4">
        <v>0</v>
      </c>
      <c r="BE83" s="10">
        <v>18.7</v>
      </c>
      <c r="BF83" s="10">
        <v>56.06</v>
      </c>
      <c r="BG83" s="4">
        <v>0</v>
      </c>
      <c r="BH83" s="10">
        <v>0.01</v>
      </c>
      <c r="BI83" s="10">
        <v>0.66</v>
      </c>
      <c r="BJ83" s="10">
        <v>11.37</v>
      </c>
      <c r="BK83" s="10">
        <v>1.92</v>
      </c>
      <c r="BL83" s="10">
        <v>23.2</v>
      </c>
      <c r="BM83" s="10">
        <v>1096.2</v>
      </c>
      <c r="BN83" s="10">
        <v>327.52</v>
      </c>
      <c r="BO83" s="10">
        <v>287.12</v>
      </c>
      <c r="BP83" s="10">
        <v>333.16</v>
      </c>
      <c r="BQ83" s="10">
        <v>44.31</v>
      </c>
      <c r="BR83" s="10">
        <v>23.43</v>
      </c>
      <c r="BS83" s="10">
        <v>5.04</v>
      </c>
      <c r="BT83" s="4">
        <v>0</v>
      </c>
      <c r="BU83" s="4">
        <v>0</v>
      </c>
      <c r="BV83" s="10">
        <v>62.42</v>
      </c>
      <c r="BW83" s="4">
        <v>0</v>
      </c>
      <c r="BX83" s="10">
        <v>45904.42</v>
      </c>
      <c r="BY83" s="10">
        <v>2180.7600000000002</v>
      </c>
      <c r="BZ83" s="10">
        <v>43723.66</v>
      </c>
      <c r="CA83" s="4">
        <v>0</v>
      </c>
      <c r="CB83" s="4">
        <v>0</v>
      </c>
      <c r="CC83" s="4">
        <v>0</v>
      </c>
      <c r="CD83" s="10">
        <v>0.83</v>
      </c>
      <c r="CE83" s="4" t="s">
        <v>102</v>
      </c>
      <c r="CF83" s="10">
        <v>0.83</v>
      </c>
      <c r="CG83" s="4" t="s">
        <v>102</v>
      </c>
      <c r="CH83" s="4" t="s">
        <v>102</v>
      </c>
      <c r="CI83" s="4">
        <v>0</v>
      </c>
      <c r="CJ83" s="4" t="s">
        <v>102</v>
      </c>
      <c r="CK83" s="4" t="s">
        <v>102</v>
      </c>
      <c r="CL83" s="10">
        <v>48364.04</v>
      </c>
      <c r="CM83" s="10">
        <v>45905.25</v>
      </c>
    </row>
    <row r="84" spans="1:91" x14ac:dyDescent="0.35">
      <c r="A84" s="3" t="s">
        <v>85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71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71">
        <v>0</v>
      </c>
      <c r="AI84" s="29"/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 t="s">
        <v>102</v>
      </c>
      <c r="CF84" s="5">
        <v>0</v>
      </c>
      <c r="CG84" s="5" t="s">
        <v>102</v>
      </c>
      <c r="CH84" s="5" t="s">
        <v>102</v>
      </c>
      <c r="CI84" s="5">
        <v>0</v>
      </c>
      <c r="CJ84" s="5" t="s">
        <v>102</v>
      </c>
      <c r="CK84" s="5" t="s">
        <v>102</v>
      </c>
      <c r="CL84" s="5">
        <v>0</v>
      </c>
      <c r="CM84" s="5">
        <v>0</v>
      </c>
    </row>
    <row r="85" spans="1:91" x14ac:dyDescent="0.35">
      <c r="A85" s="3" t="s">
        <v>103</v>
      </c>
      <c r="B85" s="4" t="s">
        <v>102</v>
      </c>
      <c r="C85" s="10">
        <v>224349.1</v>
      </c>
      <c r="D85" s="10">
        <v>31062.799999999999</v>
      </c>
      <c r="E85" s="10">
        <v>6489.66</v>
      </c>
      <c r="F85" s="10">
        <v>54114.01</v>
      </c>
      <c r="G85" s="10">
        <v>314214.84999999998</v>
      </c>
      <c r="H85" s="10">
        <v>79231.789999999994</v>
      </c>
      <c r="I85" s="10">
        <v>51670.77</v>
      </c>
      <c r="J85" s="10">
        <v>54912.04</v>
      </c>
      <c r="K85" s="10">
        <v>22742.94</v>
      </c>
      <c r="L85" s="10">
        <v>64965.66</v>
      </c>
      <c r="M85" s="71">
        <v>143600.40182218753</v>
      </c>
      <c r="N85" s="15">
        <v>3759.922328208404</v>
      </c>
      <c r="O85" s="15">
        <v>46.848010558310307</v>
      </c>
      <c r="P85" s="15">
        <v>32.755742274435761</v>
      </c>
      <c r="Q85" s="15">
        <v>-160.23790322868885</v>
      </c>
      <c r="R85" s="15">
        <v>0</v>
      </c>
      <c r="S85" s="15">
        <v>0</v>
      </c>
      <c r="T85" s="15">
        <v>0</v>
      </c>
      <c r="U85" s="15">
        <v>0</v>
      </c>
      <c r="V85" s="10">
        <v>159400.45000000001</v>
      </c>
      <c r="W85" s="10">
        <v>107409.02</v>
      </c>
      <c r="X85" s="10">
        <v>82537.929999999993</v>
      </c>
      <c r="Y85" s="10">
        <v>95590.85</v>
      </c>
      <c r="Z85" s="10">
        <v>206525.06</v>
      </c>
      <c r="AA85" s="10">
        <v>166488.6</v>
      </c>
      <c r="AB85" s="10">
        <v>113605.17</v>
      </c>
      <c r="AC85" s="10">
        <v>246945.17</v>
      </c>
      <c r="AD85" s="10">
        <v>244267.51</v>
      </c>
      <c r="AE85" s="10">
        <v>64935.08</v>
      </c>
      <c r="AF85" s="10">
        <v>106614.39999999999</v>
      </c>
      <c r="AG85" s="10">
        <v>133074.37</v>
      </c>
      <c r="AH85" s="71">
        <v>395573.78855431493</v>
      </c>
      <c r="AI85" s="15">
        <v>-11.208554314923759</v>
      </c>
      <c r="AJ85" s="10">
        <v>31853.439999999999</v>
      </c>
      <c r="AK85" s="10">
        <v>137828.41</v>
      </c>
      <c r="AL85" s="10">
        <v>895623.35</v>
      </c>
      <c r="AM85" s="4">
        <v>203416</v>
      </c>
      <c r="AN85" s="10">
        <v>861586.96</v>
      </c>
      <c r="AO85" s="10">
        <v>621080.63</v>
      </c>
      <c r="AP85" s="10">
        <v>319381.76000000001</v>
      </c>
      <c r="AQ85" s="10">
        <v>71518.98</v>
      </c>
      <c r="AR85" s="10">
        <v>33080.400000000001</v>
      </c>
      <c r="AS85" s="10">
        <v>276744.78000000003</v>
      </c>
      <c r="AT85" s="10">
        <v>58490.82</v>
      </c>
      <c r="AU85" s="10">
        <v>431804.98</v>
      </c>
      <c r="AV85" s="10">
        <v>114875.3</v>
      </c>
      <c r="AW85" s="10">
        <v>61745.86</v>
      </c>
      <c r="AX85" s="10">
        <v>133105.34</v>
      </c>
      <c r="AY85" s="10">
        <v>525253.81999999995</v>
      </c>
      <c r="AZ85" s="10">
        <v>397844.66</v>
      </c>
      <c r="BA85" s="10">
        <v>130561.43</v>
      </c>
      <c r="BB85" s="10">
        <v>151932.48000000001</v>
      </c>
      <c r="BC85" s="10">
        <v>1708971.49</v>
      </c>
      <c r="BD85" s="10">
        <v>548179.23</v>
      </c>
      <c r="BE85" s="10">
        <v>230999.05</v>
      </c>
      <c r="BF85" s="10">
        <v>244212.15</v>
      </c>
      <c r="BG85" s="10">
        <v>82028.7</v>
      </c>
      <c r="BH85" s="10">
        <v>87212.33</v>
      </c>
      <c r="BI85" s="10">
        <v>275674.55</v>
      </c>
      <c r="BJ85" s="10">
        <v>183143.48</v>
      </c>
      <c r="BK85" s="10">
        <v>31583.68</v>
      </c>
      <c r="BL85" s="10">
        <v>336528.83</v>
      </c>
      <c r="BM85" s="10">
        <v>880502.71</v>
      </c>
      <c r="BN85" s="10">
        <v>703314.63</v>
      </c>
      <c r="BO85" s="10">
        <v>771965.16</v>
      </c>
      <c r="BP85" s="10">
        <v>367436.49</v>
      </c>
      <c r="BQ85" s="10">
        <v>110508.36</v>
      </c>
      <c r="BR85" s="10">
        <v>77474.509999999995</v>
      </c>
      <c r="BS85" s="10">
        <v>87475.61</v>
      </c>
      <c r="BT85" s="10">
        <v>23517.72</v>
      </c>
      <c r="BU85" s="10">
        <v>115546.58</v>
      </c>
      <c r="BV85" s="10">
        <v>47485.67</v>
      </c>
      <c r="BW85" s="4">
        <v>0</v>
      </c>
      <c r="BX85" s="4" t="s">
        <v>102</v>
      </c>
      <c r="BY85" s="4" t="s">
        <v>102</v>
      </c>
      <c r="BZ85" s="4" t="s">
        <v>102</v>
      </c>
      <c r="CA85" s="4" t="s">
        <v>102</v>
      </c>
      <c r="CB85" s="4" t="s">
        <v>102</v>
      </c>
      <c r="CC85" s="4" t="s">
        <v>102</v>
      </c>
      <c r="CD85" s="4" t="s">
        <v>102</v>
      </c>
      <c r="CE85" s="4" t="s">
        <v>102</v>
      </c>
      <c r="CF85" s="4" t="s">
        <v>102</v>
      </c>
      <c r="CG85" s="4" t="s">
        <v>102</v>
      </c>
      <c r="CH85" s="4" t="s">
        <v>102</v>
      </c>
      <c r="CI85" s="4" t="s">
        <v>102</v>
      </c>
      <c r="CJ85" s="4" t="s">
        <v>102</v>
      </c>
      <c r="CK85" s="4" t="s">
        <v>102</v>
      </c>
      <c r="CL85" s="4" t="s">
        <v>102</v>
      </c>
      <c r="CM85" s="4" t="s">
        <v>102</v>
      </c>
    </row>
    <row r="86" spans="1:91" x14ac:dyDescent="0.35">
      <c r="A86" s="3" t="s">
        <v>104</v>
      </c>
      <c r="B86" s="5" t="s">
        <v>102</v>
      </c>
      <c r="C86" s="5" t="s">
        <v>102</v>
      </c>
      <c r="D86" s="5" t="s">
        <v>102</v>
      </c>
      <c r="E86" s="5" t="s">
        <v>102</v>
      </c>
      <c r="F86" s="5" t="s">
        <v>102</v>
      </c>
      <c r="G86" s="5" t="s">
        <v>102</v>
      </c>
      <c r="H86" s="5" t="s">
        <v>102</v>
      </c>
      <c r="I86" s="5" t="s">
        <v>102</v>
      </c>
      <c r="J86" s="5" t="s">
        <v>102</v>
      </c>
      <c r="K86" s="5" t="s">
        <v>102</v>
      </c>
      <c r="L86" s="5" t="s">
        <v>102</v>
      </c>
      <c r="M86" s="71" t="s">
        <v>102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5" t="s">
        <v>102</v>
      </c>
      <c r="W86" s="5" t="s">
        <v>102</v>
      </c>
      <c r="X86" s="5" t="s">
        <v>102</v>
      </c>
      <c r="Y86" s="5" t="s">
        <v>102</v>
      </c>
      <c r="Z86" s="5" t="s">
        <v>102</v>
      </c>
      <c r="AA86" s="5" t="s">
        <v>102</v>
      </c>
      <c r="AB86" s="5" t="s">
        <v>102</v>
      </c>
      <c r="AC86" s="5" t="s">
        <v>102</v>
      </c>
      <c r="AD86" s="5" t="s">
        <v>102</v>
      </c>
      <c r="AE86" s="5" t="s">
        <v>102</v>
      </c>
      <c r="AF86" s="5" t="s">
        <v>102</v>
      </c>
      <c r="AG86" s="5" t="s">
        <v>102</v>
      </c>
      <c r="AH86" s="71" t="s">
        <v>102</v>
      </c>
      <c r="AI86" s="29"/>
      <c r="AJ86" s="5" t="s">
        <v>102</v>
      </c>
      <c r="AK86" s="5" t="s">
        <v>102</v>
      </c>
      <c r="AL86" s="5" t="s">
        <v>102</v>
      </c>
      <c r="AM86" s="5" t="s">
        <v>102</v>
      </c>
      <c r="AN86" s="5" t="s">
        <v>102</v>
      </c>
      <c r="AO86" s="5" t="s">
        <v>102</v>
      </c>
      <c r="AP86" s="5" t="s">
        <v>102</v>
      </c>
      <c r="AQ86" s="5" t="s">
        <v>102</v>
      </c>
      <c r="AR86" s="5" t="s">
        <v>102</v>
      </c>
      <c r="AS86" s="5" t="s">
        <v>102</v>
      </c>
      <c r="AT86" s="5" t="s">
        <v>102</v>
      </c>
      <c r="AU86" s="5" t="s">
        <v>102</v>
      </c>
      <c r="AV86" s="5" t="s">
        <v>102</v>
      </c>
      <c r="AW86" s="5" t="s">
        <v>102</v>
      </c>
      <c r="AX86" s="5" t="s">
        <v>102</v>
      </c>
      <c r="AY86" s="5" t="s">
        <v>102</v>
      </c>
      <c r="AZ86" s="5" t="s">
        <v>102</v>
      </c>
      <c r="BA86" s="5" t="s">
        <v>102</v>
      </c>
      <c r="BB86" s="5" t="s">
        <v>102</v>
      </c>
      <c r="BC86" s="5" t="s">
        <v>102</v>
      </c>
      <c r="BD86" s="5" t="s">
        <v>102</v>
      </c>
      <c r="BE86" s="5" t="s">
        <v>102</v>
      </c>
      <c r="BF86" s="5" t="s">
        <v>102</v>
      </c>
      <c r="BG86" s="5" t="s">
        <v>102</v>
      </c>
      <c r="BH86" s="5" t="s">
        <v>102</v>
      </c>
      <c r="BI86" s="5" t="s">
        <v>102</v>
      </c>
      <c r="BJ86" s="5" t="s">
        <v>102</v>
      </c>
      <c r="BK86" s="5" t="s">
        <v>102</v>
      </c>
      <c r="BL86" s="5" t="s">
        <v>102</v>
      </c>
      <c r="BM86" s="5" t="s">
        <v>102</v>
      </c>
      <c r="BN86" s="5" t="s">
        <v>102</v>
      </c>
      <c r="BO86" s="5" t="s">
        <v>102</v>
      </c>
      <c r="BP86" s="5" t="s">
        <v>102</v>
      </c>
      <c r="BQ86" s="5" t="s">
        <v>102</v>
      </c>
      <c r="BR86" s="5" t="s">
        <v>102</v>
      </c>
      <c r="BS86" s="5" t="s">
        <v>102</v>
      </c>
      <c r="BT86" s="5" t="s">
        <v>102</v>
      </c>
      <c r="BU86" s="5" t="s">
        <v>102</v>
      </c>
      <c r="BV86" s="5" t="s">
        <v>102</v>
      </c>
      <c r="BW86" s="5" t="s">
        <v>102</v>
      </c>
      <c r="BX86" s="5" t="s">
        <v>102</v>
      </c>
      <c r="BY86" s="5" t="s">
        <v>102</v>
      </c>
      <c r="BZ86" s="5" t="s">
        <v>102</v>
      </c>
      <c r="CA86" s="5" t="s">
        <v>102</v>
      </c>
      <c r="CB86" s="5" t="s">
        <v>102</v>
      </c>
      <c r="CC86" s="5" t="s">
        <v>102</v>
      </c>
      <c r="CD86" s="5" t="s">
        <v>102</v>
      </c>
      <c r="CE86" s="5" t="s">
        <v>102</v>
      </c>
      <c r="CF86" s="5" t="s">
        <v>102</v>
      </c>
      <c r="CG86" s="5" t="s">
        <v>102</v>
      </c>
      <c r="CH86" s="5" t="s">
        <v>102</v>
      </c>
      <c r="CI86" s="5" t="s">
        <v>102</v>
      </c>
      <c r="CJ86" s="5" t="s">
        <v>102</v>
      </c>
      <c r="CK86" s="5" t="s">
        <v>102</v>
      </c>
      <c r="CL86" s="5" t="s">
        <v>102</v>
      </c>
      <c r="CM86" s="5" t="s">
        <v>102</v>
      </c>
    </row>
    <row r="87" spans="1:91" x14ac:dyDescent="0.35">
      <c r="A87" s="3" t="s">
        <v>105</v>
      </c>
      <c r="B87" s="10">
        <v>7267415.7000000002</v>
      </c>
      <c r="C87" s="10">
        <v>210755.08</v>
      </c>
      <c r="D87" s="10">
        <v>21683.68</v>
      </c>
      <c r="E87" s="10">
        <v>4213.93</v>
      </c>
      <c r="F87" s="10">
        <v>36382.85</v>
      </c>
      <c r="G87" s="10">
        <v>147640.60999999999</v>
      </c>
      <c r="H87" s="10">
        <v>33776.18</v>
      </c>
      <c r="I87" s="10">
        <v>24758.080000000002</v>
      </c>
      <c r="J87" s="10">
        <v>24972.400000000001</v>
      </c>
      <c r="K87" s="10">
        <v>8172.85</v>
      </c>
      <c r="L87" s="10">
        <v>47244.38</v>
      </c>
      <c r="M87" s="71">
        <v>70631.67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0">
        <v>116668.58</v>
      </c>
      <c r="W87" s="10">
        <v>42069.81</v>
      </c>
      <c r="X87" s="10">
        <v>34456.54</v>
      </c>
      <c r="Y87" s="10">
        <v>42046.63</v>
      </c>
      <c r="Z87" s="10">
        <v>72352.95</v>
      </c>
      <c r="AA87" s="10">
        <v>108220.94</v>
      </c>
      <c r="AB87" s="10">
        <v>43076.17</v>
      </c>
      <c r="AC87" s="10">
        <v>94316.800000000003</v>
      </c>
      <c r="AD87" s="10">
        <v>121216.51</v>
      </c>
      <c r="AE87" s="10">
        <v>26746.51</v>
      </c>
      <c r="AF87" s="10">
        <v>44971.47</v>
      </c>
      <c r="AG87" s="10">
        <v>43967.519999999997</v>
      </c>
      <c r="AH87" s="71">
        <v>309220.71000000002</v>
      </c>
      <c r="AI87" s="29"/>
      <c r="AJ87" s="10">
        <v>17894.939999999999</v>
      </c>
      <c r="AK87" s="10">
        <v>70483.42</v>
      </c>
      <c r="AL87" s="10">
        <v>420321.85</v>
      </c>
      <c r="AM87" s="10">
        <v>83728.02</v>
      </c>
      <c r="AN87" s="10">
        <v>444181.76000000001</v>
      </c>
      <c r="AO87" s="10">
        <v>218962.29</v>
      </c>
      <c r="AP87" s="10">
        <v>120205.79</v>
      </c>
      <c r="AQ87" s="10">
        <v>58168.19</v>
      </c>
      <c r="AR87" s="10">
        <v>12676.67</v>
      </c>
      <c r="AS87" s="10">
        <v>123066.3</v>
      </c>
      <c r="AT87" s="10">
        <v>11029.31</v>
      </c>
      <c r="AU87" s="10">
        <v>183530.34</v>
      </c>
      <c r="AV87" s="10">
        <v>59693.8</v>
      </c>
      <c r="AW87" s="10">
        <v>28500.78</v>
      </c>
      <c r="AX87" s="10">
        <v>83429.100000000006</v>
      </c>
      <c r="AY87" s="10">
        <v>194640.67</v>
      </c>
      <c r="AZ87" s="10">
        <v>182730.65</v>
      </c>
      <c r="BA87" s="10">
        <v>75181.64</v>
      </c>
      <c r="BB87" s="10">
        <v>63845.9</v>
      </c>
      <c r="BC87" s="10">
        <v>1496095.33</v>
      </c>
      <c r="BD87" s="10">
        <v>210435.67</v>
      </c>
      <c r="BE87" s="10">
        <v>87258.69</v>
      </c>
      <c r="BF87" s="10">
        <v>108866.12</v>
      </c>
      <c r="BG87" s="10">
        <v>32927.21</v>
      </c>
      <c r="BH87" s="10">
        <v>47695.83</v>
      </c>
      <c r="BI87" s="10">
        <v>198151.22</v>
      </c>
      <c r="BJ87" s="10">
        <v>15595.56</v>
      </c>
      <c r="BK87" s="10">
        <v>18050.8</v>
      </c>
      <c r="BL87" s="10">
        <v>104166.24</v>
      </c>
      <c r="BM87" s="10">
        <v>214824.59</v>
      </c>
      <c r="BN87" s="10">
        <v>117678.13</v>
      </c>
      <c r="BO87" s="10">
        <v>217076.92</v>
      </c>
      <c r="BP87" s="10">
        <v>45825.95</v>
      </c>
      <c r="BQ87" s="10">
        <v>54047.83</v>
      </c>
      <c r="BR87" s="10">
        <v>24578.01</v>
      </c>
      <c r="BS87" s="10">
        <v>8404.0499999999993</v>
      </c>
      <c r="BT87" s="10">
        <v>10652.94</v>
      </c>
      <c r="BU87" s="10">
        <v>72838.52</v>
      </c>
      <c r="BV87" s="10">
        <v>411.84</v>
      </c>
      <c r="BW87" s="4">
        <v>0</v>
      </c>
      <c r="BX87" s="4" t="s">
        <v>102</v>
      </c>
      <c r="BY87" s="4" t="s">
        <v>102</v>
      </c>
      <c r="BZ87" s="4" t="s">
        <v>102</v>
      </c>
      <c r="CA87" s="4" t="s">
        <v>102</v>
      </c>
      <c r="CB87" s="4" t="s">
        <v>102</v>
      </c>
      <c r="CC87" s="4" t="s">
        <v>102</v>
      </c>
      <c r="CD87" s="4" t="s">
        <v>102</v>
      </c>
      <c r="CE87" s="4" t="s">
        <v>102</v>
      </c>
      <c r="CF87" s="4" t="s">
        <v>102</v>
      </c>
      <c r="CG87" s="4" t="s">
        <v>102</v>
      </c>
      <c r="CH87" s="4" t="s">
        <v>102</v>
      </c>
      <c r="CI87" s="4" t="s">
        <v>102</v>
      </c>
      <c r="CJ87" s="4" t="s">
        <v>102</v>
      </c>
      <c r="CK87" s="4" t="s">
        <v>102</v>
      </c>
      <c r="CL87" s="4" t="s">
        <v>102</v>
      </c>
      <c r="CM87" s="4" t="s">
        <v>102</v>
      </c>
    </row>
    <row r="88" spans="1:91" x14ac:dyDescent="0.35">
      <c r="A88" s="3" t="s">
        <v>106</v>
      </c>
      <c r="B88" s="5" t="s">
        <v>102</v>
      </c>
      <c r="C88" s="5" t="s">
        <v>102</v>
      </c>
      <c r="D88" s="5" t="s">
        <v>102</v>
      </c>
      <c r="E88" s="5" t="s">
        <v>102</v>
      </c>
      <c r="F88" s="5" t="s">
        <v>102</v>
      </c>
      <c r="G88" s="5" t="s">
        <v>102</v>
      </c>
      <c r="H88" s="5" t="s">
        <v>102</v>
      </c>
      <c r="I88" s="5" t="s">
        <v>102</v>
      </c>
      <c r="J88" s="5" t="s">
        <v>102</v>
      </c>
      <c r="K88" s="5" t="s">
        <v>102</v>
      </c>
      <c r="L88" s="5" t="s">
        <v>102</v>
      </c>
      <c r="M88" s="71" t="s">
        <v>102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5" t="s">
        <v>102</v>
      </c>
      <c r="W88" s="5" t="s">
        <v>102</v>
      </c>
      <c r="X88" s="5" t="s">
        <v>102</v>
      </c>
      <c r="Y88" s="5" t="s">
        <v>102</v>
      </c>
      <c r="Z88" s="5" t="s">
        <v>102</v>
      </c>
      <c r="AA88" s="5" t="s">
        <v>102</v>
      </c>
      <c r="AB88" s="5" t="s">
        <v>102</v>
      </c>
      <c r="AC88" s="5" t="s">
        <v>102</v>
      </c>
      <c r="AD88" s="5" t="s">
        <v>102</v>
      </c>
      <c r="AE88" s="5" t="s">
        <v>102</v>
      </c>
      <c r="AF88" s="5" t="s">
        <v>102</v>
      </c>
      <c r="AG88" s="5" t="s">
        <v>102</v>
      </c>
      <c r="AH88" s="71" t="s">
        <v>102</v>
      </c>
      <c r="AI88" s="29"/>
      <c r="AJ88" s="5" t="s">
        <v>102</v>
      </c>
      <c r="AK88" s="5" t="s">
        <v>102</v>
      </c>
      <c r="AL88" s="5" t="s">
        <v>102</v>
      </c>
      <c r="AM88" s="5" t="s">
        <v>102</v>
      </c>
      <c r="AN88" s="5" t="s">
        <v>102</v>
      </c>
      <c r="AO88" s="5" t="s">
        <v>102</v>
      </c>
      <c r="AP88" s="5" t="s">
        <v>102</v>
      </c>
      <c r="AQ88" s="5" t="s">
        <v>102</v>
      </c>
      <c r="AR88" s="5" t="s">
        <v>102</v>
      </c>
      <c r="AS88" s="5" t="s">
        <v>102</v>
      </c>
      <c r="AT88" s="5" t="s">
        <v>102</v>
      </c>
      <c r="AU88" s="5" t="s">
        <v>102</v>
      </c>
      <c r="AV88" s="5" t="s">
        <v>102</v>
      </c>
      <c r="AW88" s="5" t="s">
        <v>102</v>
      </c>
      <c r="AX88" s="5" t="s">
        <v>102</v>
      </c>
      <c r="AY88" s="5" t="s">
        <v>102</v>
      </c>
      <c r="AZ88" s="5" t="s">
        <v>102</v>
      </c>
      <c r="BA88" s="5" t="s">
        <v>102</v>
      </c>
      <c r="BB88" s="5" t="s">
        <v>102</v>
      </c>
      <c r="BC88" s="5" t="s">
        <v>102</v>
      </c>
      <c r="BD88" s="5" t="s">
        <v>102</v>
      </c>
      <c r="BE88" s="5" t="s">
        <v>102</v>
      </c>
      <c r="BF88" s="5" t="s">
        <v>102</v>
      </c>
      <c r="BG88" s="5" t="s">
        <v>102</v>
      </c>
      <c r="BH88" s="5" t="s">
        <v>102</v>
      </c>
      <c r="BI88" s="5" t="s">
        <v>102</v>
      </c>
      <c r="BJ88" s="5" t="s">
        <v>102</v>
      </c>
      <c r="BK88" s="5" t="s">
        <v>102</v>
      </c>
      <c r="BL88" s="5" t="s">
        <v>102</v>
      </c>
      <c r="BM88" s="5" t="s">
        <v>102</v>
      </c>
      <c r="BN88" s="5" t="s">
        <v>102</v>
      </c>
      <c r="BO88" s="5" t="s">
        <v>102</v>
      </c>
      <c r="BP88" s="5" t="s">
        <v>102</v>
      </c>
      <c r="BQ88" s="5" t="s">
        <v>102</v>
      </c>
      <c r="BR88" s="5" t="s">
        <v>102</v>
      </c>
      <c r="BS88" s="5" t="s">
        <v>102</v>
      </c>
      <c r="BT88" s="5" t="s">
        <v>102</v>
      </c>
      <c r="BU88" s="5" t="s">
        <v>102</v>
      </c>
      <c r="BV88" s="5" t="s">
        <v>102</v>
      </c>
      <c r="BW88" s="5" t="s">
        <v>102</v>
      </c>
      <c r="BX88" s="5" t="s">
        <v>102</v>
      </c>
      <c r="BY88" s="5" t="s">
        <v>102</v>
      </c>
      <c r="BZ88" s="5" t="s">
        <v>102</v>
      </c>
      <c r="CA88" s="5" t="s">
        <v>102</v>
      </c>
      <c r="CB88" s="5" t="s">
        <v>102</v>
      </c>
      <c r="CC88" s="5" t="s">
        <v>102</v>
      </c>
      <c r="CD88" s="5" t="s">
        <v>102</v>
      </c>
      <c r="CE88" s="5" t="s">
        <v>102</v>
      </c>
      <c r="CF88" s="5" t="s">
        <v>102</v>
      </c>
      <c r="CG88" s="5" t="s">
        <v>102</v>
      </c>
      <c r="CH88" s="5" t="s">
        <v>102</v>
      </c>
      <c r="CI88" s="5" t="s">
        <v>102</v>
      </c>
      <c r="CJ88" s="5" t="s">
        <v>102</v>
      </c>
      <c r="CK88" s="5" t="s">
        <v>102</v>
      </c>
      <c r="CL88" s="5" t="s">
        <v>102</v>
      </c>
      <c r="CM88" s="5" t="s">
        <v>102</v>
      </c>
    </row>
    <row r="89" spans="1:91" x14ac:dyDescent="0.35">
      <c r="A89" s="3" t="s">
        <v>107</v>
      </c>
      <c r="B89" s="10">
        <v>8088074.0800000001</v>
      </c>
      <c r="C89" s="10">
        <v>52436.02</v>
      </c>
      <c r="D89" s="10">
        <v>9707.23</v>
      </c>
      <c r="E89" s="10">
        <v>2448.6799999999998</v>
      </c>
      <c r="F89" s="10">
        <v>17298.88</v>
      </c>
      <c r="G89" s="10">
        <v>166901.99</v>
      </c>
      <c r="H89" s="10">
        <v>45207.13</v>
      </c>
      <c r="I89" s="10">
        <v>26469.919999999998</v>
      </c>
      <c r="J89" s="10">
        <v>29301.200000000001</v>
      </c>
      <c r="K89" s="10">
        <v>14528.78</v>
      </c>
      <c r="L89" s="10">
        <v>11765.39</v>
      </c>
      <c r="M89" s="71">
        <v>75125.41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0">
        <v>42274.34</v>
      </c>
      <c r="W89" s="10">
        <v>64994.2</v>
      </c>
      <c r="X89" s="10">
        <v>46076.93</v>
      </c>
      <c r="Y89" s="10">
        <v>52483.37</v>
      </c>
      <c r="Z89" s="10">
        <v>133150.73000000001</v>
      </c>
      <c r="AA89" s="10">
        <v>58248.1</v>
      </c>
      <c r="AB89" s="10">
        <v>70467.899999999994</v>
      </c>
      <c r="AC89" s="10">
        <v>152247.6</v>
      </c>
      <c r="AD89" s="10">
        <v>122444.87</v>
      </c>
      <c r="AE89" s="10">
        <v>38135.4</v>
      </c>
      <c r="AF89" s="10">
        <v>61174.29</v>
      </c>
      <c r="AG89" s="10">
        <v>88079.16</v>
      </c>
      <c r="AH89" s="71">
        <v>79112.83</v>
      </c>
      <c r="AI89" s="29"/>
      <c r="AJ89" s="10">
        <v>13719.1</v>
      </c>
      <c r="AK89" s="10">
        <v>66143.899999999994</v>
      </c>
      <c r="AL89" s="10">
        <v>462999.9</v>
      </c>
      <c r="AM89" s="10">
        <v>114205.77</v>
      </c>
      <c r="AN89" s="10">
        <v>427785.35</v>
      </c>
      <c r="AO89" s="10">
        <v>374155.95</v>
      </c>
      <c r="AP89" s="10">
        <v>202222.19</v>
      </c>
      <c r="AQ89" s="10">
        <v>13738.67</v>
      </c>
      <c r="AR89" s="10">
        <v>20173.599999999999</v>
      </c>
      <c r="AS89" s="10">
        <v>150001.88</v>
      </c>
      <c r="AT89" s="10">
        <v>48133.95</v>
      </c>
      <c r="AU89" s="10">
        <v>244114.98</v>
      </c>
      <c r="AV89" s="10">
        <v>54683.6</v>
      </c>
      <c r="AW89" s="10">
        <v>34217.06</v>
      </c>
      <c r="AX89" s="10">
        <v>47484.09</v>
      </c>
      <c r="AY89" s="10">
        <v>325568.24</v>
      </c>
      <c r="AZ89" s="10">
        <v>184636.95</v>
      </c>
      <c r="BA89" s="10">
        <v>51543.08</v>
      </c>
      <c r="BB89" s="10">
        <v>83454.91</v>
      </c>
      <c r="BC89" s="10">
        <v>118413.26</v>
      </c>
      <c r="BD89" s="10">
        <v>332328.84000000003</v>
      </c>
      <c r="BE89" s="10">
        <v>141667.99</v>
      </c>
      <c r="BF89" s="10">
        <v>138202.32999999999</v>
      </c>
      <c r="BG89" s="10">
        <v>48393.59</v>
      </c>
      <c r="BH89" s="10">
        <v>39009.01</v>
      </c>
      <c r="BI89" s="10">
        <v>76570.45</v>
      </c>
      <c r="BJ89" s="10">
        <v>166037.68</v>
      </c>
      <c r="BK89" s="10">
        <v>14157.78</v>
      </c>
      <c r="BL89" s="10">
        <v>232536.31</v>
      </c>
      <c r="BM89" s="10">
        <v>655153.13</v>
      </c>
      <c r="BN89" s="10">
        <v>581035.63</v>
      </c>
      <c r="BO89" s="10">
        <v>552036.23</v>
      </c>
      <c r="BP89" s="10">
        <v>321971.36</v>
      </c>
      <c r="BQ89" s="10">
        <v>56238.77</v>
      </c>
      <c r="BR89" s="10">
        <v>53504.68</v>
      </c>
      <c r="BS89" s="10">
        <v>79907.179999999993</v>
      </c>
      <c r="BT89" s="10">
        <v>12581.21</v>
      </c>
      <c r="BU89" s="10">
        <v>42214.68</v>
      </c>
      <c r="BV89" s="10">
        <v>47050.48</v>
      </c>
      <c r="BW89" s="4">
        <v>0</v>
      </c>
      <c r="BX89" s="4" t="s">
        <v>102</v>
      </c>
      <c r="BY89" s="4" t="s">
        <v>102</v>
      </c>
      <c r="BZ89" s="4" t="s">
        <v>102</v>
      </c>
      <c r="CA89" s="4" t="s">
        <v>102</v>
      </c>
      <c r="CB89" s="4" t="s">
        <v>102</v>
      </c>
      <c r="CC89" s="4" t="s">
        <v>102</v>
      </c>
      <c r="CD89" s="4" t="s">
        <v>102</v>
      </c>
      <c r="CE89" s="4" t="s">
        <v>102</v>
      </c>
      <c r="CF89" s="4" t="s">
        <v>102</v>
      </c>
      <c r="CG89" s="4" t="s">
        <v>102</v>
      </c>
      <c r="CH89" s="4" t="s">
        <v>102</v>
      </c>
      <c r="CI89" s="4" t="s">
        <v>102</v>
      </c>
      <c r="CJ89" s="4" t="s">
        <v>102</v>
      </c>
      <c r="CK89" s="4" t="s">
        <v>102</v>
      </c>
      <c r="CL89" s="4" t="s">
        <v>102</v>
      </c>
      <c r="CM89" s="4" t="s">
        <v>102</v>
      </c>
    </row>
    <row r="90" spans="1:91" x14ac:dyDescent="0.35">
      <c r="A90" s="3" t="s">
        <v>108</v>
      </c>
      <c r="B90" s="5" t="s">
        <v>102</v>
      </c>
      <c r="C90" s="5" t="s">
        <v>102</v>
      </c>
      <c r="D90" s="5" t="s">
        <v>102</v>
      </c>
      <c r="E90" s="5" t="s">
        <v>102</v>
      </c>
      <c r="F90" s="5" t="s">
        <v>102</v>
      </c>
      <c r="G90" s="5" t="s">
        <v>102</v>
      </c>
      <c r="H90" s="5" t="s">
        <v>102</v>
      </c>
      <c r="I90" s="5" t="s">
        <v>102</v>
      </c>
      <c r="J90" s="5" t="s">
        <v>102</v>
      </c>
      <c r="K90" s="5" t="s">
        <v>102</v>
      </c>
      <c r="L90" s="5" t="s">
        <v>102</v>
      </c>
      <c r="M90" s="71" t="s">
        <v>102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5" t="s">
        <v>102</v>
      </c>
      <c r="W90" s="5" t="s">
        <v>102</v>
      </c>
      <c r="X90" s="5" t="s">
        <v>102</v>
      </c>
      <c r="Y90" s="5" t="s">
        <v>102</v>
      </c>
      <c r="Z90" s="5" t="s">
        <v>102</v>
      </c>
      <c r="AA90" s="5" t="s">
        <v>102</v>
      </c>
      <c r="AB90" s="5" t="s">
        <v>102</v>
      </c>
      <c r="AC90" s="5" t="s">
        <v>102</v>
      </c>
      <c r="AD90" s="5" t="s">
        <v>102</v>
      </c>
      <c r="AE90" s="5" t="s">
        <v>102</v>
      </c>
      <c r="AF90" s="5" t="s">
        <v>102</v>
      </c>
      <c r="AG90" s="5" t="s">
        <v>102</v>
      </c>
      <c r="AH90" s="71" t="s">
        <v>102</v>
      </c>
      <c r="AI90" s="29"/>
      <c r="AJ90" s="5" t="s">
        <v>102</v>
      </c>
      <c r="AK90" s="5" t="s">
        <v>102</v>
      </c>
      <c r="AL90" s="5" t="s">
        <v>102</v>
      </c>
      <c r="AM90" s="5" t="s">
        <v>102</v>
      </c>
      <c r="AN90" s="5" t="s">
        <v>102</v>
      </c>
      <c r="AO90" s="5" t="s">
        <v>102</v>
      </c>
      <c r="AP90" s="5" t="s">
        <v>102</v>
      </c>
      <c r="AQ90" s="5" t="s">
        <v>102</v>
      </c>
      <c r="AR90" s="5" t="s">
        <v>102</v>
      </c>
      <c r="AS90" s="5" t="s">
        <v>102</v>
      </c>
      <c r="AT90" s="5" t="s">
        <v>102</v>
      </c>
      <c r="AU90" s="5" t="s">
        <v>102</v>
      </c>
      <c r="AV90" s="5" t="s">
        <v>102</v>
      </c>
      <c r="AW90" s="5" t="s">
        <v>102</v>
      </c>
      <c r="AX90" s="5" t="s">
        <v>102</v>
      </c>
      <c r="AY90" s="5" t="s">
        <v>102</v>
      </c>
      <c r="AZ90" s="5" t="s">
        <v>102</v>
      </c>
      <c r="BA90" s="5" t="s">
        <v>102</v>
      </c>
      <c r="BB90" s="5" t="s">
        <v>102</v>
      </c>
      <c r="BC90" s="5" t="s">
        <v>102</v>
      </c>
      <c r="BD90" s="5" t="s">
        <v>102</v>
      </c>
      <c r="BE90" s="5" t="s">
        <v>102</v>
      </c>
      <c r="BF90" s="5" t="s">
        <v>102</v>
      </c>
      <c r="BG90" s="5" t="s">
        <v>102</v>
      </c>
      <c r="BH90" s="5" t="s">
        <v>102</v>
      </c>
      <c r="BI90" s="5" t="s">
        <v>102</v>
      </c>
      <c r="BJ90" s="5" t="s">
        <v>102</v>
      </c>
      <c r="BK90" s="5" t="s">
        <v>102</v>
      </c>
      <c r="BL90" s="5" t="s">
        <v>102</v>
      </c>
      <c r="BM90" s="5" t="s">
        <v>102</v>
      </c>
      <c r="BN90" s="5" t="s">
        <v>102</v>
      </c>
      <c r="BO90" s="5" t="s">
        <v>102</v>
      </c>
      <c r="BP90" s="5" t="s">
        <v>102</v>
      </c>
      <c r="BQ90" s="5" t="s">
        <v>102</v>
      </c>
      <c r="BR90" s="5" t="s">
        <v>102</v>
      </c>
      <c r="BS90" s="5" t="s">
        <v>102</v>
      </c>
      <c r="BT90" s="5" t="s">
        <v>102</v>
      </c>
      <c r="BU90" s="5" t="s">
        <v>102</v>
      </c>
      <c r="BV90" s="5" t="s">
        <v>102</v>
      </c>
      <c r="BW90" s="5" t="s">
        <v>102</v>
      </c>
      <c r="BX90" s="5" t="s">
        <v>102</v>
      </c>
      <c r="BY90" s="5" t="s">
        <v>102</v>
      </c>
      <c r="BZ90" s="5" t="s">
        <v>102</v>
      </c>
      <c r="CA90" s="5" t="s">
        <v>102</v>
      </c>
      <c r="CB90" s="5" t="s">
        <v>102</v>
      </c>
      <c r="CC90" s="5" t="s">
        <v>102</v>
      </c>
      <c r="CD90" s="5" t="s">
        <v>102</v>
      </c>
      <c r="CE90" s="5" t="s">
        <v>102</v>
      </c>
      <c r="CF90" s="5" t="s">
        <v>102</v>
      </c>
      <c r="CG90" s="5" t="s">
        <v>102</v>
      </c>
      <c r="CH90" s="5" t="s">
        <v>102</v>
      </c>
      <c r="CI90" s="5" t="s">
        <v>102</v>
      </c>
      <c r="CJ90" s="5" t="s">
        <v>102</v>
      </c>
      <c r="CK90" s="5" t="s">
        <v>102</v>
      </c>
      <c r="CL90" s="5" t="s">
        <v>102</v>
      </c>
      <c r="CM90" s="5" t="s">
        <v>102</v>
      </c>
    </row>
    <row r="91" spans="1:91" x14ac:dyDescent="0.35">
      <c r="A91" s="3" t="s">
        <v>109</v>
      </c>
      <c r="B91" s="10">
        <v>443997.48</v>
      </c>
      <c r="C91" s="10">
        <v>9308.7000000000007</v>
      </c>
      <c r="D91" s="10">
        <v>866.56</v>
      </c>
      <c r="E91" s="10">
        <v>266.14999999999998</v>
      </c>
      <c r="F91" s="10">
        <v>1127.94</v>
      </c>
      <c r="G91" s="10">
        <v>9168.19</v>
      </c>
      <c r="H91" s="10">
        <v>2000.85</v>
      </c>
      <c r="I91" s="10">
        <v>961.95</v>
      </c>
      <c r="J91" s="10">
        <v>1470.16</v>
      </c>
      <c r="K91" s="10">
        <v>433.72</v>
      </c>
      <c r="L91" s="10">
        <v>4171.62</v>
      </c>
      <c r="M91" s="71">
        <v>5476.2417244667458</v>
      </c>
      <c r="N91" s="15">
        <v>146.04622867527323</v>
      </c>
      <c r="O91" s="15">
        <v>19.144547988051663</v>
      </c>
      <c r="P91" s="15">
        <v>45.677978295904374</v>
      </c>
      <c r="Q91" s="15">
        <v>2.109520574024824</v>
      </c>
      <c r="R91" s="15">
        <v>0</v>
      </c>
      <c r="S91" s="15">
        <v>0</v>
      </c>
      <c r="T91" s="15">
        <v>0</v>
      </c>
      <c r="U91" s="15">
        <v>0</v>
      </c>
      <c r="V91" s="10">
        <v>1929.13</v>
      </c>
      <c r="W91" s="10">
        <v>2289.31</v>
      </c>
      <c r="X91" s="10">
        <v>2308.09</v>
      </c>
      <c r="Y91" s="10">
        <v>2754.93</v>
      </c>
      <c r="Z91" s="10">
        <v>3317.97</v>
      </c>
      <c r="AA91" s="10">
        <v>1717.26</v>
      </c>
      <c r="AB91" s="10">
        <v>2042.88</v>
      </c>
      <c r="AC91" s="10">
        <v>3006.08</v>
      </c>
      <c r="AD91" s="10">
        <v>3850.09</v>
      </c>
      <c r="AE91" s="10">
        <v>1059.27</v>
      </c>
      <c r="AF91" s="10">
        <v>2142.59</v>
      </c>
      <c r="AG91" s="10">
        <v>1806.54</v>
      </c>
      <c r="AH91" s="71">
        <v>1867.4146123096089</v>
      </c>
      <c r="AI91" s="86">
        <v>0.24538769039119543</v>
      </c>
      <c r="AJ91" s="10">
        <v>905.03</v>
      </c>
      <c r="AK91" s="10">
        <v>6388.83</v>
      </c>
      <c r="AL91" s="10">
        <v>19987.36</v>
      </c>
      <c r="AM91" s="10">
        <v>3027.57</v>
      </c>
      <c r="AN91" s="10">
        <v>11918.74</v>
      </c>
      <c r="AO91" s="10">
        <v>7469.5</v>
      </c>
      <c r="AP91" s="10">
        <v>23936.26</v>
      </c>
      <c r="AQ91" s="10">
        <v>3019.92</v>
      </c>
      <c r="AR91" s="10">
        <v>4737.57</v>
      </c>
      <c r="AS91" s="10">
        <v>10056.89</v>
      </c>
      <c r="AT91" s="10">
        <v>3968.02</v>
      </c>
      <c r="AU91" s="10">
        <v>13755.93</v>
      </c>
      <c r="AV91" s="10">
        <v>1477.13</v>
      </c>
      <c r="AW91" s="10">
        <v>1266.8800000000001</v>
      </c>
      <c r="AX91" s="10">
        <v>1940.13</v>
      </c>
      <c r="AY91" s="10">
        <v>6201.32</v>
      </c>
      <c r="AZ91" s="10">
        <v>19913.91</v>
      </c>
      <c r="BA91" s="10">
        <v>16853.82</v>
      </c>
      <c r="BB91" s="10">
        <v>11259.5</v>
      </c>
      <c r="BC91" s="10">
        <v>26964.02</v>
      </c>
      <c r="BD91" s="10">
        <v>10388.31</v>
      </c>
      <c r="BE91" s="10">
        <v>2487.38</v>
      </c>
      <c r="BF91" s="10">
        <v>6611.85</v>
      </c>
      <c r="BG91" s="10">
        <v>1072.5999999999999</v>
      </c>
      <c r="BH91" s="10">
        <v>1462.37</v>
      </c>
      <c r="BI91" s="10">
        <v>5369.83</v>
      </c>
      <c r="BJ91" s="10">
        <v>830.3</v>
      </c>
      <c r="BK91" s="10">
        <v>1199.31</v>
      </c>
      <c r="BL91" s="10">
        <v>4627.9399999999996</v>
      </c>
      <c r="BM91" s="10">
        <v>48782.05</v>
      </c>
      <c r="BN91" s="10">
        <v>17577.060000000001</v>
      </c>
      <c r="BO91" s="10">
        <v>43070.36</v>
      </c>
      <c r="BP91" s="10">
        <v>18110.21</v>
      </c>
      <c r="BQ91" s="10">
        <v>7877.76</v>
      </c>
      <c r="BR91" s="10">
        <v>5223.6099999999997</v>
      </c>
      <c r="BS91" s="10">
        <v>6621.24</v>
      </c>
      <c r="BT91" s="10">
        <v>297.81</v>
      </c>
      <c r="BU91" s="10">
        <v>1675.81</v>
      </c>
      <c r="BV91" s="10">
        <v>106.54</v>
      </c>
      <c r="BW91" s="4">
        <v>0</v>
      </c>
      <c r="BX91" s="10">
        <v>961628.77</v>
      </c>
      <c r="BY91" s="10">
        <v>19209.88</v>
      </c>
      <c r="BZ91" s="10">
        <v>942346.87</v>
      </c>
      <c r="CA91" s="10">
        <v>72.02</v>
      </c>
      <c r="CB91" s="10">
        <v>253398.24</v>
      </c>
      <c r="CC91" s="10">
        <v>1079.1400000000001</v>
      </c>
      <c r="CD91" s="4" t="s">
        <v>102</v>
      </c>
      <c r="CE91" s="4" t="s">
        <v>102</v>
      </c>
      <c r="CF91" s="4" t="s">
        <v>102</v>
      </c>
      <c r="CG91" s="4" t="s">
        <v>102</v>
      </c>
      <c r="CH91" s="4" t="s">
        <v>102</v>
      </c>
      <c r="CI91" s="10">
        <v>252319.1</v>
      </c>
      <c r="CJ91" s="4" t="s">
        <v>102</v>
      </c>
      <c r="CK91" s="4" t="s">
        <v>102</v>
      </c>
      <c r="CL91" s="10">
        <v>1659024.49</v>
      </c>
      <c r="CM91" s="10">
        <v>1215027.01</v>
      </c>
    </row>
    <row r="92" spans="1:91" x14ac:dyDescent="0.35">
      <c r="A92" s="3" t="s">
        <v>110</v>
      </c>
      <c r="B92" s="11">
        <v>189990.03</v>
      </c>
      <c r="C92" s="5">
        <v>-38842</v>
      </c>
      <c r="D92" s="11">
        <v>-328.1</v>
      </c>
      <c r="E92" s="11">
        <v>-172.96</v>
      </c>
      <c r="F92" s="11">
        <v>432.28</v>
      </c>
      <c r="G92" s="11">
        <v>-327.76</v>
      </c>
      <c r="H92" s="11">
        <v>248.48</v>
      </c>
      <c r="I92" s="11">
        <v>442.77</v>
      </c>
      <c r="J92" s="11">
        <v>638.44000000000005</v>
      </c>
      <c r="K92" s="11">
        <v>41.31</v>
      </c>
      <c r="L92" s="11">
        <v>5955.9</v>
      </c>
      <c r="M92" s="71">
        <v>1522.61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1">
        <v>457.52</v>
      </c>
      <c r="W92" s="5">
        <v>345</v>
      </c>
      <c r="X92" s="11">
        <v>2004.47</v>
      </c>
      <c r="Y92" s="11">
        <v>1060.8499999999999</v>
      </c>
      <c r="Z92" s="11">
        <v>1021.39</v>
      </c>
      <c r="AA92" s="11">
        <v>19.57</v>
      </c>
      <c r="AB92" s="11">
        <v>61.09</v>
      </c>
      <c r="AC92" s="11">
        <v>380.78</v>
      </c>
      <c r="AD92" s="11">
        <v>606.14</v>
      </c>
      <c r="AE92" s="11">
        <v>53.18</v>
      </c>
      <c r="AF92" s="11">
        <v>468.64</v>
      </c>
      <c r="AG92" s="11">
        <v>1027.69</v>
      </c>
      <c r="AH92" s="71">
        <v>7229.04</v>
      </c>
      <c r="AI92" s="29"/>
      <c r="AJ92" s="11">
        <v>239.4</v>
      </c>
      <c r="AK92" s="11">
        <v>1201.0999999999999</v>
      </c>
      <c r="AL92" s="11">
        <v>12301.6</v>
      </c>
      <c r="AM92" s="11">
        <v>5482.22</v>
      </c>
      <c r="AN92" s="11">
        <v>-10380.16</v>
      </c>
      <c r="AO92" s="11">
        <v>27962.39</v>
      </c>
      <c r="AP92" s="11">
        <v>-3046.22</v>
      </c>
      <c r="AQ92" s="11">
        <v>-387.88</v>
      </c>
      <c r="AR92" s="11">
        <v>230.13</v>
      </c>
      <c r="AS92" s="11">
        <v>3676.6</v>
      </c>
      <c r="AT92" s="11">
        <v>-672.44</v>
      </c>
      <c r="AU92" s="11">
        <v>4159.66</v>
      </c>
      <c r="AV92" s="11">
        <v>497.89</v>
      </c>
      <c r="AW92" s="11">
        <v>-971.98</v>
      </c>
      <c r="AX92" s="11">
        <v>2192.15</v>
      </c>
      <c r="AY92" s="11">
        <v>5044.91</v>
      </c>
      <c r="AZ92" s="11">
        <v>30477.07</v>
      </c>
      <c r="BA92" s="11">
        <v>3836.72</v>
      </c>
      <c r="BB92" s="11">
        <v>4631.67</v>
      </c>
      <c r="BC92" s="11">
        <v>94462.9</v>
      </c>
      <c r="BD92" s="11">
        <v>5414.72</v>
      </c>
      <c r="BE92" s="11">
        <v>2072.38</v>
      </c>
      <c r="BF92" s="11">
        <v>-2856.3</v>
      </c>
      <c r="BG92" s="11">
        <v>707.9</v>
      </c>
      <c r="BH92" s="11">
        <v>507.49</v>
      </c>
      <c r="BI92" s="11">
        <v>952.88</v>
      </c>
      <c r="BJ92" s="11">
        <v>1510.24</v>
      </c>
      <c r="BK92" s="11">
        <v>-624.9</v>
      </c>
      <c r="BL92" s="11">
        <v>-173.73</v>
      </c>
      <c r="BM92" s="5">
        <v>10525</v>
      </c>
      <c r="BN92" s="11">
        <v>4600.87</v>
      </c>
      <c r="BO92" s="11">
        <v>2852.01</v>
      </c>
      <c r="BP92" s="11">
        <v>-360.82</v>
      </c>
      <c r="BQ92" s="11">
        <v>221.76</v>
      </c>
      <c r="BR92" s="11">
        <v>-608.19000000000005</v>
      </c>
      <c r="BS92" s="11">
        <v>-835.62</v>
      </c>
      <c r="BT92" s="11">
        <v>283.57</v>
      </c>
      <c r="BU92" s="11">
        <v>493.38</v>
      </c>
      <c r="BV92" s="11">
        <v>23.35</v>
      </c>
      <c r="BW92" s="5">
        <v>0</v>
      </c>
      <c r="BX92" s="5" t="s">
        <v>102</v>
      </c>
      <c r="BY92" s="5" t="s">
        <v>102</v>
      </c>
      <c r="BZ92" s="5" t="s">
        <v>102</v>
      </c>
      <c r="CA92" s="5" t="s">
        <v>102</v>
      </c>
      <c r="CB92" s="5" t="s">
        <v>102</v>
      </c>
      <c r="CC92" s="5" t="s">
        <v>102</v>
      </c>
      <c r="CD92" s="5" t="s">
        <v>102</v>
      </c>
      <c r="CE92" s="5" t="s">
        <v>102</v>
      </c>
      <c r="CF92" s="5" t="s">
        <v>102</v>
      </c>
      <c r="CG92" s="5" t="s">
        <v>102</v>
      </c>
      <c r="CH92" s="5" t="s">
        <v>102</v>
      </c>
      <c r="CI92" s="5" t="s">
        <v>102</v>
      </c>
      <c r="CJ92" s="5" t="s">
        <v>102</v>
      </c>
      <c r="CK92" s="5" t="s">
        <v>102</v>
      </c>
      <c r="CL92" s="5" t="s">
        <v>102</v>
      </c>
      <c r="CM92" s="5" t="s">
        <v>102</v>
      </c>
    </row>
    <row r="93" spans="1:91" x14ac:dyDescent="0.35">
      <c r="A93" s="25" t="s">
        <v>111</v>
      </c>
      <c r="B93" s="119" t="s">
        <v>102</v>
      </c>
      <c r="C93" s="95">
        <v>525938.80000000005</v>
      </c>
      <c r="D93" s="95">
        <v>64157.9</v>
      </c>
      <c r="E93" s="95">
        <v>14413.3</v>
      </c>
      <c r="F93" s="95">
        <v>104214.3</v>
      </c>
      <c r="G93" s="95">
        <v>1361365.54</v>
      </c>
      <c r="H93" s="95">
        <v>229401.5</v>
      </c>
      <c r="I93" s="95">
        <v>167404.75</v>
      </c>
      <c r="J93" s="95">
        <v>216741.15</v>
      </c>
      <c r="K93" s="95">
        <v>60993.85</v>
      </c>
      <c r="L93" s="95">
        <v>517357.78</v>
      </c>
      <c r="M93" s="71">
        <v>598594.93225821736</v>
      </c>
      <c r="N93" s="119">
        <v>15963.965208083679</v>
      </c>
      <c r="O93" s="119">
        <v>2092.6449164619166</v>
      </c>
      <c r="P93" s="119">
        <v>4992.9509505703409</v>
      </c>
      <c r="Q93" s="119">
        <v>230.58666666666667</v>
      </c>
      <c r="R93" s="119">
        <v>0</v>
      </c>
      <c r="S93" s="119">
        <v>0</v>
      </c>
      <c r="T93" s="119">
        <v>0</v>
      </c>
      <c r="U93" s="119">
        <v>0</v>
      </c>
      <c r="V93" s="95">
        <v>336228.83</v>
      </c>
      <c r="W93" s="95">
        <v>348873.88</v>
      </c>
      <c r="X93" s="95">
        <v>251871.08</v>
      </c>
      <c r="Y93" s="95">
        <v>498854.44</v>
      </c>
      <c r="Z93" s="95">
        <v>599848.14</v>
      </c>
      <c r="AA93" s="95">
        <v>358846.32</v>
      </c>
      <c r="AB93" s="95">
        <v>367571.73</v>
      </c>
      <c r="AC93" s="95">
        <v>716442.73</v>
      </c>
      <c r="AD93" s="95">
        <v>949794.12</v>
      </c>
      <c r="AE93" s="95">
        <v>255710.35</v>
      </c>
      <c r="AF93" s="95">
        <v>275411.15999999997</v>
      </c>
      <c r="AG93" s="95">
        <v>339119.74</v>
      </c>
      <c r="AH93" s="71">
        <v>1055374.0985251798</v>
      </c>
      <c r="AI93" s="119">
        <v>138.6814748201439</v>
      </c>
      <c r="AJ93" s="95">
        <v>68244.12</v>
      </c>
      <c r="AK93" s="95">
        <v>332115.67</v>
      </c>
      <c r="AL93" s="95">
        <v>2446099.29</v>
      </c>
      <c r="AM93" s="95">
        <v>409392.89</v>
      </c>
      <c r="AN93" s="95">
        <v>1779584.2</v>
      </c>
      <c r="AO93" s="95">
        <v>1110373.51</v>
      </c>
      <c r="AP93" s="95">
        <v>796327.49</v>
      </c>
      <c r="AQ93" s="95">
        <v>228663.6</v>
      </c>
      <c r="AR93" s="95">
        <v>155432.32999999999</v>
      </c>
      <c r="AS93" s="95">
        <v>708618.86</v>
      </c>
      <c r="AT93" s="95">
        <v>150023.24</v>
      </c>
      <c r="AU93" s="95">
        <v>911838.13</v>
      </c>
      <c r="AV93" s="95">
        <v>244775.95</v>
      </c>
      <c r="AW93" s="95">
        <v>156848.37</v>
      </c>
      <c r="AX93" s="95">
        <v>336190.82</v>
      </c>
      <c r="AY93" s="95">
        <v>1106942.73</v>
      </c>
      <c r="AZ93" s="95">
        <v>765990.58</v>
      </c>
      <c r="BA93" s="95">
        <v>392180.56</v>
      </c>
      <c r="BB93" s="95">
        <v>345609.68</v>
      </c>
      <c r="BC93" s="95">
        <v>2200099.9900000002</v>
      </c>
      <c r="BD93" s="95">
        <v>1113220.55</v>
      </c>
      <c r="BE93" s="95">
        <v>466497.17</v>
      </c>
      <c r="BF93" s="95">
        <v>446096.66</v>
      </c>
      <c r="BG93" s="95">
        <v>204472.48</v>
      </c>
      <c r="BH93" s="95">
        <v>178213.86</v>
      </c>
      <c r="BI93" s="95">
        <v>548412.97</v>
      </c>
      <c r="BJ93" s="95">
        <v>246705.1</v>
      </c>
      <c r="BK93" s="95">
        <v>128296.19</v>
      </c>
      <c r="BL93" s="95">
        <v>669364.03</v>
      </c>
      <c r="BM93" s="95">
        <v>1322073.73</v>
      </c>
      <c r="BN93" s="95">
        <v>903706.36</v>
      </c>
      <c r="BO93" s="95">
        <v>1237943.25</v>
      </c>
      <c r="BP93" s="95">
        <v>540284.71</v>
      </c>
      <c r="BQ93" s="95">
        <v>224635.63</v>
      </c>
      <c r="BR93" s="95">
        <v>166309.94</v>
      </c>
      <c r="BS93" s="95">
        <v>150715.85999999999</v>
      </c>
      <c r="BT93" s="95">
        <v>45185.21</v>
      </c>
      <c r="BU93" s="95">
        <v>190743.59</v>
      </c>
      <c r="BV93" s="95">
        <v>48364.04</v>
      </c>
      <c r="BW93" s="119">
        <v>0</v>
      </c>
      <c r="BX93" s="119" t="s">
        <v>102</v>
      </c>
      <c r="BY93" s="119" t="s">
        <v>102</v>
      </c>
      <c r="BZ93" s="119" t="s">
        <v>102</v>
      </c>
      <c r="CA93" s="119" t="s">
        <v>102</v>
      </c>
      <c r="CB93" s="119" t="s">
        <v>102</v>
      </c>
      <c r="CC93" s="119" t="s">
        <v>102</v>
      </c>
      <c r="CD93" s="119" t="s">
        <v>102</v>
      </c>
      <c r="CE93" s="119" t="s">
        <v>102</v>
      </c>
      <c r="CF93" s="119" t="s">
        <v>102</v>
      </c>
      <c r="CG93" s="119" t="s">
        <v>102</v>
      </c>
      <c r="CH93" s="119" t="s">
        <v>102</v>
      </c>
      <c r="CI93" s="119" t="s">
        <v>102</v>
      </c>
      <c r="CJ93" s="119" t="s">
        <v>102</v>
      </c>
      <c r="CK93" s="119" t="s">
        <v>102</v>
      </c>
      <c r="CL93" s="119" t="s">
        <v>102</v>
      </c>
      <c r="CM93" s="119" t="s">
        <v>102</v>
      </c>
    </row>
    <row r="94" spans="1:91" x14ac:dyDescent="0.35">
      <c r="A94" s="3" t="s">
        <v>112</v>
      </c>
      <c r="B94" s="11">
        <v>18169062.75</v>
      </c>
      <c r="C94" s="11">
        <v>301589.71000000002</v>
      </c>
      <c r="D94" s="11">
        <v>33095.1</v>
      </c>
      <c r="E94" s="11">
        <v>7923.64</v>
      </c>
      <c r="F94" s="11">
        <v>50100.29</v>
      </c>
      <c r="G94" s="11">
        <v>1047150.69</v>
      </c>
      <c r="H94" s="11">
        <v>150169.71</v>
      </c>
      <c r="I94" s="11">
        <v>115733.98</v>
      </c>
      <c r="J94" s="11">
        <v>161829.10999999999</v>
      </c>
      <c r="K94" s="11">
        <v>38250.910000000003</v>
      </c>
      <c r="L94" s="11">
        <v>452392.11</v>
      </c>
      <c r="M94" s="71">
        <v>454994.53043602989</v>
      </c>
      <c r="N94" s="15">
        <v>12204.042879875275</v>
      </c>
      <c r="O94" s="15">
        <v>2045.7969059036063</v>
      </c>
      <c r="P94" s="15">
        <v>4960.1952082959051</v>
      </c>
      <c r="Q94" s="15">
        <v>390.82456989535552</v>
      </c>
      <c r="R94" s="15">
        <v>0</v>
      </c>
      <c r="S94" s="15">
        <v>0</v>
      </c>
      <c r="T94" s="15">
        <v>0</v>
      </c>
      <c r="U94" s="15">
        <v>0</v>
      </c>
      <c r="V94" s="11">
        <v>176828.39</v>
      </c>
      <c r="W94" s="11">
        <v>241464.86</v>
      </c>
      <c r="X94" s="11">
        <v>169333.15</v>
      </c>
      <c r="Y94" s="11">
        <v>403263.59</v>
      </c>
      <c r="Z94" s="11">
        <v>393323.08</v>
      </c>
      <c r="AA94" s="11">
        <v>192357.71</v>
      </c>
      <c r="AB94" s="11">
        <v>253966.56</v>
      </c>
      <c r="AC94" s="11">
        <v>469497.56</v>
      </c>
      <c r="AD94" s="11">
        <v>705526.61</v>
      </c>
      <c r="AE94" s="11">
        <v>190775.27</v>
      </c>
      <c r="AF94" s="11">
        <v>168796.76</v>
      </c>
      <c r="AG94" s="11">
        <v>206045.37</v>
      </c>
      <c r="AH94" s="71">
        <v>659800.30997086491</v>
      </c>
      <c r="AI94" s="15">
        <v>149.89002913506766</v>
      </c>
      <c r="AJ94" s="11">
        <v>36390.68</v>
      </c>
      <c r="AK94" s="11">
        <v>194287.26</v>
      </c>
      <c r="AL94" s="11">
        <v>1550475.94</v>
      </c>
      <c r="AM94" s="11">
        <v>205976.89</v>
      </c>
      <c r="AN94" s="11">
        <v>917997.24</v>
      </c>
      <c r="AO94" s="11">
        <v>489292.88</v>
      </c>
      <c r="AP94" s="11">
        <v>476945.73</v>
      </c>
      <c r="AQ94" s="11">
        <v>157144.62</v>
      </c>
      <c r="AR94" s="11">
        <v>122351.93</v>
      </c>
      <c r="AS94" s="11">
        <v>431874.08</v>
      </c>
      <c r="AT94" s="11">
        <v>91532.42</v>
      </c>
      <c r="AU94" s="11">
        <v>480033.15</v>
      </c>
      <c r="AV94" s="11">
        <v>129900.65</v>
      </c>
      <c r="AW94" s="11">
        <v>95102.51</v>
      </c>
      <c r="AX94" s="11">
        <v>203085.48</v>
      </c>
      <c r="AY94" s="11">
        <v>581688.91</v>
      </c>
      <c r="AZ94" s="11">
        <v>368145.91</v>
      </c>
      <c r="BA94" s="11">
        <v>261619.13</v>
      </c>
      <c r="BB94" s="11">
        <v>193677.2</v>
      </c>
      <c r="BC94" s="11">
        <v>491128.5</v>
      </c>
      <c r="BD94" s="11">
        <v>565041.31999999995</v>
      </c>
      <c r="BE94" s="11">
        <v>235498.12</v>
      </c>
      <c r="BF94" s="11">
        <v>201884.51</v>
      </c>
      <c r="BG94" s="11">
        <v>122443.78</v>
      </c>
      <c r="BH94" s="11">
        <v>91001.53</v>
      </c>
      <c r="BI94" s="11">
        <v>272738.42</v>
      </c>
      <c r="BJ94" s="11">
        <v>63561.62</v>
      </c>
      <c r="BK94" s="11">
        <v>96712.52</v>
      </c>
      <c r="BL94" s="11">
        <v>332835.21000000002</v>
      </c>
      <c r="BM94" s="11">
        <v>441571.01</v>
      </c>
      <c r="BN94" s="11">
        <v>200391.74</v>
      </c>
      <c r="BO94" s="11">
        <v>465978.08</v>
      </c>
      <c r="BP94" s="11">
        <v>172848.22</v>
      </c>
      <c r="BQ94" s="11">
        <v>114127.27</v>
      </c>
      <c r="BR94" s="11">
        <v>88835.43</v>
      </c>
      <c r="BS94" s="11">
        <v>63240.25</v>
      </c>
      <c r="BT94" s="11">
        <v>21667.49</v>
      </c>
      <c r="BU94" s="11">
        <v>75197.009999999995</v>
      </c>
      <c r="BV94" s="11">
        <v>878.37</v>
      </c>
      <c r="BW94" s="5">
        <v>0</v>
      </c>
      <c r="BX94" s="11">
        <v>12810851.390000001</v>
      </c>
      <c r="BY94" s="11">
        <v>3638676.39</v>
      </c>
      <c r="BZ94" s="11">
        <v>8944366.7300000004</v>
      </c>
      <c r="CA94" s="11">
        <v>227808.27</v>
      </c>
      <c r="CB94" s="11">
        <v>3851774.89</v>
      </c>
      <c r="CC94" s="11">
        <v>60608.06</v>
      </c>
      <c r="CD94" s="11">
        <v>3688498.18</v>
      </c>
      <c r="CE94" s="5" t="s">
        <v>102</v>
      </c>
      <c r="CF94" s="11">
        <v>3688498.18</v>
      </c>
      <c r="CG94" s="5" t="s">
        <v>102</v>
      </c>
      <c r="CH94" s="5" t="s">
        <v>102</v>
      </c>
      <c r="CI94" s="11">
        <v>3791166.83</v>
      </c>
      <c r="CJ94" s="5" t="s">
        <v>102</v>
      </c>
      <c r="CK94" s="5" t="s">
        <v>102</v>
      </c>
      <c r="CL94" s="11">
        <v>38520187.200000003</v>
      </c>
      <c r="CM94" s="11">
        <v>20351124.460000001</v>
      </c>
    </row>
    <row r="95" spans="1:91" x14ac:dyDescent="0.35">
      <c r="A95" s="3" t="s">
        <v>113</v>
      </c>
      <c r="B95" s="4" t="s">
        <v>102</v>
      </c>
      <c r="C95" s="4" t="s">
        <v>102</v>
      </c>
      <c r="D95" s="4" t="s">
        <v>102</v>
      </c>
      <c r="E95" s="4" t="s">
        <v>102</v>
      </c>
      <c r="F95" s="4" t="s">
        <v>102</v>
      </c>
      <c r="G95" s="4" t="s">
        <v>102</v>
      </c>
      <c r="H95" s="4" t="s">
        <v>102</v>
      </c>
      <c r="I95" s="4" t="s">
        <v>102</v>
      </c>
      <c r="J95" s="4" t="s">
        <v>102</v>
      </c>
      <c r="K95" s="4" t="s">
        <v>102</v>
      </c>
      <c r="L95" s="4" t="s">
        <v>102</v>
      </c>
      <c r="M95" s="125" t="s">
        <v>102</v>
      </c>
      <c r="N95" s="15"/>
      <c r="O95" s="15"/>
      <c r="P95" s="18"/>
      <c r="Q95" s="18"/>
      <c r="R95" s="21"/>
      <c r="S95" s="21"/>
      <c r="T95" s="24"/>
      <c r="U95" s="74"/>
      <c r="V95" s="4" t="s">
        <v>102</v>
      </c>
      <c r="W95" s="4" t="s">
        <v>102</v>
      </c>
      <c r="X95" s="4" t="s">
        <v>102</v>
      </c>
      <c r="Y95" s="4" t="s">
        <v>102</v>
      </c>
      <c r="Z95" s="4" t="s">
        <v>102</v>
      </c>
      <c r="AA95" s="4" t="s">
        <v>102</v>
      </c>
      <c r="AB95" s="4" t="s">
        <v>102</v>
      </c>
      <c r="AC95" s="4" t="s">
        <v>102</v>
      </c>
      <c r="AD95" s="4" t="s">
        <v>102</v>
      </c>
      <c r="AE95" s="4" t="s">
        <v>102</v>
      </c>
      <c r="AF95" s="4" t="s">
        <v>102</v>
      </c>
      <c r="AG95" s="4" t="s">
        <v>102</v>
      </c>
      <c r="AH95" s="125" t="s">
        <v>102</v>
      </c>
      <c r="AI95" s="29"/>
      <c r="AJ95" s="4" t="s">
        <v>102</v>
      </c>
      <c r="AK95" s="4" t="s">
        <v>102</v>
      </c>
      <c r="AL95" s="4" t="s">
        <v>102</v>
      </c>
      <c r="AM95" s="4" t="s">
        <v>102</v>
      </c>
      <c r="AN95" s="4" t="s">
        <v>102</v>
      </c>
      <c r="AO95" s="4" t="s">
        <v>102</v>
      </c>
      <c r="AP95" s="4" t="s">
        <v>102</v>
      </c>
      <c r="AQ95" s="4" t="s">
        <v>102</v>
      </c>
      <c r="AR95" s="4" t="s">
        <v>102</v>
      </c>
      <c r="AS95" s="4" t="s">
        <v>102</v>
      </c>
      <c r="AT95" s="4" t="s">
        <v>102</v>
      </c>
      <c r="AU95" s="4" t="s">
        <v>102</v>
      </c>
      <c r="AV95" s="4" t="s">
        <v>102</v>
      </c>
      <c r="AW95" s="4" t="s">
        <v>102</v>
      </c>
      <c r="AX95" s="4" t="s">
        <v>102</v>
      </c>
      <c r="AY95" s="4" t="s">
        <v>102</v>
      </c>
      <c r="AZ95" s="4" t="s">
        <v>102</v>
      </c>
      <c r="BA95" s="4" t="s">
        <v>102</v>
      </c>
      <c r="BB95" s="4" t="s">
        <v>102</v>
      </c>
      <c r="BC95" s="4" t="s">
        <v>102</v>
      </c>
      <c r="BD95" s="4" t="s">
        <v>102</v>
      </c>
      <c r="BE95" s="4" t="s">
        <v>102</v>
      </c>
      <c r="BF95" s="4" t="s">
        <v>102</v>
      </c>
      <c r="BG95" s="4" t="s">
        <v>102</v>
      </c>
      <c r="BH95" s="4" t="s">
        <v>102</v>
      </c>
      <c r="BI95" s="4" t="s">
        <v>102</v>
      </c>
      <c r="BJ95" s="4" t="s">
        <v>102</v>
      </c>
      <c r="BK95" s="4" t="s">
        <v>102</v>
      </c>
      <c r="BL95" s="4" t="s">
        <v>102</v>
      </c>
      <c r="BM95" s="4" t="s">
        <v>102</v>
      </c>
      <c r="BN95" s="4" t="s">
        <v>102</v>
      </c>
      <c r="BO95" s="4" t="s">
        <v>102</v>
      </c>
      <c r="BP95" s="4" t="s">
        <v>102</v>
      </c>
      <c r="BQ95" s="4" t="s">
        <v>102</v>
      </c>
      <c r="BR95" s="4" t="s">
        <v>102</v>
      </c>
      <c r="BS95" s="4" t="s">
        <v>102</v>
      </c>
      <c r="BT95" s="4" t="s">
        <v>102</v>
      </c>
      <c r="BU95" s="4" t="s">
        <v>102</v>
      </c>
      <c r="BV95" s="4" t="s">
        <v>102</v>
      </c>
      <c r="BW95" s="4" t="s">
        <v>102</v>
      </c>
      <c r="BX95" s="4" t="s">
        <v>102</v>
      </c>
      <c r="BY95" s="4" t="s">
        <v>102</v>
      </c>
      <c r="BZ95" s="4" t="s">
        <v>102</v>
      </c>
      <c r="CA95" s="4" t="s">
        <v>102</v>
      </c>
      <c r="CB95" s="4" t="s">
        <v>102</v>
      </c>
      <c r="CC95" s="4" t="s">
        <v>102</v>
      </c>
      <c r="CD95" s="4" t="s">
        <v>102</v>
      </c>
      <c r="CE95" s="4" t="s">
        <v>102</v>
      </c>
      <c r="CF95" s="4" t="s">
        <v>102</v>
      </c>
      <c r="CG95" s="4" t="s">
        <v>102</v>
      </c>
      <c r="CH95" s="4" t="s">
        <v>102</v>
      </c>
      <c r="CI95" s="4" t="s">
        <v>102</v>
      </c>
      <c r="CJ95" s="4" t="s">
        <v>102</v>
      </c>
      <c r="CK95" s="4" t="s">
        <v>102</v>
      </c>
      <c r="CL95" s="4" t="s">
        <v>102</v>
      </c>
      <c r="CM95" s="4" t="s">
        <v>102</v>
      </c>
    </row>
    <row r="96" spans="1:91" x14ac:dyDescent="0.35">
      <c r="A96" s="3" t="s">
        <v>114</v>
      </c>
      <c r="B96" s="5" t="s">
        <v>102</v>
      </c>
      <c r="C96" s="5" t="s">
        <v>102</v>
      </c>
      <c r="D96" s="5" t="s">
        <v>102</v>
      </c>
      <c r="E96" s="5" t="s">
        <v>102</v>
      </c>
      <c r="F96" s="5" t="s">
        <v>102</v>
      </c>
      <c r="G96" s="5" t="s">
        <v>102</v>
      </c>
      <c r="H96" s="5" t="s">
        <v>102</v>
      </c>
      <c r="I96" s="5" t="s">
        <v>102</v>
      </c>
      <c r="J96" s="5" t="s">
        <v>102</v>
      </c>
      <c r="K96" s="5" t="s">
        <v>102</v>
      </c>
      <c r="L96" s="4" t="s">
        <v>102</v>
      </c>
      <c r="M96" s="125" t="s">
        <v>102</v>
      </c>
      <c r="N96" s="15"/>
      <c r="O96" s="15"/>
      <c r="P96" s="18"/>
      <c r="Q96" s="18"/>
      <c r="R96" s="21"/>
      <c r="S96" s="21"/>
      <c r="T96" s="24"/>
      <c r="U96" s="74"/>
      <c r="V96" s="5" t="s">
        <v>102</v>
      </c>
      <c r="W96" s="5" t="s">
        <v>102</v>
      </c>
      <c r="X96" s="5" t="s">
        <v>102</v>
      </c>
      <c r="Y96" s="5" t="s">
        <v>102</v>
      </c>
      <c r="Z96" s="5" t="s">
        <v>102</v>
      </c>
      <c r="AA96" s="5" t="s">
        <v>102</v>
      </c>
      <c r="AB96" s="5" t="s">
        <v>102</v>
      </c>
      <c r="AC96" s="5" t="s">
        <v>102</v>
      </c>
      <c r="AD96" s="5" t="s">
        <v>102</v>
      </c>
      <c r="AE96" s="5" t="s">
        <v>102</v>
      </c>
      <c r="AF96" s="5" t="s">
        <v>102</v>
      </c>
      <c r="AG96" s="4" t="s">
        <v>102</v>
      </c>
      <c r="AH96" s="125" t="s">
        <v>102</v>
      </c>
      <c r="AI96" s="29"/>
      <c r="AJ96" s="5" t="s">
        <v>102</v>
      </c>
      <c r="AK96" s="5" t="s">
        <v>102</v>
      </c>
      <c r="AL96" s="5" t="s">
        <v>102</v>
      </c>
      <c r="AM96" s="5" t="s">
        <v>102</v>
      </c>
      <c r="AN96" s="5" t="s">
        <v>102</v>
      </c>
      <c r="AO96" s="5" t="s">
        <v>102</v>
      </c>
      <c r="AP96" s="5" t="s">
        <v>102</v>
      </c>
      <c r="AQ96" s="5" t="s">
        <v>102</v>
      </c>
      <c r="AR96" s="5" t="s">
        <v>102</v>
      </c>
      <c r="AS96" s="5" t="s">
        <v>102</v>
      </c>
      <c r="AT96" s="5" t="s">
        <v>102</v>
      </c>
      <c r="AU96" s="5" t="s">
        <v>102</v>
      </c>
      <c r="AV96" s="5" t="s">
        <v>102</v>
      </c>
      <c r="AW96" s="5" t="s">
        <v>102</v>
      </c>
      <c r="AX96" s="5" t="s">
        <v>102</v>
      </c>
      <c r="AY96" s="5" t="s">
        <v>102</v>
      </c>
      <c r="AZ96" s="5" t="s">
        <v>102</v>
      </c>
      <c r="BA96" s="5" t="s">
        <v>102</v>
      </c>
      <c r="BB96" s="5" t="s">
        <v>102</v>
      </c>
      <c r="BC96" s="5" t="s">
        <v>102</v>
      </c>
      <c r="BD96" s="5" t="s">
        <v>102</v>
      </c>
      <c r="BE96" s="5" t="s">
        <v>102</v>
      </c>
      <c r="BF96" s="5" t="s">
        <v>102</v>
      </c>
      <c r="BG96" s="5" t="s">
        <v>102</v>
      </c>
      <c r="BH96" s="5" t="s">
        <v>102</v>
      </c>
      <c r="BI96" s="5" t="s">
        <v>102</v>
      </c>
      <c r="BJ96" s="5" t="s">
        <v>102</v>
      </c>
      <c r="BK96" s="5" t="s">
        <v>102</v>
      </c>
      <c r="BL96" s="5" t="s">
        <v>102</v>
      </c>
      <c r="BM96" s="5" t="s">
        <v>102</v>
      </c>
      <c r="BN96" s="5" t="s">
        <v>102</v>
      </c>
      <c r="BO96" s="5" t="s">
        <v>102</v>
      </c>
      <c r="BP96" s="5" t="s">
        <v>102</v>
      </c>
      <c r="BQ96" s="5" t="s">
        <v>102</v>
      </c>
      <c r="BR96" s="5" t="s">
        <v>102</v>
      </c>
      <c r="BS96" s="5" t="s">
        <v>102</v>
      </c>
      <c r="BT96" s="5" t="s">
        <v>102</v>
      </c>
      <c r="BU96" s="5" t="s">
        <v>102</v>
      </c>
      <c r="BV96" s="5" t="s">
        <v>102</v>
      </c>
      <c r="BW96" s="5" t="s">
        <v>102</v>
      </c>
      <c r="BX96" s="5" t="s">
        <v>102</v>
      </c>
      <c r="BY96" s="5" t="s">
        <v>102</v>
      </c>
      <c r="BZ96" s="5" t="s">
        <v>102</v>
      </c>
      <c r="CA96" s="5" t="s">
        <v>102</v>
      </c>
      <c r="CB96" s="5" t="s">
        <v>102</v>
      </c>
      <c r="CC96" s="5" t="s">
        <v>102</v>
      </c>
      <c r="CD96" s="5" t="s">
        <v>102</v>
      </c>
      <c r="CE96" s="5" t="s">
        <v>102</v>
      </c>
      <c r="CF96" s="5" t="s">
        <v>102</v>
      </c>
      <c r="CG96" s="5" t="s">
        <v>102</v>
      </c>
      <c r="CH96" s="5" t="s">
        <v>102</v>
      </c>
      <c r="CI96" s="5" t="s">
        <v>102</v>
      </c>
      <c r="CJ96" s="5" t="s">
        <v>102</v>
      </c>
      <c r="CK96" s="5" t="s">
        <v>102</v>
      </c>
      <c r="CL96" s="5" t="s">
        <v>102</v>
      </c>
      <c r="CM96" s="5" t="s">
        <v>102</v>
      </c>
    </row>
    <row r="97" spans="1:91" x14ac:dyDescent="0.35">
      <c r="A97" s="3" t="s">
        <v>115</v>
      </c>
      <c r="B97" s="4" t="s">
        <v>102</v>
      </c>
      <c r="C97" s="4" t="s">
        <v>102</v>
      </c>
      <c r="D97" s="4" t="s">
        <v>102</v>
      </c>
      <c r="E97" s="4" t="s">
        <v>102</v>
      </c>
      <c r="F97" s="4" t="s">
        <v>102</v>
      </c>
      <c r="G97" s="4" t="s">
        <v>102</v>
      </c>
      <c r="H97" s="4" t="s">
        <v>102</v>
      </c>
      <c r="I97" s="4" t="s">
        <v>102</v>
      </c>
      <c r="J97" s="4" t="s">
        <v>102</v>
      </c>
      <c r="K97" s="4" t="s">
        <v>102</v>
      </c>
      <c r="L97" s="4" t="s">
        <v>102</v>
      </c>
      <c r="M97" s="125" t="s">
        <v>102</v>
      </c>
      <c r="N97" s="15"/>
      <c r="O97" s="15"/>
      <c r="P97" s="18"/>
      <c r="Q97" s="18"/>
      <c r="R97" s="21"/>
      <c r="S97" s="21"/>
      <c r="T97" s="24"/>
      <c r="U97" s="74"/>
      <c r="V97" s="4" t="s">
        <v>102</v>
      </c>
      <c r="W97" s="4" t="s">
        <v>102</v>
      </c>
      <c r="X97" s="4" t="s">
        <v>102</v>
      </c>
      <c r="Y97" s="4" t="s">
        <v>102</v>
      </c>
      <c r="Z97" s="4" t="s">
        <v>102</v>
      </c>
      <c r="AA97" s="4" t="s">
        <v>102</v>
      </c>
      <c r="AB97" s="4" t="s">
        <v>102</v>
      </c>
      <c r="AC97" s="4" t="s">
        <v>102</v>
      </c>
      <c r="AD97" s="4" t="s">
        <v>102</v>
      </c>
      <c r="AE97" s="4" t="s">
        <v>102</v>
      </c>
      <c r="AF97" s="4" t="s">
        <v>102</v>
      </c>
      <c r="AG97" s="4" t="s">
        <v>102</v>
      </c>
      <c r="AH97" s="125" t="s">
        <v>102</v>
      </c>
      <c r="AI97" s="29"/>
      <c r="AJ97" s="4" t="s">
        <v>102</v>
      </c>
      <c r="AK97" s="4" t="s">
        <v>102</v>
      </c>
      <c r="AL97" s="4" t="s">
        <v>102</v>
      </c>
      <c r="AM97" s="4" t="s">
        <v>102</v>
      </c>
      <c r="AN97" s="4" t="s">
        <v>102</v>
      </c>
      <c r="AO97" s="4" t="s">
        <v>102</v>
      </c>
      <c r="AP97" s="4" t="s">
        <v>102</v>
      </c>
      <c r="AQ97" s="4" t="s">
        <v>102</v>
      </c>
      <c r="AR97" s="4" t="s">
        <v>102</v>
      </c>
      <c r="AS97" s="4" t="s">
        <v>102</v>
      </c>
      <c r="AT97" s="4" t="s">
        <v>102</v>
      </c>
      <c r="AU97" s="4" t="s">
        <v>102</v>
      </c>
      <c r="AV97" s="4" t="s">
        <v>102</v>
      </c>
      <c r="AW97" s="4" t="s">
        <v>102</v>
      </c>
      <c r="AX97" s="4" t="s">
        <v>102</v>
      </c>
      <c r="AY97" s="4" t="s">
        <v>102</v>
      </c>
      <c r="AZ97" s="4" t="s">
        <v>102</v>
      </c>
      <c r="BA97" s="4" t="s">
        <v>102</v>
      </c>
      <c r="BB97" s="4" t="s">
        <v>102</v>
      </c>
      <c r="BC97" s="4" t="s">
        <v>102</v>
      </c>
      <c r="BD97" s="4" t="s">
        <v>102</v>
      </c>
      <c r="BE97" s="4" t="s">
        <v>102</v>
      </c>
      <c r="BF97" s="4" t="s">
        <v>102</v>
      </c>
      <c r="BG97" s="4" t="s">
        <v>102</v>
      </c>
      <c r="BH97" s="4" t="s">
        <v>102</v>
      </c>
      <c r="BI97" s="4" t="s">
        <v>102</v>
      </c>
      <c r="BJ97" s="4" t="s">
        <v>102</v>
      </c>
      <c r="BK97" s="4" t="s">
        <v>102</v>
      </c>
      <c r="BL97" s="4" t="s">
        <v>102</v>
      </c>
      <c r="BM97" s="4" t="s">
        <v>102</v>
      </c>
      <c r="BN97" s="4" t="s">
        <v>102</v>
      </c>
      <c r="BO97" s="4" t="s">
        <v>102</v>
      </c>
      <c r="BP97" s="4" t="s">
        <v>102</v>
      </c>
      <c r="BQ97" s="4" t="s">
        <v>102</v>
      </c>
      <c r="BR97" s="4" t="s">
        <v>102</v>
      </c>
      <c r="BS97" s="4" t="s">
        <v>102</v>
      </c>
      <c r="BT97" s="4" t="s">
        <v>102</v>
      </c>
      <c r="BU97" s="4" t="s">
        <v>102</v>
      </c>
      <c r="BV97" s="4" t="s">
        <v>102</v>
      </c>
      <c r="BW97" s="4" t="s">
        <v>102</v>
      </c>
      <c r="BX97" s="4" t="s">
        <v>102</v>
      </c>
      <c r="BY97" s="4" t="s">
        <v>102</v>
      </c>
      <c r="BZ97" s="4" t="s">
        <v>102</v>
      </c>
      <c r="CA97" s="4" t="s">
        <v>102</v>
      </c>
      <c r="CB97" s="4" t="s">
        <v>102</v>
      </c>
      <c r="CC97" s="4" t="s">
        <v>102</v>
      </c>
      <c r="CD97" s="4" t="s">
        <v>102</v>
      </c>
      <c r="CE97" s="4" t="s">
        <v>102</v>
      </c>
      <c r="CF97" s="4" t="s">
        <v>102</v>
      </c>
      <c r="CG97" s="4" t="s">
        <v>102</v>
      </c>
      <c r="CH97" s="4" t="s">
        <v>102</v>
      </c>
      <c r="CI97" s="4" t="s">
        <v>102</v>
      </c>
      <c r="CJ97" s="4" t="s">
        <v>102</v>
      </c>
      <c r="CK97" s="4" t="s">
        <v>102</v>
      </c>
      <c r="CL97" s="4" t="s">
        <v>102</v>
      </c>
      <c r="CM97" s="4" t="s">
        <v>102</v>
      </c>
    </row>
    <row r="98" spans="1:91" x14ac:dyDescent="0.35">
      <c r="A98" s="3" t="s">
        <v>116</v>
      </c>
      <c r="B98" s="5" t="s">
        <v>102</v>
      </c>
      <c r="C98" s="5" t="s">
        <v>102</v>
      </c>
      <c r="D98" s="5" t="s">
        <v>102</v>
      </c>
      <c r="E98" s="5" t="s">
        <v>102</v>
      </c>
      <c r="F98" s="5" t="s">
        <v>102</v>
      </c>
      <c r="G98" s="5" t="s">
        <v>102</v>
      </c>
      <c r="H98" s="5" t="s">
        <v>102</v>
      </c>
      <c r="I98" s="5" t="s">
        <v>102</v>
      </c>
      <c r="J98" s="5" t="s">
        <v>102</v>
      </c>
      <c r="K98" s="5" t="s">
        <v>102</v>
      </c>
      <c r="L98" s="4" t="s">
        <v>102</v>
      </c>
      <c r="M98" s="125" t="s">
        <v>102</v>
      </c>
      <c r="N98" s="15"/>
      <c r="O98" s="15"/>
      <c r="P98" s="18"/>
      <c r="Q98" s="18"/>
      <c r="R98" s="21"/>
      <c r="S98" s="21"/>
      <c r="T98" s="24"/>
      <c r="U98" s="74"/>
      <c r="V98" s="5" t="s">
        <v>102</v>
      </c>
      <c r="W98" s="5" t="s">
        <v>102</v>
      </c>
      <c r="X98" s="5" t="s">
        <v>102</v>
      </c>
      <c r="Y98" s="5" t="s">
        <v>102</v>
      </c>
      <c r="Z98" s="5" t="s">
        <v>102</v>
      </c>
      <c r="AA98" s="5" t="s">
        <v>102</v>
      </c>
      <c r="AB98" s="5" t="s">
        <v>102</v>
      </c>
      <c r="AC98" s="5" t="s">
        <v>102</v>
      </c>
      <c r="AD98" s="5" t="s">
        <v>102</v>
      </c>
      <c r="AE98" s="5" t="s">
        <v>102</v>
      </c>
      <c r="AF98" s="5" t="s">
        <v>102</v>
      </c>
      <c r="AG98" s="4" t="s">
        <v>102</v>
      </c>
      <c r="AH98" s="125" t="s">
        <v>102</v>
      </c>
      <c r="AI98" s="29"/>
      <c r="AJ98" s="5" t="s">
        <v>102</v>
      </c>
      <c r="AK98" s="5" t="s">
        <v>102</v>
      </c>
      <c r="AL98" s="5" t="s">
        <v>102</v>
      </c>
      <c r="AM98" s="5" t="s">
        <v>102</v>
      </c>
      <c r="AN98" s="5" t="s">
        <v>102</v>
      </c>
      <c r="AO98" s="5" t="s">
        <v>102</v>
      </c>
      <c r="AP98" s="5" t="s">
        <v>102</v>
      </c>
      <c r="AQ98" s="5" t="s">
        <v>102</v>
      </c>
      <c r="AR98" s="5" t="s">
        <v>102</v>
      </c>
      <c r="AS98" s="5" t="s">
        <v>102</v>
      </c>
      <c r="AT98" s="5" t="s">
        <v>102</v>
      </c>
      <c r="AU98" s="5" t="s">
        <v>102</v>
      </c>
      <c r="AV98" s="5" t="s">
        <v>102</v>
      </c>
      <c r="AW98" s="5" t="s">
        <v>102</v>
      </c>
      <c r="AX98" s="5" t="s">
        <v>102</v>
      </c>
      <c r="AY98" s="5" t="s">
        <v>102</v>
      </c>
      <c r="AZ98" s="5" t="s">
        <v>102</v>
      </c>
      <c r="BA98" s="5" t="s">
        <v>102</v>
      </c>
      <c r="BB98" s="5" t="s">
        <v>102</v>
      </c>
      <c r="BC98" s="5" t="s">
        <v>102</v>
      </c>
      <c r="BD98" s="5" t="s">
        <v>102</v>
      </c>
      <c r="BE98" s="5" t="s">
        <v>102</v>
      </c>
      <c r="BF98" s="5" t="s">
        <v>102</v>
      </c>
      <c r="BG98" s="5" t="s">
        <v>102</v>
      </c>
      <c r="BH98" s="5" t="s">
        <v>102</v>
      </c>
      <c r="BI98" s="5" t="s">
        <v>102</v>
      </c>
      <c r="BJ98" s="5" t="s">
        <v>102</v>
      </c>
      <c r="BK98" s="5" t="s">
        <v>102</v>
      </c>
      <c r="BL98" s="5" t="s">
        <v>102</v>
      </c>
      <c r="BM98" s="5" t="s">
        <v>102</v>
      </c>
      <c r="BN98" s="5" t="s">
        <v>102</v>
      </c>
      <c r="BO98" s="5" t="s">
        <v>102</v>
      </c>
      <c r="BP98" s="5" t="s">
        <v>102</v>
      </c>
      <c r="BQ98" s="5" t="s">
        <v>102</v>
      </c>
      <c r="BR98" s="5" t="s">
        <v>102</v>
      </c>
      <c r="BS98" s="5" t="s">
        <v>102</v>
      </c>
      <c r="BT98" s="5" t="s">
        <v>102</v>
      </c>
      <c r="BU98" s="5" t="s">
        <v>102</v>
      </c>
      <c r="BV98" s="5" t="s">
        <v>102</v>
      </c>
      <c r="BW98" s="5" t="s">
        <v>102</v>
      </c>
      <c r="BX98" s="5" t="s">
        <v>102</v>
      </c>
      <c r="BY98" s="5" t="s">
        <v>102</v>
      </c>
      <c r="BZ98" s="5" t="s">
        <v>102</v>
      </c>
      <c r="CA98" s="5" t="s">
        <v>102</v>
      </c>
      <c r="CB98" s="5" t="s">
        <v>102</v>
      </c>
      <c r="CC98" s="5" t="s">
        <v>102</v>
      </c>
      <c r="CD98" s="5" t="s">
        <v>102</v>
      </c>
      <c r="CE98" s="5" t="s">
        <v>102</v>
      </c>
      <c r="CF98" s="5" t="s">
        <v>102</v>
      </c>
      <c r="CG98" s="5" t="s">
        <v>102</v>
      </c>
      <c r="CH98" s="5" t="s">
        <v>102</v>
      </c>
      <c r="CI98" s="5" t="s">
        <v>102</v>
      </c>
      <c r="CJ98" s="5" t="s">
        <v>102</v>
      </c>
      <c r="CK98" s="5" t="s">
        <v>102</v>
      </c>
      <c r="CL98" s="5" t="s">
        <v>102</v>
      </c>
      <c r="CM98" s="5" t="s">
        <v>102</v>
      </c>
    </row>
    <row r="99" spans="1:91" x14ac:dyDescent="0.35">
      <c r="A99" s="3" t="s">
        <v>117</v>
      </c>
      <c r="B99" s="4" t="s">
        <v>102</v>
      </c>
      <c r="C99" s="4" t="s">
        <v>102</v>
      </c>
      <c r="D99" s="4" t="s">
        <v>102</v>
      </c>
      <c r="E99" s="4" t="s">
        <v>102</v>
      </c>
      <c r="F99" s="4" t="s">
        <v>102</v>
      </c>
      <c r="G99" s="4" t="s">
        <v>102</v>
      </c>
      <c r="H99" s="4" t="s">
        <v>102</v>
      </c>
      <c r="I99" s="4" t="s">
        <v>102</v>
      </c>
      <c r="J99" s="4" t="s">
        <v>102</v>
      </c>
      <c r="K99" s="4" t="s">
        <v>102</v>
      </c>
      <c r="L99" s="4" t="s">
        <v>102</v>
      </c>
      <c r="M99" s="125" t="s">
        <v>102</v>
      </c>
      <c r="N99" s="15"/>
      <c r="O99" s="15"/>
      <c r="P99" s="18"/>
      <c r="Q99" s="18"/>
      <c r="R99" s="21"/>
      <c r="S99" s="21"/>
      <c r="T99" s="24"/>
      <c r="U99" s="74"/>
      <c r="V99" s="4" t="s">
        <v>102</v>
      </c>
      <c r="W99" s="4" t="s">
        <v>102</v>
      </c>
      <c r="X99" s="4" t="s">
        <v>102</v>
      </c>
      <c r="Y99" s="4" t="s">
        <v>102</v>
      </c>
      <c r="Z99" s="4" t="s">
        <v>102</v>
      </c>
      <c r="AA99" s="4" t="s">
        <v>102</v>
      </c>
      <c r="AB99" s="4" t="s">
        <v>102</v>
      </c>
      <c r="AC99" s="4" t="s">
        <v>102</v>
      </c>
      <c r="AD99" s="4" t="s">
        <v>102</v>
      </c>
      <c r="AE99" s="4" t="s">
        <v>102</v>
      </c>
      <c r="AF99" s="4" t="s">
        <v>102</v>
      </c>
      <c r="AG99" s="4" t="s">
        <v>102</v>
      </c>
      <c r="AH99" s="125" t="s">
        <v>102</v>
      </c>
      <c r="AI99" s="29"/>
      <c r="AJ99" s="4" t="s">
        <v>102</v>
      </c>
      <c r="AK99" s="4" t="s">
        <v>102</v>
      </c>
      <c r="AL99" s="4" t="s">
        <v>102</v>
      </c>
      <c r="AM99" s="4" t="s">
        <v>102</v>
      </c>
      <c r="AN99" s="4" t="s">
        <v>102</v>
      </c>
      <c r="AO99" s="4" t="s">
        <v>102</v>
      </c>
      <c r="AP99" s="4" t="s">
        <v>102</v>
      </c>
      <c r="AQ99" s="4" t="s">
        <v>102</v>
      </c>
      <c r="AR99" s="4" t="s">
        <v>102</v>
      </c>
      <c r="AS99" s="4" t="s">
        <v>102</v>
      </c>
      <c r="AT99" s="4" t="s">
        <v>102</v>
      </c>
      <c r="AU99" s="4" t="s">
        <v>102</v>
      </c>
      <c r="AV99" s="4" t="s">
        <v>102</v>
      </c>
      <c r="AW99" s="4" t="s">
        <v>102</v>
      </c>
      <c r="AX99" s="4" t="s">
        <v>102</v>
      </c>
      <c r="AY99" s="4" t="s">
        <v>102</v>
      </c>
      <c r="AZ99" s="4" t="s">
        <v>102</v>
      </c>
      <c r="BA99" s="4" t="s">
        <v>102</v>
      </c>
      <c r="BB99" s="4" t="s">
        <v>102</v>
      </c>
      <c r="BC99" s="4" t="s">
        <v>102</v>
      </c>
      <c r="BD99" s="4" t="s">
        <v>102</v>
      </c>
      <c r="BE99" s="4" t="s">
        <v>102</v>
      </c>
      <c r="BF99" s="4" t="s">
        <v>102</v>
      </c>
      <c r="BG99" s="4" t="s">
        <v>102</v>
      </c>
      <c r="BH99" s="4" t="s">
        <v>102</v>
      </c>
      <c r="BI99" s="4" t="s">
        <v>102</v>
      </c>
      <c r="BJ99" s="4" t="s">
        <v>102</v>
      </c>
      <c r="BK99" s="4" t="s">
        <v>102</v>
      </c>
      <c r="BL99" s="4" t="s">
        <v>102</v>
      </c>
      <c r="BM99" s="4" t="s">
        <v>102</v>
      </c>
      <c r="BN99" s="4" t="s">
        <v>102</v>
      </c>
      <c r="BO99" s="4" t="s">
        <v>102</v>
      </c>
      <c r="BP99" s="4" t="s">
        <v>102</v>
      </c>
      <c r="BQ99" s="4" t="s">
        <v>102</v>
      </c>
      <c r="BR99" s="4" t="s">
        <v>102</v>
      </c>
      <c r="BS99" s="4" t="s">
        <v>102</v>
      </c>
      <c r="BT99" s="4" t="s">
        <v>102</v>
      </c>
      <c r="BU99" s="4" t="s">
        <v>102</v>
      </c>
      <c r="BV99" s="4" t="s">
        <v>102</v>
      </c>
      <c r="BW99" s="4" t="s">
        <v>102</v>
      </c>
      <c r="BX99" s="4" t="s">
        <v>102</v>
      </c>
      <c r="BY99" s="4" t="s">
        <v>102</v>
      </c>
      <c r="BZ99" s="4" t="s">
        <v>102</v>
      </c>
      <c r="CA99" s="4" t="s">
        <v>102</v>
      </c>
      <c r="CB99" s="4" t="s">
        <v>102</v>
      </c>
      <c r="CC99" s="4" t="s">
        <v>102</v>
      </c>
      <c r="CD99" s="4" t="s">
        <v>102</v>
      </c>
      <c r="CE99" s="4" t="s">
        <v>102</v>
      </c>
      <c r="CF99" s="4" t="s">
        <v>102</v>
      </c>
      <c r="CG99" s="4" t="s">
        <v>102</v>
      </c>
      <c r="CH99" s="4" t="s">
        <v>102</v>
      </c>
      <c r="CI99" s="4" t="s">
        <v>102</v>
      </c>
      <c r="CJ99" s="4" t="s">
        <v>102</v>
      </c>
      <c r="CK99" s="4" t="s">
        <v>102</v>
      </c>
      <c r="CL99" s="4" t="s">
        <v>102</v>
      </c>
      <c r="CM99" s="4" t="s">
        <v>102</v>
      </c>
    </row>
    <row r="100" spans="1:91" x14ac:dyDescent="0.35">
      <c r="A100" s="3" t="s">
        <v>118</v>
      </c>
      <c r="B100" s="5" t="s">
        <v>102</v>
      </c>
      <c r="C100" s="5" t="s">
        <v>102</v>
      </c>
      <c r="D100" s="5" t="s">
        <v>102</v>
      </c>
      <c r="E100" s="5" t="s">
        <v>102</v>
      </c>
      <c r="F100" s="5" t="s">
        <v>102</v>
      </c>
      <c r="G100" s="5" t="s">
        <v>102</v>
      </c>
      <c r="H100" s="5" t="s">
        <v>102</v>
      </c>
      <c r="I100" s="5" t="s">
        <v>102</v>
      </c>
      <c r="J100" s="5" t="s">
        <v>102</v>
      </c>
      <c r="K100" s="5" t="s">
        <v>102</v>
      </c>
      <c r="L100" s="4" t="s">
        <v>102</v>
      </c>
      <c r="M100" s="125" t="s">
        <v>102</v>
      </c>
      <c r="N100" s="15"/>
      <c r="O100" s="15"/>
      <c r="P100" s="18"/>
      <c r="Q100" s="18"/>
      <c r="R100" s="21"/>
      <c r="S100" s="21"/>
      <c r="T100" s="24"/>
      <c r="U100" s="74"/>
      <c r="V100" s="5" t="s">
        <v>102</v>
      </c>
      <c r="W100" s="5" t="s">
        <v>102</v>
      </c>
      <c r="X100" s="5" t="s">
        <v>102</v>
      </c>
      <c r="Y100" s="5" t="s">
        <v>102</v>
      </c>
      <c r="Z100" s="5" t="s">
        <v>102</v>
      </c>
      <c r="AA100" s="5" t="s">
        <v>102</v>
      </c>
      <c r="AB100" s="5" t="s">
        <v>102</v>
      </c>
      <c r="AC100" s="5" t="s">
        <v>102</v>
      </c>
      <c r="AD100" s="5" t="s">
        <v>102</v>
      </c>
      <c r="AE100" s="5" t="s">
        <v>102</v>
      </c>
      <c r="AF100" s="5" t="s">
        <v>102</v>
      </c>
      <c r="AG100" s="4" t="s">
        <v>102</v>
      </c>
      <c r="AH100" s="125" t="s">
        <v>102</v>
      </c>
      <c r="AI100" s="29"/>
      <c r="AJ100" s="5" t="s">
        <v>102</v>
      </c>
      <c r="AK100" s="5" t="s">
        <v>102</v>
      </c>
      <c r="AL100" s="5" t="s">
        <v>102</v>
      </c>
      <c r="AM100" s="5" t="s">
        <v>102</v>
      </c>
      <c r="AN100" s="5" t="s">
        <v>102</v>
      </c>
      <c r="AO100" s="5" t="s">
        <v>102</v>
      </c>
      <c r="AP100" s="5" t="s">
        <v>102</v>
      </c>
      <c r="AQ100" s="5" t="s">
        <v>102</v>
      </c>
      <c r="AR100" s="5" t="s">
        <v>102</v>
      </c>
      <c r="AS100" s="5" t="s">
        <v>102</v>
      </c>
      <c r="AT100" s="5" t="s">
        <v>102</v>
      </c>
      <c r="AU100" s="5" t="s">
        <v>102</v>
      </c>
      <c r="AV100" s="5" t="s">
        <v>102</v>
      </c>
      <c r="AW100" s="5" t="s">
        <v>102</v>
      </c>
      <c r="AX100" s="5" t="s">
        <v>102</v>
      </c>
      <c r="AY100" s="5" t="s">
        <v>102</v>
      </c>
      <c r="AZ100" s="5" t="s">
        <v>102</v>
      </c>
      <c r="BA100" s="5" t="s">
        <v>102</v>
      </c>
      <c r="BB100" s="5" t="s">
        <v>102</v>
      </c>
      <c r="BC100" s="5" t="s">
        <v>102</v>
      </c>
      <c r="BD100" s="5" t="s">
        <v>102</v>
      </c>
      <c r="BE100" s="5" t="s">
        <v>102</v>
      </c>
      <c r="BF100" s="5" t="s">
        <v>102</v>
      </c>
      <c r="BG100" s="5" t="s">
        <v>102</v>
      </c>
      <c r="BH100" s="5" t="s">
        <v>102</v>
      </c>
      <c r="BI100" s="5" t="s">
        <v>102</v>
      </c>
      <c r="BJ100" s="5" t="s">
        <v>102</v>
      </c>
      <c r="BK100" s="5" t="s">
        <v>102</v>
      </c>
      <c r="BL100" s="5" t="s">
        <v>102</v>
      </c>
      <c r="BM100" s="5" t="s">
        <v>102</v>
      </c>
      <c r="BN100" s="5" t="s">
        <v>102</v>
      </c>
      <c r="BO100" s="5" t="s">
        <v>102</v>
      </c>
      <c r="BP100" s="5" t="s">
        <v>102</v>
      </c>
      <c r="BQ100" s="5" t="s">
        <v>102</v>
      </c>
      <c r="BR100" s="5" t="s">
        <v>102</v>
      </c>
      <c r="BS100" s="5" t="s">
        <v>102</v>
      </c>
      <c r="BT100" s="5" t="s">
        <v>102</v>
      </c>
      <c r="BU100" s="5" t="s">
        <v>102</v>
      </c>
      <c r="BV100" s="5" t="s">
        <v>102</v>
      </c>
      <c r="BW100" s="5" t="s">
        <v>102</v>
      </c>
      <c r="BX100" s="5" t="s">
        <v>102</v>
      </c>
      <c r="BY100" s="5" t="s">
        <v>102</v>
      </c>
      <c r="BZ100" s="5" t="s">
        <v>102</v>
      </c>
      <c r="CA100" s="5" t="s">
        <v>102</v>
      </c>
      <c r="CB100" s="5" t="s">
        <v>102</v>
      </c>
      <c r="CC100" s="5" t="s">
        <v>102</v>
      </c>
      <c r="CD100" s="5" t="s">
        <v>102</v>
      </c>
      <c r="CE100" s="5" t="s">
        <v>102</v>
      </c>
      <c r="CF100" s="5" t="s">
        <v>102</v>
      </c>
      <c r="CG100" s="5" t="s">
        <v>102</v>
      </c>
      <c r="CH100" s="5" t="s">
        <v>102</v>
      </c>
      <c r="CI100" s="5" t="s">
        <v>102</v>
      </c>
      <c r="CJ100" s="5" t="s">
        <v>102</v>
      </c>
      <c r="CK100" s="5" t="s">
        <v>102</v>
      </c>
      <c r="CL100" s="5" t="s">
        <v>102</v>
      </c>
      <c r="CM100" s="5" t="s">
        <v>102</v>
      </c>
    </row>
    <row r="101" spans="1:91" x14ac:dyDescent="0.35">
      <c r="A101" s="3" t="s">
        <v>119</v>
      </c>
      <c r="B101" s="10">
        <v>2309989.5099999998</v>
      </c>
      <c r="C101" s="10">
        <v>23574.55</v>
      </c>
      <c r="D101" s="10">
        <v>1610.41</v>
      </c>
      <c r="E101" s="10">
        <v>1167.95</v>
      </c>
      <c r="F101" s="10">
        <v>5682.15</v>
      </c>
      <c r="G101" s="10">
        <v>108017.92</v>
      </c>
      <c r="H101" s="10">
        <v>25604.18</v>
      </c>
      <c r="I101" s="10">
        <v>10973.38</v>
      </c>
      <c r="J101" s="10">
        <v>18860.28</v>
      </c>
      <c r="K101" s="10">
        <v>4511.5200000000004</v>
      </c>
      <c r="L101" s="10">
        <v>279251.15999999997</v>
      </c>
      <c r="M101" s="71">
        <v>98620.810080666619</v>
      </c>
      <c r="N101" s="15">
        <v>1087.2770372694915</v>
      </c>
      <c r="O101" s="15">
        <v>1209.7228820638818</v>
      </c>
      <c r="P101" s="18">
        <v>0</v>
      </c>
      <c r="Q101" s="18">
        <v>0</v>
      </c>
      <c r="R101" s="21">
        <v>0</v>
      </c>
      <c r="S101" s="21">
        <v>0</v>
      </c>
      <c r="T101" s="24">
        <v>0</v>
      </c>
      <c r="U101" s="74">
        <v>0</v>
      </c>
      <c r="V101" s="10">
        <v>51003.06</v>
      </c>
      <c r="W101" s="10">
        <v>39303.17</v>
      </c>
      <c r="X101" s="10">
        <v>21323.24</v>
      </c>
      <c r="Y101" s="10">
        <v>82285.850000000006</v>
      </c>
      <c r="Z101" s="10">
        <v>45403.5</v>
      </c>
      <c r="AA101" s="10">
        <v>54156.53</v>
      </c>
      <c r="AB101" s="10">
        <v>46944.27</v>
      </c>
      <c r="AC101" s="10">
        <v>62064.2</v>
      </c>
      <c r="AD101" s="10">
        <v>92421.33</v>
      </c>
      <c r="AE101" s="10">
        <v>40764.1</v>
      </c>
      <c r="AF101" s="10">
        <v>26601.05</v>
      </c>
      <c r="AG101" s="10">
        <v>27047.85</v>
      </c>
      <c r="AH101" s="71">
        <v>104284.04</v>
      </c>
      <c r="AI101" s="29">
        <v>0</v>
      </c>
      <c r="AJ101" s="10">
        <v>2277.29</v>
      </c>
      <c r="AK101" s="10">
        <v>13866.6</v>
      </c>
      <c r="AL101" s="10">
        <v>106317.12</v>
      </c>
      <c r="AM101" s="10">
        <v>19294.740000000002</v>
      </c>
      <c r="AN101" s="10">
        <v>108816.82</v>
      </c>
      <c r="AO101" s="10">
        <v>35387.230000000003</v>
      </c>
      <c r="AP101" s="10">
        <v>31108.97</v>
      </c>
      <c r="AQ101" s="10">
        <v>43969.75</v>
      </c>
      <c r="AR101" s="10">
        <v>22083.74</v>
      </c>
      <c r="AS101" s="10">
        <v>29703.24</v>
      </c>
      <c r="AT101" s="10">
        <v>6980.07</v>
      </c>
      <c r="AU101" s="10">
        <v>26729.83</v>
      </c>
      <c r="AV101" s="10">
        <v>32604.37</v>
      </c>
      <c r="AW101" s="10">
        <v>11255.04</v>
      </c>
      <c r="AX101" s="10">
        <v>18373.599999999999</v>
      </c>
      <c r="AY101" s="10">
        <v>110991.78</v>
      </c>
      <c r="AZ101" s="10">
        <v>48952.42</v>
      </c>
      <c r="BA101" s="10">
        <v>28579.65</v>
      </c>
      <c r="BB101" s="10">
        <v>22000.59</v>
      </c>
      <c r="BC101" s="10">
        <v>19198.82</v>
      </c>
      <c r="BD101" s="10">
        <v>48393.95</v>
      </c>
      <c r="BE101" s="10">
        <v>16355.74</v>
      </c>
      <c r="BF101" s="10">
        <v>26081.71</v>
      </c>
      <c r="BG101" s="10">
        <v>11318.65</v>
      </c>
      <c r="BH101" s="10">
        <v>8630.74</v>
      </c>
      <c r="BI101" s="10">
        <v>28651.27</v>
      </c>
      <c r="BJ101" s="10">
        <v>5527.09</v>
      </c>
      <c r="BK101" s="10">
        <v>9990.73</v>
      </c>
      <c r="BL101" s="10">
        <v>24845.4</v>
      </c>
      <c r="BM101" s="10">
        <v>24995.95</v>
      </c>
      <c r="BN101" s="10">
        <v>9701.32</v>
      </c>
      <c r="BO101" s="10">
        <v>47483.33</v>
      </c>
      <c r="BP101" s="10">
        <v>10754.93</v>
      </c>
      <c r="BQ101" s="10">
        <v>8468.56</v>
      </c>
      <c r="BR101" s="10">
        <v>4527.24</v>
      </c>
      <c r="BS101" s="10">
        <v>4413.0600000000004</v>
      </c>
      <c r="BT101" s="10">
        <v>2726.67</v>
      </c>
      <c r="BU101" s="10">
        <v>4783.03</v>
      </c>
      <c r="BV101" s="10">
        <v>75.010000000000005</v>
      </c>
      <c r="BW101" s="4">
        <v>0</v>
      </c>
      <c r="BX101" s="10">
        <v>520129.82</v>
      </c>
      <c r="BY101" s="10">
        <v>37113.949999999997</v>
      </c>
      <c r="BZ101" s="10">
        <v>482500.83</v>
      </c>
      <c r="CA101" s="10">
        <v>515.04999999999995</v>
      </c>
      <c r="CB101" s="10">
        <v>316500.83</v>
      </c>
      <c r="CC101" s="10">
        <v>48710.29</v>
      </c>
      <c r="CD101" s="4" t="s">
        <v>102</v>
      </c>
      <c r="CE101" s="4" t="s">
        <v>102</v>
      </c>
      <c r="CF101" s="5" t="s">
        <v>102</v>
      </c>
      <c r="CG101" s="4" t="s">
        <v>102</v>
      </c>
      <c r="CH101" s="4" t="s">
        <v>102</v>
      </c>
      <c r="CI101" s="10">
        <v>267790.55</v>
      </c>
      <c r="CJ101" s="4" t="s">
        <v>102</v>
      </c>
      <c r="CK101" s="4" t="s">
        <v>102</v>
      </c>
      <c r="CL101" s="10">
        <v>3146620.16</v>
      </c>
      <c r="CM101" s="10">
        <v>836630.66</v>
      </c>
    </row>
    <row r="102" spans="1:91" x14ac:dyDescent="0.35">
      <c r="A102" s="3" t="s">
        <v>120</v>
      </c>
      <c r="B102" s="5" t="s">
        <v>102</v>
      </c>
      <c r="C102" s="11">
        <v>525938.80000000005</v>
      </c>
      <c r="D102" s="11">
        <v>64157.9</v>
      </c>
      <c r="E102" s="11">
        <v>14413.3</v>
      </c>
      <c r="F102" s="11">
        <v>104214.3</v>
      </c>
      <c r="G102" s="11">
        <v>1361365.54</v>
      </c>
      <c r="H102" s="11">
        <v>229401.5</v>
      </c>
      <c r="I102" s="11">
        <v>167404.75</v>
      </c>
      <c r="J102" s="11">
        <v>216741.15</v>
      </c>
      <c r="K102" s="11">
        <v>60993.85</v>
      </c>
      <c r="L102" s="11">
        <v>517357.78</v>
      </c>
      <c r="M102" s="71">
        <v>621875.07999999996</v>
      </c>
      <c r="N102" s="15"/>
      <c r="O102" s="15"/>
      <c r="P102" s="18"/>
      <c r="Q102" s="18"/>
      <c r="R102" s="21"/>
      <c r="S102" s="21"/>
      <c r="T102" s="24"/>
      <c r="U102" s="74"/>
      <c r="V102" s="11">
        <v>336228.83</v>
      </c>
      <c r="W102" s="11">
        <v>348873.88</v>
      </c>
      <c r="X102" s="11">
        <v>251871.08</v>
      </c>
      <c r="Y102" s="11">
        <v>498854.44</v>
      </c>
      <c r="Z102" s="11">
        <v>599848.14</v>
      </c>
      <c r="AA102" s="11">
        <v>358846.32</v>
      </c>
      <c r="AB102" s="11">
        <v>367571.73</v>
      </c>
      <c r="AC102" s="11">
        <v>716442.73</v>
      </c>
      <c r="AD102" s="11">
        <v>949794.12</v>
      </c>
      <c r="AE102" s="11">
        <v>255710.35</v>
      </c>
      <c r="AF102" s="11">
        <v>275411.15999999997</v>
      </c>
      <c r="AG102" s="11">
        <v>339119.74</v>
      </c>
      <c r="AH102" s="11">
        <v>1055512.78</v>
      </c>
      <c r="AI102" s="29"/>
      <c r="AJ102" s="11">
        <v>68244.12</v>
      </c>
      <c r="AK102" s="11">
        <v>332115.67</v>
      </c>
      <c r="AL102" s="11">
        <v>2446099.29</v>
      </c>
      <c r="AM102" s="11">
        <v>409392.89</v>
      </c>
      <c r="AN102" s="11">
        <v>1779584.2</v>
      </c>
      <c r="AO102" s="11">
        <v>1110373.51</v>
      </c>
      <c r="AP102" s="11">
        <v>796327.49</v>
      </c>
      <c r="AQ102" s="11">
        <v>228663.6</v>
      </c>
      <c r="AR102" s="11">
        <v>155432.32999999999</v>
      </c>
      <c r="AS102" s="11">
        <v>708618.86</v>
      </c>
      <c r="AT102" s="11">
        <v>150023.24</v>
      </c>
      <c r="AU102" s="11">
        <v>911838.13</v>
      </c>
      <c r="AV102" s="11">
        <v>244775.95</v>
      </c>
      <c r="AW102" s="11">
        <v>156848.37</v>
      </c>
      <c r="AX102" s="11">
        <v>336190.82</v>
      </c>
      <c r="AY102" s="11">
        <v>1106942.73</v>
      </c>
      <c r="AZ102" s="11">
        <v>765990.58</v>
      </c>
      <c r="BA102" s="11">
        <v>392180.56</v>
      </c>
      <c r="BB102" s="11">
        <v>345609.68</v>
      </c>
      <c r="BC102" s="11">
        <v>2200099.9900000002</v>
      </c>
      <c r="BD102" s="11">
        <v>1113220.55</v>
      </c>
      <c r="BE102" s="11">
        <v>466497.17</v>
      </c>
      <c r="BF102" s="11">
        <v>446096.66</v>
      </c>
      <c r="BG102" s="11">
        <v>204472.48</v>
      </c>
      <c r="BH102" s="11">
        <v>178213.86</v>
      </c>
      <c r="BI102" s="11">
        <v>548412.97</v>
      </c>
      <c r="BJ102" s="11">
        <v>246705.1</v>
      </c>
      <c r="BK102" s="11">
        <v>128296.19</v>
      </c>
      <c r="BL102" s="11">
        <v>669364.03</v>
      </c>
      <c r="BM102" s="11">
        <v>1322073.73</v>
      </c>
      <c r="BN102" s="11">
        <v>903706.36</v>
      </c>
      <c r="BO102" s="11">
        <v>1237943.25</v>
      </c>
      <c r="BP102" s="11">
        <v>540284.71</v>
      </c>
      <c r="BQ102" s="11">
        <v>224635.63</v>
      </c>
      <c r="BR102" s="11">
        <v>166309.94</v>
      </c>
      <c r="BS102" s="11">
        <v>150715.85999999999</v>
      </c>
      <c r="BT102" s="11">
        <v>45185.21</v>
      </c>
      <c r="BU102" s="11">
        <v>190743.59</v>
      </c>
      <c r="BV102" s="11">
        <v>48364.04</v>
      </c>
      <c r="BW102" s="5">
        <v>0</v>
      </c>
      <c r="BX102" s="5" t="s">
        <v>102</v>
      </c>
      <c r="BY102" s="5" t="s">
        <v>102</v>
      </c>
      <c r="BZ102" s="5" t="s">
        <v>102</v>
      </c>
      <c r="CA102" s="5" t="s">
        <v>102</v>
      </c>
      <c r="CB102" s="5" t="s">
        <v>102</v>
      </c>
      <c r="CC102" s="5" t="s">
        <v>102</v>
      </c>
      <c r="CD102" s="5" t="s">
        <v>102</v>
      </c>
      <c r="CE102" s="5" t="s">
        <v>102</v>
      </c>
      <c r="CF102" s="5" t="s">
        <v>102</v>
      </c>
      <c r="CG102" s="5" t="s">
        <v>102</v>
      </c>
      <c r="CH102" s="5" t="s">
        <v>102</v>
      </c>
      <c r="CI102" s="5" t="s">
        <v>102</v>
      </c>
      <c r="CJ102" s="5" t="s">
        <v>102</v>
      </c>
      <c r="CK102" s="5" t="s">
        <v>102</v>
      </c>
      <c r="CL102" s="5" t="s">
        <v>102</v>
      </c>
      <c r="CM102" s="5" t="s">
        <v>102</v>
      </c>
    </row>
    <row r="105" spans="1:91" x14ac:dyDescent="0.35">
      <c r="A105" s="2"/>
      <c r="L105" s="11"/>
      <c r="AX105" s="61"/>
    </row>
    <row r="106" spans="1:91" x14ac:dyDescent="0.35">
      <c r="M106" s="61"/>
    </row>
    <row r="109" spans="1:91" x14ac:dyDescent="0.35">
      <c r="C109" s="61"/>
    </row>
    <row r="110" spans="1:91" x14ac:dyDescent="0.35">
      <c r="L110" s="11"/>
    </row>
    <row r="112" spans="1:91" x14ac:dyDescent="0.35">
      <c r="L112" s="60"/>
    </row>
    <row r="113" spans="12:12" x14ac:dyDescent="0.35">
      <c r="L113" s="61"/>
    </row>
  </sheetData>
  <mergeCells count="1">
    <mergeCell ref="B9:CM9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3D50-69B6-46B0-9E2B-5C4F8AC1C49B}">
  <dimension ref="A1:CM115"/>
  <sheetViews>
    <sheetView topLeftCell="J1" workbookViewId="0">
      <selection activeCell="J23" sqref="J23"/>
    </sheetView>
  </sheetViews>
  <sheetFormatPr baseColWidth="10" defaultRowHeight="14.5" x14ac:dyDescent="0.35"/>
  <cols>
    <col min="1" max="1" width="25.08984375" customWidth="1"/>
  </cols>
  <sheetData>
    <row r="1" spans="1:91" x14ac:dyDescent="0.35">
      <c r="A1" s="2" t="s">
        <v>19</v>
      </c>
      <c r="BX1" s="91"/>
    </row>
    <row r="2" spans="1:91" x14ac:dyDescent="0.35">
      <c r="A2" s="2" t="s">
        <v>20</v>
      </c>
      <c r="B2" s="1" t="s">
        <v>0</v>
      </c>
      <c r="BX2" s="91"/>
    </row>
    <row r="3" spans="1:91" x14ac:dyDescent="0.35">
      <c r="A3" s="2" t="s">
        <v>21</v>
      </c>
      <c r="B3" s="2" t="s">
        <v>6</v>
      </c>
      <c r="AI3" s="120"/>
      <c r="BW3" s="121"/>
      <c r="BX3" s="91"/>
      <c r="BY3" s="10"/>
    </row>
    <row r="4" spans="1:91" x14ac:dyDescent="0.35">
      <c r="I4" s="61"/>
      <c r="J4" s="61"/>
      <c r="K4" s="61"/>
      <c r="BW4" s="121"/>
      <c r="BX4" s="123"/>
      <c r="BY4" s="90"/>
    </row>
    <row r="5" spans="1:91" x14ac:dyDescent="0.35">
      <c r="A5" s="1" t="s">
        <v>12</v>
      </c>
      <c r="B5" s="2" t="s">
        <v>16</v>
      </c>
      <c r="D5" s="61"/>
      <c r="I5" s="61"/>
      <c r="AI5" s="59"/>
      <c r="AJ5" s="68"/>
      <c r="BX5" s="91"/>
    </row>
    <row r="6" spans="1:91" x14ac:dyDescent="0.35">
      <c r="A6" s="1" t="s">
        <v>13</v>
      </c>
      <c r="B6" s="2" t="s">
        <v>17</v>
      </c>
      <c r="N6" s="117"/>
      <c r="O6" s="117"/>
      <c r="P6" s="117"/>
      <c r="Q6" s="117"/>
      <c r="AI6" s="116"/>
      <c r="AJ6" s="124"/>
      <c r="BW6" s="121"/>
      <c r="BX6" s="88"/>
      <c r="BZ6" s="10"/>
    </row>
    <row r="7" spans="1:91" x14ac:dyDescent="0.35">
      <c r="A7" s="1" t="s">
        <v>14</v>
      </c>
      <c r="B7" s="2" t="s">
        <v>18</v>
      </c>
      <c r="D7" s="60"/>
      <c r="E7" s="61"/>
      <c r="I7" s="61"/>
      <c r="J7" s="61"/>
      <c r="K7" s="61"/>
      <c r="L7" s="97"/>
      <c r="AI7" s="110"/>
      <c r="AJ7" s="103"/>
      <c r="BX7" s="91"/>
      <c r="BY7" s="11"/>
    </row>
    <row r="8" spans="1:91" x14ac:dyDescent="0.35">
      <c r="D8" s="61"/>
      <c r="BX8" s="82"/>
    </row>
    <row r="9" spans="1:91" x14ac:dyDescent="0.35">
      <c r="A9" s="49" t="s">
        <v>135</v>
      </c>
      <c r="B9" s="134" t="s">
        <v>136</v>
      </c>
      <c r="C9" s="134" t="s">
        <v>136</v>
      </c>
      <c r="D9" s="134" t="s">
        <v>136</v>
      </c>
      <c r="E9" s="134" t="s">
        <v>136</v>
      </c>
      <c r="F9" s="134" t="s">
        <v>136</v>
      </c>
      <c r="G9" s="134" t="s">
        <v>136</v>
      </c>
      <c r="H9" s="134" t="s">
        <v>136</v>
      </c>
      <c r="I9" s="134" t="s">
        <v>136</v>
      </c>
      <c r="J9" s="134" t="s">
        <v>136</v>
      </c>
      <c r="K9" s="134" t="s">
        <v>136</v>
      </c>
      <c r="L9" s="134" t="s">
        <v>136</v>
      </c>
      <c r="M9" s="134"/>
      <c r="N9" s="134"/>
      <c r="O9" s="134"/>
      <c r="P9" s="134"/>
      <c r="Q9" s="134"/>
      <c r="R9" s="134"/>
      <c r="S9" s="134"/>
      <c r="T9" s="134"/>
      <c r="U9" s="134"/>
      <c r="V9" s="134" t="s">
        <v>136</v>
      </c>
      <c r="W9" s="134" t="s">
        <v>136</v>
      </c>
      <c r="X9" s="134" t="s">
        <v>136</v>
      </c>
      <c r="Y9" s="134" t="s">
        <v>136</v>
      </c>
      <c r="Z9" s="134" t="s">
        <v>136</v>
      </c>
      <c r="AA9" s="134" t="s">
        <v>136</v>
      </c>
      <c r="AB9" s="134" t="s">
        <v>136</v>
      </c>
      <c r="AC9" s="134" t="s">
        <v>136</v>
      </c>
      <c r="AD9" s="134" t="s">
        <v>136</v>
      </c>
      <c r="AE9" s="134" t="s">
        <v>136</v>
      </c>
      <c r="AF9" s="134" t="s">
        <v>136</v>
      </c>
      <c r="AG9" s="134" t="s">
        <v>136</v>
      </c>
      <c r="AH9" s="134"/>
      <c r="AI9" s="134"/>
      <c r="AJ9" s="134" t="s">
        <v>136</v>
      </c>
      <c r="AK9" s="134" t="s">
        <v>136</v>
      </c>
      <c r="AL9" s="134" t="s">
        <v>136</v>
      </c>
      <c r="AM9" s="134" t="s">
        <v>136</v>
      </c>
      <c r="AN9" s="134" t="s">
        <v>136</v>
      </c>
      <c r="AO9" s="134" t="s">
        <v>136</v>
      </c>
      <c r="AP9" s="134" t="s">
        <v>136</v>
      </c>
      <c r="AQ9" s="134" t="s">
        <v>136</v>
      </c>
      <c r="AR9" s="134" t="s">
        <v>136</v>
      </c>
      <c r="AS9" s="134" t="s">
        <v>136</v>
      </c>
      <c r="AT9" s="134" t="s">
        <v>136</v>
      </c>
      <c r="AU9" s="134" t="s">
        <v>136</v>
      </c>
      <c r="AV9" s="134" t="s">
        <v>136</v>
      </c>
      <c r="AW9" s="134" t="s">
        <v>136</v>
      </c>
      <c r="AX9" s="134" t="s">
        <v>136</v>
      </c>
      <c r="AY9" s="134" t="s">
        <v>136</v>
      </c>
      <c r="AZ9" s="134" t="s">
        <v>136</v>
      </c>
      <c r="BA9" s="134" t="s">
        <v>136</v>
      </c>
      <c r="BB9" s="134" t="s">
        <v>136</v>
      </c>
      <c r="BC9" s="134" t="s">
        <v>136</v>
      </c>
      <c r="BD9" s="134" t="s">
        <v>136</v>
      </c>
      <c r="BE9" s="134" t="s">
        <v>136</v>
      </c>
      <c r="BF9" s="134" t="s">
        <v>136</v>
      </c>
      <c r="BG9" s="134" t="s">
        <v>136</v>
      </c>
      <c r="BH9" s="134" t="s">
        <v>136</v>
      </c>
      <c r="BI9" s="134" t="s">
        <v>136</v>
      </c>
      <c r="BJ9" s="134" t="s">
        <v>136</v>
      </c>
      <c r="BK9" s="134" t="s">
        <v>136</v>
      </c>
      <c r="BL9" s="134" t="s">
        <v>136</v>
      </c>
      <c r="BM9" s="134" t="s">
        <v>136</v>
      </c>
      <c r="BN9" s="134" t="s">
        <v>136</v>
      </c>
      <c r="BO9" s="134" t="s">
        <v>136</v>
      </c>
      <c r="BP9" s="134" t="s">
        <v>136</v>
      </c>
      <c r="BQ9" s="134" t="s">
        <v>136</v>
      </c>
      <c r="BR9" s="134" t="s">
        <v>136</v>
      </c>
      <c r="BS9" s="134" t="s">
        <v>136</v>
      </c>
      <c r="BT9" s="134" t="s">
        <v>136</v>
      </c>
      <c r="BU9" s="134" t="s">
        <v>136</v>
      </c>
      <c r="BV9" s="134" t="s">
        <v>136</v>
      </c>
      <c r="BW9" s="134" t="s">
        <v>136</v>
      </c>
      <c r="BX9" s="134" t="s">
        <v>136</v>
      </c>
      <c r="BY9" s="134" t="s">
        <v>136</v>
      </c>
      <c r="BZ9" s="134" t="s">
        <v>136</v>
      </c>
      <c r="CA9" s="134" t="s">
        <v>136</v>
      </c>
      <c r="CB9" s="134" t="s">
        <v>136</v>
      </c>
      <c r="CC9" s="134" t="s">
        <v>136</v>
      </c>
      <c r="CD9" s="134" t="s">
        <v>136</v>
      </c>
      <c r="CE9" s="134" t="s">
        <v>136</v>
      </c>
      <c r="CF9" s="134" t="s">
        <v>136</v>
      </c>
      <c r="CG9" s="134" t="s">
        <v>136</v>
      </c>
      <c r="CH9" s="134" t="s">
        <v>136</v>
      </c>
      <c r="CI9" s="134" t="s">
        <v>136</v>
      </c>
      <c r="CJ9" s="134" t="s">
        <v>136</v>
      </c>
      <c r="CK9" s="134" t="s">
        <v>136</v>
      </c>
      <c r="CL9" s="134" t="s">
        <v>136</v>
      </c>
      <c r="CM9" s="134" t="s">
        <v>136</v>
      </c>
    </row>
    <row r="10" spans="1:91" x14ac:dyDescent="0.35">
      <c r="A10" s="49" t="s">
        <v>22</v>
      </c>
      <c r="B10" s="49" t="s">
        <v>23</v>
      </c>
      <c r="C10" s="49" t="s">
        <v>24</v>
      </c>
      <c r="D10" s="49" t="s">
        <v>25</v>
      </c>
      <c r="E10" s="50" t="s">
        <v>26</v>
      </c>
      <c r="F10" s="50" t="s">
        <v>27</v>
      </c>
      <c r="G10" s="49" t="s">
        <v>28</v>
      </c>
      <c r="H10" s="49" t="s">
        <v>29</v>
      </c>
      <c r="I10" s="49" t="s">
        <v>30</v>
      </c>
      <c r="J10" s="49" t="s">
        <v>31</v>
      </c>
      <c r="K10" s="49" t="s">
        <v>32</v>
      </c>
      <c r="L10" s="49" t="s">
        <v>33</v>
      </c>
      <c r="M10" s="51" t="s">
        <v>131</v>
      </c>
      <c r="N10" s="13" t="s">
        <v>122</v>
      </c>
      <c r="O10" s="13" t="s">
        <v>123</v>
      </c>
      <c r="P10" s="16" t="s">
        <v>124</v>
      </c>
      <c r="Q10" s="16" t="s">
        <v>125</v>
      </c>
      <c r="R10" s="19" t="s">
        <v>126</v>
      </c>
      <c r="S10" s="19" t="s">
        <v>127</v>
      </c>
      <c r="T10" s="22" t="s">
        <v>128</v>
      </c>
      <c r="U10" s="73" t="s">
        <v>132</v>
      </c>
      <c r="V10" s="49" t="s">
        <v>34</v>
      </c>
      <c r="W10" s="49" t="s">
        <v>35</v>
      </c>
      <c r="X10" s="49" t="s">
        <v>36</v>
      </c>
      <c r="Y10" s="49" t="s">
        <v>37</v>
      </c>
      <c r="Z10" s="49" t="s">
        <v>38</v>
      </c>
      <c r="AA10" s="49" t="s">
        <v>39</v>
      </c>
      <c r="AB10" s="49" t="s">
        <v>40</v>
      </c>
      <c r="AC10" s="49" t="s">
        <v>41</v>
      </c>
      <c r="AD10" s="49" t="s">
        <v>42</v>
      </c>
      <c r="AE10" s="49" t="s">
        <v>43</v>
      </c>
      <c r="AF10" s="49" t="s">
        <v>44</v>
      </c>
      <c r="AG10" s="49" t="s">
        <v>45</v>
      </c>
      <c r="AH10" s="51" t="s">
        <v>133</v>
      </c>
      <c r="AI10" s="30" t="s">
        <v>129</v>
      </c>
      <c r="AJ10" s="49" t="s">
        <v>46</v>
      </c>
      <c r="AK10" s="49" t="s">
        <v>47</v>
      </c>
      <c r="AL10" s="49" t="s">
        <v>48</v>
      </c>
      <c r="AM10" s="49" t="s">
        <v>49</v>
      </c>
      <c r="AN10" s="49" t="s">
        <v>50</v>
      </c>
      <c r="AO10" s="49" t="s">
        <v>51</v>
      </c>
      <c r="AP10" s="49" t="s">
        <v>52</v>
      </c>
      <c r="AQ10" s="49" t="s">
        <v>53</v>
      </c>
      <c r="AR10" s="49" t="s">
        <v>54</v>
      </c>
      <c r="AS10" s="49" t="s">
        <v>55</v>
      </c>
      <c r="AT10" s="49" t="s">
        <v>56</v>
      </c>
      <c r="AU10" s="49" t="s">
        <v>57</v>
      </c>
      <c r="AV10" s="49" t="s">
        <v>58</v>
      </c>
      <c r="AW10" s="49" t="s">
        <v>59</v>
      </c>
      <c r="AX10" s="49" t="s">
        <v>60</v>
      </c>
      <c r="AY10" s="49" t="s">
        <v>61</v>
      </c>
      <c r="AZ10" s="49" t="s">
        <v>62</v>
      </c>
      <c r="BA10" s="49" t="s">
        <v>63</v>
      </c>
      <c r="BB10" s="49" t="s">
        <v>64</v>
      </c>
      <c r="BC10" s="49" t="s">
        <v>65</v>
      </c>
      <c r="BD10" s="49" t="s">
        <v>66</v>
      </c>
      <c r="BE10" s="49" t="s">
        <v>67</v>
      </c>
      <c r="BF10" s="49" t="s">
        <v>68</v>
      </c>
      <c r="BG10" s="49" t="s">
        <v>69</v>
      </c>
      <c r="BH10" s="49" t="s">
        <v>70</v>
      </c>
      <c r="BI10" s="49" t="s">
        <v>71</v>
      </c>
      <c r="BJ10" s="49" t="s">
        <v>72</v>
      </c>
      <c r="BK10" s="49" t="s">
        <v>73</v>
      </c>
      <c r="BL10" s="49" t="s">
        <v>74</v>
      </c>
      <c r="BM10" s="49" t="s">
        <v>75</v>
      </c>
      <c r="BN10" s="49" t="s">
        <v>76</v>
      </c>
      <c r="BO10" s="49" t="s">
        <v>77</v>
      </c>
      <c r="BP10" s="49" t="s">
        <v>78</v>
      </c>
      <c r="BQ10" s="49" t="s">
        <v>79</v>
      </c>
      <c r="BR10" s="49" t="s">
        <v>80</v>
      </c>
      <c r="BS10" s="49" t="s">
        <v>81</v>
      </c>
      <c r="BT10" s="49" t="s">
        <v>82</v>
      </c>
      <c r="BU10" s="49" t="s">
        <v>83</v>
      </c>
      <c r="BV10" s="49" t="s">
        <v>84</v>
      </c>
      <c r="BW10" s="49" t="s">
        <v>85</v>
      </c>
      <c r="BX10" s="49" t="s">
        <v>86</v>
      </c>
      <c r="BY10" s="49" t="s">
        <v>87</v>
      </c>
      <c r="BZ10" s="49" t="s">
        <v>88</v>
      </c>
      <c r="CA10" s="49" t="s">
        <v>89</v>
      </c>
      <c r="CB10" s="49" t="s">
        <v>90</v>
      </c>
      <c r="CC10" s="49" t="s">
        <v>91</v>
      </c>
      <c r="CD10" s="49" t="s">
        <v>92</v>
      </c>
      <c r="CE10" s="49" t="s">
        <v>93</v>
      </c>
      <c r="CF10" s="49" t="s">
        <v>94</v>
      </c>
      <c r="CG10" s="49" t="s">
        <v>95</v>
      </c>
      <c r="CH10" s="49" t="s">
        <v>96</v>
      </c>
      <c r="CI10" s="49" t="s">
        <v>97</v>
      </c>
      <c r="CJ10" s="49" t="s">
        <v>98</v>
      </c>
      <c r="CK10" s="49" t="s">
        <v>99</v>
      </c>
      <c r="CL10" s="49" t="s">
        <v>100</v>
      </c>
      <c r="CM10" s="49" t="s">
        <v>101</v>
      </c>
    </row>
    <row r="11" spans="1:91" x14ac:dyDescent="0.35">
      <c r="A11" s="3" t="s">
        <v>23</v>
      </c>
      <c r="B11" s="11">
        <v>15415075.76</v>
      </c>
      <c r="C11" s="11">
        <v>268706.46000000002</v>
      </c>
      <c r="D11" s="11">
        <v>30618.13</v>
      </c>
      <c r="E11" s="11">
        <v>6489.54</v>
      </c>
      <c r="F11" s="11">
        <v>43290.2</v>
      </c>
      <c r="G11" s="11">
        <v>929964.59</v>
      </c>
      <c r="H11" s="11">
        <v>122564.69</v>
      </c>
      <c r="I11" s="11">
        <v>103798.64</v>
      </c>
      <c r="J11" s="11">
        <v>141498.67000000001</v>
      </c>
      <c r="K11" s="11">
        <v>33305.67</v>
      </c>
      <c r="L11" s="11">
        <v>168969.34</v>
      </c>
      <c r="M11" s="70">
        <v>367988.36</v>
      </c>
      <c r="N11" s="15" t="s">
        <v>137</v>
      </c>
      <c r="O11" s="15" t="s">
        <v>137</v>
      </c>
      <c r="P11" s="18"/>
      <c r="Q11" s="18"/>
      <c r="R11" s="21"/>
      <c r="S11" s="21"/>
      <c r="T11" s="24"/>
      <c r="U11" s="74"/>
      <c r="V11" s="11">
        <v>123896.2</v>
      </c>
      <c r="W11" s="11">
        <v>199872.38</v>
      </c>
      <c r="X11" s="11">
        <v>145701.82</v>
      </c>
      <c r="Y11" s="11">
        <v>318222.82</v>
      </c>
      <c r="Z11" s="11">
        <v>344601.61</v>
      </c>
      <c r="AA11" s="11">
        <v>136483.93</v>
      </c>
      <c r="AB11" s="11">
        <v>204979.41</v>
      </c>
      <c r="AC11" s="11">
        <v>404427.28</v>
      </c>
      <c r="AD11" s="11">
        <v>609255.18999999994</v>
      </c>
      <c r="AE11" s="11">
        <v>148951.91</v>
      </c>
      <c r="AF11" s="11">
        <v>140053.12</v>
      </c>
      <c r="AG11" s="11">
        <v>177190.99</v>
      </c>
      <c r="AH11" s="11">
        <v>553798.5</v>
      </c>
      <c r="AI11" s="104"/>
      <c r="AJ11" s="11">
        <v>33208.370000000003</v>
      </c>
      <c r="AK11" s="11">
        <v>174031.83</v>
      </c>
      <c r="AL11" s="11">
        <v>1424171.46</v>
      </c>
      <c r="AM11" s="11">
        <v>183654.58</v>
      </c>
      <c r="AN11" s="11">
        <v>797261.67</v>
      </c>
      <c r="AO11" s="11">
        <v>446436.16</v>
      </c>
      <c r="AP11" s="11">
        <v>421900.5</v>
      </c>
      <c r="AQ11" s="11">
        <v>110154.95</v>
      </c>
      <c r="AR11" s="11">
        <v>95530.62</v>
      </c>
      <c r="AS11" s="11">
        <v>392113.96</v>
      </c>
      <c r="AT11" s="11">
        <v>80584.33</v>
      </c>
      <c r="AU11" s="11">
        <v>439547.4</v>
      </c>
      <c r="AV11" s="11">
        <v>95819.15</v>
      </c>
      <c r="AW11" s="11">
        <v>82580.600000000006</v>
      </c>
      <c r="AX11" s="11">
        <v>182771.74</v>
      </c>
      <c r="AY11" s="11">
        <v>464495.81</v>
      </c>
      <c r="AZ11" s="11">
        <v>299279.58</v>
      </c>
      <c r="BA11" s="11">
        <v>216185.66</v>
      </c>
      <c r="BB11" s="11">
        <v>160417.10999999999</v>
      </c>
      <c r="BC11" s="11">
        <v>444965.67</v>
      </c>
      <c r="BD11" s="11">
        <v>506259.07</v>
      </c>
      <c r="BE11" s="11">
        <v>216655.01</v>
      </c>
      <c r="BF11" s="11">
        <v>169190.95</v>
      </c>
      <c r="BG11" s="11">
        <v>110052.54</v>
      </c>
      <c r="BH11" s="11">
        <v>80908.42</v>
      </c>
      <c r="BI11" s="11">
        <v>238717.33</v>
      </c>
      <c r="BJ11" s="11">
        <v>57204.23</v>
      </c>
      <c r="BK11" s="11">
        <v>85522.48</v>
      </c>
      <c r="BL11" s="11">
        <v>303361.87</v>
      </c>
      <c r="BM11" s="11">
        <v>367793.01</v>
      </c>
      <c r="BN11" s="11">
        <v>173113.36</v>
      </c>
      <c r="BO11" s="11">
        <v>375424.39</v>
      </c>
      <c r="BP11" s="11">
        <v>143983.07999999999</v>
      </c>
      <c r="BQ11" s="11">
        <v>97780.95</v>
      </c>
      <c r="BR11" s="11">
        <v>79084.58</v>
      </c>
      <c r="BS11" s="11">
        <v>52205.95</v>
      </c>
      <c r="BT11" s="5">
        <v>18643</v>
      </c>
      <c r="BU11" s="11">
        <v>68738.17</v>
      </c>
      <c r="BV11" s="11">
        <v>696.82</v>
      </c>
      <c r="BW11" s="5">
        <v>0</v>
      </c>
      <c r="BX11" s="11">
        <v>11329092.800000001</v>
      </c>
      <c r="BY11" s="11">
        <v>3582352.57</v>
      </c>
      <c r="BZ11" s="11">
        <v>7519519.04</v>
      </c>
      <c r="CA11" s="11">
        <v>227221.2</v>
      </c>
      <c r="CB11" s="11">
        <v>3281875.82</v>
      </c>
      <c r="CC11" s="11">
        <v>10818.64</v>
      </c>
      <c r="CD11" s="11">
        <v>3688498.18</v>
      </c>
      <c r="CE11" s="5" t="s">
        <v>102</v>
      </c>
      <c r="CF11" s="11">
        <v>3688498.18</v>
      </c>
      <c r="CG11" s="5" t="s">
        <v>102</v>
      </c>
      <c r="CH11" s="5" t="s">
        <v>102</v>
      </c>
      <c r="CI11" s="11">
        <v>3271057.18</v>
      </c>
      <c r="CJ11" s="5" t="s">
        <v>102</v>
      </c>
      <c r="CK11" s="5" t="s">
        <v>102</v>
      </c>
      <c r="CL11" s="11">
        <v>33714542.560000002</v>
      </c>
      <c r="CM11" s="11">
        <v>18299466.789999999</v>
      </c>
    </row>
    <row r="12" spans="1:91" x14ac:dyDescent="0.35">
      <c r="A12" s="25" t="s">
        <v>24</v>
      </c>
      <c r="B12" s="62">
        <v>354686.15</v>
      </c>
      <c r="C12" s="62">
        <v>59792.08</v>
      </c>
      <c r="D12" s="62">
        <v>572.84</v>
      </c>
      <c r="E12" s="62">
        <v>95.76</v>
      </c>
      <c r="F12" s="62">
        <v>59.6</v>
      </c>
      <c r="G12" s="62">
        <v>242674.95</v>
      </c>
      <c r="H12" s="62">
        <v>2583.1999999999998</v>
      </c>
      <c r="I12" s="62">
        <v>97.86</v>
      </c>
      <c r="J12" s="62">
        <v>108.57</v>
      </c>
      <c r="K12" s="62">
        <v>20.03</v>
      </c>
      <c r="L12" s="62">
        <v>139.36000000000001</v>
      </c>
      <c r="M12" s="70">
        <v>233.2069726922532</v>
      </c>
      <c r="N12" s="83">
        <v>0</v>
      </c>
      <c r="O12" s="39">
        <v>2.3521920523857234</v>
      </c>
      <c r="P12" s="63">
        <v>3099.2450999999992</v>
      </c>
      <c r="Q12" s="111">
        <v>51.505735255361969</v>
      </c>
      <c r="R12" s="62"/>
      <c r="S12" s="62"/>
      <c r="T12" s="63"/>
      <c r="U12" s="75"/>
      <c r="V12" s="62">
        <v>580.05999999999995</v>
      </c>
      <c r="W12" s="62">
        <v>1289.0899999999999</v>
      </c>
      <c r="X12" s="62">
        <v>91.62</v>
      </c>
      <c r="Y12" s="62">
        <v>92.11</v>
      </c>
      <c r="Z12" s="62">
        <v>102.91</v>
      </c>
      <c r="AA12" s="62">
        <v>106.86</v>
      </c>
      <c r="AB12" s="62">
        <v>43.38</v>
      </c>
      <c r="AC12" s="62">
        <v>115.95</v>
      </c>
      <c r="AD12" s="62">
        <v>105.18</v>
      </c>
      <c r="AE12" s="62">
        <v>8.74</v>
      </c>
      <c r="AF12" s="62">
        <v>232.62</v>
      </c>
      <c r="AG12" s="62">
        <v>239.75</v>
      </c>
      <c r="AH12" s="71">
        <v>1275.8537770397666</v>
      </c>
      <c r="AI12" s="105">
        <v>1.8062229602335496</v>
      </c>
      <c r="AJ12" s="62">
        <v>12.64</v>
      </c>
      <c r="AK12" s="62">
        <v>123.51</v>
      </c>
      <c r="AL12" s="62">
        <v>809.55</v>
      </c>
      <c r="AM12" s="62">
        <v>34.33</v>
      </c>
      <c r="AN12" s="62">
        <v>9814.35</v>
      </c>
      <c r="AO12" s="62">
        <v>3755.41</v>
      </c>
      <c r="AP12" s="62">
        <v>330.69</v>
      </c>
      <c r="AQ12" s="62">
        <v>54.02</v>
      </c>
      <c r="AR12" s="62">
        <v>1.67</v>
      </c>
      <c r="AS12" s="62">
        <v>219.12</v>
      </c>
      <c r="AT12" s="62">
        <v>4.42</v>
      </c>
      <c r="AU12" s="62">
        <v>12663.66</v>
      </c>
      <c r="AV12" s="62">
        <v>5.18</v>
      </c>
      <c r="AW12" s="62">
        <v>19.82</v>
      </c>
      <c r="AX12" s="62">
        <v>23.39</v>
      </c>
      <c r="AY12" s="62">
        <v>278.68</v>
      </c>
      <c r="AZ12" s="62">
        <v>6.66</v>
      </c>
      <c r="BA12" s="62">
        <v>32.340000000000003</v>
      </c>
      <c r="BB12" s="62">
        <v>5.32</v>
      </c>
      <c r="BC12" s="62">
        <v>1085.8499999999999</v>
      </c>
      <c r="BD12" s="62">
        <v>698.07</v>
      </c>
      <c r="BE12" s="62">
        <v>227.85</v>
      </c>
      <c r="BF12" s="62">
        <v>744.89</v>
      </c>
      <c r="BG12" s="62">
        <v>128.44999999999999</v>
      </c>
      <c r="BH12" s="62">
        <v>472.56</v>
      </c>
      <c r="BI12" s="62">
        <v>784.73</v>
      </c>
      <c r="BJ12" s="62">
        <v>34.17</v>
      </c>
      <c r="BK12" s="62">
        <v>24.95</v>
      </c>
      <c r="BL12" s="62">
        <v>5029.5600000000004</v>
      </c>
      <c r="BM12" s="62">
        <v>1096.6600000000001</v>
      </c>
      <c r="BN12" s="62">
        <v>392.07</v>
      </c>
      <c r="BO12" s="62">
        <v>669.26</v>
      </c>
      <c r="BP12" s="62">
        <v>587.55999999999995</v>
      </c>
      <c r="BQ12" s="62">
        <v>225.86</v>
      </c>
      <c r="BR12" s="62">
        <v>190.33</v>
      </c>
      <c r="BS12" s="62">
        <v>54.56</v>
      </c>
      <c r="BT12" s="62">
        <v>47.04</v>
      </c>
      <c r="BU12" s="62">
        <v>179.54</v>
      </c>
      <c r="BV12" s="62">
        <v>0.98</v>
      </c>
      <c r="BW12" s="62">
        <v>0</v>
      </c>
      <c r="BX12" s="62">
        <v>125203.62</v>
      </c>
      <c r="BY12" s="62">
        <v>1624.15</v>
      </c>
      <c r="BZ12" s="62">
        <v>123558.62</v>
      </c>
      <c r="CA12" s="62">
        <v>20.85</v>
      </c>
      <c r="CB12" s="62">
        <v>11359.24</v>
      </c>
      <c r="CC12" s="62">
        <v>4816.8900000000003</v>
      </c>
      <c r="CD12" s="62">
        <v>34689.800000000003</v>
      </c>
      <c r="CE12" s="62" t="s">
        <v>102</v>
      </c>
      <c r="CF12" s="62">
        <v>34689.800000000003</v>
      </c>
      <c r="CG12" s="62" t="s">
        <v>102</v>
      </c>
      <c r="CH12" s="62" t="s">
        <v>102</v>
      </c>
      <c r="CI12" s="62">
        <v>6542.35</v>
      </c>
      <c r="CJ12" s="62" t="s">
        <v>102</v>
      </c>
      <c r="CK12" s="62" t="s">
        <v>102</v>
      </c>
      <c r="CL12" s="62">
        <v>525938.80000000005</v>
      </c>
      <c r="CM12" s="62">
        <v>171252.66</v>
      </c>
    </row>
    <row r="13" spans="1:91" x14ac:dyDescent="0.35">
      <c r="A13" s="25" t="s">
        <v>25</v>
      </c>
      <c r="B13" s="62">
        <v>46675.55</v>
      </c>
      <c r="C13" s="62">
        <v>662.06</v>
      </c>
      <c r="D13" s="62">
        <v>16064.23</v>
      </c>
      <c r="E13" s="62">
        <v>42.27</v>
      </c>
      <c r="F13" s="62">
        <v>74.040000000000006</v>
      </c>
      <c r="G13" s="62">
        <v>320.88</v>
      </c>
      <c r="H13" s="62">
        <v>43.52</v>
      </c>
      <c r="I13" s="62">
        <v>16178.42</v>
      </c>
      <c r="J13" s="62">
        <v>6423.73</v>
      </c>
      <c r="K13" s="62">
        <v>25.49</v>
      </c>
      <c r="L13" s="62">
        <v>5.44</v>
      </c>
      <c r="M13" s="70">
        <v>335.07715639821055</v>
      </c>
      <c r="N13" s="62"/>
      <c r="O13" s="39">
        <v>0.96642180089473528</v>
      </c>
      <c r="P13" s="63"/>
      <c r="Q13" s="111">
        <v>0.96642180089473528</v>
      </c>
      <c r="R13" s="62"/>
      <c r="S13" s="62"/>
      <c r="T13" s="62"/>
      <c r="U13" s="76"/>
      <c r="V13" s="62">
        <v>13.4</v>
      </c>
      <c r="W13" s="62">
        <v>229.78</v>
      </c>
      <c r="X13" s="62">
        <v>37.26</v>
      </c>
      <c r="Y13" s="62">
        <v>39.47</v>
      </c>
      <c r="Z13" s="62">
        <v>87.73</v>
      </c>
      <c r="AA13" s="62">
        <v>4.18</v>
      </c>
      <c r="AB13" s="62">
        <v>5</v>
      </c>
      <c r="AC13" s="62">
        <v>20.48</v>
      </c>
      <c r="AD13" s="62">
        <v>14.3</v>
      </c>
      <c r="AE13" s="62">
        <v>4.87</v>
      </c>
      <c r="AF13" s="62">
        <v>983.23</v>
      </c>
      <c r="AG13" s="62">
        <v>33.99</v>
      </c>
      <c r="AH13" s="71">
        <v>1224.92</v>
      </c>
      <c r="AI13" s="105"/>
      <c r="AJ13" s="62">
        <v>8.91</v>
      </c>
      <c r="AK13" s="62">
        <v>139.38999999999999</v>
      </c>
      <c r="AL13" s="62">
        <v>863.24</v>
      </c>
      <c r="AM13" s="62">
        <v>11.5</v>
      </c>
      <c r="AN13" s="62">
        <v>942.51</v>
      </c>
      <c r="AO13" s="62">
        <v>242.39</v>
      </c>
      <c r="AP13" s="62">
        <v>95.79</v>
      </c>
      <c r="AQ13" s="62">
        <v>9.34</v>
      </c>
      <c r="AR13" s="62">
        <v>2.6</v>
      </c>
      <c r="AS13" s="62">
        <v>64.319999999999993</v>
      </c>
      <c r="AT13" s="62">
        <v>0.8</v>
      </c>
      <c r="AU13" s="62">
        <v>70.290000000000006</v>
      </c>
      <c r="AV13" s="62">
        <v>5</v>
      </c>
      <c r="AW13" s="62">
        <v>2.65</v>
      </c>
      <c r="AX13" s="62">
        <v>3.91</v>
      </c>
      <c r="AY13" s="62">
        <v>57.42</v>
      </c>
      <c r="AZ13" s="62">
        <v>2.44</v>
      </c>
      <c r="BA13" s="62">
        <v>0.11</v>
      </c>
      <c r="BB13" s="62">
        <v>1.7</v>
      </c>
      <c r="BC13" s="62">
        <v>116.88</v>
      </c>
      <c r="BD13" s="62">
        <v>234.07</v>
      </c>
      <c r="BE13" s="62">
        <v>77.5</v>
      </c>
      <c r="BF13" s="62">
        <v>85.09</v>
      </c>
      <c r="BG13" s="62">
        <v>8.76</v>
      </c>
      <c r="BH13" s="62">
        <v>18.649999999999999</v>
      </c>
      <c r="BI13" s="62">
        <v>145.18</v>
      </c>
      <c r="BJ13" s="62">
        <v>9.36</v>
      </c>
      <c r="BK13" s="62">
        <v>1.21</v>
      </c>
      <c r="BL13" s="62">
        <v>177.81</v>
      </c>
      <c r="BM13" s="62">
        <v>232.96</v>
      </c>
      <c r="BN13" s="62">
        <v>24.7</v>
      </c>
      <c r="BO13" s="62">
        <v>34.340000000000003</v>
      </c>
      <c r="BP13" s="62">
        <v>12.86</v>
      </c>
      <c r="BQ13" s="62">
        <v>31.13</v>
      </c>
      <c r="BR13" s="62">
        <v>20.05</v>
      </c>
      <c r="BS13" s="62">
        <v>13.9</v>
      </c>
      <c r="BT13" s="62">
        <v>8.6</v>
      </c>
      <c r="BU13" s="62">
        <v>22.5</v>
      </c>
      <c r="BV13" s="62">
        <v>0.04</v>
      </c>
      <c r="BW13" s="62">
        <v>0</v>
      </c>
      <c r="BX13" s="62">
        <v>13363.16</v>
      </c>
      <c r="BY13" s="62">
        <v>1583.09</v>
      </c>
      <c r="BZ13" s="62">
        <v>11776.85</v>
      </c>
      <c r="CA13" s="62">
        <v>3.22</v>
      </c>
      <c r="CB13" s="62">
        <v>1651.99</v>
      </c>
      <c r="CC13" s="62">
        <v>1300.58</v>
      </c>
      <c r="CD13" s="62">
        <v>2467.1999999999998</v>
      </c>
      <c r="CE13" s="62" t="s">
        <v>102</v>
      </c>
      <c r="CF13" s="62">
        <v>2467.1999999999998</v>
      </c>
      <c r="CG13" s="62" t="s">
        <v>102</v>
      </c>
      <c r="CH13" s="62" t="s">
        <v>102</v>
      </c>
      <c r="CI13" s="62">
        <v>351.41</v>
      </c>
      <c r="CJ13" s="62" t="s">
        <v>102</v>
      </c>
      <c r="CK13" s="62" t="s">
        <v>102</v>
      </c>
      <c r="CL13" s="62">
        <v>64157.9</v>
      </c>
      <c r="CM13" s="62">
        <v>17482.349999999999</v>
      </c>
    </row>
    <row r="14" spans="1:91" x14ac:dyDescent="0.35">
      <c r="A14" s="3" t="s">
        <v>26</v>
      </c>
      <c r="B14" s="10">
        <v>5430.84</v>
      </c>
      <c r="C14" s="10">
        <v>9.7799999999999994</v>
      </c>
      <c r="D14" s="10">
        <v>1.94</v>
      </c>
      <c r="E14" s="10">
        <v>461.27</v>
      </c>
      <c r="F14" s="10">
        <v>0.56000000000000005</v>
      </c>
      <c r="G14" s="10">
        <v>2832.06</v>
      </c>
      <c r="H14" s="10">
        <v>4.34</v>
      </c>
      <c r="I14" s="10">
        <v>0.21</v>
      </c>
      <c r="J14" s="10">
        <v>0.37</v>
      </c>
      <c r="K14" s="10">
        <v>0.06</v>
      </c>
      <c r="L14" s="10">
        <v>0.43</v>
      </c>
      <c r="M14" s="70">
        <v>34.93</v>
      </c>
      <c r="N14" s="38">
        <v>0</v>
      </c>
      <c r="O14" s="15">
        <v>0</v>
      </c>
      <c r="P14" s="15">
        <v>0</v>
      </c>
      <c r="Q14" s="112">
        <v>0</v>
      </c>
      <c r="R14" s="15">
        <v>0</v>
      </c>
      <c r="S14" s="15">
        <v>0</v>
      </c>
      <c r="T14" s="15">
        <v>0</v>
      </c>
      <c r="U14" s="15">
        <v>0</v>
      </c>
      <c r="V14" s="10">
        <v>6.79</v>
      </c>
      <c r="W14" s="10">
        <v>0.68</v>
      </c>
      <c r="X14" s="10">
        <v>0.21</v>
      </c>
      <c r="Y14" s="10">
        <v>0.42</v>
      </c>
      <c r="Z14" s="10">
        <v>0.97</v>
      </c>
      <c r="AA14" s="10">
        <v>0.2</v>
      </c>
      <c r="AB14" s="10">
        <v>0.1</v>
      </c>
      <c r="AC14" s="10">
        <v>0.37</v>
      </c>
      <c r="AD14" s="10">
        <v>0.69</v>
      </c>
      <c r="AE14" s="10">
        <v>0.02</v>
      </c>
      <c r="AF14" s="10">
        <v>3.34</v>
      </c>
      <c r="AG14" s="10">
        <v>0.71</v>
      </c>
      <c r="AH14" s="71">
        <v>17.21</v>
      </c>
      <c r="AI14" s="104"/>
      <c r="AJ14" s="10">
        <v>0.08</v>
      </c>
      <c r="AK14" s="10">
        <v>1.36</v>
      </c>
      <c r="AL14" s="10">
        <v>33.72</v>
      </c>
      <c r="AM14" s="10">
        <v>0.21</v>
      </c>
      <c r="AN14" s="10">
        <v>59.18</v>
      </c>
      <c r="AO14" s="10">
        <v>20.440000000000001</v>
      </c>
      <c r="AP14" s="10">
        <v>3.63</v>
      </c>
      <c r="AQ14" s="10">
        <v>5.42</v>
      </c>
      <c r="AR14" s="10">
        <v>0.04</v>
      </c>
      <c r="AS14" s="10">
        <v>3.59</v>
      </c>
      <c r="AT14" s="10">
        <v>0.28999999999999998</v>
      </c>
      <c r="AU14" s="10">
        <v>1717.39</v>
      </c>
      <c r="AV14" s="10">
        <v>0.47</v>
      </c>
      <c r="AW14" s="10">
        <v>2.5099999999999998</v>
      </c>
      <c r="AX14" s="10">
        <v>1.53</v>
      </c>
      <c r="AY14" s="10">
        <v>4.47</v>
      </c>
      <c r="AZ14" s="10">
        <v>0.89</v>
      </c>
      <c r="BA14" s="10">
        <v>0.49</v>
      </c>
      <c r="BB14" s="10">
        <v>0.24</v>
      </c>
      <c r="BC14" s="10">
        <v>13.35</v>
      </c>
      <c r="BD14" s="10">
        <v>7.39</v>
      </c>
      <c r="BE14" s="10">
        <v>2.04</v>
      </c>
      <c r="BF14" s="10">
        <v>8.32</v>
      </c>
      <c r="BG14" s="10">
        <v>1.05</v>
      </c>
      <c r="BH14" s="10">
        <v>2.38</v>
      </c>
      <c r="BI14" s="10">
        <v>10.02</v>
      </c>
      <c r="BJ14" s="10">
        <v>0.56000000000000005</v>
      </c>
      <c r="BK14" s="10">
        <v>1.7</v>
      </c>
      <c r="BL14" s="10">
        <v>7.27</v>
      </c>
      <c r="BM14" s="10">
        <v>13.88</v>
      </c>
      <c r="BN14" s="10">
        <v>7.98</v>
      </c>
      <c r="BO14" s="10">
        <v>35.83</v>
      </c>
      <c r="BP14" s="10">
        <v>31.37</v>
      </c>
      <c r="BQ14" s="10">
        <v>7.65</v>
      </c>
      <c r="BR14" s="10">
        <v>10.17</v>
      </c>
      <c r="BS14" s="10">
        <v>33.53</v>
      </c>
      <c r="BT14" s="10">
        <v>0.09</v>
      </c>
      <c r="BU14" s="10">
        <v>2.64</v>
      </c>
      <c r="BV14" s="10">
        <v>0.01</v>
      </c>
      <c r="BW14" s="4">
        <v>0</v>
      </c>
      <c r="BX14" s="10">
        <v>7964.41</v>
      </c>
      <c r="BY14" s="10">
        <v>6.92</v>
      </c>
      <c r="BZ14" s="10">
        <v>7956.08</v>
      </c>
      <c r="CA14" s="10">
        <v>1.41</v>
      </c>
      <c r="CB14" s="10">
        <v>-148.32</v>
      </c>
      <c r="CC14" s="10">
        <v>-180.5</v>
      </c>
      <c r="CD14" s="10">
        <v>1166.3699999999999</v>
      </c>
      <c r="CE14" s="4" t="s">
        <v>102</v>
      </c>
      <c r="CF14" s="10">
        <v>1166.3699999999999</v>
      </c>
      <c r="CG14" s="4" t="s">
        <v>102</v>
      </c>
      <c r="CH14" s="4" t="s">
        <v>102</v>
      </c>
      <c r="CI14" s="10">
        <v>32.19</v>
      </c>
      <c r="CJ14" s="4" t="s">
        <v>102</v>
      </c>
      <c r="CK14" s="4" t="s">
        <v>102</v>
      </c>
      <c r="CL14" s="10">
        <v>14413.3</v>
      </c>
      <c r="CM14" s="10">
        <v>8982.4699999999993</v>
      </c>
    </row>
    <row r="15" spans="1:91" x14ac:dyDescent="0.35">
      <c r="A15" s="3" t="s">
        <v>27</v>
      </c>
      <c r="B15" s="11">
        <v>95548.77</v>
      </c>
      <c r="C15" s="11">
        <v>812.02</v>
      </c>
      <c r="D15" s="11">
        <v>61.22</v>
      </c>
      <c r="E15" s="11">
        <v>47.45</v>
      </c>
      <c r="F15" s="11">
        <v>5547.63</v>
      </c>
      <c r="G15" s="11">
        <v>1174.5899999999999</v>
      </c>
      <c r="H15" s="11">
        <v>127.08</v>
      </c>
      <c r="I15" s="11">
        <v>57.77</v>
      </c>
      <c r="J15" s="11">
        <v>545.45000000000005</v>
      </c>
      <c r="K15" s="11">
        <v>38.83</v>
      </c>
      <c r="L15" s="11">
        <v>21936.560000000001</v>
      </c>
      <c r="M15" s="70">
        <v>6838.53</v>
      </c>
      <c r="N15" s="38">
        <v>0</v>
      </c>
      <c r="O15" s="15">
        <v>0</v>
      </c>
      <c r="P15" s="15">
        <v>0</v>
      </c>
      <c r="Q15" s="112">
        <v>0</v>
      </c>
      <c r="R15" s="15">
        <v>0</v>
      </c>
      <c r="S15" s="15">
        <v>0</v>
      </c>
      <c r="T15" s="15">
        <v>0</v>
      </c>
      <c r="U15" s="15">
        <v>0</v>
      </c>
      <c r="V15" s="11">
        <v>138.63999999999999</v>
      </c>
      <c r="W15" s="11">
        <v>411.72</v>
      </c>
      <c r="X15" s="11">
        <v>9450.74</v>
      </c>
      <c r="Y15" s="5">
        <v>7728</v>
      </c>
      <c r="Z15" s="11">
        <v>603.91</v>
      </c>
      <c r="AA15" s="11">
        <v>63.64</v>
      </c>
      <c r="AB15" s="11">
        <v>192.15</v>
      </c>
      <c r="AC15" s="11">
        <v>301.83</v>
      </c>
      <c r="AD15" s="11">
        <v>158.03</v>
      </c>
      <c r="AE15" s="11">
        <v>43.76</v>
      </c>
      <c r="AF15" s="11">
        <v>381.44</v>
      </c>
      <c r="AG15" s="5">
        <v>287</v>
      </c>
      <c r="AH15" s="71">
        <v>15343.18</v>
      </c>
      <c r="AI15" s="104"/>
      <c r="AJ15" s="11">
        <v>185.01</v>
      </c>
      <c r="AK15" s="11">
        <v>524.54999999999995</v>
      </c>
      <c r="AL15" s="11">
        <v>14038.44</v>
      </c>
      <c r="AM15" s="11">
        <v>32.909999999999997</v>
      </c>
      <c r="AN15" s="11">
        <v>1995.5</v>
      </c>
      <c r="AO15" s="11">
        <v>338.31</v>
      </c>
      <c r="AP15" s="11">
        <v>489.82</v>
      </c>
      <c r="AQ15" s="11">
        <v>16.91</v>
      </c>
      <c r="AR15" s="11">
        <v>6.35</v>
      </c>
      <c r="AS15" s="11">
        <v>339.37</v>
      </c>
      <c r="AT15" s="11">
        <v>9.58</v>
      </c>
      <c r="AU15" s="11">
        <v>220.54</v>
      </c>
      <c r="AV15" s="11">
        <v>9.4700000000000006</v>
      </c>
      <c r="AW15" s="11">
        <v>7.74</v>
      </c>
      <c r="AX15" s="11">
        <v>29.87</v>
      </c>
      <c r="AY15" s="11">
        <v>153.44999999999999</v>
      </c>
      <c r="AZ15" s="11">
        <v>32.99</v>
      </c>
      <c r="BA15" s="11">
        <v>3.78</v>
      </c>
      <c r="BB15" s="11">
        <v>20.29</v>
      </c>
      <c r="BC15" s="11">
        <v>645.16999999999996</v>
      </c>
      <c r="BD15" s="11">
        <v>926.11</v>
      </c>
      <c r="BE15" s="11">
        <v>433.32</v>
      </c>
      <c r="BF15" s="11">
        <v>238.61</v>
      </c>
      <c r="BG15" s="11">
        <v>18.760000000000002</v>
      </c>
      <c r="BH15" s="11">
        <v>59.53</v>
      </c>
      <c r="BI15" s="11">
        <v>219.65</v>
      </c>
      <c r="BJ15" s="11">
        <v>51.36</v>
      </c>
      <c r="BK15" s="11">
        <v>5.98</v>
      </c>
      <c r="BL15" s="11">
        <v>658.35</v>
      </c>
      <c r="BM15" s="11">
        <v>818.4</v>
      </c>
      <c r="BN15" s="11">
        <v>124.14</v>
      </c>
      <c r="BO15" s="11">
        <v>301.44</v>
      </c>
      <c r="BP15" s="11">
        <v>113.7</v>
      </c>
      <c r="BQ15" s="11">
        <v>25.47</v>
      </c>
      <c r="BR15" s="11">
        <v>55.77</v>
      </c>
      <c r="BS15" s="11">
        <v>55.48</v>
      </c>
      <c r="BT15" s="11">
        <v>7.8</v>
      </c>
      <c r="BU15" s="11">
        <v>42.73</v>
      </c>
      <c r="BV15" s="11">
        <v>0.98</v>
      </c>
      <c r="BW15" s="5">
        <v>0</v>
      </c>
      <c r="BX15" s="11">
        <v>4236.17</v>
      </c>
      <c r="BY15" s="11">
        <v>252.17</v>
      </c>
      <c r="BZ15" s="11">
        <v>3981.76</v>
      </c>
      <c r="CA15" s="11">
        <v>2.2400000000000002</v>
      </c>
      <c r="CB15" s="11">
        <v>-2178.88</v>
      </c>
      <c r="CC15" s="11">
        <v>-3372.11</v>
      </c>
      <c r="CD15" s="11">
        <v>6608.23</v>
      </c>
      <c r="CE15" s="5" t="s">
        <v>102</v>
      </c>
      <c r="CF15" s="11">
        <v>6608.23</v>
      </c>
      <c r="CG15" s="5" t="s">
        <v>102</v>
      </c>
      <c r="CH15" s="5" t="s">
        <v>102</v>
      </c>
      <c r="CI15" s="11">
        <v>1193.24</v>
      </c>
      <c r="CJ15" s="5" t="s">
        <v>102</v>
      </c>
      <c r="CK15" s="5" t="s">
        <v>102</v>
      </c>
      <c r="CL15" s="11">
        <v>104214.3</v>
      </c>
      <c r="CM15" s="11">
        <v>8665.5300000000007</v>
      </c>
    </row>
    <row r="16" spans="1:91" x14ac:dyDescent="0.35">
      <c r="A16" s="25" t="s">
        <v>28</v>
      </c>
      <c r="B16" s="62">
        <v>507187.6</v>
      </c>
      <c r="C16" s="62">
        <v>52956.91</v>
      </c>
      <c r="D16" s="62">
        <v>183.48</v>
      </c>
      <c r="E16" s="62">
        <v>646.97</v>
      </c>
      <c r="F16" s="62">
        <v>208.57</v>
      </c>
      <c r="G16" s="62">
        <v>225899.14</v>
      </c>
      <c r="H16" s="62">
        <v>1779.91</v>
      </c>
      <c r="I16" s="62">
        <v>116.19</v>
      </c>
      <c r="J16" s="62">
        <v>552.52</v>
      </c>
      <c r="K16" s="62">
        <v>29.59</v>
      </c>
      <c r="L16" s="62">
        <v>907.3</v>
      </c>
      <c r="M16" s="70">
        <v>3090.5675968611176</v>
      </c>
      <c r="N16" s="39">
        <v>6854.6652447305078</v>
      </c>
      <c r="O16" s="39">
        <v>5.857920418775954E-2</v>
      </c>
      <c r="P16" s="62"/>
      <c r="Q16" s="111">
        <v>5.857920418775954E-2</v>
      </c>
      <c r="R16" s="62"/>
      <c r="S16" s="62"/>
      <c r="T16" s="63"/>
      <c r="U16" s="75"/>
      <c r="V16" s="62">
        <v>2436.71</v>
      </c>
      <c r="W16" s="62">
        <v>362.16</v>
      </c>
      <c r="X16" s="62">
        <v>358.67</v>
      </c>
      <c r="Y16" s="62">
        <v>623.08000000000004</v>
      </c>
      <c r="Z16" s="62">
        <v>248.27</v>
      </c>
      <c r="AA16" s="62">
        <v>143.63999999999999</v>
      </c>
      <c r="AB16" s="62">
        <v>153.41</v>
      </c>
      <c r="AC16" s="62">
        <v>268.37</v>
      </c>
      <c r="AD16" s="62">
        <v>259.26</v>
      </c>
      <c r="AE16" s="62">
        <v>79.69</v>
      </c>
      <c r="AF16" s="62">
        <v>673.26</v>
      </c>
      <c r="AG16" s="62">
        <v>389.91</v>
      </c>
      <c r="AH16" s="71">
        <v>1277.9337742133082</v>
      </c>
      <c r="AI16" s="105">
        <v>0.42622578669176986</v>
      </c>
      <c r="AJ16" s="62">
        <v>44.23</v>
      </c>
      <c r="AK16" s="62">
        <v>745.45</v>
      </c>
      <c r="AL16" s="62">
        <v>1475.79</v>
      </c>
      <c r="AM16" s="62">
        <v>434.31</v>
      </c>
      <c r="AN16" s="62">
        <v>15802.71</v>
      </c>
      <c r="AO16" s="62">
        <v>7500.65</v>
      </c>
      <c r="AP16" s="62">
        <v>1451.09</v>
      </c>
      <c r="AQ16" s="62">
        <v>677.08</v>
      </c>
      <c r="AR16" s="62">
        <v>341.51</v>
      </c>
      <c r="AS16" s="62">
        <v>802.85</v>
      </c>
      <c r="AT16" s="62">
        <v>132.56</v>
      </c>
      <c r="AU16" s="62">
        <v>122068.75</v>
      </c>
      <c r="AV16" s="62">
        <v>340.5</v>
      </c>
      <c r="AW16" s="62">
        <v>489.32</v>
      </c>
      <c r="AX16" s="62">
        <v>497.34</v>
      </c>
      <c r="AY16" s="62">
        <v>1264.8900000000001</v>
      </c>
      <c r="AZ16" s="62">
        <v>208.46</v>
      </c>
      <c r="BA16" s="62">
        <v>130.93</v>
      </c>
      <c r="BB16" s="62">
        <v>121.21</v>
      </c>
      <c r="BC16" s="62">
        <v>1892.85</v>
      </c>
      <c r="BD16" s="62">
        <v>2201.63</v>
      </c>
      <c r="BE16" s="62">
        <v>609.45000000000005</v>
      </c>
      <c r="BF16" s="62">
        <v>1847.18</v>
      </c>
      <c r="BG16" s="62">
        <v>575.52</v>
      </c>
      <c r="BH16" s="62">
        <v>821.6</v>
      </c>
      <c r="BI16" s="62">
        <v>1825.25</v>
      </c>
      <c r="BJ16" s="62">
        <v>248.58</v>
      </c>
      <c r="BK16" s="62">
        <v>459.97</v>
      </c>
      <c r="BL16" s="62">
        <v>2810.89</v>
      </c>
      <c r="BM16" s="62">
        <v>5946.08</v>
      </c>
      <c r="BN16" s="62">
        <v>6003.62</v>
      </c>
      <c r="BO16" s="62">
        <v>12542.82</v>
      </c>
      <c r="BP16" s="62">
        <v>8608.6</v>
      </c>
      <c r="BQ16" s="62">
        <v>1243.4000000000001</v>
      </c>
      <c r="BR16" s="62">
        <v>2721.55</v>
      </c>
      <c r="BS16" s="62">
        <v>1109.47</v>
      </c>
      <c r="BT16" s="62">
        <v>143.91</v>
      </c>
      <c r="BU16" s="62">
        <v>538.58000000000004</v>
      </c>
      <c r="BV16" s="62">
        <v>6.3</v>
      </c>
      <c r="BW16" s="62">
        <v>0</v>
      </c>
      <c r="BX16" s="62">
        <v>652911.48</v>
      </c>
      <c r="BY16" s="62">
        <v>1132.6099999999999</v>
      </c>
      <c r="BZ16" s="62">
        <v>651537.61</v>
      </c>
      <c r="CA16" s="62">
        <v>241.26</v>
      </c>
      <c r="CB16" s="62">
        <v>20033.02</v>
      </c>
      <c r="CC16" s="62">
        <v>20032.25</v>
      </c>
      <c r="CD16" s="62">
        <v>181233.45</v>
      </c>
      <c r="CE16" s="62" t="s">
        <v>102</v>
      </c>
      <c r="CF16" s="62">
        <v>181233.45</v>
      </c>
      <c r="CG16" s="62" t="s">
        <v>102</v>
      </c>
      <c r="CH16" s="62" t="s">
        <v>102</v>
      </c>
      <c r="CI16" s="62">
        <v>0.77</v>
      </c>
      <c r="CJ16" s="62" t="s">
        <v>102</v>
      </c>
      <c r="CK16" s="62" t="s">
        <v>102</v>
      </c>
      <c r="CL16" s="62">
        <v>1361365.54</v>
      </c>
      <c r="CM16" s="62">
        <v>854177.94</v>
      </c>
    </row>
    <row r="17" spans="1:91" x14ac:dyDescent="0.35">
      <c r="A17" s="3" t="s">
        <v>29</v>
      </c>
      <c r="B17" s="11">
        <v>82586.070000000007</v>
      </c>
      <c r="C17" s="11">
        <v>503.94</v>
      </c>
      <c r="D17" s="11">
        <v>46.62</v>
      </c>
      <c r="E17" s="11">
        <v>93.46</v>
      </c>
      <c r="F17" s="11">
        <v>62.7</v>
      </c>
      <c r="G17" s="11">
        <v>690.02</v>
      </c>
      <c r="H17" s="11">
        <v>41233.08</v>
      </c>
      <c r="I17" s="11">
        <v>674.26</v>
      </c>
      <c r="J17" s="11">
        <v>1099.99</v>
      </c>
      <c r="K17" s="11">
        <v>384.77</v>
      </c>
      <c r="L17" s="11">
        <v>152.47999999999999</v>
      </c>
      <c r="M17" s="70">
        <v>797.06</v>
      </c>
      <c r="N17" s="38">
        <v>0</v>
      </c>
      <c r="O17" s="15">
        <v>0</v>
      </c>
      <c r="P17" s="15">
        <v>0</v>
      </c>
      <c r="Q17" s="112">
        <v>0</v>
      </c>
      <c r="R17" s="15">
        <v>0</v>
      </c>
      <c r="S17" s="15">
        <v>0</v>
      </c>
      <c r="T17" s="15">
        <v>0</v>
      </c>
      <c r="U17" s="15">
        <v>0</v>
      </c>
      <c r="V17" s="11">
        <v>256.27</v>
      </c>
      <c r="W17" s="11">
        <v>1878.4</v>
      </c>
      <c r="X17" s="11">
        <v>445.31</v>
      </c>
      <c r="Y17" s="11">
        <v>279.36</v>
      </c>
      <c r="Z17" s="11">
        <v>625.05999999999995</v>
      </c>
      <c r="AA17" s="5">
        <v>253</v>
      </c>
      <c r="AB17" s="11">
        <v>337.42</v>
      </c>
      <c r="AC17" s="11">
        <v>565.99</v>
      </c>
      <c r="AD17" s="11">
        <v>3035.16</v>
      </c>
      <c r="AE17" s="11">
        <v>487.61</v>
      </c>
      <c r="AF17" s="11">
        <v>3610.31</v>
      </c>
      <c r="AG17" s="11">
        <v>463.07</v>
      </c>
      <c r="AH17" s="71">
        <v>342.25</v>
      </c>
      <c r="AI17" s="104"/>
      <c r="AJ17" s="11">
        <v>30.13</v>
      </c>
      <c r="AK17" s="11">
        <v>419.99</v>
      </c>
      <c r="AL17" s="11">
        <v>1992.74</v>
      </c>
      <c r="AM17" s="11">
        <v>476.37</v>
      </c>
      <c r="AN17" s="11">
        <v>3798.76</v>
      </c>
      <c r="AO17" s="11">
        <v>2330.2199999999998</v>
      </c>
      <c r="AP17" s="11">
        <v>462.13</v>
      </c>
      <c r="AQ17" s="11">
        <v>99.21</v>
      </c>
      <c r="AR17" s="11">
        <v>45.05</v>
      </c>
      <c r="AS17" s="11">
        <v>379.59</v>
      </c>
      <c r="AT17" s="11">
        <v>94.08</v>
      </c>
      <c r="AU17" s="11">
        <v>1282.56</v>
      </c>
      <c r="AV17" s="11">
        <v>102.34</v>
      </c>
      <c r="AW17" s="5">
        <v>479</v>
      </c>
      <c r="AX17" s="11">
        <v>250.87</v>
      </c>
      <c r="AY17" s="11">
        <v>371.48</v>
      </c>
      <c r="AZ17" s="11">
        <v>95.32</v>
      </c>
      <c r="BA17" s="11">
        <v>32.74</v>
      </c>
      <c r="BB17" s="11">
        <v>26.9</v>
      </c>
      <c r="BC17" s="11">
        <v>582.39</v>
      </c>
      <c r="BD17" s="11">
        <v>589.14</v>
      </c>
      <c r="BE17" s="11">
        <v>287.02999999999997</v>
      </c>
      <c r="BF17" s="5">
        <v>666</v>
      </c>
      <c r="BG17" s="11">
        <v>102.49</v>
      </c>
      <c r="BH17" s="11">
        <v>422.97</v>
      </c>
      <c r="BI17" s="11">
        <v>473.21</v>
      </c>
      <c r="BJ17" s="11">
        <v>151.88</v>
      </c>
      <c r="BK17" s="11">
        <v>68.739999999999995</v>
      </c>
      <c r="BL17" s="11">
        <v>1221.6400000000001</v>
      </c>
      <c r="BM17" s="11">
        <v>1078.92</v>
      </c>
      <c r="BN17" s="11">
        <v>392.31</v>
      </c>
      <c r="BO17" s="11">
        <v>2565.39</v>
      </c>
      <c r="BP17" s="11">
        <v>864.77</v>
      </c>
      <c r="BQ17" s="11">
        <v>609.83000000000004</v>
      </c>
      <c r="BR17" s="11">
        <v>491.78</v>
      </c>
      <c r="BS17" s="11">
        <v>111.32</v>
      </c>
      <c r="BT17" s="11">
        <v>222.49</v>
      </c>
      <c r="BU17" s="11">
        <v>593.64</v>
      </c>
      <c r="BV17" s="11">
        <v>3.13</v>
      </c>
      <c r="BW17" s="5">
        <v>0</v>
      </c>
      <c r="BX17" s="5">
        <v>82199</v>
      </c>
      <c r="BY17" s="11">
        <v>331.62</v>
      </c>
      <c r="BZ17" s="11">
        <v>81849.41</v>
      </c>
      <c r="CA17" s="11">
        <v>17.97</v>
      </c>
      <c r="CB17" s="11">
        <v>283.33999999999997</v>
      </c>
      <c r="CC17" s="11">
        <v>-646.92999999999995</v>
      </c>
      <c r="CD17" s="11">
        <v>64333.09</v>
      </c>
      <c r="CE17" s="5" t="s">
        <v>102</v>
      </c>
      <c r="CF17" s="11">
        <v>64333.09</v>
      </c>
      <c r="CG17" s="5" t="s">
        <v>102</v>
      </c>
      <c r="CH17" s="5" t="s">
        <v>102</v>
      </c>
      <c r="CI17" s="11">
        <v>930.28</v>
      </c>
      <c r="CJ17" s="5" t="s">
        <v>102</v>
      </c>
      <c r="CK17" s="5" t="s">
        <v>102</v>
      </c>
      <c r="CL17" s="11">
        <v>229401.5</v>
      </c>
      <c r="CM17" s="11">
        <v>146815.43</v>
      </c>
    </row>
    <row r="18" spans="1:91" x14ac:dyDescent="0.35">
      <c r="A18" s="3" t="s">
        <v>30</v>
      </c>
      <c r="B18" s="10">
        <v>119880.69</v>
      </c>
      <c r="C18" s="10">
        <v>1255.6300000000001</v>
      </c>
      <c r="D18" s="10">
        <v>419.73</v>
      </c>
      <c r="E18" s="10">
        <v>70.92</v>
      </c>
      <c r="F18" s="10">
        <v>217.43</v>
      </c>
      <c r="G18" s="10">
        <v>3490.08</v>
      </c>
      <c r="H18" s="10">
        <v>337.1</v>
      </c>
      <c r="I18" s="10">
        <v>28550.38</v>
      </c>
      <c r="J18" s="10">
        <v>4234.75</v>
      </c>
      <c r="K18" s="10">
        <v>138.51</v>
      </c>
      <c r="L18" s="10">
        <v>124.08</v>
      </c>
      <c r="M18" s="70">
        <v>943.55</v>
      </c>
      <c r="N18" s="38">
        <v>0</v>
      </c>
      <c r="O18" s="15">
        <v>0</v>
      </c>
      <c r="P18" s="15">
        <v>0</v>
      </c>
      <c r="Q18" s="112">
        <v>0</v>
      </c>
      <c r="R18" s="15">
        <v>0</v>
      </c>
      <c r="S18" s="15">
        <v>0</v>
      </c>
      <c r="T18" s="15">
        <v>0</v>
      </c>
      <c r="U18" s="15">
        <v>0</v>
      </c>
      <c r="V18" s="10">
        <v>211.16</v>
      </c>
      <c r="W18" s="10">
        <v>1135.46</v>
      </c>
      <c r="X18" s="10">
        <v>1324.37</v>
      </c>
      <c r="Y18" s="10">
        <v>732.44</v>
      </c>
      <c r="Z18" s="10">
        <v>1812.44</v>
      </c>
      <c r="AA18" s="10">
        <v>300.24</v>
      </c>
      <c r="AB18" s="10">
        <v>533.79999999999995</v>
      </c>
      <c r="AC18" s="10">
        <v>1005.83</v>
      </c>
      <c r="AD18" s="10">
        <v>1015.9</v>
      </c>
      <c r="AE18" s="10">
        <v>906.58</v>
      </c>
      <c r="AF18" s="10">
        <v>13651.4</v>
      </c>
      <c r="AG18" s="10">
        <v>1287.46</v>
      </c>
      <c r="AH18" s="71">
        <v>2245.5100000000002</v>
      </c>
      <c r="AI18" s="104"/>
      <c r="AJ18" s="10">
        <v>35.5</v>
      </c>
      <c r="AK18" s="10">
        <v>411.34</v>
      </c>
      <c r="AL18" s="10">
        <v>36974.33</v>
      </c>
      <c r="AM18" s="10">
        <v>218.97</v>
      </c>
      <c r="AN18" s="10">
        <v>3132.26</v>
      </c>
      <c r="AO18" s="10">
        <v>1252.08</v>
      </c>
      <c r="AP18" s="10">
        <v>774.65</v>
      </c>
      <c r="AQ18" s="10">
        <v>21.82</v>
      </c>
      <c r="AR18" s="10">
        <v>12.66</v>
      </c>
      <c r="AS18" s="10">
        <v>637.66</v>
      </c>
      <c r="AT18" s="10">
        <v>35.25</v>
      </c>
      <c r="AU18" s="10">
        <v>604.11</v>
      </c>
      <c r="AV18" s="10">
        <v>86.01</v>
      </c>
      <c r="AW18" s="10">
        <v>413.02</v>
      </c>
      <c r="AX18" s="10">
        <v>161.69</v>
      </c>
      <c r="AY18" s="10">
        <v>323.19</v>
      </c>
      <c r="AZ18" s="10">
        <v>29.25</v>
      </c>
      <c r="BA18" s="10">
        <v>23.96</v>
      </c>
      <c r="BB18" s="10">
        <v>35.270000000000003</v>
      </c>
      <c r="BC18" s="10">
        <v>2160.9699999999998</v>
      </c>
      <c r="BD18" s="10">
        <v>502.08</v>
      </c>
      <c r="BE18" s="10">
        <v>411.76</v>
      </c>
      <c r="BF18" s="10">
        <v>409.58</v>
      </c>
      <c r="BG18" s="10">
        <v>174.62</v>
      </c>
      <c r="BH18" s="10">
        <v>241.47</v>
      </c>
      <c r="BI18" s="10">
        <v>489.83</v>
      </c>
      <c r="BJ18" s="10">
        <v>57.21</v>
      </c>
      <c r="BK18" s="10">
        <v>15.93</v>
      </c>
      <c r="BL18" s="10">
        <v>1585.87</v>
      </c>
      <c r="BM18" s="10">
        <v>255.89</v>
      </c>
      <c r="BN18" s="10">
        <v>274.62</v>
      </c>
      <c r="BO18" s="10">
        <v>149.15</v>
      </c>
      <c r="BP18" s="10">
        <v>149.01</v>
      </c>
      <c r="BQ18" s="10">
        <v>331.86</v>
      </c>
      <c r="BR18" s="10">
        <v>190.19</v>
      </c>
      <c r="BS18" s="10">
        <v>125.56</v>
      </c>
      <c r="BT18" s="10">
        <v>113.52</v>
      </c>
      <c r="BU18" s="10">
        <v>1110.67</v>
      </c>
      <c r="BV18" s="10">
        <v>3.17</v>
      </c>
      <c r="BW18" s="4">
        <v>0</v>
      </c>
      <c r="BX18" s="10">
        <v>9009.86</v>
      </c>
      <c r="BY18" s="10">
        <v>0.04</v>
      </c>
      <c r="BZ18" s="10">
        <v>9003.08</v>
      </c>
      <c r="CA18" s="10">
        <v>6.74</v>
      </c>
      <c r="CB18" s="10">
        <v>13301.14</v>
      </c>
      <c r="CC18" s="10">
        <v>3792.96</v>
      </c>
      <c r="CD18" s="10">
        <v>25213.06</v>
      </c>
      <c r="CE18" s="4" t="s">
        <v>102</v>
      </c>
      <c r="CF18" s="10">
        <v>25213.06</v>
      </c>
      <c r="CG18" s="4" t="s">
        <v>102</v>
      </c>
      <c r="CH18" s="4" t="s">
        <v>102</v>
      </c>
      <c r="CI18" s="10">
        <v>9508.18</v>
      </c>
      <c r="CJ18" s="4" t="s">
        <v>102</v>
      </c>
      <c r="CK18" s="4" t="s">
        <v>102</v>
      </c>
      <c r="CL18" s="10">
        <v>167404.75</v>
      </c>
      <c r="CM18" s="10">
        <v>47524.06</v>
      </c>
    </row>
    <row r="19" spans="1:91" x14ac:dyDescent="0.35">
      <c r="A19" s="25" t="s">
        <v>31</v>
      </c>
      <c r="B19" s="62">
        <v>145665.32999999999</v>
      </c>
      <c r="C19" s="62">
        <v>592.38</v>
      </c>
      <c r="D19" s="62">
        <v>134.38</v>
      </c>
      <c r="E19" s="62">
        <v>33.659999999999997</v>
      </c>
      <c r="F19" s="62">
        <v>142.05000000000001</v>
      </c>
      <c r="G19" s="62">
        <v>18247.96</v>
      </c>
      <c r="H19" s="62">
        <v>1158.57</v>
      </c>
      <c r="I19" s="62">
        <v>1614.09</v>
      </c>
      <c r="J19" s="62">
        <v>43049.71</v>
      </c>
      <c r="K19" s="62">
        <v>6757.19</v>
      </c>
      <c r="L19" s="62">
        <v>260.83</v>
      </c>
      <c r="M19" s="70">
        <v>4171.8686147886438</v>
      </c>
      <c r="N19" s="39">
        <v>0</v>
      </c>
      <c r="O19" s="39">
        <v>0.84549615046998894</v>
      </c>
      <c r="P19" s="62"/>
      <c r="Q19" s="111">
        <v>15.075889060886313</v>
      </c>
      <c r="R19" s="62"/>
      <c r="S19" s="62"/>
      <c r="T19" s="63"/>
      <c r="U19" s="75"/>
      <c r="V19" s="62">
        <v>1888.07</v>
      </c>
      <c r="W19" s="62">
        <v>2782.88</v>
      </c>
      <c r="X19" s="62">
        <v>1292.45</v>
      </c>
      <c r="Y19" s="62">
        <v>791.52</v>
      </c>
      <c r="Z19" s="62">
        <v>1432.34</v>
      </c>
      <c r="AA19" s="62">
        <v>804.69</v>
      </c>
      <c r="AB19" s="62">
        <v>1563.6</v>
      </c>
      <c r="AC19" s="62">
        <v>1457.4</v>
      </c>
      <c r="AD19" s="62">
        <v>812.24</v>
      </c>
      <c r="AE19" s="62">
        <v>218.47</v>
      </c>
      <c r="AF19" s="62">
        <v>2319.4699999999998</v>
      </c>
      <c r="AG19" s="62">
        <v>572.96</v>
      </c>
      <c r="AH19" s="71">
        <v>1349.5</v>
      </c>
      <c r="AI19" s="105">
        <v>0</v>
      </c>
      <c r="AJ19" s="62">
        <v>82.29</v>
      </c>
      <c r="AK19" s="62">
        <v>1531.17</v>
      </c>
      <c r="AL19" s="62">
        <v>1936.52</v>
      </c>
      <c r="AM19" s="62">
        <v>508.38</v>
      </c>
      <c r="AN19" s="62">
        <v>7514.41</v>
      </c>
      <c r="AO19" s="62">
        <v>3948.38</v>
      </c>
      <c r="AP19" s="62">
        <v>1089.49</v>
      </c>
      <c r="AQ19" s="62">
        <v>62.95</v>
      </c>
      <c r="AR19" s="62">
        <v>31.68</v>
      </c>
      <c r="AS19" s="62">
        <v>1197.4100000000001</v>
      </c>
      <c r="AT19" s="62">
        <v>233</v>
      </c>
      <c r="AU19" s="62">
        <v>2984.59</v>
      </c>
      <c r="AV19" s="62">
        <v>3264.91</v>
      </c>
      <c r="AW19" s="62">
        <v>598.30999999999995</v>
      </c>
      <c r="AX19" s="62">
        <v>210.3</v>
      </c>
      <c r="AY19" s="62">
        <v>1210.95</v>
      </c>
      <c r="AZ19" s="62">
        <v>929.93</v>
      </c>
      <c r="BA19" s="62">
        <v>420.68</v>
      </c>
      <c r="BB19" s="62">
        <v>920.72</v>
      </c>
      <c r="BC19" s="62">
        <v>1264.96</v>
      </c>
      <c r="BD19" s="62">
        <v>3322.16</v>
      </c>
      <c r="BE19" s="62">
        <v>1834.87</v>
      </c>
      <c r="BF19" s="62">
        <v>1125.0899999999999</v>
      </c>
      <c r="BG19" s="62">
        <v>1418.77</v>
      </c>
      <c r="BH19" s="62">
        <v>1393.68</v>
      </c>
      <c r="BI19" s="62">
        <v>1002.39</v>
      </c>
      <c r="BJ19" s="62">
        <v>162.99</v>
      </c>
      <c r="BK19" s="62">
        <v>386.05</v>
      </c>
      <c r="BL19" s="62">
        <v>4290.07</v>
      </c>
      <c r="BM19" s="62">
        <v>1756.83</v>
      </c>
      <c r="BN19" s="62">
        <v>1264.8399999999999</v>
      </c>
      <c r="BO19" s="62">
        <v>1326.17</v>
      </c>
      <c r="BP19" s="62">
        <v>896.78</v>
      </c>
      <c r="BQ19" s="62">
        <v>1111.54</v>
      </c>
      <c r="BR19" s="62">
        <v>381.73</v>
      </c>
      <c r="BS19" s="62">
        <v>264.14999999999998</v>
      </c>
      <c r="BT19" s="62">
        <v>89.09</v>
      </c>
      <c r="BU19" s="62">
        <v>230.84</v>
      </c>
      <c r="BV19" s="62">
        <v>2.08</v>
      </c>
      <c r="BW19" s="62">
        <v>0</v>
      </c>
      <c r="BX19" s="62">
        <v>31558.06</v>
      </c>
      <c r="BY19" s="62">
        <v>123.91</v>
      </c>
      <c r="BZ19" s="62">
        <v>31433.38</v>
      </c>
      <c r="CA19" s="62">
        <v>0.77</v>
      </c>
      <c r="CB19" s="62">
        <v>-3637.98</v>
      </c>
      <c r="CC19" s="62">
        <v>-3638.25</v>
      </c>
      <c r="CD19" s="62">
        <v>43155.74</v>
      </c>
      <c r="CE19" s="62" t="s">
        <v>102</v>
      </c>
      <c r="CF19" s="62">
        <v>43155.74</v>
      </c>
      <c r="CG19" s="62" t="s">
        <v>102</v>
      </c>
      <c r="CH19" s="62" t="s">
        <v>102</v>
      </c>
      <c r="CI19" s="62">
        <v>0.27</v>
      </c>
      <c r="CJ19" s="62" t="s">
        <v>102</v>
      </c>
      <c r="CK19" s="62" t="s">
        <v>102</v>
      </c>
      <c r="CL19" s="62">
        <v>216741.15</v>
      </c>
      <c r="CM19" s="62">
        <v>71075.820000000007</v>
      </c>
    </row>
    <row r="20" spans="1:91" x14ac:dyDescent="0.35">
      <c r="A20" s="3" t="s">
        <v>32</v>
      </c>
      <c r="B20" s="10">
        <v>56623.56</v>
      </c>
      <c r="C20" s="10">
        <v>92.54</v>
      </c>
      <c r="D20" s="10">
        <v>13.28</v>
      </c>
      <c r="E20" s="10">
        <v>8.4</v>
      </c>
      <c r="F20" s="10">
        <v>28.45</v>
      </c>
      <c r="G20" s="10">
        <v>1022.15</v>
      </c>
      <c r="H20" s="10">
        <v>248.88</v>
      </c>
      <c r="I20" s="10">
        <v>355.17</v>
      </c>
      <c r="J20" s="10">
        <v>1663.26</v>
      </c>
      <c r="K20" s="10">
        <v>3695.85</v>
      </c>
      <c r="L20" s="10">
        <v>100.12</v>
      </c>
      <c r="M20" s="70">
        <v>480.07</v>
      </c>
      <c r="N20" s="15">
        <v>0</v>
      </c>
      <c r="O20" s="15">
        <v>0</v>
      </c>
      <c r="P20" s="15">
        <v>0</v>
      </c>
      <c r="Q20" s="112">
        <v>0</v>
      </c>
      <c r="R20" s="15">
        <v>0</v>
      </c>
      <c r="S20" s="15">
        <v>0</v>
      </c>
      <c r="T20" s="15">
        <v>0</v>
      </c>
      <c r="U20" s="15">
        <v>0</v>
      </c>
      <c r="V20" s="10">
        <v>377.56</v>
      </c>
      <c r="W20" s="10">
        <v>409.33</v>
      </c>
      <c r="X20" s="10">
        <v>142.99</v>
      </c>
      <c r="Y20" s="10">
        <v>209.56</v>
      </c>
      <c r="Z20" s="10">
        <v>396.8</v>
      </c>
      <c r="AA20" s="10">
        <v>200.85</v>
      </c>
      <c r="AB20" s="10">
        <v>244.64</v>
      </c>
      <c r="AC20" s="10">
        <v>491.65</v>
      </c>
      <c r="AD20" s="10">
        <v>597.25</v>
      </c>
      <c r="AE20" s="10">
        <v>90.44</v>
      </c>
      <c r="AF20" s="10">
        <v>472.52</v>
      </c>
      <c r="AG20" s="10">
        <v>169.67</v>
      </c>
      <c r="AH20" s="71">
        <v>413.82</v>
      </c>
      <c r="AI20" s="104"/>
      <c r="AJ20" s="10">
        <v>44.94</v>
      </c>
      <c r="AK20" s="10">
        <v>304.8</v>
      </c>
      <c r="AL20" s="10">
        <v>723.94</v>
      </c>
      <c r="AM20" s="10">
        <v>687.63</v>
      </c>
      <c r="AN20" s="10">
        <v>2706.87</v>
      </c>
      <c r="AO20" s="10">
        <v>3446.42</v>
      </c>
      <c r="AP20" s="10">
        <v>727.96</v>
      </c>
      <c r="AQ20" s="10">
        <v>32.56</v>
      </c>
      <c r="AR20" s="10">
        <v>53.48</v>
      </c>
      <c r="AS20" s="10">
        <v>525.28</v>
      </c>
      <c r="AT20" s="10">
        <v>497.15</v>
      </c>
      <c r="AU20" s="10">
        <v>1007.62</v>
      </c>
      <c r="AV20" s="10">
        <v>6115.91</v>
      </c>
      <c r="AW20" s="10">
        <v>1490.44</v>
      </c>
      <c r="AX20" s="10">
        <v>843.65</v>
      </c>
      <c r="AY20" s="10">
        <v>1570.66</v>
      </c>
      <c r="AZ20" s="10">
        <v>1386.04</v>
      </c>
      <c r="BA20" s="10">
        <v>874.22</v>
      </c>
      <c r="BB20" s="10">
        <v>1390.79</v>
      </c>
      <c r="BC20" s="10">
        <v>792.93</v>
      </c>
      <c r="BD20" s="10">
        <v>2234.73</v>
      </c>
      <c r="BE20" s="10">
        <v>1279.93</v>
      </c>
      <c r="BF20" s="10">
        <v>773.67</v>
      </c>
      <c r="BG20" s="10">
        <v>1605.82</v>
      </c>
      <c r="BH20" s="10">
        <v>1106.27</v>
      </c>
      <c r="BI20" s="10">
        <v>642.54</v>
      </c>
      <c r="BJ20" s="10">
        <v>232.84</v>
      </c>
      <c r="BK20" s="10">
        <v>606.02</v>
      </c>
      <c r="BL20" s="10">
        <v>2920.67</v>
      </c>
      <c r="BM20" s="10">
        <v>1860.05</v>
      </c>
      <c r="BN20" s="10">
        <v>1511.52</v>
      </c>
      <c r="BO20" s="10">
        <v>548.78</v>
      </c>
      <c r="BP20" s="10">
        <v>890.37</v>
      </c>
      <c r="BQ20" s="10">
        <v>1448.78</v>
      </c>
      <c r="BR20" s="10">
        <v>753.29</v>
      </c>
      <c r="BS20" s="10">
        <v>764.8</v>
      </c>
      <c r="BT20" s="10">
        <v>70.84</v>
      </c>
      <c r="BU20" s="10">
        <v>223.34</v>
      </c>
      <c r="BV20" s="10">
        <v>0.8</v>
      </c>
      <c r="BW20" s="4">
        <v>0</v>
      </c>
      <c r="BX20" s="10">
        <v>5009.88</v>
      </c>
      <c r="BY20" s="10">
        <v>7.55</v>
      </c>
      <c r="BZ20" s="10">
        <v>4992.26</v>
      </c>
      <c r="CA20" s="10">
        <v>10.08</v>
      </c>
      <c r="CB20" s="10">
        <v>-3399.78</v>
      </c>
      <c r="CC20" s="10">
        <v>-3409.83</v>
      </c>
      <c r="CD20" s="10">
        <v>2760.18</v>
      </c>
      <c r="CE20" s="4" t="s">
        <v>102</v>
      </c>
      <c r="CF20" s="10">
        <v>2760.18</v>
      </c>
      <c r="CG20" s="4" t="s">
        <v>102</v>
      </c>
      <c r="CH20" s="4" t="s">
        <v>102</v>
      </c>
      <c r="CI20" s="10">
        <v>10.050000000000001</v>
      </c>
      <c r="CJ20" s="4" t="s">
        <v>102</v>
      </c>
      <c r="CK20" s="4" t="s">
        <v>102</v>
      </c>
      <c r="CL20" s="10">
        <v>60993.85</v>
      </c>
      <c r="CM20" s="10">
        <v>4370.29</v>
      </c>
    </row>
    <row r="21" spans="1:91" x14ac:dyDescent="0.35">
      <c r="A21" s="3" t="s">
        <v>33</v>
      </c>
      <c r="B21" s="11">
        <v>277346.2</v>
      </c>
      <c r="C21" s="11">
        <v>10946.23</v>
      </c>
      <c r="D21" s="11">
        <v>1126.97</v>
      </c>
      <c r="E21" s="11">
        <v>613.47</v>
      </c>
      <c r="F21" s="11">
        <v>1826.07</v>
      </c>
      <c r="G21" s="11">
        <v>4049.36</v>
      </c>
      <c r="H21" s="11">
        <v>614.54</v>
      </c>
      <c r="I21" s="11">
        <v>627.79</v>
      </c>
      <c r="J21" s="11">
        <v>685.44</v>
      </c>
      <c r="K21" s="11">
        <v>165.47</v>
      </c>
      <c r="L21" s="11">
        <v>37264.43</v>
      </c>
      <c r="M21" s="70">
        <v>28252.799999999999</v>
      </c>
      <c r="N21" s="15">
        <v>0</v>
      </c>
      <c r="O21" s="15">
        <v>0</v>
      </c>
      <c r="P21" s="15">
        <v>0</v>
      </c>
      <c r="Q21" s="112">
        <v>0</v>
      </c>
      <c r="R21" s="15">
        <v>0</v>
      </c>
      <c r="S21" s="15">
        <v>0</v>
      </c>
      <c r="T21" s="15">
        <v>0</v>
      </c>
      <c r="U21" s="15">
        <v>0</v>
      </c>
      <c r="V21" s="11">
        <v>786.52</v>
      </c>
      <c r="W21" s="11">
        <v>1103.31</v>
      </c>
      <c r="X21" s="11">
        <v>4453.88</v>
      </c>
      <c r="Y21" s="11">
        <v>5776.15</v>
      </c>
      <c r="Z21" s="11">
        <v>1686.89</v>
      </c>
      <c r="AA21" s="11">
        <v>253.1</v>
      </c>
      <c r="AB21" s="11">
        <v>752.7</v>
      </c>
      <c r="AC21" s="11">
        <v>1273.24</v>
      </c>
      <c r="AD21" s="11">
        <v>2099.5</v>
      </c>
      <c r="AE21" s="11">
        <v>355.01</v>
      </c>
      <c r="AF21" s="11">
        <v>814.01</v>
      </c>
      <c r="AG21" s="11">
        <v>1568.22</v>
      </c>
      <c r="AH21" s="71">
        <v>9866.82</v>
      </c>
      <c r="AI21" s="104"/>
      <c r="AJ21" s="11">
        <v>313.02</v>
      </c>
      <c r="AK21" s="11">
        <v>2919.13</v>
      </c>
      <c r="AL21" s="11">
        <v>21543.69</v>
      </c>
      <c r="AM21" s="11">
        <v>2542.52</v>
      </c>
      <c r="AN21" s="11">
        <v>10133.959999999999</v>
      </c>
      <c r="AO21" s="11">
        <v>3252.39</v>
      </c>
      <c r="AP21" s="11">
        <v>40245.230000000003</v>
      </c>
      <c r="AQ21" s="11">
        <v>15837.62</v>
      </c>
      <c r="AR21" s="11">
        <v>16953.23</v>
      </c>
      <c r="AS21" s="11">
        <v>9157.9</v>
      </c>
      <c r="AT21" s="11">
        <v>1815.97</v>
      </c>
      <c r="AU21" s="11">
        <v>2488.2800000000002</v>
      </c>
      <c r="AV21" s="11">
        <v>164.71</v>
      </c>
      <c r="AW21" s="11">
        <v>507.84</v>
      </c>
      <c r="AX21" s="11">
        <v>409.39</v>
      </c>
      <c r="AY21" s="11">
        <v>1220.6400000000001</v>
      </c>
      <c r="AZ21" s="11">
        <v>449.12</v>
      </c>
      <c r="BA21" s="11">
        <v>670.86</v>
      </c>
      <c r="BB21" s="11">
        <v>1633.02</v>
      </c>
      <c r="BC21" s="11">
        <v>1679.8</v>
      </c>
      <c r="BD21" s="11">
        <v>2347.9899999999998</v>
      </c>
      <c r="BE21" s="11">
        <v>1434.76</v>
      </c>
      <c r="BF21" s="11">
        <v>1268.76</v>
      </c>
      <c r="BG21" s="11">
        <v>480.4</v>
      </c>
      <c r="BH21" s="11">
        <v>636.02</v>
      </c>
      <c r="BI21" s="11">
        <v>4106.18</v>
      </c>
      <c r="BJ21" s="11">
        <v>331.01</v>
      </c>
      <c r="BK21" s="11">
        <v>337.75</v>
      </c>
      <c r="BL21" s="11">
        <v>3265.55</v>
      </c>
      <c r="BM21" s="11">
        <v>4839.93</v>
      </c>
      <c r="BN21" s="11">
        <v>1458.41</v>
      </c>
      <c r="BO21" s="11">
        <v>1722.16</v>
      </c>
      <c r="BP21" s="11">
        <v>1165.32</v>
      </c>
      <c r="BQ21" s="11">
        <v>653.73</v>
      </c>
      <c r="BR21" s="11">
        <v>688.26</v>
      </c>
      <c r="BS21" s="11">
        <v>578.98</v>
      </c>
      <c r="BT21" s="11">
        <v>146.93</v>
      </c>
      <c r="BU21" s="11">
        <v>975.42</v>
      </c>
      <c r="BV21" s="11">
        <v>8.43</v>
      </c>
      <c r="BW21" s="5">
        <v>0</v>
      </c>
      <c r="BX21" s="11">
        <v>147381.46</v>
      </c>
      <c r="BY21" s="11">
        <v>522.27</v>
      </c>
      <c r="BZ21" s="11">
        <v>146851.4</v>
      </c>
      <c r="CA21" s="11">
        <v>7.79</v>
      </c>
      <c r="CB21" s="11">
        <v>-9006.61</v>
      </c>
      <c r="CC21" s="11">
        <v>-9006.61</v>
      </c>
      <c r="CD21" s="11">
        <v>101636.74</v>
      </c>
      <c r="CE21" s="5" t="s">
        <v>102</v>
      </c>
      <c r="CF21" s="11">
        <v>101636.74</v>
      </c>
      <c r="CG21" s="5" t="s">
        <v>102</v>
      </c>
      <c r="CH21" s="5" t="s">
        <v>102</v>
      </c>
      <c r="CI21" s="5">
        <v>0</v>
      </c>
      <c r="CJ21" s="5" t="s">
        <v>102</v>
      </c>
      <c r="CK21" s="5" t="s">
        <v>102</v>
      </c>
      <c r="CL21" s="11">
        <v>517357.78</v>
      </c>
      <c r="CM21" s="11">
        <v>240011.58</v>
      </c>
    </row>
    <row r="22" spans="1:91" x14ac:dyDescent="0.35">
      <c r="A22" s="46" t="s">
        <v>131</v>
      </c>
      <c r="B22" s="80">
        <v>371756.19</v>
      </c>
      <c r="C22" s="80">
        <v>371756.19</v>
      </c>
      <c r="D22" s="64">
        <v>300.58999999999997</v>
      </c>
      <c r="E22" s="64">
        <v>160.6</v>
      </c>
      <c r="F22" s="64">
        <v>1248.19</v>
      </c>
      <c r="G22" s="64">
        <v>11118.01</v>
      </c>
      <c r="H22" s="64">
        <v>7682.61</v>
      </c>
      <c r="I22" s="64">
        <v>4525.74</v>
      </c>
      <c r="J22" s="64">
        <v>7371.85</v>
      </c>
      <c r="K22" s="64">
        <v>1679.2</v>
      </c>
      <c r="L22" s="85">
        <v>14715.45</v>
      </c>
      <c r="M22" s="70">
        <v>105228.25039832777</v>
      </c>
      <c r="N22" s="80">
        <v>681.25066080000011</v>
      </c>
      <c r="O22" s="80">
        <v>102.50479087223586</v>
      </c>
      <c r="P22" s="80">
        <v>132.82478999999998</v>
      </c>
      <c r="Q22" s="113">
        <v>54.919359999999998</v>
      </c>
      <c r="R22" s="64">
        <v>0</v>
      </c>
      <c r="S22" s="64">
        <v>0</v>
      </c>
      <c r="T22" s="64">
        <v>0</v>
      </c>
      <c r="U22" s="64">
        <v>0</v>
      </c>
      <c r="V22" s="64">
        <v>12939.59</v>
      </c>
      <c r="W22" s="64">
        <v>41259.21</v>
      </c>
      <c r="X22" s="64">
        <v>6552.55</v>
      </c>
      <c r="Y22" s="64">
        <v>6858.1</v>
      </c>
      <c r="Z22" s="64">
        <v>6834.17</v>
      </c>
      <c r="AA22" s="64">
        <v>2841.04</v>
      </c>
      <c r="AB22" s="64">
        <v>5087.42</v>
      </c>
      <c r="AC22" s="64">
        <v>4268.8</v>
      </c>
      <c r="AD22" s="64">
        <v>7947.53</v>
      </c>
      <c r="AE22" s="64">
        <v>2415.7199999999998</v>
      </c>
      <c r="AF22" s="64">
        <v>5960.3</v>
      </c>
      <c r="AG22" s="64">
        <v>2166.19</v>
      </c>
      <c r="AH22" s="71">
        <v>10254.386344838174</v>
      </c>
      <c r="AI22" s="106">
        <v>24.033655161825202</v>
      </c>
      <c r="AJ22" s="64">
        <v>463.78</v>
      </c>
      <c r="AK22" s="64">
        <v>2226.75</v>
      </c>
      <c r="AL22" s="64">
        <v>16752.21</v>
      </c>
      <c r="AM22" s="64">
        <v>1997.4</v>
      </c>
      <c r="AN22" s="64">
        <v>10892.85</v>
      </c>
      <c r="AO22" s="64">
        <v>2720.6</v>
      </c>
      <c r="AP22" s="64">
        <v>1872.63</v>
      </c>
      <c r="AQ22" s="64">
        <v>105.55</v>
      </c>
      <c r="AR22" s="64">
        <v>89.25</v>
      </c>
      <c r="AS22" s="64">
        <v>820.8</v>
      </c>
      <c r="AT22" s="64">
        <v>55.08</v>
      </c>
      <c r="AU22" s="64">
        <v>2183.98</v>
      </c>
      <c r="AV22" s="64">
        <v>1398.78</v>
      </c>
      <c r="AW22" s="64">
        <v>302.06</v>
      </c>
      <c r="AX22" s="64">
        <v>105.74</v>
      </c>
      <c r="AY22" s="64">
        <v>1608.55</v>
      </c>
      <c r="AZ22" s="64">
        <v>89.59</v>
      </c>
      <c r="BA22" s="64">
        <v>68.430000000000007</v>
      </c>
      <c r="BB22" s="64">
        <v>55.11</v>
      </c>
      <c r="BC22" s="64">
        <v>3304.55</v>
      </c>
      <c r="BD22" s="64">
        <v>1900.37</v>
      </c>
      <c r="BE22" s="64">
        <v>1918.16</v>
      </c>
      <c r="BF22" s="64">
        <v>5276.42</v>
      </c>
      <c r="BG22" s="64">
        <v>304.58</v>
      </c>
      <c r="BH22" s="64">
        <v>961.91</v>
      </c>
      <c r="BI22" s="64">
        <v>2667.04</v>
      </c>
      <c r="BJ22" s="64">
        <v>215.81</v>
      </c>
      <c r="BK22" s="64">
        <v>64.209999999999994</v>
      </c>
      <c r="BL22" s="64">
        <v>6626.34</v>
      </c>
      <c r="BM22" s="64">
        <v>1413.84</v>
      </c>
      <c r="BN22" s="64">
        <v>794.96</v>
      </c>
      <c r="BO22" s="64">
        <v>8885.6</v>
      </c>
      <c r="BP22" s="64">
        <v>1107.6600000000001</v>
      </c>
      <c r="BQ22" s="64">
        <v>471.25</v>
      </c>
      <c r="BR22" s="64">
        <v>316.52999999999997</v>
      </c>
      <c r="BS22" s="64">
        <v>276.25</v>
      </c>
      <c r="BT22" s="64">
        <v>107.89</v>
      </c>
      <c r="BU22" s="64">
        <v>2507.08</v>
      </c>
      <c r="BV22" s="64">
        <v>5.62</v>
      </c>
      <c r="BW22" s="64">
        <v>0</v>
      </c>
      <c r="BX22" s="64">
        <v>30740.902258217404</v>
      </c>
      <c r="BY22" s="64">
        <v>624.47</v>
      </c>
      <c r="BZ22" s="64">
        <v>53395.97</v>
      </c>
      <c r="CA22" s="64">
        <v>0.6</v>
      </c>
      <c r="CB22" s="64">
        <v>-359.33</v>
      </c>
      <c r="CC22" s="64">
        <v>-414.64</v>
      </c>
      <c r="CD22" s="64">
        <v>196457.18</v>
      </c>
      <c r="CE22" s="41" t="s">
        <v>102</v>
      </c>
      <c r="CF22" s="80">
        <v>194307.77166999999</v>
      </c>
      <c r="CG22" s="41" t="s">
        <v>102</v>
      </c>
      <c r="CH22" s="41" t="s">
        <v>102</v>
      </c>
      <c r="CI22" s="64">
        <v>55.32</v>
      </c>
      <c r="CJ22" s="41" t="s">
        <v>102</v>
      </c>
      <c r="CK22" s="41" t="s">
        <v>102</v>
      </c>
      <c r="CL22" s="64">
        <v>621875.07999999996</v>
      </c>
      <c r="CM22" s="64">
        <v>250118.9</v>
      </c>
    </row>
    <row r="23" spans="1:91" x14ac:dyDescent="0.35">
      <c r="A23" s="46" t="s">
        <v>130</v>
      </c>
      <c r="B23" s="53">
        <v>371756.19</v>
      </c>
      <c r="C23" s="53">
        <v>371756.19</v>
      </c>
      <c r="D23" s="40">
        <v>300.58999999999997</v>
      </c>
      <c r="E23" s="40">
        <v>160.6</v>
      </c>
      <c r="F23" s="40">
        <v>1248.19</v>
      </c>
      <c r="G23" s="40">
        <v>11118.01</v>
      </c>
      <c r="H23" s="40">
        <v>7682.61</v>
      </c>
      <c r="I23" s="40">
        <v>4525.74</v>
      </c>
      <c r="J23" s="40">
        <v>7371.85</v>
      </c>
      <c r="K23" s="40">
        <v>1679.2</v>
      </c>
      <c r="L23" s="40">
        <v>14715.45</v>
      </c>
      <c r="M23" s="70">
        <v>105228.25039832777</v>
      </c>
      <c r="N23" s="41">
        <v>681.25066080000011</v>
      </c>
      <c r="O23" s="43">
        <v>102.50479087223586</v>
      </c>
      <c r="P23" s="41">
        <v>132.82478999999998</v>
      </c>
      <c r="Q23" s="114">
        <v>54.919359999999998</v>
      </c>
      <c r="R23" s="41"/>
      <c r="S23" s="41"/>
      <c r="T23" s="41"/>
      <c r="U23" s="74"/>
      <c r="V23" s="40">
        <v>12939.59</v>
      </c>
      <c r="W23" s="40">
        <v>41259.21</v>
      </c>
      <c r="X23" s="40">
        <v>6552.55</v>
      </c>
      <c r="Y23" s="40">
        <v>6858.1</v>
      </c>
      <c r="Z23" s="40">
        <v>6834.17</v>
      </c>
      <c r="AA23" s="40">
        <v>2841.04</v>
      </c>
      <c r="AB23" s="40">
        <v>5087.42</v>
      </c>
      <c r="AC23" s="40">
        <v>4268.8</v>
      </c>
      <c r="AD23" s="40">
        <v>7947.53</v>
      </c>
      <c r="AE23" s="40">
        <v>2415.7199999999998</v>
      </c>
      <c r="AF23" s="40">
        <v>5960.3</v>
      </c>
      <c r="AG23" s="40">
        <v>2166.19</v>
      </c>
      <c r="AH23" s="71">
        <v>10254.386344838174</v>
      </c>
      <c r="AI23" s="107">
        <v>24.033655161825202</v>
      </c>
      <c r="AJ23" s="40">
        <v>463.78</v>
      </c>
      <c r="AK23" s="40">
        <v>2226.75</v>
      </c>
      <c r="AL23" s="40">
        <v>16752.21</v>
      </c>
      <c r="AM23" s="40">
        <v>1997.4</v>
      </c>
      <c r="AN23" s="40">
        <v>10892.85</v>
      </c>
      <c r="AO23" s="40">
        <v>2720.6</v>
      </c>
      <c r="AP23" s="40">
        <v>1872.63</v>
      </c>
      <c r="AQ23" s="40">
        <v>105.55</v>
      </c>
      <c r="AR23" s="40">
        <v>89.25</v>
      </c>
      <c r="AS23" s="40">
        <v>820.8</v>
      </c>
      <c r="AT23" s="40">
        <v>55.08</v>
      </c>
      <c r="AU23" s="40">
        <v>2183.98</v>
      </c>
      <c r="AV23" s="40">
        <v>1398.78</v>
      </c>
      <c r="AW23" s="40">
        <v>302.06</v>
      </c>
      <c r="AX23" s="40">
        <v>105.74</v>
      </c>
      <c r="AY23" s="40">
        <v>1608.55</v>
      </c>
      <c r="AZ23" s="40">
        <v>89.59</v>
      </c>
      <c r="BA23" s="40">
        <v>68.430000000000007</v>
      </c>
      <c r="BB23" s="40">
        <v>55.11</v>
      </c>
      <c r="BC23" s="40">
        <v>3304.55</v>
      </c>
      <c r="BD23" s="40">
        <v>1900.37</v>
      </c>
      <c r="BE23" s="40">
        <v>1918.16</v>
      </c>
      <c r="BF23" s="40">
        <v>5276.42</v>
      </c>
      <c r="BG23" s="40">
        <v>304.58</v>
      </c>
      <c r="BH23" s="40">
        <v>961.91</v>
      </c>
      <c r="BI23" s="40">
        <v>2667.04</v>
      </c>
      <c r="BJ23" s="40">
        <v>215.81</v>
      </c>
      <c r="BK23" s="40">
        <v>64.209999999999994</v>
      </c>
      <c r="BL23" s="40">
        <v>6626.34</v>
      </c>
      <c r="BM23" s="40">
        <v>1413.84</v>
      </c>
      <c r="BN23" s="40">
        <v>794.96</v>
      </c>
      <c r="BO23" s="40">
        <v>8885.6</v>
      </c>
      <c r="BP23" s="40">
        <v>1107.6600000000001</v>
      </c>
      <c r="BQ23" s="40">
        <v>471.25</v>
      </c>
      <c r="BR23" s="40">
        <v>316.52999999999997</v>
      </c>
      <c r="BS23" s="40">
        <v>276.25</v>
      </c>
      <c r="BT23" s="40">
        <v>107.89</v>
      </c>
      <c r="BU23" s="40">
        <v>2507.08</v>
      </c>
      <c r="BV23" s="40">
        <v>5.62</v>
      </c>
      <c r="BW23" s="41">
        <v>0</v>
      </c>
      <c r="BX23" s="40">
        <v>54021.05</v>
      </c>
      <c r="BY23" s="40">
        <v>624.47</v>
      </c>
      <c r="BZ23" s="40">
        <v>53395.97</v>
      </c>
      <c r="CA23" s="40">
        <v>0.6</v>
      </c>
      <c r="CB23" s="40">
        <v>-359.33</v>
      </c>
      <c r="CC23" s="40">
        <v>-414.64</v>
      </c>
      <c r="CD23" s="40">
        <v>196457.18</v>
      </c>
      <c r="CE23" s="41" t="s">
        <v>102</v>
      </c>
      <c r="CF23" s="40">
        <v>196457.18</v>
      </c>
      <c r="CG23" s="41" t="s">
        <v>102</v>
      </c>
      <c r="CH23" s="41" t="s">
        <v>102</v>
      </c>
      <c r="CI23" s="40">
        <v>55.32</v>
      </c>
      <c r="CJ23" s="41" t="s">
        <v>102</v>
      </c>
      <c r="CK23" s="41" t="s">
        <v>102</v>
      </c>
      <c r="CL23" s="40">
        <v>621875.07999999996</v>
      </c>
      <c r="CM23" s="40">
        <v>250118.9</v>
      </c>
    </row>
    <row r="24" spans="1:91" x14ac:dyDescent="0.35">
      <c r="A24" s="13" t="s">
        <v>122</v>
      </c>
      <c r="B24" s="32">
        <v>0</v>
      </c>
      <c r="C24" s="32">
        <v>0</v>
      </c>
      <c r="D24" s="32">
        <v>0</v>
      </c>
      <c r="E24" s="32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18">
        <v>0</v>
      </c>
      <c r="M24" s="70">
        <v>0</v>
      </c>
      <c r="N24" s="15">
        <v>0</v>
      </c>
      <c r="O24" s="15">
        <v>0</v>
      </c>
      <c r="P24" s="15">
        <v>0</v>
      </c>
      <c r="Q24" s="112">
        <v>0</v>
      </c>
      <c r="R24" s="15">
        <v>0</v>
      </c>
      <c r="S24" s="15">
        <v>0</v>
      </c>
      <c r="T24" s="15">
        <v>0</v>
      </c>
      <c r="U24" s="15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71">
        <v>0</v>
      </c>
      <c r="AI24" s="10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32">
        <v>15963.965208083679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32">
        <v>2098.3071759999998</v>
      </c>
      <c r="CG24" s="14" t="s">
        <v>102</v>
      </c>
      <c r="CH24" s="14" t="s">
        <v>102</v>
      </c>
      <c r="CI24" s="14">
        <v>0</v>
      </c>
      <c r="CJ24" s="14" t="s">
        <v>102</v>
      </c>
      <c r="CK24" s="14" t="s">
        <v>102</v>
      </c>
      <c r="CL24" s="14">
        <v>0</v>
      </c>
      <c r="CM24" s="14">
        <v>0</v>
      </c>
    </row>
    <row r="25" spans="1:91" x14ac:dyDescent="0.35">
      <c r="A25" s="13" t="s">
        <v>123</v>
      </c>
      <c r="B25" s="32">
        <v>0</v>
      </c>
      <c r="C25" s="98">
        <v>0</v>
      </c>
      <c r="D25" s="32">
        <v>0</v>
      </c>
      <c r="E25" s="32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18">
        <v>0</v>
      </c>
      <c r="M25" s="70">
        <v>0</v>
      </c>
      <c r="N25" s="15">
        <v>0</v>
      </c>
      <c r="O25" s="15">
        <v>0</v>
      </c>
      <c r="P25" s="15">
        <v>0</v>
      </c>
      <c r="Q25" s="112">
        <v>0</v>
      </c>
      <c r="R25" s="15">
        <v>0</v>
      </c>
      <c r="S25" s="15">
        <v>0</v>
      </c>
      <c r="T25" s="15">
        <v>0</v>
      </c>
      <c r="U25" s="15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71">
        <v>0</v>
      </c>
      <c r="AI25" s="107"/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32">
        <v>2092.6449164619166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22">
        <v>0</v>
      </c>
      <c r="CG25" s="14" t="s">
        <v>102</v>
      </c>
      <c r="CH25" s="14" t="s">
        <v>102</v>
      </c>
      <c r="CI25" s="14">
        <v>0</v>
      </c>
      <c r="CJ25" s="14" t="s">
        <v>102</v>
      </c>
      <c r="CK25" s="14" t="s">
        <v>102</v>
      </c>
      <c r="CL25" s="14">
        <v>0</v>
      </c>
      <c r="CM25" s="14">
        <v>0</v>
      </c>
    </row>
    <row r="26" spans="1:91" x14ac:dyDescent="0.35">
      <c r="A26" s="16" t="s">
        <v>124</v>
      </c>
      <c r="B26" s="33">
        <v>0</v>
      </c>
      <c r="C26" s="99">
        <v>0</v>
      </c>
      <c r="D26" s="33">
        <v>0</v>
      </c>
      <c r="E26" s="33">
        <v>0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18">
        <v>0</v>
      </c>
      <c r="M26" s="70">
        <v>0</v>
      </c>
      <c r="N26" s="15">
        <v>0</v>
      </c>
      <c r="O26" s="15">
        <v>0</v>
      </c>
      <c r="P26" s="15">
        <v>0</v>
      </c>
      <c r="Q26" s="112">
        <v>0</v>
      </c>
      <c r="R26" s="15">
        <v>0</v>
      </c>
      <c r="S26" s="15">
        <v>0</v>
      </c>
      <c r="T26" s="15">
        <v>0</v>
      </c>
      <c r="U26" s="15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71">
        <v>0</v>
      </c>
      <c r="AI26" s="10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32">
        <v>4992.9509505703409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31">
        <v>51.101154000000001</v>
      </c>
      <c r="CG26" s="14" t="s">
        <v>102</v>
      </c>
      <c r="CH26" s="14" t="s">
        <v>102</v>
      </c>
      <c r="CI26" s="14">
        <v>0</v>
      </c>
      <c r="CJ26" s="14" t="s">
        <v>102</v>
      </c>
      <c r="CK26" s="14" t="s">
        <v>102</v>
      </c>
      <c r="CL26" s="14">
        <v>0</v>
      </c>
      <c r="CM26" s="14">
        <v>0</v>
      </c>
    </row>
    <row r="27" spans="1:91" x14ac:dyDescent="0.35">
      <c r="A27" s="16" t="s">
        <v>125</v>
      </c>
      <c r="B27" s="33">
        <v>0</v>
      </c>
      <c r="C27" s="99">
        <v>0</v>
      </c>
      <c r="D27" s="33">
        <v>0</v>
      </c>
      <c r="E27" s="33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18">
        <v>0</v>
      </c>
      <c r="M27" s="70">
        <v>0</v>
      </c>
      <c r="N27" s="15">
        <v>0</v>
      </c>
      <c r="O27" s="15">
        <v>0</v>
      </c>
      <c r="P27" s="15">
        <v>0</v>
      </c>
      <c r="Q27" s="112">
        <v>0</v>
      </c>
      <c r="R27" s="15">
        <v>0</v>
      </c>
      <c r="S27" s="15">
        <v>0</v>
      </c>
      <c r="T27" s="15">
        <v>0</v>
      </c>
      <c r="U27" s="15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71">
        <v>0</v>
      </c>
      <c r="AI27" s="10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32">
        <v>230.58666666666667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 t="s">
        <v>102</v>
      </c>
      <c r="CH27" s="14" t="s">
        <v>102</v>
      </c>
      <c r="CI27" s="14">
        <v>0</v>
      </c>
      <c r="CJ27" s="14" t="s">
        <v>102</v>
      </c>
      <c r="CK27" s="14" t="s">
        <v>102</v>
      </c>
      <c r="CL27" s="14">
        <v>0</v>
      </c>
      <c r="CM27" s="14">
        <v>0</v>
      </c>
    </row>
    <row r="28" spans="1:91" x14ac:dyDescent="0.35">
      <c r="A28" s="19" t="s">
        <v>126</v>
      </c>
      <c r="B28" s="101">
        <v>0</v>
      </c>
      <c r="C28" s="100">
        <v>0</v>
      </c>
      <c r="D28" s="101">
        <v>0</v>
      </c>
      <c r="E28" s="101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18">
        <v>0</v>
      </c>
      <c r="M28" s="70">
        <v>0</v>
      </c>
      <c r="N28" s="15">
        <v>0</v>
      </c>
      <c r="O28" s="15">
        <v>0</v>
      </c>
      <c r="P28" s="15">
        <v>0</v>
      </c>
      <c r="Q28" s="112">
        <v>0</v>
      </c>
      <c r="R28" s="15">
        <v>0</v>
      </c>
      <c r="S28" s="15">
        <v>0</v>
      </c>
      <c r="T28" s="15">
        <v>0</v>
      </c>
      <c r="U28" s="15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71">
        <v>0</v>
      </c>
      <c r="AI28" s="10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 t="s">
        <v>102</v>
      </c>
      <c r="CH28" s="14" t="s">
        <v>102</v>
      </c>
      <c r="CI28" s="14">
        <v>0</v>
      </c>
      <c r="CJ28" s="14" t="s">
        <v>102</v>
      </c>
      <c r="CK28" s="14" t="s">
        <v>102</v>
      </c>
      <c r="CL28" s="14">
        <v>0</v>
      </c>
      <c r="CM28" s="14">
        <v>0</v>
      </c>
    </row>
    <row r="29" spans="1:91" x14ac:dyDescent="0.35">
      <c r="A29" s="19" t="s">
        <v>127</v>
      </c>
      <c r="B29" s="101">
        <v>0</v>
      </c>
      <c r="C29" s="100">
        <v>0</v>
      </c>
      <c r="D29" s="101">
        <v>0</v>
      </c>
      <c r="E29" s="101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18">
        <v>0</v>
      </c>
      <c r="M29" s="70">
        <v>0</v>
      </c>
      <c r="N29" s="15">
        <v>0</v>
      </c>
      <c r="O29" s="15">
        <v>0</v>
      </c>
      <c r="P29" s="15">
        <v>0</v>
      </c>
      <c r="Q29" s="112">
        <v>0</v>
      </c>
      <c r="R29" s="15">
        <v>0</v>
      </c>
      <c r="S29" s="15">
        <v>0</v>
      </c>
      <c r="T29" s="15">
        <v>0</v>
      </c>
      <c r="U29" s="15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71">
        <v>0</v>
      </c>
      <c r="AI29" s="10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 t="s">
        <v>102</v>
      </c>
      <c r="CH29" s="14" t="s">
        <v>102</v>
      </c>
      <c r="CI29" s="14">
        <v>0</v>
      </c>
      <c r="CJ29" s="14" t="s">
        <v>102</v>
      </c>
      <c r="CK29" s="14" t="s">
        <v>102</v>
      </c>
      <c r="CL29" s="14">
        <v>0</v>
      </c>
      <c r="CM29" s="14">
        <v>0</v>
      </c>
    </row>
    <row r="30" spans="1:91" x14ac:dyDescent="0.35">
      <c r="A30" s="22" t="s">
        <v>128</v>
      </c>
      <c r="B30" s="102">
        <v>0</v>
      </c>
      <c r="C30" s="102">
        <v>0</v>
      </c>
      <c r="D30" s="102">
        <v>0</v>
      </c>
      <c r="E30" s="102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18">
        <v>0</v>
      </c>
      <c r="M30" s="70">
        <v>0</v>
      </c>
      <c r="N30" s="15">
        <v>0</v>
      </c>
      <c r="O30" s="15">
        <v>0</v>
      </c>
      <c r="P30" s="15">
        <v>0</v>
      </c>
      <c r="Q30" s="112">
        <v>0</v>
      </c>
      <c r="R30" s="15">
        <v>0</v>
      </c>
      <c r="S30" s="15">
        <v>0</v>
      </c>
      <c r="T30" s="15">
        <v>0</v>
      </c>
      <c r="U30" s="15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71">
        <v>0</v>
      </c>
      <c r="AI30" s="10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 t="s">
        <v>102</v>
      </c>
      <c r="CH30" s="14" t="s">
        <v>102</v>
      </c>
      <c r="CI30" s="14">
        <v>0</v>
      </c>
      <c r="CJ30" s="14" t="s">
        <v>102</v>
      </c>
      <c r="CK30" s="14" t="s">
        <v>102</v>
      </c>
      <c r="CL30" s="14">
        <v>0</v>
      </c>
      <c r="CM30" s="14">
        <v>0</v>
      </c>
    </row>
    <row r="31" spans="1:91" x14ac:dyDescent="0.35">
      <c r="A31" s="73" t="s">
        <v>132</v>
      </c>
      <c r="B31" s="78"/>
      <c r="C31" s="78">
        <v>0</v>
      </c>
      <c r="D31" s="78">
        <v>0</v>
      </c>
      <c r="E31" s="78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18">
        <v>0</v>
      </c>
      <c r="M31" s="70">
        <v>0</v>
      </c>
      <c r="N31" s="74">
        <v>0</v>
      </c>
      <c r="O31" s="15">
        <v>0</v>
      </c>
      <c r="P31" s="15">
        <v>0</v>
      </c>
      <c r="Q31" s="112">
        <v>0</v>
      </c>
      <c r="R31" s="15">
        <v>0</v>
      </c>
      <c r="S31" s="15">
        <v>0</v>
      </c>
      <c r="T31" s="15">
        <v>0</v>
      </c>
      <c r="U31" s="15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71">
        <v>0</v>
      </c>
      <c r="AI31" s="10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 t="s">
        <v>102</v>
      </c>
      <c r="CH31" s="14" t="s">
        <v>102</v>
      </c>
      <c r="CI31" s="14">
        <v>0</v>
      </c>
      <c r="CJ31" s="14" t="s">
        <v>102</v>
      </c>
      <c r="CK31" s="14" t="s">
        <v>102</v>
      </c>
      <c r="CL31" s="14">
        <v>0</v>
      </c>
      <c r="CM31" s="14">
        <v>0</v>
      </c>
    </row>
    <row r="32" spans="1:91" x14ac:dyDescent="0.35">
      <c r="A32" s="3" t="s">
        <v>34</v>
      </c>
      <c r="B32" s="11">
        <v>72121.850000000006</v>
      </c>
      <c r="C32" s="11">
        <v>1030.33</v>
      </c>
      <c r="D32" s="11">
        <v>2.97</v>
      </c>
      <c r="E32" s="11">
        <v>19.46</v>
      </c>
      <c r="F32" s="11">
        <v>10.4</v>
      </c>
      <c r="G32" s="11">
        <v>2317.54</v>
      </c>
      <c r="H32" s="11">
        <v>36.9</v>
      </c>
      <c r="I32" s="11">
        <v>14.27</v>
      </c>
      <c r="J32" s="11">
        <v>29.56</v>
      </c>
      <c r="K32" s="11">
        <v>4.7699999999999996</v>
      </c>
      <c r="L32" s="11">
        <v>42.71</v>
      </c>
      <c r="M32" s="70">
        <v>2905.7</v>
      </c>
      <c r="N32" s="15">
        <v>0</v>
      </c>
      <c r="O32" s="15">
        <v>0</v>
      </c>
      <c r="P32" s="15">
        <v>0</v>
      </c>
      <c r="Q32" s="112">
        <v>0</v>
      </c>
      <c r="R32" s="15">
        <v>0</v>
      </c>
      <c r="S32" s="15">
        <v>0</v>
      </c>
      <c r="T32" s="15">
        <v>0</v>
      </c>
      <c r="U32" s="15">
        <v>0</v>
      </c>
      <c r="V32" s="11">
        <v>18500.04</v>
      </c>
      <c r="W32" s="11">
        <v>1036.1500000000001</v>
      </c>
      <c r="X32" s="11">
        <v>169.45</v>
      </c>
      <c r="Y32" s="11">
        <v>22.99</v>
      </c>
      <c r="Z32" s="11">
        <v>26.35</v>
      </c>
      <c r="AA32" s="11">
        <v>37.450000000000003</v>
      </c>
      <c r="AB32" s="11">
        <v>22.43</v>
      </c>
      <c r="AC32" s="11">
        <v>42.81</v>
      </c>
      <c r="AD32" s="11">
        <v>22.3</v>
      </c>
      <c r="AE32" s="11">
        <v>10.87</v>
      </c>
      <c r="AF32" s="11">
        <v>266.8</v>
      </c>
      <c r="AG32" s="11">
        <v>49.87</v>
      </c>
      <c r="AH32" s="71">
        <v>25.54</v>
      </c>
      <c r="AI32" s="104"/>
      <c r="AJ32" s="11">
        <v>1.79</v>
      </c>
      <c r="AK32" s="11">
        <v>59.38</v>
      </c>
      <c r="AL32" s="11">
        <v>60.98</v>
      </c>
      <c r="AM32" s="11">
        <v>5.62</v>
      </c>
      <c r="AN32" s="11">
        <v>3115.32</v>
      </c>
      <c r="AO32" s="11">
        <v>896.16</v>
      </c>
      <c r="AP32" s="11">
        <v>45.43</v>
      </c>
      <c r="AQ32" s="11">
        <v>2.29</v>
      </c>
      <c r="AR32" s="11">
        <v>2.4700000000000002</v>
      </c>
      <c r="AS32" s="11">
        <v>70.64</v>
      </c>
      <c r="AT32" s="11">
        <v>14.82</v>
      </c>
      <c r="AU32" s="11">
        <v>104.17</v>
      </c>
      <c r="AV32" s="11">
        <v>10.56</v>
      </c>
      <c r="AW32" s="11">
        <v>3.57</v>
      </c>
      <c r="AX32" s="11">
        <v>14.67</v>
      </c>
      <c r="AY32" s="11">
        <v>266.64999999999998</v>
      </c>
      <c r="AZ32" s="11">
        <v>4.87</v>
      </c>
      <c r="BA32" s="11">
        <v>4.3600000000000003</v>
      </c>
      <c r="BB32" s="11">
        <v>1.71</v>
      </c>
      <c r="BC32" s="11">
        <v>387.99</v>
      </c>
      <c r="BD32" s="11">
        <v>519.29999999999995</v>
      </c>
      <c r="BE32" s="11">
        <v>169.73</v>
      </c>
      <c r="BF32" s="5">
        <v>2436</v>
      </c>
      <c r="BG32" s="11">
        <v>83.74</v>
      </c>
      <c r="BH32" s="11">
        <v>904.75</v>
      </c>
      <c r="BI32" s="11">
        <v>1123.0999999999999</v>
      </c>
      <c r="BJ32" s="11">
        <v>69.47</v>
      </c>
      <c r="BK32" s="11">
        <v>1.63</v>
      </c>
      <c r="BL32" s="11">
        <v>458.38</v>
      </c>
      <c r="BM32" s="11">
        <v>869.54</v>
      </c>
      <c r="BN32" s="11">
        <v>470.29</v>
      </c>
      <c r="BO32" s="11">
        <v>30564.85</v>
      </c>
      <c r="BP32" s="11">
        <v>2573.75</v>
      </c>
      <c r="BQ32" s="11">
        <v>21.29</v>
      </c>
      <c r="BR32" s="11">
        <v>32.01</v>
      </c>
      <c r="BS32" s="11">
        <v>31.8</v>
      </c>
      <c r="BT32" s="11">
        <v>3.84</v>
      </c>
      <c r="BU32" s="11">
        <v>57.49</v>
      </c>
      <c r="BV32" s="11">
        <v>9.8000000000000007</v>
      </c>
      <c r="BW32" s="5">
        <v>0</v>
      </c>
      <c r="BX32" s="11">
        <v>101179.67</v>
      </c>
      <c r="BY32" s="11">
        <v>51857.72</v>
      </c>
      <c r="BZ32" s="11">
        <v>49300.639999999999</v>
      </c>
      <c r="CA32" s="11">
        <v>21.31</v>
      </c>
      <c r="CB32" s="11">
        <v>-41066.449999999997</v>
      </c>
      <c r="CC32" s="11">
        <v>-41067.230000000003</v>
      </c>
      <c r="CD32" s="11">
        <v>203993.76</v>
      </c>
      <c r="CE32" s="5" t="s">
        <v>102</v>
      </c>
      <c r="CF32" s="11">
        <v>203993.76</v>
      </c>
      <c r="CG32" s="14" t="s">
        <v>102</v>
      </c>
      <c r="CH32" s="14" t="s">
        <v>102</v>
      </c>
      <c r="CI32" s="14">
        <v>0.78</v>
      </c>
      <c r="CJ32" s="5" t="s">
        <v>102</v>
      </c>
      <c r="CK32" s="5" t="s">
        <v>102</v>
      </c>
      <c r="CL32" s="11">
        <v>336228.83</v>
      </c>
      <c r="CM32" s="11">
        <v>264106.98</v>
      </c>
    </row>
    <row r="33" spans="1:91" x14ac:dyDescent="0.35">
      <c r="A33" s="3" t="s">
        <v>35</v>
      </c>
      <c r="B33" s="10">
        <v>258792.05</v>
      </c>
      <c r="C33" s="10">
        <v>2002.38</v>
      </c>
      <c r="D33" s="10">
        <v>73.010000000000005</v>
      </c>
      <c r="E33" s="10">
        <v>63.36</v>
      </c>
      <c r="F33" s="10">
        <v>350.46</v>
      </c>
      <c r="G33" s="10">
        <v>17290.37</v>
      </c>
      <c r="H33" s="10">
        <v>2377.7399999999998</v>
      </c>
      <c r="I33" s="10">
        <v>1272.46</v>
      </c>
      <c r="J33" s="10">
        <v>2481.35</v>
      </c>
      <c r="K33" s="10">
        <v>713.21</v>
      </c>
      <c r="L33" s="10">
        <v>1647.32</v>
      </c>
      <c r="M33" s="70">
        <v>7799.63</v>
      </c>
      <c r="N33" s="15">
        <v>0</v>
      </c>
      <c r="O33" s="15">
        <v>0</v>
      </c>
      <c r="P33" s="15">
        <v>0</v>
      </c>
      <c r="Q33" s="112">
        <v>0</v>
      </c>
      <c r="R33" s="15">
        <v>0</v>
      </c>
      <c r="S33" s="15">
        <v>0</v>
      </c>
      <c r="T33" s="15">
        <v>0</v>
      </c>
      <c r="U33" s="15">
        <v>0</v>
      </c>
      <c r="V33" s="10">
        <v>3521.06</v>
      </c>
      <c r="W33" s="10">
        <v>37369.5</v>
      </c>
      <c r="X33" s="10">
        <v>3383.13</v>
      </c>
      <c r="Y33" s="10">
        <v>2595.64</v>
      </c>
      <c r="Z33" s="10">
        <v>7949.88</v>
      </c>
      <c r="AA33" s="10">
        <v>3286.87</v>
      </c>
      <c r="AB33" s="10">
        <v>8659.2999999999993</v>
      </c>
      <c r="AC33" s="10">
        <v>11525.72</v>
      </c>
      <c r="AD33" s="10">
        <v>27733.23</v>
      </c>
      <c r="AE33" s="10">
        <v>2288.29</v>
      </c>
      <c r="AF33" s="10">
        <v>5964.29</v>
      </c>
      <c r="AG33" s="10">
        <v>3393.84</v>
      </c>
      <c r="AH33" s="71">
        <v>1051.43</v>
      </c>
      <c r="AI33" s="104"/>
      <c r="AJ33" s="10">
        <v>144.91</v>
      </c>
      <c r="AK33" s="10">
        <v>1512.08</v>
      </c>
      <c r="AL33" s="10">
        <v>50457.91</v>
      </c>
      <c r="AM33" s="10">
        <v>5192.1499999999996</v>
      </c>
      <c r="AN33" s="10">
        <v>8698.2800000000007</v>
      </c>
      <c r="AO33" s="10">
        <v>4453.28</v>
      </c>
      <c r="AP33" s="10">
        <v>4276.03</v>
      </c>
      <c r="AQ33" s="10">
        <v>84.19</v>
      </c>
      <c r="AR33" s="10">
        <v>115.29</v>
      </c>
      <c r="AS33" s="10">
        <v>1531.45</v>
      </c>
      <c r="AT33" s="10">
        <v>198.23</v>
      </c>
      <c r="AU33" s="10">
        <v>1326.27</v>
      </c>
      <c r="AV33" s="10">
        <v>339.82</v>
      </c>
      <c r="AW33" s="10">
        <v>214.99</v>
      </c>
      <c r="AX33" s="10">
        <v>805.93</v>
      </c>
      <c r="AY33" s="10">
        <v>1093.6199999999999</v>
      </c>
      <c r="AZ33" s="10">
        <v>333.81</v>
      </c>
      <c r="BA33" s="10">
        <v>216.69</v>
      </c>
      <c r="BB33" s="10">
        <v>189.65</v>
      </c>
      <c r="BC33" s="10">
        <v>3067.68</v>
      </c>
      <c r="BD33" s="10">
        <v>1694.48</v>
      </c>
      <c r="BE33" s="10">
        <v>2024.13</v>
      </c>
      <c r="BF33" s="10">
        <v>2959.23</v>
      </c>
      <c r="BG33" s="10">
        <v>550.30999999999995</v>
      </c>
      <c r="BH33" s="10">
        <v>835.72</v>
      </c>
      <c r="BI33" s="10">
        <v>1654.85</v>
      </c>
      <c r="BJ33" s="10">
        <v>122.89</v>
      </c>
      <c r="BK33" s="10">
        <v>55.47</v>
      </c>
      <c r="BL33" s="10">
        <v>4256.46</v>
      </c>
      <c r="BM33" s="10">
        <v>765.03</v>
      </c>
      <c r="BN33" s="10">
        <v>384.26</v>
      </c>
      <c r="BO33" s="10">
        <v>1951.45</v>
      </c>
      <c r="BP33" s="10">
        <v>914.81</v>
      </c>
      <c r="BQ33" s="10">
        <v>491.67</v>
      </c>
      <c r="BR33" s="10">
        <v>233.71</v>
      </c>
      <c r="BS33" s="10">
        <v>139.94999999999999</v>
      </c>
      <c r="BT33" s="10">
        <v>261.33</v>
      </c>
      <c r="BU33" s="10">
        <v>444.58</v>
      </c>
      <c r="BV33" s="10">
        <v>6.02</v>
      </c>
      <c r="BW33" s="4">
        <v>0</v>
      </c>
      <c r="BX33" s="10">
        <v>23982.77</v>
      </c>
      <c r="BY33" s="10">
        <v>101.53</v>
      </c>
      <c r="BZ33" s="10">
        <v>23880.98</v>
      </c>
      <c r="CA33" s="10">
        <v>0.27</v>
      </c>
      <c r="CB33" s="10">
        <v>1638.39</v>
      </c>
      <c r="CC33" s="10">
        <v>-2019.93</v>
      </c>
      <c r="CD33" s="10">
        <v>64460.66</v>
      </c>
      <c r="CE33" s="4" t="s">
        <v>102</v>
      </c>
      <c r="CF33" s="10">
        <v>64460.66</v>
      </c>
      <c r="CG33" s="4" t="s">
        <v>102</v>
      </c>
      <c r="CH33" s="4" t="s">
        <v>102</v>
      </c>
      <c r="CI33" s="10">
        <v>3658.32</v>
      </c>
      <c r="CJ33" s="4" t="s">
        <v>102</v>
      </c>
      <c r="CK33" s="4" t="s">
        <v>102</v>
      </c>
      <c r="CL33" s="10">
        <v>348873.88</v>
      </c>
      <c r="CM33" s="10">
        <v>90081.83</v>
      </c>
    </row>
    <row r="34" spans="1:91" x14ac:dyDescent="0.35">
      <c r="A34" s="3" t="s">
        <v>36</v>
      </c>
      <c r="B34" s="11">
        <v>203900.16</v>
      </c>
      <c r="C34" s="11">
        <v>1540.85</v>
      </c>
      <c r="D34" s="11">
        <v>54.64</v>
      </c>
      <c r="E34" s="11">
        <v>51.59</v>
      </c>
      <c r="F34" s="11">
        <v>1096.25</v>
      </c>
      <c r="G34" s="11">
        <v>6779.8</v>
      </c>
      <c r="H34" s="11">
        <v>386.65</v>
      </c>
      <c r="I34" s="11">
        <v>1597.33</v>
      </c>
      <c r="J34" s="11">
        <v>185.49</v>
      </c>
      <c r="K34" s="11">
        <v>29.4</v>
      </c>
      <c r="L34" s="11">
        <v>337.04</v>
      </c>
      <c r="M34" s="70">
        <v>2318.91</v>
      </c>
      <c r="N34" s="15">
        <v>0</v>
      </c>
      <c r="O34" s="15">
        <v>0</v>
      </c>
      <c r="P34" s="15">
        <v>0</v>
      </c>
      <c r="Q34" s="112">
        <v>0</v>
      </c>
      <c r="R34" s="15">
        <v>0</v>
      </c>
      <c r="S34" s="15">
        <v>0</v>
      </c>
      <c r="T34" s="15">
        <v>0</v>
      </c>
      <c r="U34" s="15">
        <v>0</v>
      </c>
      <c r="V34" s="11">
        <v>889.67</v>
      </c>
      <c r="W34" s="11">
        <v>2328.67</v>
      </c>
      <c r="X34" s="11">
        <v>24088.79</v>
      </c>
      <c r="Y34" s="11">
        <v>3491.47</v>
      </c>
      <c r="Z34" s="11">
        <v>3626.71</v>
      </c>
      <c r="AA34" s="11">
        <v>1173.07</v>
      </c>
      <c r="AB34" s="11">
        <v>2335.4899999999998</v>
      </c>
      <c r="AC34" s="11">
        <v>2090.7199999999998</v>
      </c>
      <c r="AD34" s="11">
        <v>3898.93</v>
      </c>
      <c r="AE34" s="11">
        <v>670.74</v>
      </c>
      <c r="AF34" s="11">
        <v>1771.88</v>
      </c>
      <c r="AG34" s="11">
        <v>2060.89</v>
      </c>
      <c r="AH34" s="71">
        <v>1801.67</v>
      </c>
      <c r="AI34" s="104"/>
      <c r="AJ34" s="11">
        <v>295.41000000000003</v>
      </c>
      <c r="AK34" s="11">
        <v>1201.3499999999999</v>
      </c>
      <c r="AL34" s="11">
        <v>114192.92</v>
      </c>
      <c r="AM34" s="11">
        <v>1035.79</v>
      </c>
      <c r="AN34" s="11">
        <v>3220.75</v>
      </c>
      <c r="AO34" s="11">
        <v>1181.55</v>
      </c>
      <c r="AP34" s="11">
        <v>862.16</v>
      </c>
      <c r="AQ34" s="11">
        <v>29.62</v>
      </c>
      <c r="AR34" s="11">
        <v>42.31</v>
      </c>
      <c r="AS34" s="11">
        <v>615.66999999999996</v>
      </c>
      <c r="AT34" s="11">
        <v>19.93</v>
      </c>
      <c r="AU34" s="11">
        <v>1422.26</v>
      </c>
      <c r="AV34" s="11">
        <v>30.2</v>
      </c>
      <c r="AW34" s="11">
        <v>14.29</v>
      </c>
      <c r="AX34" s="11">
        <v>322.55</v>
      </c>
      <c r="AY34" s="11">
        <v>345.77</v>
      </c>
      <c r="AZ34" s="11">
        <v>46.37</v>
      </c>
      <c r="BA34" s="11">
        <v>3.62</v>
      </c>
      <c r="BB34" s="11">
        <v>18.09</v>
      </c>
      <c r="BC34" s="11">
        <v>4665.13</v>
      </c>
      <c r="BD34" s="11">
        <v>557.91</v>
      </c>
      <c r="BE34" s="11">
        <v>1165.57</v>
      </c>
      <c r="BF34" s="11">
        <v>973.6</v>
      </c>
      <c r="BG34" s="11">
        <v>125.76</v>
      </c>
      <c r="BH34" s="11">
        <v>284.04000000000002</v>
      </c>
      <c r="BI34" s="11">
        <v>773.53</v>
      </c>
      <c r="BJ34" s="11">
        <v>68.92</v>
      </c>
      <c r="BK34" s="11">
        <v>16.84</v>
      </c>
      <c r="BL34" s="11">
        <v>1978.02</v>
      </c>
      <c r="BM34" s="11">
        <v>812.25</v>
      </c>
      <c r="BN34" s="11">
        <v>411.93</v>
      </c>
      <c r="BO34" s="11">
        <v>1180.54</v>
      </c>
      <c r="BP34" s="11">
        <v>215.19</v>
      </c>
      <c r="BQ34" s="11">
        <v>370.5</v>
      </c>
      <c r="BR34" s="11">
        <v>181.44</v>
      </c>
      <c r="BS34" s="11">
        <v>162.83000000000001</v>
      </c>
      <c r="BT34" s="11">
        <v>88.84</v>
      </c>
      <c r="BU34" s="11">
        <v>355.39</v>
      </c>
      <c r="BV34" s="11">
        <v>4.7</v>
      </c>
      <c r="BW34" s="5">
        <v>0</v>
      </c>
      <c r="BX34" s="11">
        <v>17306.939999999999</v>
      </c>
      <c r="BY34" s="11">
        <v>0.24</v>
      </c>
      <c r="BZ34" s="11">
        <v>17306.7</v>
      </c>
      <c r="CA34" s="5">
        <v>0</v>
      </c>
      <c r="CB34" s="11">
        <v>-352.19</v>
      </c>
      <c r="CC34" s="11">
        <v>-7989.28</v>
      </c>
      <c r="CD34" s="11">
        <v>31016.18</v>
      </c>
      <c r="CE34" s="5" t="s">
        <v>102</v>
      </c>
      <c r="CF34" s="11">
        <v>31016.18</v>
      </c>
      <c r="CG34" s="5" t="s">
        <v>102</v>
      </c>
      <c r="CH34" s="5" t="s">
        <v>102</v>
      </c>
      <c r="CI34" s="11">
        <v>7637.08</v>
      </c>
      <c r="CJ34" s="5" t="s">
        <v>102</v>
      </c>
      <c r="CK34" s="5" t="s">
        <v>102</v>
      </c>
      <c r="CL34" s="11">
        <v>251871.08</v>
      </c>
      <c r="CM34" s="11">
        <v>47970.92</v>
      </c>
    </row>
    <row r="35" spans="1:91" x14ac:dyDescent="0.35">
      <c r="A35" s="3" t="s">
        <v>37</v>
      </c>
      <c r="B35" s="10">
        <v>405360.2</v>
      </c>
      <c r="C35" s="10">
        <v>184.93</v>
      </c>
      <c r="D35" s="10">
        <v>24.53</v>
      </c>
      <c r="E35" s="10">
        <v>3.47</v>
      </c>
      <c r="F35" s="10">
        <v>473.62</v>
      </c>
      <c r="G35" s="10">
        <v>2107.3200000000002</v>
      </c>
      <c r="H35" s="10">
        <v>516.71</v>
      </c>
      <c r="I35" s="10">
        <v>869.53</v>
      </c>
      <c r="J35" s="10">
        <v>542.84</v>
      </c>
      <c r="K35" s="10">
        <v>168.51</v>
      </c>
      <c r="L35" s="10">
        <v>1084.5</v>
      </c>
      <c r="M35" s="70">
        <v>5197.13</v>
      </c>
      <c r="N35" s="15">
        <v>0</v>
      </c>
      <c r="O35" s="15">
        <v>0</v>
      </c>
      <c r="P35" s="15">
        <v>0</v>
      </c>
      <c r="Q35" s="112">
        <v>0</v>
      </c>
      <c r="R35" s="15">
        <v>0</v>
      </c>
      <c r="S35" s="15">
        <v>0</v>
      </c>
      <c r="T35" s="15">
        <v>0</v>
      </c>
      <c r="U35" s="15">
        <v>0</v>
      </c>
      <c r="V35" s="10">
        <v>783.84</v>
      </c>
      <c r="W35" s="10">
        <v>5403.9</v>
      </c>
      <c r="X35" s="10">
        <v>2565.2199999999998</v>
      </c>
      <c r="Y35" s="10">
        <v>124946.37</v>
      </c>
      <c r="Z35" s="10">
        <v>72804.460000000006</v>
      </c>
      <c r="AA35" s="10">
        <v>4460.01</v>
      </c>
      <c r="AB35" s="10">
        <v>21271.19</v>
      </c>
      <c r="AC35" s="10">
        <v>32507.119999999999</v>
      </c>
      <c r="AD35" s="10">
        <v>35314.120000000003</v>
      </c>
      <c r="AE35" s="10">
        <v>5374.35</v>
      </c>
      <c r="AF35" s="10">
        <v>9258.61</v>
      </c>
      <c r="AG35" s="10">
        <v>10469.459999999999</v>
      </c>
      <c r="AH35" s="71">
        <v>1816.52</v>
      </c>
      <c r="AI35" s="104"/>
      <c r="AJ35" s="10">
        <v>297.67</v>
      </c>
      <c r="AK35" s="10">
        <v>5666.11</v>
      </c>
      <c r="AL35" s="10">
        <v>28115.279999999999</v>
      </c>
      <c r="AM35" s="10">
        <v>2447.5</v>
      </c>
      <c r="AN35" s="10">
        <v>7326.78</v>
      </c>
      <c r="AO35" s="10">
        <v>1446.94</v>
      </c>
      <c r="AP35" s="10">
        <v>1571.91</v>
      </c>
      <c r="AQ35" s="10">
        <v>30.55</v>
      </c>
      <c r="AR35" s="4">
        <v>23</v>
      </c>
      <c r="AS35" s="10">
        <v>910.33</v>
      </c>
      <c r="AT35" s="10">
        <v>14.11</v>
      </c>
      <c r="AU35" s="10">
        <v>297.92</v>
      </c>
      <c r="AV35" s="10">
        <v>84.77</v>
      </c>
      <c r="AW35" s="10">
        <v>24.98</v>
      </c>
      <c r="AX35" s="10">
        <v>224.7</v>
      </c>
      <c r="AY35" s="10">
        <v>1103.2</v>
      </c>
      <c r="AZ35" s="10">
        <v>39.869999999999997</v>
      </c>
      <c r="BA35" s="10">
        <v>19.37</v>
      </c>
      <c r="BB35" s="10">
        <v>49.49</v>
      </c>
      <c r="BC35" s="10">
        <v>2324.52</v>
      </c>
      <c r="BD35" s="10">
        <v>874.34</v>
      </c>
      <c r="BE35" s="4">
        <v>3413</v>
      </c>
      <c r="BF35" s="10">
        <v>4306.9799999999996</v>
      </c>
      <c r="BG35" s="10">
        <v>295.44</v>
      </c>
      <c r="BH35" s="10">
        <v>603.46</v>
      </c>
      <c r="BI35" s="10">
        <v>1605.06</v>
      </c>
      <c r="BJ35" s="10">
        <v>107.35</v>
      </c>
      <c r="BK35" s="10">
        <v>7.53</v>
      </c>
      <c r="BL35" s="10">
        <v>1393.21</v>
      </c>
      <c r="BM35" s="10">
        <v>260.77</v>
      </c>
      <c r="BN35" s="10">
        <v>100.75</v>
      </c>
      <c r="BO35" s="10">
        <v>1646.74</v>
      </c>
      <c r="BP35" s="10">
        <v>7.28</v>
      </c>
      <c r="BQ35" s="10">
        <v>154.75</v>
      </c>
      <c r="BR35" s="10">
        <v>55.29</v>
      </c>
      <c r="BS35" s="10">
        <v>14.24</v>
      </c>
      <c r="BT35" s="10">
        <v>252.35</v>
      </c>
      <c r="BU35" s="10">
        <v>93.3</v>
      </c>
      <c r="BV35" s="10">
        <v>1.1299999999999999</v>
      </c>
      <c r="BW35" s="4">
        <v>0</v>
      </c>
      <c r="BX35" s="10">
        <v>469.96</v>
      </c>
      <c r="BY35" s="4">
        <v>0</v>
      </c>
      <c r="BZ35" s="10">
        <v>469.96</v>
      </c>
      <c r="CA35" s="4">
        <v>0</v>
      </c>
      <c r="CB35" s="10">
        <v>5252.36</v>
      </c>
      <c r="CC35" s="10">
        <v>2235.98</v>
      </c>
      <c r="CD35" s="10">
        <v>87771.92</v>
      </c>
      <c r="CE35" s="4" t="s">
        <v>102</v>
      </c>
      <c r="CF35" s="10">
        <v>87771.92</v>
      </c>
      <c r="CG35" s="4" t="s">
        <v>102</v>
      </c>
      <c r="CH35" s="4" t="s">
        <v>102</v>
      </c>
      <c r="CI35" s="10">
        <v>3016.38</v>
      </c>
      <c r="CJ35" s="4" t="s">
        <v>102</v>
      </c>
      <c r="CK35" s="4" t="s">
        <v>102</v>
      </c>
      <c r="CL35" s="10">
        <v>498854.44</v>
      </c>
      <c r="CM35" s="10">
        <v>93494.24</v>
      </c>
    </row>
    <row r="36" spans="1:91" x14ac:dyDescent="0.35">
      <c r="A36" s="26" t="s">
        <v>38</v>
      </c>
      <c r="B36" s="36">
        <v>451376.99</v>
      </c>
      <c r="C36" s="36">
        <v>3421.16</v>
      </c>
      <c r="D36" s="36">
        <v>129.16</v>
      </c>
      <c r="E36" s="36">
        <v>80.37</v>
      </c>
      <c r="F36" s="36">
        <v>804.52</v>
      </c>
      <c r="G36" s="36">
        <v>8973.18</v>
      </c>
      <c r="H36" s="36">
        <v>1262.42</v>
      </c>
      <c r="I36" s="36">
        <v>1894.02</v>
      </c>
      <c r="J36" s="36">
        <v>853.5</v>
      </c>
      <c r="K36" s="36">
        <v>279.81</v>
      </c>
      <c r="L36" s="36">
        <v>1665.71</v>
      </c>
      <c r="M36" s="70">
        <v>3548.9217799269286</v>
      </c>
      <c r="N36" s="66">
        <v>58.500562820000006</v>
      </c>
      <c r="O36" s="37">
        <v>9.5602062530712519</v>
      </c>
      <c r="P36" s="37">
        <v>30.992450999999999</v>
      </c>
      <c r="Q36" s="115">
        <v>2.415</v>
      </c>
      <c r="R36" s="36"/>
      <c r="S36" s="36"/>
      <c r="T36" s="36"/>
      <c r="U36" s="76"/>
      <c r="V36" s="36">
        <v>1080.47</v>
      </c>
      <c r="W36" s="36">
        <v>6397.01</v>
      </c>
      <c r="X36" s="36">
        <v>2532.4699999999998</v>
      </c>
      <c r="Y36" s="36">
        <v>15492.17</v>
      </c>
      <c r="Z36" s="36">
        <v>91022.56</v>
      </c>
      <c r="AA36" s="36">
        <v>5598.39</v>
      </c>
      <c r="AB36" s="36">
        <v>13506.21</v>
      </c>
      <c r="AC36" s="36">
        <v>60986.15</v>
      </c>
      <c r="AD36" s="36">
        <v>41561.160000000003</v>
      </c>
      <c r="AE36" s="36">
        <v>12199.55</v>
      </c>
      <c r="AF36" s="36">
        <v>7235.74</v>
      </c>
      <c r="AG36" s="36">
        <v>17901.64</v>
      </c>
      <c r="AH36" s="71">
        <v>2813.7797140287771</v>
      </c>
      <c r="AI36" s="109">
        <v>3.2902859712230228</v>
      </c>
      <c r="AJ36" s="47">
        <v>529.23</v>
      </c>
      <c r="AK36" s="47">
        <v>3774.32</v>
      </c>
      <c r="AL36" s="47">
        <v>90166.61</v>
      </c>
      <c r="AM36" s="36">
        <v>4961.74</v>
      </c>
      <c r="AN36" s="36">
        <v>9504.91</v>
      </c>
      <c r="AO36" s="36">
        <v>2571.98</v>
      </c>
      <c r="AP36" s="36">
        <v>2436.52</v>
      </c>
      <c r="AQ36" s="36">
        <v>127.07</v>
      </c>
      <c r="AR36" s="36">
        <v>44.42</v>
      </c>
      <c r="AS36" s="36">
        <v>2692.14</v>
      </c>
      <c r="AT36" s="36">
        <v>94.93</v>
      </c>
      <c r="AU36" s="36">
        <v>1466.12</v>
      </c>
      <c r="AV36" s="36">
        <v>155.07</v>
      </c>
      <c r="AW36" s="36">
        <v>103.16</v>
      </c>
      <c r="AX36" s="36">
        <v>734.47</v>
      </c>
      <c r="AY36" s="36">
        <v>1670</v>
      </c>
      <c r="AZ36" s="36">
        <v>210.09</v>
      </c>
      <c r="BA36" s="36">
        <v>95.15</v>
      </c>
      <c r="BB36" s="36">
        <v>99.52</v>
      </c>
      <c r="BC36" s="36">
        <v>3612.48</v>
      </c>
      <c r="BD36" s="36">
        <v>1861.43</v>
      </c>
      <c r="BE36" s="36">
        <v>3885.66</v>
      </c>
      <c r="BF36" s="36">
        <v>5227.1099999999997</v>
      </c>
      <c r="BG36" s="36">
        <v>606.67999999999995</v>
      </c>
      <c r="BH36" s="36">
        <v>708.9</v>
      </c>
      <c r="BI36" s="36">
        <v>2569.5</v>
      </c>
      <c r="BJ36" s="36">
        <v>196.49</v>
      </c>
      <c r="BK36" s="36">
        <v>61.56</v>
      </c>
      <c r="BL36" s="36">
        <v>3647.5</v>
      </c>
      <c r="BM36" s="36">
        <v>2980.82</v>
      </c>
      <c r="BN36" s="36">
        <v>393.44</v>
      </c>
      <c r="BO36" s="36">
        <v>564.19000000000005</v>
      </c>
      <c r="BP36" s="36">
        <v>324.36</v>
      </c>
      <c r="BQ36" s="36">
        <v>705.77</v>
      </c>
      <c r="BR36" s="36">
        <v>293.07</v>
      </c>
      <c r="BS36" s="36">
        <v>174.16</v>
      </c>
      <c r="BT36" s="36">
        <v>436.08</v>
      </c>
      <c r="BU36" s="36">
        <v>335.97</v>
      </c>
      <c r="BV36" s="36">
        <v>9.5500000000000007</v>
      </c>
      <c r="BW36" s="36">
        <v>0</v>
      </c>
      <c r="BX36" s="36">
        <v>19376.02</v>
      </c>
      <c r="BY36" s="36">
        <v>155.94999999999999</v>
      </c>
      <c r="BZ36" s="36">
        <v>19183.84</v>
      </c>
      <c r="CA36" s="36">
        <v>36.229999999999997</v>
      </c>
      <c r="CB36" s="36">
        <v>63743.77</v>
      </c>
      <c r="CC36" s="36">
        <v>2911.8</v>
      </c>
      <c r="CD36" s="36">
        <v>65351.360000000001</v>
      </c>
      <c r="CE36" s="36" t="s">
        <v>102</v>
      </c>
      <c r="CF36" s="36">
        <v>65351.360000000001</v>
      </c>
      <c r="CG36" s="36" t="s">
        <v>102</v>
      </c>
      <c r="CH36" s="36" t="s">
        <v>102</v>
      </c>
      <c r="CI36" s="36">
        <v>60831.97</v>
      </c>
      <c r="CJ36" s="36" t="s">
        <v>102</v>
      </c>
      <c r="CK36" s="36" t="s">
        <v>102</v>
      </c>
      <c r="CL36" s="36">
        <v>599848.14</v>
      </c>
      <c r="CM36" s="36">
        <v>148471.15</v>
      </c>
    </row>
    <row r="37" spans="1:91" x14ac:dyDescent="0.35">
      <c r="A37" s="26" t="s">
        <v>39</v>
      </c>
      <c r="B37" s="36">
        <v>104816.95</v>
      </c>
      <c r="C37" s="36">
        <v>92.86</v>
      </c>
      <c r="D37" s="36">
        <v>14.62</v>
      </c>
      <c r="E37" s="36">
        <v>10.26</v>
      </c>
      <c r="F37" s="36">
        <v>45.25</v>
      </c>
      <c r="G37" s="36">
        <v>286.95</v>
      </c>
      <c r="H37" s="36">
        <v>71.75</v>
      </c>
      <c r="I37" s="36">
        <v>38.28</v>
      </c>
      <c r="J37" s="36">
        <v>69.77</v>
      </c>
      <c r="K37" s="36">
        <v>189.8</v>
      </c>
      <c r="L37" s="36">
        <v>177.16</v>
      </c>
      <c r="M37" s="70">
        <v>367.14630946815726</v>
      </c>
      <c r="N37" s="66">
        <v>25.071669780000001</v>
      </c>
      <c r="O37" s="37">
        <v>4.7701237518427524</v>
      </c>
      <c r="P37" s="37">
        <v>13.282478999999999</v>
      </c>
      <c r="Q37" s="115">
        <v>3.8394180000000002</v>
      </c>
      <c r="R37" s="36"/>
      <c r="S37" s="36"/>
      <c r="T37" s="36"/>
      <c r="U37" s="76"/>
      <c r="V37" s="36">
        <v>477.13</v>
      </c>
      <c r="W37" s="36">
        <v>437.26</v>
      </c>
      <c r="X37" s="36">
        <v>275.57</v>
      </c>
      <c r="Y37" s="36">
        <v>386.73</v>
      </c>
      <c r="Z37" s="36">
        <v>1453.17</v>
      </c>
      <c r="AA37" s="36">
        <v>24020.41</v>
      </c>
      <c r="AB37" s="36">
        <v>8096.51</v>
      </c>
      <c r="AC37" s="36">
        <v>4366.6099999999997</v>
      </c>
      <c r="AD37" s="36">
        <v>6124.62</v>
      </c>
      <c r="AE37" s="36">
        <v>2852</v>
      </c>
      <c r="AF37" s="36">
        <v>1845.91</v>
      </c>
      <c r="AG37" s="36">
        <v>4103.22</v>
      </c>
      <c r="AH37" s="71">
        <v>1816.8658284172661</v>
      </c>
      <c r="AI37" s="109">
        <v>1.9741715827338135</v>
      </c>
      <c r="AJ37" s="47">
        <v>129.13999999999999</v>
      </c>
      <c r="AK37" s="47">
        <v>245.78</v>
      </c>
      <c r="AL37" s="47">
        <v>4972.63</v>
      </c>
      <c r="AM37" s="36">
        <v>569.96</v>
      </c>
      <c r="AN37" s="36">
        <v>3813.84</v>
      </c>
      <c r="AO37" s="36">
        <v>1153.1400000000001</v>
      </c>
      <c r="AP37" s="36">
        <v>568.4</v>
      </c>
      <c r="AQ37" s="36">
        <v>52.25</v>
      </c>
      <c r="AR37" s="36">
        <v>100.99</v>
      </c>
      <c r="AS37" s="36">
        <v>538.72</v>
      </c>
      <c r="AT37" s="36">
        <v>180.01</v>
      </c>
      <c r="AU37" s="36">
        <v>312.64</v>
      </c>
      <c r="AV37" s="36">
        <v>781.28</v>
      </c>
      <c r="AW37" s="36">
        <v>763.51</v>
      </c>
      <c r="AX37" s="36">
        <v>5327.82</v>
      </c>
      <c r="AY37" s="36">
        <v>7211.75</v>
      </c>
      <c r="AZ37" s="36">
        <v>232.83</v>
      </c>
      <c r="BA37" s="36">
        <v>182.11</v>
      </c>
      <c r="BB37" s="36">
        <v>315.01</v>
      </c>
      <c r="BC37" s="36">
        <v>536.20000000000005</v>
      </c>
      <c r="BD37" s="36">
        <v>1066.27</v>
      </c>
      <c r="BE37" s="36">
        <v>2128.3200000000002</v>
      </c>
      <c r="BF37" s="36">
        <v>2841.82</v>
      </c>
      <c r="BG37" s="36">
        <v>540.49</v>
      </c>
      <c r="BH37" s="36">
        <v>681.04</v>
      </c>
      <c r="BI37" s="36">
        <v>1285.05</v>
      </c>
      <c r="BJ37" s="36">
        <v>126.54</v>
      </c>
      <c r="BK37" s="36">
        <v>49.94</v>
      </c>
      <c r="BL37" s="36">
        <v>1695.43</v>
      </c>
      <c r="BM37" s="36">
        <v>1430.88</v>
      </c>
      <c r="BN37" s="36">
        <v>830.99</v>
      </c>
      <c r="BO37" s="36">
        <v>3396.14</v>
      </c>
      <c r="BP37" s="36">
        <v>702.77</v>
      </c>
      <c r="BQ37" s="36">
        <v>1011.45</v>
      </c>
      <c r="BR37" s="36">
        <v>321.49</v>
      </c>
      <c r="BS37" s="36">
        <v>103.81</v>
      </c>
      <c r="BT37" s="36">
        <v>847.52</v>
      </c>
      <c r="BU37" s="36">
        <v>96.85</v>
      </c>
      <c r="BV37" s="36">
        <v>3.37</v>
      </c>
      <c r="BW37" s="36">
        <v>0</v>
      </c>
      <c r="BX37" s="36">
        <v>44953.78</v>
      </c>
      <c r="BY37" s="36">
        <v>1472.33</v>
      </c>
      <c r="BZ37" s="36">
        <v>43475.6</v>
      </c>
      <c r="CA37" s="36">
        <v>5.85</v>
      </c>
      <c r="CB37" s="36">
        <v>64322.559999999998</v>
      </c>
      <c r="CC37" s="36">
        <v>3601.5</v>
      </c>
      <c r="CD37" s="36">
        <v>144753.01999999999</v>
      </c>
      <c r="CE37" s="36" t="s">
        <v>102</v>
      </c>
      <c r="CF37" s="36">
        <v>144753.01999999999</v>
      </c>
      <c r="CG37" s="36" t="s">
        <v>102</v>
      </c>
      <c r="CH37" s="36" t="s">
        <v>102</v>
      </c>
      <c r="CI37" s="36">
        <v>60721.06</v>
      </c>
      <c r="CJ37" s="36" t="s">
        <v>102</v>
      </c>
      <c r="CK37" s="36" t="s">
        <v>102</v>
      </c>
      <c r="CL37" s="36">
        <v>358846.32</v>
      </c>
      <c r="CM37" s="36">
        <v>254029.37</v>
      </c>
    </row>
    <row r="38" spans="1:91" x14ac:dyDescent="0.35">
      <c r="A38" s="26" t="s">
        <v>40</v>
      </c>
      <c r="B38" s="36">
        <v>173795.62</v>
      </c>
      <c r="C38" s="36">
        <v>342.05</v>
      </c>
      <c r="D38" s="36">
        <v>20.94</v>
      </c>
      <c r="E38" s="36">
        <v>29.84</v>
      </c>
      <c r="F38" s="36">
        <v>170.11</v>
      </c>
      <c r="G38" s="36">
        <v>1692.89</v>
      </c>
      <c r="H38" s="36">
        <v>208.63</v>
      </c>
      <c r="I38" s="36">
        <v>215.4</v>
      </c>
      <c r="J38" s="36">
        <v>240.74</v>
      </c>
      <c r="K38" s="36">
        <v>66.06</v>
      </c>
      <c r="L38" s="36">
        <v>324.36</v>
      </c>
      <c r="M38" s="70">
        <v>655.23030549877149</v>
      </c>
      <c r="N38" s="66">
        <v>0</v>
      </c>
      <c r="O38" s="37">
        <v>3.180082501228501</v>
      </c>
      <c r="P38" s="37"/>
      <c r="Q38" s="115">
        <v>2.559612</v>
      </c>
      <c r="R38" s="36"/>
      <c r="S38" s="36"/>
      <c r="T38" s="36"/>
      <c r="U38" s="76"/>
      <c r="V38" s="36">
        <v>509.63</v>
      </c>
      <c r="W38" s="36">
        <v>1200.4000000000001</v>
      </c>
      <c r="X38" s="36">
        <v>521.38</v>
      </c>
      <c r="Y38" s="36">
        <v>2048.87</v>
      </c>
      <c r="Z38" s="36">
        <v>4179.13</v>
      </c>
      <c r="AA38" s="36">
        <v>7953.57</v>
      </c>
      <c r="AB38" s="36">
        <v>36092.46</v>
      </c>
      <c r="AC38" s="36">
        <v>14712.06</v>
      </c>
      <c r="AD38" s="36">
        <v>17448.099999999999</v>
      </c>
      <c r="AE38" s="36">
        <v>3587.31</v>
      </c>
      <c r="AF38" s="36">
        <v>1839.35</v>
      </c>
      <c r="AG38" s="36">
        <v>6570.05</v>
      </c>
      <c r="AH38" s="71">
        <v>6314.6338856115108</v>
      </c>
      <c r="AI38" s="109">
        <v>1.3161143884892088</v>
      </c>
      <c r="AJ38" s="47">
        <v>350.47</v>
      </c>
      <c r="AK38" s="47">
        <v>755.18</v>
      </c>
      <c r="AL38" s="47">
        <v>34317.97</v>
      </c>
      <c r="AM38" s="36">
        <v>1777.05</v>
      </c>
      <c r="AN38" s="36">
        <v>4827.18</v>
      </c>
      <c r="AO38" s="36">
        <v>1428.02</v>
      </c>
      <c r="AP38" s="36">
        <v>1218.6400000000001</v>
      </c>
      <c r="AQ38" s="36">
        <v>60.17</v>
      </c>
      <c r="AR38" s="36">
        <v>67.69</v>
      </c>
      <c r="AS38" s="36">
        <v>1076.6600000000001</v>
      </c>
      <c r="AT38" s="36">
        <v>124.8</v>
      </c>
      <c r="AU38" s="36">
        <v>1569.47</v>
      </c>
      <c r="AV38" s="36">
        <v>130.97999999999999</v>
      </c>
      <c r="AW38" s="36">
        <v>266.13</v>
      </c>
      <c r="AX38" s="36">
        <v>1612.28</v>
      </c>
      <c r="AY38" s="36">
        <v>1999.6</v>
      </c>
      <c r="AZ38" s="36">
        <v>71.489999999999995</v>
      </c>
      <c r="BA38" s="36">
        <v>32.090000000000003</v>
      </c>
      <c r="BB38" s="36">
        <v>89.54</v>
      </c>
      <c r="BC38" s="36">
        <v>2287.34</v>
      </c>
      <c r="BD38" s="36">
        <v>1224.4000000000001</v>
      </c>
      <c r="BE38" s="36">
        <v>1730.84</v>
      </c>
      <c r="BF38" s="36">
        <v>2804.02</v>
      </c>
      <c r="BG38" s="36">
        <v>220.35</v>
      </c>
      <c r="BH38" s="36">
        <v>471.69</v>
      </c>
      <c r="BI38" s="36">
        <v>1463.68</v>
      </c>
      <c r="BJ38" s="36">
        <v>75.91</v>
      </c>
      <c r="BK38" s="36">
        <v>35.619999999999997</v>
      </c>
      <c r="BL38" s="36">
        <v>1470.31</v>
      </c>
      <c r="BM38" s="36">
        <v>577.29999999999995</v>
      </c>
      <c r="BN38" s="36">
        <v>279.37</v>
      </c>
      <c r="BO38" s="36">
        <v>348.8</v>
      </c>
      <c r="BP38" s="36">
        <v>245.38</v>
      </c>
      <c r="BQ38" s="36">
        <v>623.92999999999995</v>
      </c>
      <c r="BR38" s="36">
        <v>258.23</v>
      </c>
      <c r="BS38" s="36">
        <v>50.41</v>
      </c>
      <c r="BT38" s="36">
        <v>450.02</v>
      </c>
      <c r="BU38" s="36">
        <v>449.96</v>
      </c>
      <c r="BV38" s="36">
        <v>2.42</v>
      </c>
      <c r="BW38" s="36">
        <v>0</v>
      </c>
      <c r="BX38" s="36">
        <v>43592.89</v>
      </c>
      <c r="BY38" s="36">
        <v>27.26</v>
      </c>
      <c r="BZ38" s="36">
        <v>43561.56</v>
      </c>
      <c r="CA38" s="36">
        <v>4.07</v>
      </c>
      <c r="CB38" s="36">
        <v>44468.09</v>
      </c>
      <c r="CC38" s="36">
        <v>8927.48</v>
      </c>
      <c r="CD38" s="36">
        <v>105715.13</v>
      </c>
      <c r="CE38" s="36" t="s">
        <v>102</v>
      </c>
      <c r="CF38" s="36">
        <v>105715.13</v>
      </c>
      <c r="CG38" s="36" t="s">
        <v>102</v>
      </c>
      <c r="CH38" s="36" t="s">
        <v>102</v>
      </c>
      <c r="CI38" s="36">
        <v>35540.61</v>
      </c>
      <c r="CJ38" s="36" t="s">
        <v>102</v>
      </c>
      <c r="CK38" s="36" t="s">
        <v>102</v>
      </c>
      <c r="CL38" s="36">
        <v>367571.73</v>
      </c>
      <c r="CM38" s="36">
        <v>193776.11</v>
      </c>
    </row>
    <row r="39" spans="1:91" x14ac:dyDescent="0.35">
      <c r="A39" s="26" t="s">
        <v>41</v>
      </c>
      <c r="B39" s="36">
        <v>226030.11</v>
      </c>
      <c r="C39" s="36">
        <v>2080.4299999999998</v>
      </c>
      <c r="D39" s="36">
        <v>351.9</v>
      </c>
      <c r="E39" s="36">
        <v>81.28</v>
      </c>
      <c r="F39" s="36">
        <v>631.36</v>
      </c>
      <c r="G39" s="36">
        <v>3707.43</v>
      </c>
      <c r="H39" s="36">
        <v>705.77</v>
      </c>
      <c r="I39" s="36">
        <v>432.9</v>
      </c>
      <c r="J39" s="36">
        <v>1061.18</v>
      </c>
      <c r="K39" s="36">
        <v>261.85000000000002</v>
      </c>
      <c r="L39" s="36">
        <v>1011.81</v>
      </c>
      <c r="M39" s="70">
        <v>694.87611442235868</v>
      </c>
      <c r="N39" s="66">
        <v>423.86207930000006</v>
      </c>
      <c r="O39" s="37">
        <v>71.551856277641278</v>
      </c>
      <c r="P39" s="37">
        <v>221.37464999999997</v>
      </c>
      <c r="Q39" s="115">
        <v>63.185299999999998</v>
      </c>
      <c r="R39" s="36"/>
      <c r="S39" s="36"/>
      <c r="T39" s="36"/>
      <c r="U39" s="76"/>
      <c r="V39" s="36">
        <v>830.41</v>
      </c>
      <c r="W39" s="36">
        <v>2337.4</v>
      </c>
      <c r="X39" s="36">
        <v>1232.45</v>
      </c>
      <c r="Y39" s="36">
        <v>4121.95</v>
      </c>
      <c r="Z39" s="36">
        <v>8189.95</v>
      </c>
      <c r="AA39" s="36">
        <v>3128.35</v>
      </c>
      <c r="AB39" s="36">
        <v>6385.89</v>
      </c>
      <c r="AC39" s="36">
        <v>82060.5</v>
      </c>
      <c r="AD39" s="36">
        <v>20474.2</v>
      </c>
      <c r="AE39" s="36">
        <v>6161.9</v>
      </c>
      <c r="AF39" s="36">
        <v>1370.65</v>
      </c>
      <c r="AG39" s="36">
        <v>15474.16</v>
      </c>
      <c r="AH39" s="71">
        <v>2318.217712230216</v>
      </c>
      <c r="AI39" s="109">
        <v>26.322287769784182</v>
      </c>
      <c r="AJ39" s="47">
        <v>455.91</v>
      </c>
      <c r="AK39" s="47">
        <v>1948.18</v>
      </c>
      <c r="AL39" s="47">
        <v>19805.78</v>
      </c>
      <c r="AM39" s="36">
        <v>3135.22</v>
      </c>
      <c r="AN39" s="36">
        <v>6156.97</v>
      </c>
      <c r="AO39" s="36">
        <v>1735.76</v>
      </c>
      <c r="AP39" s="36">
        <v>1403.4</v>
      </c>
      <c r="AQ39" s="36">
        <v>276.62</v>
      </c>
      <c r="AR39" s="36">
        <v>162.87</v>
      </c>
      <c r="AS39" s="36">
        <v>3196.41</v>
      </c>
      <c r="AT39" s="36">
        <v>136.25</v>
      </c>
      <c r="AU39" s="36">
        <v>983.71</v>
      </c>
      <c r="AV39" s="36">
        <v>153.18</v>
      </c>
      <c r="AW39" s="36">
        <v>133.72</v>
      </c>
      <c r="AX39" s="36">
        <v>735.16</v>
      </c>
      <c r="AY39" s="36">
        <v>1311.98</v>
      </c>
      <c r="AZ39" s="36">
        <v>259.42</v>
      </c>
      <c r="BA39" s="36">
        <v>103.53</v>
      </c>
      <c r="BB39" s="36">
        <v>91.18</v>
      </c>
      <c r="BC39" s="36">
        <v>1176.3399999999999</v>
      </c>
      <c r="BD39" s="36">
        <v>1443.9</v>
      </c>
      <c r="BE39" s="36">
        <v>2067.4499999999998</v>
      </c>
      <c r="BF39" s="36">
        <v>4368.8900000000003</v>
      </c>
      <c r="BG39" s="36">
        <v>237.89</v>
      </c>
      <c r="BH39" s="36">
        <v>507.3</v>
      </c>
      <c r="BI39" s="36">
        <v>2946.81</v>
      </c>
      <c r="BJ39" s="36">
        <v>150.94</v>
      </c>
      <c r="BK39" s="36">
        <v>82.28</v>
      </c>
      <c r="BL39" s="36">
        <v>2126.59</v>
      </c>
      <c r="BM39" s="36">
        <v>542.67999999999995</v>
      </c>
      <c r="BN39" s="36">
        <v>214.39</v>
      </c>
      <c r="BO39" s="36">
        <v>532.22</v>
      </c>
      <c r="BP39" s="36">
        <v>315.08999999999997</v>
      </c>
      <c r="BQ39" s="36">
        <v>347.1</v>
      </c>
      <c r="BR39" s="36">
        <v>161.36000000000001</v>
      </c>
      <c r="BS39" s="36">
        <v>258.54000000000002</v>
      </c>
      <c r="BT39" s="36">
        <v>231.88</v>
      </c>
      <c r="BU39" s="36">
        <v>215.9</v>
      </c>
      <c r="BV39" s="36">
        <v>4.21</v>
      </c>
      <c r="BW39" s="36">
        <v>0</v>
      </c>
      <c r="BX39" s="36">
        <v>9536.1299999999992</v>
      </c>
      <c r="BY39" s="36">
        <v>179.34</v>
      </c>
      <c r="BZ39" s="36">
        <v>9354.5</v>
      </c>
      <c r="CA39" s="36">
        <v>2.29</v>
      </c>
      <c r="CB39" s="36">
        <v>209478.74</v>
      </c>
      <c r="CC39" s="36">
        <v>10933.08</v>
      </c>
      <c r="CD39" s="36">
        <v>271397.75</v>
      </c>
      <c r="CE39" s="36" t="s">
        <v>102</v>
      </c>
      <c r="CF39" s="36">
        <v>271397.75</v>
      </c>
      <c r="CG39" s="36" t="s">
        <v>102</v>
      </c>
      <c r="CH39" s="36" t="s">
        <v>102</v>
      </c>
      <c r="CI39" s="36">
        <v>198545.66</v>
      </c>
      <c r="CJ39" s="36" t="s">
        <v>102</v>
      </c>
      <c r="CK39" s="36" t="s">
        <v>102</v>
      </c>
      <c r="CL39" s="36">
        <v>716442.73</v>
      </c>
      <c r="CM39" s="36">
        <v>490412.62</v>
      </c>
    </row>
    <row r="40" spans="1:91" x14ac:dyDescent="0.35">
      <c r="A40" s="3" t="s">
        <v>42</v>
      </c>
      <c r="B40" s="11">
        <v>324908.2</v>
      </c>
      <c r="C40" s="11">
        <v>692.55</v>
      </c>
      <c r="D40" s="11">
        <v>87.52</v>
      </c>
      <c r="E40" s="11">
        <v>13.12</v>
      </c>
      <c r="F40" s="11">
        <v>106.74</v>
      </c>
      <c r="G40" s="11">
        <v>383.74</v>
      </c>
      <c r="H40" s="11">
        <v>217.73</v>
      </c>
      <c r="I40" s="11">
        <v>136.94999999999999</v>
      </c>
      <c r="J40" s="11">
        <v>33.79</v>
      </c>
      <c r="K40" s="11">
        <v>7.42</v>
      </c>
      <c r="L40" s="11">
        <v>190.91</v>
      </c>
      <c r="M40" s="70">
        <v>851.8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1">
        <v>33.86</v>
      </c>
      <c r="W40" s="11">
        <v>1609.71</v>
      </c>
      <c r="X40" s="11">
        <v>1259.08</v>
      </c>
      <c r="Y40" s="11">
        <v>548.84</v>
      </c>
      <c r="Z40" s="11">
        <v>3499.77</v>
      </c>
      <c r="AA40" s="11">
        <v>1712.02</v>
      </c>
      <c r="AB40" s="11">
        <v>4656.24</v>
      </c>
      <c r="AC40" s="11">
        <v>15994.5</v>
      </c>
      <c r="AD40" s="11">
        <v>211080.68</v>
      </c>
      <c r="AE40" s="11">
        <v>1839.6</v>
      </c>
      <c r="AF40" s="11">
        <v>689.17</v>
      </c>
      <c r="AG40" s="11">
        <v>3239.97</v>
      </c>
      <c r="AH40" s="71">
        <v>418.14</v>
      </c>
      <c r="AI40" s="104"/>
      <c r="AJ40" s="11">
        <v>57.55</v>
      </c>
      <c r="AK40" s="11">
        <v>1977.84</v>
      </c>
      <c r="AL40" s="11">
        <v>3386.29</v>
      </c>
      <c r="AM40" s="11">
        <v>28247.37</v>
      </c>
      <c r="AN40" s="11">
        <v>5144.71</v>
      </c>
      <c r="AO40" s="11">
        <v>882.01</v>
      </c>
      <c r="AP40" s="11">
        <v>10349.42</v>
      </c>
      <c r="AQ40" s="11">
        <v>103.25</v>
      </c>
      <c r="AR40" s="11">
        <v>325.47000000000003</v>
      </c>
      <c r="AS40" s="11">
        <v>2405.4299999999998</v>
      </c>
      <c r="AT40" s="11">
        <v>109.4</v>
      </c>
      <c r="AU40" s="11">
        <v>375.29</v>
      </c>
      <c r="AV40" s="11">
        <v>28.97</v>
      </c>
      <c r="AW40" s="11">
        <v>47.96</v>
      </c>
      <c r="AX40" s="11">
        <v>120.27</v>
      </c>
      <c r="AY40" s="11">
        <v>1162.02</v>
      </c>
      <c r="AZ40" s="11">
        <v>154.51</v>
      </c>
      <c r="BA40" s="11">
        <v>87.48</v>
      </c>
      <c r="BB40" s="11">
        <v>202.93</v>
      </c>
      <c r="BC40" s="11">
        <v>955.82</v>
      </c>
      <c r="BD40" s="11">
        <v>1410.93</v>
      </c>
      <c r="BE40" s="11">
        <v>720.33</v>
      </c>
      <c r="BF40" s="11">
        <v>8681.0300000000007</v>
      </c>
      <c r="BG40" s="11">
        <v>276.8</v>
      </c>
      <c r="BH40" s="11">
        <v>593.78</v>
      </c>
      <c r="BI40" s="11">
        <v>4193.4799999999996</v>
      </c>
      <c r="BJ40" s="11">
        <v>207.46</v>
      </c>
      <c r="BK40" s="11">
        <v>69.64</v>
      </c>
      <c r="BL40" s="11">
        <v>1896.87</v>
      </c>
      <c r="BM40" s="11">
        <v>448.78</v>
      </c>
      <c r="BN40" s="11">
        <v>254.86</v>
      </c>
      <c r="BO40" s="11">
        <v>182.22</v>
      </c>
      <c r="BP40" s="11">
        <v>105.24</v>
      </c>
      <c r="BQ40" s="11">
        <v>69.11</v>
      </c>
      <c r="BR40" s="11">
        <v>152.15</v>
      </c>
      <c r="BS40" s="11">
        <v>147.52000000000001</v>
      </c>
      <c r="BT40" s="11">
        <v>31.71</v>
      </c>
      <c r="BU40" s="11">
        <v>36.340000000000003</v>
      </c>
      <c r="BV40" s="11">
        <v>2.13</v>
      </c>
      <c r="BW40" s="5">
        <v>0</v>
      </c>
      <c r="BX40" s="11">
        <v>221480.02</v>
      </c>
      <c r="BY40" s="11">
        <v>66.81</v>
      </c>
      <c r="BZ40" s="11">
        <v>221410.83</v>
      </c>
      <c r="CA40" s="11">
        <v>2.38</v>
      </c>
      <c r="CB40" s="11">
        <v>161950.93</v>
      </c>
      <c r="CC40" s="11">
        <v>21822.39</v>
      </c>
      <c r="CD40" s="11">
        <v>241454.97</v>
      </c>
      <c r="CE40" s="5" t="s">
        <v>102</v>
      </c>
      <c r="CF40" s="11">
        <v>241454.97</v>
      </c>
      <c r="CG40" s="5" t="s">
        <v>102</v>
      </c>
      <c r="CH40" s="5" t="s">
        <v>102</v>
      </c>
      <c r="CI40" s="11">
        <v>140128.54</v>
      </c>
      <c r="CJ40" s="5" t="s">
        <v>102</v>
      </c>
      <c r="CK40" s="5" t="s">
        <v>102</v>
      </c>
      <c r="CL40" s="11">
        <v>949794.12</v>
      </c>
      <c r="CM40" s="11">
        <v>624885.92000000004</v>
      </c>
    </row>
    <row r="41" spans="1:91" x14ac:dyDescent="0.35">
      <c r="A41" s="3" t="s">
        <v>43</v>
      </c>
      <c r="B41" s="10">
        <v>77075.100000000006</v>
      </c>
      <c r="C41" s="10">
        <v>17.809999999999999</v>
      </c>
      <c r="D41" s="10">
        <v>12.23</v>
      </c>
      <c r="E41" s="10">
        <v>108.71</v>
      </c>
      <c r="F41" s="10">
        <v>15.02</v>
      </c>
      <c r="G41" s="10">
        <v>32.53</v>
      </c>
      <c r="H41" s="10">
        <v>20.96</v>
      </c>
      <c r="I41" s="10">
        <v>13.96</v>
      </c>
      <c r="J41" s="10">
        <v>4.6900000000000004</v>
      </c>
      <c r="K41" s="10">
        <v>1.96</v>
      </c>
      <c r="L41" s="10">
        <v>13.47</v>
      </c>
      <c r="M41" s="70">
        <v>14.72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0">
        <v>4.07</v>
      </c>
      <c r="W41" s="10">
        <v>116.81</v>
      </c>
      <c r="X41" s="10">
        <v>18.38</v>
      </c>
      <c r="Y41" s="10">
        <v>54.18</v>
      </c>
      <c r="Z41" s="10">
        <v>428.37</v>
      </c>
      <c r="AA41" s="10">
        <v>320.99</v>
      </c>
      <c r="AB41" s="10">
        <v>472.31</v>
      </c>
      <c r="AC41" s="10">
        <v>442.96</v>
      </c>
      <c r="AD41" s="10">
        <v>564.96</v>
      </c>
      <c r="AE41" s="10">
        <v>49987.92</v>
      </c>
      <c r="AF41" s="10">
        <v>241.01</v>
      </c>
      <c r="AG41" s="10">
        <v>5855.26</v>
      </c>
      <c r="AH41" s="71">
        <v>73.260000000000005</v>
      </c>
      <c r="AI41" s="104"/>
      <c r="AJ41" s="10">
        <v>16.64</v>
      </c>
      <c r="AK41" s="10">
        <v>125.84</v>
      </c>
      <c r="AL41" s="10">
        <v>436.3</v>
      </c>
      <c r="AM41" s="10">
        <v>330.01</v>
      </c>
      <c r="AN41" s="10">
        <v>519.55999999999995</v>
      </c>
      <c r="AO41" s="10">
        <v>187.09</v>
      </c>
      <c r="AP41" s="10">
        <v>2082.7600000000002</v>
      </c>
      <c r="AQ41" s="10">
        <v>184.67</v>
      </c>
      <c r="AR41" s="10">
        <v>2681.7</v>
      </c>
      <c r="AS41" s="10">
        <v>1530.99</v>
      </c>
      <c r="AT41" s="10">
        <v>11.75</v>
      </c>
      <c r="AU41" s="10">
        <v>106.29</v>
      </c>
      <c r="AV41" s="10">
        <v>25.9</v>
      </c>
      <c r="AW41" s="10">
        <v>1.78</v>
      </c>
      <c r="AX41" s="10">
        <v>8.7100000000000009</v>
      </c>
      <c r="AY41" s="10">
        <v>175.15</v>
      </c>
      <c r="AZ41" s="10">
        <v>9.4499999999999993</v>
      </c>
      <c r="BA41" s="10">
        <v>1.84</v>
      </c>
      <c r="BB41" s="10">
        <v>7.22</v>
      </c>
      <c r="BC41" s="10">
        <v>222.19</v>
      </c>
      <c r="BD41" s="10">
        <v>82.09</v>
      </c>
      <c r="BE41" s="10">
        <v>217.07</v>
      </c>
      <c r="BF41" s="10">
        <v>874.72</v>
      </c>
      <c r="BG41" s="10">
        <v>17.88</v>
      </c>
      <c r="BH41" s="10">
        <v>150.27000000000001</v>
      </c>
      <c r="BI41" s="10">
        <v>1042.29</v>
      </c>
      <c r="BJ41" s="10">
        <v>17.14</v>
      </c>
      <c r="BK41" s="10">
        <v>12.87</v>
      </c>
      <c r="BL41" s="10">
        <v>170.82</v>
      </c>
      <c r="BM41" s="10">
        <v>6556.48</v>
      </c>
      <c r="BN41" s="10">
        <v>81.64</v>
      </c>
      <c r="BO41" s="10">
        <v>167.45</v>
      </c>
      <c r="BP41" s="10">
        <v>19.600000000000001</v>
      </c>
      <c r="BQ41" s="10">
        <v>27.06</v>
      </c>
      <c r="BR41" s="10">
        <v>57.57</v>
      </c>
      <c r="BS41" s="10">
        <v>10.99</v>
      </c>
      <c r="BT41" s="10">
        <v>20.38</v>
      </c>
      <c r="BU41" s="10">
        <v>45.89</v>
      </c>
      <c r="BV41" s="10">
        <v>0.53</v>
      </c>
      <c r="BW41" s="4">
        <v>0</v>
      </c>
      <c r="BX41" s="10">
        <v>19410.38</v>
      </c>
      <c r="BY41" s="10">
        <v>1105.1500000000001</v>
      </c>
      <c r="BZ41" s="10">
        <v>18301.099999999999</v>
      </c>
      <c r="CA41" s="10">
        <v>4.13</v>
      </c>
      <c r="CB41" s="10">
        <v>52453.38</v>
      </c>
      <c r="CC41" s="10">
        <v>-12630.78</v>
      </c>
      <c r="CD41" s="10">
        <v>106771.5</v>
      </c>
      <c r="CE41" s="4" t="s">
        <v>102</v>
      </c>
      <c r="CF41" s="10">
        <v>106771.5</v>
      </c>
      <c r="CG41" s="4" t="s">
        <v>102</v>
      </c>
      <c r="CH41" s="4" t="s">
        <v>102</v>
      </c>
      <c r="CI41" s="10">
        <v>65084.160000000003</v>
      </c>
      <c r="CJ41" s="4" t="s">
        <v>102</v>
      </c>
      <c r="CK41" s="4" t="s">
        <v>102</v>
      </c>
      <c r="CL41" s="10">
        <v>255710.35</v>
      </c>
      <c r="CM41" s="10">
        <v>178635.25</v>
      </c>
    </row>
    <row r="42" spans="1:91" x14ac:dyDescent="0.35">
      <c r="A42" s="3" t="s">
        <v>44</v>
      </c>
      <c r="B42" s="11">
        <v>68966.16</v>
      </c>
      <c r="C42" s="11">
        <v>222.99</v>
      </c>
      <c r="D42" s="11">
        <v>12.27</v>
      </c>
      <c r="E42" s="11">
        <v>17.86</v>
      </c>
      <c r="F42" s="11">
        <v>41.91</v>
      </c>
      <c r="G42" s="11">
        <v>977.47</v>
      </c>
      <c r="H42" s="11">
        <v>500.03</v>
      </c>
      <c r="I42" s="11">
        <v>1087.56</v>
      </c>
      <c r="J42" s="11">
        <v>163.6</v>
      </c>
      <c r="K42" s="11">
        <v>79.19</v>
      </c>
      <c r="L42" s="11">
        <v>105.55</v>
      </c>
      <c r="M42" s="70">
        <v>835.45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1">
        <v>691.41</v>
      </c>
      <c r="W42" s="11">
        <v>495.88</v>
      </c>
      <c r="X42" s="11">
        <v>271.45</v>
      </c>
      <c r="Y42" s="11">
        <v>474.52</v>
      </c>
      <c r="Z42" s="11">
        <v>673.31</v>
      </c>
      <c r="AA42" s="11">
        <v>971.95</v>
      </c>
      <c r="AB42" s="11">
        <v>382.13</v>
      </c>
      <c r="AC42" s="11">
        <v>831.81</v>
      </c>
      <c r="AD42" s="11">
        <v>1538.8</v>
      </c>
      <c r="AE42" s="11">
        <v>305.26</v>
      </c>
      <c r="AF42" s="11">
        <v>11347.42</v>
      </c>
      <c r="AG42" s="11">
        <v>864.51</v>
      </c>
      <c r="AH42" s="71">
        <v>365.5</v>
      </c>
      <c r="AI42" s="104"/>
      <c r="AJ42" s="11">
        <v>41.46</v>
      </c>
      <c r="AK42" s="11">
        <v>277.33</v>
      </c>
      <c r="AL42" s="11">
        <v>7055.69</v>
      </c>
      <c r="AM42" s="11">
        <v>569.89</v>
      </c>
      <c r="AN42" s="11">
        <v>2072.65</v>
      </c>
      <c r="AO42" s="11">
        <v>1540.24</v>
      </c>
      <c r="AP42" s="11">
        <v>578.01</v>
      </c>
      <c r="AQ42" s="11">
        <v>58.93</v>
      </c>
      <c r="AR42" s="11">
        <v>35.020000000000003</v>
      </c>
      <c r="AS42" s="11">
        <v>333.72</v>
      </c>
      <c r="AT42" s="11">
        <v>37.99</v>
      </c>
      <c r="AU42" s="11">
        <v>1678.49</v>
      </c>
      <c r="AV42" s="11">
        <v>114.92</v>
      </c>
      <c r="AW42" s="11">
        <v>584.07000000000005</v>
      </c>
      <c r="AX42" s="11">
        <v>261.07</v>
      </c>
      <c r="AY42" s="11">
        <v>648.72</v>
      </c>
      <c r="AZ42" s="11">
        <v>207.09</v>
      </c>
      <c r="BA42" s="11">
        <v>85.42</v>
      </c>
      <c r="BB42" s="11">
        <v>108.52</v>
      </c>
      <c r="BC42" s="11">
        <v>1431.86</v>
      </c>
      <c r="BD42" s="11">
        <v>814.5</v>
      </c>
      <c r="BE42" s="11">
        <v>512.23</v>
      </c>
      <c r="BF42" s="11">
        <v>763.37</v>
      </c>
      <c r="BG42" s="11">
        <v>304.77</v>
      </c>
      <c r="BH42" s="11">
        <v>533.62</v>
      </c>
      <c r="BI42" s="11">
        <v>722.13</v>
      </c>
      <c r="BJ42" s="11">
        <v>154.28</v>
      </c>
      <c r="BK42" s="11">
        <v>45.31</v>
      </c>
      <c r="BL42" s="11">
        <v>933.75</v>
      </c>
      <c r="BM42" s="11">
        <v>782.81</v>
      </c>
      <c r="BN42" s="11">
        <v>772.23</v>
      </c>
      <c r="BO42" s="11">
        <v>17802.439999999999</v>
      </c>
      <c r="BP42" s="11">
        <v>1532.46</v>
      </c>
      <c r="BQ42" s="11">
        <v>914.86</v>
      </c>
      <c r="BR42" s="11">
        <v>792.42</v>
      </c>
      <c r="BS42" s="11">
        <v>228.55</v>
      </c>
      <c r="BT42" s="11">
        <v>101.79</v>
      </c>
      <c r="BU42" s="11">
        <v>270.61</v>
      </c>
      <c r="BV42" s="11">
        <v>5.16</v>
      </c>
      <c r="BW42" s="5">
        <v>0</v>
      </c>
      <c r="BX42" s="11">
        <v>91320.78</v>
      </c>
      <c r="BY42" s="11">
        <v>6251.17</v>
      </c>
      <c r="BZ42" s="11">
        <v>85049.23</v>
      </c>
      <c r="CA42" s="11">
        <v>20.39</v>
      </c>
      <c r="CB42" s="11">
        <v>35153.03</v>
      </c>
      <c r="CC42" s="11">
        <v>-386.26</v>
      </c>
      <c r="CD42" s="11">
        <v>79971.19</v>
      </c>
      <c r="CE42" s="5" t="s">
        <v>102</v>
      </c>
      <c r="CF42" s="11">
        <v>79971.19</v>
      </c>
      <c r="CG42" s="5" t="s">
        <v>102</v>
      </c>
      <c r="CH42" s="5" t="s">
        <v>102</v>
      </c>
      <c r="CI42" s="11">
        <v>35539.279999999999</v>
      </c>
      <c r="CJ42" s="5" t="s">
        <v>102</v>
      </c>
      <c r="CK42" s="5" t="s">
        <v>102</v>
      </c>
      <c r="CL42" s="11">
        <v>275411.15999999997</v>
      </c>
      <c r="CM42" s="5">
        <v>206445</v>
      </c>
    </row>
    <row r="43" spans="1:91" x14ac:dyDescent="0.35">
      <c r="A43" s="35" t="s">
        <v>45</v>
      </c>
      <c r="B43" s="40">
        <v>212981.69</v>
      </c>
      <c r="C43" s="40">
        <v>9700.25</v>
      </c>
      <c r="D43" s="40">
        <v>374.98</v>
      </c>
      <c r="E43" s="40">
        <v>229.5</v>
      </c>
      <c r="F43" s="40">
        <v>2178.2800000000002</v>
      </c>
      <c r="G43" s="40">
        <v>7739.73</v>
      </c>
      <c r="H43" s="40">
        <v>969.23</v>
      </c>
      <c r="I43" s="40">
        <v>1565.6</v>
      </c>
      <c r="J43" s="40">
        <v>2475.86</v>
      </c>
      <c r="K43" s="40">
        <v>480.4</v>
      </c>
      <c r="L43" s="40">
        <v>1886.62</v>
      </c>
      <c r="M43" s="70">
        <v>4763.401665676658</v>
      </c>
      <c r="N43" s="41">
        <v>377.45079780000003</v>
      </c>
      <c r="O43" s="43">
        <v>63.24887452334152</v>
      </c>
      <c r="P43" s="41">
        <v>132.82478999999998</v>
      </c>
      <c r="Q43" s="41">
        <v>13.893872</v>
      </c>
      <c r="R43" s="41"/>
      <c r="S43" s="41"/>
      <c r="T43" s="41"/>
      <c r="U43" s="74"/>
      <c r="V43" s="40">
        <v>1166.3599999999999</v>
      </c>
      <c r="W43" s="40">
        <v>2076.0700000000002</v>
      </c>
      <c r="X43" s="40">
        <v>2773.04</v>
      </c>
      <c r="Y43" s="40">
        <v>7972.54</v>
      </c>
      <c r="Z43" s="40">
        <v>5930.95</v>
      </c>
      <c r="AA43" s="40">
        <v>2000.7</v>
      </c>
      <c r="AB43" s="40">
        <v>2941.76</v>
      </c>
      <c r="AC43" s="40">
        <v>9066.0400000000009</v>
      </c>
      <c r="AD43" s="40">
        <v>7587.33</v>
      </c>
      <c r="AE43" s="40">
        <v>5369.25</v>
      </c>
      <c r="AF43" s="40">
        <v>1643.63</v>
      </c>
      <c r="AG43" s="40">
        <v>13721.7</v>
      </c>
      <c r="AH43" s="71">
        <v>16688.208691007196</v>
      </c>
      <c r="AI43" s="107">
        <v>4.7913089928057566</v>
      </c>
      <c r="AJ43" s="40">
        <v>931.82</v>
      </c>
      <c r="AK43" s="40">
        <v>2737.76</v>
      </c>
      <c r="AL43" s="40">
        <v>11896.25</v>
      </c>
      <c r="AM43" s="40">
        <v>1531.31</v>
      </c>
      <c r="AN43" s="40">
        <v>6288.82</v>
      </c>
      <c r="AO43" s="40">
        <v>3643.03</v>
      </c>
      <c r="AP43" s="40">
        <v>8929.52</v>
      </c>
      <c r="AQ43" s="40">
        <v>4329.59</v>
      </c>
      <c r="AR43" s="40">
        <v>7949.34</v>
      </c>
      <c r="AS43" s="40">
        <v>3759.57</v>
      </c>
      <c r="AT43" s="40">
        <v>327.54000000000002</v>
      </c>
      <c r="AU43" s="40">
        <v>2799.88</v>
      </c>
      <c r="AV43" s="40">
        <v>379.69</v>
      </c>
      <c r="AW43" s="40">
        <v>379.99</v>
      </c>
      <c r="AX43" s="40">
        <v>3477.4</v>
      </c>
      <c r="AY43" s="40">
        <v>2633.13</v>
      </c>
      <c r="AZ43" s="40">
        <v>633.78</v>
      </c>
      <c r="BA43" s="40">
        <v>288.95</v>
      </c>
      <c r="BB43" s="40">
        <v>515.94000000000005</v>
      </c>
      <c r="BC43" s="40">
        <v>8446.9599999999991</v>
      </c>
      <c r="BD43" s="40">
        <v>2123.69</v>
      </c>
      <c r="BE43" s="40">
        <v>1386.26</v>
      </c>
      <c r="BF43" s="40">
        <v>2501.23</v>
      </c>
      <c r="BG43" s="40">
        <v>386.01</v>
      </c>
      <c r="BH43" s="40">
        <v>700.34</v>
      </c>
      <c r="BI43" s="41">
        <v>3649</v>
      </c>
      <c r="BJ43" s="40">
        <v>547.24</v>
      </c>
      <c r="BK43" s="40">
        <v>174.27</v>
      </c>
      <c r="BL43" s="40">
        <v>2550.64</v>
      </c>
      <c r="BM43" s="40">
        <v>6229.32</v>
      </c>
      <c r="BN43" s="40">
        <v>807.41</v>
      </c>
      <c r="BO43" s="40">
        <v>4684.51</v>
      </c>
      <c r="BP43" s="40">
        <v>1238.83</v>
      </c>
      <c r="BQ43" s="40">
        <v>510.64</v>
      </c>
      <c r="BR43" s="40">
        <v>791.73</v>
      </c>
      <c r="BS43" s="40">
        <v>241.55</v>
      </c>
      <c r="BT43" s="40">
        <v>137.94</v>
      </c>
      <c r="BU43" s="40">
        <v>466.85</v>
      </c>
      <c r="BV43" s="40">
        <v>80.349999999999994</v>
      </c>
      <c r="BW43" s="41">
        <v>0</v>
      </c>
      <c r="BX43" s="40">
        <v>3270.67</v>
      </c>
      <c r="BY43" s="40">
        <v>81.63</v>
      </c>
      <c r="BZ43" s="40">
        <v>3188.79</v>
      </c>
      <c r="CA43" s="40">
        <v>0.25</v>
      </c>
      <c r="CB43" s="40">
        <v>102013.88</v>
      </c>
      <c r="CC43" s="40">
        <v>1987.08</v>
      </c>
      <c r="CD43" s="40">
        <v>20853.490000000002</v>
      </c>
      <c r="CE43" s="41" t="s">
        <v>102</v>
      </c>
      <c r="CF43" s="40">
        <v>20853.490000000002</v>
      </c>
      <c r="CG43" s="41" t="s">
        <v>102</v>
      </c>
      <c r="CH43" s="41" t="s">
        <v>102</v>
      </c>
      <c r="CI43" s="40">
        <v>100026.8</v>
      </c>
      <c r="CJ43" s="41" t="s">
        <v>102</v>
      </c>
      <c r="CK43" s="41" t="s">
        <v>102</v>
      </c>
      <c r="CL43" s="40">
        <v>339119.74</v>
      </c>
      <c r="CM43" s="40">
        <v>126138.05</v>
      </c>
    </row>
    <row r="44" spans="1:91" x14ac:dyDescent="0.35">
      <c r="A44" s="35" t="s">
        <v>133</v>
      </c>
      <c r="B44" s="81">
        <v>749334.35021582735</v>
      </c>
      <c r="C44" s="81">
        <v>11412.38</v>
      </c>
      <c r="D44" s="81">
        <v>326.48</v>
      </c>
      <c r="E44" s="81">
        <v>232.31</v>
      </c>
      <c r="F44" s="81">
        <v>5413.72</v>
      </c>
      <c r="G44" s="81">
        <v>26659.95</v>
      </c>
      <c r="H44" s="81">
        <v>3839.72</v>
      </c>
      <c r="I44" s="81">
        <v>4232.6099999999997</v>
      </c>
      <c r="J44" s="81">
        <v>11605.75</v>
      </c>
      <c r="K44" s="81">
        <v>1305.9100000000001</v>
      </c>
      <c r="L44" s="81">
        <v>10274.57</v>
      </c>
      <c r="M44" s="70">
        <v>22186.429378378867</v>
      </c>
      <c r="N44" s="81">
        <v>394.24273040000003</v>
      </c>
      <c r="O44" s="81">
        <v>141.1787072211302</v>
      </c>
      <c r="P44" s="81">
        <v>354.19943999999998</v>
      </c>
      <c r="Q44" s="81">
        <v>22.549744</v>
      </c>
      <c r="R44" s="81">
        <v>0</v>
      </c>
      <c r="S44" s="81">
        <v>0</v>
      </c>
      <c r="T44" s="81">
        <v>0</v>
      </c>
      <c r="U44" s="81">
        <v>0</v>
      </c>
      <c r="V44" s="81">
        <v>2728.51</v>
      </c>
      <c r="W44" s="81">
        <v>9458.68</v>
      </c>
      <c r="X44" s="81">
        <v>13638.3</v>
      </c>
      <c r="Y44" s="81">
        <v>26666.52</v>
      </c>
      <c r="Z44" s="81">
        <v>10303.969999999999</v>
      </c>
      <c r="AA44" s="81">
        <v>2533.66</v>
      </c>
      <c r="AB44" s="81">
        <v>4841.8500000000004</v>
      </c>
      <c r="AC44" s="81">
        <v>6162.95</v>
      </c>
      <c r="AD44" s="81">
        <v>10392.469999999999</v>
      </c>
      <c r="AE44" s="81">
        <v>1563.22</v>
      </c>
      <c r="AF44" s="81">
        <v>3220.65</v>
      </c>
      <c r="AG44" s="81">
        <v>3426.07</v>
      </c>
      <c r="AH44" s="71">
        <v>300498.24738201441</v>
      </c>
      <c r="AI44" s="107">
        <v>9.5826179856115132</v>
      </c>
      <c r="AJ44" s="81">
        <v>5743.23</v>
      </c>
      <c r="AK44" s="81">
        <v>7303.5574074155711</v>
      </c>
      <c r="AL44" s="81">
        <v>18197.87</v>
      </c>
      <c r="AM44" s="81">
        <v>4972.24</v>
      </c>
      <c r="AN44" s="81">
        <v>17128.419999999998</v>
      </c>
      <c r="AO44" s="81">
        <v>24517.87</v>
      </c>
      <c r="AP44" s="81">
        <v>15540.07</v>
      </c>
      <c r="AQ44" s="81">
        <v>263.27999999999997</v>
      </c>
      <c r="AR44" s="81">
        <v>506.6</v>
      </c>
      <c r="AS44" s="81">
        <v>8069.09</v>
      </c>
      <c r="AT44" s="81">
        <v>1569.15</v>
      </c>
      <c r="AU44" s="81">
        <v>24805.72</v>
      </c>
      <c r="AV44" s="81">
        <v>1171.18</v>
      </c>
      <c r="AW44" s="81">
        <v>1483.07</v>
      </c>
      <c r="AX44" s="81">
        <v>6601.09</v>
      </c>
      <c r="AY44" s="81">
        <v>6697.83</v>
      </c>
      <c r="AZ44" s="81">
        <v>2526.19</v>
      </c>
      <c r="BA44" s="81">
        <v>969.48</v>
      </c>
      <c r="BB44" s="81">
        <v>994.22</v>
      </c>
      <c r="BC44" s="81">
        <v>17505.310000000001</v>
      </c>
      <c r="BD44" s="81">
        <v>6699.71</v>
      </c>
      <c r="BE44" s="81">
        <v>3424.06</v>
      </c>
      <c r="BF44" s="81">
        <v>4383.08</v>
      </c>
      <c r="BG44" s="81">
        <v>1377.9</v>
      </c>
      <c r="BH44" s="81">
        <v>1847.07</v>
      </c>
      <c r="BI44" s="81">
        <v>3034.59</v>
      </c>
      <c r="BJ44" s="81">
        <v>1423.32</v>
      </c>
      <c r="BK44" s="81">
        <v>797.71</v>
      </c>
      <c r="BL44" s="81">
        <v>6683.18</v>
      </c>
      <c r="BM44" s="81">
        <v>13855.71</v>
      </c>
      <c r="BN44" s="81">
        <v>10071.83</v>
      </c>
      <c r="BO44" s="81">
        <v>13082.05</v>
      </c>
      <c r="BP44" s="81">
        <v>7581.05</v>
      </c>
      <c r="BQ44" s="81">
        <v>3292.59</v>
      </c>
      <c r="BR44" s="81">
        <v>4784</v>
      </c>
      <c r="BS44" s="81">
        <v>2215.41</v>
      </c>
      <c r="BT44" s="81">
        <v>505.04</v>
      </c>
      <c r="BU44" s="81">
        <v>4185.51</v>
      </c>
      <c r="BV44" s="81">
        <v>15.21</v>
      </c>
      <c r="BW44" s="81">
        <v>0</v>
      </c>
      <c r="BX44" s="81">
        <v>291633.09111776424</v>
      </c>
      <c r="BY44" s="81">
        <v>3293.14</v>
      </c>
      <c r="BZ44" s="81">
        <v>288471.8</v>
      </c>
      <c r="CA44" s="81">
        <v>2.23</v>
      </c>
      <c r="CB44" s="81">
        <v>1691.84</v>
      </c>
      <c r="CC44" s="81">
        <v>1118.46</v>
      </c>
      <c r="CD44" s="81">
        <v>12378.05</v>
      </c>
      <c r="CE44" s="41" t="s">
        <v>102</v>
      </c>
      <c r="CF44" s="81">
        <v>12378.05</v>
      </c>
      <c r="CG44" s="41" t="s">
        <v>102</v>
      </c>
      <c r="CH44" s="41" t="s">
        <v>102</v>
      </c>
      <c r="CI44" s="81">
        <v>573.38</v>
      </c>
      <c r="CJ44" s="41" t="s">
        <v>102</v>
      </c>
      <c r="CK44" s="41" t="s">
        <v>102</v>
      </c>
      <c r="CL44" s="81">
        <v>1055512.78</v>
      </c>
      <c r="CM44" s="81">
        <v>305837.06</v>
      </c>
    </row>
    <row r="45" spans="1:91" x14ac:dyDescent="0.35">
      <c r="A45" s="35" t="s">
        <v>134</v>
      </c>
      <c r="B45" s="40">
        <v>749675.72</v>
      </c>
      <c r="C45" s="40">
        <v>11412.38</v>
      </c>
      <c r="D45" s="40">
        <v>326.48</v>
      </c>
      <c r="E45" s="40">
        <v>232.31</v>
      </c>
      <c r="F45" s="40">
        <v>5413.72</v>
      </c>
      <c r="G45" s="40">
        <v>26659.95</v>
      </c>
      <c r="H45" s="40">
        <v>3839.72</v>
      </c>
      <c r="I45" s="40">
        <v>4232.6099999999997</v>
      </c>
      <c r="J45" s="40">
        <v>11605.75</v>
      </c>
      <c r="K45" s="40">
        <v>1305.9100000000001</v>
      </c>
      <c r="L45" s="40">
        <v>10274.57</v>
      </c>
      <c r="M45" s="70">
        <v>22186.429378378867</v>
      </c>
      <c r="N45" s="41">
        <v>394.24273040000003</v>
      </c>
      <c r="O45" s="43">
        <v>141.1787072211302</v>
      </c>
      <c r="P45" s="41">
        <v>354.19943999999998</v>
      </c>
      <c r="Q45" s="41">
        <v>22.549744</v>
      </c>
      <c r="R45" s="41"/>
      <c r="S45" s="41"/>
      <c r="T45" s="41"/>
      <c r="U45" s="74"/>
      <c r="V45" s="40">
        <v>2728.51</v>
      </c>
      <c r="W45" s="40">
        <v>9458.68</v>
      </c>
      <c r="X45" s="40">
        <v>13638.3</v>
      </c>
      <c r="Y45" s="40">
        <v>26666.52</v>
      </c>
      <c r="Z45" s="40">
        <v>10303.969999999999</v>
      </c>
      <c r="AA45" s="40">
        <v>2533.66</v>
      </c>
      <c r="AB45" s="40">
        <v>4841.8500000000004</v>
      </c>
      <c r="AC45" s="40">
        <v>6162.95</v>
      </c>
      <c r="AD45" s="40">
        <v>10392.469999999999</v>
      </c>
      <c r="AE45" s="40">
        <v>1563.22</v>
      </c>
      <c r="AF45" s="40">
        <v>3220.65</v>
      </c>
      <c r="AG45" s="40">
        <v>3426.07</v>
      </c>
      <c r="AH45" s="71">
        <v>300498.24738201441</v>
      </c>
      <c r="AI45" s="107">
        <v>9.5826179856115132</v>
      </c>
      <c r="AJ45" s="40">
        <v>5743.23</v>
      </c>
      <c r="AK45" s="40">
        <v>7308.16</v>
      </c>
      <c r="AL45" s="40">
        <v>18197.87</v>
      </c>
      <c r="AM45" s="40">
        <v>4972.24</v>
      </c>
      <c r="AN45" s="40">
        <v>17128.419999999998</v>
      </c>
      <c r="AO45" s="40">
        <v>24517.87</v>
      </c>
      <c r="AP45" s="40">
        <v>15540.07</v>
      </c>
      <c r="AQ45" s="40">
        <v>263.27999999999997</v>
      </c>
      <c r="AR45" s="40">
        <v>506.6</v>
      </c>
      <c r="AS45" s="40">
        <v>8069.09</v>
      </c>
      <c r="AT45" s="40">
        <v>1569.15</v>
      </c>
      <c r="AU45" s="40">
        <v>24805.72</v>
      </c>
      <c r="AV45" s="40">
        <v>1171.18</v>
      </c>
      <c r="AW45" s="40">
        <v>1483.07</v>
      </c>
      <c r="AX45" s="40">
        <v>6601.09</v>
      </c>
      <c r="AY45" s="40">
        <v>6697.83</v>
      </c>
      <c r="AZ45" s="40">
        <v>2526.19</v>
      </c>
      <c r="BA45" s="40">
        <v>969.48</v>
      </c>
      <c r="BB45" s="40">
        <v>994.22</v>
      </c>
      <c r="BC45" s="40">
        <v>17505.310000000001</v>
      </c>
      <c r="BD45" s="40">
        <v>6699.71</v>
      </c>
      <c r="BE45" s="40">
        <v>3424.06</v>
      </c>
      <c r="BF45" s="40">
        <v>4383.08</v>
      </c>
      <c r="BG45" s="40">
        <v>1377.9</v>
      </c>
      <c r="BH45" s="40">
        <v>1847.07</v>
      </c>
      <c r="BI45" s="40">
        <v>3034.59</v>
      </c>
      <c r="BJ45" s="40">
        <v>1423.32</v>
      </c>
      <c r="BK45" s="40">
        <v>797.71</v>
      </c>
      <c r="BL45" s="40">
        <v>6683.18</v>
      </c>
      <c r="BM45" s="40">
        <v>13855.71</v>
      </c>
      <c r="BN45" s="40">
        <v>10071.83</v>
      </c>
      <c r="BO45" s="40">
        <v>13082.05</v>
      </c>
      <c r="BP45" s="40">
        <v>7581.05</v>
      </c>
      <c r="BQ45" s="40">
        <v>3292.59</v>
      </c>
      <c r="BR45" s="41">
        <v>4784</v>
      </c>
      <c r="BS45" s="40">
        <v>2215.41</v>
      </c>
      <c r="BT45" s="40">
        <v>505.04</v>
      </c>
      <c r="BU45" s="40">
        <v>4185.51</v>
      </c>
      <c r="BV45" s="40">
        <v>15.21</v>
      </c>
      <c r="BW45" s="41">
        <v>0</v>
      </c>
      <c r="BX45" s="40">
        <v>291767.17</v>
      </c>
      <c r="BY45" s="40">
        <v>3293.14</v>
      </c>
      <c r="BZ45" s="40">
        <v>288471.8</v>
      </c>
      <c r="CA45" s="40">
        <v>2.23</v>
      </c>
      <c r="CB45" s="40">
        <v>1691.84</v>
      </c>
      <c r="CC45" s="40">
        <v>1118.46</v>
      </c>
      <c r="CD45" s="40">
        <v>12378.05</v>
      </c>
      <c r="CE45" s="41" t="s">
        <v>102</v>
      </c>
      <c r="CF45" s="40">
        <v>12378.05</v>
      </c>
      <c r="CG45" s="41" t="s">
        <v>102</v>
      </c>
      <c r="CH45" s="41" t="s">
        <v>102</v>
      </c>
      <c r="CI45" s="40">
        <v>573.38</v>
      </c>
      <c r="CJ45" s="41" t="s">
        <v>102</v>
      </c>
      <c r="CK45" s="41" t="s">
        <v>102</v>
      </c>
      <c r="CL45" s="40">
        <v>1055512.78</v>
      </c>
      <c r="CM45" s="40">
        <v>305837.06</v>
      </c>
    </row>
    <row r="46" spans="1:91" x14ac:dyDescent="0.35">
      <c r="A46" s="27" t="s">
        <v>129</v>
      </c>
      <c r="B46" s="34">
        <v>341.36978417266198</v>
      </c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70">
        <v>0</v>
      </c>
      <c r="N46" s="29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71">
        <v>0</v>
      </c>
      <c r="AI46" s="28">
        <v>0</v>
      </c>
      <c r="AJ46" s="28">
        <v>0</v>
      </c>
      <c r="AK46" s="118">
        <v>4.6025925844290985</v>
      </c>
      <c r="AL46" s="28">
        <v>0</v>
      </c>
      <c r="AM46" s="28">
        <v>0</v>
      </c>
      <c r="AN46" s="28">
        <v>0</v>
      </c>
      <c r="AO46" s="28">
        <v>0</v>
      </c>
      <c r="AP46" s="34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34">
        <v>134.07888223571481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9"/>
      <c r="CH46" s="29"/>
      <c r="CI46" s="28"/>
      <c r="CJ46" s="29"/>
      <c r="CK46" s="29"/>
      <c r="CL46" s="28"/>
      <c r="CM46" s="28"/>
    </row>
    <row r="47" spans="1:91" x14ac:dyDescent="0.35">
      <c r="A47" s="25" t="s">
        <v>46</v>
      </c>
      <c r="B47" s="62">
        <v>33865.49</v>
      </c>
      <c r="C47" s="62">
        <v>1722.95</v>
      </c>
      <c r="D47" s="62">
        <v>24.47</v>
      </c>
      <c r="E47" s="62">
        <v>39.76</v>
      </c>
      <c r="F47" s="62">
        <v>111.53</v>
      </c>
      <c r="G47" s="62">
        <v>1836.18</v>
      </c>
      <c r="H47" s="62">
        <v>186.71</v>
      </c>
      <c r="I47" s="62">
        <v>70.97</v>
      </c>
      <c r="J47" s="62">
        <v>343.15</v>
      </c>
      <c r="K47" s="62">
        <v>55.22</v>
      </c>
      <c r="L47" s="62">
        <v>293.5</v>
      </c>
      <c r="M47" s="70">
        <v>897.38</v>
      </c>
      <c r="N47" s="39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62">
        <v>177.8</v>
      </c>
      <c r="W47" s="62">
        <v>223.13</v>
      </c>
      <c r="X47" s="62">
        <v>281.77999999999997</v>
      </c>
      <c r="Y47" s="62">
        <v>548.01</v>
      </c>
      <c r="Z47" s="62">
        <v>433.74</v>
      </c>
      <c r="AA47" s="62">
        <v>121.8</v>
      </c>
      <c r="AB47" s="62">
        <v>182.15</v>
      </c>
      <c r="AC47" s="62">
        <v>309.54000000000002</v>
      </c>
      <c r="AD47" s="62">
        <v>435.03</v>
      </c>
      <c r="AE47" s="62">
        <v>119.07</v>
      </c>
      <c r="AF47" s="62">
        <v>134.38999999999999</v>
      </c>
      <c r="AG47" s="62">
        <v>186.02</v>
      </c>
      <c r="AH47" s="71">
        <v>1181.96</v>
      </c>
      <c r="AI47" s="62"/>
      <c r="AJ47" s="62">
        <v>2839.03</v>
      </c>
      <c r="AK47" s="62">
        <v>1158.04</v>
      </c>
      <c r="AL47" s="62">
        <v>933.04</v>
      </c>
      <c r="AM47" s="62">
        <v>204.78</v>
      </c>
      <c r="AN47" s="62">
        <v>849.3</v>
      </c>
      <c r="AO47" s="62">
        <v>871.15</v>
      </c>
      <c r="AP47" s="62">
        <v>317</v>
      </c>
      <c r="AQ47" s="62">
        <v>16.82</v>
      </c>
      <c r="AR47" s="62">
        <v>13.27</v>
      </c>
      <c r="AS47" s="62">
        <v>301.02999999999997</v>
      </c>
      <c r="AT47" s="62">
        <v>76.010000000000005</v>
      </c>
      <c r="AU47" s="62">
        <v>2123.5</v>
      </c>
      <c r="AV47" s="62">
        <v>71.53</v>
      </c>
      <c r="AW47" s="62">
        <v>218.56</v>
      </c>
      <c r="AX47" s="62">
        <v>180.17</v>
      </c>
      <c r="AY47" s="62">
        <v>219.79</v>
      </c>
      <c r="AZ47" s="62">
        <v>193.73</v>
      </c>
      <c r="BA47" s="62">
        <v>96.05</v>
      </c>
      <c r="BB47" s="62">
        <v>198.34</v>
      </c>
      <c r="BC47" s="62">
        <v>2540.1999999999998</v>
      </c>
      <c r="BD47" s="62">
        <v>408.93</v>
      </c>
      <c r="BE47" s="62">
        <v>699.61</v>
      </c>
      <c r="BF47" s="62">
        <v>333.52</v>
      </c>
      <c r="BG47" s="62">
        <v>66.81</v>
      </c>
      <c r="BH47" s="62">
        <v>110.48</v>
      </c>
      <c r="BI47" s="62">
        <v>179.64</v>
      </c>
      <c r="BJ47" s="62">
        <v>59.31</v>
      </c>
      <c r="BK47" s="62">
        <v>48.58</v>
      </c>
      <c r="BL47" s="62">
        <v>538.41</v>
      </c>
      <c r="BM47" s="62">
        <v>1855.6</v>
      </c>
      <c r="BN47" s="62">
        <v>1363.63</v>
      </c>
      <c r="BO47" s="62">
        <v>1848.94</v>
      </c>
      <c r="BP47" s="62">
        <v>976.42</v>
      </c>
      <c r="BQ47" s="62">
        <v>386.5</v>
      </c>
      <c r="BR47" s="62">
        <v>757.6</v>
      </c>
      <c r="BS47" s="62">
        <v>271.64</v>
      </c>
      <c r="BT47" s="62">
        <v>25.4</v>
      </c>
      <c r="BU47" s="62">
        <v>596.16999999999996</v>
      </c>
      <c r="BV47" s="62">
        <v>0.76</v>
      </c>
      <c r="BW47" s="62">
        <v>0</v>
      </c>
      <c r="BX47" s="62">
        <v>34337.519999999997</v>
      </c>
      <c r="BY47" s="62">
        <v>3687.75</v>
      </c>
      <c r="BZ47" s="62">
        <v>30649.69</v>
      </c>
      <c r="CA47" s="62">
        <v>0.09</v>
      </c>
      <c r="CB47" s="62">
        <v>-29.96</v>
      </c>
      <c r="CC47" s="62">
        <v>-31.47</v>
      </c>
      <c r="CD47" s="62">
        <v>71.069999999999993</v>
      </c>
      <c r="CE47" s="62" t="s">
        <v>102</v>
      </c>
      <c r="CF47" s="62">
        <v>71.069999999999993</v>
      </c>
      <c r="CG47" s="62" t="s">
        <v>102</v>
      </c>
      <c r="CH47" s="62" t="s">
        <v>102</v>
      </c>
      <c r="CI47" s="62">
        <v>1.51</v>
      </c>
      <c r="CJ47" s="62" t="s">
        <v>102</v>
      </c>
      <c r="CK47" s="62" t="s">
        <v>102</v>
      </c>
      <c r="CL47" s="62">
        <v>68244.12</v>
      </c>
      <c r="CM47" s="62">
        <v>34378.629999999997</v>
      </c>
    </row>
    <row r="48" spans="1:91" x14ac:dyDescent="0.35">
      <c r="A48" s="25" t="s">
        <v>47</v>
      </c>
      <c r="B48" s="62">
        <v>238357.71</v>
      </c>
      <c r="C48" s="62">
        <v>2305.66</v>
      </c>
      <c r="D48" s="62">
        <v>119.15</v>
      </c>
      <c r="E48" s="62">
        <v>45.18</v>
      </c>
      <c r="F48" s="62">
        <v>1493.21</v>
      </c>
      <c r="G48" s="62">
        <v>8111.93</v>
      </c>
      <c r="H48" s="62">
        <v>1738.56</v>
      </c>
      <c r="I48" s="62">
        <v>1155.95</v>
      </c>
      <c r="J48" s="62">
        <v>6801.83</v>
      </c>
      <c r="K48" s="62">
        <v>330.91</v>
      </c>
      <c r="L48" s="62">
        <v>2621.35</v>
      </c>
      <c r="M48" s="70">
        <v>5843.67</v>
      </c>
      <c r="N48" s="39">
        <v>93.45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62">
        <v>1110.08</v>
      </c>
      <c r="W48" s="62">
        <v>5801.42</v>
      </c>
      <c r="X48" s="62">
        <v>2839.39</v>
      </c>
      <c r="Y48" s="62">
        <v>22640.06</v>
      </c>
      <c r="Z48" s="62">
        <v>7380.42</v>
      </c>
      <c r="AA48" s="62">
        <v>579.37</v>
      </c>
      <c r="AB48" s="62">
        <v>4154.24</v>
      </c>
      <c r="AC48" s="62">
        <v>2883.84</v>
      </c>
      <c r="AD48" s="62">
        <v>2319.14</v>
      </c>
      <c r="AE48" s="62">
        <v>626.78</v>
      </c>
      <c r="AF48" s="62">
        <v>1309.21</v>
      </c>
      <c r="AG48" s="62">
        <v>1252</v>
      </c>
      <c r="AH48" s="71">
        <v>4680.1899999999996</v>
      </c>
      <c r="AI48" s="62"/>
      <c r="AJ48" s="62">
        <v>3236.33</v>
      </c>
      <c r="AK48" s="62">
        <v>52934.63</v>
      </c>
      <c r="AL48" s="62">
        <v>14955.26</v>
      </c>
      <c r="AM48" s="62">
        <v>1294.68</v>
      </c>
      <c r="AN48" s="62">
        <v>5930.08</v>
      </c>
      <c r="AO48" s="62">
        <v>5429.92</v>
      </c>
      <c r="AP48" s="62">
        <v>1713.22</v>
      </c>
      <c r="AQ48" s="62">
        <v>175.62</v>
      </c>
      <c r="AR48" s="62">
        <v>162.56</v>
      </c>
      <c r="AS48" s="62">
        <v>1308.3399999999999</v>
      </c>
      <c r="AT48" s="62">
        <v>312.42</v>
      </c>
      <c r="AU48" s="62">
        <v>5254.96</v>
      </c>
      <c r="AV48" s="62">
        <v>419.1</v>
      </c>
      <c r="AW48" s="62">
        <v>346.75</v>
      </c>
      <c r="AX48" s="62">
        <v>807.01</v>
      </c>
      <c r="AY48" s="62">
        <v>2087.81</v>
      </c>
      <c r="AZ48" s="62">
        <v>548.79999999999995</v>
      </c>
      <c r="BA48" s="62">
        <v>280.39999999999998</v>
      </c>
      <c r="BB48" s="62">
        <v>263.3</v>
      </c>
      <c r="BC48" s="62">
        <v>8676.67</v>
      </c>
      <c r="BD48" s="62">
        <v>2734.31</v>
      </c>
      <c r="BE48" s="62">
        <v>1751.18</v>
      </c>
      <c r="BF48" s="62">
        <v>1570.15</v>
      </c>
      <c r="BG48" s="62">
        <v>727.68</v>
      </c>
      <c r="BH48" s="62">
        <v>1341.26</v>
      </c>
      <c r="BI48" s="62">
        <v>1369.04</v>
      </c>
      <c r="BJ48" s="62">
        <v>277.10000000000002</v>
      </c>
      <c r="BK48" s="62">
        <v>202.57</v>
      </c>
      <c r="BL48" s="62">
        <v>4800.88</v>
      </c>
      <c r="BM48" s="62">
        <v>18140.259999999998</v>
      </c>
      <c r="BN48" s="62">
        <v>1439.51</v>
      </c>
      <c r="BO48" s="62">
        <v>3920.1</v>
      </c>
      <c r="BP48" s="62">
        <v>2029.87</v>
      </c>
      <c r="BQ48" s="62">
        <v>1011.25</v>
      </c>
      <c r="BR48" s="62">
        <v>925.56</v>
      </c>
      <c r="BS48" s="62">
        <v>326.73</v>
      </c>
      <c r="BT48" s="62">
        <v>116.14</v>
      </c>
      <c r="BU48" s="62">
        <v>1288.31</v>
      </c>
      <c r="BV48" s="62">
        <v>10.99</v>
      </c>
      <c r="BW48" s="62">
        <v>0</v>
      </c>
      <c r="BX48" s="62">
        <v>77580.67</v>
      </c>
      <c r="BY48" s="62">
        <v>20926.54</v>
      </c>
      <c r="BZ48" s="62">
        <v>56633.919999999998</v>
      </c>
      <c r="CA48" s="62">
        <v>20.21</v>
      </c>
      <c r="CB48" s="62">
        <v>759.7</v>
      </c>
      <c r="CC48" s="62">
        <v>716.92</v>
      </c>
      <c r="CD48" s="62">
        <v>15417.59</v>
      </c>
      <c r="CE48" s="62" t="s">
        <v>102</v>
      </c>
      <c r="CF48" s="62">
        <v>15417.59</v>
      </c>
      <c r="CG48" s="62" t="s">
        <v>102</v>
      </c>
      <c r="CH48" s="62" t="s">
        <v>102</v>
      </c>
      <c r="CI48" s="62">
        <v>42.79</v>
      </c>
      <c r="CJ48" s="62" t="s">
        <v>102</v>
      </c>
      <c r="CK48" s="62" t="s">
        <v>102</v>
      </c>
      <c r="CL48" s="62">
        <v>332115.67</v>
      </c>
      <c r="CM48" s="62">
        <v>93757.96</v>
      </c>
    </row>
    <row r="49" spans="1:91" x14ac:dyDescent="0.35">
      <c r="A49" s="26" t="s">
        <v>48</v>
      </c>
      <c r="B49" s="36">
        <v>846786.89</v>
      </c>
      <c r="C49" s="36">
        <v>5468.84</v>
      </c>
      <c r="D49" s="36">
        <v>590.04999999999995</v>
      </c>
      <c r="E49" s="36">
        <v>200.79</v>
      </c>
      <c r="F49" s="36">
        <v>1386.25</v>
      </c>
      <c r="G49" s="36">
        <v>5734.28</v>
      </c>
      <c r="H49" s="36">
        <v>1078.56</v>
      </c>
      <c r="I49" s="36">
        <v>1967.54</v>
      </c>
      <c r="J49" s="36">
        <v>1187.8699999999999</v>
      </c>
      <c r="K49" s="36">
        <v>589.57000000000005</v>
      </c>
      <c r="L49" s="36">
        <v>1965.93</v>
      </c>
      <c r="M49" s="70">
        <v>4137.9075636407861</v>
      </c>
      <c r="N49" s="37">
        <v>94.202332599999991</v>
      </c>
      <c r="O49" s="37">
        <v>23.04561875921376</v>
      </c>
      <c r="P49" s="37">
        <v>66.412394999999989</v>
      </c>
      <c r="Q49" s="66">
        <v>18.39209</v>
      </c>
      <c r="R49" s="36"/>
      <c r="S49" s="36"/>
      <c r="T49" s="36"/>
      <c r="U49" s="76"/>
      <c r="V49" s="36">
        <v>2027.24</v>
      </c>
      <c r="W49" s="36">
        <v>2346.62</v>
      </c>
      <c r="X49" s="36">
        <v>3260.7</v>
      </c>
      <c r="Y49" s="36">
        <v>3735.8</v>
      </c>
      <c r="Z49" s="36">
        <v>4928.05</v>
      </c>
      <c r="AA49" s="36">
        <v>1476.28</v>
      </c>
      <c r="AB49" s="36">
        <v>2238.29</v>
      </c>
      <c r="AC49" s="36">
        <v>3444.61</v>
      </c>
      <c r="AD49" s="36">
        <v>3305.05</v>
      </c>
      <c r="AE49" s="36">
        <v>1095.49</v>
      </c>
      <c r="AF49" s="36">
        <v>1344.27</v>
      </c>
      <c r="AG49" s="36">
        <v>5391.5</v>
      </c>
      <c r="AH49" s="71">
        <v>24159.26828417266</v>
      </c>
      <c r="AI49" s="66">
        <v>19.741715827338133</v>
      </c>
      <c r="AJ49" s="36">
        <v>3013.97</v>
      </c>
      <c r="AK49" s="36">
        <v>9300.73</v>
      </c>
      <c r="AL49" s="36">
        <v>442249.44</v>
      </c>
      <c r="AM49" s="36">
        <v>2611.0300000000002</v>
      </c>
      <c r="AN49" s="36">
        <v>11774.85</v>
      </c>
      <c r="AO49" s="36">
        <v>9866.3799999999992</v>
      </c>
      <c r="AP49" s="36">
        <v>9673.0300000000007</v>
      </c>
      <c r="AQ49" s="36">
        <v>338.8</v>
      </c>
      <c r="AR49" s="36">
        <v>515.52</v>
      </c>
      <c r="AS49" s="36">
        <v>16718.7</v>
      </c>
      <c r="AT49" s="36">
        <v>1570.29</v>
      </c>
      <c r="AU49" s="36">
        <v>11430.46</v>
      </c>
      <c r="AV49" s="36">
        <v>934.14</v>
      </c>
      <c r="AW49" s="36">
        <v>1164.93</v>
      </c>
      <c r="AX49" s="36">
        <v>5295.29</v>
      </c>
      <c r="AY49" s="36">
        <v>4204.9799999999996</v>
      </c>
      <c r="AZ49" s="36">
        <v>2610.2399999999998</v>
      </c>
      <c r="BA49" s="36">
        <v>1797.18</v>
      </c>
      <c r="BB49" s="36">
        <v>1888.39</v>
      </c>
      <c r="BC49" s="36">
        <v>113221.8</v>
      </c>
      <c r="BD49" s="36">
        <v>7213.89</v>
      </c>
      <c r="BE49" s="36">
        <v>12068.6</v>
      </c>
      <c r="BF49" s="36">
        <v>3871.55</v>
      </c>
      <c r="BG49" s="36">
        <v>1201.8900000000001</v>
      </c>
      <c r="BH49" s="36">
        <v>1624.14</v>
      </c>
      <c r="BI49" s="36">
        <v>4300.82</v>
      </c>
      <c r="BJ49" s="36">
        <v>1598.35</v>
      </c>
      <c r="BK49" s="36">
        <v>549.04</v>
      </c>
      <c r="BL49" s="36">
        <v>8171.73</v>
      </c>
      <c r="BM49" s="36">
        <v>34305.47</v>
      </c>
      <c r="BN49" s="36">
        <v>11267.15</v>
      </c>
      <c r="BO49" s="36">
        <v>10934.6</v>
      </c>
      <c r="BP49" s="36">
        <v>5961.84</v>
      </c>
      <c r="BQ49" s="36">
        <v>3520.35</v>
      </c>
      <c r="BR49" s="36">
        <v>2612</v>
      </c>
      <c r="BS49" s="36">
        <v>2197.19</v>
      </c>
      <c r="BT49" s="36">
        <v>421.51</v>
      </c>
      <c r="BU49" s="36">
        <v>1502.2</v>
      </c>
      <c r="BV49" s="36">
        <v>1.91</v>
      </c>
      <c r="BW49" s="36">
        <v>0</v>
      </c>
      <c r="BX49" s="36">
        <v>81814.23</v>
      </c>
      <c r="BY49" s="36">
        <v>8784.39</v>
      </c>
      <c r="BZ49" s="36">
        <v>73024.92</v>
      </c>
      <c r="CA49" s="36">
        <v>4.93</v>
      </c>
      <c r="CB49" s="36">
        <v>1506899.18</v>
      </c>
      <c r="CC49" s="36">
        <v>2601.9499999999998</v>
      </c>
      <c r="CD49" s="36">
        <v>10598.99</v>
      </c>
      <c r="CE49" s="36" t="s">
        <v>102</v>
      </c>
      <c r="CF49" s="36">
        <v>10598.99</v>
      </c>
      <c r="CG49" s="36" t="s">
        <v>102</v>
      </c>
      <c r="CH49" s="36" t="s">
        <v>102</v>
      </c>
      <c r="CI49" s="36">
        <v>1504297.23</v>
      </c>
      <c r="CJ49" s="36" t="s">
        <v>102</v>
      </c>
      <c r="CK49" s="36" t="s">
        <v>102</v>
      </c>
      <c r="CL49" s="36">
        <v>2446099.29</v>
      </c>
      <c r="CM49" s="36">
        <v>1599312.4</v>
      </c>
    </row>
    <row r="50" spans="1:91" x14ac:dyDescent="0.35">
      <c r="A50" s="3" t="s">
        <v>49</v>
      </c>
      <c r="B50" s="11">
        <v>193821.63</v>
      </c>
      <c r="C50" s="11">
        <v>2564.64</v>
      </c>
      <c r="D50" s="11">
        <v>395.32</v>
      </c>
      <c r="E50" s="11">
        <v>150.83000000000001</v>
      </c>
      <c r="F50" s="11">
        <v>467.28</v>
      </c>
      <c r="G50" s="11">
        <v>4130.3999999999996</v>
      </c>
      <c r="H50" s="11">
        <v>796.1</v>
      </c>
      <c r="I50" s="11">
        <v>754.81</v>
      </c>
      <c r="J50" s="11">
        <v>599.15</v>
      </c>
      <c r="K50" s="11">
        <v>279.43</v>
      </c>
      <c r="L50" s="11">
        <v>747.97</v>
      </c>
      <c r="M50" s="70">
        <v>1503.48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1">
        <v>709.03</v>
      </c>
      <c r="W50" s="11">
        <v>1178.23</v>
      </c>
      <c r="X50" s="11">
        <v>1513.83</v>
      </c>
      <c r="Y50" s="11">
        <v>1115.46</v>
      </c>
      <c r="Z50" s="11">
        <v>2054.27</v>
      </c>
      <c r="AA50" s="11">
        <v>1111.8900000000001</v>
      </c>
      <c r="AB50" s="11">
        <v>1713.13</v>
      </c>
      <c r="AC50" s="11">
        <v>4693.26</v>
      </c>
      <c r="AD50" s="11">
        <v>35752.199999999997</v>
      </c>
      <c r="AE50" s="11">
        <v>2449.7399999999998</v>
      </c>
      <c r="AF50" s="11">
        <v>907.92</v>
      </c>
      <c r="AG50" s="11">
        <v>2059.6</v>
      </c>
      <c r="AH50" s="71">
        <v>1316.68</v>
      </c>
      <c r="AI50" s="29"/>
      <c r="AJ50" s="11">
        <v>296.33999999999997</v>
      </c>
      <c r="AK50" s="11">
        <v>2612.8000000000002</v>
      </c>
      <c r="AL50" s="11">
        <v>9033.74</v>
      </c>
      <c r="AM50" s="11">
        <v>18673.060000000001</v>
      </c>
      <c r="AN50" s="11">
        <v>9445.7900000000009</v>
      </c>
      <c r="AO50" s="11">
        <v>7124.13</v>
      </c>
      <c r="AP50" s="11">
        <v>20805.14</v>
      </c>
      <c r="AQ50" s="11">
        <v>407.52</v>
      </c>
      <c r="AR50" s="11">
        <v>1080.58</v>
      </c>
      <c r="AS50" s="11">
        <v>6815.98</v>
      </c>
      <c r="AT50" s="11">
        <v>6135.87</v>
      </c>
      <c r="AU50" s="11">
        <v>2996.02</v>
      </c>
      <c r="AV50" s="11">
        <v>484.21</v>
      </c>
      <c r="AW50" s="11">
        <v>770.35</v>
      </c>
      <c r="AX50" s="11">
        <v>1318.72</v>
      </c>
      <c r="AY50" s="11">
        <v>1811.48</v>
      </c>
      <c r="AZ50" s="11">
        <v>714.06</v>
      </c>
      <c r="BA50" s="11">
        <v>504.72</v>
      </c>
      <c r="BB50" s="11">
        <v>812.47</v>
      </c>
      <c r="BC50" s="11">
        <v>1335.33</v>
      </c>
      <c r="BD50" s="11">
        <v>2319.44</v>
      </c>
      <c r="BE50" s="11">
        <v>1296.8399999999999</v>
      </c>
      <c r="BF50" s="11">
        <v>3317.27</v>
      </c>
      <c r="BG50" s="11">
        <v>726.63</v>
      </c>
      <c r="BH50" s="11">
        <v>850.61</v>
      </c>
      <c r="BI50" s="11">
        <v>8898.83</v>
      </c>
      <c r="BJ50" s="11">
        <v>516.51</v>
      </c>
      <c r="BK50" s="11">
        <v>414.18</v>
      </c>
      <c r="BL50" s="11">
        <v>2165.21</v>
      </c>
      <c r="BM50" s="11">
        <v>3284.1</v>
      </c>
      <c r="BN50" s="11">
        <v>1029.3900000000001</v>
      </c>
      <c r="BO50" s="11">
        <v>2651.72</v>
      </c>
      <c r="BP50" s="11">
        <v>1314.08</v>
      </c>
      <c r="BQ50" s="11">
        <v>656.53</v>
      </c>
      <c r="BR50" s="11">
        <v>691.18</v>
      </c>
      <c r="BS50" s="11">
        <v>713.03</v>
      </c>
      <c r="BT50" s="11">
        <v>277.61</v>
      </c>
      <c r="BU50" s="11">
        <v>552.36</v>
      </c>
      <c r="BV50" s="11">
        <v>3.17</v>
      </c>
      <c r="BW50" s="5">
        <v>0</v>
      </c>
      <c r="BX50" s="11">
        <v>159087.32</v>
      </c>
      <c r="BY50" s="11">
        <v>325.83999999999997</v>
      </c>
      <c r="BZ50" s="11">
        <v>158732.32999999999</v>
      </c>
      <c r="CA50" s="11">
        <v>29.14</v>
      </c>
      <c r="CB50" s="11">
        <v>29417.52</v>
      </c>
      <c r="CC50" s="11">
        <v>241.61</v>
      </c>
      <c r="CD50" s="11">
        <v>27066.43</v>
      </c>
      <c r="CE50" s="5" t="s">
        <v>102</v>
      </c>
      <c r="CF50" s="11">
        <v>27066.43</v>
      </c>
      <c r="CG50" s="5" t="s">
        <v>102</v>
      </c>
      <c r="CH50" s="5" t="s">
        <v>102</v>
      </c>
      <c r="CI50" s="11">
        <v>29175.9</v>
      </c>
      <c r="CJ50" s="5" t="s">
        <v>102</v>
      </c>
      <c r="CK50" s="5" t="s">
        <v>102</v>
      </c>
      <c r="CL50" s="11">
        <v>409392.89</v>
      </c>
      <c r="CM50" s="11">
        <v>215571.26</v>
      </c>
    </row>
    <row r="51" spans="1:91" x14ac:dyDescent="0.35">
      <c r="A51" s="3" t="s">
        <v>50</v>
      </c>
      <c r="B51" s="10">
        <v>1015163.95</v>
      </c>
      <c r="C51" s="10">
        <v>23700.240000000002</v>
      </c>
      <c r="D51" s="10">
        <v>2273.7600000000002</v>
      </c>
      <c r="E51" s="10">
        <v>596.70000000000005</v>
      </c>
      <c r="F51" s="10">
        <v>2176.65</v>
      </c>
      <c r="G51" s="10">
        <v>98680.11</v>
      </c>
      <c r="H51" s="10">
        <v>15438.12</v>
      </c>
      <c r="I51" s="10">
        <v>11045.84</v>
      </c>
      <c r="J51" s="10">
        <v>11315.02</v>
      </c>
      <c r="K51" s="10">
        <v>2824.64</v>
      </c>
      <c r="L51" s="10">
        <v>12772.36</v>
      </c>
      <c r="M51" s="70">
        <v>33927.71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0">
        <v>15204.91</v>
      </c>
      <c r="W51" s="10">
        <v>17847.169999999998</v>
      </c>
      <c r="X51" s="10">
        <v>14187.62</v>
      </c>
      <c r="Y51" s="10">
        <v>21164.99</v>
      </c>
      <c r="Z51" s="10">
        <v>26413.42</v>
      </c>
      <c r="AA51" s="10">
        <v>19911.830000000002</v>
      </c>
      <c r="AB51" s="10">
        <v>20506.78</v>
      </c>
      <c r="AC51" s="10">
        <v>37329.43</v>
      </c>
      <c r="AD51" s="10">
        <v>41867.160000000003</v>
      </c>
      <c r="AE51" s="4">
        <v>10714</v>
      </c>
      <c r="AF51" s="10">
        <v>18677.34</v>
      </c>
      <c r="AG51" s="10">
        <v>19263.97</v>
      </c>
      <c r="AH51" s="71">
        <v>17544.8</v>
      </c>
      <c r="AI51" s="29"/>
      <c r="AJ51" s="10">
        <v>1040.27</v>
      </c>
      <c r="AK51" s="10">
        <v>8555.59</v>
      </c>
      <c r="AL51" s="10">
        <v>101184.39</v>
      </c>
      <c r="AM51" s="10">
        <v>11553.96</v>
      </c>
      <c r="AN51" s="10">
        <v>94515.51</v>
      </c>
      <c r="AO51" s="10">
        <v>28726.54</v>
      </c>
      <c r="AP51" s="10">
        <v>11046.39</v>
      </c>
      <c r="AQ51" s="10">
        <v>3067.01</v>
      </c>
      <c r="AR51" s="10">
        <v>3084.47</v>
      </c>
      <c r="AS51" s="10">
        <v>8004.48</v>
      </c>
      <c r="AT51" s="10">
        <v>1397.02</v>
      </c>
      <c r="AU51" s="10">
        <v>42692.65</v>
      </c>
      <c r="AV51" s="10">
        <v>8549.7000000000007</v>
      </c>
      <c r="AW51" s="10">
        <v>3209.48</v>
      </c>
      <c r="AX51" s="10">
        <v>7917.9</v>
      </c>
      <c r="AY51" s="10">
        <v>23497.46</v>
      </c>
      <c r="AZ51" s="10">
        <v>1616.23</v>
      </c>
      <c r="BA51" s="10">
        <v>801.6</v>
      </c>
      <c r="BB51" s="10">
        <v>5299.47</v>
      </c>
      <c r="BC51" s="10">
        <v>9210.82</v>
      </c>
      <c r="BD51" s="10">
        <v>11172.41</v>
      </c>
      <c r="BE51" s="10">
        <v>7373.12</v>
      </c>
      <c r="BF51" s="10">
        <v>10628.69</v>
      </c>
      <c r="BG51" s="10">
        <v>3463.4</v>
      </c>
      <c r="BH51" s="10">
        <v>3913.64</v>
      </c>
      <c r="BI51" s="10">
        <v>10553.77</v>
      </c>
      <c r="BJ51" s="10">
        <v>1096.3399999999999</v>
      </c>
      <c r="BK51" s="10">
        <v>1609.6</v>
      </c>
      <c r="BL51" s="10">
        <v>14398.13</v>
      </c>
      <c r="BM51" s="10">
        <v>10833.37</v>
      </c>
      <c r="BN51" s="10">
        <v>6548.16</v>
      </c>
      <c r="BO51" s="10">
        <v>39383.269999999997</v>
      </c>
      <c r="BP51" s="10">
        <v>9661.0300000000007</v>
      </c>
      <c r="BQ51" s="10">
        <v>3996.24</v>
      </c>
      <c r="BR51" s="10">
        <v>3173.36</v>
      </c>
      <c r="BS51" s="10">
        <v>1985.94</v>
      </c>
      <c r="BT51" s="10">
        <v>1661.69</v>
      </c>
      <c r="BU51" s="10">
        <v>3328.64</v>
      </c>
      <c r="BV51" s="10">
        <v>27.7</v>
      </c>
      <c r="BW51" s="4">
        <v>0</v>
      </c>
      <c r="BX51" s="10">
        <v>341345.44</v>
      </c>
      <c r="BY51" s="10">
        <v>17166.41</v>
      </c>
      <c r="BZ51" s="10">
        <v>324091.40000000002</v>
      </c>
      <c r="CA51" s="10">
        <v>87.63</v>
      </c>
      <c r="CB51" s="10">
        <v>113466.05</v>
      </c>
      <c r="CC51" s="10">
        <v>4914.01</v>
      </c>
      <c r="CD51" s="10">
        <v>309608.76</v>
      </c>
      <c r="CE51" s="4" t="s">
        <v>102</v>
      </c>
      <c r="CF51" s="10">
        <v>309608.76</v>
      </c>
      <c r="CG51" s="4" t="s">
        <v>102</v>
      </c>
      <c r="CH51" s="4" t="s">
        <v>102</v>
      </c>
      <c r="CI51" s="10">
        <v>108552.05</v>
      </c>
      <c r="CJ51" s="4" t="s">
        <v>102</v>
      </c>
      <c r="CK51" s="4" t="s">
        <v>102</v>
      </c>
      <c r="CL51" s="10">
        <v>1779584.2</v>
      </c>
      <c r="CM51" s="10">
        <v>764420.25</v>
      </c>
    </row>
    <row r="52" spans="1:91" x14ac:dyDescent="0.35">
      <c r="A52" s="3" t="s">
        <v>51</v>
      </c>
      <c r="B52" s="11">
        <v>250170.21</v>
      </c>
      <c r="C52" s="11">
        <v>8758.9699999999993</v>
      </c>
      <c r="D52" s="11">
        <v>660.95</v>
      </c>
      <c r="E52" s="11">
        <v>387.09</v>
      </c>
      <c r="F52" s="11">
        <v>854.85</v>
      </c>
      <c r="G52" s="11">
        <v>26130.7</v>
      </c>
      <c r="H52" s="11">
        <v>3108.07</v>
      </c>
      <c r="I52" s="11">
        <v>2651.46</v>
      </c>
      <c r="J52" s="11">
        <v>2276.41</v>
      </c>
      <c r="K52" s="11">
        <v>896.73</v>
      </c>
      <c r="L52" s="11">
        <v>2481.6799999999998</v>
      </c>
      <c r="M52" s="70">
        <v>7000.46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1">
        <v>2528.59</v>
      </c>
      <c r="W52" s="11">
        <v>4431.8900000000003</v>
      </c>
      <c r="X52" s="11">
        <v>3206.49</v>
      </c>
      <c r="Y52" s="11">
        <v>3683.71</v>
      </c>
      <c r="Z52" s="11">
        <v>5641.04</v>
      </c>
      <c r="AA52" s="11">
        <v>5437.39</v>
      </c>
      <c r="AB52" s="11">
        <v>5028.6499999999996</v>
      </c>
      <c r="AC52" s="11">
        <v>6476.56</v>
      </c>
      <c r="AD52" s="11">
        <v>10586.59</v>
      </c>
      <c r="AE52" s="11">
        <v>4120.2700000000004</v>
      </c>
      <c r="AF52" s="11">
        <v>4945.6499999999996</v>
      </c>
      <c r="AG52" s="11">
        <v>4072.23</v>
      </c>
      <c r="AH52" s="71">
        <v>4267.3900000000003</v>
      </c>
      <c r="AI52" s="29"/>
      <c r="AJ52" s="11">
        <v>457.88</v>
      </c>
      <c r="AK52" s="11">
        <v>1674.5</v>
      </c>
      <c r="AL52" s="11">
        <v>20583.3</v>
      </c>
      <c r="AM52" s="11">
        <v>2356.81</v>
      </c>
      <c r="AN52" s="11">
        <v>6907.21</v>
      </c>
      <c r="AO52" s="11">
        <v>4207.87</v>
      </c>
      <c r="AP52" s="11">
        <v>4230.66</v>
      </c>
      <c r="AQ52" s="11">
        <v>1243.8800000000001</v>
      </c>
      <c r="AR52" s="11">
        <v>1069.97</v>
      </c>
      <c r="AS52" s="11">
        <v>2118.67</v>
      </c>
      <c r="AT52" s="11">
        <v>721.01</v>
      </c>
      <c r="AU52" s="11">
        <v>16122.74</v>
      </c>
      <c r="AV52" s="11">
        <v>986.74</v>
      </c>
      <c r="AW52" s="11">
        <v>1057.72</v>
      </c>
      <c r="AX52" s="11">
        <v>1957.74</v>
      </c>
      <c r="AY52" s="11">
        <v>2293.11</v>
      </c>
      <c r="AZ52" s="11">
        <v>764.02</v>
      </c>
      <c r="BA52" s="11">
        <v>777.55</v>
      </c>
      <c r="BB52" s="11">
        <v>829.43</v>
      </c>
      <c r="BC52" s="11">
        <v>2846.08</v>
      </c>
      <c r="BD52" s="11">
        <v>1948.6</v>
      </c>
      <c r="BE52" s="11">
        <v>2109.11</v>
      </c>
      <c r="BF52" s="11">
        <v>3085.78</v>
      </c>
      <c r="BG52" s="11">
        <v>1250.8</v>
      </c>
      <c r="BH52" s="11">
        <v>1611.91</v>
      </c>
      <c r="BI52" s="11">
        <v>2019.55</v>
      </c>
      <c r="BJ52" s="11">
        <v>555.25</v>
      </c>
      <c r="BK52" s="11">
        <v>727.48</v>
      </c>
      <c r="BL52" s="11">
        <v>3817.09</v>
      </c>
      <c r="BM52" s="11">
        <v>5095.87</v>
      </c>
      <c r="BN52" s="11">
        <v>2733.32</v>
      </c>
      <c r="BO52" s="11">
        <v>19494.669999999998</v>
      </c>
      <c r="BP52" s="11">
        <v>6844.39</v>
      </c>
      <c r="BQ52" s="11">
        <v>1694.32</v>
      </c>
      <c r="BR52" s="11">
        <v>1023.45</v>
      </c>
      <c r="BS52" s="11">
        <v>978.93</v>
      </c>
      <c r="BT52" s="11">
        <v>630.69000000000005</v>
      </c>
      <c r="BU52" s="11">
        <v>1698.47</v>
      </c>
      <c r="BV52" s="11">
        <v>9.82</v>
      </c>
      <c r="BW52" s="5">
        <v>0</v>
      </c>
      <c r="BX52" s="11">
        <v>778196.37</v>
      </c>
      <c r="BY52" s="11">
        <v>36958.29</v>
      </c>
      <c r="BZ52" s="11">
        <v>741179.99</v>
      </c>
      <c r="CA52" s="11">
        <v>58.1</v>
      </c>
      <c r="CB52" s="11">
        <v>38468.81</v>
      </c>
      <c r="CC52" s="11">
        <v>4672.21</v>
      </c>
      <c r="CD52" s="11">
        <v>43538.12</v>
      </c>
      <c r="CE52" s="5" t="s">
        <v>102</v>
      </c>
      <c r="CF52" s="11">
        <v>43538.12</v>
      </c>
      <c r="CG52" s="5" t="s">
        <v>102</v>
      </c>
      <c r="CH52" s="5" t="s">
        <v>102</v>
      </c>
      <c r="CI52" s="11">
        <v>33796.6</v>
      </c>
      <c r="CJ52" s="5" t="s">
        <v>102</v>
      </c>
      <c r="CK52" s="5" t="s">
        <v>102</v>
      </c>
      <c r="CL52" s="11">
        <v>1110373.51</v>
      </c>
      <c r="CM52" s="11">
        <v>860203.3</v>
      </c>
    </row>
    <row r="53" spans="1:91" x14ac:dyDescent="0.35">
      <c r="A53" s="35" t="s">
        <v>52</v>
      </c>
      <c r="B53" s="42">
        <v>514548.59</v>
      </c>
      <c r="C53" s="42">
        <v>4381.95</v>
      </c>
      <c r="D53" s="42">
        <v>2450.0700000000002</v>
      </c>
      <c r="E53" s="42">
        <v>115.25</v>
      </c>
      <c r="F53" s="42">
        <v>2863.48</v>
      </c>
      <c r="G53" s="42">
        <v>32611.48</v>
      </c>
      <c r="H53" s="42">
        <v>3816.61</v>
      </c>
      <c r="I53" s="42">
        <v>4549.68</v>
      </c>
      <c r="J53" s="42">
        <v>7267.78</v>
      </c>
      <c r="K53" s="42">
        <v>790.81</v>
      </c>
      <c r="L53" s="42">
        <v>13637.68</v>
      </c>
      <c r="M53" s="70">
        <v>13342.490413225552</v>
      </c>
      <c r="N53" s="67">
        <v>187.22183260000003</v>
      </c>
      <c r="O53" s="67">
        <v>21.082958174447175</v>
      </c>
      <c r="P53" s="79">
        <v>88.549859999999995</v>
      </c>
      <c r="Q53" s="67">
        <v>6.3649360000000001</v>
      </c>
      <c r="R53" s="42"/>
      <c r="S53" s="42"/>
      <c r="T53" s="42"/>
      <c r="U53" s="76"/>
      <c r="V53" s="42">
        <v>2654.12</v>
      </c>
      <c r="W53" s="42">
        <v>7256.75</v>
      </c>
      <c r="X53" s="42">
        <v>9900.86</v>
      </c>
      <c r="Y53" s="42">
        <v>12557.4</v>
      </c>
      <c r="Z53" s="42">
        <v>7349.2</v>
      </c>
      <c r="AA53" s="42">
        <v>2402.29</v>
      </c>
      <c r="AB53" s="42">
        <v>4837.3999999999996</v>
      </c>
      <c r="AC53" s="42">
        <v>7692.96</v>
      </c>
      <c r="AD53" s="42">
        <v>13616.37</v>
      </c>
      <c r="AE53" s="42">
        <v>1661.59</v>
      </c>
      <c r="AF53" s="42">
        <v>4785.24</v>
      </c>
      <c r="AG53" s="42">
        <v>3071.27</v>
      </c>
      <c r="AH53" s="71">
        <v>14278.084345503597</v>
      </c>
      <c r="AI53" s="67">
        <v>2.3956544964028783</v>
      </c>
      <c r="AJ53" s="42">
        <v>346.95</v>
      </c>
      <c r="AK53" s="42">
        <v>4478.0600000000004</v>
      </c>
      <c r="AL53" s="42">
        <v>21940.04</v>
      </c>
      <c r="AM53" s="42">
        <v>6627.96</v>
      </c>
      <c r="AN53" s="42">
        <v>65912.02</v>
      </c>
      <c r="AO53" s="42">
        <v>21086.7</v>
      </c>
      <c r="AP53" s="42">
        <v>75958.34</v>
      </c>
      <c r="AQ53" s="42">
        <v>1382.53</v>
      </c>
      <c r="AR53" s="42">
        <v>1111.72</v>
      </c>
      <c r="AS53" s="42">
        <v>55772.74</v>
      </c>
      <c r="AT53" s="42">
        <v>4131.87</v>
      </c>
      <c r="AU53" s="42">
        <v>4468.74</v>
      </c>
      <c r="AV53" s="42">
        <v>1630.59</v>
      </c>
      <c r="AW53" s="42">
        <v>800.79</v>
      </c>
      <c r="AX53" s="42">
        <v>1099.27</v>
      </c>
      <c r="AY53" s="42">
        <v>2884.16</v>
      </c>
      <c r="AZ53" s="42">
        <v>846.84</v>
      </c>
      <c r="BA53" s="42">
        <v>415.38</v>
      </c>
      <c r="BB53" s="42">
        <v>1034.56</v>
      </c>
      <c r="BC53" s="42">
        <v>2925.94</v>
      </c>
      <c r="BD53" s="42">
        <v>3731.52</v>
      </c>
      <c r="BE53" s="42">
        <v>1915.5</v>
      </c>
      <c r="BF53" s="42">
        <v>3507.01</v>
      </c>
      <c r="BG53" s="42">
        <v>1652.58</v>
      </c>
      <c r="BH53" s="42">
        <v>1203.01</v>
      </c>
      <c r="BI53" s="42">
        <v>4369.95</v>
      </c>
      <c r="BJ53" s="42">
        <v>467.01</v>
      </c>
      <c r="BK53" s="42">
        <v>8860.1299999999992</v>
      </c>
      <c r="BL53" s="42">
        <v>3313.4</v>
      </c>
      <c r="BM53" s="42">
        <v>9693.2900000000009</v>
      </c>
      <c r="BN53" s="42">
        <v>11232.34</v>
      </c>
      <c r="BO53" s="42">
        <v>4490.25</v>
      </c>
      <c r="BP53" s="42">
        <v>2193.4899999999998</v>
      </c>
      <c r="BQ53" s="42">
        <v>825.2</v>
      </c>
      <c r="BR53" s="42">
        <v>859.83</v>
      </c>
      <c r="BS53" s="42">
        <v>1765.06</v>
      </c>
      <c r="BT53" s="42">
        <v>699.35</v>
      </c>
      <c r="BU53" s="42">
        <v>702.91</v>
      </c>
      <c r="BV53" s="42">
        <v>15.11</v>
      </c>
      <c r="BW53" s="42">
        <v>0</v>
      </c>
      <c r="BX53" s="42">
        <v>176960.92</v>
      </c>
      <c r="BY53" s="42">
        <v>33848.04</v>
      </c>
      <c r="BZ53" s="42">
        <v>143069.60999999999</v>
      </c>
      <c r="CA53" s="42">
        <v>43.28</v>
      </c>
      <c r="CB53" s="42">
        <v>9812.6</v>
      </c>
      <c r="CC53" s="42">
        <v>283.67</v>
      </c>
      <c r="CD53" s="42">
        <v>95005.39</v>
      </c>
      <c r="CE53" s="42" t="s">
        <v>102</v>
      </c>
      <c r="CF53" s="42">
        <v>95005.39</v>
      </c>
      <c r="CG53" s="42" t="s">
        <v>102</v>
      </c>
      <c r="CH53" s="42" t="s">
        <v>102</v>
      </c>
      <c r="CI53" s="42">
        <v>9528.93</v>
      </c>
      <c r="CJ53" s="42" t="s">
        <v>102</v>
      </c>
      <c r="CK53" s="42" t="s">
        <v>102</v>
      </c>
      <c r="CL53" s="42">
        <v>796327.49</v>
      </c>
      <c r="CM53" s="42">
        <v>281778.90999999997</v>
      </c>
    </row>
    <row r="54" spans="1:91" x14ac:dyDescent="0.35">
      <c r="A54" s="3" t="s">
        <v>53</v>
      </c>
      <c r="B54" s="11">
        <v>63393.03</v>
      </c>
      <c r="C54" s="11">
        <v>182.95</v>
      </c>
      <c r="D54" s="11">
        <v>208.83</v>
      </c>
      <c r="E54" s="11">
        <v>49.17</v>
      </c>
      <c r="F54" s="11">
        <v>287.79000000000002</v>
      </c>
      <c r="G54" s="11">
        <v>2129.46</v>
      </c>
      <c r="H54" s="11">
        <v>217.56</v>
      </c>
      <c r="I54" s="11">
        <v>345.94</v>
      </c>
      <c r="J54" s="11">
        <v>687.24</v>
      </c>
      <c r="K54" s="11">
        <v>37.880000000000003</v>
      </c>
      <c r="L54" s="11">
        <v>2056.44</v>
      </c>
      <c r="M54" s="70">
        <v>1576.67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1">
        <v>527.96</v>
      </c>
      <c r="W54" s="11">
        <v>466.85</v>
      </c>
      <c r="X54" s="11">
        <v>553.12</v>
      </c>
      <c r="Y54" s="11">
        <v>1438.3</v>
      </c>
      <c r="Z54" s="11">
        <v>625.95000000000005</v>
      </c>
      <c r="AA54" s="11">
        <v>636.59</v>
      </c>
      <c r="AB54" s="11">
        <v>693.04</v>
      </c>
      <c r="AC54" s="11">
        <v>983.44</v>
      </c>
      <c r="AD54" s="11">
        <v>1265.95</v>
      </c>
      <c r="AE54" s="11">
        <v>153.27000000000001</v>
      </c>
      <c r="AF54" s="11">
        <v>287.18</v>
      </c>
      <c r="AG54" s="11">
        <v>327.97</v>
      </c>
      <c r="AH54" s="71">
        <v>610.27</v>
      </c>
      <c r="AI54" s="29"/>
      <c r="AJ54" s="11">
        <v>20.05</v>
      </c>
      <c r="AK54" s="11">
        <v>288.3</v>
      </c>
      <c r="AL54" s="11">
        <v>1000.13</v>
      </c>
      <c r="AM54" s="11">
        <v>433.41</v>
      </c>
      <c r="AN54" s="11">
        <v>6235.36</v>
      </c>
      <c r="AO54" s="11">
        <v>540.44000000000005</v>
      </c>
      <c r="AP54" s="11">
        <v>3577.12</v>
      </c>
      <c r="AQ54" s="11">
        <v>21957.74</v>
      </c>
      <c r="AR54" s="11">
        <v>230.26</v>
      </c>
      <c r="AS54" s="11">
        <v>6170.35</v>
      </c>
      <c r="AT54" s="11">
        <v>141.06</v>
      </c>
      <c r="AU54" s="11">
        <v>315.14999999999998</v>
      </c>
      <c r="AV54" s="11">
        <v>110.68</v>
      </c>
      <c r="AW54" s="11">
        <v>36.340000000000003</v>
      </c>
      <c r="AX54" s="11">
        <v>143.47</v>
      </c>
      <c r="AY54" s="11">
        <v>327.81</v>
      </c>
      <c r="AZ54" s="11">
        <v>35.81</v>
      </c>
      <c r="BA54" s="11">
        <v>12.37</v>
      </c>
      <c r="BB54" s="11">
        <v>34.39</v>
      </c>
      <c r="BC54" s="11">
        <v>239.78</v>
      </c>
      <c r="BD54" s="11">
        <v>322.77</v>
      </c>
      <c r="BE54" s="11">
        <v>110.92</v>
      </c>
      <c r="BF54" s="11">
        <v>260.5</v>
      </c>
      <c r="BG54" s="11">
        <v>73.2</v>
      </c>
      <c r="BH54" s="11">
        <v>74.28</v>
      </c>
      <c r="BI54" s="11">
        <v>571.57000000000005</v>
      </c>
      <c r="BJ54" s="11">
        <v>73.64</v>
      </c>
      <c r="BK54" s="11">
        <v>2315.85</v>
      </c>
      <c r="BL54" s="11">
        <v>256.63</v>
      </c>
      <c r="BM54" s="11">
        <v>356.25</v>
      </c>
      <c r="BN54" s="11">
        <v>139.79</v>
      </c>
      <c r="BO54" s="11">
        <v>370.14</v>
      </c>
      <c r="BP54" s="11">
        <v>117.8</v>
      </c>
      <c r="BQ54" s="11">
        <v>39.270000000000003</v>
      </c>
      <c r="BR54" s="11">
        <v>32.270000000000003</v>
      </c>
      <c r="BS54" s="11">
        <v>29.19</v>
      </c>
      <c r="BT54" s="11">
        <v>20.91</v>
      </c>
      <c r="BU54" s="11">
        <v>23.81</v>
      </c>
      <c r="BV54" s="11">
        <v>4.45</v>
      </c>
      <c r="BW54" s="5">
        <v>0</v>
      </c>
      <c r="BX54" s="11">
        <v>18653.810000000001</v>
      </c>
      <c r="BY54" s="11">
        <v>625.69000000000005</v>
      </c>
      <c r="BZ54" s="11">
        <v>18027.64</v>
      </c>
      <c r="CA54" s="11">
        <v>0.48</v>
      </c>
      <c r="CB54" s="11">
        <v>-2941.77</v>
      </c>
      <c r="CC54" s="11">
        <v>-4868.67</v>
      </c>
      <c r="CD54" s="11">
        <v>149558.53</v>
      </c>
      <c r="CE54" s="5" t="s">
        <v>102</v>
      </c>
      <c r="CF54" s="11">
        <v>149558.53</v>
      </c>
      <c r="CG54" s="5" t="s">
        <v>102</v>
      </c>
      <c r="CH54" s="5" t="s">
        <v>102</v>
      </c>
      <c r="CI54" s="11">
        <v>1926.9</v>
      </c>
      <c r="CJ54" s="5" t="s">
        <v>102</v>
      </c>
      <c r="CK54" s="5" t="s">
        <v>102</v>
      </c>
      <c r="CL54" s="11">
        <v>228663.6</v>
      </c>
      <c r="CM54" s="11">
        <v>165270.57</v>
      </c>
    </row>
    <row r="55" spans="1:91" x14ac:dyDescent="0.35">
      <c r="A55" s="3" t="s">
        <v>54</v>
      </c>
      <c r="B55" s="10">
        <v>60809.03</v>
      </c>
      <c r="C55" s="10">
        <v>175.75</v>
      </c>
      <c r="D55" s="10">
        <v>29.97</v>
      </c>
      <c r="E55" s="10">
        <v>57.66</v>
      </c>
      <c r="F55" s="10">
        <v>64.069999999999993</v>
      </c>
      <c r="G55" s="10">
        <v>1066.47</v>
      </c>
      <c r="H55" s="10">
        <v>195.36</v>
      </c>
      <c r="I55" s="10">
        <v>80.53</v>
      </c>
      <c r="J55" s="10">
        <v>141.63999999999999</v>
      </c>
      <c r="K55" s="10">
        <v>82.98</v>
      </c>
      <c r="L55" s="10">
        <v>195.11</v>
      </c>
      <c r="M55" s="70">
        <v>784.55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0">
        <v>452.38</v>
      </c>
      <c r="W55" s="10">
        <v>297.23</v>
      </c>
      <c r="X55" s="10">
        <v>224.67</v>
      </c>
      <c r="Y55" s="10">
        <v>250.11</v>
      </c>
      <c r="Z55" s="10">
        <v>735.59</v>
      </c>
      <c r="AA55" s="10">
        <v>1914.31</v>
      </c>
      <c r="AB55" s="10">
        <v>1074.43</v>
      </c>
      <c r="AC55" s="10">
        <v>2174.29</v>
      </c>
      <c r="AD55" s="10">
        <v>1586.32</v>
      </c>
      <c r="AE55" s="10">
        <v>594.02</v>
      </c>
      <c r="AF55" s="10">
        <v>445.06</v>
      </c>
      <c r="AG55" s="10">
        <v>818.19</v>
      </c>
      <c r="AH55" s="71">
        <v>378.98</v>
      </c>
      <c r="AI55" s="29"/>
      <c r="AJ55" s="10">
        <v>21.06</v>
      </c>
      <c r="AK55" s="10">
        <v>155.51</v>
      </c>
      <c r="AL55" s="10">
        <v>954.52</v>
      </c>
      <c r="AM55" s="10">
        <v>317.25</v>
      </c>
      <c r="AN55" s="10">
        <v>2073.4499999999998</v>
      </c>
      <c r="AO55" s="10">
        <v>1063.96</v>
      </c>
      <c r="AP55" s="10">
        <v>531.48</v>
      </c>
      <c r="AQ55" s="10">
        <v>369.4</v>
      </c>
      <c r="AR55" s="10">
        <v>11268.68</v>
      </c>
      <c r="AS55" s="10">
        <v>2441.61</v>
      </c>
      <c r="AT55" s="10">
        <v>2156.0700000000002</v>
      </c>
      <c r="AU55" s="10">
        <v>516.63</v>
      </c>
      <c r="AV55" s="10">
        <v>194.68</v>
      </c>
      <c r="AW55" s="10">
        <v>296.23</v>
      </c>
      <c r="AX55" s="10">
        <v>258.43</v>
      </c>
      <c r="AY55" s="10">
        <v>924.74</v>
      </c>
      <c r="AZ55" s="10">
        <v>1210.5</v>
      </c>
      <c r="BA55" s="10">
        <v>778.53</v>
      </c>
      <c r="BB55" s="10">
        <v>1561.06</v>
      </c>
      <c r="BC55" s="10">
        <v>297.36</v>
      </c>
      <c r="BD55" s="10">
        <v>1579.98</v>
      </c>
      <c r="BE55" s="10">
        <v>681.58</v>
      </c>
      <c r="BF55" s="10">
        <v>984.92</v>
      </c>
      <c r="BG55" s="10">
        <v>280.94</v>
      </c>
      <c r="BH55" s="10">
        <v>248.59</v>
      </c>
      <c r="BI55" s="10">
        <v>690.54</v>
      </c>
      <c r="BJ55" s="10">
        <v>134.19</v>
      </c>
      <c r="BK55" s="10">
        <v>9855.99</v>
      </c>
      <c r="BL55" s="10">
        <v>564.87</v>
      </c>
      <c r="BM55" s="10">
        <v>1734.3</v>
      </c>
      <c r="BN55" s="10">
        <v>620.84</v>
      </c>
      <c r="BO55" s="10">
        <v>681.81</v>
      </c>
      <c r="BP55" s="10">
        <v>286.99</v>
      </c>
      <c r="BQ55" s="10">
        <v>329.7</v>
      </c>
      <c r="BR55" s="10">
        <v>217.56</v>
      </c>
      <c r="BS55" s="10">
        <v>519.57000000000005</v>
      </c>
      <c r="BT55" s="10">
        <v>40.53</v>
      </c>
      <c r="BU55" s="10">
        <v>142.49</v>
      </c>
      <c r="BV55" s="10">
        <v>2.88</v>
      </c>
      <c r="BW55" s="4">
        <v>0</v>
      </c>
      <c r="BX55" s="10">
        <v>35212.129999999997</v>
      </c>
      <c r="BY55" s="10">
        <v>1520.32</v>
      </c>
      <c r="BZ55" s="10">
        <v>33691.21</v>
      </c>
      <c r="CA55" s="10">
        <v>0.61</v>
      </c>
      <c r="CB55" s="10">
        <v>1478.98</v>
      </c>
      <c r="CC55" s="10">
        <v>81.83</v>
      </c>
      <c r="CD55" s="10">
        <v>57932.19</v>
      </c>
      <c r="CE55" s="4" t="s">
        <v>102</v>
      </c>
      <c r="CF55" s="10">
        <v>57932.19</v>
      </c>
      <c r="CG55" s="4" t="s">
        <v>102</v>
      </c>
      <c r="CH55" s="4" t="s">
        <v>102</v>
      </c>
      <c r="CI55" s="10">
        <v>1397.15</v>
      </c>
      <c r="CJ55" s="4" t="s">
        <v>102</v>
      </c>
      <c r="CK55" s="4" t="s">
        <v>102</v>
      </c>
      <c r="CL55" s="10">
        <v>155432.32999999999</v>
      </c>
      <c r="CM55" s="10">
        <v>94623.3</v>
      </c>
    </row>
    <row r="56" spans="1:91" x14ac:dyDescent="0.35">
      <c r="A56" s="3" t="s">
        <v>55</v>
      </c>
      <c r="B56" s="11">
        <v>546811.76</v>
      </c>
      <c r="C56" s="11">
        <v>1158.6600000000001</v>
      </c>
      <c r="D56" s="11">
        <v>273.07</v>
      </c>
      <c r="E56" s="11">
        <v>212.3</v>
      </c>
      <c r="F56" s="11">
        <v>1708.36</v>
      </c>
      <c r="G56" s="11">
        <v>23897.83</v>
      </c>
      <c r="H56" s="11">
        <v>2632.81</v>
      </c>
      <c r="I56" s="11">
        <v>1814.8</v>
      </c>
      <c r="J56" s="11">
        <v>4138.22</v>
      </c>
      <c r="K56" s="11">
        <v>473.87</v>
      </c>
      <c r="L56" s="11">
        <v>7186.33</v>
      </c>
      <c r="M56" s="70">
        <v>7867.56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1">
        <v>1670.88</v>
      </c>
      <c r="W56" s="11">
        <v>3480.46</v>
      </c>
      <c r="X56" s="11">
        <v>4624.3</v>
      </c>
      <c r="Y56" s="11">
        <v>4657.8999999999996</v>
      </c>
      <c r="Z56" s="11">
        <v>4196.3599999999997</v>
      </c>
      <c r="AA56" s="11">
        <v>1894.31</v>
      </c>
      <c r="AB56" s="11">
        <v>2757.83</v>
      </c>
      <c r="AC56" s="11">
        <v>6999.84</v>
      </c>
      <c r="AD56" s="11">
        <v>9175.89</v>
      </c>
      <c r="AE56" s="11">
        <v>1415.74</v>
      </c>
      <c r="AF56" s="11">
        <v>2466.83</v>
      </c>
      <c r="AG56" s="11">
        <v>2493.7199999999998</v>
      </c>
      <c r="AH56" s="71">
        <v>7874.56</v>
      </c>
      <c r="AI56" s="29"/>
      <c r="AJ56" s="11">
        <v>156.05000000000001</v>
      </c>
      <c r="AK56" s="11">
        <v>2664.39</v>
      </c>
      <c r="AL56" s="11">
        <v>9661.14</v>
      </c>
      <c r="AM56" s="11">
        <v>5839.43</v>
      </c>
      <c r="AN56" s="11">
        <v>82793.47</v>
      </c>
      <c r="AO56" s="11">
        <v>21135.31</v>
      </c>
      <c r="AP56" s="11">
        <v>80881.100000000006</v>
      </c>
      <c r="AQ56" s="11">
        <v>32599.98</v>
      </c>
      <c r="AR56" s="11">
        <v>13822.02</v>
      </c>
      <c r="AS56" s="11">
        <v>134975.39000000001</v>
      </c>
      <c r="AT56" s="11">
        <v>17037.82</v>
      </c>
      <c r="AU56" s="11">
        <v>2409.98</v>
      </c>
      <c r="AV56" s="11">
        <v>1620.85</v>
      </c>
      <c r="AW56" s="11">
        <v>275.98</v>
      </c>
      <c r="AX56" s="11">
        <v>1594.88</v>
      </c>
      <c r="AY56" s="11">
        <v>2918.85</v>
      </c>
      <c r="AZ56" s="11">
        <v>275.97000000000003</v>
      </c>
      <c r="BA56" s="11">
        <v>180.68</v>
      </c>
      <c r="BB56" s="11">
        <v>746.74</v>
      </c>
      <c r="BC56" s="11">
        <v>3134.01</v>
      </c>
      <c r="BD56" s="11">
        <v>4860.1400000000003</v>
      </c>
      <c r="BE56" s="11">
        <v>1265.44</v>
      </c>
      <c r="BF56" s="11">
        <v>1949.51</v>
      </c>
      <c r="BG56" s="11">
        <v>1327.35</v>
      </c>
      <c r="BH56" s="11">
        <v>1208.75</v>
      </c>
      <c r="BI56" s="11">
        <v>5580.38</v>
      </c>
      <c r="BJ56" s="11">
        <v>389.53</v>
      </c>
      <c r="BK56" s="11">
        <v>792.53</v>
      </c>
      <c r="BL56" s="11">
        <v>2941.91</v>
      </c>
      <c r="BM56" s="11">
        <v>3233.73</v>
      </c>
      <c r="BN56" s="11">
        <v>452.05</v>
      </c>
      <c r="BO56" s="11">
        <v>721.78</v>
      </c>
      <c r="BP56" s="11">
        <v>225.04</v>
      </c>
      <c r="BQ56" s="11">
        <v>399.81</v>
      </c>
      <c r="BR56" s="11">
        <v>381.67</v>
      </c>
      <c r="BS56" s="11">
        <v>163.5</v>
      </c>
      <c r="BT56" s="11">
        <v>688.17</v>
      </c>
      <c r="BU56" s="11">
        <v>428.51</v>
      </c>
      <c r="BV56" s="11">
        <v>5.51</v>
      </c>
      <c r="BW56" s="5">
        <v>0</v>
      </c>
      <c r="BX56" s="11">
        <v>97732.33</v>
      </c>
      <c r="BY56" s="11">
        <v>66229.22</v>
      </c>
      <c r="BZ56" s="11">
        <v>31469.73</v>
      </c>
      <c r="CA56" s="11">
        <v>33.380000000000003</v>
      </c>
      <c r="CB56" s="11">
        <v>360.45</v>
      </c>
      <c r="CC56" s="11">
        <v>15.43</v>
      </c>
      <c r="CD56" s="11">
        <v>63714.32</v>
      </c>
      <c r="CE56" s="5" t="s">
        <v>102</v>
      </c>
      <c r="CF56" s="11">
        <v>63714.32</v>
      </c>
      <c r="CG56" s="5" t="s">
        <v>102</v>
      </c>
      <c r="CH56" s="5" t="s">
        <v>102</v>
      </c>
      <c r="CI56" s="11">
        <v>345.03</v>
      </c>
      <c r="CJ56" s="5" t="s">
        <v>102</v>
      </c>
      <c r="CK56" s="5" t="s">
        <v>102</v>
      </c>
      <c r="CL56" s="11">
        <v>708618.86</v>
      </c>
      <c r="CM56" s="11">
        <v>161807.1</v>
      </c>
    </row>
    <row r="57" spans="1:91" x14ac:dyDescent="0.35">
      <c r="A57" s="3" t="s">
        <v>56</v>
      </c>
      <c r="B57" s="10">
        <v>121787.92</v>
      </c>
      <c r="C57" s="10">
        <v>169.51</v>
      </c>
      <c r="D57" s="10">
        <v>40.619999999999997</v>
      </c>
      <c r="E57" s="10">
        <v>4.47</v>
      </c>
      <c r="F57" s="10">
        <v>103.15</v>
      </c>
      <c r="G57" s="10">
        <v>1243.29</v>
      </c>
      <c r="H57" s="10">
        <v>389.86</v>
      </c>
      <c r="I57" s="10">
        <v>120.56</v>
      </c>
      <c r="J57" s="10">
        <v>232.47</v>
      </c>
      <c r="K57" s="10">
        <v>324.63</v>
      </c>
      <c r="L57" s="10">
        <v>415.61</v>
      </c>
      <c r="M57" s="70">
        <v>2362.41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0">
        <v>926.14</v>
      </c>
      <c r="W57" s="10">
        <v>587.9</v>
      </c>
      <c r="X57" s="10">
        <v>258.58999999999997</v>
      </c>
      <c r="Y57" s="10">
        <v>317.61</v>
      </c>
      <c r="Z57" s="10">
        <v>993.6</v>
      </c>
      <c r="AA57" s="10">
        <v>1347.82</v>
      </c>
      <c r="AB57" s="10">
        <v>1573.45</v>
      </c>
      <c r="AC57" s="10">
        <v>2770.11</v>
      </c>
      <c r="AD57" s="10">
        <v>1749.26</v>
      </c>
      <c r="AE57" s="10">
        <v>161.31</v>
      </c>
      <c r="AF57" s="10">
        <v>909.65</v>
      </c>
      <c r="AG57" s="10">
        <v>772.6</v>
      </c>
      <c r="AH57" s="71">
        <v>1489.68</v>
      </c>
      <c r="AI57" s="29"/>
      <c r="AJ57" s="10">
        <v>325.56</v>
      </c>
      <c r="AK57" s="10">
        <v>934.93</v>
      </c>
      <c r="AL57" s="10">
        <v>2001.43</v>
      </c>
      <c r="AM57" s="10">
        <v>1439.77</v>
      </c>
      <c r="AN57" s="10">
        <v>11704.4</v>
      </c>
      <c r="AO57" s="10">
        <v>17530.189999999999</v>
      </c>
      <c r="AP57" s="10">
        <v>3747.87</v>
      </c>
      <c r="AQ57" s="10">
        <v>264.27</v>
      </c>
      <c r="AR57" s="10">
        <v>401.3</v>
      </c>
      <c r="AS57" s="10">
        <v>3622.35</v>
      </c>
      <c r="AT57" s="10">
        <v>14468.63</v>
      </c>
      <c r="AU57" s="10">
        <v>3094.57</v>
      </c>
      <c r="AV57" s="10">
        <v>1377.19</v>
      </c>
      <c r="AW57" s="10">
        <v>438.44</v>
      </c>
      <c r="AX57" s="10">
        <v>4354.16</v>
      </c>
      <c r="AY57" s="10">
        <v>2533.98</v>
      </c>
      <c r="AZ57" s="10">
        <v>2477.7800000000002</v>
      </c>
      <c r="BA57" s="10">
        <v>1156.1400000000001</v>
      </c>
      <c r="BB57" s="10">
        <v>1723.6</v>
      </c>
      <c r="BC57" s="10">
        <v>1469.49</v>
      </c>
      <c r="BD57" s="10">
        <v>4355.66</v>
      </c>
      <c r="BE57" s="10">
        <v>929.23</v>
      </c>
      <c r="BF57" s="10">
        <v>1166.6600000000001</v>
      </c>
      <c r="BG57" s="10">
        <v>814.1</v>
      </c>
      <c r="BH57" s="10">
        <v>818.71</v>
      </c>
      <c r="BI57" s="10">
        <v>1357.47</v>
      </c>
      <c r="BJ57" s="10">
        <v>1421.37</v>
      </c>
      <c r="BK57" s="10">
        <v>299.63</v>
      </c>
      <c r="BL57" s="10">
        <v>2301.2199999999998</v>
      </c>
      <c r="BM57" s="10">
        <v>7234.56</v>
      </c>
      <c r="BN57" s="10">
        <v>1005.33</v>
      </c>
      <c r="BO57" s="10">
        <v>1489.18</v>
      </c>
      <c r="BP57" s="4">
        <v>1344</v>
      </c>
      <c r="BQ57" s="10">
        <v>969.33</v>
      </c>
      <c r="BR57" s="10">
        <v>461.45</v>
      </c>
      <c r="BS57" s="10">
        <v>816.6</v>
      </c>
      <c r="BT57" s="10">
        <v>192.41</v>
      </c>
      <c r="BU57" s="10">
        <v>473.67</v>
      </c>
      <c r="BV57" s="10">
        <v>7.02</v>
      </c>
      <c r="BW57" s="4">
        <v>0</v>
      </c>
      <c r="BX57" s="10">
        <v>9783.82</v>
      </c>
      <c r="BY57" s="10">
        <v>26.17</v>
      </c>
      <c r="BZ57" s="10">
        <v>9757.43</v>
      </c>
      <c r="CA57" s="10">
        <v>0.23</v>
      </c>
      <c r="CB57" s="10">
        <v>-2.12</v>
      </c>
      <c r="CC57" s="10">
        <v>-2.12</v>
      </c>
      <c r="CD57" s="10">
        <v>18453.62</v>
      </c>
      <c r="CE57" s="4" t="s">
        <v>102</v>
      </c>
      <c r="CF57" s="10">
        <v>18453.62</v>
      </c>
      <c r="CG57" s="4" t="s">
        <v>102</v>
      </c>
      <c r="CH57" s="4" t="s">
        <v>102</v>
      </c>
      <c r="CI57" s="4">
        <v>0</v>
      </c>
      <c r="CJ57" s="4" t="s">
        <v>102</v>
      </c>
      <c r="CK57" s="4" t="s">
        <v>102</v>
      </c>
      <c r="CL57" s="10">
        <v>150023.24</v>
      </c>
      <c r="CM57" s="10">
        <v>28235.32</v>
      </c>
    </row>
    <row r="58" spans="1:91" x14ac:dyDescent="0.35">
      <c r="A58" s="3" t="s">
        <v>57</v>
      </c>
      <c r="B58" s="11">
        <v>191786.4</v>
      </c>
      <c r="C58" s="11">
        <v>537.19000000000005</v>
      </c>
      <c r="D58" s="11">
        <v>75.86</v>
      </c>
      <c r="E58" s="11">
        <v>43.98</v>
      </c>
      <c r="F58" s="11">
        <v>354.68</v>
      </c>
      <c r="G58" s="11">
        <v>2844.25</v>
      </c>
      <c r="H58" s="11">
        <v>889.96</v>
      </c>
      <c r="I58" s="11">
        <v>707.41</v>
      </c>
      <c r="J58" s="11">
        <v>466.42</v>
      </c>
      <c r="K58" s="11">
        <v>223.7</v>
      </c>
      <c r="L58" s="11">
        <v>891.65</v>
      </c>
      <c r="M58" s="70">
        <v>1670.96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1">
        <v>1055.3900000000001</v>
      </c>
      <c r="W58" s="11">
        <v>742.56</v>
      </c>
      <c r="X58" s="11">
        <v>674.61</v>
      </c>
      <c r="Y58" s="11">
        <v>836.82</v>
      </c>
      <c r="Z58" s="11">
        <v>1997.88</v>
      </c>
      <c r="AA58" s="11">
        <v>937.58</v>
      </c>
      <c r="AB58" s="11">
        <v>1041.06</v>
      </c>
      <c r="AC58" s="11">
        <v>2389.35</v>
      </c>
      <c r="AD58" s="11">
        <v>1239.07</v>
      </c>
      <c r="AE58" s="11">
        <v>670.31</v>
      </c>
      <c r="AF58" s="11">
        <v>1072.72</v>
      </c>
      <c r="AG58" s="11">
        <v>2048.91</v>
      </c>
      <c r="AH58" s="71">
        <v>2429.85</v>
      </c>
      <c r="AI58" s="29"/>
      <c r="AJ58" s="11">
        <v>338.06</v>
      </c>
      <c r="AK58" s="11">
        <v>1093.1600000000001</v>
      </c>
      <c r="AL58" s="11">
        <v>14270.93</v>
      </c>
      <c r="AM58" s="11">
        <v>1857.03</v>
      </c>
      <c r="AN58" s="11">
        <v>12435.04</v>
      </c>
      <c r="AO58" s="5">
        <v>4868</v>
      </c>
      <c r="AP58" s="11">
        <v>7989.01</v>
      </c>
      <c r="AQ58" s="11">
        <v>764.46</v>
      </c>
      <c r="AR58" s="11">
        <v>4207.16</v>
      </c>
      <c r="AS58" s="11">
        <v>7680.23</v>
      </c>
      <c r="AT58" s="11">
        <v>445.5</v>
      </c>
      <c r="AU58" s="11">
        <v>9015.1200000000008</v>
      </c>
      <c r="AV58" s="11">
        <v>1109.56</v>
      </c>
      <c r="AW58" s="11">
        <v>2501.16</v>
      </c>
      <c r="AX58" s="11">
        <v>1988.84</v>
      </c>
      <c r="AY58" s="11">
        <v>5738.45</v>
      </c>
      <c r="AZ58" s="11">
        <v>2682.19</v>
      </c>
      <c r="BA58" s="11">
        <v>1088.45</v>
      </c>
      <c r="BB58" s="11">
        <v>3591.35</v>
      </c>
      <c r="BC58" s="11">
        <v>2033.04</v>
      </c>
      <c r="BD58" s="11">
        <v>8151.13</v>
      </c>
      <c r="BE58" s="11">
        <v>2563.85</v>
      </c>
      <c r="BF58" s="11">
        <v>1695.81</v>
      </c>
      <c r="BG58" s="11">
        <v>1298.1400000000001</v>
      </c>
      <c r="BH58" s="11">
        <v>1292.6600000000001</v>
      </c>
      <c r="BI58" s="11">
        <v>2095.46</v>
      </c>
      <c r="BJ58" s="11">
        <v>1277.9000000000001</v>
      </c>
      <c r="BK58" s="11">
        <v>18908.79</v>
      </c>
      <c r="BL58" s="11">
        <v>6092.45</v>
      </c>
      <c r="BM58" s="11">
        <v>7554.76</v>
      </c>
      <c r="BN58" s="11">
        <v>5684.03</v>
      </c>
      <c r="BO58" s="11">
        <v>6583.34</v>
      </c>
      <c r="BP58" s="11">
        <v>6753.07</v>
      </c>
      <c r="BQ58" s="11">
        <v>2074.81</v>
      </c>
      <c r="BR58" s="11">
        <v>2858.2</v>
      </c>
      <c r="BS58" s="11">
        <v>3420.66</v>
      </c>
      <c r="BT58" s="11">
        <v>321.39999999999998</v>
      </c>
      <c r="BU58" s="11">
        <v>1608.34</v>
      </c>
      <c r="BV58" s="11">
        <v>12.72</v>
      </c>
      <c r="BW58" s="5">
        <v>0</v>
      </c>
      <c r="BX58" s="11">
        <v>714173.68</v>
      </c>
      <c r="BY58" s="11">
        <v>4105.4399999999996</v>
      </c>
      <c r="BZ58" s="11">
        <v>707935.57</v>
      </c>
      <c r="CA58" s="11">
        <v>2132.67</v>
      </c>
      <c r="CB58" s="11">
        <v>-201.21</v>
      </c>
      <c r="CC58" s="11">
        <v>-263.32</v>
      </c>
      <c r="CD58" s="11">
        <v>6079.26</v>
      </c>
      <c r="CE58" s="5" t="s">
        <v>102</v>
      </c>
      <c r="CF58" s="11">
        <v>6079.26</v>
      </c>
      <c r="CG58" s="5" t="s">
        <v>102</v>
      </c>
      <c r="CH58" s="5" t="s">
        <v>102</v>
      </c>
      <c r="CI58" s="11">
        <v>62.11</v>
      </c>
      <c r="CJ58" s="5" t="s">
        <v>102</v>
      </c>
      <c r="CK58" s="5" t="s">
        <v>102</v>
      </c>
      <c r="CL58" s="11">
        <v>911838.13</v>
      </c>
      <c r="CM58" s="11">
        <v>720051.73</v>
      </c>
    </row>
    <row r="59" spans="1:91" x14ac:dyDescent="0.35">
      <c r="A59" s="3" t="s">
        <v>58</v>
      </c>
      <c r="B59" s="10">
        <v>88165.18</v>
      </c>
      <c r="C59" s="10">
        <v>244.51</v>
      </c>
      <c r="D59" s="10">
        <v>35.409999999999997</v>
      </c>
      <c r="E59" s="10">
        <v>2.96</v>
      </c>
      <c r="F59" s="10">
        <v>226.59</v>
      </c>
      <c r="G59" s="10">
        <v>1249.8399999999999</v>
      </c>
      <c r="H59" s="10">
        <v>185.94</v>
      </c>
      <c r="I59" s="10">
        <v>98.02</v>
      </c>
      <c r="J59" s="10">
        <v>377.71</v>
      </c>
      <c r="K59" s="10">
        <v>367.48</v>
      </c>
      <c r="L59" s="10">
        <v>298.47000000000003</v>
      </c>
      <c r="M59" s="70">
        <v>724.78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0">
        <v>443.98</v>
      </c>
      <c r="W59" s="10">
        <v>273.66000000000003</v>
      </c>
      <c r="X59" s="10">
        <v>190.11</v>
      </c>
      <c r="Y59" s="10">
        <v>279.93</v>
      </c>
      <c r="Z59" s="10">
        <v>488.26</v>
      </c>
      <c r="AA59" s="10">
        <v>463.99</v>
      </c>
      <c r="AB59" s="10">
        <v>547.6</v>
      </c>
      <c r="AC59" s="10">
        <v>642.94000000000005</v>
      </c>
      <c r="AD59" s="10">
        <v>808.49</v>
      </c>
      <c r="AE59" s="10">
        <v>226.87</v>
      </c>
      <c r="AF59" s="10">
        <v>311.76</v>
      </c>
      <c r="AG59" s="10">
        <v>299.56</v>
      </c>
      <c r="AH59" s="71">
        <v>543.80999999999995</v>
      </c>
      <c r="AI59" s="29"/>
      <c r="AJ59" s="10">
        <v>74.94</v>
      </c>
      <c r="AK59" s="10">
        <v>683.99</v>
      </c>
      <c r="AL59" s="10">
        <v>1234.06</v>
      </c>
      <c r="AM59" s="10">
        <v>654.37</v>
      </c>
      <c r="AN59" s="10">
        <v>4792.1400000000003</v>
      </c>
      <c r="AO59" s="10">
        <v>3324.02</v>
      </c>
      <c r="AP59" s="10">
        <v>706.13</v>
      </c>
      <c r="AQ59" s="10">
        <v>123.6</v>
      </c>
      <c r="AR59" s="10">
        <v>185.1</v>
      </c>
      <c r="AS59" s="10">
        <v>659.22</v>
      </c>
      <c r="AT59" s="10">
        <v>300.01</v>
      </c>
      <c r="AU59" s="4">
        <v>1380</v>
      </c>
      <c r="AV59" s="10">
        <v>5929.65</v>
      </c>
      <c r="AW59" s="10">
        <v>831.9</v>
      </c>
      <c r="AX59" s="10">
        <v>1228.04</v>
      </c>
      <c r="AY59" s="4">
        <v>6494</v>
      </c>
      <c r="AZ59" s="10">
        <v>3288.79</v>
      </c>
      <c r="BA59" s="10">
        <v>1281.3699999999999</v>
      </c>
      <c r="BB59" s="10">
        <v>2847.05</v>
      </c>
      <c r="BC59" s="10">
        <v>1004.82</v>
      </c>
      <c r="BD59" s="10">
        <v>4267.74</v>
      </c>
      <c r="BE59" s="10">
        <v>2372.9</v>
      </c>
      <c r="BF59" s="10">
        <v>1690.29</v>
      </c>
      <c r="BG59" s="10">
        <v>4858.54</v>
      </c>
      <c r="BH59" s="10">
        <v>1113.6099999999999</v>
      </c>
      <c r="BI59" s="10">
        <v>1688.85</v>
      </c>
      <c r="BJ59" s="10">
        <v>678.3</v>
      </c>
      <c r="BK59" s="10">
        <v>481.78</v>
      </c>
      <c r="BL59" s="10">
        <v>3095.15</v>
      </c>
      <c r="BM59" s="10">
        <v>5576.92</v>
      </c>
      <c r="BN59" s="10">
        <v>5947.07</v>
      </c>
      <c r="BO59" s="10">
        <v>2668.91</v>
      </c>
      <c r="BP59" s="10">
        <v>1749.85</v>
      </c>
      <c r="BQ59" s="10">
        <v>2509.2800000000002</v>
      </c>
      <c r="BR59" s="10">
        <v>1055.02</v>
      </c>
      <c r="BS59" s="10">
        <v>1643.01</v>
      </c>
      <c r="BT59" s="10">
        <v>91.54</v>
      </c>
      <c r="BU59" s="10">
        <v>315.7</v>
      </c>
      <c r="BV59" s="10">
        <v>4.87</v>
      </c>
      <c r="BW59" s="4">
        <v>0</v>
      </c>
      <c r="BX59" s="10">
        <v>52635.08</v>
      </c>
      <c r="BY59" s="10">
        <v>630.21</v>
      </c>
      <c r="BZ59" s="10">
        <v>51941.22</v>
      </c>
      <c r="CA59" s="10">
        <v>63.65</v>
      </c>
      <c r="CB59" s="10">
        <v>25377.08</v>
      </c>
      <c r="CC59" s="10">
        <v>310.66000000000003</v>
      </c>
      <c r="CD59" s="10">
        <v>78598.61</v>
      </c>
      <c r="CE59" s="4" t="s">
        <v>102</v>
      </c>
      <c r="CF59" s="10">
        <v>78598.61</v>
      </c>
      <c r="CG59" s="4" t="s">
        <v>102</v>
      </c>
      <c r="CH59" s="4" t="s">
        <v>102</v>
      </c>
      <c r="CI59" s="10">
        <v>25066.42</v>
      </c>
      <c r="CJ59" s="4" t="s">
        <v>102</v>
      </c>
      <c r="CK59" s="4" t="s">
        <v>102</v>
      </c>
      <c r="CL59" s="10">
        <v>244775.95</v>
      </c>
      <c r="CM59" s="10">
        <v>156610.76999999999</v>
      </c>
    </row>
    <row r="60" spans="1:91" x14ac:dyDescent="0.35">
      <c r="A60" s="3" t="s">
        <v>59</v>
      </c>
      <c r="B60" s="11">
        <v>79094.720000000001</v>
      </c>
      <c r="C60" s="11">
        <v>29.34</v>
      </c>
      <c r="D60" s="11">
        <v>7.56</v>
      </c>
      <c r="E60" s="11">
        <v>7.42</v>
      </c>
      <c r="F60" s="11">
        <v>19.7</v>
      </c>
      <c r="G60" s="11">
        <v>1650.33</v>
      </c>
      <c r="H60" s="11">
        <v>107.96</v>
      </c>
      <c r="I60" s="11">
        <v>39.799999999999997</v>
      </c>
      <c r="J60" s="11">
        <v>48.24</v>
      </c>
      <c r="K60" s="11">
        <v>134.82</v>
      </c>
      <c r="L60" s="11">
        <v>136.96</v>
      </c>
      <c r="M60" s="70">
        <v>330.96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1">
        <v>284.7</v>
      </c>
      <c r="W60" s="11">
        <v>83.46</v>
      </c>
      <c r="X60" s="11">
        <v>83.73</v>
      </c>
      <c r="Y60" s="11">
        <v>67.98</v>
      </c>
      <c r="Z60" s="11">
        <v>141.74</v>
      </c>
      <c r="AA60" s="11">
        <v>264.98</v>
      </c>
      <c r="AB60" s="11">
        <v>137.59</v>
      </c>
      <c r="AC60" s="11">
        <v>146.22999999999999</v>
      </c>
      <c r="AD60" s="11">
        <v>260.58</v>
      </c>
      <c r="AE60" s="11">
        <v>292.8</v>
      </c>
      <c r="AF60" s="11">
        <v>138.59</v>
      </c>
      <c r="AG60" s="11">
        <v>199.41</v>
      </c>
      <c r="AH60" s="71">
        <v>390.53</v>
      </c>
      <c r="AI60" s="29"/>
      <c r="AJ60" s="11">
        <v>48.34</v>
      </c>
      <c r="AK60" s="11">
        <v>113.42</v>
      </c>
      <c r="AL60" s="11">
        <v>719.13</v>
      </c>
      <c r="AM60" s="11">
        <v>410.14</v>
      </c>
      <c r="AN60" s="11">
        <v>3466.95</v>
      </c>
      <c r="AO60" s="11">
        <v>2666.67</v>
      </c>
      <c r="AP60" s="11">
        <v>327.3</v>
      </c>
      <c r="AQ60" s="11">
        <v>100.39</v>
      </c>
      <c r="AR60" s="11">
        <v>98.96</v>
      </c>
      <c r="AS60" s="11">
        <v>309.31</v>
      </c>
      <c r="AT60" s="11">
        <v>95.41</v>
      </c>
      <c r="AU60" s="11">
        <v>1987.46</v>
      </c>
      <c r="AV60" s="11">
        <v>1909.43</v>
      </c>
      <c r="AW60" s="11">
        <v>22829.23</v>
      </c>
      <c r="AX60" s="11">
        <v>7266.66</v>
      </c>
      <c r="AY60" s="11">
        <v>5306.59</v>
      </c>
      <c r="AZ60" s="11">
        <v>286.32</v>
      </c>
      <c r="BA60" s="11">
        <v>118.98</v>
      </c>
      <c r="BB60" s="11">
        <v>117.72</v>
      </c>
      <c r="BC60" s="11">
        <v>455.16</v>
      </c>
      <c r="BD60" s="11">
        <v>3207.58</v>
      </c>
      <c r="BE60" s="11">
        <v>986.49</v>
      </c>
      <c r="BF60" s="11">
        <v>659.95</v>
      </c>
      <c r="BG60" s="11">
        <v>10603.91</v>
      </c>
      <c r="BH60" s="11">
        <v>503.71</v>
      </c>
      <c r="BI60" s="11">
        <v>1693.57</v>
      </c>
      <c r="BJ60" s="11">
        <v>138.05000000000001</v>
      </c>
      <c r="BK60" s="11">
        <v>156.91</v>
      </c>
      <c r="BL60" s="11">
        <v>1547.85</v>
      </c>
      <c r="BM60" s="11">
        <v>1090.6199999999999</v>
      </c>
      <c r="BN60" s="11">
        <v>569.62</v>
      </c>
      <c r="BO60" s="11">
        <v>515.83000000000004</v>
      </c>
      <c r="BP60" s="11">
        <v>278.05</v>
      </c>
      <c r="BQ60" s="11">
        <v>1265.04</v>
      </c>
      <c r="BR60" s="11">
        <v>1316.09</v>
      </c>
      <c r="BS60" s="11">
        <v>645.28</v>
      </c>
      <c r="BT60" s="11">
        <v>58.24</v>
      </c>
      <c r="BU60" s="11">
        <v>213.87</v>
      </c>
      <c r="BV60" s="11">
        <v>5.0999999999999996</v>
      </c>
      <c r="BW60" s="5">
        <v>0</v>
      </c>
      <c r="BX60" s="11">
        <v>49695.57</v>
      </c>
      <c r="BY60" s="11">
        <v>25421.03</v>
      </c>
      <c r="BZ60" s="11">
        <v>23501.07</v>
      </c>
      <c r="CA60" s="11">
        <v>773.47</v>
      </c>
      <c r="CB60" s="11">
        <v>16579.93</v>
      </c>
      <c r="CC60" s="11">
        <v>-83.84</v>
      </c>
      <c r="CD60" s="11">
        <v>11478.17</v>
      </c>
      <c r="CE60" s="5" t="s">
        <v>102</v>
      </c>
      <c r="CF60" s="11">
        <v>11478.17</v>
      </c>
      <c r="CG60" s="5" t="s">
        <v>102</v>
      </c>
      <c r="CH60" s="5" t="s">
        <v>102</v>
      </c>
      <c r="CI60" s="11">
        <v>16663.77</v>
      </c>
      <c r="CJ60" s="5" t="s">
        <v>102</v>
      </c>
      <c r="CK60" s="5" t="s">
        <v>102</v>
      </c>
      <c r="CL60" s="11">
        <v>156848.37</v>
      </c>
      <c r="CM60" s="11">
        <v>77753.66</v>
      </c>
    </row>
    <row r="61" spans="1:91" x14ac:dyDescent="0.35">
      <c r="A61" s="3" t="s">
        <v>60</v>
      </c>
      <c r="B61" s="10">
        <v>185894.7</v>
      </c>
      <c r="C61" s="10">
        <v>413.08</v>
      </c>
      <c r="D61" s="10">
        <v>74.180000000000007</v>
      </c>
      <c r="E61" s="10">
        <v>36.14</v>
      </c>
      <c r="F61" s="10">
        <v>286.86</v>
      </c>
      <c r="G61" s="10">
        <v>3032.63</v>
      </c>
      <c r="H61" s="10">
        <v>987.03</v>
      </c>
      <c r="I61" s="10">
        <v>301.61</v>
      </c>
      <c r="J61" s="10">
        <v>658.73</v>
      </c>
      <c r="K61" s="10">
        <v>233.68</v>
      </c>
      <c r="L61" s="4">
        <v>626</v>
      </c>
      <c r="M61" s="70">
        <v>1389.6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0">
        <v>592.05999999999995</v>
      </c>
      <c r="W61" s="10">
        <v>979.14</v>
      </c>
      <c r="X61" s="10">
        <v>1086.54</v>
      </c>
      <c r="Y61" s="10">
        <v>1315.43</v>
      </c>
      <c r="Z61" s="10">
        <v>1751.07</v>
      </c>
      <c r="AA61" s="10">
        <v>1288.3900000000001</v>
      </c>
      <c r="AB61" s="10">
        <v>799.25</v>
      </c>
      <c r="AC61" s="10">
        <v>1578.32</v>
      </c>
      <c r="AD61" s="10">
        <v>1512.79</v>
      </c>
      <c r="AE61" s="10">
        <v>495.92</v>
      </c>
      <c r="AF61" s="10">
        <v>639.58000000000004</v>
      </c>
      <c r="AG61" s="10">
        <v>959.28</v>
      </c>
      <c r="AH61" s="71">
        <v>1717.31</v>
      </c>
      <c r="AI61" s="29"/>
      <c r="AJ61" s="10">
        <v>371.41</v>
      </c>
      <c r="AK61" s="10">
        <v>1316.92</v>
      </c>
      <c r="AL61" s="10">
        <v>4682.22</v>
      </c>
      <c r="AM61" s="10">
        <v>1767.44</v>
      </c>
      <c r="AN61" s="10">
        <v>8579.52</v>
      </c>
      <c r="AO61" s="10">
        <v>5801.89</v>
      </c>
      <c r="AP61" s="10">
        <v>2549.87</v>
      </c>
      <c r="AQ61" s="10">
        <v>230.18</v>
      </c>
      <c r="AR61" s="10">
        <v>488.82</v>
      </c>
      <c r="AS61" s="10">
        <v>2140.5</v>
      </c>
      <c r="AT61" s="10">
        <v>3163.4</v>
      </c>
      <c r="AU61" s="10">
        <v>5699.74</v>
      </c>
      <c r="AV61" s="10">
        <v>1994.88</v>
      </c>
      <c r="AW61" s="10">
        <v>2428.63</v>
      </c>
      <c r="AX61" s="10">
        <v>50904.66</v>
      </c>
      <c r="AY61" s="10">
        <v>8851.01</v>
      </c>
      <c r="AZ61" s="10">
        <v>6233.38</v>
      </c>
      <c r="BA61" s="10">
        <v>2347.6</v>
      </c>
      <c r="BB61" s="10">
        <v>4753.3</v>
      </c>
      <c r="BC61" s="10">
        <v>3060.57</v>
      </c>
      <c r="BD61" s="10">
        <v>6583.3</v>
      </c>
      <c r="BE61" s="10">
        <v>2357.8000000000002</v>
      </c>
      <c r="BF61" s="10">
        <v>1888.72</v>
      </c>
      <c r="BG61" s="10">
        <v>1999.9</v>
      </c>
      <c r="BH61" s="4">
        <v>1468</v>
      </c>
      <c r="BI61" s="10">
        <v>2290.5100000000002</v>
      </c>
      <c r="BJ61" s="10">
        <v>2011.81</v>
      </c>
      <c r="BK61" s="10">
        <v>2655.12</v>
      </c>
      <c r="BL61" s="10">
        <v>3321.59</v>
      </c>
      <c r="BM61" s="10">
        <v>7430.07</v>
      </c>
      <c r="BN61" s="10">
        <v>2248.73</v>
      </c>
      <c r="BO61" s="10">
        <v>3501.56</v>
      </c>
      <c r="BP61" s="10">
        <v>2336.88</v>
      </c>
      <c r="BQ61" s="10">
        <v>2083.37</v>
      </c>
      <c r="BR61" s="10">
        <v>1213.3</v>
      </c>
      <c r="BS61" s="10">
        <v>986.08</v>
      </c>
      <c r="BT61" s="10">
        <v>253.48</v>
      </c>
      <c r="BU61" s="10">
        <v>1134.76</v>
      </c>
      <c r="BV61" s="10">
        <v>9.18</v>
      </c>
      <c r="BW61" s="4">
        <v>0</v>
      </c>
      <c r="BX61" s="10">
        <v>133062.63</v>
      </c>
      <c r="BY61" s="10">
        <v>1107.5899999999999</v>
      </c>
      <c r="BZ61" s="10">
        <v>131946.63</v>
      </c>
      <c r="CA61" s="10">
        <v>8.42</v>
      </c>
      <c r="CB61" s="10">
        <v>9.4</v>
      </c>
      <c r="CC61" s="10">
        <v>9.4</v>
      </c>
      <c r="CD61" s="10">
        <v>17224.09</v>
      </c>
      <c r="CE61" s="4" t="s">
        <v>102</v>
      </c>
      <c r="CF61" s="10">
        <v>17224.09</v>
      </c>
      <c r="CG61" s="4" t="s">
        <v>102</v>
      </c>
      <c r="CH61" s="4" t="s">
        <v>102</v>
      </c>
      <c r="CI61" s="4">
        <v>0</v>
      </c>
      <c r="CJ61" s="4" t="s">
        <v>102</v>
      </c>
      <c r="CK61" s="4" t="s">
        <v>102</v>
      </c>
      <c r="CL61" s="10">
        <v>336190.82</v>
      </c>
      <c r="CM61" s="10">
        <v>150296.12</v>
      </c>
    </row>
    <row r="62" spans="1:91" x14ac:dyDescent="0.35">
      <c r="A62" s="3" t="s">
        <v>61</v>
      </c>
      <c r="B62" s="11">
        <v>628872.82999999996</v>
      </c>
      <c r="C62" s="11">
        <v>468.47</v>
      </c>
      <c r="D62" s="11">
        <v>127.21</v>
      </c>
      <c r="E62" s="11">
        <v>21.35</v>
      </c>
      <c r="F62" s="11">
        <v>667.38</v>
      </c>
      <c r="G62" s="11">
        <v>5370.27</v>
      </c>
      <c r="H62" s="11">
        <v>1517.93</v>
      </c>
      <c r="I62" s="11">
        <v>542.79</v>
      </c>
      <c r="J62" s="11">
        <v>1599.76</v>
      </c>
      <c r="K62" s="11">
        <v>966.99</v>
      </c>
      <c r="L62" s="11">
        <v>2321.1</v>
      </c>
      <c r="M62" s="70">
        <v>6521.02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1">
        <v>2656.65</v>
      </c>
      <c r="W62" s="11">
        <v>1951.29</v>
      </c>
      <c r="X62" s="11">
        <v>1513.58</v>
      </c>
      <c r="Y62" s="11">
        <v>2648.95</v>
      </c>
      <c r="Z62" s="11">
        <v>5034.17</v>
      </c>
      <c r="AA62" s="11">
        <v>4330.74</v>
      </c>
      <c r="AB62" s="11">
        <v>4064.47</v>
      </c>
      <c r="AC62" s="11">
        <v>7567.07</v>
      </c>
      <c r="AD62" s="11">
        <v>8691.92</v>
      </c>
      <c r="AE62" s="11">
        <v>3573.78</v>
      </c>
      <c r="AF62" s="11">
        <v>1726.22</v>
      </c>
      <c r="AG62" s="11">
        <v>3417.73</v>
      </c>
      <c r="AH62" s="71">
        <v>9357.73</v>
      </c>
      <c r="AI62" s="29"/>
      <c r="AJ62" s="11">
        <v>687.6</v>
      </c>
      <c r="AK62" s="11">
        <v>4519.49</v>
      </c>
      <c r="AL62" s="11">
        <v>9772.7800000000007</v>
      </c>
      <c r="AM62" s="11">
        <v>5325.47</v>
      </c>
      <c r="AN62" s="11">
        <v>32949.5</v>
      </c>
      <c r="AO62" s="11">
        <v>17456.64</v>
      </c>
      <c r="AP62" s="11">
        <v>6872.14</v>
      </c>
      <c r="AQ62" s="11">
        <v>2362.44</v>
      </c>
      <c r="AR62" s="11">
        <v>2727.5</v>
      </c>
      <c r="AS62" s="11">
        <v>8687.93</v>
      </c>
      <c r="AT62" s="11">
        <v>4558.8</v>
      </c>
      <c r="AU62" s="11">
        <v>4493.51</v>
      </c>
      <c r="AV62" s="11">
        <v>18792.18</v>
      </c>
      <c r="AW62" s="11">
        <v>4271.54</v>
      </c>
      <c r="AX62" s="11">
        <v>15278.18</v>
      </c>
      <c r="AY62" s="11">
        <v>203282.58</v>
      </c>
      <c r="AZ62" s="11">
        <v>23056.79</v>
      </c>
      <c r="BA62" s="11">
        <v>7578.57</v>
      </c>
      <c r="BB62" s="11">
        <v>9121.08</v>
      </c>
      <c r="BC62" s="11">
        <v>6555.93</v>
      </c>
      <c r="BD62" s="11">
        <v>40470.22</v>
      </c>
      <c r="BE62" s="11">
        <v>10163.58</v>
      </c>
      <c r="BF62" s="11">
        <v>12108.19</v>
      </c>
      <c r="BG62" s="11">
        <v>7823.71</v>
      </c>
      <c r="BH62" s="11">
        <v>4565.93</v>
      </c>
      <c r="BI62" s="11">
        <v>12786.41</v>
      </c>
      <c r="BJ62" s="11">
        <v>4251.47</v>
      </c>
      <c r="BK62" s="11">
        <v>2093.46</v>
      </c>
      <c r="BL62" s="11">
        <v>12395.11</v>
      </c>
      <c r="BM62" s="11">
        <v>20080.740000000002</v>
      </c>
      <c r="BN62" s="11">
        <v>9078.9699999999993</v>
      </c>
      <c r="BO62" s="11">
        <v>10741.56</v>
      </c>
      <c r="BP62" s="11">
        <v>4694.75</v>
      </c>
      <c r="BQ62" s="11">
        <v>6670.98</v>
      </c>
      <c r="BR62" s="11">
        <v>1299.06</v>
      </c>
      <c r="BS62" s="11">
        <v>1781.84</v>
      </c>
      <c r="BT62" s="11">
        <v>1181.24</v>
      </c>
      <c r="BU62" s="11">
        <v>1586.76</v>
      </c>
      <c r="BV62" s="11">
        <v>89.65</v>
      </c>
      <c r="BW62" s="5">
        <v>0</v>
      </c>
      <c r="BX62" s="11">
        <v>11920.04</v>
      </c>
      <c r="BY62" s="11">
        <v>2314.6</v>
      </c>
      <c r="BZ62" s="11">
        <v>9553.2800000000007</v>
      </c>
      <c r="CA62" s="11">
        <v>52.16</v>
      </c>
      <c r="CB62" s="11">
        <v>281451.61</v>
      </c>
      <c r="CC62" s="11">
        <v>256.31</v>
      </c>
      <c r="CD62" s="11">
        <v>184698.25</v>
      </c>
      <c r="CE62" s="5" t="s">
        <v>102</v>
      </c>
      <c r="CF62" s="11">
        <v>184698.25</v>
      </c>
      <c r="CG62" s="5" t="s">
        <v>102</v>
      </c>
      <c r="CH62" s="5" t="s">
        <v>102</v>
      </c>
      <c r="CI62" s="11">
        <v>281195.3</v>
      </c>
      <c r="CJ62" s="5" t="s">
        <v>102</v>
      </c>
      <c r="CK62" s="5" t="s">
        <v>102</v>
      </c>
      <c r="CL62" s="11">
        <v>1106942.73</v>
      </c>
      <c r="CM62" s="11">
        <v>478069.9</v>
      </c>
    </row>
    <row r="63" spans="1:91" x14ac:dyDescent="0.35">
      <c r="A63" s="3" t="s">
        <v>62</v>
      </c>
      <c r="B63" s="10">
        <v>510848.41</v>
      </c>
      <c r="C63" s="10">
        <v>6565.91</v>
      </c>
      <c r="D63" s="10">
        <v>654.28</v>
      </c>
      <c r="E63" s="10">
        <v>236.58</v>
      </c>
      <c r="F63" s="10">
        <v>877.49</v>
      </c>
      <c r="G63" s="10">
        <v>10280.969999999999</v>
      </c>
      <c r="H63" s="10">
        <v>2419.9699999999998</v>
      </c>
      <c r="I63" s="10">
        <v>1171.49</v>
      </c>
      <c r="J63" s="10">
        <v>1501.77</v>
      </c>
      <c r="K63" s="10">
        <v>597.15</v>
      </c>
      <c r="L63" s="10">
        <v>2700.21</v>
      </c>
      <c r="M63" s="70">
        <v>4308.41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0">
        <v>1536.69</v>
      </c>
      <c r="W63" s="10">
        <v>2677.94</v>
      </c>
      <c r="X63" s="10">
        <v>2001.52</v>
      </c>
      <c r="Y63" s="10">
        <v>3395.51</v>
      </c>
      <c r="Z63" s="10">
        <v>4683.1400000000003</v>
      </c>
      <c r="AA63" s="10">
        <v>1848.64</v>
      </c>
      <c r="AB63" s="10">
        <v>2357.4699999999998</v>
      </c>
      <c r="AC63" s="10">
        <v>4965.92</v>
      </c>
      <c r="AD63" s="10">
        <v>5335.38</v>
      </c>
      <c r="AE63" s="10">
        <v>1206.78</v>
      </c>
      <c r="AF63" s="10">
        <v>1964.83</v>
      </c>
      <c r="AG63" s="10">
        <v>2214.19</v>
      </c>
      <c r="AH63" s="71">
        <v>7594.96</v>
      </c>
      <c r="AI63" s="29"/>
      <c r="AJ63" s="10">
        <v>917.54</v>
      </c>
      <c r="AK63" s="10">
        <v>2736.35</v>
      </c>
      <c r="AL63" s="10">
        <v>24374.61</v>
      </c>
      <c r="AM63" s="10">
        <v>5518.86</v>
      </c>
      <c r="AN63" s="10">
        <v>26881.82</v>
      </c>
      <c r="AO63" s="10">
        <v>18795.57</v>
      </c>
      <c r="AP63" s="10">
        <v>7240.47</v>
      </c>
      <c r="AQ63" s="10">
        <v>2378.39</v>
      </c>
      <c r="AR63" s="10">
        <v>1477.69</v>
      </c>
      <c r="AS63" s="10">
        <v>7583.08</v>
      </c>
      <c r="AT63" s="10">
        <v>1208.23</v>
      </c>
      <c r="AU63" s="10">
        <v>11811.51</v>
      </c>
      <c r="AV63" s="10">
        <v>1908.79</v>
      </c>
      <c r="AW63" s="10">
        <v>1432.5</v>
      </c>
      <c r="AX63" s="10">
        <v>2987.84</v>
      </c>
      <c r="AY63" s="10">
        <v>8091.85</v>
      </c>
      <c r="AZ63" s="10">
        <v>91104.54</v>
      </c>
      <c r="BA63" s="10">
        <v>28218.720000000001</v>
      </c>
      <c r="BB63" s="10">
        <v>21020.35</v>
      </c>
      <c r="BC63" s="10">
        <v>79736.58</v>
      </c>
      <c r="BD63" s="10">
        <v>18177.21</v>
      </c>
      <c r="BE63" s="10">
        <v>4363.74</v>
      </c>
      <c r="BF63" s="10">
        <v>2502.29</v>
      </c>
      <c r="BG63" s="10">
        <v>2494.5500000000002</v>
      </c>
      <c r="BH63" s="10">
        <v>2087.1799999999998</v>
      </c>
      <c r="BI63" s="10">
        <v>8357.34</v>
      </c>
      <c r="BJ63" s="10">
        <v>1901.63</v>
      </c>
      <c r="BK63" s="10">
        <v>1682.36</v>
      </c>
      <c r="BL63" s="10">
        <v>5894.09</v>
      </c>
      <c r="BM63" s="10">
        <v>20159.439999999999</v>
      </c>
      <c r="BN63" s="10">
        <v>2921.82</v>
      </c>
      <c r="BO63" s="10">
        <v>7577.51</v>
      </c>
      <c r="BP63" s="10">
        <v>3406.77</v>
      </c>
      <c r="BQ63" s="10">
        <v>2287.04</v>
      </c>
      <c r="BR63" s="10">
        <v>1545.51</v>
      </c>
      <c r="BS63" s="10">
        <v>3558.52</v>
      </c>
      <c r="BT63" s="10">
        <v>494.15</v>
      </c>
      <c r="BU63" s="10">
        <v>2878.54</v>
      </c>
      <c r="BV63" s="10">
        <v>36.25</v>
      </c>
      <c r="BW63" s="4">
        <v>0</v>
      </c>
      <c r="BX63" s="10">
        <v>162950.63</v>
      </c>
      <c r="BY63" s="10">
        <v>802.51</v>
      </c>
      <c r="BZ63" s="10">
        <v>162047.23000000001</v>
      </c>
      <c r="CA63" s="10">
        <v>100.89</v>
      </c>
      <c r="CB63" s="4">
        <v>81</v>
      </c>
      <c r="CC63" s="10">
        <v>0.12</v>
      </c>
      <c r="CD63" s="10">
        <v>92110.53</v>
      </c>
      <c r="CE63" s="4" t="s">
        <v>102</v>
      </c>
      <c r="CF63" s="10">
        <v>92110.53</v>
      </c>
      <c r="CG63" s="4" t="s">
        <v>102</v>
      </c>
      <c r="CH63" s="4" t="s">
        <v>102</v>
      </c>
      <c r="CI63" s="10">
        <v>80.88</v>
      </c>
      <c r="CJ63" s="4" t="s">
        <v>102</v>
      </c>
      <c r="CK63" s="4" t="s">
        <v>102</v>
      </c>
      <c r="CL63" s="10">
        <v>765990.58</v>
      </c>
      <c r="CM63" s="10">
        <v>255142.16</v>
      </c>
    </row>
    <row r="64" spans="1:91" x14ac:dyDescent="0.35">
      <c r="A64" s="3" t="s">
        <v>63</v>
      </c>
      <c r="B64" s="11">
        <v>130811.62</v>
      </c>
      <c r="C64" s="11">
        <v>3440.58</v>
      </c>
      <c r="D64" s="11">
        <v>109.45</v>
      </c>
      <c r="E64" s="11">
        <v>65.37</v>
      </c>
      <c r="F64" s="11">
        <v>231.38</v>
      </c>
      <c r="G64" s="11">
        <v>2612.02</v>
      </c>
      <c r="H64" s="11">
        <v>451.1</v>
      </c>
      <c r="I64" s="11">
        <v>489.56</v>
      </c>
      <c r="J64" s="11">
        <v>593.44000000000005</v>
      </c>
      <c r="K64" s="11">
        <v>264.29000000000002</v>
      </c>
      <c r="L64" s="11">
        <v>613.08000000000004</v>
      </c>
      <c r="M64" s="70">
        <v>1913.17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1">
        <v>539.4</v>
      </c>
      <c r="W64" s="11">
        <v>896.86</v>
      </c>
      <c r="X64" s="11">
        <v>684.71</v>
      </c>
      <c r="Y64" s="11">
        <v>724.69</v>
      </c>
      <c r="Z64" s="11">
        <v>1149.6500000000001</v>
      </c>
      <c r="AA64" s="11">
        <v>433.28</v>
      </c>
      <c r="AB64" s="11">
        <v>619.97</v>
      </c>
      <c r="AC64" s="11">
        <v>1201.4100000000001</v>
      </c>
      <c r="AD64" s="11">
        <v>1275.3399999999999</v>
      </c>
      <c r="AE64" s="11">
        <v>442.41</v>
      </c>
      <c r="AF64" s="11">
        <v>616.59</v>
      </c>
      <c r="AG64" s="11">
        <v>740.54</v>
      </c>
      <c r="AH64" s="71">
        <v>2463.04</v>
      </c>
      <c r="AI64" s="29"/>
      <c r="AJ64" s="11">
        <v>278.93</v>
      </c>
      <c r="AK64" s="11">
        <v>1447.52</v>
      </c>
      <c r="AL64" s="11">
        <v>6113.34</v>
      </c>
      <c r="AM64" s="11">
        <v>1686.75</v>
      </c>
      <c r="AN64" s="11">
        <v>5043.3999999999996</v>
      </c>
      <c r="AO64" s="11">
        <v>4696.3999999999996</v>
      </c>
      <c r="AP64" s="11">
        <v>7411.35</v>
      </c>
      <c r="AQ64" s="11">
        <v>1168.1600000000001</v>
      </c>
      <c r="AR64" s="11">
        <v>664.82</v>
      </c>
      <c r="AS64" s="11">
        <v>3958.66</v>
      </c>
      <c r="AT64" s="11">
        <v>337.96</v>
      </c>
      <c r="AU64" s="11">
        <v>2239.27</v>
      </c>
      <c r="AV64" s="11">
        <v>478.09</v>
      </c>
      <c r="AW64" s="11">
        <v>306.69</v>
      </c>
      <c r="AX64" s="11">
        <v>1050.95</v>
      </c>
      <c r="AY64" s="11">
        <v>1756.78</v>
      </c>
      <c r="AZ64" s="11">
        <v>2450.5300000000002</v>
      </c>
      <c r="BA64" s="5">
        <v>28194</v>
      </c>
      <c r="BB64" s="11">
        <v>4626.7700000000004</v>
      </c>
      <c r="BC64" s="11">
        <v>7880.84</v>
      </c>
      <c r="BD64" s="11">
        <v>3663.85</v>
      </c>
      <c r="BE64" s="11">
        <v>1268.5</v>
      </c>
      <c r="BF64" s="11">
        <v>891.2</v>
      </c>
      <c r="BG64" s="11">
        <v>385.04</v>
      </c>
      <c r="BH64" s="11">
        <v>474.31</v>
      </c>
      <c r="BI64" s="11">
        <v>4465.3500000000004</v>
      </c>
      <c r="BJ64" s="11">
        <v>315.70999999999998</v>
      </c>
      <c r="BK64" s="11">
        <v>348.46</v>
      </c>
      <c r="BL64" s="11">
        <v>2015.39</v>
      </c>
      <c r="BM64" s="11">
        <v>4371.66</v>
      </c>
      <c r="BN64" s="11">
        <v>3103.38</v>
      </c>
      <c r="BO64" s="11">
        <v>2104.08</v>
      </c>
      <c r="BP64" s="11">
        <v>1027.44</v>
      </c>
      <c r="BQ64" s="5">
        <v>556</v>
      </c>
      <c r="BR64" s="11">
        <v>347.11</v>
      </c>
      <c r="BS64" s="11">
        <v>522.82000000000005</v>
      </c>
      <c r="BT64" s="11">
        <v>164.23</v>
      </c>
      <c r="BU64" s="11">
        <v>421.76</v>
      </c>
      <c r="BV64" s="11">
        <v>2.78</v>
      </c>
      <c r="BW64" s="5">
        <v>0</v>
      </c>
      <c r="BX64" s="11">
        <v>224408.33</v>
      </c>
      <c r="BY64" s="11">
        <v>985.75</v>
      </c>
      <c r="BZ64" s="11">
        <v>223158.2</v>
      </c>
      <c r="CA64" s="11">
        <v>264.38</v>
      </c>
      <c r="CB64" s="11">
        <v>532.27</v>
      </c>
      <c r="CC64" s="11">
        <v>-2.66</v>
      </c>
      <c r="CD64" s="11">
        <v>36428.35</v>
      </c>
      <c r="CE64" s="5" t="s">
        <v>102</v>
      </c>
      <c r="CF64" s="11">
        <v>36428.35</v>
      </c>
      <c r="CG64" s="5" t="s">
        <v>102</v>
      </c>
      <c r="CH64" s="5" t="s">
        <v>102</v>
      </c>
      <c r="CI64" s="11">
        <v>534.92999999999995</v>
      </c>
      <c r="CJ64" s="5" t="s">
        <v>102</v>
      </c>
      <c r="CK64" s="5" t="s">
        <v>102</v>
      </c>
      <c r="CL64" s="11">
        <v>392180.56</v>
      </c>
      <c r="CM64" s="11">
        <v>261368.95</v>
      </c>
    </row>
    <row r="65" spans="1:91" x14ac:dyDescent="0.35">
      <c r="A65" s="3" t="s">
        <v>64</v>
      </c>
      <c r="B65" s="10">
        <v>290528.28000000003</v>
      </c>
      <c r="C65" s="10">
        <v>917.95</v>
      </c>
      <c r="D65" s="10">
        <v>59.52</v>
      </c>
      <c r="E65" s="10">
        <v>45.14</v>
      </c>
      <c r="F65" s="10">
        <v>94.88</v>
      </c>
      <c r="G65" s="10">
        <v>2604.41</v>
      </c>
      <c r="H65" s="10">
        <v>1015.33</v>
      </c>
      <c r="I65" s="10">
        <v>320.77999999999997</v>
      </c>
      <c r="J65" s="10">
        <v>261.5</v>
      </c>
      <c r="K65" s="10">
        <v>140.56</v>
      </c>
      <c r="L65" s="10">
        <v>849.48</v>
      </c>
      <c r="M65" s="70">
        <v>1626.27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0">
        <v>441.98</v>
      </c>
      <c r="W65" s="10">
        <v>552.17999999999995</v>
      </c>
      <c r="X65" s="10">
        <v>665.84</v>
      </c>
      <c r="Y65" s="10">
        <v>503.01</v>
      </c>
      <c r="Z65" s="10">
        <v>1009.63</v>
      </c>
      <c r="AA65" s="10">
        <v>431.09</v>
      </c>
      <c r="AB65" s="10">
        <v>620.72</v>
      </c>
      <c r="AC65" s="10">
        <v>1578.2</v>
      </c>
      <c r="AD65" s="10">
        <v>661.3</v>
      </c>
      <c r="AE65" s="10">
        <v>628.66</v>
      </c>
      <c r="AF65" s="10">
        <v>944.25</v>
      </c>
      <c r="AG65" s="10">
        <v>625.95000000000005</v>
      </c>
      <c r="AH65" s="71">
        <v>2015.4</v>
      </c>
      <c r="AI65" s="29"/>
      <c r="AJ65" s="10">
        <v>128.81</v>
      </c>
      <c r="AK65" s="10">
        <v>403.63</v>
      </c>
      <c r="AL65" s="10">
        <v>4173.37</v>
      </c>
      <c r="AM65" s="10">
        <v>1004.73</v>
      </c>
      <c r="AN65" s="10">
        <v>7235.78</v>
      </c>
      <c r="AO65" s="10">
        <v>3607.18</v>
      </c>
      <c r="AP65" s="10">
        <v>2747.73</v>
      </c>
      <c r="AQ65" s="10">
        <v>1016.89</v>
      </c>
      <c r="AR65" s="10">
        <v>621.14</v>
      </c>
      <c r="AS65" s="10">
        <v>887.29</v>
      </c>
      <c r="AT65" s="10">
        <v>367.32</v>
      </c>
      <c r="AU65" s="10">
        <v>2033.97</v>
      </c>
      <c r="AV65" s="10">
        <v>819.07</v>
      </c>
      <c r="AW65" s="10">
        <v>230.3</v>
      </c>
      <c r="AX65" s="10">
        <v>3080.64</v>
      </c>
      <c r="AY65" s="10">
        <v>2768.26</v>
      </c>
      <c r="AZ65" s="10">
        <v>71264.97</v>
      </c>
      <c r="BA65" s="10">
        <v>97128.91</v>
      </c>
      <c r="BB65" s="10">
        <v>46647.1</v>
      </c>
      <c r="BC65" s="10">
        <v>5306.52</v>
      </c>
      <c r="BD65" s="10">
        <v>6332.27</v>
      </c>
      <c r="BE65" s="10">
        <v>1484.88</v>
      </c>
      <c r="BF65" s="10">
        <v>964.85</v>
      </c>
      <c r="BG65" s="10">
        <v>424.78</v>
      </c>
      <c r="BH65" s="10">
        <v>695.73</v>
      </c>
      <c r="BI65" s="10">
        <v>3796.81</v>
      </c>
      <c r="BJ65" s="10">
        <v>309.07</v>
      </c>
      <c r="BK65" s="10">
        <v>440.26</v>
      </c>
      <c r="BL65" s="10">
        <v>2071.29</v>
      </c>
      <c r="BM65" s="10">
        <v>684.46</v>
      </c>
      <c r="BN65" s="10">
        <v>494.41</v>
      </c>
      <c r="BO65" s="10">
        <v>633.69000000000005</v>
      </c>
      <c r="BP65" s="10">
        <v>477.36</v>
      </c>
      <c r="BQ65" s="10">
        <v>367.69</v>
      </c>
      <c r="BR65" s="10">
        <v>337.17</v>
      </c>
      <c r="BS65" s="10">
        <v>412.97</v>
      </c>
      <c r="BT65" s="10">
        <v>260.45</v>
      </c>
      <c r="BU65" s="10">
        <v>250.32</v>
      </c>
      <c r="BV65" s="10">
        <v>2.16</v>
      </c>
      <c r="BW65" s="4">
        <v>0</v>
      </c>
      <c r="BX65" s="10">
        <v>30550.42</v>
      </c>
      <c r="BY65" s="10">
        <v>806.02</v>
      </c>
      <c r="BZ65" s="4">
        <v>29744</v>
      </c>
      <c r="CA65" s="10">
        <v>0.41</v>
      </c>
      <c r="CB65" s="10">
        <v>2011.81</v>
      </c>
      <c r="CC65" s="10">
        <v>110.99</v>
      </c>
      <c r="CD65" s="10">
        <v>22519.17</v>
      </c>
      <c r="CE65" s="4" t="s">
        <v>102</v>
      </c>
      <c r="CF65" s="10">
        <v>22519.17</v>
      </c>
      <c r="CG65" s="4" t="s">
        <v>102</v>
      </c>
      <c r="CH65" s="4" t="s">
        <v>102</v>
      </c>
      <c r="CI65" s="10">
        <v>1900.82</v>
      </c>
      <c r="CJ65" s="4" t="s">
        <v>102</v>
      </c>
      <c r="CK65" s="4" t="s">
        <v>102</v>
      </c>
      <c r="CL65" s="10">
        <v>345609.68</v>
      </c>
      <c r="CM65" s="10">
        <v>55081.4</v>
      </c>
    </row>
    <row r="66" spans="1:91" x14ac:dyDescent="0.35">
      <c r="A66" s="3" t="s">
        <v>65</v>
      </c>
      <c r="B66" s="11">
        <v>603565.47</v>
      </c>
      <c r="C66" s="11">
        <v>1965.65</v>
      </c>
      <c r="D66" s="11">
        <v>195.96</v>
      </c>
      <c r="E66" s="11">
        <v>39.21</v>
      </c>
      <c r="F66" s="11">
        <v>686.51</v>
      </c>
      <c r="G66" s="11">
        <v>10835.76</v>
      </c>
      <c r="H66" s="11">
        <v>3104.72</v>
      </c>
      <c r="I66" s="11">
        <v>1409.69</v>
      </c>
      <c r="J66" s="11">
        <v>1754.11</v>
      </c>
      <c r="K66" s="11">
        <v>1165.8900000000001</v>
      </c>
      <c r="L66" s="11">
        <v>1401.6</v>
      </c>
      <c r="M66" s="70">
        <v>3635.91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1">
        <v>1647.56</v>
      </c>
      <c r="W66" s="11">
        <v>3362.99</v>
      </c>
      <c r="X66" s="11">
        <v>2295.41</v>
      </c>
      <c r="Y66" s="11">
        <v>2111.89</v>
      </c>
      <c r="Z66" s="11">
        <v>6613.81</v>
      </c>
      <c r="AA66" s="11">
        <v>2744.68</v>
      </c>
      <c r="AB66" s="11">
        <v>2822.31</v>
      </c>
      <c r="AC66" s="11">
        <v>6142.97</v>
      </c>
      <c r="AD66" s="11">
        <v>7846.95</v>
      </c>
      <c r="AE66" s="11">
        <v>1535.33</v>
      </c>
      <c r="AF66" s="11">
        <v>3070.48</v>
      </c>
      <c r="AG66" s="11">
        <v>3794.24</v>
      </c>
      <c r="AH66" s="71">
        <v>7602.43</v>
      </c>
      <c r="AI66" s="29"/>
      <c r="AJ66" s="11">
        <v>948.77</v>
      </c>
      <c r="AK66" s="11">
        <v>3361.4</v>
      </c>
      <c r="AL66" s="11">
        <v>39873.199999999997</v>
      </c>
      <c r="AM66" s="11">
        <v>15680.18</v>
      </c>
      <c r="AN66" s="11">
        <v>41356.31</v>
      </c>
      <c r="AO66" s="11">
        <v>75385.240000000005</v>
      </c>
      <c r="AP66" s="11">
        <v>9643.58</v>
      </c>
      <c r="AQ66" s="11">
        <v>760.59</v>
      </c>
      <c r="AR66" s="11">
        <v>1608.38</v>
      </c>
      <c r="AS66" s="11">
        <v>12424.2</v>
      </c>
      <c r="AT66" s="11">
        <v>2341.9899999999998</v>
      </c>
      <c r="AU66" s="11">
        <v>46660.23</v>
      </c>
      <c r="AV66" s="11">
        <v>2826.75</v>
      </c>
      <c r="AW66" s="11">
        <v>2925.54</v>
      </c>
      <c r="AX66" s="11">
        <v>11291.88</v>
      </c>
      <c r="AY66" s="11">
        <v>14270.12</v>
      </c>
      <c r="AZ66" s="11">
        <v>15083.57</v>
      </c>
      <c r="BA66" s="11">
        <v>7350.86</v>
      </c>
      <c r="BB66" s="11">
        <v>8162.01</v>
      </c>
      <c r="BC66" s="11">
        <v>44806.83</v>
      </c>
      <c r="BD66" s="11">
        <v>31470.83</v>
      </c>
      <c r="BE66" s="11">
        <v>12679.62</v>
      </c>
      <c r="BF66" s="11">
        <v>5419.23</v>
      </c>
      <c r="BG66" s="11">
        <v>4968.3900000000003</v>
      </c>
      <c r="BH66" s="11">
        <v>4085.28</v>
      </c>
      <c r="BI66" s="11">
        <v>8561.59</v>
      </c>
      <c r="BJ66" s="11">
        <v>4860.88</v>
      </c>
      <c r="BK66" s="11">
        <v>2361.46</v>
      </c>
      <c r="BL66" s="11">
        <v>16775.5</v>
      </c>
      <c r="BM66" s="11">
        <v>20705.400000000001</v>
      </c>
      <c r="BN66" s="11">
        <v>9773.61</v>
      </c>
      <c r="BO66" s="11">
        <v>15157.42</v>
      </c>
      <c r="BP66" s="11">
        <v>12324.23</v>
      </c>
      <c r="BQ66" s="11">
        <v>4090.83</v>
      </c>
      <c r="BR66" s="11">
        <v>4736.45</v>
      </c>
      <c r="BS66" s="11">
        <v>3442.1</v>
      </c>
      <c r="BT66" s="11">
        <v>1249.82</v>
      </c>
      <c r="BU66" s="11">
        <v>6306.23</v>
      </c>
      <c r="BV66" s="11">
        <v>48.96</v>
      </c>
      <c r="BW66" s="5">
        <v>0</v>
      </c>
      <c r="BX66" s="11">
        <v>1546624.07</v>
      </c>
      <c r="BY66" s="11">
        <v>25824.94</v>
      </c>
      <c r="BZ66" s="11">
        <v>1520140.86</v>
      </c>
      <c r="CA66" s="11">
        <v>658.28</v>
      </c>
      <c r="CB66" s="11">
        <v>46060.28</v>
      </c>
      <c r="CC66" s="11">
        <v>-166.71</v>
      </c>
      <c r="CD66" s="11">
        <v>3850.18</v>
      </c>
      <c r="CE66" s="5" t="s">
        <v>102</v>
      </c>
      <c r="CF66" s="11">
        <v>3850.18</v>
      </c>
      <c r="CG66" s="5" t="s">
        <v>102</v>
      </c>
      <c r="CH66" s="5" t="s">
        <v>102</v>
      </c>
      <c r="CI66" s="11">
        <v>46226.98</v>
      </c>
      <c r="CJ66" s="5" t="s">
        <v>102</v>
      </c>
      <c r="CK66" s="5" t="s">
        <v>102</v>
      </c>
      <c r="CL66" s="11">
        <v>2200099.9900000002</v>
      </c>
      <c r="CM66" s="11">
        <v>1596534.53</v>
      </c>
    </row>
    <row r="67" spans="1:91" x14ac:dyDescent="0.35">
      <c r="A67" s="35" t="s">
        <v>66</v>
      </c>
      <c r="B67" s="42">
        <v>954675.51</v>
      </c>
      <c r="C67" s="42">
        <v>3247.14</v>
      </c>
      <c r="D67" s="42">
        <v>347.45</v>
      </c>
      <c r="E67" s="42">
        <v>175.42</v>
      </c>
      <c r="F67" s="42">
        <v>1677.68</v>
      </c>
      <c r="G67" s="42">
        <v>23822.54</v>
      </c>
      <c r="H67" s="42">
        <v>3822.42</v>
      </c>
      <c r="I67" s="42">
        <v>2024.45</v>
      </c>
      <c r="J67" s="42">
        <v>3791.88</v>
      </c>
      <c r="K67" s="42">
        <v>1504.14</v>
      </c>
      <c r="L67" s="42">
        <v>6980.24</v>
      </c>
      <c r="M67" s="70">
        <v>12536.533008902212</v>
      </c>
      <c r="N67" s="67">
        <v>471.22263040000001</v>
      </c>
      <c r="O67" s="67">
        <v>82.003832697788695</v>
      </c>
      <c r="P67" s="79">
        <v>177.09971999999999</v>
      </c>
      <c r="Q67" s="67">
        <v>17.930807999999999</v>
      </c>
      <c r="R67" s="42"/>
      <c r="S67" s="42"/>
      <c r="T67" s="42"/>
      <c r="U67" s="76"/>
      <c r="V67" s="42">
        <v>8170.55</v>
      </c>
      <c r="W67" s="42">
        <v>5548.91</v>
      </c>
      <c r="X67" s="42">
        <v>4596.03</v>
      </c>
      <c r="Y67" s="42">
        <v>6892.88</v>
      </c>
      <c r="Z67" s="42">
        <v>10032.86</v>
      </c>
      <c r="AA67" s="42">
        <v>7364.6</v>
      </c>
      <c r="AB67" s="42">
        <v>7809.39</v>
      </c>
      <c r="AC67" s="42">
        <v>16568.07</v>
      </c>
      <c r="AD67" s="42">
        <v>16777.330000000002</v>
      </c>
      <c r="AE67" s="42">
        <v>4897.55</v>
      </c>
      <c r="AF67" s="42">
        <v>4247.41</v>
      </c>
      <c r="AG67" s="42">
        <v>7017.33</v>
      </c>
      <c r="AH67" s="71">
        <v>12849.513036510793</v>
      </c>
      <c r="AI67" s="67">
        <v>7.1869634892086349</v>
      </c>
      <c r="AJ67" s="42">
        <v>1157.25</v>
      </c>
      <c r="AK67" s="42">
        <v>6418.15</v>
      </c>
      <c r="AL67" s="42">
        <v>39380.11</v>
      </c>
      <c r="AM67" s="42">
        <v>10610.5</v>
      </c>
      <c r="AN67" s="42">
        <v>66403.09</v>
      </c>
      <c r="AO67" s="42">
        <v>33430.050000000003</v>
      </c>
      <c r="AP67" s="42">
        <v>12857.94</v>
      </c>
      <c r="AQ67" s="42">
        <v>3295.08</v>
      </c>
      <c r="AR67" s="42">
        <v>2428.25</v>
      </c>
      <c r="AS67" s="42">
        <v>14316.59</v>
      </c>
      <c r="AT67" s="42">
        <v>3737.58</v>
      </c>
      <c r="AU67" s="42">
        <v>18199.14</v>
      </c>
      <c r="AV67" s="42">
        <v>9593.48</v>
      </c>
      <c r="AW67" s="42">
        <v>4764.34</v>
      </c>
      <c r="AX67" s="42">
        <v>9883.24</v>
      </c>
      <c r="AY67" s="42">
        <v>42518.2</v>
      </c>
      <c r="AZ67" s="42">
        <v>26803.24</v>
      </c>
      <c r="BA67" s="42">
        <v>10802.2</v>
      </c>
      <c r="BB67" s="42">
        <v>14978.68</v>
      </c>
      <c r="BC67" s="42">
        <v>35424.53</v>
      </c>
      <c r="BD67" s="42">
        <v>202983.63</v>
      </c>
      <c r="BE67" s="42">
        <v>36518.019999999997</v>
      </c>
      <c r="BF67" s="42">
        <v>11318.93</v>
      </c>
      <c r="BG67" s="42">
        <v>9054.7999999999993</v>
      </c>
      <c r="BH67" s="42">
        <v>10593.82</v>
      </c>
      <c r="BI67" s="42">
        <v>19358.78</v>
      </c>
      <c r="BJ67" s="42">
        <v>8190.26</v>
      </c>
      <c r="BK67" s="42">
        <v>4634.5</v>
      </c>
      <c r="BL67" s="42">
        <v>42437.87</v>
      </c>
      <c r="BM67" s="42">
        <v>18612.830000000002</v>
      </c>
      <c r="BN67" s="42">
        <v>6793.16</v>
      </c>
      <c r="BO67" s="42">
        <v>17121.41</v>
      </c>
      <c r="BP67" s="42">
        <v>7193.2</v>
      </c>
      <c r="BQ67" s="42">
        <v>5452.8</v>
      </c>
      <c r="BR67" s="42">
        <v>4016.01</v>
      </c>
      <c r="BS67" s="42">
        <v>4752.7</v>
      </c>
      <c r="BT67" s="42">
        <v>1139.3900000000001</v>
      </c>
      <c r="BU67" s="42">
        <v>4022.36</v>
      </c>
      <c r="BV67" s="42">
        <v>21.73</v>
      </c>
      <c r="BW67" s="42">
        <v>0</v>
      </c>
      <c r="BX67" s="42">
        <v>27760.02</v>
      </c>
      <c r="BY67" s="42">
        <v>2758.29</v>
      </c>
      <c r="BZ67" s="42">
        <v>24445.89</v>
      </c>
      <c r="CA67" s="42">
        <v>555.84</v>
      </c>
      <c r="CB67" s="42">
        <v>35542.46</v>
      </c>
      <c r="CC67" s="42">
        <v>-34.840000000000003</v>
      </c>
      <c r="CD67" s="42">
        <v>95242.559999999998</v>
      </c>
      <c r="CE67" s="42" t="s">
        <v>102</v>
      </c>
      <c r="CF67" s="42">
        <v>95242.559999999998</v>
      </c>
      <c r="CG67" s="42" t="s">
        <v>102</v>
      </c>
      <c r="CH67" s="42" t="s">
        <v>102</v>
      </c>
      <c r="CI67" s="42">
        <v>35577.300000000003</v>
      </c>
      <c r="CJ67" s="42" t="s">
        <v>102</v>
      </c>
      <c r="CK67" s="42" t="s">
        <v>102</v>
      </c>
      <c r="CL67" s="42">
        <v>1113220.55</v>
      </c>
      <c r="CM67" s="42">
        <v>158545.04</v>
      </c>
    </row>
    <row r="68" spans="1:91" x14ac:dyDescent="0.35">
      <c r="A68" s="26" t="s">
        <v>67</v>
      </c>
      <c r="B68" s="36">
        <v>324639.71999999997</v>
      </c>
      <c r="C68" s="36">
        <v>1308.69</v>
      </c>
      <c r="D68" s="36">
        <v>119.36</v>
      </c>
      <c r="E68" s="36">
        <v>22.28</v>
      </c>
      <c r="F68" s="36">
        <v>1469.12</v>
      </c>
      <c r="G68" s="36">
        <v>4569.8900000000003</v>
      </c>
      <c r="H68" s="36">
        <v>1293.8699999999999</v>
      </c>
      <c r="I68" s="36">
        <v>865.04</v>
      </c>
      <c r="J68" s="36">
        <v>1234.7</v>
      </c>
      <c r="K68" s="36">
        <v>296.64</v>
      </c>
      <c r="L68" s="36">
        <v>2810.55</v>
      </c>
      <c r="M68" s="70">
        <v>6477.9315759815718</v>
      </c>
      <c r="N68" s="66">
        <v>234.08568149999999</v>
      </c>
      <c r="O68" s="37">
        <v>46.896237518427519</v>
      </c>
      <c r="P68" s="37">
        <v>110.68732499999999</v>
      </c>
      <c r="Q68" s="66">
        <v>37.589179999999999</v>
      </c>
      <c r="R68" s="36"/>
      <c r="S68" s="36"/>
      <c r="T68" s="36"/>
      <c r="U68" s="76"/>
      <c r="V68" s="36">
        <v>3148.01</v>
      </c>
      <c r="W68" s="36">
        <v>3527.04</v>
      </c>
      <c r="X68" s="36">
        <v>2537.7800000000002</v>
      </c>
      <c r="Y68" s="36">
        <v>2678.09</v>
      </c>
      <c r="Z68" s="36">
        <v>5100.66</v>
      </c>
      <c r="AA68" s="36">
        <v>3639.73</v>
      </c>
      <c r="AB68" s="36">
        <v>4710.87</v>
      </c>
      <c r="AC68" s="36">
        <v>6769.32</v>
      </c>
      <c r="AD68" s="36">
        <v>8284.9500000000007</v>
      </c>
      <c r="AE68" s="36">
        <v>4861.7700000000004</v>
      </c>
      <c r="AF68" s="36">
        <v>1221.1600000000001</v>
      </c>
      <c r="AG68" s="36">
        <v>5308.23</v>
      </c>
      <c r="AH68" s="71">
        <v>7637.1988561151074</v>
      </c>
      <c r="AI68" s="66">
        <v>13.161143884892091</v>
      </c>
      <c r="AJ68" s="36">
        <v>1345.61</v>
      </c>
      <c r="AK68" s="36">
        <v>7374.88</v>
      </c>
      <c r="AL68" s="36">
        <v>57315.48</v>
      </c>
      <c r="AM68" s="36">
        <v>2268.04</v>
      </c>
      <c r="AN68" s="36">
        <v>9964.2900000000009</v>
      </c>
      <c r="AO68" s="36">
        <v>4900.84</v>
      </c>
      <c r="AP68" s="36">
        <v>6116.97</v>
      </c>
      <c r="AQ68" s="36">
        <v>971.5</v>
      </c>
      <c r="AR68" s="36">
        <v>1326.27</v>
      </c>
      <c r="AS68" s="36">
        <v>6045.65</v>
      </c>
      <c r="AT68" s="36">
        <v>581.22</v>
      </c>
      <c r="AU68" s="36">
        <v>3318.13</v>
      </c>
      <c r="AV68" s="36">
        <v>1527.59</v>
      </c>
      <c r="AW68" s="36">
        <v>685.2</v>
      </c>
      <c r="AX68" s="36">
        <v>3596.02</v>
      </c>
      <c r="AY68" s="36">
        <v>10304.18</v>
      </c>
      <c r="AZ68" s="36">
        <v>2106.36</v>
      </c>
      <c r="BA68" s="36">
        <v>1247.55</v>
      </c>
      <c r="BB68" s="36">
        <v>1557.49</v>
      </c>
      <c r="BC68" s="36">
        <v>9894.85</v>
      </c>
      <c r="BD68" s="36">
        <v>12793.41</v>
      </c>
      <c r="BE68" s="36">
        <v>49357.55</v>
      </c>
      <c r="BF68" s="36">
        <v>5906.61</v>
      </c>
      <c r="BG68" s="36">
        <v>2850.63</v>
      </c>
      <c r="BH68" s="36">
        <v>3785.26</v>
      </c>
      <c r="BI68" s="36">
        <v>5285.82</v>
      </c>
      <c r="BJ68" s="36">
        <v>1682.57</v>
      </c>
      <c r="BK68" s="36">
        <v>240.35</v>
      </c>
      <c r="BL68" s="36">
        <v>9076.5300000000007</v>
      </c>
      <c r="BM68" s="36">
        <v>8833.92</v>
      </c>
      <c r="BN68" s="36">
        <v>2445.3000000000002</v>
      </c>
      <c r="BO68" s="36">
        <v>3635.41</v>
      </c>
      <c r="BP68" s="36">
        <v>757.45</v>
      </c>
      <c r="BQ68" s="36">
        <v>1617.36</v>
      </c>
      <c r="BR68" s="36">
        <v>1102.5999999999999</v>
      </c>
      <c r="BS68" s="36">
        <v>744.02</v>
      </c>
      <c r="BT68" s="36">
        <v>300.77999999999997</v>
      </c>
      <c r="BU68" s="36">
        <v>1422.04</v>
      </c>
      <c r="BV68" s="36">
        <v>18.739999999999998</v>
      </c>
      <c r="BW68" s="36">
        <v>0</v>
      </c>
      <c r="BX68" s="36">
        <v>14718.47</v>
      </c>
      <c r="BY68" s="36">
        <v>2220.67</v>
      </c>
      <c r="BZ68" s="36">
        <v>12423.51</v>
      </c>
      <c r="CA68" s="36">
        <v>74.28</v>
      </c>
      <c r="CB68" s="36">
        <v>95094.15</v>
      </c>
      <c r="CC68" s="36">
        <v>980.34</v>
      </c>
      <c r="CD68" s="36">
        <v>32044.84</v>
      </c>
      <c r="CE68" s="36" t="s">
        <v>102</v>
      </c>
      <c r="CF68" s="36">
        <v>32044.84</v>
      </c>
      <c r="CG68" s="36" t="s">
        <v>102</v>
      </c>
      <c r="CH68" s="36" t="s">
        <v>102</v>
      </c>
      <c r="CI68" s="36">
        <v>94113.81</v>
      </c>
      <c r="CJ68" s="36" t="s">
        <v>102</v>
      </c>
      <c r="CK68" s="36" t="s">
        <v>102</v>
      </c>
      <c r="CL68" s="36">
        <v>466497.17</v>
      </c>
      <c r="CM68" s="36">
        <v>141857.45000000001</v>
      </c>
    </row>
    <row r="69" spans="1:91" x14ac:dyDescent="0.35">
      <c r="A69" s="3" t="s">
        <v>68</v>
      </c>
      <c r="B69" s="10">
        <v>28973.53</v>
      </c>
      <c r="C69" s="10">
        <v>61.53</v>
      </c>
      <c r="D69" s="10">
        <v>4.5999999999999996</v>
      </c>
      <c r="E69" s="10">
        <v>3.2</v>
      </c>
      <c r="F69" s="10">
        <v>29.03</v>
      </c>
      <c r="G69" s="10">
        <v>288.87</v>
      </c>
      <c r="H69" s="10">
        <v>104.08</v>
      </c>
      <c r="I69" s="10">
        <v>5.89</v>
      </c>
      <c r="J69" s="10">
        <v>43.04</v>
      </c>
      <c r="K69" s="10">
        <v>10.34</v>
      </c>
      <c r="L69" s="10">
        <v>111.07</v>
      </c>
      <c r="M69" s="70">
        <v>392.91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0">
        <v>2031.71</v>
      </c>
      <c r="W69" s="10">
        <v>352.65</v>
      </c>
      <c r="X69" s="10">
        <v>62.13</v>
      </c>
      <c r="Y69" s="10">
        <v>35.89</v>
      </c>
      <c r="Z69" s="10">
        <v>213.36</v>
      </c>
      <c r="AA69" s="10">
        <v>630.27</v>
      </c>
      <c r="AB69" s="10">
        <v>422.29</v>
      </c>
      <c r="AC69" s="10">
        <v>1412.49</v>
      </c>
      <c r="AD69" s="10">
        <v>2234.9699999999998</v>
      </c>
      <c r="AE69" s="10">
        <v>142.76</v>
      </c>
      <c r="AF69" s="10">
        <v>105.6</v>
      </c>
      <c r="AG69" s="10">
        <v>164.66</v>
      </c>
      <c r="AH69" s="71">
        <v>91.34</v>
      </c>
      <c r="AI69" s="29"/>
      <c r="AJ69" s="10">
        <v>7.53</v>
      </c>
      <c r="AK69" s="10">
        <v>50.9</v>
      </c>
      <c r="AL69" s="10">
        <v>422.74</v>
      </c>
      <c r="AM69" s="10">
        <v>330.69</v>
      </c>
      <c r="AN69" s="10">
        <v>1259.54</v>
      </c>
      <c r="AO69" s="10">
        <v>129.97999999999999</v>
      </c>
      <c r="AP69" s="10">
        <v>46.51</v>
      </c>
      <c r="AQ69" s="10">
        <v>2.29</v>
      </c>
      <c r="AR69" s="10">
        <v>2.65</v>
      </c>
      <c r="AS69" s="10">
        <v>25.46</v>
      </c>
      <c r="AT69" s="10">
        <v>58.65</v>
      </c>
      <c r="AU69" s="10">
        <v>13.07</v>
      </c>
      <c r="AV69" s="10">
        <v>196.95</v>
      </c>
      <c r="AW69" s="10">
        <v>23.84</v>
      </c>
      <c r="AX69" s="10">
        <v>28.7</v>
      </c>
      <c r="AY69" s="10">
        <v>1173.56</v>
      </c>
      <c r="AZ69" s="10">
        <v>161.66</v>
      </c>
      <c r="BA69" s="10">
        <v>24.39</v>
      </c>
      <c r="BB69" s="10">
        <v>26.6</v>
      </c>
      <c r="BC69" s="10">
        <v>60.2</v>
      </c>
      <c r="BD69" s="10">
        <v>1090.1199999999999</v>
      </c>
      <c r="BE69" s="10">
        <v>371.82</v>
      </c>
      <c r="BF69" s="10">
        <v>10887.14</v>
      </c>
      <c r="BG69" s="10">
        <v>195.07</v>
      </c>
      <c r="BH69" s="10">
        <v>190.7</v>
      </c>
      <c r="BI69" s="10">
        <v>1257.82</v>
      </c>
      <c r="BJ69" s="10">
        <v>81.12</v>
      </c>
      <c r="BK69" s="10">
        <v>13.13</v>
      </c>
      <c r="BL69" s="10">
        <v>324.43</v>
      </c>
      <c r="BM69" s="10">
        <v>274.48</v>
      </c>
      <c r="BN69" s="10">
        <v>796.65</v>
      </c>
      <c r="BO69" s="10">
        <v>323.05</v>
      </c>
      <c r="BP69" s="10">
        <v>33.69</v>
      </c>
      <c r="BQ69" s="10">
        <v>39.89</v>
      </c>
      <c r="BR69" s="10">
        <v>21.09</v>
      </c>
      <c r="BS69" s="10">
        <v>52.99</v>
      </c>
      <c r="BT69" s="10">
        <v>6.75</v>
      </c>
      <c r="BU69" s="10">
        <v>2.54</v>
      </c>
      <c r="BV69" s="10">
        <v>10.48</v>
      </c>
      <c r="BW69" s="4">
        <v>0</v>
      </c>
      <c r="BX69" s="10">
        <v>51975.55</v>
      </c>
      <c r="BY69" s="10">
        <v>49279.53</v>
      </c>
      <c r="BZ69" s="10">
        <v>0.65</v>
      </c>
      <c r="CA69" s="10">
        <v>2695.37</v>
      </c>
      <c r="CB69" s="10">
        <v>320077.46000000002</v>
      </c>
      <c r="CC69" s="10">
        <v>93.12</v>
      </c>
      <c r="CD69" s="10">
        <v>45070.13</v>
      </c>
      <c r="CE69" s="4" t="s">
        <v>102</v>
      </c>
      <c r="CF69" s="10">
        <v>45070.13</v>
      </c>
      <c r="CG69" s="4" t="s">
        <v>102</v>
      </c>
      <c r="CH69" s="4" t="s">
        <v>102</v>
      </c>
      <c r="CI69" s="10">
        <v>319984.34999999998</v>
      </c>
      <c r="CJ69" s="4" t="s">
        <v>102</v>
      </c>
      <c r="CK69" s="4" t="s">
        <v>102</v>
      </c>
      <c r="CL69" s="10">
        <v>446096.66</v>
      </c>
      <c r="CM69" s="10">
        <v>417123.14</v>
      </c>
    </row>
    <row r="70" spans="1:91" x14ac:dyDescent="0.35">
      <c r="A70" s="3" t="s">
        <v>69</v>
      </c>
      <c r="B70" s="11">
        <v>179239.67999999999</v>
      </c>
      <c r="C70" s="11">
        <v>318.20999999999998</v>
      </c>
      <c r="D70" s="11">
        <v>55.88</v>
      </c>
      <c r="E70" s="11">
        <v>19.440000000000001</v>
      </c>
      <c r="F70" s="11">
        <v>196.34</v>
      </c>
      <c r="G70" s="11">
        <v>17468.39</v>
      </c>
      <c r="H70" s="11">
        <v>1611.24</v>
      </c>
      <c r="I70" s="11">
        <v>316.52</v>
      </c>
      <c r="J70" s="11">
        <v>951.87</v>
      </c>
      <c r="K70" s="11">
        <v>241.59</v>
      </c>
      <c r="L70" s="11">
        <v>1321.83</v>
      </c>
      <c r="M70" s="70">
        <v>4067.37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1">
        <v>4374.88</v>
      </c>
      <c r="W70" s="5">
        <v>1172</v>
      </c>
      <c r="X70" s="11">
        <v>868.6</v>
      </c>
      <c r="Y70" s="11">
        <v>642.84</v>
      </c>
      <c r="Z70" s="11">
        <v>1360.67</v>
      </c>
      <c r="AA70" s="11">
        <v>1187.8</v>
      </c>
      <c r="AB70" s="11">
        <v>1385.63</v>
      </c>
      <c r="AC70" s="11">
        <v>1577.07</v>
      </c>
      <c r="AD70" s="11">
        <v>3583.02</v>
      </c>
      <c r="AE70" s="11">
        <v>350.26</v>
      </c>
      <c r="AF70" s="11">
        <v>1812.61</v>
      </c>
      <c r="AG70" s="11">
        <v>782.37</v>
      </c>
      <c r="AH70" s="71">
        <v>1491.59</v>
      </c>
      <c r="AI70" s="29"/>
      <c r="AJ70" s="11">
        <v>141.9</v>
      </c>
      <c r="AK70" s="11">
        <v>787.71</v>
      </c>
      <c r="AL70" s="11">
        <v>2992.25</v>
      </c>
      <c r="AM70" s="11">
        <v>5485.43</v>
      </c>
      <c r="AN70" s="11">
        <v>20968.2</v>
      </c>
      <c r="AO70" s="11">
        <v>14735.12</v>
      </c>
      <c r="AP70" s="11">
        <v>1325.27</v>
      </c>
      <c r="AQ70" s="11">
        <v>146.97999999999999</v>
      </c>
      <c r="AR70" s="11">
        <v>722.15</v>
      </c>
      <c r="AS70" s="11">
        <v>1388.1</v>
      </c>
      <c r="AT70" s="11">
        <v>730.12</v>
      </c>
      <c r="AU70" s="11">
        <v>3374.37</v>
      </c>
      <c r="AV70" s="11">
        <v>2663.44</v>
      </c>
      <c r="AW70" s="11">
        <v>2108.1999999999998</v>
      </c>
      <c r="AX70" s="11">
        <v>2914.33</v>
      </c>
      <c r="AY70" s="11">
        <v>7137.73</v>
      </c>
      <c r="AZ70" s="11">
        <v>4740.57</v>
      </c>
      <c r="BA70" s="11">
        <v>2512.8000000000002</v>
      </c>
      <c r="BB70" s="11">
        <v>1608.12</v>
      </c>
      <c r="BC70" s="11">
        <v>2191.81</v>
      </c>
      <c r="BD70" s="11">
        <v>7199.8</v>
      </c>
      <c r="BE70" s="11">
        <v>1135.98</v>
      </c>
      <c r="BF70" s="11">
        <v>1737.35</v>
      </c>
      <c r="BG70" s="11">
        <v>20519.45</v>
      </c>
      <c r="BH70" s="11">
        <v>1321.67</v>
      </c>
      <c r="BI70" s="11">
        <v>3411.66</v>
      </c>
      <c r="BJ70" s="11">
        <v>1493.15</v>
      </c>
      <c r="BK70" s="11">
        <v>3117.83</v>
      </c>
      <c r="BL70" s="11">
        <v>3069.08</v>
      </c>
      <c r="BM70" s="11">
        <v>2800.58</v>
      </c>
      <c r="BN70" s="11">
        <v>925.11</v>
      </c>
      <c r="BO70" s="11">
        <v>1240.58</v>
      </c>
      <c r="BP70" s="11">
        <v>397.15</v>
      </c>
      <c r="BQ70" s="11">
        <v>2142.5</v>
      </c>
      <c r="BR70" s="11">
        <v>1238.78</v>
      </c>
      <c r="BS70" s="11">
        <v>721.82</v>
      </c>
      <c r="BT70" s="11">
        <v>314.89</v>
      </c>
      <c r="BU70" s="11">
        <v>617.96</v>
      </c>
      <c r="BV70" s="11">
        <v>1.74</v>
      </c>
      <c r="BW70" s="5">
        <v>0</v>
      </c>
      <c r="BX70" s="5">
        <v>161</v>
      </c>
      <c r="BY70" s="11">
        <v>35.130000000000003</v>
      </c>
      <c r="BZ70" s="11">
        <v>117.96</v>
      </c>
      <c r="CA70" s="11">
        <v>7.91</v>
      </c>
      <c r="CB70" s="11">
        <v>-121.71</v>
      </c>
      <c r="CC70" s="11">
        <v>-127.38</v>
      </c>
      <c r="CD70" s="11">
        <v>25193.51</v>
      </c>
      <c r="CE70" s="5" t="s">
        <v>102</v>
      </c>
      <c r="CF70" s="11">
        <v>25193.51</v>
      </c>
      <c r="CG70" s="5" t="s">
        <v>102</v>
      </c>
      <c r="CH70" s="5" t="s">
        <v>102</v>
      </c>
      <c r="CI70" s="11">
        <v>5.67</v>
      </c>
      <c r="CJ70" s="5" t="s">
        <v>102</v>
      </c>
      <c r="CK70" s="5" t="s">
        <v>102</v>
      </c>
      <c r="CL70" s="11">
        <v>204472.48</v>
      </c>
      <c r="CM70" s="11">
        <v>25232.799999999999</v>
      </c>
    </row>
    <row r="71" spans="1:91" x14ac:dyDescent="0.35">
      <c r="A71" s="3" t="s">
        <v>70</v>
      </c>
      <c r="B71" s="10">
        <v>139029.29999999999</v>
      </c>
      <c r="C71" s="10">
        <v>7086.7</v>
      </c>
      <c r="D71" s="10">
        <v>125.7</v>
      </c>
      <c r="E71" s="10">
        <v>47.04</v>
      </c>
      <c r="F71" s="10">
        <v>279.39</v>
      </c>
      <c r="G71" s="10">
        <v>3392.81</v>
      </c>
      <c r="H71" s="10">
        <v>1403.78</v>
      </c>
      <c r="I71" s="10">
        <v>229.37</v>
      </c>
      <c r="J71" s="10">
        <v>429.09</v>
      </c>
      <c r="K71" s="10">
        <v>244.71</v>
      </c>
      <c r="L71" s="10">
        <v>573.49</v>
      </c>
      <c r="M71" s="70">
        <v>1561.97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0">
        <v>654.84</v>
      </c>
      <c r="W71" s="10">
        <v>843.88</v>
      </c>
      <c r="X71" s="10">
        <v>572.21</v>
      </c>
      <c r="Y71" s="10">
        <v>750.32</v>
      </c>
      <c r="Z71" s="10">
        <v>1304.0999999999999</v>
      </c>
      <c r="AA71" s="10">
        <v>1205.32</v>
      </c>
      <c r="AB71" s="10">
        <v>1376.76</v>
      </c>
      <c r="AC71" s="10">
        <v>2080.41</v>
      </c>
      <c r="AD71" s="10">
        <v>2685.06</v>
      </c>
      <c r="AE71" s="10">
        <v>541.62</v>
      </c>
      <c r="AF71" s="10">
        <v>1140.02</v>
      </c>
      <c r="AG71" s="10">
        <v>890.41</v>
      </c>
      <c r="AH71" s="71">
        <v>1707.83</v>
      </c>
      <c r="AI71" s="29"/>
      <c r="AJ71" s="10">
        <v>225.37</v>
      </c>
      <c r="AK71" s="10">
        <v>1335.9</v>
      </c>
      <c r="AL71" s="10">
        <v>5228.3</v>
      </c>
      <c r="AM71" s="10">
        <v>1783.95</v>
      </c>
      <c r="AN71" s="10">
        <v>12473.66</v>
      </c>
      <c r="AO71" s="10">
        <v>3749.55</v>
      </c>
      <c r="AP71" s="10">
        <v>1622.68</v>
      </c>
      <c r="AQ71" s="10">
        <v>155.18</v>
      </c>
      <c r="AR71" s="10">
        <v>856.91</v>
      </c>
      <c r="AS71" s="10">
        <v>1706.03</v>
      </c>
      <c r="AT71" s="10">
        <v>339.39</v>
      </c>
      <c r="AU71" s="10">
        <v>2744.45</v>
      </c>
      <c r="AV71" s="10">
        <v>1914.07</v>
      </c>
      <c r="AW71" s="10">
        <v>1071.8699999999999</v>
      </c>
      <c r="AX71" s="10">
        <v>2200.12</v>
      </c>
      <c r="AY71" s="10">
        <v>6324.94</v>
      </c>
      <c r="AZ71" s="10">
        <v>3718.35</v>
      </c>
      <c r="BA71" s="10">
        <v>2785.25</v>
      </c>
      <c r="BB71" s="10">
        <v>2647.79</v>
      </c>
      <c r="BC71" s="10">
        <v>3491.21</v>
      </c>
      <c r="BD71" s="10">
        <v>10585.9</v>
      </c>
      <c r="BE71" s="10">
        <v>3831.29</v>
      </c>
      <c r="BF71" s="10">
        <v>1854.92</v>
      </c>
      <c r="BG71" s="10">
        <v>3203.03</v>
      </c>
      <c r="BH71" s="10">
        <v>6736.36</v>
      </c>
      <c r="BI71" s="10">
        <v>2877.58</v>
      </c>
      <c r="BJ71" s="10">
        <v>988.27</v>
      </c>
      <c r="BK71" s="10">
        <v>556.1</v>
      </c>
      <c r="BL71" s="10">
        <v>5145.68</v>
      </c>
      <c r="BM71" s="10">
        <v>4384.1000000000004</v>
      </c>
      <c r="BN71" s="10">
        <v>2375.4499999999998</v>
      </c>
      <c r="BO71" s="10">
        <v>2471.4499999999998</v>
      </c>
      <c r="BP71" s="10">
        <v>1230.6500000000001</v>
      </c>
      <c r="BQ71" s="10">
        <v>1810.06</v>
      </c>
      <c r="BR71" s="10">
        <v>1600.19</v>
      </c>
      <c r="BS71" s="10">
        <v>898.44</v>
      </c>
      <c r="BT71" s="10">
        <v>182.3</v>
      </c>
      <c r="BU71" s="10">
        <v>788.98</v>
      </c>
      <c r="BV71" s="10">
        <v>6.78</v>
      </c>
      <c r="BW71" s="4">
        <v>0</v>
      </c>
      <c r="BX71" s="10">
        <v>25992.37</v>
      </c>
      <c r="BY71" s="10">
        <v>2083.2199999999998</v>
      </c>
      <c r="BZ71" s="10">
        <v>23872.04</v>
      </c>
      <c r="CA71" s="10">
        <v>37.11</v>
      </c>
      <c r="CB71" s="10">
        <v>374.77</v>
      </c>
      <c r="CC71" s="10">
        <v>289.31</v>
      </c>
      <c r="CD71" s="10">
        <v>12817.42</v>
      </c>
      <c r="CE71" s="4" t="s">
        <v>102</v>
      </c>
      <c r="CF71" s="10">
        <v>12817.42</v>
      </c>
      <c r="CG71" s="4" t="s">
        <v>102</v>
      </c>
      <c r="CH71" s="4" t="s">
        <v>102</v>
      </c>
      <c r="CI71" s="10">
        <v>85.46</v>
      </c>
      <c r="CJ71" s="4" t="s">
        <v>102</v>
      </c>
      <c r="CK71" s="4" t="s">
        <v>102</v>
      </c>
      <c r="CL71" s="10">
        <v>178213.86</v>
      </c>
      <c r="CM71" s="10">
        <v>39184.559999999998</v>
      </c>
    </row>
    <row r="72" spans="1:91" x14ac:dyDescent="0.35">
      <c r="A72" s="3" t="s">
        <v>71</v>
      </c>
      <c r="B72" s="11">
        <v>440512.03</v>
      </c>
      <c r="C72" s="11">
        <v>4945.3500000000004</v>
      </c>
      <c r="D72" s="11">
        <v>338.45</v>
      </c>
      <c r="E72" s="11">
        <v>102.29</v>
      </c>
      <c r="F72" s="11">
        <v>1171.71</v>
      </c>
      <c r="G72" s="11">
        <v>9606.92</v>
      </c>
      <c r="H72" s="11">
        <v>1622.03</v>
      </c>
      <c r="I72" s="11">
        <v>1266.3599999999999</v>
      </c>
      <c r="J72" s="11">
        <v>1906.26</v>
      </c>
      <c r="K72" s="11">
        <v>1315.01</v>
      </c>
      <c r="L72" s="11">
        <v>1980.1</v>
      </c>
      <c r="M72" s="70">
        <v>7338.27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1">
        <v>8545.19</v>
      </c>
      <c r="W72" s="11">
        <v>3565.52</v>
      </c>
      <c r="X72" s="11">
        <v>3012.76</v>
      </c>
      <c r="Y72" s="11">
        <v>2638.27</v>
      </c>
      <c r="Z72" s="11">
        <v>4904.3999999999996</v>
      </c>
      <c r="AA72" s="11">
        <v>3240.91</v>
      </c>
      <c r="AB72" s="11">
        <v>3094.29</v>
      </c>
      <c r="AC72" s="11">
        <v>5887.91</v>
      </c>
      <c r="AD72" s="11">
        <v>6354.88</v>
      </c>
      <c r="AE72" s="11">
        <v>1678.01</v>
      </c>
      <c r="AF72" s="11">
        <v>2256.91</v>
      </c>
      <c r="AG72" s="11">
        <v>3721.86</v>
      </c>
      <c r="AH72" s="71">
        <v>7787.54</v>
      </c>
      <c r="AI72" s="29"/>
      <c r="AJ72" s="11">
        <v>1133.3499999999999</v>
      </c>
      <c r="AK72" s="11">
        <v>5813.94</v>
      </c>
      <c r="AL72" s="11">
        <v>40735.879999999997</v>
      </c>
      <c r="AM72" s="11">
        <v>4168.66</v>
      </c>
      <c r="AN72" s="11">
        <v>30267.21</v>
      </c>
      <c r="AO72" s="11">
        <v>16258.56</v>
      </c>
      <c r="AP72" s="11">
        <v>16823.37</v>
      </c>
      <c r="AQ72" s="11">
        <v>5155.62</v>
      </c>
      <c r="AR72" s="11">
        <v>8531.24</v>
      </c>
      <c r="AS72" s="11">
        <v>12268.35</v>
      </c>
      <c r="AT72" s="11">
        <v>1922.06</v>
      </c>
      <c r="AU72" s="11">
        <v>9967.2999999999993</v>
      </c>
      <c r="AV72" s="11">
        <v>3202.83</v>
      </c>
      <c r="AW72" s="11">
        <v>7143.88</v>
      </c>
      <c r="AX72" s="11">
        <v>7349.15</v>
      </c>
      <c r="AY72" s="11">
        <v>25466.560000000001</v>
      </c>
      <c r="AZ72" s="11">
        <v>4296.7299999999996</v>
      </c>
      <c r="BA72" s="11">
        <v>3261.13</v>
      </c>
      <c r="BB72" s="11">
        <v>4407.1099999999997</v>
      </c>
      <c r="BC72" s="11">
        <v>3611.69</v>
      </c>
      <c r="BD72" s="11">
        <v>16226.16</v>
      </c>
      <c r="BE72" s="11">
        <v>4810.26</v>
      </c>
      <c r="BF72" s="11">
        <v>5678.18</v>
      </c>
      <c r="BG72" s="11">
        <v>3911.19</v>
      </c>
      <c r="BH72" s="11">
        <v>2678.26</v>
      </c>
      <c r="BI72" s="11">
        <v>52722.58</v>
      </c>
      <c r="BJ72" s="11">
        <v>1271.18</v>
      </c>
      <c r="BK72" s="11">
        <v>1482.96</v>
      </c>
      <c r="BL72" s="11">
        <v>15783.52</v>
      </c>
      <c r="BM72" s="11">
        <v>8053.14</v>
      </c>
      <c r="BN72" s="11">
        <v>5263.93</v>
      </c>
      <c r="BO72" s="11">
        <v>7178.37</v>
      </c>
      <c r="BP72" s="11">
        <v>3936.78</v>
      </c>
      <c r="BQ72" s="11">
        <v>3009.38</v>
      </c>
      <c r="BR72" s="11">
        <v>3059.33</v>
      </c>
      <c r="BS72" s="11">
        <v>1574.17</v>
      </c>
      <c r="BT72" s="11">
        <v>511.02</v>
      </c>
      <c r="BU72" s="11">
        <v>3279.58</v>
      </c>
      <c r="BV72" s="11">
        <v>16.23</v>
      </c>
      <c r="BW72" s="5">
        <v>0</v>
      </c>
      <c r="BX72" s="11">
        <v>47920.71</v>
      </c>
      <c r="BY72" s="11">
        <v>777.47</v>
      </c>
      <c r="BZ72" s="11">
        <v>47139.46</v>
      </c>
      <c r="CA72" s="11">
        <v>3.78</v>
      </c>
      <c r="CB72" s="11">
        <v>3019.6</v>
      </c>
      <c r="CC72" s="11">
        <v>35.33</v>
      </c>
      <c r="CD72" s="11">
        <v>56960.639999999999</v>
      </c>
      <c r="CE72" s="5" t="s">
        <v>102</v>
      </c>
      <c r="CF72" s="11">
        <v>56960.639999999999</v>
      </c>
      <c r="CG72" s="5" t="s">
        <v>102</v>
      </c>
      <c r="CH72" s="5" t="s">
        <v>102</v>
      </c>
      <c r="CI72" s="11">
        <v>2984.27</v>
      </c>
      <c r="CJ72" s="5" t="s">
        <v>102</v>
      </c>
      <c r="CK72" s="5" t="s">
        <v>102</v>
      </c>
      <c r="CL72" s="11">
        <v>548412.97</v>
      </c>
      <c r="CM72" s="11">
        <v>107900.95</v>
      </c>
    </row>
    <row r="73" spans="1:91" x14ac:dyDescent="0.35">
      <c r="A73" s="3" t="s">
        <v>72</v>
      </c>
      <c r="B73" s="10">
        <v>237752.99</v>
      </c>
      <c r="C73" s="4">
        <v>3449</v>
      </c>
      <c r="D73" s="10">
        <v>155.83000000000001</v>
      </c>
      <c r="E73" s="10">
        <v>27.21</v>
      </c>
      <c r="F73" s="10">
        <v>640.89</v>
      </c>
      <c r="G73" s="10">
        <v>13532.56</v>
      </c>
      <c r="H73" s="10">
        <v>1162.47</v>
      </c>
      <c r="I73" s="10">
        <v>1089.27</v>
      </c>
      <c r="J73" s="10">
        <v>1428.23</v>
      </c>
      <c r="K73" s="10">
        <v>590.19000000000005</v>
      </c>
      <c r="L73" s="10">
        <v>497.95</v>
      </c>
      <c r="M73" s="70">
        <v>3212.03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0">
        <v>2569.08</v>
      </c>
      <c r="W73" s="10">
        <v>3269.07</v>
      </c>
      <c r="X73" s="10">
        <v>2567.4</v>
      </c>
      <c r="Y73" s="10">
        <v>2305.23</v>
      </c>
      <c r="Z73" s="10">
        <v>5937.46</v>
      </c>
      <c r="AA73" s="10">
        <v>2649.79</v>
      </c>
      <c r="AB73" s="10">
        <v>3364.39</v>
      </c>
      <c r="AC73" s="10">
        <v>7017.32</v>
      </c>
      <c r="AD73" s="4">
        <v>5968</v>
      </c>
      <c r="AE73" s="10">
        <v>3404.44</v>
      </c>
      <c r="AF73" s="10">
        <v>1939.64</v>
      </c>
      <c r="AG73" s="10">
        <v>4855.8500000000004</v>
      </c>
      <c r="AH73" s="71">
        <v>2819.26</v>
      </c>
      <c r="AI73" s="29"/>
      <c r="AJ73" s="10">
        <v>389.41</v>
      </c>
      <c r="AK73" s="10">
        <v>2615.2800000000002</v>
      </c>
      <c r="AL73" s="10">
        <v>19675.66</v>
      </c>
      <c r="AM73" s="10">
        <v>1827.51</v>
      </c>
      <c r="AN73" s="10">
        <v>14839.95</v>
      </c>
      <c r="AO73" s="10">
        <v>7912.6</v>
      </c>
      <c r="AP73" s="10">
        <v>8502.77</v>
      </c>
      <c r="AQ73" s="10">
        <v>2396.71</v>
      </c>
      <c r="AR73" s="10">
        <v>1243.46</v>
      </c>
      <c r="AS73" s="10">
        <v>10500.7</v>
      </c>
      <c r="AT73" s="10">
        <v>2815.98</v>
      </c>
      <c r="AU73" s="10">
        <v>5790.7</v>
      </c>
      <c r="AV73" s="10">
        <v>1158.3</v>
      </c>
      <c r="AW73" s="10">
        <v>386.22</v>
      </c>
      <c r="AX73" s="10">
        <v>1893.68</v>
      </c>
      <c r="AY73" s="10">
        <v>6797.65</v>
      </c>
      <c r="AZ73" s="10">
        <v>2406.36</v>
      </c>
      <c r="BA73" s="10">
        <v>740.45</v>
      </c>
      <c r="BB73" s="10">
        <v>1856.68</v>
      </c>
      <c r="BC73" s="10">
        <v>2655.67</v>
      </c>
      <c r="BD73" s="10">
        <v>7929.76</v>
      </c>
      <c r="BE73" s="4">
        <v>4440</v>
      </c>
      <c r="BF73" s="10">
        <v>3188.68</v>
      </c>
      <c r="BG73" s="10">
        <v>1263.43</v>
      </c>
      <c r="BH73" s="10">
        <v>1224.82</v>
      </c>
      <c r="BI73" s="10">
        <v>5012.58</v>
      </c>
      <c r="BJ73" s="10">
        <v>10537.84</v>
      </c>
      <c r="BK73" s="10">
        <v>594.96</v>
      </c>
      <c r="BL73" s="10">
        <v>9627.39</v>
      </c>
      <c r="BM73" s="10">
        <v>5017.41</v>
      </c>
      <c r="BN73" s="10">
        <v>3360.38</v>
      </c>
      <c r="BO73" s="10">
        <v>7351.91</v>
      </c>
      <c r="BP73" s="10">
        <v>4475.49</v>
      </c>
      <c r="BQ73" s="10">
        <v>674.74</v>
      </c>
      <c r="BR73" s="10">
        <v>532.52</v>
      </c>
      <c r="BS73" s="10">
        <v>652.70000000000005</v>
      </c>
      <c r="BT73" s="10">
        <v>356.82</v>
      </c>
      <c r="BU73" s="10">
        <v>644.26</v>
      </c>
      <c r="BV73" s="10">
        <v>9.01</v>
      </c>
      <c r="BW73" s="4">
        <v>0</v>
      </c>
      <c r="BX73" s="10">
        <v>4820.3999999999996</v>
      </c>
      <c r="BY73" s="10">
        <v>2890.68</v>
      </c>
      <c r="BZ73" s="10">
        <v>1914.56</v>
      </c>
      <c r="CA73" s="10">
        <v>15.16</v>
      </c>
      <c r="CB73" s="10">
        <v>55.24</v>
      </c>
      <c r="CC73" s="4">
        <v>30</v>
      </c>
      <c r="CD73" s="10">
        <v>4076.48</v>
      </c>
      <c r="CE73" s="4" t="s">
        <v>102</v>
      </c>
      <c r="CF73" s="10">
        <v>4076.48</v>
      </c>
      <c r="CG73" s="4" t="s">
        <v>102</v>
      </c>
      <c r="CH73" s="4" t="s">
        <v>102</v>
      </c>
      <c r="CI73" s="10">
        <v>25.23</v>
      </c>
      <c r="CJ73" s="4" t="s">
        <v>102</v>
      </c>
      <c r="CK73" s="4" t="s">
        <v>102</v>
      </c>
      <c r="CL73" s="10">
        <v>246705.1</v>
      </c>
      <c r="CM73" s="10">
        <v>8952.11</v>
      </c>
    </row>
    <row r="74" spans="1:91" x14ac:dyDescent="0.35">
      <c r="A74" s="3" t="s">
        <v>73</v>
      </c>
      <c r="B74" s="11">
        <v>32270.03</v>
      </c>
      <c r="C74" s="11">
        <v>55.61</v>
      </c>
      <c r="D74" s="11">
        <v>19.850000000000001</v>
      </c>
      <c r="E74" s="5">
        <v>15</v>
      </c>
      <c r="F74" s="11">
        <v>51.6</v>
      </c>
      <c r="G74" s="11">
        <v>273.75</v>
      </c>
      <c r="H74" s="11">
        <v>104.26</v>
      </c>
      <c r="I74" s="11">
        <v>47.05</v>
      </c>
      <c r="J74" s="11">
        <v>65.040000000000006</v>
      </c>
      <c r="K74" s="11">
        <v>35.14</v>
      </c>
      <c r="L74" s="11">
        <v>80.02</v>
      </c>
      <c r="M74" s="70">
        <v>197.42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1">
        <v>148.29</v>
      </c>
      <c r="W74" s="11">
        <v>98.43</v>
      </c>
      <c r="X74" s="11">
        <v>150.63999999999999</v>
      </c>
      <c r="Y74" s="11">
        <v>97.92</v>
      </c>
      <c r="Z74" s="11">
        <v>240.12</v>
      </c>
      <c r="AA74" s="11">
        <v>138.44</v>
      </c>
      <c r="AB74" s="11">
        <v>295.91000000000003</v>
      </c>
      <c r="AC74" s="11">
        <v>260.23</v>
      </c>
      <c r="AD74" s="11">
        <v>361.52</v>
      </c>
      <c r="AE74" s="11">
        <v>123.4</v>
      </c>
      <c r="AF74" s="11">
        <v>99.89</v>
      </c>
      <c r="AG74" s="11">
        <v>155.28</v>
      </c>
      <c r="AH74" s="71">
        <v>332.97</v>
      </c>
      <c r="AI74" s="29"/>
      <c r="AJ74" s="11">
        <v>41.75</v>
      </c>
      <c r="AK74" s="11">
        <v>130.27000000000001</v>
      </c>
      <c r="AL74" s="11">
        <v>585.62</v>
      </c>
      <c r="AM74" s="11">
        <v>156.15</v>
      </c>
      <c r="AN74" s="11">
        <v>986.6</v>
      </c>
      <c r="AO74" s="11">
        <v>447.12</v>
      </c>
      <c r="AP74" s="11">
        <v>2084.66</v>
      </c>
      <c r="AQ74" s="11">
        <v>343.5</v>
      </c>
      <c r="AR74" s="11">
        <v>2484.85</v>
      </c>
      <c r="AS74" s="11">
        <v>1064.8399999999999</v>
      </c>
      <c r="AT74" s="11">
        <v>65.48</v>
      </c>
      <c r="AU74" s="11">
        <v>1611.73</v>
      </c>
      <c r="AV74" s="11">
        <v>77.44</v>
      </c>
      <c r="AW74" s="11">
        <v>216.77</v>
      </c>
      <c r="AX74" s="11">
        <v>391.61</v>
      </c>
      <c r="AY74" s="11">
        <v>522.24</v>
      </c>
      <c r="AZ74" s="11">
        <v>203.76</v>
      </c>
      <c r="BA74" s="11">
        <v>113.63</v>
      </c>
      <c r="BB74" s="11">
        <v>126.1</v>
      </c>
      <c r="BC74" s="11">
        <v>222.63</v>
      </c>
      <c r="BD74" s="11">
        <v>657.19</v>
      </c>
      <c r="BE74" s="11">
        <v>146.83000000000001</v>
      </c>
      <c r="BF74" s="11">
        <v>279.42</v>
      </c>
      <c r="BG74" s="11">
        <v>162.51</v>
      </c>
      <c r="BH74" s="11">
        <v>87.47</v>
      </c>
      <c r="BI74" s="11">
        <v>517.48</v>
      </c>
      <c r="BJ74" s="11">
        <v>72.59</v>
      </c>
      <c r="BK74" s="11">
        <v>11649.85</v>
      </c>
      <c r="BL74" s="11">
        <v>257.91000000000003</v>
      </c>
      <c r="BM74" s="11">
        <v>586.19000000000005</v>
      </c>
      <c r="BN74" s="11">
        <v>365.79</v>
      </c>
      <c r="BO74" s="11">
        <v>213.25</v>
      </c>
      <c r="BP74" s="11">
        <v>158.16</v>
      </c>
      <c r="BQ74" s="11">
        <v>524.08000000000004</v>
      </c>
      <c r="BR74" s="11">
        <v>1075.68</v>
      </c>
      <c r="BS74" s="11">
        <v>93.91</v>
      </c>
      <c r="BT74" s="11">
        <v>36.4</v>
      </c>
      <c r="BU74" s="11">
        <v>59.17</v>
      </c>
      <c r="BV74" s="11">
        <v>1.67</v>
      </c>
      <c r="BW74" s="5">
        <v>0</v>
      </c>
      <c r="BX74" s="11">
        <v>81919.5</v>
      </c>
      <c r="BY74" s="11">
        <v>2473.59</v>
      </c>
      <c r="BZ74" s="11">
        <v>79288.77</v>
      </c>
      <c r="CA74" s="11">
        <v>157.13999999999999</v>
      </c>
      <c r="CB74" s="11">
        <v>95.34</v>
      </c>
      <c r="CC74" s="11">
        <v>49.31</v>
      </c>
      <c r="CD74" s="11">
        <v>14011.33</v>
      </c>
      <c r="CE74" s="5" t="s">
        <v>102</v>
      </c>
      <c r="CF74" s="11">
        <v>14011.33</v>
      </c>
      <c r="CG74" s="5" t="s">
        <v>102</v>
      </c>
      <c r="CH74" s="5" t="s">
        <v>102</v>
      </c>
      <c r="CI74" s="11">
        <v>46.02</v>
      </c>
      <c r="CJ74" s="5" t="s">
        <v>102</v>
      </c>
      <c r="CK74" s="5" t="s">
        <v>102</v>
      </c>
      <c r="CL74" s="11">
        <v>128296.19</v>
      </c>
      <c r="CM74" s="11">
        <v>96026.17</v>
      </c>
    </row>
    <row r="75" spans="1:91" x14ac:dyDescent="0.35">
      <c r="A75" s="3" t="s">
        <v>74</v>
      </c>
      <c r="B75" s="10">
        <v>567997.41</v>
      </c>
      <c r="C75" s="10">
        <v>2242.0500000000002</v>
      </c>
      <c r="D75" s="10">
        <v>298.48</v>
      </c>
      <c r="E75" s="10">
        <v>49.77</v>
      </c>
      <c r="F75" s="10">
        <v>1294.9100000000001</v>
      </c>
      <c r="G75" s="10">
        <v>13053.09</v>
      </c>
      <c r="H75" s="10">
        <v>2628.54</v>
      </c>
      <c r="I75" s="10">
        <v>1260.48</v>
      </c>
      <c r="J75" s="10">
        <v>2360.36</v>
      </c>
      <c r="K75" s="10">
        <v>930.78</v>
      </c>
      <c r="L75" s="10">
        <v>3401.5</v>
      </c>
      <c r="M75" s="70">
        <v>8798.7099999999991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0">
        <v>4073.63</v>
      </c>
      <c r="W75" s="10">
        <v>3070.69</v>
      </c>
      <c r="X75" s="10">
        <v>2722.88</v>
      </c>
      <c r="Y75" s="10">
        <v>4079.89</v>
      </c>
      <c r="Z75" s="10">
        <v>5046.97</v>
      </c>
      <c r="AA75" s="10">
        <v>2731.9</v>
      </c>
      <c r="AB75" s="10">
        <v>3567.34</v>
      </c>
      <c r="AC75" s="10">
        <v>6950.68</v>
      </c>
      <c r="AD75" s="10">
        <v>8488.7900000000009</v>
      </c>
      <c r="AE75" s="10">
        <v>2402.65</v>
      </c>
      <c r="AF75" s="10">
        <v>2743.29</v>
      </c>
      <c r="AG75" s="10">
        <v>3843.08</v>
      </c>
      <c r="AH75" s="71">
        <v>13384.22</v>
      </c>
      <c r="AI75" s="29"/>
      <c r="AJ75" s="10">
        <v>1921.89</v>
      </c>
      <c r="AK75" s="10">
        <v>8235.23</v>
      </c>
      <c r="AL75" s="10">
        <v>31410.959999999999</v>
      </c>
      <c r="AM75" s="10">
        <v>6738.77</v>
      </c>
      <c r="AN75" s="10">
        <v>40069.33</v>
      </c>
      <c r="AO75" s="10">
        <v>24814.67</v>
      </c>
      <c r="AP75" s="10">
        <v>10979.23</v>
      </c>
      <c r="AQ75" s="10">
        <v>3203.68</v>
      </c>
      <c r="AR75" s="10">
        <v>1962.78</v>
      </c>
      <c r="AS75" s="10">
        <v>16146.35</v>
      </c>
      <c r="AT75" s="10">
        <v>2442.7199999999998</v>
      </c>
      <c r="AU75" s="10">
        <v>15311.47</v>
      </c>
      <c r="AV75" s="10">
        <v>4900.07</v>
      </c>
      <c r="AW75" s="10">
        <v>5485.59</v>
      </c>
      <c r="AX75" s="10">
        <v>6657.27</v>
      </c>
      <c r="AY75" s="10">
        <v>18805.23</v>
      </c>
      <c r="AZ75" s="10">
        <v>13955.45</v>
      </c>
      <c r="BA75" s="10">
        <v>7760.58</v>
      </c>
      <c r="BB75" s="10">
        <v>8236.32</v>
      </c>
      <c r="BC75" s="10">
        <v>22451.45</v>
      </c>
      <c r="BD75" s="10">
        <v>28346.97</v>
      </c>
      <c r="BE75" s="10">
        <v>9446.83</v>
      </c>
      <c r="BF75" s="10">
        <v>6834.68</v>
      </c>
      <c r="BG75" s="10">
        <v>5423.8</v>
      </c>
      <c r="BH75" s="10">
        <v>4880.3500000000004</v>
      </c>
      <c r="BI75" s="10">
        <v>17204.41</v>
      </c>
      <c r="BJ75" s="10">
        <v>2792.05</v>
      </c>
      <c r="BK75" s="10">
        <v>3096.34</v>
      </c>
      <c r="BL75" s="10">
        <v>49301.79</v>
      </c>
      <c r="BM75" s="10">
        <v>32089.52</v>
      </c>
      <c r="BN75" s="10">
        <v>10665.69</v>
      </c>
      <c r="BO75" s="10">
        <v>20534.27</v>
      </c>
      <c r="BP75" s="10">
        <v>9878.5499999999993</v>
      </c>
      <c r="BQ75" s="10">
        <v>5199.8900000000003</v>
      </c>
      <c r="BR75" s="10">
        <v>4261.2700000000004</v>
      </c>
      <c r="BS75" s="10">
        <v>3127.01</v>
      </c>
      <c r="BT75" s="10">
        <v>969.32</v>
      </c>
      <c r="BU75" s="10">
        <v>2994.82</v>
      </c>
      <c r="BV75" s="10">
        <v>36.200000000000003</v>
      </c>
      <c r="BW75" s="4">
        <v>0</v>
      </c>
      <c r="BX75" s="10">
        <v>48218.7</v>
      </c>
      <c r="BY75" s="10">
        <v>3804.93</v>
      </c>
      <c r="BZ75" s="10">
        <v>44352.07</v>
      </c>
      <c r="CA75" s="10">
        <v>61.7</v>
      </c>
      <c r="CB75" s="10">
        <v>12855.92</v>
      </c>
      <c r="CC75" s="10">
        <v>-281.86</v>
      </c>
      <c r="CD75" s="4">
        <v>40292</v>
      </c>
      <c r="CE75" s="4" t="s">
        <v>102</v>
      </c>
      <c r="CF75" s="4">
        <v>40292</v>
      </c>
      <c r="CG75" s="4" t="s">
        <v>102</v>
      </c>
      <c r="CH75" s="4" t="s">
        <v>102</v>
      </c>
      <c r="CI75" s="10">
        <v>13137.79</v>
      </c>
      <c r="CJ75" s="4" t="s">
        <v>102</v>
      </c>
      <c r="CK75" s="4" t="s">
        <v>102</v>
      </c>
      <c r="CL75" s="10">
        <v>669364.03</v>
      </c>
      <c r="CM75" s="10">
        <v>101366.62</v>
      </c>
    </row>
    <row r="76" spans="1:91" x14ac:dyDescent="0.35">
      <c r="A76" s="3" t="s">
        <v>75</v>
      </c>
      <c r="B76" s="11">
        <v>101522.29</v>
      </c>
      <c r="C76" s="11">
        <v>720.38</v>
      </c>
      <c r="D76" s="11">
        <v>168.71</v>
      </c>
      <c r="E76" s="11">
        <v>52.89</v>
      </c>
      <c r="F76" s="11">
        <v>329.96</v>
      </c>
      <c r="G76" s="11">
        <v>2462.5500000000002</v>
      </c>
      <c r="H76" s="11">
        <v>336.3</v>
      </c>
      <c r="I76" s="11">
        <v>393.08</v>
      </c>
      <c r="J76" s="11">
        <v>671.56</v>
      </c>
      <c r="K76" s="11">
        <v>248.25</v>
      </c>
      <c r="L76" s="11">
        <v>867.58</v>
      </c>
      <c r="M76" s="70">
        <v>2069.8000000000002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1">
        <v>547.16999999999996</v>
      </c>
      <c r="W76" s="11">
        <v>875.54</v>
      </c>
      <c r="X76" s="11">
        <v>773.9</v>
      </c>
      <c r="Y76" s="11">
        <v>995.19</v>
      </c>
      <c r="Z76" s="11">
        <v>1050.43</v>
      </c>
      <c r="AA76" s="11">
        <v>618.30999999999995</v>
      </c>
      <c r="AB76" s="11">
        <v>1067.6099999999999</v>
      </c>
      <c r="AC76" s="11">
        <v>1165.95</v>
      </c>
      <c r="AD76" s="11">
        <v>1836.39</v>
      </c>
      <c r="AE76" s="11">
        <v>259.08</v>
      </c>
      <c r="AF76" s="11">
        <v>460.12</v>
      </c>
      <c r="AG76" s="11">
        <v>450.19</v>
      </c>
      <c r="AH76" s="71">
        <v>11514.62</v>
      </c>
      <c r="AI76" s="29"/>
      <c r="AJ76" s="11">
        <v>623.45000000000005</v>
      </c>
      <c r="AK76" s="11">
        <v>1368.01</v>
      </c>
      <c r="AL76" s="11">
        <v>8599.6200000000008</v>
      </c>
      <c r="AM76" s="11">
        <v>831.91</v>
      </c>
      <c r="AN76" s="11">
        <v>2629.26</v>
      </c>
      <c r="AO76" s="11">
        <v>2307.09</v>
      </c>
      <c r="AP76" s="11">
        <v>1664.75</v>
      </c>
      <c r="AQ76" s="11">
        <v>215.44</v>
      </c>
      <c r="AR76" s="11">
        <v>276.95999999999998</v>
      </c>
      <c r="AS76" s="11">
        <v>1184.1600000000001</v>
      </c>
      <c r="AT76" s="11">
        <v>259.86</v>
      </c>
      <c r="AU76" s="11">
        <v>1607.06</v>
      </c>
      <c r="AV76" s="11">
        <v>315.66000000000003</v>
      </c>
      <c r="AW76" s="11">
        <v>356.57</v>
      </c>
      <c r="AX76" s="11">
        <v>917.44</v>
      </c>
      <c r="AY76" s="11">
        <v>1901.13</v>
      </c>
      <c r="AZ76" s="11">
        <v>1095.6400000000001</v>
      </c>
      <c r="BA76" s="11">
        <v>444.03</v>
      </c>
      <c r="BB76" s="11">
        <v>577.49</v>
      </c>
      <c r="BC76" s="11">
        <v>4112.7</v>
      </c>
      <c r="BD76" s="11">
        <v>6611.75</v>
      </c>
      <c r="BE76" s="11">
        <v>3611.74</v>
      </c>
      <c r="BF76" s="11">
        <v>1187.29</v>
      </c>
      <c r="BG76" s="5">
        <v>1191</v>
      </c>
      <c r="BH76" s="11">
        <v>1240.56</v>
      </c>
      <c r="BI76" s="11">
        <v>1477.54</v>
      </c>
      <c r="BJ76" s="11">
        <v>499.03</v>
      </c>
      <c r="BK76" s="11">
        <v>123.73</v>
      </c>
      <c r="BL76" s="11">
        <v>3643.7</v>
      </c>
      <c r="BM76" s="11">
        <v>12601.2</v>
      </c>
      <c r="BN76" s="11">
        <v>2509.0500000000002</v>
      </c>
      <c r="BO76" s="11">
        <v>1958.43</v>
      </c>
      <c r="BP76" s="11">
        <v>1247.28</v>
      </c>
      <c r="BQ76" s="11">
        <v>471.16</v>
      </c>
      <c r="BR76" s="11">
        <v>530.23</v>
      </c>
      <c r="BS76" s="11">
        <v>1076.22</v>
      </c>
      <c r="BT76" s="11">
        <v>52.62</v>
      </c>
      <c r="BU76" s="11">
        <v>258.83999999999997</v>
      </c>
      <c r="BV76" s="11">
        <v>7.14</v>
      </c>
      <c r="BW76" s="5">
        <v>0</v>
      </c>
      <c r="BX76" s="11">
        <v>1205275.19</v>
      </c>
      <c r="BY76" s="11">
        <v>1177332.23</v>
      </c>
      <c r="BZ76" s="11">
        <v>27534.83</v>
      </c>
      <c r="CA76" s="11">
        <v>408.13</v>
      </c>
      <c r="CB76" s="11">
        <v>4659.54</v>
      </c>
      <c r="CC76" s="11">
        <v>69.13</v>
      </c>
      <c r="CD76" s="11">
        <v>10616.71</v>
      </c>
      <c r="CE76" s="5" t="s">
        <v>102</v>
      </c>
      <c r="CF76" s="11">
        <v>10616.71</v>
      </c>
      <c r="CG76" s="5" t="s">
        <v>102</v>
      </c>
      <c r="CH76" s="5" t="s">
        <v>102</v>
      </c>
      <c r="CI76" s="11">
        <v>4590.41</v>
      </c>
      <c r="CJ76" s="5" t="s">
        <v>102</v>
      </c>
      <c r="CK76" s="5" t="s">
        <v>102</v>
      </c>
      <c r="CL76" s="11">
        <v>1322073.73</v>
      </c>
      <c r="CM76" s="11">
        <v>1220551.44</v>
      </c>
    </row>
    <row r="77" spans="1:91" x14ac:dyDescent="0.35">
      <c r="A77" s="3" t="s">
        <v>76</v>
      </c>
      <c r="B77" s="10">
        <v>90900.79</v>
      </c>
      <c r="C77" s="10">
        <v>242.34</v>
      </c>
      <c r="D77" s="10">
        <v>48.07</v>
      </c>
      <c r="E77" s="10">
        <v>17.09</v>
      </c>
      <c r="F77" s="10">
        <v>112.34</v>
      </c>
      <c r="G77" s="10">
        <v>1125.8800000000001</v>
      </c>
      <c r="H77" s="10">
        <v>323.44</v>
      </c>
      <c r="I77" s="10">
        <v>107.92</v>
      </c>
      <c r="J77" s="10">
        <v>150.81</v>
      </c>
      <c r="K77" s="10">
        <v>61.57</v>
      </c>
      <c r="L77" s="10">
        <v>420.34</v>
      </c>
      <c r="M77" s="70">
        <v>720.03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0">
        <v>411.42</v>
      </c>
      <c r="W77" s="10">
        <v>279.26</v>
      </c>
      <c r="X77" s="10">
        <v>245.38</v>
      </c>
      <c r="Y77" s="10">
        <v>261.77999999999997</v>
      </c>
      <c r="Z77" s="10">
        <v>700.83</v>
      </c>
      <c r="AA77" s="10">
        <v>460.89</v>
      </c>
      <c r="AB77" s="10">
        <v>664.17</v>
      </c>
      <c r="AC77" s="10">
        <v>955.27</v>
      </c>
      <c r="AD77" s="10">
        <v>2146.5500000000002</v>
      </c>
      <c r="AE77" s="10">
        <v>574.14</v>
      </c>
      <c r="AF77" s="10">
        <v>302.47000000000003</v>
      </c>
      <c r="AG77" s="10">
        <v>548.09</v>
      </c>
      <c r="AH77" s="71">
        <v>768.59</v>
      </c>
      <c r="AI77" s="29"/>
      <c r="AJ77" s="10">
        <v>93.02</v>
      </c>
      <c r="AK77" s="10">
        <v>579.21</v>
      </c>
      <c r="AL77" s="10">
        <v>2053.14</v>
      </c>
      <c r="AM77" s="10">
        <v>826.9</v>
      </c>
      <c r="AN77" s="10">
        <v>2640.54</v>
      </c>
      <c r="AO77" s="10">
        <v>1636.15</v>
      </c>
      <c r="AP77" s="10">
        <v>1555.02</v>
      </c>
      <c r="AQ77" s="10">
        <v>597.70000000000005</v>
      </c>
      <c r="AR77" s="10">
        <v>617.11</v>
      </c>
      <c r="AS77" s="10">
        <v>1153.19</v>
      </c>
      <c r="AT77" s="10">
        <v>428.01</v>
      </c>
      <c r="AU77" s="10">
        <v>1073.31</v>
      </c>
      <c r="AV77" s="10">
        <v>429.5</v>
      </c>
      <c r="AW77" s="10">
        <v>282.61</v>
      </c>
      <c r="AX77" s="10">
        <v>1000.98</v>
      </c>
      <c r="AY77" s="10">
        <v>3434.5</v>
      </c>
      <c r="AZ77" s="10">
        <v>2083.4</v>
      </c>
      <c r="BA77" s="10">
        <v>764.16</v>
      </c>
      <c r="BB77" s="10">
        <v>471.51</v>
      </c>
      <c r="BC77" s="10">
        <v>1454.48</v>
      </c>
      <c r="BD77" s="10">
        <v>3806.89</v>
      </c>
      <c r="BE77" s="10">
        <v>898.27</v>
      </c>
      <c r="BF77" s="10">
        <v>3501.63</v>
      </c>
      <c r="BG77" s="10">
        <v>672.96</v>
      </c>
      <c r="BH77" s="10">
        <v>689.47</v>
      </c>
      <c r="BI77" s="10">
        <v>1350.03</v>
      </c>
      <c r="BJ77" s="10">
        <v>1037.8</v>
      </c>
      <c r="BK77" s="10">
        <v>152.72999999999999</v>
      </c>
      <c r="BL77" s="10">
        <v>1623.7</v>
      </c>
      <c r="BM77" s="10">
        <v>7838.63</v>
      </c>
      <c r="BN77" s="10">
        <v>25044.77</v>
      </c>
      <c r="BO77" s="10">
        <v>4625.1499999999996</v>
      </c>
      <c r="BP77" s="10">
        <v>2072.4699999999998</v>
      </c>
      <c r="BQ77" s="10">
        <v>680.4</v>
      </c>
      <c r="BR77" s="10">
        <v>782.97</v>
      </c>
      <c r="BS77" s="10">
        <v>970.72</v>
      </c>
      <c r="BT77" s="10">
        <v>114.26</v>
      </c>
      <c r="BU77" s="10">
        <v>207.96</v>
      </c>
      <c r="BV77" s="10">
        <v>6.93</v>
      </c>
      <c r="BW77" s="4">
        <v>0</v>
      </c>
      <c r="BX77" s="10">
        <v>812084.32</v>
      </c>
      <c r="BY77" s="10">
        <v>681061.28</v>
      </c>
      <c r="BZ77" s="10">
        <v>99886.720000000001</v>
      </c>
      <c r="CA77" s="10">
        <v>31136.31</v>
      </c>
      <c r="CB77" s="10">
        <v>15.39</v>
      </c>
      <c r="CC77" s="10">
        <v>7.95</v>
      </c>
      <c r="CD77" s="10">
        <v>705.87</v>
      </c>
      <c r="CE77" s="4" t="s">
        <v>102</v>
      </c>
      <c r="CF77" s="10">
        <v>705.87</v>
      </c>
      <c r="CG77" s="4" t="s">
        <v>102</v>
      </c>
      <c r="CH77" s="4" t="s">
        <v>102</v>
      </c>
      <c r="CI77" s="10">
        <v>7.44</v>
      </c>
      <c r="CJ77" s="4" t="s">
        <v>102</v>
      </c>
      <c r="CK77" s="4" t="s">
        <v>102</v>
      </c>
      <c r="CL77" s="10">
        <v>903706.36</v>
      </c>
      <c r="CM77" s="10">
        <v>812805.58</v>
      </c>
    </row>
    <row r="78" spans="1:91" x14ac:dyDescent="0.35">
      <c r="A78" s="3" t="s">
        <v>77</v>
      </c>
      <c r="B78" s="11">
        <v>106344.66</v>
      </c>
      <c r="C78" s="11">
        <v>115.05</v>
      </c>
      <c r="D78" s="11">
        <v>25.9</v>
      </c>
      <c r="E78" s="11">
        <v>13.67</v>
      </c>
      <c r="F78" s="11">
        <v>85.22</v>
      </c>
      <c r="G78" s="11">
        <v>347.13</v>
      </c>
      <c r="H78" s="11">
        <v>83.17</v>
      </c>
      <c r="I78" s="11">
        <v>49.92</v>
      </c>
      <c r="J78" s="11">
        <v>59.2</v>
      </c>
      <c r="K78" s="11">
        <v>29.36</v>
      </c>
      <c r="L78" s="11">
        <v>123.27</v>
      </c>
      <c r="M78" s="70">
        <v>182.05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1">
        <v>437.36</v>
      </c>
      <c r="W78" s="11">
        <v>106.63</v>
      </c>
      <c r="X78" s="11">
        <v>80.349999999999994</v>
      </c>
      <c r="Y78" s="11">
        <v>120.16</v>
      </c>
      <c r="Z78" s="11">
        <v>172.81</v>
      </c>
      <c r="AA78" s="11">
        <v>95.63</v>
      </c>
      <c r="AB78" s="11">
        <v>170.9</v>
      </c>
      <c r="AC78" s="11">
        <v>210.78</v>
      </c>
      <c r="AD78" s="11">
        <v>346.62</v>
      </c>
      <c r="AE78" s="11">
        <v>109.58</v>
      </c>
      <c r="AF78" s="11">
        <v>190.9</v>
      </c>
      <c r="AG78" s="11">
        <v>182.28</v>
      </c>
      <c r="AH78" s="71">
        <v>183.11</v>
      </c>
      <c r="AI78" s="29"/>
      <c r="AJ78" s="11">
        <v>59.68</v>
      </c>
      <c r="AK78" s="11">
        <v>546.36</v>
      </c>
      <c r="AL78" s="11">
        <v>817.21</v>
      </c>
      <c r="AM78" s="11">
        <v>177.98</v>
      </c>
      <c r="AN78" s="11">
        <v>1251.8599999999999</v>
      </c>
      <c r="AO78" s="11">
        <v>710.61</v>
      </c>
      <c r="AP78" s="11">
        <v>496.98</v>
      </c>
      <c r="AQ78" s="11">
        <v>45.39</v>
      </c>
      <c r="AR78" s="11">
        <v>165.4</v>
      </c>
      <c r="AS78" s="11">
        <v>444.99</v>
      </c>
      <c r="AT78" s="11">
        <v>84.55</v>
      </c>
      <c r="AU78" s="11">
        <v>703.63</v>
      </c>
      <c r="AV78" s="11">
        <v>159.38999999999999</v>
      </c>
      <c r="AW78" s="11">
        <v>92.47</v>
      </c>
      <c r="AX78" s="11">
        <v>238.81</v>
      </c>
      <c r="AY78" s="11">
        <v>815.36</v>
      </c>
      <c r="AZ78" s="11">
        <v>404.63</v>
      </c>
      <c r="BA78" s="11">
        <v>375.38</v>
      </c>
      <c r="BB78" s="11">
        <v>329.25</v>
      </c>
      <c r="BC78" s="11">
        <v>417.42</v>
      </c>
      <c r="BD78" s="11">
        <v>823.13</v>
      </c>
      <c r="BE78" s="11">
        <v>283.31</v>
      </c>
      <c r="BF78" s="11">
        <v>940.94</v>
      </c>
      <c r="BG78" s="11">
        <v>1563.49</v>
      </c>
      <c r="BH78" s="11">
        <v>995.41</v>
      </c>
      <c r="BI78" s="11">
        <v>337.72</v>
      </c>
      <c r="BJ78" s="11">
        <v>411.54</v>
      </c>
      <c r="BK78" s="11">
        <v>128.57</v>
      </c>
      <c r="BL78" s="11">
        <v>2551.67</v>
      </c>
      <c r="BM78" s="11">
        <v>15914.09</v>
      </c>
      <c r="BN78" s="11">
        <v>1793.32</v>
      </c>
      <c r="BO78" s="11">
        <v>58282.37</v>
      </c>
      <c r="BP78" s="11">
        <v>9260.42</v>
      </c>
      <c r="BQ78" s="11">
        <v>224.59</v>
      </c>
      <c r="BR78" s="11">
        <v>465.82</v>
      </c>
      <c r="BS78" s="11">
        <v>236.25</v>
      </c>
      <c r="BT78" s="11">
        <v>54.14</v>
      </c>
      <c r="BU78" s="11">
        <v>211.02</v>
      </c>
      <c r="BV78" s="11">
        <v>8.5399999999999991</v>
      </c>
      <c r="BW78" s="5">
        <v>0</v>
      </c>
      <c r="BX78" s="11">
        <v>1130251.8400000001</v>
      </c>
      <c r="BY78" s="11">
        <v>891407.14</v>
      </c>
      <c r="BZ78" s="11">
        <v>231554.44</v>
      </c>
      <c r="CA78" s="11">
        <v>7290.27</v>
      </c>
      <c r="CB78" s="11">
        <v>8.5399999999999991</v>
      </c>
      <c r="CC78" s="11">
        <v>6.13</v>
      </c>
      <c r="CD78" s="11">
        <v>1338.2</v>
      </c>
      <c r="CE78" s="5" t="s">
        <v>102</v>
      </c>
      <c r="CF78" s="11">
        <v>1338.2</v>
      </c>
      <c r="CG78" s="5" t="s">
        <v>102</v>
      </c>
      <c r="CH78" s="5" t="s">
        <v>102</v>
      </c>
      <c r="CI78" s="11">
        <v>2.41</v>
      </c>
      <c r="CJ78" s="5" t="s">
        <v>102</v>
      </c>
      <c r="CK78" s="5" t="s">
        <v>102</v>
      </c>
      <c r="CL78" s="11">
        <v>1237943.25</v>
      </c>
      <c r="CM78" s="11">
        <v>1131598.5900000001</v>
      </c>
    </row>
    <row r="79" spans="1:91" x14ac:dyDescent="0.35">
      <c r="A79" s="3" t="s">
        <v>78</v>
      </c>
      <c r="B79" s="10">
        <v>15118.65</v>
      </c>
      <c r="C79" s="10">
        <v>3.06</v>
      </c>
      <c r="D79" s="10">
        <v>0.71</v>
      </c>
      <c r="E79" s="10">
        <v>0.43</v>
      </c>
      <c r="F79" s="10">
        <v>0.92</v>
      </c>
      <c r="G79" s="10">
        <v>9.43</v>
      </c>
      <c r="H79" s="10">
        <v>10.85</v>
      </c>
      <c r="I79" s="10">
        <v>1.01</v>
      </c>
      <c r="J79" s="10">
        <v>3.78</v>
      </c>
      <c r="K79" s="10">
        <v>1.1599999999999999</v>
      </c>
      <c r="L79" s="10">
        <v>1.64</v>
      </c>
      <c r="M79" s="70">
        <v>3.62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0">
        <v>3.25</v>
      </c>
      <c r="W79" s="10">
        <v>1.32</v>
      </c>
      <c r="X79" s="10">
        <v>1.02</v>
      </c>
      <c r="Y79" s="10">
        <v>1.8</v>
      </c>
      <c r="Z79" s="10">
        <v>5.19</v>
      </c>
      <c r="AA79" s="10">
        <v>1.92</v>
      </c>
      <c r="AB79" s="10">
        <v>1.23</v>
      </c>
      <c r="AC79" s="10">
        <v>2.62</v>
      </c>
      <c r="AD79" s="10">
        <v>4.3499999999999996</v>
      </c>
      <c r="AE79" s="10">
        <v>10.84</v>
      </c>
      <c r="AF79" s="10">
        <v>14.4</v>
      </c>
      <c r="AG79" s="10">
        <v>6.9</v>
      </c>
      <c r="AH79" s="71">
        <v>4.1900000000000004</v>
      </c>
      <c r="AI79" s="29"/>
      <c r="AJ79" s="10">
        <v>1.93</v>
      </c>
      <c r="AK79" s="10">
        <v>24.32</v>
      </c>
      <c r="AL79" s="10">
        <v>16.649999999999999</v>
      </c>
      <c r="AM79" s="10">
        <v>1.23</v>
      </c>
      <c r="AN79" s="10">
        <v>17.670000000000002</v>
      </c>
      <c r="AO79" s="10">
        <v>86.42</v>
      </c>
      <c r="AP79" s="10">
        <v>48.02</v>
      </c>
      <c r="AQ79" s="10">
        <v>2.88</v>
      </c>
      <c r="AR79" s="10">
        <v>1.93</v>
      </c>
      <c r="AS79" s="10">
        <v>22.95</v>
      </c>
      <c r="AT79" s="10">
        <v>3.72</v>
      </c>
      <c r="AU79" s="10">
        <v>87.83</v>
      </c>
      <c r="AV79" s="10">
        <v>48.35</v>
      </c>
      <c r="AW79" s="10">
        <v>7.96</v>
      </c>
      <c r="AX79" s="10">
        <v>3.33</v>
      </c>
      <c r="AY79" s="10">
        <v>87.8</v>
      </c>
      <c r="AZ79" s="10">
        <v>24.57</v>
      </c>
      <c r="BA79" s="10">
        <v>1.45</v>
      </c>
      <c r="BB79" s="10">
        <v>4.58</v>
      </c>
      <c r="BC79" s="10">
        <v>48.69</v>
      </c>
      <c r="BD79" s="10">
        <v>229.32</v>
      </c>
      <c r="BE79" s="10">
        <v>7.55</v>
      </c>
      <c r="BF79" s="10">
        <v>100.65</v>
      </c>
      <c r="BG79" s="10">
        <v>1517.76</v>
      </c>
      <c r="BH79" s="10">
        <v>361.18</v>
      </c>
      <c r="BI79" s="10">
        <v>30.88</v>
      </c>
      <c r="BJ79" s="10">
        <v>15.03</v>
      </c>
      <c r="BK79" s="4">
        <v>26</v>
      </c>
      <c r="BL79" s="10">
        <v>1722.11</v>
      </c>
      <c r="BM79" s="10">
        <v>910.43</v>
      </c>
      <c r="BN79" s="10">
        <v>466.94</v>
      </c>
      <c r="BO79" s="10">
        <v>3413.25</v>
      </c>
      <c r="BP79" s="10">
        <v>4943.93</v>
      </c>
      <c r="BQ79" s="10">
        <v>557.29</v>
      </c>
      <c r="BR79" s="10">
        <v>106.16</v>
      </c>
      <c r="BS79" s="10">
        <v>45.91</v>
      </c>
      <c r="BT79" s="4">
        <v>2</v>
      </c>
      <c r="BU79" s="10">
        <v>24.35</v>
      </c>
      <c r="BV79" s="4">
        <v>0</v>
      </c>
      <c r="BW79" s="4">
        <v>0</v>
      </c>
      <c r="BX79" s="10">
        <v>525095.32999999996</v>
      </c>
      <c r="BY79" s="10">
        <v>326756.59999999998</v>
      </c>
      <c r="BZ79" s="10">
        <v>128537.76</v>
      </c>
      <c r="CA79" s="10">
        <v>69800.97</v>
      </c>
      <c r="CB79" s="10">
        <v>2.33</v>
      </c>
      <c r="CC79" s="10">
        <v>1.1200000000000001</v>
      </c>
      <c r="CD79" s="10">
        <v>68.400000000000006</v>
      </c>
      <c r="CE79" s="4" t="s">
        <v>102</v>
      </c>
      <c r="CF79" s="10">
        <v>68.400000000000006</v>
      </c>
      <c r="CG79" s="4" t="s">
        <v>102</v>
      </c>
      <c r="CH79" s="4" t="s">
        <v>102</v>
      </c>
      <c r="CI79" s="10">
        <v>1.21</v>
      </c>
      <c r="CJ79" s="4" t="s">
        <v>102</v>
      </c>
      <c r="CK79" s="4" t="s">
        <v>102</v>
      </c>
      <c r="CL79" s="10">
        <v>540284.71</v>
      </c>
      <c r="CM79" s="10">
        <v>525166.06000000006</v>
      </c>
    </row>
    <row r="80" spans="1:91" x14ac:dyDescent="0.35">
      <c r="A80" s="3" t="s">
        <v>79</v>
      </c>
      <c r="B80" s="11">
        <v>46277.87</v>
      </c>
      <c r="C80" s="11">
        <v>12.79</v>
      </c>
      <c r="D80" s="11">
        <v>2.15</v>
      </c>
      <c r="E80" s="11">
        <v>9.0399999999999991</v>
      </c>
      <c r="F80" s="11">
        <v>13.3</v>
      </c>
      <c r="G80" s="11">
        <v>642.46</v>
      </c>
      <c r="H80" s="11">
        <v>257.79000000000002</v>
      </c>
      <c r="I80" s="11">
        <v>33.99</v>
      </c>
      <c r="J80" s="11">
        <v>165.2</v>
      </c>
      <c r="K80" s="11">
        <v>181.46</v>
      </c>
      <c r="L80" s="11">
        <v>118.61</v>
      </c>
      <c r="M80" s="70">
        <v>74.27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1">
        <v>128.26</v>
      </c>
      <c r="W80" s="11">
        <v>51.4</v>
      </c>
      <c r="X80" s="11">
        <v>38.630000000000003</v>
      </c>
      <c r="Y80" s="11">
        <v>73.94</v>
      </c>
      <c r="Z80" s="11">
        <v>82.31</v>
      </c>
      <c r="AA80" s="11">
        <v>78.569999999999993</v>
      </c>
      <c r="AB80" s="11">
        <v>68.819999999999993</v>
      </c>
      <c r="AC80" s="11">
        <v>63.52</v>
      </c>
      <c r="AD80" s="11">
        <v>36.97</v>
      </c>
      <c r="AE80" s="11">
        <v>64.47</v>
      </c>
      <c r="AF80" s="11">
        <v>132.18</v>
      </c>
      <c r="AG80" s="11">
        <v>113.74</v>
      </c>
      <c r="AH80" s="71">
        <v>110.23</v>
      </c>
      <c r="AI80" s="29"/>
      <c r="AJ80" s="11">
        <v>9.26</v>
      </c>
      <c r="AK80" s="11">
        <v>81.12</v>
      </c>
      <c r="AL80" s="11">
        <v>897.18</v>
      </c>
      <c r="AM80" s="11">
        <v>226.92</v>
      </c>
      <c r="AN80" s="11">
        <v>413.87</v>
      </c>
      <c r="AO80" s="11">
        <v>764.8</v>
      </c>
      <c r="AP80" s="11">
        <v>337.13</v>
      </c>
      <c r="AQ80" s="11">
        <v>39.520000000000003</v>
      </c>
      <c r="AR80" s="11">
        <v>19.559999999999999</v>
      </c>
      <c r="AS80" s="11">
        <v>271.31</v>
      </c>
      <c r="AT80" s="11">
        <v>35.53</v>
      </c>
      <c r="AU80" s="11">
        <v>4870.7700000000004</v>
      </c>
      <c r="AV80" s="11">
        <v>1700.57</v>
      </c>
      <c r="AW80" s="11">
        <v>3117.82</v>
      </c>
      <c r="AX80" s="11">
        <v>269.58</v>
      </c>
      <c r="AY80" s="11">
        <v>759.39</v>
      </c>
      <c r="AZ80" s="11">
        <v>358.15</v>
      </c>
      <c r="BA80" s="11">
        <v>31.34</v>
      </c>
      <c r="BB80" s="11">
        <v>61.19</v>
      </c>
      <c r="BC80" s="11">
        <v>319.39999999999998</v>
      </c>
      <c r="BD80" s="11">
        <v>890.91</v>
      </c>
      <c r="BE80" s="11">
        <v>159.44</v>
      </c>
      <c r="BF80" s="11">
        <v>287.39</v>
      </c>
      <c r="BG80" s="11">
        <v>427.33</v>
      </c>
      <c r="BH80" s="11">
        <v>430.72</v>
      </c>
      <c r="BI80" s="11">
        <v>486.32</v>
      </c>
      <c r="BJ80" s="11">
        <v>177.91</v>
      </c>
      <c r="BK80" s="5">
        <v>523</v>
      </c>
      <c r="BL80" s="11">
        <v>818.78</v>
      </c>
      <c r="BM80" s="11">
        <v>1404.73</v>
      </c>
      <c r="BN80" s="11">
        <v>1036.32</v>
      </c>
      <c r="BO80" s="11">
        <v>88.03</v>
      </c>
      <c r="BP80" s="11">
        <v>242.33</v>
      </c>
      <c r="BQ80" s="11">
        <v>18761.3</v>
      </c>
      <c r="BR80" s="11">
        <v>2710.23</v>
      </c>
      <c r="BS80" s="11">
        <v>582.77</v>
      </c>
      <c r="BT80" s="11">
        <v>45.3</v>
      </c>
      <c r="BU80" s="11">
        <v>59.74</v>
      </c>
      <c r="BV80" s="11">
        <v>6.83</v>
      </c>
      <c r="BW80" s="5">
        <v>0</v>
      </c>
      <c r="BX80" s="11">
        <v>164710.39999999999</v>
      </c>
      <c r="BY80" s="11">
        <v>61871.19</v>
      </c>
      <c r="BZ80" s="11">
        <v>95115.28</v>
      </c>
      <c r="CA80" s="11">
        <v>7723.93</v>
      </c>
      <c r="CB80" s="11">
        <v>7105.19</v>
      </c>
      <c r="CC80" s="11">
        <v>2254.25</v>
      </c>
      <c r="CD80" s="11">
        <v>6542.17</v>
      </c>
      <c r="CE80" s="5" t="s">
        <v>102</v>
      </c>
      <c r="CF80" s="11">
        <v>6542.17</v>
      </c>
      <c r="CG80" s="5" t="s">
        <v>102</v>
      </c>
      <c r="CH80" s="5" t="s">
        <v>102</v>
      </c>
      <c r="CI80" s="11">
        <v>4850.9399999999996</v>
      </c>
      <c r="CJ80" s="5" t="s">
        <v>102</v>
      </c>
      <c r="CK80" s="5" t="s">
        <v>102</v>
      </c>
      <c r="CL80" s="11">
        <v>224635.63</v>
      </c>
      <c r="CM80" s="11">
        <v>178357.76000000001</v>
      </c>
    </row>
    <row r="81" spans="1:91" x14ac:dyDescent="0.35">
      <c r="A81" s="3" t="s">
        <v>80</v>
      </c>
      <c r="B81" s="10">
        <v>56829.64</v>
      </c>
      <c r="C81" s="10">
        <v>62.35</v>
      </c>
      <c r="D81" s="10">
        <v>9.32</v>
      </c>
      <c r="E81" s="10">
        <v>13.27</v>
      </c>
      <c r="F81" s="10">
        <v>30.89</v>
      </c>
      <c r="G81" s="10">
        <v>913.04</v>
      </c>
      <c r="H81" s="10">
        <v>173.42</v>
      </c>
      <c r="I81" s="10">
        <v>35.44</v>
      </c>
      <c r="J81" s="10">
        <v>97.89</v>
      </c>
      <c r="K81" s="10">
        <v>107.77</v>
      </c>
      <c r="L81" s="10">
        <v>106.26</v>
      </c>
      <c r="M81" s="70">
        <v>152.87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0">
        <v>158.32</v>
      </c>
      <c r="W81" s="10">
        <v>68.069999999999993</v>
      </c>
      <c r="X81" s="10">
        <v>57.44</v>
      </c>
      <c r="Y81" s="10">
        <v>98.01</v>
      </c>
      <c r="Z81" s="10">
        <v>110.66</v>
      </c>
      <c r="AA81" s="10">
        <v>59.56</v>
      </c>
      <c r="AB81" s="10">
        <v>91.44</v>
      </c>
      <c r="AC81" s="10">
        <v>140.88</v>
      </c>
      <c r="AD81" s="10">
        <v>201.38</v>
      </c>
      <c r="AE81" s="10">
        <v>123.65</v>
      </c>
      <c r="AF81" s="10">
        <v>126.61</v>
      </c>
      <c r="AG81" s="10">
        <v>149.69</v>
      </c>
      <c r="AH81" s="71">
        <v>218.1</v>
      </c>
      <c r="AI81" s="29"/>
      <c r="AJ81" s="10">
        <v>31.8</v>
      </c>
      <c r="AK81" s="10">
        <v>175.07</v>
      </c>
      <c r="AL81" s="10">
        <v>991.35</v>
      </c>
      <c r="AM81" s="10">
        <v>196.07</v>
      </c>
      <c r="AN81" s="10">
        <v>3292.02</v>
      </c>
      <c r="AO81" s="10">
        <v>1347.66</v>
      </c>
      <c r="AP81" s="10">
        <v>363.12</v>
      </c>
      <c r="AQ81" s="10">
        <v>116.56</v>
      </c>
      <c r="AR81" s="10">
        <v>44.2</v>
      </c>
      <c r="AS81" s="10">
        <v>336.5</v>
      </c>
      <c r="AT81" s="10">
        <v>70.97</v>
      </c>
      <c r="AU81" s="10">
        <v>5293.5</v>
      </c>
      <c r="AV81" s="10">
        <v>165.07</v>
      </c>
      <c r="AW81" s="10">
        <v>1393.74</v>
      </c>
      <c r="AX81" s="10">
        <v>389.81</v>
      </c>
      <c r="AY81" s="10">
        <v>694.15</v>
      </c>
      <c r="AZ81" s="10">
        <v>628.29999999999995</v>
      </c>
      <c r="BA81" s="10">
        <v>150.35</v>
      </c>
      <c r="BB81" s="10">
        <v>160.72999999999999</v>
      </c>
      <c r="BC81" s="10">
        <v>349.35</v>
      </c>
      <c r="BD81" s="10">
        <v>849.12</v>
      </c>
      <c r="BE81" s="10">
        <v>230.67</v>
      </c>
      <c r="BF81" s="10">
        <v>299.56</v>
      </c>
      <c r="BG81" s="10">
        <v>735.04</v>
      </c>
      <c r="BH81" s="10">
        <v>181.22</v>
      </c>
      <c r="BI81" s="10">
        <v>1066.8699999999999</v>
      </c>
      <c r="BJ81" s="10">
        <v>108.82</v>
      </c>
      <c r="BK81" s="10">
        <v>574.35</v>
      </c>
      <c r="BL81" s="10">
        <v>855.64</v>
      </c>
      <c r="BM81" s="10">
        <v>5994.59</v>
      </c>
      <c r="BN81" s="10">
        <v>1832.9</v>
      </c>
      <c r="BO81" s="10">
        <v>443.85</v>
      </c>
      <c r="BP81" s="10">
        <v>446.05</v>
      </c>
      <c r="BQ81" s="10">
        <v>4952.8500000000004</v>
      </c>
      <c r="BR81" s="10">
        <v>16565.560000000001</v>
      </c>
      <c r="BS81" s="10">
        <v>1368.68</v>
      </c>
      <c r="BT81" s="10">
        <v>92.43</v>
      </c>
      <c r="BU81" s="10">
        <v>733.21</v>
      </c>
      <c r="BV81" s="10">
        <v>1.59</v>
      </c>
      <c r="BW81" s="4">
        <v>0</v>
      </c>
      <c r="BX81" s="10">
        <v>108822.37</v>
      </c>
      <c r="BY81" s="10">
        <v>37333.33</v>
      </c>
      <c r="BZ81" s="10">
        <v>54318.99</v>
      </c>
      <c r="CA81" s="10">
        <v>17170.05</v>
      </c>
      <c r="CB81" s="10">
        <v>-2.93</v>
      </c>
      <c r="CC81" s="10">
        <v>-7.85</v>
      </c>
      <c r="CD81" s="10">
        <v>660.87</v>
      </c>
      <c r="CE81" s="4" t="s">
        <v>102</v>
      </c>
      <c r="CF81" s="10">
        <v>660.87</v>
      </c>
      <c r="CG81" s="4" t="s">
        <v>102</v>
      </c>
      <c r="CH81" s="4" t="s">
        <v>102</v>
      </c>
      <c r="CI81" s="10">
        <v>4.92</v>
      </c>
      <c r="CJ81" s="4" t="s">
        <v>102</v>
      </c>
      <c r="CK81" s="4" t="s">
        <v>102</v>
      </c>
      <c r="CL81" s="10">
        <v>166309.94</v>
      </c>
      <c r="CM81" s="10">
        <v>109480.3</v>
      </c>
    </row>
    <row r="82" spans="1:91" x14ac:dyDescent="0.35">
      <c r="A82" s="3" t="s">
        <v>81</v>
      </c>
      <c r="B82" s="11">
        <v>40535.919999999998</v>
      </c>
      <c r="C82" s="11">
        <v>727.64</v>
      </c>
      <c r="D82" s="11">
        <v>29.45</v>
      </c>
      <c r="E82" s="11">
        <v>246.16</v>
      </c>
      <c r="F82" s="11">
        <v>97.89</v>
      </c>
      <c r="G82" s="11">
        <v>939.93</v>
      </c>
      <c r="H82" s="11">
        <v>203.82</v>
      </c>
      <c r="I82" s="11">
        <v>82.15</v>
      </c>
      <c r="J82" s="11">
        <v>176.09</v>
      </c>
      <c r="K82" s="11">
        <v>105.72</v>
      </c>
      <c r="L82" s="11">
        <v>621.79</v>
      </c>
      <c r="M82" s="70">
        <v>517.53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1">
        <v>235.64</v>
      </c>
      <c r="W82" s="11">
        <v>197.07</v>
      </c>
      <c r="X82" s="11">
        <v>206.56</v>
      </c>
      <c r="Y82" s="11">
        <v>318.26</v>
      </c>
      <c r="Z82" s="11">
        <v>352.16</v>
      </c>
      <c r="AA82" s="11">
        <v>165.66</v>
      </c>
      <c r="AB82" s="11">
        <v>199.52</v>
      </c>
      <c r="AC82" s="11">
        <v>308.61</v>
      </c>
      <c r="AD82" s="11">
        <v>312.04000000000002</v>
      </c>
      <c r="AE82" s="11">
        <v>115.55</v>
      </c>
      <c r="AF82" s="11">
        <v>198.24</v>
      </c>
      <c r="AG82" s="11">
        <v>198.95</v>
      </c>
      <c r="AH82" s="71">
        <v>673.22</v>
      </c>
      <c r="AI82" s="29"/>
      <c r="AJ82" s="11">
        <v>104.22</v>
      </c>
      <c r="AK82" s="11">
        <v>509.63</v>
      </c>
      <c r="AL82" s="11">
        <v>2048.54</v>
      </c>
      <c r="AM82" s="11">
        <v>776.17</v>
      </c>
      <c r="AN82" s="11">
        <v>2371.85</v>
      </c>
      <c r="AO82" s="11">
        <v>2288.48</v>
      </c>
      <c r="AP82" s="11">
        <v>827.47</v>
      </c>
      <c r="AQ82" s="11">
        <v>89.48</v>
      </c>
      <c r="AR82" s="11">
        <v>58.44</v>
      </c>
      <c r="AS82" s="11">
        <v>999.78</v>
      </c>
      <c r="AT82" s="11">
        <v>118.39</v>
      </c>
      <c r="AU82" s="11">
        <v>1049.7</v>
      </c>
      <c r="AV82" s="11">
        <v>485.34</v>
      </c>
      <c r="AW82" s="11">
        <v>164.59</v>
      </c>
      <c r="AX82" s="11">
        <v>1061.82</v>
      </c>
      <c r="AY82" s="11">
        <v>1257.67</v>
      </c>
      <c r="AZ82" s="11">
        <v>838.85</v>
      </c>
      <c r="BA82" s="11">
        <v>418.2</v>
      </c>
      <c r="BB82" s="11">
        <v>865.72</v>
      </c>
      <c r="BC82" s="11">
        <v>608.34</v>
      </c>
      <c r="BD82" s="11">
        <v>3731.16</v>
      </c>
      <c r="BE82" s="11">
        <v>834.28</v>
      </c>
      <c r="BF82" s="11">
        <v>584.52</v>
      </c>
      <c r="BG82" s="11">
        <v>486.61</v>
      </c>
      <c r="BH82" s="11">
        <v>340.08</v>
      </c>
      <c r="BI82" s="11">
        <v>561.6</v>
      </c>
      <c r="BJ82" s="11">
        <v>369.41</v>
      </c>
      <c r="BK82" s="11">
        <v>148.79</v>
      </c>
      <c r="BL82" s="11">
        <v>1402.5</v>
      </c>
      <c r="BM82" s="11">
        <v>714.34</v>
      </c>
      <c r="BN82" s="11">
        <v>1180.03</v>
      </c>
      <c r="BO82" s="11">
        <v>2009.57</v>
      </c>
      <c r="BP82" s="11">
        <v>1161.54</v>
      </c>
      <c r="BQ82" s="11">
        <v>410.6</v>
      </c>
      <c r="BR82" s="11">
        <v>512.29</v>
      </c>
      <c r="BS82" s="5">
        <v>1439</v>
      </c>
      <c r="BT82" s="11">
        <v>39.81</v>
      </c>
      <c r="BU82" s="11">
        <v>436.61</v>
      </c>
      <c r="BV82" s="11">
        <v>0.92</v>
      </c>
      <c r="BW82" s="5">
        <v>0</v>
      </c>
      <c r="BX82" s="11">
        <v>109925.51</v>
      </c>
      <c r="BY82" s="11">
        <v>14453.42</v>
      </c>
      <c r="BZ82" s="11">
        <v>10258.120000000001</v>
      </c>
      <c r="CA82" s="11">
        <v>85213.97</v>
      </c>
      <c r="CB82" s="11">
        <v>9.9700000000000006</v>
      </c>
      <c r="CC82" s="11">
        <v>5.58</v>
      </c>
      <c r="CD82" s="11">
        <v>244.47</v>
      </c>
      <c r="CE82" s="5" t="s">
        <v>102</v>
      </c>
      <c r="CF82" s="11">
        <v>244.47</v>
      </c>
      <c r="CG82" s="5" t="s">
        <v>102</v>
      </c>
      <c r="CH82" s="5" t="s">
        <v>102</v>
      </c>
      <c r="CI82" s="11">
        <v>4.3899999999999997</v>
      </c>
      <c r="CJ82" s="5" t="s">
        <v>102</v>
      </c>
      <c r="CK82" s="5" t="s">
        <v>102</v>
      </c>
      <c r="CL82" s="11">
        <v>150715.85999999999</v>
      </c>
      <c r="CM82" s="11">
        <v>110179.94</v>
      </c>
    </row>
    <row r="83" spans="1:91" x14ac:dyDescent="0.35">
      <c r="A83" s="3" t="s">
        <v>82</v>
      </c>
      <c r="B83" s="10">
        <v>24485.03</v>
      </c>
      <c r="C83" s="10">
        <v>71.95</v>
      </c>
      <c r="D83" s="10">
        <v>36.74</v>
      </c>
      <c r="E83" s="10">
        <v>64.13</v>
      </c>
      <c r="F83" s="10">
        <v>53.41</v>
      </c>
      <c r="G83" s="10">
        <v>611.30999999999995</v>
      </c>
      <c r="H83" s="10">
        <v>138.58000000000001</v>
      </c>
      <c r="I83" s="10">
        <v>84.44</v>
      </c>
      <c r="J83" s="10">
        <v>137.30000000000001</v>
      </c>
      <c r="K83" s="10">
        <v>54.31</v>
      </c>
      <c r="L83" s="10">
        <v>265.33999999999997</v>
      </c>
      <c r="M83" s="70">
        <v>237.93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0">
        <v>101.86</v>
      </c>
      <c r="W83" s="10">
        <v>163.63999999999999</v>
      </c>
      <c r="X83" s="10">
        <v>182.61</v>
      </c>
      <c r="Y83" s="10">
        <v>159.08000000000001</v>
      </c>
      <c r="Z83" s="10">
        <v>269.63</v>
      </c>
      <c r="AA83" s="10">
        <v>351.6</v>
      </c>
      <c r="AB83" s="10">
        <v>208.82</v>
      </c>
      <c r="AC83" s="10">
        <v>316.5</v>
      </c>
      <c r="AD83" s="10">
        <v>346.86</v>
      </c>
      <c r="AE83" s="10">
        <v>210.91</v>
      </c>
      <c r="AF83" s="10">
        <v>292.58999999999997</v>
      </c>
      <c r="AG83" s="10">
        <v>381.29</v>
      </c>
      <c r="AH83" s="71">
        <v>368.9</v>
      </c>
      <c r="AI83" s="29"/>
      <c r="AJ83" s="10">
        <v>109.52</v>
      </c>
      <c r="AK83" s="10">
        <v>191.15</v>
      </c>
      <c r="AL83" s="10">
        <v>579.69000000000005</v>
      </c>
      <c r="AM83" s="10">
        <v>158.94999999999999</v>
      </c>
      <c r="AN83" s="10">
        <v>1460.95</v>
      </c>
      <c r="AO83" s="10">
        <v>1636.69</v>
      </c>
      <c r="AP83" s="10">
        <v>431.33</v>
      </c>
      <c r="AQ83" s="10">
        <v>75.790000000000006</v>
      </c>
      <c r="AR83" s="10">
        <v>188.01</v>
      </c>
      <c r="AS83" s="10">
        <v>375.97</v>
      </c>
      <c r="AT83" s="10">
        <v>126.76</v>
      </c>
      <c r="AU83" s="10">
        <v>834.89</v>
      </c>
      <c r="AV83" s="10">
        <v>158.63999999999999</v>
      </c>
      <c r="AW83" s="10">
        <v>341.56</v>
      </c>
      <c r="AX83" s="10">
        <v>994.5</v>
      </c>
      <c r="AY83" s="10">
        <v>1411.22</v>
      </c>
      <c r="AZ83" s="10">
        <v>618.64</v>
      </c>
      <c r="BA83" s="10">
        <v>226.95</v>
      </c>
      <c r="BB83" s="10">
        <v>286.74</v>
      </c>
      <c r="BC83" s="10">
        <v>436.22</v>
      </c>
      <c r="BD83" s="10">
        <v>1580.72</v>
      </c>
      <c r="BE83" s="10">
        <v>374.24</v>
      </c>
      <c r="BF83" s="10">
        <v>239.13</v>
      </c>
      <c r="BG83" s="10">
        <v>251.19</v>
      </c>
      <c r="BH83" s="10">
        <v>687.43</v>
      </c>
      <c r="BI83" s="10">
        <v>652.72</v>
      </c>
      <c r="BJ83" s="10">
        <v>54.45</v>
      </c>
      <c r="BK83" s="10">
        <v>156.1</v>
      </c>
      <c r="BL83" s="10">
        <v>687.81</v>
      </c>
      <c r="BM83" s="10">
        <v>1119.7</v>
      </c>
      <c r="BN83" s="10">
        <v>431.79</v>
      </c>
      <c r="BO83" s="10">
        <v>549.98</v>
      </c>
      <c r="BP83" s="10">
        <v>187.16</v>
      </c>
      <c r="BQ83" s="10">
        <v>140.81</v>
      </c>
      <c r="BR83" s="10">
        <v>175.75</v>
      </c>
      <c r="BS83" s="10">
        <v>154.66999999999999</v>
      </c>
      <c r="BT83" s="10">
        <v>1229.1099999999999</v>
      </c>
      <c r="BU83" s="10">
        <v>58.41</v>
      </c>
      <c r="BV83" s="4">
        <v>0</v>
      </c>
      <c r="BW83" s="4">
        <v>0</v>
      </c>
      <c r="BX83" s="10">
        <v>14217.78</v>
      </c>
      <c r="BY83" s="10">
        <v>1.4</v>
      </c>
      <c r="BZ83" s="10">
        <v>14176.88</v>
      </c>
      <c r="CA83" s="10">
        <v>39.5</v>
      </c>
      <c r="CB83" s="10">
        <v>4827.32</v>
      </c>
      <c r="CC83" s="10">
        <v>-79.680000000000007</v>
      </c>
      <c r="CD83" s="10">
        <v>1655.07</v>
      </c>
      <c r="CE83" s="4" t="s">
        <v>102</v>
      </c>
      <c r="CF83" s="10">
        <v>1655.07</v>
      </c>
      <c r="CG83" s="4" t="s">
        <v>102</v>
      </c>
      <c r="CH83" s="4" t="s">
        <v>102</v>
      </c>
      <c r="CI83" s="10">
        <v>4907.01</v>
      </c>
      <c r="CJ83" s="4" t="s">
        <v>102</v>
      </c>
      <c r="CK83" s="4" t="s">
        <v>102</v>
      </c>
      <c r="CL83" s="10">
        <v>45185.21</v>
      </c>
      <c r="CM83" s="10">
        <v>20700.169999999998</v>
      </c>
    </row>
    <row r="84" spans="1:91" x14ac:dyDescent="0.35">
      <c r="A84" s="3" t="s">
        <v>83</v>
      </c>
      <c r="B84" s="11">
        <v>37240.42</v>
      </c>
      <c r="C84" s="11">
        <v>88.81</v>
      </c>
      <c r="D84" s="11">
        <v>9.9600000000000009</v>
      </c>
      <c r="E84" s="11">
        <v>18.57</v>
      </c>
      <c r="F84" s="11">
        <v>40.64</v>
      </c>
      <c r="G84" s="11">
        <v>383.38</v>
      </c>
      <c r="H84" s="11">
        <v>79.33</v>
      </c>
      <c r="I84" s="11">
        <v>97.35</v>
      </c>
      <c r="J84" s="11">
        <v>90.22</v>
      </c>
      <c r="K84" s="11">
        <v>43.04</v>
      </c>
      <c r="L84" s="11">
        <v>107.06</v>
      </c>
      <c r="M84" s="70">
        <v>329.34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1">
        <v>118.06</v>
      </c>
      <c r="W84" s="11">
        <v>114.12</v>
      </c>
      <c r="X84" s="11">
        <v>99.35</v>
      </c>
      <c r="Y84" s="11">
        <v>126.7</v>
      </c>
      <c r="Z84" s="11">
        <v>175.92</v>
      </c>
      <c r="AA84" s="11">
        <v>116.97</v>
      </c>
      <c r="AB84" s="11">
        <v>132.79</v>
      </c>
      <c r="AC84" s="11">
        <v>209.3</v>
      </c>
      <c r="AD84" s="11">
        <v>208.79</v>
      </c>
      <c r="AE84" s="11">
        <v>75.959999999999994</v>
      </c>
      <c r="AF84" s="11">
        <v>274.3</v>
      </c>
      <c r="AG84" s="11">
        <v>91.8</v>
      </c>
      <c r="AH84" s="71">
        <v>229.8</v>
      </c>
      <c r="AI84" s="29"/>
      <c r="AJ84" s="11">
        <v>47.79</v>
      </c>
      <c r="AK84" s="11">
        <v>424.62</v>
      </c>
      <c r="AL84" s="11">
        <v>474.12</v>
      </c>
      <c r="AM84" s="11">
        <v>111.31</v>
      </c>
      <c r="AN84" s="11">
        <v>458.35</v>
      </c>
      <c r="AO84" s="11">
        <v>651.11</v>
      </c>
      <c r="AP84" s="11">
        <v>442.94</v>
      </c>
      <c r="AQ84" s="11">
        <v>46.06</v>
      </c>
      <c r="AR84" s="11">
        <v>165.87</v>
      </c>
      <c r="AS84" s="11">
        <v>353.59</v>
      </c>
      <c r="AT84" s="11">
        <v>79.56</v>
      </c>
      <c r="AU84" s="11">
        <v>2406.23</v>
      </c>
      <c r="AV84" s="11">
        <v>74.44</v>
      </c>
      <c r="AW84" s="11">
        <v>230.44</v>
      </c>
      <c r="AX84" s="11">
        <v>192.83</v>
      </c>
      <c r="AY84" s="11">
        <v>426.97</v>
      </c>
      <c r="AZ84" s="11">
        <v>129.41999999999999</v>
      </c>
      <c r="BA84" s="11">
        <v>69.209999999999994</v>
      </c>
      <c r="BB84" s="11">
        <v>42.96</v>
      </c>
      <c r="BC84" s="11">
        <v>284.95999999999998</v>
      </c>
      <c r="BD84" s="11">
        <v>1614.67</v>
      </c>
      <c r="BE84" s="11">
        <v>374.45</v>
      </c>
      <c r="BF84" s="11">
        <v>247.1</v>
      </c>
      <c r="BG84" s="11">
        <v>337.74</v>
      </c>
      <c r="BH84" s="11">
        <v>232.82</v>
      </c>
      <c r="BI84" s="11">
        <v>1047.77</v>
      </c>
      <c r="BJ84" s="11">
        <v>312.74</v>
      </c>
      <c r="BK84" s="11">
        <v>113.92</v>
      </c>
      <c r="BL84" s="11">
        <v>675.53</v>
      </c>
      <c r="BM84" s="11">
        <v>700.3</v>
      </c>
      <c r="BN84" s="11">
        <v>523.55999999999995</v>
      </c>
      <c r="BO84" s="11">
        <v>3342.1</v>
      </c>
      <c r="BP84" s="11">
        <v>1820.48</v>
      </c>
      <c r="BQ84" s="11">
        <v>632.20000000000005</v>
      </c>
      <c r="BR84" s="11">
        <v>526.73</v>
      </c>
      <c r="BS84" s="11">
        <v>360.52</v>
      </c>
      <c r="BT84" s="11">
        <v>19.809999999999999</v>
      </c>
      <c r="BU84" s="11">
        <v>13980.9</v>
      </c>
      <c r="BV84" s="11">
        <v>2.78</v>
      </c>
      <c r="BW84" s="5">
        <v>0</v>
      </c>
      <c r="BX84" s="11">
        <v>152088.65</v>
      </c>
      <c r="BY84" s="11">
        <v>733.94</v>
      </c>
      <c r="BZ84" s="11">
        <v>151269.63</v>
      </c>
      <c r="CA84" s="11">
        <v>85.08</v>
      </c>
      <c r="CB84" s="11">
        <v>19.440000000000001</v>
      </c>
      <c r="CC84" s="11">
        <v>14.25</v>
      </c>
      <c r="CD84" s="11">
        <v>1395.07</v>
      </c>
      <c r="CE84" s="5" t="s">
        <v>102</v>
      </c>
      <c r="CF84" s="11">
        <v>1395.07</v>
      </c>
      <c r="CG84" s="5" t="s">
        <v>102</v>
      </c>
      <c r="CH84" s="5" t="s">
        <v>102</v>
      </c>
      <c r="CI84" s="11">
        <v>5.19</v>
      </c>
      <c r="CJ84" s="5" t="s">
        <v>102</v>
      </c>
      <c r="CK84" s="5" t="s">
        <v>102</v>
      </c>
      <c r="CL84" s="11">
        <v>190743.59</v>
      </c>
      <c r="CM84" s="11">
        <v>153503.17000000001</v>
      </c>
    </row>
    <row r="85" spans="1:91" x14ac:dyDescent="0.35">
      <c r="A85" s="3" t="s">
        <v>84</v>
      </c>
      <c r="B85" s="10">
        <v>2458.7800000000002</v>
      </c>
      <c r="C85" s="10">
        <v>0.49</v>
      </c>
      <c r="D85" s="10">
        <v>5.31</v>
      </c>
      <c r="E85" s="10">
        <v>19.989999999999998</v>
      </c>
      <c r="F85" s="4">
        <v>0</v>
      </c>
      <c r="G85" s="4">
        <v>0</v>
      </c>
      <c r="H85" s="4">
        <v>0</v>
      </c>
      <c r="I85" s="10">
        <v>0.94</v>
      </c>
      <c r="J85" s="4">
        <v>0</v>
      </c>
      <c r="K85" s="4">
        <v>0</v>
      </c>
      <c r="L85" s="4">
        <v>0</v>
      </c>
      <c r="M85" s="70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10">
        <v>0.19</v>
      </c>
      <c r="AD85" s="10">
        <v>0.04</v>
      </c>
      <c r="AE85" s="4">
        <v>0</v>
      </c>
      <c r="AF85" s="4">
        <v>0</v>
      </c>
      <c r="AG85" s="10">
        <v>10.55</v>
      </c>
      <c r="AH85" s="71">
        <v>0</v>
      </c>
      <c r="AI85" s="29"/>
      <c r="AJ85" s="4">
        <v>0</v>
      </c>
      <c r="AK85" s="4">
        <v>0</v>
      </c>
      <c r="AL85" s="10">
        <v>30.3</v>
      </c>
      <c r="AM85" s="4">
        <v>0</v>
      </c>
      <c r="AN85" s="4">
        <v>0</v>
      </c>
      <c r="AO85" s="10">
        <v>0.14000000000000001</v>
      </c>
      <c r="AP85" s="10">
        <v>0.05</v>
      </c>
      <c r="AQ85" s="10">
        <v>2.0099999999999998</v>
      </c>
      <c r="AR85" s="4">
        <v>0</v>
      </c>
      <c r="AS85" s="10">
        <v>50.67</v>
      </c>
      <c r="AT85" s="4">
        <v>0</v>
      </c>
      <c r="AU85" s="10">
        <v>3.94</v>
      </c>
      <c r="AV85" s="10">
        <v>0.45</v>
      </c>
      <c r="AW85" s="4">
        <v>0</v>
      </c>
      <c r="AX85" s="4">
        <v>0</v>
      </c>
      <c r="AY85" s="10">
        <v>9.77</v>
      </c>
      <c r="AZ85" s="4">
        <v>0</v>
      </c>
      <c r="BA85" s="4">
        <v>0</v>
      </c>
      <c r="BB85" s="4">
        <v>0</v>
      </c>
      <c r="BC85" s="10">
        <v>32.840000000000003</v>
      </c>
      <c r="BD85" s="4">
        <v>0</v>
      </c>
      <c r="BE85" s="10">
        <v>18.7</v>
      </c>
      <c r="BF85" s="10">
        <v>56.06</v>
      </c>
      <c r="BG85" s="4">
        <v>0</v>
      </c>
      <c r="BH85" s="10">
        <v>0.01</v>
      </c>
      <c r="BI85" s="10">
        <v>0.66</v>
      </c>
      <c r="BJ85" s="10">
        <v>11.37</v>
      </c>
      <c r="BK85" s="10">
        <v>1.92</v>
      </c>
      <c r="BL85" s="10">
        <v>23.2</v>
      </c>
      <c r="BM85" s="10">
        <v>1096.2</v>
      </c>
      <c r="BN85" s="10">
        <v>327.52</v>
      </c>
      <c r="BO85" s="10">
        <v>287.12</v>
      </c>
      <c r="BP85" s="10">
        <v>333.16</v>
      </c>
      <c r="BQ85" s="10">
        <v>44.31</v>
      </c>
      <c r="BR85" s="10">
        <v>23.43</v>
      </c>
      <c r="BS85" s="10">
        <v>5.04</v>
      </c>
      <c r="BT85" s="4">
        <v>0</v>
      </c>
      <c r="BU85" s="4">
        <v>0</v>
      </c>
      <c r="BV85" s="10">
        <v>62.42</v>
      </c>
      <c r="BW85" s="4">
        <v>0</v>
      </c>
      <c r="BX85" s="10">
        <v>45904.42</v>
      </c>
      <c r="BY85" s="10">
        <v>2180.7600000000002</v>
      </c>
      <c r="BZ85" s="10">
        <v>43723.66</v>
      </c>
      <c r="CA85" s="4">
        <v>0</v>
      </c>
      <c r="CB85" s="4">
        <v>0</v>
      </c>
      <c r="CC85" s="4">
        <v>0</v>
      </c>
      <c r="CD85" s="10">
        <v>0.83</v>
      </c>
      <c r="CE85" s="4" t="s">
        <v>102</v>
      </c>
      <c r="CF85" s="10">
        <v>0.83</v>
      </c>
      <c r="CG85" s="4" t="s">
        <v>102</v>
      </c>
      <c r="CH85" s="4" t="s">
        <v>102</v>
      </c>
      <c r="CI85" s="4">
        <v>0</v>
      </c>
      <c r="CJ85" s="4" t="s">
        <v>102</v>
      </c>
      <c r="CK85" s="4" t="s">
        <v>102</v>
      </c>
      <c r="CL85" s="10">
        <v>48364.04</v>
      </c>
      <c r="CM85" s="10">
        <v>45905.25</v>
      </c>
    </row>
    <row r="86" spans="1:91" x14ac:dyDescent="0.35">
      <c r="A86" s="3" t="s">
        <v>85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70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71">
        <v>0</v>
      </c>
      <c r="AI86" s="29"/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 t="s">
        <v>102</v>
      </c>
      <c r="CF86" s="5">
        <v>0</v>
      </c>
      <c r="CG86" s="5" t="s">
        <v>102</v>
      </c>
      <c r="CH86" s="5" t="s">
        <v>102</v>
      </c>
      <c r="CI86" s="5">
        <v>0</v>
      </c>
      <c r="CJ86" s="5" t="s">
        <v>102</v>
      </c>
      <c r="CK86" s="5" t="s">
        <v>102</v>
      </c>
      <c r="CL86" s="5">
        <v>0</v>
      </c>
      <c r="CM86" s="5">
        <v>0</v>
      </c>
    </row>
    <row r="87" spans="1:91" x14ac:dyDescent="0.35">
      <c r="A87" s="3" t="s">
        <v>103</v>
      </c>
      <c r="B87" s="4" t="s">
        <v>102</v>
      </c>
      <c r="C87" s="10">
        <v>224349.1</v>
      </c>
      <c r="D87" s="10">
        <v>31062.799999999999</v>
      </c>
      <c r="E87" s="10">
        <v>6489.66</v>
      </c>
      <c r="F87" s="10">
        <v>54114.01</v>
      </c>
      <c r="G87" s="10">
        <v>314214.84999999998</v>
      </c>
      <c r="H87" s="10">
        <v>79231.789999999994</v>
      </c>
      <c r="I87" s="10">
        <v>51670.77</v>
      </c>
      <c r="J87" s="10">
        <v>54912.04</v>
      </c>
      <c r="K87" s="10">
        <v>22742.94</v>
      </c>
      <c r="L87" s="10">
        <v>64965.66</v>
      </c>
      <c r="M87" s="70">
        <v>143600.40182218753</v>
      </c>
      <c r="N87" s="15" t="e">
        <v>#REF!</v>
      </c>
      <c r="O87" s="15" t="e">
        <v>#REF!</v>
      </c>
      <c r="P87" s="15" t="e">
        <v>#REF!</v>
      </c>
      <c r="Q87" s="15" t="e">
        <v>#REF!</v>
      </c>
      <c r="R87" s="15" t="e">
        <v>#REF!</v>
      </c>
      <c r="S87" s="15" t="e">
        <v>#REF!</v>
      </c>
      <c r="T87" s="15" t="e">
        <v>#REF!</v>
      </c>
      <c r="U87" s="15" t="e">
        <v>#REF!</v>
      </c>
      <c r="V87" s="10">
        <v>159400.45000000001</v>
      </c>
      <c r="W87" s="10">
        <v>107409.02</v>
      </c>
      <c r="X87" s="10">
        <v>82537.929999999993</v>
      </c>
      <c r="Y87" s="10">
        <v>95590.85</v>
      </c>
      <c r="Z87" s="10">
        <v>206525.06</v>
      </c>
      <c r="AA87" s="10">
        <v>166488.6</v>
      </c>
      <c r="AB87" s="10">
        <v>113605.17</v>
      </c>
      <c r="AC87" s="10">
        <v>246945.17</v>
      </c>
      <c r="AD87" s="10">
        <v>244267.51</v>
      </c>
      <c r="AE87" s="10">
        <v>64935.08</v>
      </c>
      <c r="AF87" s="10">
        <v>106614.39999999999</v>
      </c>
      <c r="AG87" s="10">
        <v>133074.37</v>
      </c>
      <c r="AH87" s="71">
        <v>395573.78855431493</v>
      </c>
      <c r="AI87" s="15" t="e">
        <v>#REF!</v>
      </c>
      <c r="AJ87" s="10">
        <v>31853.439999999999</v>
      </c>
      <c r="AK87" s="10">
        <v>137828.41</v>
      </c>
      <c r="AL87" s="10">
        <v>895623.35</v>
      </c>
      <c r="AM87" s="4">
        <v>203416</v>
      </c>
      <c r="AN87" s="10">
        <v>861586.96</v>
      </c>
      <c r="AO87" s="10">
        <v>621080.63</v>
      </c>
      <c r="AP87" s="10">
        <v>319381.76000000001</v>
      </c>
      <c r="AQ87" s="10">
        <v>71518.98</v>
      </c>
      <c r="AR87" s="10">
        <v>33080.400000000001</v>
      </c>
      <c r="AS87" s="10">
        <v>276744.78000000003</v>
      </c>
      <c r="AT87" s="10">
        <v>58490.82</v>
      </c>
      <c r="AU87" s="10">
        <v>431804.98</v>
      </c>
      <c r="AV87" s="10">
        <v>114875.3</v>
      </c>
      <c r="AW87" s="10">
        <v>61745.86</v>
      </c>
      <c r="AX87" s="10">
        <v>133105.34</v>
      </c>
      <c r="AY87" s="10">
        <v>525253.81999999995</v>
      </c>
      <c r="AZ87" s="10">
        <v>397844.66</v>
      </c>
      <c r="BA87" s="10">
        <v>130561.43</v>
      </c>
      <c r="BB87" s="10">
        <v>151932.48000000001</v>
      </c>
      <c r="BC87" s="10">
        <v>1708971.49</v>
      </c>
      <c r="BD87" s="10">
        <v>548179.23</v>
      </c>
      <c r="BE87" s="10">
        <v>230999.05</v>
      </c>
      <c r="BF87" s="10">
        <v>244212.15</v>
      </c>
      <c r="BG87" s="10">
        <v>82028.7</v>
      </c>
      <c r="BH87" s="10">
        <v>87212.33</v>
      </c>
      <c r="BI87" s="10">
        <v>275674.55</v>
      </c>
      <c r="BJ87" s="10">
        <v>183143.48</v>
      </c>
      <c r="BK87" s="10">
        <v>31583.68</v>
      </c>
      <c r="BL87" s="10">
        <v>336528.83</v>
      </c>
      <c r="BM87" s="10">
        <v>880502.71</v>
      </c>
      <c r="BN87" s="10">
        <v>703314.63</v>
      </c>
      <c r="BO87" s="10">
        <v>771965.16</v>
      </c>
      <c r="BP87" s="10">
        <v>367436.49</v>
      </c>
      <c r="BQ87" s="10">
        <v>110508.36</v>
      </c>
      <c r="BR87" s="10">
        <v>77474.509999999995</v>
      </c>
      <c r="BS87" s="10">
        <v>87475.61</v>
      </c>
      <c r="BT87" s="10">
        <v>23517.72</v>
      </c>
      <c r="BU87" s="10">
        <v>115546.58</v>
      </c>
      <c r="BV87" s="10">
        <v>47485.67</v>
      </c>
      <c r="BW87" s="4">
        <v>0</v>
      </c>
      <c r="BX87" s="4" t="s">
        <v>102</v>
      </c>
      <c r="BY87" s="4" t="s">
        <v>102</v>
      </c>
      <c r="BZ87" s="4" t="s">
        <v>102</v>
      </c>
      <c r="CA87" s="4" t="s">
        <v>102</v>
      </c>
      <c r="CB87" s="4" t="s">
        <v>102</v>
      </c>
      <c r="CC87" s="4" t="s">
        <v>102</v>
      </c>
      <c r="CD87" s="4" t="s">
        <v>102</v>
      </c>
      <c r="CE87" s="4" t="s">
        <v>102</v>
      </c>
      <c r="CF87" s="4" t="s">
        <v>102</v>
      </c>
      <c r="CG87" s="4" t="s">
        <v>102</v>
      </c>
      <c r="CH87" s="4" t="s">
        <v>102</v>
      </c>
      <c r="CI87" s="4" t="s">
        <v>102</v>
      </c>
      <c r="CJ87" s="4" t="s">
        <v>102</v>
      </c>
      <c r="CK87" s="4" t="s">
        <v>102</v>
      </c>
      <c r="CL87" s="4" t="s">
        <v>102</v>
      </c>
      <c r="CM87" s="4" t="s">
        <v>102</v>
      </c>
    </row>
    <row r="88" spans="1:91" x14ac:dyDescent="0.35">
      <c r="A88" s="3" t="s">
        <v>104</v>
      </c>
      <c r="B88" s="5" t="s">
        <v>102</v>
      </c>
      <c r="C88" s="5" t="s">
        <v>102</v>
      </c>
      <c r="D88" s="5" t="s">
        <v>102</v>
      </c>
      <c r="E88" s="5" t="s">
        <v>102</v>
      </c>
      <c r="F88" s="5" t="s">
        <v>102</v>
      </c>
      <c r="G88" s="5" t="s">
        <v>102</v>
      </c>
      <c r="H88" s="5" t="s">
        <v>102</v>
      </c>
      <c r="I88" s="5" t="s">
        <v>102</v>
      </c>
      <c r="J88" s="5" t="s">
        <v>102</v>
      </c>
      <c r="K88" s="5" t="s">
        <v>102</v>
      </c>
      <c r="L88" s="5" t="s">
        <v>102</v>
      </c>
      <c r="M88" s="70" t="s">
        <v>102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5" t="s">
        <v>102</v>
      </c>
      <c r="W88" s="5" t="s">
        <v>102</v>
      </c>
      <c r="X88" s="5" t="s">
        <v>102</v>
      </c>
      <c r="Y88" s="5" t="s">
        <v>102</v>
      </c>
      <c r="Z88" s="5" t="s">
        <v>102</v>
      </c>
      <c r="AA88" s="5" t="s">
        <v>102</v>
      </c>
      <c r="AB88" s="5" t="s">
        <v>102</v>
      </c>
      <c r="AC88" s="5" t="s">
        <v>102</v>
      </c>
      <c r="AD88" s="5" t="s">
        <v>102</v>
      </c>
      <c r="AE88" s="5" t="s">
        <v>102</v>
      </c>
      <c r="AF88" s="5" t="s">
        <v>102</v>
      </c>
      <c r="AG88" s="5" t="s">
        <v>102</v>
      </c>
      <c r="AH88" s="71" t="s">
        <v>102</v>
      </c>
      <c r="AI88" s="29"/>
      <c r="AJ88" s="5" t="s">
        <v>102</v>
      </c>
      <c r="AK88" s="5" t="s">
        <v>102</v>
      </c>
      <c r="AL88" s="5" t="s">
        <v>102</v>
      </c>
      <c r="AM88" s="5" t="s">
        <v>102</v>
      </c>
      <c r="AN88" s="5" t="s">
        <v>102</v>
      </c>
      <c r="AO88" s="5" t="s">
        <v>102</v>
      </c>
      <c r="AP88" s="5" t="s">
        <v>102</v>
      </c>
      <c r="AQ88" s="5" t="s">
        <v>102</v>
      </c>
      <c r="AR88" s="5" t="s">
        <v>102</v>
      </c>
      <c r="AS88" s="5" t="s">
        <v>102</v>
      </c>
      <c r="AT88" s="5" t="s">
        <v>102</v>
      </c>
      <c r="AU88" s="5" t="s">
        <v>102</v>
      </c>
      <c r="AV88" s="5" t="s">
        <v>102</v>
      </c>
      <c r="AW88" s="5" t="s">
        <v>102</v>
      </c>
      <c r="AX88" s="5" t="s">
        <v>102</v>
      </c>
      <c r="AY88" s="5" t="s">
        <v>102</v>
      </c>
      <c r="AZ88" s="5" t="s">
        <v>102</v>
      </c>
      <c r="BA88" s="5" t="s">
        <v>102</v>
      </c>
      <c r="BB88" s="5" t="s">
        <v>102</v>
      </c>
      <c r="BC88" s="5" t="s">
        <v>102</v>
      </c>
      <c r="BD88" s="5" t="s">
        <v>102</v>
      </c>
      <c r="BE88" s="5" t="s">
        <v>102</v>
      </c>
      <c r="BF88" s="5" t="s">
        <v>102</v>
      </c>
      <c r="BG88" s="5" t="s">
        <v>102</v>
      </c>
      <c r="BH88" s="5" t="s">
        <v>102</v>
      </c>
      <c r="BI88" s="5" t="s">
        <v>102</v>
      </c>
      <c r="BJ88" s="5" t="s">
        <v>102</v>
      </c>
      <c r="BK88" s="5" t="s">
        <v>102</v>
      </c>
      <c r="BL88" s="5" t="s">
        <v>102</v>
      </c>
      <c r="BM88" s="5" t="s">
        <v>102</v>
      </c>
      <c r="BN88" s="5" t="s">
        <v>102</v>
      </c>
      <c r="BO88" s="5" t="s">
        <v>102</v>
      </c>
      <c r="BP88" s="5" t="s">
        <v>102</v>
      </c>
      <c r="BQ88" s="5" t="s">
        <v>102</v>
      </c>
      <c r="BR88" s="5" t="s">
        <v>102</v>
      </c>
      <c r="BS88" s="5" t="s">
        <v>102</v>
      </c>
      <c r="BT88" s="5" t="s">
        <v>102</v>
      </c>
      <c r="BU88" s="5" t="s">
        <v>102</v>
      </c>
      <c r="BV88" s="5" t="s">
        <v>102</v>
      </c>
      <c r="BW88" s="5" t="s">
        <v>102</v>
      </c>
      <c r="BX88" s="5" t="s">
        <v>102</v>
      </c>
      <c r="BY88" s="5" t="s">
        <v>102</v>
      </c>
      <c r="BZ88" s="5" t="s">
        <v>102</v>
      </c>
      <c r="CA88" s="5" t="s">
        <v>102</v>
      </c>
      <c r="CB88" s="5" t="s">
        <v>102</v>
      </c>
      <c r="CC88" s="5" t="s">
        <v>102</v>
      </c>
      <c r="CD88" s="5" t="s">
        <v>102</v>
      </c>
      <c r="CE88" s="5" t="s">
        <v>102</v>
      </c>
      <c r="CF88" s="5" t="s">
        <v>102</v>
      </c>
      <c r="CG88" s="5" t="s">
        <v>102</v>
      </c>
      <c r="CH88" s="5" t="s">
        <v>102</v>
      </c>
      <c r="CI88" s="5" t="s">
        <v>102</v>
      </c>
      <c r="CJ88" s="5" t="s">
        <v>102</v>
      </c>
      <c r="CK88" s="5" t="s">
        <v>102</v>
      </c>
      <c r="CL88" s="5" t="s">
        <v>102</v>
      </c>
      <c r="CM88" s="5" t="s">
        <v>102</v>
      </c>
    </row>
    <row r="89" spans="1:91" x14ac:dyDescent="0.35">
      <c r="A89" s="3" t="s">
        <v>105</v>
      </c>
      <c r="B89" s="10">
        <v>7267415.7000000002</v>
      </c>
      <c r="C89" s="10">
        <v>210755.08</v>
      </c>
      <c r="D89" s="10">
        <v>21683.68</v>
      </c>
      <c r="E89" s="10">
        <v>4213.93</v>
      </c>
      <c r="F89" s="10">
        <v>36382.85</v>
      </c>
      <c r="G89" s="10">
        <v>147640.60999999999</v>
      </c>
      <c r="H89" s="10">
        <v>33776.18</v>
      </c>
      <c r="I89" s="10">
        <v>24758.080000000002</v>
      </c>
      <c r="J89" s="10">
        <v>24972.400000000001</v>
      </c>
      <c r="K89" s="10">
        <v>8172.85</v>
      </c>
      <c r="L89" s="10">
        <v>47244.38</v>
      </c>
      <c r="M89" s="70">
        <v>70631.67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0">
        <v>116668.58</v>
      </c>
      <c r="W89" s="10">
        <v>42069.81</v>
      </c>
      <c r="X89" s="10">
        <v>34456.54</v>
      </c>
      <c r="Y89" s="10">
        <v>42046.63</v>
      </c>
      <c r="Z89" s="10">
        <v>72352.95</v>
      </c>
      <c r="AA89" s="10">
        <v>108220.94</v>
      </c>
      <c r="AB89" s="10">
        <v>43076.17</v>
      </c>
      <c r="AC89" s="10">
        <v>94316.800000000003</v>
      </c>
      <c r="AD89" s="10">
        <v>121216.51</v>
      </c>
      <c r="AE89" s="10">
        <v>26746.51</v>
      </c>
      <c r="AF89" s="10">
        <v>44971.47</v>
      </c>
      <c r="AG89" s="10">
        <v>43967.519999999997</v>
      </c>
      <c r="AH89" s="71">
        <v>309220.71000000002</v>
      </c>
      <c r="AI89" s="29"/>
      <c r="AJ89" s="10">
        <v>17894.939999999999</v>
      </c>
      <c r="AK89" s="10">
        <v>70483.42</v>
      </c>
      <c r="AL89" s="10">
        <v>420321.85</v>
      </c>
      <c r="AM89" s="10">
        <v>83728.02</v>
      </c>
      <c r="AN89" s="10">
        <v>444181.76000000001</v>
      </c>
      <c r="AO89" s="10">
        <v>218962.29</v>
      </c>
      <c r="AP89" s="10">
        <v>120205.79</v>
      </c>
      <c r="AQ89" s="10">
        <v>58168.19</v>
      </c>
      <c r="AR89" s="10">
        <v>12676.67</v>
      </c>
      <c r="AS89" s="10">
        <v>123066.3</v>
      </c>
      <c r="AT89" s="10">
        <v>11029.31</v>
      </c>
      <c r="AU89" s="10">
        <v>183530.34</v>
      </c>
      <c r="AV89" s="10">
        <v>59693.8</v>
      </c>
      <c r="AW89" s="10">
        <v>28500.78</v>
      </c>
      <c r="AX89" s="10">
        <v>83429.100000000006</v>
      </c>
      <c r="AY89" s="10">
        <v>194640.67</v>
      </c>
      <c r="AZ89" s="10">
        <v>182730.65</v>
      </c>
      <c r="BA89" s="10">
        <v>75181.64</v>
      </c>
      <c r="BB89" s="10">
        <v>63845.9</v>
      </c>
      <c r="BC89" s="10">
        <v>1496095.33</v>
      </c>
      <c r="BD89" s="10">
        <v>210435.67</v>
      </c>
      <c r="BE89" s="10">
        <v>87258.69</v>
      </c>
      <c r="BF89" s="10">
        <v>108866.12</v>
      </c>
      <c r="BG89" s="10">
        <v>32927.21</v>
      </c>
      <c r="BH89" s="10">
        <v>47695.83</v>
      </c>
      <c r="BI89" s="10">
        <v>198151.22</v>
      </c>
      <c r="BJ89" s="10">
        <v>15595.56</v>
      </c>
      <c r="BK89" s="10">
        <v>18050.8</v>
      </c>
      <c r="BL89" s="10">
        <v>104166.24</v>
      </c>
      <c r="BM89" s="10">
        <v>214824.59</v>
      </c>
      <c r="BN89" s="10">
        <v>117678.13</v>
      </c>
      <c r="BO89" s="10">
        <v>217076.92</v>
      </c>
      <c r="BP89" s="10">
        <v>45825.95</v>
      </c>
      <c r="BQ89" s="10">
        <v>54047.83</v>
      </c>
      <c r="BR89" s="10">
        <v>24578.01</v>
      </c>
      <c r="BS89" s="10">
        <v>8404.0499999999993</v>
      </c>
      <c r="BT89" s="10">
        <v>10652.94</v>
      </c>
      <c r="BU89" s="10">
        <v>72838.52</v>
      </c>
      <c r="BV89" s="10">
        <v>411.84</v>
      </c>
      <c r="BW89" s="4">
        <v>0</v>
      </c>
      <c r="BX89" s="4" t="s">
        <v>102</v>
      </c>
      <c r="BY89" s="4" t="s">
        <v>102</v>
      </c>
      <c r="BZ89" s="4" t="s">
        <v>102</v>
      </c>
      <c r="CA89" s="4" t="s">
        <v>102</v>
      </c>
      <c r="CB89" s="4" t="s">
        <v>102</v>
      </c>
      <c r="CC89" s="4" t="s">
        <v>102</v>
      </c>
      <c r="CD89" s="4" t="s">
        <v>102</v>
      </c>
      <c r="CE89" s="4" t="s">
        <v>102</v>
      </c>
      <c r="CF89" s="4" t="s">
        <v>102</v>
      </c>
      <c r="CG89" s="4" t="s">
        <v>102</v>
      </c>
      <c r="CH89" s="4" t="s">
        <v>102</v>
      </c>
      <c r="CI89" s="4" t="s">
        <v>102</v>
      </c>
      <c r="CJ89" s="4" t="s">
        <v>102</v>
      </c>
      <c r="CK89" s="4" t="s">
        <v>102</v>
      </c>
      <c r="CL89" s="4" t="s">
        <v>102</v>
      </c>
      <c r="CM89" s="4" t="s">
        <v>102</v>
      </c>
    </row>
    <row r="90" spans="1:91" x14ac:dyDescent="0.35">
      <c r="A90" s="3" t="s">
        <v>106</v>
      </c>
      <c r="B90" s="5" t="s">
        <v>102</v>
      </c>
      <c r="C90" s="5" t="s">
        <v>102</v>
      </c>
      <c r="D90" s="5" t="s">
        <v>102</v>
      </c>
      <c r="E90" s="5" t="s">
        <v>102</v>
      </c>
      <c r="F90" s="5" t="s">
        <v>102</v>
      </c>
      <c r="G90" s="5" t="s">
        <v>102</v>
      </c>
      <c r="H90" s="5" t="s">
        <v>102</v>
      </c>
      <c r="I90" s="5" t="s">
        <v>102</v>
      </c>
      <c r="J90" s="5" t="s">
        <v>102</v>
      </c>
      <c r="K90" s="5" t="s">
        <v>102</v>
      </c>
      <c r="L90" s="5" t="s">
        <v>102</v>
      </c>
      <c r="M90" s="70" t="s">
        <v>102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5" t="s">
        <v>102</v>
      </c>
      <c r="W90" s="5" t="s">
        <v>102</v>
      </c>
      <c r="X90" s="5" t="s">
        <v>102</v>
      </c>
      <c r="Y90" s="5" t="s">
        <v>102</v>
      </c>
      <c r="Z90" s="5" t="s">
        <v>102</v>
      </c>
      <c r="AA90" s="5" t="s">
        <v>102</v>
      </c>
      <c r="AB90" s="5" t="s">
        <v>102</v>
      </c>
      <c r="AC90" s="5" t="s">
        <v>102</v>
      </c>
      <c r="AD90" s="5" t="s">
        <v>102</v>
      </c>
      <c r="AE90" s="5" t="s">
        <v>102</v>
      </c>
      <c r="AF90" s="5" t="s">
        <v>102</v>
      </c>
      <c r="AG90" s="5" t="s">
        <v>102</v>
      </c>
      <c r="AH90" s="71" t="s">
        <v>102</v>
      </c>
      <c r="AI90" s="29"/>
      <c r="AJ90" s="5" t="s">
        <v>102</v>
      </c>
      <c r="AK90" s="5" t="s">
        <v>102</v>
      </c>
      <c r="AL90" s="5" t="s">
        <v>102</v>
      </c>
      <c r="AM90" s="5" t="s">
        <v>102</v>
      </c>
      <c r="AN90" s="5" t="s">
        <v>102</v>
      </c>
      <c r="AO90" s="5" t="s">
        <v>102</v>
      </c>
      <c r="AP90" s="5" t="s">
        <v>102</v>
      </c>
      <c r="AQ90" s="5" t="s">
        <v>102</v>
      </c>
      <c r="AR90" s="5" t="s">
        <v>102</v>
      </c>
      <c r="AS90" s="5" t="s">
        <v>102</v>
      </c>
      <c r="AT90" s="5" t="s">
        <v>102</v>
      </c>
      <c r="AU90" s="5" t="s">
        <v>102</v>
      </c>
      <c r="AV90" s="5" t="s">
        <v>102</v>
      </c>
      <c r="AW90" s="5" t="s">
        <v>102</v>
      </c>
      <c r="AX90" s="5" t="s">
        <v>102</v>
      </c>
      <c r="AY90" s="5" t="s">
        <v>102</v>
      </c>
      <c r="AZ90" s="5" t="s">
        <v>102</v>
      </c>
      <c r="BA90" s="5" t="s">
        <v>102</v>
      </c>
      <c r="BB90" s="5" t="s">
        <v>102</v>
      </c>
      <c r="BC90" s="5" t="s">
        <v>102</v>
      </c>
      <c r="BD90" s="5" t="s">
        <v>102</v>
      </c>
      <c r="BE90" s="5" t="s">
        <v>102</v>
      </c>
      <c r="BF90" s="5" t="s">
        <v>102</v>
      </c>
      <c r="BG90" s="5" t="s">
        <v>102</v>
      </c>
      <c r="BH90" s="5" t="s">
        <v>102</v>
      </c>
      <c r="BI90" s="5" t="s">
        <v>102</v>
      </c>
      <c r="BJ90" s="5" t="s">
        <v>102</v>
      </c>
      <c r="BK90" s="5" t="s">
        <v>102</v>
      </c>
      <c r="BL90" s="5" t="s">
        <v>102</v>
      </c>
      <c r="BM90" s="5" t="s">
        <v>102</v>
      </c>
      <c r="BN90" s="5" t="s">
        <v>102</v>
      </c>
      <c r="BO90" s="5" t="s">
        <v>102</v>
      </c>
      <c r="BP90" s="5" t="s">
        <v>102</v>
      </c>
      <c r="BQ90" s="5" t="s">
        <v>102</v>
      </c>
      <c r="BR90" s="5" t="s">
        <v>102</v>
      </c>
      <c r="BS90" s="5" t="s">
        <v>102</v>
      </c>
      <c r="BT90" s="5" t="s">
        <v>102</v>
      </c>
      <c r="BU90" s="5" t="s">
        <v>102</v>
      </c>
      <c r="BV90" s="5" t="s">
        <v>102</v>
      </c>
      <c r="BW90" s="5" t="s">
        <v>102</v>
      </c>
      <c r="BX90" s="5" t="s">
        <v>102</v>
      </c>
      <c r="BY90" s="5" t="s">
        <v>102</v>
      </c>
      <c r="BZ90" s="5" t="s">
        <v>102</v>
      </c>
      <c r="CA90" s="5" t="s">
        <v>102</v>
      </c>
      <c r="CB90" s="5" t="s">
        <v>102</v>
      </c>
      <c r="CC90" s="5" t="s">
        <v>102</v>
      </c>
      <c r="CD90" s="5" t="s">
        <v>102</v>
      </c>
      <c r="CE90" s="5" t="s">
        <v>102</v>
      </c>
      <c r="CF90" s="5" t="s">
        <v>102</v>
      </c>
      <c r="CG90" s="5" t="s">
        <v>102</v>
      </c>
      <c r="CH90" s="5" t="s">
        <v>102</v>
      </c>
      <c r="CI90" s="5" t="s">
        <v>102</v>
      </c>
      <c r="CJ90" s="5" t="s">
        <v>102</v>
      </c>
      <c r="CK90" s="5" t="s">
        <v>102</v>
      </c>
      <c r="CL90" s="5" t="s">
        <v>102</v>
      </c>
      <c r="CM90" s="5" t="s">
        <v>102</v>
      </c>
    </row>
    <row r="91" spans="1:91" x14ac:dyDescent="0.35">
      <c r="A91" s="3" t="s">
        <v>107</v>
      </c>
      <c r="B91" s="10">
        <v>8088074.0800000001</v>
      </c>
      <c r="C91" s="10">
        <v>52436.02</v>
      </c>
      <c r="D91" s="10">
        <v>9707.23</v>
      </c>
      <c r="E91" s="10">
        <v>2448.6799999999998</v>
      </c>
      <c r="F91" s="10">
        <v>17298.88</v>
      </c>
      <c r="G91" s="10">
        <v>166901.99</v>
      </c>
      <c r="H91" s="10">
        <v>45207.13</v>
      </c>
      <c r="I91" s="10">
        <v>26469.919999999998</v>
      </c>
      <c r="J91" s="10">
        <v>29301.200000000001</v>
      </c>
      <c r="K91" s="10">
        <v>14528.78</v>
      </c>
      <c r="L91" s="10">
        <v>11765.39</v>
      </c>
      <c r="M91" s="70">
        <v>75125.41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0">
        <v>42274.34</v>
      </c>
      <c r="W91" s="10">
        <v>64994.2</v>
      </c>
      <c r="X91" s="10">
        <v>46076.93</v>
      </c>
      <c r="Y91" s="10">
        <v>52483.37</v>
      </c>
      <c r="Z91" s="10">
        <v>133150.73000000001</v>
      </c>
      <c r="AA91" s="10">
        <v>58248.1</v>
      </c>
      <c r="AB91" s="10">
        <v>70467.899999999994</v>
      </c>
      <c r="AC91" s="10">
        <v>152247.6</v>
      </c>
      <c r="AD91" s="10">
        <v>122444.87</v>
      </c>
      <c r="AE91" s="10">
        <v>38135.4</v>
      </c>
      <c r="AF91" s="10">
        <v>61174.29</v>
      </c>
      <c r="AG91" s="10">
        <v>88079.16</v>
      </c>
      <c r="AH91" s="71">
        <v>79112.83</v>
      </c>
      <c r="AI91" s="29"/>
      <c r="AJ91" s="10">
        <v>13719.1</v>
      </c>
      <c r="AK91" s="10">
        <v>66143.899999999994</v>
      </c>
      <c r="AL91" s="10">
        <v>462999.9</v>
      </c>
      <c r="AM91" s="10">
        <v>114205.77</v>
      </c>
      <c r="AN91" s="10">
        <v>427785.35</v>
      </c>
      <c r="AO91" s="10">
        <v>374155.95</v>
      </c>
      <c r="AP91" s="10">
        <v>202222.19</v>
      </c>
      <c r="AQ91" s="10">
        <v>13738.67</v>
      </c>
      <c r="AR91" s="10">
        <v>20173.599999999999</v>
      </c>
      <c r="AS91" s="10">
        <v>150001.88</v>
      </c>
      <c r="AT91" s="10">
        <v>48133.95</v>
      </c>
      <c r="AU91" s="10">
        <v>244114.98</v>
      </c>
      <c r="AV91" s="10">
        <v>54683.6</v>
      </c>
      <c r="AW91" s="10">
        <v>34217.06</v>
      </c>
      <c r="AX91" s="10">
        <v>47484.09</v>
      </c>
      <c r="AY91" s="10">
        <v>325568.24</v>
      </c>
      <c r="AZ91" s="10">
        <v>184636.95</v>
      </c>
      <c r="BA91" s="10">
        <v>51543.08</v>
      </c>
      <c r="BB91" s="10">
        <v>83454.91</v>
      </c>
      <c r="BC91" s="10">
        <v>118413.26</v>
      </c>
      <c r="BD91" s="10">
        <v>332328.84000000003</v>
      </c>
      <c r="BE91" s="10">
        <v>141667.99</v>
      </c>
      <c r="BF91" s="10">
        <v>138202.32999999999</v>
      </c>
      <c r="BG91" s="10">
        <v>48393.59</v>
      </c>
      <c r="BH91" s="10">
        <v>39009.01</v>
      </c>
      <c r="BI91" s="10">
        <v>76570.45</v>
      </c>
      <c r="BJ91" s="10">
        <v>166037.68</v>
      </c>
      <c r="BK91" s="10">
        <v>14157.78</v>
      </c>
      <c r="BL91" s="10">
        <v>232536.31</v>
      </c>
      <c r="BM91" s="10">
        <v>655153.13</v>
      </c>
      <c r="BN91" s="10">
        <v>581035.63</v>
      </c>
      <c r="BO91" s="10">
        <v>552036.23</v>
      </c>
      <c r="BP91" s="10">
        <v>321971.36</v>
      </c>
      <c r="BQ91" s="10">
        <v>56238.77</v>
      </c>
      <c r="BR91" s="10">
        <v>53504.68</v>
      </c>
      <c r="BS91" s="10">
        <v>79907.179999999993</v>
      </c>
      <c r="BT91" s="10">
        <v>12581.21</v>
      </c>
      <c r="BU91" s="10">
        <v>42214.68</v>
      </c>
      <c r="BV91" s="10">
        <v>47050.48</v>
      </c>
      <c r="BW91" s="4">
        <v>0</v>
      </c>
      <c r="BX91" s="4" t="s">
        <v>102</v>
      </c>
      <c r="BY91" s="4" t="s">
        <v>102</v>
      </c>
      <c r="BZ91" s="4" t="s">
        <v>102</v>
      </c>
      <c r="CA91" s="4" t="s">
        <v>102</v>
      </c>
      <c r="CB91" s="4" t="s">
        <v>102</v>
      </c>
      <c r="CC91" s="4" t="s">
        <v>102</v>
      </c>
      <c r="CD91" s="4" t="s">
        <v>102</v>
      </c>
      <c r="CE91" s="4" t="s">
        <v>102</v>
      </c>
      <c r="CF91" s="4" t="s">
        <v>102</v>
      </c>
      <c r="CG91" s="4" t="s">
        <v>102</v>
      </c>
      <c r="CH91" s="4" t="s">
        <v>102</v>
      </c>
      <c r="CI91" s="4" t="s">
        <v>102</v>
      </c>
      <c r="CJ91" s="4" t="s">
        <v>102</v>
      </c>
      <c r="CK91" s="4" t="s">
        <v>102</v>
      </c>
      <c r="CL91" s="4" t="s">
        <v>102</v>
      </c>
      <c r="CM91" s="4" t="s">
        <v>102</v>
      </c>
    </row>
    <row r="92" spans="1:91" x14ac:dyDescent="0.35">
      <c r="A92" s="3" t="s">
        <v>108</v>
      </c>
      <c r="B92" s="5" t="s">
        <v>102</v>
      </c>
      <c r="C92" s="5" t="s">
        <v>102</v>
      </c>
      <c r="D92" s="5" t="s">
        <v>102</v>
      </c>
      <c r="E92" s="5" t="s">
        <v>102</v>
      </c>
      <c r="F92" s="5" t="s">
        <v>102</v>
      </c>
      <c r="G92" s="5" t="s">
        <v>102</v>
      </c>
      <c r="H92" s="5" t="s">
        <v>102</v>
      </c>
      <c r="I92" s="5" t="s">
        <v>102</v>
      </c>
      <c r="J92" s="5" t="s">
        <v>102</v>
      </c>
      <c r="K92" s="5" t="s">
        <v>102</v>
      </c>
      <c r="L92" s="5" t="s">
        <v>102</v>
      </c>
      <c r="M92" s="70" t="s">
        <v>102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5" t="s">
        <v>102</v>
      </c>
      <c r="W92" s="5" t="s">
        <v>102</v>
      </c>
      <c r="X92" s="5" t="s">
        <v>102</v>
      </c>
      <c r="Y92" s="5" t="s">
        <v>102</v>
      </c>
      <c r="Z92" s="5" t="s">
        <v>102</v>
      </c>
      <c r="AA92" s="5" t="s">
        <v>102</v>
      </c>
      <c r="AB92" s="5" t="s">
        <v>102</v>
      </c>
      <c r="AC92" s="5" t="s">
        <v>102</v>
      </c>
      <c r="AD92" s="5" t="s">
        <v>102</v>
      </c>
      <c r="AE92" s="5" t="s">
        <v>102</v>
      </c>
      <c r="AF92" s="5" t="s">
        <v>102</v>
      </c>
      <c r="AG92" s="5" t="s">
        <v>102</v>
      </c>
      <c r="AH92" s="71" t="s">
        <v>102</v>
      </c>
      <c r="AI92" s="29"/>
      <c r="AJ92" s="5" t="s">
        <v>102</v>
      </c>
      <c r="AK92" s="5" t="s">
        <v>102</v>
      </c>
      <c r="AL92" s="5" t="s">
        <v>102</v>
      </c>
      <c r="AM92" s="5" t="s">
        <v>102</v>
      </c>
      <c r="AN92" s="5" t="s">
        <v>102</v>
      </c>
      <c r="AO92" s="5" t="s">
        <v>102</v>
      </c>
      <c r="AP92" s="5" t="s">
        <v>102</v>
      </c>
      <c r="AQ92" s="5" t="s">
        <v>102</v>
      </c>
      <c r="AR92" s="5" t="s">
        <v>102</v>
      </c>
      <c r="AS92" s="5" t="s">
        <v>102</v>
      </c>
      <c r="AT92" s="5" t="s">
        <v>102</v>
      </c>
      <c r="AU92" s="5" t="s">
        <v>102</v>
      </c>
      <c r="AV92" s="5" t="s">
        <v>102</v>
      </c>
      <c r="AW92" s="5" t="s">
        <v>102</v>
      </c>
      <c r="AX92" s="5" t="s">
        <v>102</v>
      </c>
      <c r="AY92" s="5" t="s">
        <v>102</v>
      </c>
      <c r="AZ92" s="5" t="s">
        <v>102</v>
      </c>
      <c r="BA92" s="5" t="s">
        <v>102</v>
      </c>
      <c r="BB92" s="5" t="s">
        <v>102</v>
      </c>
      <c r="BC92" s="5" t="s">
        <v>102</v>
      </c>
      <c r="BD92" s="5" t="s">
        <v>102</v>
      </c>
      <c r="BE92" s="5" t="s">
        <v>102</v>
      </c>
      <c r="BF92" s="5" t="s">
        <v>102</v>
      </c>
      <c r="BG92" s="5" t="s">
        <v>102</v>
      </c>
      <c r="BH92" s="5" t="s">
        <v>102</v>
      </c>
      <c r="BI92" s="5" t="s">
        <v>102</v>
      </c>
      <c r="BJ92" s="5" t="s">
        <v>102</v>
      </c>
      <c r="BK92" s="5" t="s">
        <v>102</v>
      </c>
      <c r="BL92" s="5" t="s">
        <v>102</v>
      </c>
      <c r="BM92" s="5" t="s">
        <v>102</v>
      </c>
      <c r="BN92" s="5" t="s">
        <v>102</v>
      </c>
      <c r="BO92" s="5" t="s">
        <v>102</v>
      </c>
      <c r="BP92" s="5" t="s">
        <v>102</v>
      </c>
      <c r="BQ92" s="5" t="s">
        <v>102</v>
      </c>
      <c r="BR92" s="5" t="s">
        <v>102</v>
      </c>
      <c r="BS92" s="5" t="s">
        <v>102</v>
      </c>
      <c r="BT92" s="5" t="s">
        <v>102</v>
      </c>
      <c r="BU92" s="5" t="s">
        <v>102</v>
      </c>
      <c r="BV92" s="5" t="s">
        <v>102</v>
      </c>
      <c r="BW92" s="5" t="s">
        <v>102</v>
      </c>
      <c r="BX92" s="5" t="s">
        <v>102</v>
      </c>
      <c r="BY92" s="5" t="s">
        <v>102</v>
      </c>
      <c r="BZ92" s="5" t="s">
        <v>102</v>
      </c>
      <c r="CA92" s="5" t="s">
        <v>102</v>
      </c>
      <c r="CB92" s="5" t="s">
        <v>102</v>
      </c>
      <c r="CC92" s="5" t="s">
        <v>102</v>
      </c>
      <c r="CD92" s="5" t="s">
        <v>102</v>
      </c>
      <c r="CE92" s="5" t="s">
        <v>102</v>
      </c>
      <c r="CF92" s="5" t="s">
        <v>102</v>
      </c>
      <c r="CG92" s="5" t="s">
        <v>102</v>
      </c>
      <c r="CH92" s="5" t="s">
        <v>102</v>
      </c>
      <c r="CI92" s="5" t="s">
        <v>102</v>
      </c>
      <c r="CJ92" s="5" t="s">
        <v>102</v>
      </c>
      <c r="CK92" s="5" t="s">
        <v>102</v>
      </c>
      <c r="CL92" s="5" t="s">
        <v>102</v>
      </c>
      <c r="CM92" s="5" t="s">
        <v>102</v>
      </c>
    </row>
    <row r="93" spans="1:91" x14ac:dyDescent="0.35">
      <c r="A93" s="3" t="s">
        <v>109</v>
      </c>
      <c r="B93" s="10">
        <v>443997.48</v>
      </c>
      <c r="C93" s="10">
        <v>9308.7000000000007</v>
      </c>
      <c r="D93" s="10">
        <v>866.56</v>
      </c>
      <c r="E93" s="10">
        <v>266.14999999999998</v>
      </c>
      <c r="F93" s="10">
        <v>1127.94</v>
      </c>
      <c r="G93" s="10">
        <v>9168.19</v>
      </c>
      <c r="H93" s="10">
        <v>2000.85</v>
      </c>
      <c r="I93" s="10">
        <v>961.95</v>
      </c>
      <c r="J93" s="10">
        <v>1470.16</v>
      </c>
      <c r="K93" s="10">
        <v>433.72</v>
      </c>
      <c r="L93" s="10">
        <v>4171.62</v>
      </c>
      <c r="M93" s="70">
        <v>5476.2417244667458</v>
      </c>
      <c r="N93" s="15" t="e">
        <v>#REF!</v>
      </c>
      <c r="O93" s="15" t="e">
        <v>#REF!</v>
      </c>
      <c r="P93" s="15" t="e">
        <v>#REF!</v>
      </c>
      <c r="Q93" s="15" t="e">
        <v>#REF!</v>
      </c>
      <c r="R93" s="15" t="e">
        <v>#REF!</v>
      </c>
      <c r="S93" s="15" t="e">
        <v>#REF!</v>
      </c>
      <c r="T93" s="15" t="e">
        <v>#REF!</v>
      </c>
      <c r="U93" s="15" t="e">
        <v>#REF!</v>
      </c>
      <c r="V93" s="10">
        <v>1929.13</v>
      </c>
      <c r="W93" s="10">
        <v>2289.31</v>
      </c>
      <c r="X93" s="10">
        <v>2308.09</v>
      </c>
      <c r="Y93" s="10">
        <v>2754.93</v>
      </c>
      <c r="Z93" s="10">
        <v>3317.97</v>
      </c>
      <c r="AA93" s="10">
        <v>1717.26</v>
      </c>
      <c r="AB93" s="10">
        <v>2042.88</v>
      </c>
      <c r="AC93" s="10">
        <v>3006.08</v>
      </c>
      <c r="AD93" s="10">
        <v>3850.09</v>
      </c>
      <c r="AE93" s="10">
        <v>1059.27</v>
      </c>
      <c r="AF93" s="10">
        <v>2142.59</v>
      </c>
      <c r="AG93" s="10">
        <v>1806.54</v>
      </c>
      <c r="AH93" s="71">
        <v>1867.4146123096089</v>
      </c>
      <c r="AI93" s="86" t="e">
        <v>#REF!</v>
      </c>
      <c r="AJ93" s="10">
        <v>905.03</v>
      </c>
      <c r="AK93" s="10">
        <v>6388.83</v>
      </c>
      <c r="AL93" s="10">
        <v>19987.36</v>
      </c>
      <c r="AM93" s="10">
        <v>3027.57</v>
      </c>
      <c r="AN93" s="10">
        <v>11918.74</v>
      </c>
      <c r="AO93" s="10">
        <v>7469.5</v>
      </c>
      <c r="AP93" s="10">
        <v>23936.26</v>
      </c>
      <c r="AQ93" s="10">
        <v>3019.92</v>
      </c>
      <c r="AR93" s="10">
        <v>4737.57</v>
      </c>
      <c r="AS93" s="10">
        <v>10056.89</v>
      </c>
      <c r="AT93" s="10">
        <v>3968.02</v>
      </c>
      <c r="AU93" s="10">
        <v>13755.93</v>
      </c>
      <c r="AV93" s="10">
        <v>1477.13</v>
      </c>
      <c r="AW93" s="10">
        <v>1266.8800000000001</v>
      </c>
      <c r="AX93" s="10">
        <v>1940.13</v>
      </c>
      <c r="AY93" s="10">
        <v>6201.32</v>
      </c>
      <c r="AZ93" s="10">
        <v>19913.91</v>
      </c>
      <c r="BA93" s="10">
        <v>16853.82</v>
      </c>
      <c r="BB93" s="10">
        <v>11259.5</v>
      </c>
      <c r="BC93" s="10">
        <v>26964.02</v>
      </c>
      <c r="BD93" s="10">
        <v>10388.31</v>
      </c>
      <c r="BE93" s="10">
        <v>2487.38</v>
      </c>
      <c r="BF93" s="10">
        <v>6611.85</v>
      </c>
      <c r="BG93" s="10">
        <v>1072.5999999999999</v>
      </c>
      <c r="BH93" s="10">
        <v>1462.37</v>
      </c>
      <c r="BI93" s="10">
        <v>5369.83</v>
      </c>
      <c r="BJ93" s="10">
        <v>830.3</v>
      </c>
      <c r="BK93" s="10">
        <v>1199.31</v>
      </c>
      <c r="BL93" s="10">
        <v>4627.9399999999996</v>
      </c>
      <c r="BM93" s="10">
        <v>48782.05</v>
      </c>
      <c r="BN93" s="10">
        <v>17577.060000000001</v>
      </c>
      <c r="BO93" s="10">
        <v>43070.36</v>
      </c>
      <c r="BP93" s="10">
        <v>18110.21</v>
      </c>
      <c r="BQ93" s="10">
        <v>7877.76</v>
      </c>
      <c r="BR93" s="10">
        <v>5223.6099999999997</v>
      </c>
      <c r="BS93" s="10">
        <v>6621.24</v>
      </c>
      <c r="BT93" s="10">
        <v>297.81</v>
      </c>
      <c r="BU93" s="10">
        <v>1675.81</v>
      </c>
      <c r="BV93" s="10">
        <v>106.54</v>
      </c>
      <c r="BW93" s="4">
        <v>0</v>
      </c>
      <c r="BX93" s="10">
        <v>961628.77</v>
      </c>
      <c r="BY93" s="10">
        <v>19209.88</v>
      </c>
      <c r="BZ93" s="10">
        <v>942346.87</v>
      </c>
      <c r="CA93" s="10">
        <v>72.02</v>
      </c>
      <c r="CB93" s="10">
        <v>253398.24</v>
      </c>
      <c r="CC93" s="10">
        <v>1079.1400000000001</v>
      </c>
      <c r="CD93" s="4" t="s">
        <v>102</v>
      </c>
      <c r="CE93" s="4" t="s">
        <v>102</v>
      </c>
      <c r="CF93" s="4" t="s">
        <v>102</v>
      </c>
      <c r="CG93" s="4" t="s">
        <v>102</v>
      </c>
      <c r="CH93" s="4" t="s">
        <v>102</v>
      </c>
      <c r="CI93" s="10">
        <v>252319.1</v>
      </c>
      <c r="CJ93" s="4" t="s">
        <v>102</v>
      </c>
      <c r="CK93" s="4" t="s">
        <v>102</v>
      </c>
      <c r="CL93" s="10">
        <v>1659024.49</v>
      </c>
      <c r="CM93" s="10">
        <v>1215027.01</v>
      </c>
    </row>
    <row r="94" spans="1:91" x14ac:dyDescent="0.35">
      <c r="A94" s="3" t="s">
        <v>110</v>
      </c>
      <c r="B94" s="11">
        <v>189990.03</v>
      </c>
      <c r="C94" s="5">
        <v>-38842</v>
      </c>
      <c r="D94" s="11">
        <v>-328.1</v>
      </c>
      <c r="E94" s="11">
        <v>-172.96</v>
      </c>
      <c r="F94" s="11">
        <v>432.28</v>
      </c>
      <c r="G94" s="11">
        <v>-327.76</v>
      </c>
      <c r="H94" s="11">
        <v>248.48</v>
      </c>
      <c r="I94" s="11">
        <v>442.77</v>
      </c>
      <c r="J94" s="11">
        <v>638.44000000000005</v>
      </c>
      <c r="K94" s="11">
        <v>41.31</v>
      </c>
      <c r="L94" s="11">
        <v>5955.9</v>
      </c>
      <c r="M94" s="70">
        <v>1522.61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1">
        <v>457.52</v>
      </c>
      <c r="W94" s="5">
        <v>345</v>
      </c>
      <c r="X94" s="11">
        <v>2004.47</v>
      </c>
      <c r="Y94" s="11">
        <v>1060.8499999999999</v>
      </c>
      <c r="Z94" s="11">
        <v>1021.39</v>
      </c>
      <c r="AA94" s="11">
        <v>19.57</v>
      </c>
      <c r="AB94" s="11">
        <v>61.09</v>
      </c>
      <c r="AC94" s="11">
        <v>380.78</v>
      </c>
      <c r="AD94" s="11">
        <v>606.14</v>
      </c>
      <c r="AE94" s="11">
        <v>53.18</v>
      </c>
      <c r="AF94" s="11">
        <v>468.64</v>
      </c>
      <c r="AG94" s="11">
        <v>1027.69</v>
      </c>
      <c r="AH94" s="71">
        <v>7229.04</v>
      </c>
      <c r="AI94" s="29"/>
      <c r="AJ94" s="11">
        <v>239.4</v>
      </c>
      <c r="AK94" s="11">
        <v>1201.0999999999999</v>
      </c>
      <c r="AL94" s="11">
        <v>12301.6</v>
      </c>
      <c r="AM94" s="11">
        <v>5482.22</v>
      </c>
      <c r="AN94" s="11">
        <v>-10380.16</v>
      </c>
      <c r="AO94" s="11">
        <v>27962.39</v>
      </c>
      <c r="AP94" s="11">
        <v>-3046.22</v>
      </c>
      <c r="AQ94" s="11">
        <v>-387.88</v>
      </c>
      <c r="AR94" s="11">
        <v>230.13</v>
      </c>
      <c r="AS94" s="11">
        <v>3676.6</v>
      </c>
      <c r="AT94" s="11">
        <v>-672.44</v>
      </c>
      <c r="AU94" s="11">
        <v>4159.66</v>
      </c>
      <c r="AV94" s="11">
        <v>497.89</v>
      </c>
      <c r="AW94" s="11">
        <v>-971.98</v>
      </c>
      <c r="AX94" s="11">
        <v>2192.15</v>
      </c>
      <c r="AY94" s="11">
        <v>5044.91</v>
      </c>
      <c r="AZ94" s="11">
        <v>30477.07</v>
      </c>
      <c r="BA94" s="11">
        <v>3836.72</v>
      </c>
      <c r="BB94" s="11">
        <v>4631.67</v>
      </c>
      <c r="BC94" s="11">
        <v>94462.9</v>
      </c>
      <c r="BD94" s="11">
        <v>5414.72</v>
      </c>
      <c r="BE94" s="11">
        <v>2072.38</v>
      </c>
      <c r="BF94" s="11">
        <v>-2856.3</v>
      </c>
      <c r="BG94" s="11">
        <v>707.9</v>
      </c>
      <c r="BH94" s="11">
        <v>507.49</v>
      </c>
      <c r="BI94" s="11">
        <v>952.88</v>
      </c>
      <c r="BJ94" s="11">
        <v>1510.24</v>
      </c>
      <c r="BK94" s="11">
        <v>-624.9</v>
      </c>
      <c r="BL94" s="11">
        <v>-173.73</v>
      </c>
      <c r="BM94" s="5">
        <v>10525</v>
      </c>
      <c r="BN94" s="11">
        <v>4600.87</v>
      </c>
      <c r="BO94" s="11">
        <v>2852.01</v>
      </c>
      <c r="BP94" s="11">
        <v>-360.82</v>
      </c>
      <c r="BQ94" s="11">
        <v>221.76</v>
      </c>
      <c r="BR94" s="11">
        <v>-608.19000000000005</v>
      </c>
      <c r="BS94" s="11">
        <v>-835.62</v>
      </c>
      <c r="BT94" s="11">
        <v>283.57</v>
      </c>
      <c r="BU94" s="11">
        <v>493.38</v>
      </c>
      <c r="BV94" s="11">
        <v>23.35</v>
      </c>
      <c r="BW94" s="5">
        <v>0</v>
      </c>
      <c r="BX94" s="5" t="s">
        <v>102</v>
      </c>
      <c r="BY94" s="5" t="s">
        <v>102</v>
      </c>
      <c r="BZ94" s="5" t="s">
        <v>102</v>
      </c>
      <c r="CA94" s="5" t="s">
        <v>102</v>
      </c>
      <c r="CB94" s="5" t="s">
        <v>102</v>
      </c>
      <c r="CC94" s="5" t="s">
        <v>102</v>
      </c>
      <c r="CD94" s="5" t="s">
        <v>102</v>
      </c>
      <c r="CE94" s="5" t="s">
        <v>102</v>
      </c>
      <c r="CF94" s="5" t="s">
        <v>102</v>
      </c>
      <c r="CG94" s="5" t="s">
        <v>102</v>
      </c>
      <c r="CH94" s="5" t="s">
        <v>102</v>
      </c>
      <c r="CI94" s="5" t="s">
        <v>102</v>
      </c>
      <c r="CJ94" s="5" t="s">
        <v>102</v>
      </c>
      <c r="CK94" s="5" t="s">
        <v>102</v>
      </c>
      <c r="CL94" s="5" t="s">
        <v>102</v>
      </c>
      <c r="CM94" s="5" t="s">
        <v>102</v>
      </c>
    </row>
    <row r="95" spans="1:91" x14ac:dyDescent="0.35">
      <c r="A95" s="25" t="s">
        <v>111</v>
      </c>
      <c r="B95" s="119" t="s">
        <v>102</v>
      </c>
      <c r="C95" s="95">
        <v>525938.80000000005</v>
      </c>
      <c r="D95" s="95">
        <v>64157.9</v>
      </c>
      <c r="E95" s="95">
        <v>14413.3</v>
      </c>
      <c r="F95" s="95">
        <v>104214.3</v>
      </c>
      <c r="G95" s="95">
        <v>1361365.54</v>
      </c>
      <c r="H95" s="95">
        <v>229401.5</v>
      </c>
      <c r="I95" s="95">
        <v>167404.75</v>
      </c>
      <c r="J95" s="95">
        <v>216741.15</v>
      </c>
      <c r="K95" s="95">
        <v>60993.85</v>
      </c>
      <c r="L95" s="95">
        <v>517357.78</v>
      </c>
      <c r="M95" s="70">
        <v>598594.93225821736</v>
      </c>
      <c r="N95" s="119">
        <v>15963.965208083679</v>
      </c>
      <c r="O95" s="119">
        <v>2092.6449164619166</v>
      </c>
      <c r="P95" s="119">
        <v>4992.9509505703409</v>
      </c>
      <c r="Q95" s="119">
        <v>230.58666666666667</v>
      </c>
      <c r="R95" s="119">
        <v>0</v>
      </c>
      <c r="S95" s="119">
        <v>0</v>
      </c>
      <c r="T95" s="119">
        <v>0</v>
      </c>
      <c r="U95" s="119">
        <v>0</v>
      </c>
      <c r="V95" s="95">
        <v>336228.83</v>
      </c>
      <c r="W95" s="95">
        <v>348873.88</v>
      </c>
      <c r="X95" s="95">
        <v>251871.08</v>
      </c>
      <c r="Y95" s="95">
        <v>498854.44</v>
      </c>
      <c r="Z95" s="95">
        <v>599848.14</v>
      </c>
      <c r="AA95" s="95">
        <v>358846.32</v>
      </c>
      <c r="AB95" s="95">
        <v>367571.73</v>
      </c>
      <c r="AC95" s="95">
        <v>716442.73</v>
      </c>
      <c r="AD95" s="95">
        <v>949794.12</v>
      </c>
      <c r="AE95" s="95">
        <v>255710.35</v>
      </c>
      <c r="AF95" s="95">
        <v>275411.15999999997</v>
      </c>
      <c r="AG95" s="95">
        <v>339119.74</v>
      </c>
      <c r="AH95" s="71">
        <v>1055374.0985251798</v>
      </c>
      <c r="AI95" s="119">
        <v>138.6814748201439</v>
      </c>
      <c r="AJ95" s="95">
        <v>68244.12</v>
      </c>
      <c r="AK95" s="95">
        <v>332115.67</v>
      </c>
      <c r="AL95" s="95">
        <v>2446099.29</v>
      </c>
      <c r="AM95" s="95">
        <v>409392.89</v>
      </c>
      <c r="AN95" s="95">
        <v>1779584.2</v>
      </c>
      <c r="AO95" s="95">
        <v>1110373.51</v>
      </c>
      <c r="AP95" s="95">
        <v>796327.49</v>
      </c>
      <c r="AQ95" s="95">
        <v>228663.6</v>
      </c>
      <c r="AR95" s="95">
        <v>155432.32999999999</v>
      </c>
      <c r="AS95" s="95">
        <v>708618.86</v>
      </c>
      <c r="AT95" s="95">
        <v>150023.24</v>
      </c>
      <c r="AU95" s="95">
        <v>911838.13</v>
      </c>
      <c r="AV95" s="95">
        <v>244775.95</v>
      </c>
      <c r="AW95" s="95">
        <v>156848.37</v>
      </c>
      <c r="AX95" s="95">
        <v>336190.82</v>
      </c>
      <c r="AY95" s="95">
        <v>1106942.73</v>
      </c>
      <c r="AZ95" s="95">
        <v>765990.58</v>
      </c>
      <c r="BA95" s="95">
        <v>392180.56</v>
      </c>
      <c r="BB95" s="95">
        <v>345609.68</v>
      </c>
      <c r="BC95" s="95">
        <v>2200099.9900000002</v>
      </c>
      <c r="BD95" s="95">
        <v>1113220.55</v>
      </c>
      <c r="BE95" s="95">
        <v>466497.17</v>
      </c>
      <c r="BF95" s="95">
        <v>446096.66</v>
      </c>
      <c r="BG95" s="95">
        <v>204472.48</v>
      </c>
      <c r="BH95" s="95">
        <v>178213.86</v>
      </c>
      <c r="BI95" s="95">
        <v>548412.97</v>
      </c>
      <c r="BJ95" s="95">
        <v>246705.1</v>
      </c>
      <c r="BK95" s="95">
        <v>128296.19</v>
      </c>
      <c r="BL95" s="95">
        <v>669364.03</v>
      </c>
      <c r="BM95" s="95">
        <v>1322073.73</v>
      </c>
      <c r="BN95" s="95">
        <v>903706.36</v>
      </c>
      <c r="BO95" s="95">
        <v>1237943.25</v>
      </c>
      <c r="BP95" s="95">
        <v>540284.71</v>
      </c>
      <c r="BQ95" s="95">
        <v>224635.63</v>
      </c>
      <c r="BR95" s="95">
        <v>166309.94</v>
      </c>
      <c r="BS95" s="95">
        <v>150715.85999999999</v>
      </c>
      <c r="BT95" s="95">
        <v>45185.21</v>
      </c>
      <c r="BU95" s="95">
        <v>190743.59</v>
      </c>
      <c r="BV95" s="95">
        <v>48364.04</v>
      </c>
      <c r="BW95" s="119">
        <v>0</v>
      </c>
      <c r="BX95" s="119" t="s">
        <v>102</v>
      </c>
      <c r="BY95" s="119" t="s">
        <v>102</v>
      </c>
      <c r="BZ95" s="119" t="s">
        <v>102</v>
      </c>
      <c r="CA95" s="119" t="s">
        <v>102</v>
      </c>
      <c r="CB95" s="119" t="s">
        <v>102</v>
      </c>
      <c r="CC95" s="119" t="s">
        <v>102</v>
      </c>
      <c r="CD95" s="119" t="s">
        <v>102</v>
      </c>
      <c r="CE95" s="119" t="s">
        <v>102</v>
      </c>
      <c r="CF95" s="119" t="s">
        <v>102</v>
      </c>
      <c r="CG95" s="119" t="s">
        <v>102</v>
      </c>
      <c r="CH95" s="119" t="s">
        <v>102</v>
      </c>
      <c r="CI95" s="119" t="s">
        <v>102</v>
      </c>
      <c r="CJ95" s="119" t="s">
        <v>102</v>
      </c>
      <c r="CK95" s="119" t="s">
        <v>102</v>
      </c>
      <c r="CL95" s="119" t="s">
        <v>102</v>
      </c>
      <c r="CM95" s="119" t="s">
        <v>102</v>
      </c>
    </row>
    <row r="96" spans="1:91" x14ac:dyDescent="0.35">
      <c r="A96" s="3" t="s">
        <v>112</v>
      </c>
      <c r="B96" s="11">
        <v>18169062.75</v>
      </c>
      <c r="C96" s="11">
        <v>301589.71000000002</v>
      </c>
      <c r="D96" s="11">
        <v>33095.1</v>
      </c>
      <c r="E96" s="11">
        <v>7923.64</v>
      </c>
      <c r="F96" s="11">
        <v>50100.29</v>
      </c>
      <c r="G96" s="11">
        <v>1047150.69</v>
      </c>
      <c r="H96" s="11">
        <v>150169.71</v>
      </c>
      <c r="I96" s="11">
        <v>115733.98</v>
      </c>
      <c r="J96" s="11">
        <v>161829.10999999999</v>
      </c>
      <c r="K96" s="11">
        <v>38250.910000000003</v>
      </c>
      <c r="L96" s="11">
        <v>452392.11</v>
      </c>
      <c r="M96" s="70">
        <v>454994.53043602989</v>
      </c>
      <c r="N96" s="15" t="e">
        <v>#REF!</v>
      </c>
      <c r="O96" s="15" t="e">
        <v>#REF!</v>
      </c>
      <c r="P96" s="15" t="e">
        <v>#REF!</v>
      </c>
      <c r="Q96" s="15" t="e">
        <v>#REF!</v>
      </c>
      <c r="R96" s="15" t="e">
        <v>#REF!</v>
      </c>
      <c r="S96" s="15" t="e">
        <v>#REF!</v>
      </c>
      <c r="T96" s="15" t="e">
        <v>#REF!</v>
      </c>
      <c r="U96" s="15" t="e">
        <v>#REF!</v>
      </c>
      <c r="V96" s="11">
        <v>176828.39</v>
      </c>
      <c r="W96" s="11">
        <v>241464.86</v>
      </c>
      <c r="X96" s="11">
        <v>169333.15</v>
      </c>
      <c r="Y96" s="11">
        <v>403263.59</v>
      </c>
      <c r="Z96" s="11">
        <v>393323.08</v>
      </c>
      <c r="AA96" s="11">
        <v>192357.71</v>
      </c>
      <c r="AB96" s="11">
        <v>253966.56</v>
      </c>
      <c r="AC96" s="11">
        <v>469497.56</v>
      </c>
      <c r="AD96" s="11">
        <v>705526.61</v>
      </c>
      <c r="AE96" s="11">
        <v>190775.27</v>
      </c>
      <c r="AF96" s="11">
        <v>168796.76</v>
      </c>
      <c r="AG96" s="11">
        <v>206045.37</v>
      </c>
      <c r="AH96" s="71">
        <v>659800.30997086491</v>
      </c>
      <c r="AI96" s="15" t="e">
        <v>#REF!</v>
      </c>
      <c r="AJ96" s="11">
        <v>36390.68</v>
      </c>
      <c r="AK96" s="11">
        <v>194287.26</v>
      </c>
      <c r="AL96" s="11">
        <v>1550475.94</v>
      </c>
      <c r="AM96" s="11">
        <v>205976.89</v>
      </c>
      <c r="AN96" s="11">
        <v>917997.24</v>
      </c>
      <c r="AO96" s="11">
        <v>489292.88</v>
      </c>
      <c r="AP96" s="11">
        <v>476945.73</v>
      </c>
      <c r="AQ96" s="11">
        <v>157144.62</v>
      </c>
      <c r="AR96" s="11">
        <v>122351.93</v>
      </c>
      <c r="AS96" s="11">
        <v>431874.08</v>
      </c>
      <c r="AT96" s="11">
        <v>91532.42</v>
      </c>
      <c r="AU96" s="11">
        <v>480033.15</v>
      </c>
      <c r="AV96" s="11">
        <v>129900.65</v>
      </c>
      <c r="AW96" s="11">
        <v>95102.51</v>
      </c>
      <c r="AX96" s="11">
        <v>203085.48</v>
      </c>
      <c r="AY96" s="11">
        <v>581688.91</v>
      </c>
      <c r="AZ96" s="11">
        <v>368145.91</v>
      </c>
      <c r="BA96" s="11">
        <v>261619.13</v>
      </c>
      <c r="BB96" s="11">
        <v>193677.2</v>
      </c>
      <c r="BC96" s="11">
        <v>491128.5</v>
      </c>
      <c r="BD96" s="11">
        <v>565041.31999999995</v>
      </c>
      <c r="BE96" s="11">
        <v>235498.12</v>
      </c>
      <c r="BF96" s="11">
        <v>201884.51</v>
      </c>
      <c r="BG96" s="11">
        <v>122443.78</v>
      </c>
      <c r="BH96" s="11">
        <v>91001.53</v>
      </c>
      <c r="BI96" s="11">
        <v>272738.42</v>
      </c>
      <c r="BJ96" s="11">
        <v>63561.62</v>
      </c>
      <c r="BK96" s="11">
        <v>96712.52</v>
      </c>
      <c r="BL96" s="11">
        <v>332835.21000000002</v>
      </c>
      <c r="BM96" s="11">
        <v>441571.01</v>
      </c>
      <c r="BN96" s="11">
        <v>200391.74</v>
      </c>
      <c r="BO96" s="11">
        <v>465978.08</v>
      </c>
      <c r="BP96" s="11">
        <v>172848.22</v>
      </c>
      <c r="BQ96" s="11">
        <v>114127.27</v>
      </c>
      <c r="BR96" s="11">
        <v>88835.43</v>
      </c>
      <c r="BS96" s="11">
        <v>63240.25</v>
      </c>
      <c r="BT96" s="11">
        <v>21667.49</v>
      </c>
      <c r="BU96" s="11">
        <v>75197.009999999995</v>
      </c>
      <c r="BV96" s="11">
        <v>878.37</v>
      </c>
      <c r="BW96" s="5">
        <v>0</v>
      </c>
      <c r="BX96" s="11">
        <v>12810851.390000001</v>
      </c>
      <c r="BY96" s="11">
        <v>3638676.39</v>
      </c>
      <c r="BZ96" s="11">
        <v>8944366.7300000004</v>
      </c>
      <c r="CA96" s="11">
        <v>227808.27</v>
      </c>
      <c r="CB96" s="11">
        <v>3851774.89</v>
      </c>
      <c r="CC96" s="11">
        <v>60608.06</v>
      </c>
      <c r="CD96" s="11">
        <v>3688498.18</v>
      </c>
      <c r="CE96" s="5" t="s">
        <v>102</v>
      </c>
      <c r="CF96" s="11">
        <v>3688498.18</v>
      </c>
      <c r="CG96" s="5" t="s">
        <v>102</v>
      </c>
      <c r="CH96" s="5" t="s">
        <v>102</v>
      </c>
      <c r="CI96" s="11">
        <v>3791166.83</v>
      </c>
      <c r="CJ96" s="5" t="s">
        <v>102</v>
      </c>
      <c r="CK96" s="5" t="s">
        <v>102</v>
      </c>
      <c r="CL96" s="11">
        <v>38520187.200000003</v>
      </c>
      <c r="CM96" s="11">
        <v>20351124.460000001</v>
      </c>
    </row>
    <row r="97" spans="1:91" x14ac:dyDescent="0.35">
      <c r="A97" s="3" t="s">
        <v>113</v>
      </c>
      <c r="B97" s="4" t="s">
        <v>102</v>
      </c>
      <c r="C97" s="4" t="s">
        <v>102</v>
      </c>
      <c r="D97" s="4" t="s">
        <v>102</v>
      </c>
      <c r="E97" s="4" t="s">
        <v>102</v>
      </c>
      <c r="F97" s="4" t="s">
        <v>102</v>
      </c>
      <c r="G97" s="4" t="s">
        <v>102</v>
      </c>
      <c r="H97" s="4" t="s">
        <v>102</v>
      </c>
      <c r="I97" s="4" t="s">
        <v>102</v>
      </c>
      <c r="J97" s="4" t="s">
        <v>102</v>
      </c>
      <c r="K97" s="4" t="s">
        <v>102</v>
      </c>
      <c r="L97" s="4" t="s">
        <v>102</v>
      </c>
      <c r="M97" s="4" t="s">
        <v>102</v>
      </c>
      <c r="N97" s="15"/>
      <c r="O97" s="15"/>
      <c r="P97" s="18"/>
      <c r="Q97" s="18"/>
      <c r="R97" s="21"/>
      <c r="S97" s="21"/>
      <c r="T97" s="24"/>
      <c r="U97" s="74"/>
      <c r="V97" s="4" t="s">
        <v>102</v>
      </c>
      <c r="W97" s="4" t="s">
        <v>102</v>
      </c>
      <c r="X97" s="4" t="s">
        <v>102</v>
      </c>
      <c r="Y97" s="4" t="s">
        <v>102</v>
      </c>
      <c r="Z97" s="4" t="s">
        <v>102</v>
      </c>
      <c r="AA97" s="4" t="s">
        <v>102</v>
      </c>
      <c r="AB97" s="4" t="s">
        <v>102</v>
      </c>
      <c r="AC97" s="4" t="s">
        <v>102</v>
      </c>
      <c r="AD97" s="4" t="s">
        <v>102</v>
      </c>
      <c r="AE97" s="4" t="s">
        <v>102</v>
      </c>
      <c r="AF97" s="4" t="s">
        <v>102</v>
      </c>
      <c r="AG97" s="4" t="s">
        <v>102</v>
      </c>
      <c r="AH97" s="125" t="s">
        <v>102</v>
      </c>
      <c r="AI97" s="29"/>
      <c r="AJ97" s="4" t="s">
        <v>102</v>
      </c>
      <c r="AK97" s="4" t="s">
        <v>102</v>
      </c>
      <c r="AL97" s="4" t="s">
        <v>102</v>
      </c>
      <c r="AM97" s="4" t="s">
        <v>102</v>
      </c>
      <c r="AN97" s="4" t="s">
        <v>102</v>
      </c>
      <c r="AO97" s="4" t="s">
        <v>102</v>
      </c>
      <c r="AP97" s="4" t="s">
        <v>102</v>
      </c>
      <c r="AQ97" s="4" t="s">
        <v>102</v>
      </c>
      <c r="AR97" s="4" t="s">
        <v>102</v>
      </c>
      <c r="AS97" s="4" t="s">
        <v>102</v>
      </c>
      <c r="AT97" s="4" t="s">
        <v>102</v>
      </c>
      <c r="AU97" s="4" t="s">
        <v>102</v>
      </c>
      <c r="AV97" s="4" t="s">
        <v>102</v>
      </c>
      <c r="AW97" s="4" t="s">
        <v>102</v>
      </c>
      <c r="AX97" s="4" t="s">
        <v>102</v>
      </c>
      <c r="AY97" s="4" t="s">
        <v>102</v>
      </c>
      <c r="AZ97" s="4" t="s">
        <v>102</v>
      </c>
      <c r="BA97" s="4" t="s">
        <v>102</v>
      </c>
      <c r="BB97" s="4" t="s">
        <v>102</v>
      </c>
      <c r="BC97" s="4" t="s">
        <v>102</v>
      </c>
      <c r="BD97" s="4" t="s">
        <v>102</v>
      </c>
      <c r="BE97" s="4" t="s">
        <v>102</v>
      </c>
      <c r="BF97" s="4" t="s">
        <v>102</v>
      </c>
      <c r="BG97" s="4" t="s">
        <v>102</v>
      </c>
      <c r="BH97" s="4" t="s">
        <v>102</v>
      </c>
      <c r="BI97" s="4" t="s">
        <v>102</v>
      </c>
      <c r="BJ97" s="4" t="s">
        <v>102</v>
      </c>
      <c r="BK97" s="4" t="s">
        <v>102</v>
      </c>
      <c r="BL97" s="4" t="s">
        <v>102</v>
      </c>
      <c r="BM97" s="4" t="s">
        <v>102</v>
      </c>
      <c r="BN97" s="4" t="s">
        <v>102</v>
      </c>
      <c r="BO97" s="4" t="s">
        <v>102</v>
      </c>
      <c r="BP97" s="4" t="s">
        <v>102</v>
      </c>
      <c r="BQ97" s="4" t="s">
        <v>102</v>
      </c>
      <c r="BR97" s="4" t="s">
        <v>102</v>
      </c>
      <c r="BS97" s="4" t="s">
        <v>102</v>
      </c>
      <c r="BT97" s="4" t="s">
        <v>102</v>
      </c>
      <c r="BU97" s="4" t="s">
        <v>102</v>
      </c>
      <c r="BV97" s="4" t="s">
        <v>102</v>
      </c>
      <c r="BW97" s="4" t="s">
        <v>102</v>
      </c>
      <c r="BX97" s="4" t="s">
        <v>102</v>
      </c>
      <c r="BY97" s="4" t="s">
        <v>102</v>
      </c>
      <c r="BZ97" s="4" t="s">
        <v>102</v>
      </c>
      <c r="CA97" s="4" t="s">
        <v>102</v>
      </c>
      <c r="CB97" s="4" t="s">
        <v>102</v>
      </c>
      <c r="CC97" s="4" t="s">
        <v>102</v>
      </c>
      <c r="CD97" s="4" t="s">
        <v>102</v>
      </c>
      <c r="CE97" s="4" t="s">
        <v>102</v>
      </c>
      <c r="CF97" s="4" t="s">
        <v>102</v>
      </c>
      <c r="CG97" s="4" t="s">
        <v>102</v>
      </c>
      <c r="CH97" s="4" t="s">
        <v>102</v>
      </c>
      <c r="CI97" s="4" t="s">
        <v>102</v>
      </c>
      <c r="CJ97" s="4" t="s">
        <v>102</v>
      </c>
      <c r="CK97" s="4" t="s">
        <v>102</v>
      </c>
      <c r="CL97" s="4" t="s">
        <v>102</v>
      </c>
      <c r="CM97" s="4" t="s">
        <v>102</v>
      </c>
    </row>
    <row r="98" spans="1:91" x14ac:dyDescent="0.35">
      <c r="A98" s="3" t="s">
        <v>114</v>
      </c>
      <c r="B98" s="5" t="s">
        <v>102</v>
      </c>
      <c r="C98" s="5" t="s">
        <v>102</v>
      </c>
      <c r="D98" s="5" t="s">
        <v>102</v>
      </c>
      <c r="E98" s="5" t="s">
        <v>102</v>
      </c>
      <c r="F98" s="5" t="s">
        <v>102</v>
      </c>
      <c r="G98" s="5" t="s">
        <v>102</v>
      </c>
      <c r="H98" s="5" t="s">
        <v>102</v>
      </c>
      <c r="I98" s="5" t="s">
        <v>102</v>
      </c>
      <c r="J98" s="5" t="s">
        <v>102</v>
      </c>
      <c r="K98" s="5" t="s">
        <v>102</v>
      </c>
      <c r="L98" s="4" t="s">
        <v>102</v>
      </c>
      <c r="M98" s="4" t="s">
        <v>102</v>
      </c>
      <c r="N98" s="15"/>
      <c r="O98" s="15"/>
      <c r="P98" s="18"/>
      <c r="Q98" s="18"/>
      <c r="R98" s="21"/>
      <c r="S98" s="21"/>
      <c r="T98" s="24"/>
      <c r="U98" s="74"/>
      <c r="V98" s="5" t="s">
        <v>102</v>
      </c>
      <c r="W98" s="5" t="s">
        <v>102</v>
      </c>
      <c r="X98" s="5" t="s">
        <v>102</v>
      </c>
      <c r="Y98" s="5" t="s">
        <v>102</v>
      </c>
      <c r="Z98" s="5" t="s">
        <v>102</v>
      </c>
      <c r="AA98" s="5" t="s">
        <v>102</v>
      </c>
      <c r="AB98" s="5" t="s">
        <v>102</v>
      </c>
      <c r="AC98" s="5" t="s">
        <v>102</v>
      </c>
      <c r="AD98" s="5" t="s">
        <v>102</v>
      </c>
      <c r="AE98" s="5" t="s">
        <v>102</v>
      </c>
      <c r="AF98" s="5" t="s">
        <v>102</v>
      </c>
      <c r="AG98" s="4" t="s">
        <v>102</v>
      </c>
      <c r="AH98" s="125" t="s">
        <v>102</v>
      </c>
      <c r="AI98" s="29"/>
      <c r="AJ98" s="5" t="s">
        <v>102</v>
      </c>
      <c r="AK98" s="5" t="s">
        <v>102</v>
      </c>
      <c r="AL98" s="5" t="s">
        <v>102</v>
      </c>
      <c r="AM98" s="5" t="s">
        <v>102</v>
      </c>
      <c r="AN98" s="5" t="s">
        <v>102</v>
      </c>
      <c r="AO98" s="5" t="s">
        <v>102</v>
      </c>
      <c r="AP98" s="5" t="s">
        <v>102</v>
      </c>
      <c r="AQ98" s="5" t="s">
        <v>102</v>
      </c>
      <c r="AR98" s="5" t="s">
        <v>102</v>
      </c>
      <c r="AS98" s="5" t="s">
        <v>102</v>
      </c>
      <c r="AT98" s="5" t="s">
        <v>102</v>
      </c>
      <c r="AU98" s="5" t="s">
        <v>102</v>
      </c>
      <c r="AV98" s="5" t="s">
        <v>102</v>
      </c>
      <c r="AW98" s="5" t="s">
        <v>102</v>
      </c>
      <c r="AX98" s="5" t="s">
        <v>102</v>
      </c>
      <c r="AY98" s="5" t="s">
        <v>102</v>
      </c>
      <c r="AZ98" s="5" t="s">
        <v>102</v>
      </c>
      <c r="BA98" s="5" t="s">
        <v>102</v>
      </c>
      <c r="BB98" s="5" t="s">
        <v>102</v>
      </c>
      <c r="BC98" s="5" t="s">
        <v>102</v>
      </c>
      <c r="BD98" s="5" t="s">
        <v>102</v>
      </c>
      <c r="BE98" s="5" t="s">
        <v>102</v>
      </c>
      <c r="BF98" s="5" t="s">
        <v>102</v>
      </c>
      <c r="BG98" s="5" t="s">
        <v>102</v>
      </c>
      <c r="BH98" s="5" t="s">
        <v>102</v>
      </c>
      <c r="BI98" s="5" t="s">
        <v>102</v>
      </c>
      <c r="BJ98" s="5" t="s">
        <v>102</v>
      </c>
      <c r="BK98" s="5" t="s">
        <v>102</v>
      </c>
      <c r="BL98" s="5" t="s">
        <v>102</v>
      </c>
      <c r="BM98" s="5" t="s">
        <v>102</v>
      </c>
      <c r="BN98" s="5" t="s">
        <v>102</v>
      </c>
      <c r="BO98" s="5" t="s">
        <v>102</v>
      </c>
      <c r="BP98" s="5" t="s">
        <v>102</v>
      </c>
      <c r="BQ98" s="5" t="s">
        <v>102</v>
      </c>
      <c r="BR98" s="5" t="s">
        <v>102</v>
      </c>
      <c r="BS98" s="5" t="s">
        <v>102</v>
      </c>
      <c r="BT98" s="5" t="s">
        <v>102</v>
      </c>
      <c r="BU98" s="5" t="s">
        <v>102</v>
      </c>
      <c r="BV98" s="5" t="s">
        <v>102</v>
      </c>
      <c r="BW98" s="5" t="s">
        <v>102</v>
      </c>
      <c r="BX98" s="5" t="s">
        <v>102</v>
      </c>
      <c r="BY98" s="5" t="s">
        <v>102</v>
      </c>
      <c r="BZ98" s="5" t="s">
        <v>102</v>
      </c>
      <c r="CA98" s="5" t="s">
        <v>102</v>
      </c>
      <c r="CB98" s="5" t="s">
        <v>102</v>
      </c>
      <c r="CC98" s="5" t="s">
        <v>102</v>
      </c>
      <c r="CD98" s="5" t="s">
        <v>102</v>
      </c>
      <c r="CE98" s="5" t="s">
        <v>102</v>
      </c>
      <c r="CF98" s="5" t="s">
        <v>102</v>
      </c>
      <c r="CG98" s="5" t="s">
        <v>102</v>
      </c>
      <c r="CH98" s="5" t="s">
        <v>102</v>
      </c>
      <c r="CI98" s="5" t="s">
        <v>102</v>
      </c>
      <c r="CJ98" s="5" t="s">
        <v>102</v>
      </c>
      <c r="CK98" s="5" t="s">
        <v>102</v>
      </c>
      <c r="CL98" s="5" t="s">
        <v>102</v>
      </c>
      <c r="CM98" s="5" t="s">
        <v>102</v>
      </c>
    </row>
    <row r="99" spans="1:91" x14ac:dyDescent="0.35">
      <c r="A99" s="3" t="s">
        <v>115</v>
      </c>
      <c r="B99" s="4" t="s">
        <v>102</v>
      </c>
      <c r="C99" s="4" t="s">
        <v>102</v>
      </c>
      <c r="D99" s="4" t="s">
        <v>102</v>
      </c>
      <c r="E99" s="4" t="s">
        <v>102</v>
      </c>
      <c r="F99" s="4" t="s">
        <v>102</v>
      </c>
      <c r="G99" s="4" t="s">
        <v>102</v>
      </c>
      <c r="H99" s="4" t="s">
        <v>102</v>
      </c>
      <c r="I99" s="4" t="s">
        <v>102</v>
      </c>
      <c r="J99" s="4" t="s">
        <v>102</v>
      </c>
      <c r="K99" s="4" t="s">
        <v>102</v>
      </c>
      <c r="L99" s="4" t="s">
        <v>102</v>
      </c>
      <c r="M99" s="4" t="s">
        <v>102</v>
      </c>
      <c r="N99" s="15"/>
      <c r="O99" s="15"/>
      <c r="P99" s="18"/>
      <c r="Q99" s="18"/>
      <c r="R99" s="21"/>
      <c r="S99" s="21"/>
      <c r="T99" s="24"/>
      <c r="U99" s="74"/>
      <c r="V99" s="4" t="s">
        <v>102</v>
      </c>
      <c r="W99" s="4" t="s">
        <v>102</v>
      </c>
      <c r="X99" s="4" t="s">
        <v>102</v>
      </c>
      <c r="Y99" s="4" t="s">
        <v>102</v>
      </c>
      <c r="Z99" s="4" t="s">
        <v>102</v>
      </c>
      <c r="AA99" s="4" t="s">
        <v>102</v>
      </c>
      <c r="AB99" s="4" t="s">
        <v>102</v>
      </c>
      <c r="AC99" s="4" t="s">
        <v>102</v>
      </c>
      <c r="AD99" s="4" t="s">
        <v>102</v>
      </c>
      <c r="AE99" s="4" t="s">
        <v>102</v>
      </c>
      <c r="AF99" s="4" t="s">
        <v>102</v>
      </c>
      <c r="AG99" s="4" t="s">
        <v>102</v>
      </c>
      <c r="AH99" s="125" t="s">
        <v>102</v>
      </c>
      <c r="AI99" s="29"/>
      <c r="AJ99" s="4" t="s">
        <v>102</v>
      </c>
      <c r="AK99" s="4" t="s">
        <v>102</v>
      </c>
      <c r="AL99" s="4" t="s">
        <v>102</v>
      </c>
      <c r="AM99" s="4" t="s">
        <v>102</v>
      </c>
      <c r="AN99" s="4" t="s">
        <v>102</v>
      </c>
      <c r="AO99" s="4" t="s">
        <v>102</v>
      </c>
      <c r="AP99" s="4" t="s">
        <v>102</v>
      </c>
      <c r="AQ99" s="4" t="s">
        <v>102</v>
      </c>
      <c r="AR99" s="4" t="s">
        <v>102</v>
      </c>
      <c r="AS99" s="4" t="s">
        <v>102</v>
      </c>
      <c r="AT99" s="4" t="s">
        <v>102</v>
      </c>
      <c r="AU99" s="4" t="s">
        <v>102</v>
      </c>
      <c r="AV99" s="4" t="s">
        <v>102</v>
      </c>
      <c r="AW99" s="4" t="s">
        <v>102</v>
      </c>
      <c r="AX99" s="4" t="s">
        <v>102</v>
      </c>
      <c r="AY99" s="4" t="s">
        <v>102</v>
      </c>
      <c r="AZ99" s="4" t="s">
        <v>102</v>
      </c>
      <c r="BA99" s="4" t="s">
        <v>102</v>
      </c>
      <c r="BB99" s="4" t="s">
        <v>102</v>
      </c>
      <c r="BC99" s="4" t="s">
        <v>102</v>
      </c>
      <c r="BD99" s="4" t="s">
        <v>102</v>
      </c>
      <c r="BE99" s="4" t="s">
        <v>102</v>
      </c>
      <c r="BF99" s="4" t="s">
        <v>102</v>
      </c>
      <c r="BG99" s="4" t="s">
        <v>102</v>
      </c>
      <c r="BH99" s="4" t="s">
        <v>102</v>
      </c>
      <c r="BI99" s="4" t="s">
        <v>102</v>
      </c>
      <c r="BJ99" s="4" t="s">
        <v>102</v>
      </c>
      <c r="BK99" s="4" t="s">
        <v>102</v>
      </c>
      <c r="BL99" s="4" t="s">
        <v>102</v>
      </c>
      <c r="BM99" s="4" t="s">
        <v>102</v>
      </c>
      <c r="BN99" s="4" t="s">
        <v>102</v>
      </c>
      <c r="BO99" s="4" t="s">
        <v>102</v>
      </c>
      <c r="BP99" s="4" t="s">
        <v>102</v>
      </c>
      <c r="BQ99" s="4" t="s">
        <v>102</v>
      </c>
      <c r="BR99" s="4" t="s">
        <v>102</v>
      </c>
      <c r="BS99" s="4" t="s">
        <v>102</v>
      </c>
      <c r="BT99" s="4" t="s">
        <v>102</v>
      </c>
      <c r="BU99" s="4" t="s">
        <v>102</v>
      </c>
      <c r="BV99" s="4" t="s">
        <v>102</v>
      </c>
      <c r="BW99" s="4" t="s">
        <v>102</v>
      </c>
      <c r="BX99" s="4" t="s">
        <v>102</v>
      </c>
      <c r="BY99" s="4" t="s">
        <v>102</v>
      </c>
      <c r="BZ99" s="4" t="s">
        <v>102</v>
      </c>
      <c r="CA99" s="4" t="s">
        <v>102</v>
      </c>
      <c r="CB99" s="4" t="s">
        <v>102</v>
      </c>
      <c r="CC99" s="4" t="s">
        <v>102</v>
      </c>
      <c r="CD99" s="4" t="s">
        <v>102</v>
      </c>
      <c r="CE99" s="4" t="s">
        <v>102</v>
      </c>
      <c r="CF99" s="4" t="s">
        <v>102</v>
      </c>
      <c r="CG99" s="4" t="s">
        <v>102</v>
      </c>
      <c r="CH99" s="4" t="s">
        <v>102</v>
      </c>
      <c r="CI99" s="4" t="s">
        <v>102</v>
      </c>
      <c r="CJ99" s="4" t="s">
        <v>102</v>
      </c>
      <c r="CK99" s="4" t="s">
        <v>102</v>
      </c>
      <c r="CL99" s="4" t="s">
        <v>102</v>
      </c>
      <c r="CM99" s="4" t="s">
        <v>102</v>
      </c>
    </row>
    <row r="100" spans="1:91" x14ac:dyDescent="0.35">
      <c r="A100" s="3" t="s">
        <v>116</v>
      </c>
      <c r="B100" s="5" t="s">
        <v>102</v>
      </c>
      <c r="C100" s="5" t="s">
        <v>102</v>
      </c>
      <c r="D100" s="5" t="s">
        <v>102</v>
      </c>
      <c r="E100" s="5" t="s">
        <v>102</v>
      </c>
      <c r="F100" s="5" t="s">
        <v>102</v>
      </c>
      <c r="G100" s="5" t="s">
        <v>102</v>
      </c>
      <c r="H100" s="5" t="s">
        <v>102</v>
      </c>
      <c r="I100" s="5" t="s">
        <v>102</v>
      </c>
      <c r="J100" s="5" t="s">
        <v>102</v>
      </c>
      <c r="K100" s="5" t="s">
        <v>102</v>
      </c>
      <c r="L100" s="4" t="s">
        <v>102</v>
      </c>
      <c r="M100" s="4" t="s">
        <v>102</v>
      </c>
      <c r="N100" s="15"/>
      <c r="O100" s="15"/>
      <c r="P100" s="18"/>
      <c r="Q100" s="18"/>
      <c r="R100" s="21"/>
      <c r="S100" s="21"/>
      <c r="T100" s="24"/>
      <c r="U100" s="74"/>
      <c r="V100" s="5" t="s">
        <v>102</v>
      </c>
      <c r="W100" s="5" t="s">
        <v>102</v>
      </c>
      <c r="X100" s="5" t="s">
        <v>102</v>
      </c>
      <c r="Y100" s="5" t="s">
        <v>102</v>
      </c>
      <c r="Z100" s="5" t="s">
        <v>102</v>
      </c>
      <c r="AA100" s="5" t="s">
        <v>102</v>
      </c>
      <c r="AB100" s="5" t="s">
        <v>102</v>
      </c>
      <c r="AC100" s="5" t="s">
        <v>102</v>
      </c>
      <c r="AD100" s="5" t="s">
        <v>102</v>
      </c>
      <c r="AE100" s="5" t="s">
        <v>102</v>
      </c>
      <c r="AF100" s="5" t="s">
        <v>102</v>
      </c>
      <c r="AG100" s="4" t="s">
        <v>102</v>
      </c>
      <c r="AH100" s="125" t="s">
        <v>102</v>
      </c>
      <c r="AI100" s="29"/>
      <c r="AJ100" s="5" t="s">
        <v>102</v>
      </c>
      <c r="AK100" s="5" t="s">
        <v>102</v>
      </c>
      <c r="AL100" s="5" t="s">
        <v>102</v>
      </c>
      <c r="AM100" s="5" t="s">
        <v>102</v>
      </c>
      <c r="AN100" s="5" t="s">
        <v>102</v>
      </c>
      <c r="AO100" s="5" t="s">
        <v>102</v>
      </c>
      <c r="AP100" s="5" t="s">
        <v>102</v>
      </c>
      <c r="AQ100" s="5" t="s">
        <v>102</v>
      </c>
      <c r="AR100" s="5" t="s">
        <v>102</v>
      </c>
      <c r="AS100" s="5" t="s">
        <v>102</v>
      </c>
      <c r="AT100" s="5" t="s">
        <v>102</v>
      </c>
      <c r="AU100" s="5" t="s">
        <v>102</v>
      </c>
      <c r="AV100" s="5" t="s">
        <v>102</v>
      </c>
      <c r="AW100" s="5" t="s">
        <v>102</v>
      </c>
      <c r="AX100" s="5" t="s">
        <v>102</v>
      </c>
      <c r="AY100" s="5" t="s">
        <v>102</v>
      </c>
      <c r="AZ100" s="5" t="s">
        <v>102</v>
      </c>
      <c r="BA100" s="5" t="s">
        <v>102</v>
      </c>
      <c r="BB100" s="5" t="s">
        <v>102</v>
      </c>
      <c r="BC100" s="5" t="s">
        <v>102</v>
      </c>
      <c r="BD100" s="5" t="s">
        <v>102</v>
      </c>
      <c r="BE100" s="5" t="s">
        <v>102</v>
      </c>
      <c r="BF100" s="5" t="s">
        <v>102</v>
      </c>
      <c r="BG100" s="5" t="s">
        <v>102</v>
      </c>
      <c r="BH100" s="5" t="s">
        <v>102</v>
      </c>
      <c r="BI100" s="5" t="s">
        <v>102</v>
      </c>
      <c r="BJ100" s="5" t="s">
        <v>102</v>
      </c>
      <c r="BK100" s="5" t="s">
        <v>102</v>
      </c>
      <c r="BL100" s="5" t="s">
        <v>102</v>
      </c>
      <c r="BM100" s="5" t="s">
        <v>102</v>
      </c>
      <c r="BN100" s="5" t="s">
        <v>102</v>
      </c>
      <c r="BO100" s="5" t="s">
        <v>102</v>
      </c>
      <c r="BP100" s="5" t="s">
        <v>102</v>
      </c>
      <c r="BQ100" s="5" t="s">
        <v>102</v>
      </c>
      <c r="BR100" s="5" t="s">
        <v>102</v>
      </c>
      <c r="BS100" s="5" t="s">
        <v>102</v>
      </c>
      <c r="BT100" s="5" t="s">
        <v>102</v>
      </c>
      <c r="BU100" s="5" t="s">
        <v>102</v>
      </c>
      <c r="BV100" s="5" t="s">
        <v>102</v>
      </c>
      <c r="BW100" s="5" t="s">
        <v>102</v>
      </c>
      <c r="BX100" s="5" t="s">
        <v>102</v>
      </c>
      <c r="BY100" s="5" t="s">
        <v>102</v>
      </c>
      <c r="BZ100" s="5" t="s">
        <v>102</v>
      </c>
      <c r="CA100" s="5" t="s">
        <v>102</v>
      </c>
      <c r="CB100" s="5" t="s">
        <v>102</v>
      </c>
      <c r="CC100" s="5" t="s">
        <v>102</v>
      </c>
      <c r="CD100" s="5" t="s">
        <v>102</v>
      </c>
      <c r="CE100" s="5" t="s">
        <v>102</v>
      </c>
      <c r="CF100" s="5" t="s">
        <v>102</v>
      </c>
      <c r="CG100" s="5" t="s">
        <v>102</v>
      </c>
      <c r="CH100" s="5" t="s">
        <v>102</v>
      </c>
      <c r="CI100" s="5" t="s">
        <v>102</v>
      </c>
      <c r="CJ100" s="5" t="s">
        <v>102</v>
      </c>
      <c r="CK100" s="5" t="s">
        <v>102</v>
      </c>
      <c r="CL100" s="5" t="s">
        <v>102</v>
      </c>
      <c r="CM100" s="5" t="s">
        <v>102</v>
      </c>
    </row>
    <row r="101" spans="1:91" x14ac:dyDescent="0.35">
      <c r="A101" s="3" t="s">
        <v>117</v>
      </c>
      <c r="B101" s="4" t="s">
        <v>102</v>
      </c>
      <c r="C101" s="4" t="s">
        <v>102</v>
      </c>
      <c r="D101" s="4" t="s">
        <v>102</v>
      </c>
      <c r="E101" s="4" t="s">
        <v>102</v>
      </c>
      <c r="F101" s="4" t="s">
        <v>102</v>
      </c>
      <c r="G101" s="4" t="s">
        <v>102</v>
      </c>
      <c r="H101" s="4" t="s">
        <v>102</v>
      </c>
      <c r="I101" s="4" t="s">
        <v>102</v>
      </c>
      <c r="J101" s="4" t="s">
        <v>102</v>
      </c>
      <c r="K101" s="4" t="s">
        <v>102</v>
      </c>
      <c r="L101" s="4" t="s">
        <v>102</v>
      </c>
      <c r="M101" s="4" t="s">
        <v>102</v>
      </c>
      <c r="N101" s="15"/>
      <c r="O101" s="15"/>
      <c r="P101" s="18"/>
      <c r="Q101" s="18"/>
      <c r="R101" s="21"/>
      <c r="S101" s="21"/>
      <c r="T101" s="24"/>
      <c r="U101" s="74"/>
      <c r="V101" s="4" t="s">
        <v>102</v>
      </c>
      <c r="W101" s="4" t="s">
        <v>102</v>
      </c>
      <c r="X101" s="4" t="s">
        <v>102</v>
      </c>
      <c r="Y101" s="4" t="s">
        <v>102</v>
      </c>
      <c r="Z101" s="4" t="s">
        <v>102</v>
      </c>
      <c r="AA101" s="4" t="s">
        <v>102</v>
      </c>
      <c r="AB101" s="4" t="s">
        <v>102</v>
      </c>
      <c r="AC101" s="4" t="s">
        <v>102</v>
      </c>
      <c r="AD101" s="4" t="s">
        <v>102</v>
      </c>
      <c r="AE101" s="4" t="s">
        <v>102</v>
      </c>
      <c r="AF101" s="4" t="s">
        <v>102</v>
      </c>
      <c r="AG101" s="4" t="s">
        <v>102</v>
      </c>
      <c r="AH101" s="125" t="s">
        <v>102</v>
      </c>
      <c r="AI101" s="29"/>
      <c r="AJ101" s="4" t="s">
        <v>102</v>
      </c>
      <c r="AK101" s="4" t="s">
        <v>102</v>
      </c>
      <c r="AL101" s="4" t="s">
        <v>102</v>
      </c>
      <c r="AM101" s="4" t="s">
        <v>102</v>
      </c>
      <c r="AN101" s="4" t="s">
        <v>102</v>
      </c>
      <c r="AO101" s="4" t="s">
        <v>102</v>
      </c>
      <c r="AP101" s="4" t="s">
        <v>102</v>
      </c>
      <c r="AQ101" s="4" t="s">
        <v>102</v>
      </c>
      <c r="AR101" s="4" t="s">
        <v>102</v>
      </c>
      <c r="AS101" s="4" t="s">
        <v>102</v>
      </c>
      <c r="AT101" s="4" t="s">
        <v>102</v>
      </c>
      <c r="AU101" s="4" t="s">
        <v>102</v>
      </c>
      <c r="AV101" s="4" t="s">
        <v>102</v>
      </c>
      <c r="AW101" s="4" t="s">
        <v>102</v>
      </c>
      <c r="AX101" s="4" t="s">
        <v>102</v>
      </c>
      <c r="AY101" s="4" t="s">
        <v>102</v>
      </c>
      <c r="AZ101" s="4" t="s">
        <v>102</v>
      </c>
      <c r="BA101" s="4" t="s">
        <v>102</v>
      </c>
      <c r="BB101" s="4" t="s">
        <v>102</v>
      </c>
      <c r="BC101" s="4" t="s">
        <v>102</v>
      </c>
      <c r="BD101" s="4" t="s">
        <v>102</v>
      </c>
      <c r="BE101" s="4" t="s">
        <v>102</v>
      </c>
      <c r="BF101" s="4" t="s">
        <v>102</v>
      </c>
      <c r="BG101" s="4" t="s">
        <v>102</v>
      </c>
      <c r="BH101" s="4" t="s">
        <v>102</v>
      </c>
      <c r="BI101" s="4" t="s">
        <v>102</v>
      </c>
      <c r="BJ101" s="4" t="s">
        <v>102</v>
      </c>
      <c r="BK101" s="4" t="s">
        <v>102</v>
      </c>
      <c r="BL101" s="4" t="s">
        <v>102</v>
      </c>
      <c r="BM101" s="4" t="s">
        <v>102</v>
      </c>
      <c r="BN101" s="4" t="s">
        <v>102</v>
      </c>
      <c r="BO101" s="4" t="s">
        <v>102</v>
      </c>
      <c r="BP101" s="4" t="s">
        <v>102</v>
      </c>
      <c r="BQ101" s="4" t="s">
        <v>102</v>
      </c>
      <c r="BR101" s="4" t="s">
        <v>102</v>
      </c>
      <c r="BS101" s="4" t="s">
        <v>102</v>
      </c>
      <c r="BT101" s="4" t="s">
        <v>102</v>
      </c>
      <c r="BU101" s="4" t="s">
        <v>102</v>
      </c>
      <c r="BV101" s="4" t="s">
        <v>102</v>
      </c>
      <c r="BW101" s="4" t="s">
        <v>102</v>
      </c>
      <c r="BX101" s="4" t="s">
        <v>102</v>
      </c>
      <c r="BY101" s="4" t="s">
        <v>102</v>
      </c>
      <c r="BZ101" s="4" t="s">
        <v>102</v>
      </c>
      <c r="CA101" s="4" t="s">
        <v>102</v>
      </c>
      <c r="CB101" s="4" t="s">
        <v>102</v>
      </c>
      <c r="CC101" s="4" t="s">
        <v>102</v>
      </c>
      <c r="CD101" s="4" t="s">
        <v>102</v>
      </c>
      <c r="CE101" s="4" t="s">
        <v>102</v>
      </c>
      <c r="CF101" s="4" t="s">
        <v>102</v>
      </c>
      <c r="CG101" s="4" t="s">
        <v>102</v>
      </c>
      <c r="CH101" s="4" t="s">
        <v>102</v>
      </c>
      <c r="CI101" s="4" t="s">
        <v>102</v>
      </c>
      <c r="CJ101" s="4" t="s">
        <v>102</v>
      </c>
      <c r="CK101" s="4" t="s">
        <v>102</v>
      </c>
      <c r="CL101" s="4" t="s">
        <v>102</v>
      </c>
      <c r="CM101" s="4" t="s">
        <v>102</v>
      </c>
    </row>
    <row r="102" spans="1:91" x14ac:dyDescent="0.35">
      <c r="A102" s="3" t="s">
        <v>118</v>
      </c>
      <c r="B102" s="5" t="s">
        <v>102</v>
      </c>
      <c r="C102" s="5" t="s">
        <v>102</v>
      </c>
      <c r="D102" s="5" t="s">
        <v>102</v>
      </c>
      <c r="E102" s="5" t="s">
        <v>102</v>
      </c>
      <c r="F102" s="5" t="s">
        <v>102</v>
      </c>
      <c r="G102" s="5" t="s">
        <v>102</v>
      </c>
      <c r="H102" s="5" t="s">
        <v>102</v>
      </c>
      <c r="I102" s="5" t="s">
        <v>102</v>
      </c>
      <c r="J102" s="5" t="s">
        <v>102</v>
      </c>
      <c r="K102" s="5" t="s">
        <v>102</v>
      </c>
      <c r="L102" s="4" t="s">
        <v>102</v>
      </c>
      <c r="M102" s="4" t="s">
        <v>102</v>
      </c>
      <c r="N102" s="15"/>
      <c r="O102" s="15"/>
      <c r="P102" s="18"/>
      <c r="Q102" s="18"/>
      <c r="R102" s="21"/>
      <c r="S102" s="21"/>
      <c r="T102" s="24"/>
      <c r="U102" s="74"/>
      <c r="V102" s="5" t="s">
        <v>102</v>
      </c>
      <c r="W102" s="5" t="s">
        <v>102</v>
      </c>
      <c r="X102" s="5" t="s">
        <v>102</v>
      </c>
      <c r="Y102" s="5" t="s">
        <v>102</v>
      </c>
      <c r="Z102" s="5" t="s">
        <v>102</v>
      </c>
      <c r="AA102" s="5" t="s">
        <v>102</v>
      </c>
      <c r="AB102" s="5" t="s">
        <v>102</v>
      </c>
      <c r="AC102" s="5" t="s">
        <v>102</v>
      </c>
      <c r="AD102" s="5" t="s">
        <v>102</v>
      </c>
      <c r="AE102" s="5" t="s">
        <v>102</v>
      </c>
      <c r="AF102" s="5" t="s">
        <v>102</v>
      </c>
      <c r="AG102" s="4" t="s">
        <v>102</v>
      </c>
      <c r="AH102" s="125" t="s">
        <v>102</v>
      </c>
      <c r="AI102" s="29"/>
      <c r="AJ102" s="5" t="s">
        <v>102</v>
      </c>
      <c r="AK102" s="5" t="s">
        <v>102</v>
      </c>
      <c r="AL102" s="5" t="s">
        <v>102</v>
      </c>
      <c r="AM102" s="5" t="s">
        <v>102</v>
      </c>
      <c r="AN102" s="5" t="s">
        <v>102</v>
      </c>
      <c r="AO102" s="5" t="s">
        <v>102</v>
      </c>
      <c r="AP102" s="5" t="s">
        <v>102</v>
      </c>
      <c r="AQ102" s="5" t="s">
        <v>102</v>
      </c>
      <c r="AR102" s="5" t="s">
        <v>102</v>
      </c>
      <c r="AS102" s="5" t="s">
        <v>102</v>
      </c>
      <c r="AT102" s="5" t="s">
        <v>102</v>
      </c>
      <c r="AU102" s="5" t="s">
        <v>102</v>
      </c>
      <c r="AV102" s="5" t="s">
        <v>102</v>
      </c>
      <c r="AW102" s="5" t="s">
        <v>102</v>
      </c>
      <c r="AX102" s="5" t="s">
        <v>102</v>
      </c>
      <c r="AY102" s="5" t="s">
        <v>102</v>
      </c>
      <c r="AZ102" s="5" t="s">
        <v>102</v>
      </c>
      <c r="BA102" s="5" t="s">
        <v>102</v>
      </c>
      <c r="BB102" s="5" t="s">
        <v>102</v>
      </c>
      <c r="BC102" s="5" t="s">
        <v>102</v>
      </c>
      <c r="BD102" s="5" t="s">
        <v>102</v>
      </c>
      <c r="BE102" s="5" t="s">
        <v>102</v>
      </c>
      <c r="BF102" s="5" t="s">
        <v>102</v>
      </c>
      <c r="BG102" s="5" t="s">
        <v>102</v>
      </c>
      <c r="BH102" s="5" t="s">
        <v>102</v>
      </c>
      <c r="BI102" s="5" t="s">
        <v>102</v>
      </c>
      <c r="BJ102" s="5" t="s">
        <v>102</v>
      </c>
      <c r="BK102" s="5" t="s">
        <v>102</v>
      </c>
      <c r="BL102" s="5" t="s">
        <v>102</v>
      </c>
      <c r="BM102" s="5" t="s">
        <v>102</v>
      </c>
      <c r="BN102" s="5" t="s">
        <v>102</v>
      </c>
      <c r="BO102" s="5" t="s">
        <v>102</v>
      </c>
      <c r="BP102" s="5" t="s">
        <v>102</v>
      </c>
      <c r="BQ102" s="5" t="s">
        <v>102</v>
      </c>
      <c r="BR102" s="5" t="s">
        <v>102</v>
      </c>
      <c r="BS102" s="5" t="s">
        <v>102</v>
      </c>
      <c r="BT102" s="5" t="s">
        <v>102</v>
      </c>
      <c r="BU102" s="5" t="s">
        <v>102</v>
      </c>
      <c r="BV102" s="5" t="s">
        <v>102</v>
      </c>
      <c r="BW102" s="5" t="s">
        <v>102</v>
      </c>
      <c r="BX102" s="5" t="s">
        <v>102</v>
      </c>
      <c r="BY102" s="5" t="s">
        <v>102</v>
      </c>
      <c r="BZ102" s="5" t="s">
        <v>102</v>
      </c>
      <c r="CA102" s="5" t="s">
        <v>102</v>
      </c>
      <c r="CB102" s="5" t="s">
        <v>102</v>
      </c>
      <c r="CC102" s="5" t="s">
        <v>102</v>
      </c>
      <c r="CD102" s="5" t="s">
        <v>102</v>
      </c>
      <c r="CE102" s="5" t="s">
        <v>102</v>
      </c>
      <c r="CF102" s="5" t="s">
        <v>102</v>
      </c>
      <c r="CG102" s="5" t="s">
        <v>102</v>
      </c>
      <c r="CH102" s="5" t="s">
        <v>102</v>
      </c>
      <c r="CI102" s="5" t="s">
        <v>102</v>
      </c>
      <c r="CJ102" s="5" t="s">
        <v>102</v>
      </c>
      <c r="CK102" s="5" t="s">
        <v>102</v>
      </c>
      <c r="CL102" s="5" t="s">
        <v>102</v>
      </c>
      <c r="CM102" s="5" t="s">
        <v>102</v>
      </c>
    </row>
    <row r="103" spans="1:91" x14ac:dyDescent="0.35">
      <c r="A103" s="3" t="s">
        <v>119</v>
      </c>
      <c r="B103" s="10">
        <v>2309989.5099999998</v>
      </c>
      <c r="C103" s="10">
        <v>23574.55</v>
      </c>
      <c r="D103" s="10">
        <v>1610.41</v>
      </c>
      <c r="E103" s="10">
        <v>1167.95</v>
      </c>
      <c r="F103" s="10">
        <v>5682.15</v>
      </c>
      <c r="G103" s="10">
        <v>108017.92</v>
      </c>
      <c r="H103" s="10">
        <v>25604.18</v>
      </c>
      <c r="I103" s="10">
        <v>10973.38</v>
      </c>
      <c r="J103" s="10">
        <v>18860.28</v>
      </c>
      <c r="K103" s="10">
        <v>4511.5200000000004</v>
      </c>
      <c r="L103" s="10">
        <v>279251.15999999997</v>
      </c>
      <c r="M103" s="11">
        <v>98620.810080666619</v>
      </c>
      <c r="N103" s="15">
        <v>1087.2770372694915</v>
      </c>
      <c r="O103" s="15">
        <v>1209.7228820638818</v>
      </c>
      <c r="P103" s="18">
        <v>0</v>
      </c>
      <c r="Q103" s="18">
        <v>0</v>
      </c>
      <c r="R103" s="21">
        <v>0</v>
      </c>
      <c r="S103" s="21">
        <v>0</v>
      </c>
      <c r="T103" s="24">
        <v>0</v>
      </c>
      <c r="U103" s="74">
        <v>0</v>
      </c>
      <c r="V103" s="10">
        <v>51003.06</v>
      </c>
      <c r="W103" s="10">
        <v>39303.17</v>
      </c>
      <c r="X103" s="10">
        <v>21323.24</v>
      </c>
      <c r="Y103" s="10">
        <v>82285.850000000006</v>
      </c>
      <c r="Z103" s="10">
        <v>45403.5</v>
      </c>
      <c r="AA103" s="10">
        <v>54156.53</v>
      </c>
      <c r="AB103" s="10">
        <v>46944.27</v>
      </c>
      <c r="AC103" s="10">
        <v>62064.2</v>
      </c>
      <c r="AD103" s="10">
        <v>92421.33</v>
      </c>
      <c r="AE103" s="10">
        <v>40764.1</v>
      </c>
      <c r="AF103" s="10">
        <v>26601.05</v>
      </c>
      <c r="AG103" s="10">
        <v>27047.85</v>
      </c>
      <c r="AH103" s="71">
        <v>104284.04</v>
      </c>
      <c r="AI103" s="29">
        <v>0</v>
      </c>
      <c r="AJ103" s="10">
        <v>2277.29</v>
      </c>
      <c r="AK103" s="10">
        <v>13866.6</v>
      </c>
      <c r="AL103" s="10">
        <v>106317.12</v>
      </c>
      <c r="AM103" s="10">
        <v>19294.740000000002</v>
      </c>
      <c r="AN103" s="10">
        <v>108816.82</v>
      </c>
      <c r="AO103" s="10">
        <v>35387.230000000003</v>
      </c>
      <c r="AP103" s="10">
        <v>31108.97</v>
      </c>
      <c r="AQ103" s="10">
        <v>43969.75</v>
      </c>
      <c r="AR103" s="10">
        <v>22083.74</v>
      </c>
      <c r="AS103" s="10">
        <v>29703.24</v>
      </c>
      <c r="AT103" s="10">
        <v>6980.07</v>
      </c>
      <c r="AU103" s="10">
        <v>26729.83</v>
      </c>
      <c r="AV103" s="10">
        <v>32604.37</v>
      </c>
      <c r="AW103" s="10">
        <v>11255.04</v>
      </c>
      <c r="AX103" s="10">
        <v>18373.599999999999</v>
      </c>
      <c r="AY103" s="10">
        <v>110991.78</v>
      </c>
      <c r="AZ103" s="10">
        <v>48952.42</v>
      </c>
      <c r="BA103" s="10">
        <v>28579.65</v>
      </c>
      <c r="BB103" s="10">
        <v>22000.59</v>
      </c>
      <c r="BC103" s="10">
        <v>19198.82</v>
      </c>
      <c r="BD103" s="10">
        <v>48393.95</v>
      </c>
      <c r="BE103" s="10">
        <v>16355.74</v>
      </c>
      <c r="BF103" s="10">
        <v>26081.71</v>
      </c>
      <c r="BG103" s="10">
        <v>11318.65</v>
      </c>
      <c r="BH103" s="10">
        <v>8630.74</v>
      </c>
      <c r="BI103" s="10">
        <v>28651.27</v>
      </c>
      <c r="BJ103" s="10">
        <v>5527.09</v>
      </c>
      <c r="BK103" s="10">
        <v>9990.73</v>
      </c>
      <c r="BL103" s="10">
        <v>24845.4</v>
      </c>
      <c r="BM103" s="10">
        <v>24995.95</v>
      </c>
      <c r="BN103" s="10">
        <v>9701.32</v>
      </c>
      <c r="BO103" s="10">
        <v>47483.33</v>
      </c>
      <c r="BP103" s="10">
        <v>10754.93</v>
      </c>
      <c r="BQ103" s="10">
        <v>8468.56</v>
      </c>
      <c r="BR103" s="10">
        <v>4527.24</v>
      </c>
      <c r="BS103" s="10">
        <v>4413.0600000000004</v>
      </c>
      <c r="BT103" s="10">
        <v>2726.67</v>
      </c>
      <c r="BU103" s="10">
        <v>4783.03</v>
      </c>
      <c r="BV103" s="10">
        <v>75.010000000000005</v>
      </c>
      <c r="BW103" s="4">
        <v>0</v>
      </c>
      <c r="BX103" s="10">
        <v>520129.82</v>
      </c>
      <c r="BY103" s="10">
        <v>37113.949999999997</v>
      </c>
      <c r="BZ103" s="10">
        <v>482500.83</v>
      </c>
      <c r="CA103" s="10">
        <v>515.04999999999995</v>
      </c>
      <c r="CB103" s="10">
        <v>316500.83</v>
      </c>
      <c r="CC103" s="10">
        <v>48710.29</v>
      </c>
      <c r="CD103" s="4" t="s">
        <v>102</v>
      </c>
      <c r="CE103" s="4" t="s">
        <v>102</v>
      </c>
      <c r="CF103" s="4">
        <v>0</v>
      </c>
      <c r="CG103" s="4" t="s">
        <v>102</v>
      </c>
      <c r="CH103" s="4" t="s">
        <v>102</v>
      </c>
      <c r="CI103" s="10">
        <v>267790.55</v>
      </c>
      <c r="CJ103" s="4" t="s">
        <v>102</v>
      </c>
      <c r="CK103" s="4" t="s">
        <v>102</v>
      </c>
      <c r="CL103" s="10">
        <v>3146620.16</v>
      </c>
      <c r="CM103" s="10">
        <v>836630.66</v>
      </c>
    </row>
    <row r="104" spans="1:91" x14ac:dyDescent="0.35">
      <c r="A104" s="3" t="s">
        <v>120</v>
      </c>
      <c r="B104" s="5" t="s">
        <v>102</v>
      </c>
      <c r="C104" s="11">
        <v>525938.80000000005</v>
      </c>
      <c r="D104" s="11">
        <v>64157.9</v>
      </c>
      <c r="E104" s="11">
        <v>14413.3</v>
      </c>
      <c r="F104" s="11">
        <v>104214.3</v>
      </c>
      <c r="G104" s="11">
        <v>1361365.54</v>
      </c>
      <c r="H104" s="11">
        <v>229401.5</v>
      </c>
      <c r="I104" s="11">
        <v>167404.75</v>
      </c>
      <c r="J104" s="11">
        <v>216741.15</v>
      </c>
      <c r="K104" s="11">
        <v>60993.85</v>
      </c>
      <c r="L104" s="11">
        <v>517357.78</v>
      </c>
      <c r="M104" s="11">
        <v>621875.07999999996</v>
      </c>
      <c r="N104" s="15"/>
      <c r="O104" s="15"/>
      <c r="P104" s="18"/>
      <c r="Q104" s="18"/>
      <c r="R104" s="21"/>
      <c r="S104" s="21"/>
      <c r="T104" s="24"/>
      <c r="U104" s="74"/>
      <c r="V104" s="11">
        <v>336228.83</v>
      </c>
      <c r="W104" s="11">
        <v>348873.88</v>
      </c>
      <c r="X104" s="11">
        <v>251871.08</v>
      </c>
      <c r="Y104" s="11">
        <v>498854.44</v>
      </c>
      <c r="Z104" s="11">
        <v>599848.14</v>
      </c>
      <c r="AA104" s="11">
        <v>358846.32</v>
      </c>
      <c r="AB104" s="11">
        <v>367571.73</v>
      </c>
      <c r="AC104" s="11">
        <v>716442.73</v>
      </c>
      <c r="AD104" s="11">
        <v>949794.12</v>
      </c>
      <c r="AE104" s="11">
        <v>255710.35</v>
      </c>
      <c r="AF104" s="11">
        <v>275411.15999999997</v>
      </c>
      <c r="AG104" s="11">
        <v>339119.74</v>
      </c>
      <c r="AH104" s="71">
        <v>1055512.78</v>
      </c>
      <c r="AI104" s="29"/>
      <c r="AJ104" s="11">
        <v>68244.12</v>
      </c>
      <c r="AK104" s="11">
        <v>332115.67</v>
      </c>
      <c r="AL104" s="11">
        <v>2446099.29</v>
      </c>
      <c r="AM104" s="11">
        <v>409392.89</v>
      </c>
      <c r="AN104" s="11">
        <v>1779584.2</v>
      </c>
      <c r="AO104" s="11">
        <v>1110373.51</v>
      </c>
      <c r="AP104" s="11">
        <v>796327.49</v>
      </c>
      <c r="AQ104" s="11">
        <v>228663.6</v>
      </c>
      <c r="AR104" s="11">
        <v>155432.32999999999</v>
      </c>
      <c r="AS104" s="11">
        <v>708618.86</v>
      </c>
      <c r="AT104" s="11">
        <v>150023.24</v>
      </c>
      <c r="AU104" s="11">
        <v>911838.13</v>
      </c>
      <c r="AV104" s="11">
        <v>244775.95</v>
      </c>
      <c r="AW104" s="11">
        <v>156848.37</v>
      </c>
      <c r="AX104" s="11">
        <v>336190.82</v>
      </c>
      <c r="AY104" s="11">
        <v>1106942.73</v>
      </c>
      <c r="AZ104" s="11">
        <v>765990.58</v>
      </c>
      <c r="BA104" s="11">
        <v>392180.56</v>
      </c>
      <c r="BB104" s="11">
        <v>345609.68</v>
      </c>
      <c r="BC104" s="11">
        <v>2200099.9900000002</v>
      </c>
      <c r="BD104" s="11">
        <v>1113220.55</v>
      </c>
      <c r="BE104" s="11">
        <v>466497.17</v>
      </c>
      <c r="BF104" s="11">
        <v>446096.66</v>
      </c>
      <c r="BG104" s="11">
        <v>204472.48</v>
      </c>
      <c r="BH104" s="11">
        <v>178213.86</v>
      </c>
      <c r="BI104" s="11">
        <v>548412.97</v>
      </c>
      <c r="BJ104" s="11">
        <v>246705.1</v>
      </c>
      <c r="BK104" s="11">
        <v>128296.19</v>
      </c>
      <c r="BL104" s="11">
        <v>669364.03</v>
      </c>
      <c r="BM104" s="11">
        <v>1322073.73</v>
      </c>
      <c r="BN104" s="11">
        <v>903706.36</v>
      </c>
      <c r="BO104" s="11">
        <v>1237943.25</v>
      </c>
      <c r="BP104" s="11">
        <v>540284.71</v>
      </c>
      <c r="BQ104" s="11">
        <v>224635.63</v>
      </c>
      <c r="BR104" s="11">
        <v>166309.94</v>
      </c>
      <c r="BS104" s="11">
        <v>150715.85999999999</v>
      </c>
      <c r="BT104" s="11">
        <v>45185.21</v>
      </c>
      <c r="BU104" s="11">
        <v>190743.59</v>
      </c>
      <c r="BV104" s="11">
        <v>48364.04</v>
      </c>
      <c r="BW104" s="5">
        <v>0</v>
      </c>
      <c r="BX104" s="5" t="s">
        <v>102</v>
      </c>
      <c r="BY104" s="5" t="s">
        <v>102</v>
      </c>
      <c r="BZ104" s="5" t="s">
        <v>102</v>
      </c>
      <c r="CA104" s="5" t="s">
        <v>102</v>
      </c>
      <c r="CB104" s="5" t="s">
        <v>102</v>
      </c>
      <c r="CC104" s="5" t="s">
        <v>102</v>
      </c>
      <c r="CD104" s="5" t="s">
        <v>102</v>
      </c>
      <c r="CE104" s="5" t="s">
        <v>102</v>
      </c>
      <c r="CF104" s="5" t="s">
        <v>102</v>
      </c>
      <c r="CG104" s="5" t="s">
        <v>102</v>
      </c>
      <c r="CH104" s="5" t="s">
        <v>102</v>
      </c>
      <c r="CI104" s="5" t="s">
        <v>102</v>
      </c>
      <c r="CJ104" s="5" t="s">
        <v>102</v>
      </c>
      <c r="CK104" s="5" t="s">
        <v>102</v>
      </c>
      <c r="CL104" s="5" t="s">
        <v>102</v>
      </c>
      <c r="CM104" s="5" t="s">
        <v>102</v>
      </c>
    </row>
    <row r="107" spans="1:91" x14ac:dyDescent="0.35">
      <c r="A107" s="2" t="s">
        <v>138</v>
      </c>
      <c r="L107" s="11"/>
      <c r="AX107" s="61"/>
    </row>
    <row r="108" spans="1:91" x14ac:dyDescent="0.35">
      <c r="M108" s="61"/>
    </row>
    <row r="111" spans="1:91" x14ac:dyDescent="0.35">
      <c r="C111" s="61"/>
    </row>
    <row r="112" spans="1:91" x14ac:dyDescent="0.35">
      <c r="L112" s="11"/>
    </row>
    <row r="114" spans="12:12" x14ac:dyDescent="0.35">
      <c r="L114" s="60"/>
    </row>
    <row r="115" spans="12:12" x14ac:dyDescent="0.35">
      <c r="L115" s="61"/>
    </row>
  </sheetData>
  <mergeCells count="1">
    <mergeCell ref="B9:CM9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107"/>
  <sheetViews>
    <sheetView zoomScale="93" zoomScaleNormal="93" workbookViewId="0">
      <pane xSplit="1" ySplit="9" topLeftCell="AB10" activePane="bottomRight" state="frozen"/>
      <selection pane="topRight"/>
      <selection pane="bottomLeft"/>
      <selection pane="bottomRight" activeCell="AE31" sqref="AE31"/>
    </sheetView>
  </sheetViews>
  <sheetFormatPr baseColWidth="10" defaultColWidth="8.7265625" defaultRowHeight="11.4" customHeight="1" x14ac:dyDescent="0.35"/>
  <cols>
    <col min="1" max="1" width="40.54296875" style="68" customWidth="1"/>
    <col min="2" max="2" width="13" style="54" customWidth="1"/>
    <col min="3" max="14" width="19.90625" style="54" customWidth="1"/>
    <col min="15" max="15" width="15.26953125" style="55" customWidth="1"/>
    <col min="16" max="16" width="12.81640625" style="55" customWidth="1"/>
    <col min="17" max="17" width="11" style="56" customWidth="1"/>
    <col min="18" max="18" width="12.6328125" style="56" customWidth="1"/>
    <col min="19" max="19" width="14.453125" style="57" customWidth="1"/>
    <col min="20" max="20" width="14.26953125" style="57" customWidth="1"/>
    <col min="21" max="21" width="15.26953125" style="58" customWidth="1"/>
    <col min="22" max="22" width="15.6328125" style="72" customWidth="1"/>
    <col min="23" max="25" width="19.90625" style="54" customWidth="1"/>
    <col min="26" max="26" width="11.90625" style="54" customWidth="1"/>
    <col min="27" max="35" width="19.90625" style="54" customWidth="1"/>
    <col min="36" max="36" width="19.90625" style="54" hidden="1" customWidth="1"/>
    <col min="37" max="37" width="16.6328125" style="59" customWidth="1"/>
    <col min="38" max="49" width="19.90625" style="54" customWidth="1"/>
    <col min="50" max="50" width="18.90625" style="54" customWidth="1"/>
    <col min="51" max="63" width="19.90625" style="54" customWidth="1"/>
    <col min="64" max="64" width="18.90625" style="54" customWidth="1"/>
    <col min="65" max="67" width="19.90625" style="54" customWidth="1"/>
    <col min="68" max="68" width="17.90625" style="54" customWidth="1"/>
    <col min="69" max="91" width="19.90625" style="54" customWidth="1"/>
    <col min="92" max="92" width="15.7265625" style="54" customWidth="1"/>
    <col min="93" max="93" width="19.453125" style="54" customWidth="1"/>
    <col min="94" max="16384" width="8.7265625" style="54"/>
  </cols>
  <sheetData>
    <row r="1" spans="1:93" ht="14.5" x14ac:dyDescent="0.35">
      <c r="A1" s="2" t="s">
        <v>19</v>
      </c>
      <c r="CB1" s="91"/>
    </row>
    <row r="2" spans="1:93" ht="14.5" x14ac:dyDescent="0.35">
      <c r="A2" s="2" t="s">
        <v>20</v>
      </c>
      <c r="B2" s="1" t="s">
        <v>0</v>
      </c>
      <c r="CB2" s="91"/>
    </row>
    <row r="3" spans="1:93" ht="14.5" x14ac:dyDescent="0.35">
      <c r="A3" s="2" t="s">
        <v>21</v>
      </c>
      <c r="B3" s="2" t="s">
        <v>6</v>
      </c>
      <c r="CB3" s="91"/>
    </row>
    <row r="4" spans="1:93" ht="14.5" x14ac:dyDescent="0.35">
      <c r="CB4" s="91"/>
    </row>
    <row r="5" spans="1:93" ht="14.5" x14ac:dyDescent="0.35">
      <c r="A5" s="1" t="s">
        <v>12</v>
      </c>
      <c r="B5" s="2" t="s">
        <v>16</v>
      </c>
      <c r="D5" s="61"/>
      <c r="CB5" s="91"/>
    </row>
    <row r="6" spans="1:93" ht="14.5" x14ac:dyDescent="0.35">
      <c r="A6" s="1" t="s">
        <v>13</v>
      </c>
      <c r="B6" s="2" t="s">
        <v>17</v>
      </c>
      <c r="AR6" s="90">
        <f>AR23+AS23</f>
        <v>15969.07806818182</v>
      </c>
      <c r="CB6" s="91"/>
    </row>
    <row r="7" spans="1:93" ht="14.5" x14ac:dyDescent="0.35">
      <c r="A7" s="1" t="s">
        <v>14</v>
      </c>
      <c r="B7" s="2" t="s">
        <v>18</v>
      </c>
      <c r="C7" s="90"/>
      <c r="D7" s="60"/>
      <c r="E7" s="61"/>
      <c r="L7" s="84"/>
      <c r="CB7" s="91"/>
    </row>
    <row r="8" spans="1:93" ht="14.5" x14ac:dyDescent="0.35">
      <c r="CB8" s="91"/>
    </row>
    <row r="9" spans="1:93" s="68" customFormat="1" ht="14.5" x14ac:dyDescent="0.35">
      <c r="A9" s="49" t="s">
        <v>22</v>
      </c>
      <c r="B9" s="49" t="s">
        <v>23</v>
      </c>
      <c r="C9" s="49" t="s">
        <v>24</v>
      </c>
      <c r="D9" s="49" t="s">
        <v>25</v>
      </c>
      <c r="E9" s="50" t="s">
        <v>26</v>
      </c>
      <c r="F9" s="50" t="s">
        <v>27</v>
      </c>
      <c r="G9" s="49" t="s">
        <v>28</v>
      </c>
      <c r="H9" s="49" t="s">
        <v>29</v>
      </c>
      <c r="I9" s="49" t="s">
        <v>30</v>
      </c>
      <c r="J9" s="49" t="s">
        <v>31</v>
      </c>
      <c r="K9" s="49" t="s">
        <v>32</v>
      </c>
      <c r="L9" s="49" t="s">
        <v>33</v>
      </c>
      <c r="M9" s="51" t="s">
        <v>131</v>
      </c>
      <c r="N9" s="51" t="s">
        <v>130</v>
      </c>
      <c r="O9" s="13" t="s">
        <v>122</v>
      </c>
      <c r="P9" s="13" t="s">
        <v>123</v>
      </c>
      <c r="Q9" s="16" t="s">
        <v>124</v>
      </c>
      <c r="R9" s="16" t="s">
        <v>125</v>
      </c>
      <c r="S9" s="19" t="s">
        <v>126</v>
      </c>
      <c r="T9" s="19" t="s">
        <v>127</v>
      </c>
      <c r="U9" s="22" t="s">
        <v>128</v>
      </c>
      <c r="V9" s="73" t="s">
        <v>132</v>
      </c>
      <c r="W9" s="49" t="s">
        <v>34</v>
      </c>
      <c r="X9" s="49" t="s">
        <v>35</v>
      </c>
      <c r="Y9" s="49" t="s">
        <v>36</v>
      </c>
      <c r="Z9" s="49" t="s">
        <v>37</v>
      </c>
      <c r="AA9" s="49" t="s">
        <v>38</v>
      </c>
      <c r="AB9" s="49" t="s">
        <v>39</v>
      </c>
      <c r="AC9" s="49" t="s">
        <v>40</v>
      </c>
      <c r="AD9" s="49" t="s">
        <v>41</v>
      </c>
      <c r="AE9" s="49" t="s">
        <v>42</v>
      </c>
      <c r="AF9" s="49" t="s">
        <v>43</v>
      </c>
      <c r="AG9" s="49" t="s">
        <v>44</v>
      </c>
      <c r="AH9" s="49" t="s">
        <v>45</v>
      </c>
      <c r="AI9" s="51" t="s">
        <v>133</v>
      </c>
      <c r="AJ9" s="51" t="s">
        <v>134</v>
      </c>
      <c r="AK9" s="30" t="s">
        <v>129</v>
      </c>
      <c r="AL9" s="49" t="s">
        <v>46</v>
      </c>
      <c r="AM9" s="49" t="s">
        <v>47</v>
      </c>
      <c r="AN9" s="49" t="s">
        <v>48</v>
      </c>
      <c r="AO9" s="49" t="s">
        <v>49</v>
      </c>
      <c r="AP9" s="49" t="s">
        <v>50</v>
      </c>
      <c r="AQ9" s="49" t="s">
        <v>51</v>
      </c>
      <c r="AR9" s="49" t="s">
        <v>52</v>
      </c>
      <c r="AS9" s="49" t="s">
        <v>53</v>
      </c>
      <c r="AT9" s="49" t="s">
        <v>54</v>
      </c>
      <c r="AU9" s="49" t="s">
        <v>55</v>
      </c>
      <c r="AV9" s="49" t="s">
        <v>56</v>
      </c>
      <c r="AW9" s="49" t="s">
        <v>57</v>
      </c>
      <c r="AX9" s="49" t="s">
        <v>58</v>
      </c>
      <c r="AY9" s="49" t="s">
        <v>59</v>
      </c>
      <c r="AZ9" s="49" t="s">
        <v>60</v>
      </c>
      <c r="BA9" s="49" t="s">
        <v>61</v>
      </c>
      <c r="BB9" s="49" t="s">
        <v>62</v>
      </c>
      <c r="BC9" s="49" t="s">
        <v>63</v>
      </c>
      <c r="BD9" s="49" t="s">
        <v>64</v>
      </c>
      <c r="BE9" s="49" t="s">
        <v>65</v>
      </c>
      <c r="BF9" s="49" t="s">
        <v>66</v>
      </c>
      <c r="BG9" s="49" t="s">
        <v>67</v>
      </c>
      <c r="BH9" s="49" t="s">
        <v>68</v>
      </c>
      <c r="BI9" s="49" t="s">
        <v>69</v>
      </c>
      <c r="BJ9" s="49" t="s">
        <v>70</v>
      </c>
      <c r="BK9" s="49" t="s">
        <v>71</v>
      </c>
      <c r="BL9" s="49" t="s">
        <v>72</v>
      </c>
      <c r="BM9" s="49" t="s">
        <v>73</v>
      </c>
      <c r="BN9" s="49" t="s">
        <v>74</v>
      </c>
      <c r="BO9" s="49" t="s">
        <v>75</v>
      </c>
      <c r="BP9" s="49" t="s">
        <v>76</v>
      </c>
      <c r="BQ9" s="49" t="s">
        <v>77</v>
      </c>
      <c r="BR9" s="49" t="s">
        <v>78</v>
      </c>
      <c r="BS9" s="49" t="s">
        <v>79</v>
      </c>
      <c r="BT9" s="49" t="s">
        <v>80</v>
      </c>
      <c r="BU9" s="49" t="s">
        <v>81</v>
      </c>
      <c r="BV9" s="49" t="s">
        <v>82</v>
      </c>
      <c r="BW9" s="49" t="s">
        <v>83</v>
      </c>
      <c r="BX9" s="49" t="s">
        <v>84</v>
      </c>
      <c r="BY9" s="49" t="s">
        <v>85</v>
      </c>
      <c r="BZ9" s="49" t="s">
        <v>86</v>
      </c>
      <c r="CA9" s="49" t="s">
        <v>87</v>
      </c>
      <c r="CB9" s="49" t="s">
        <v>88</v>
      </c>
      <c r="CC9" s="49" t="s">
        <v>89</v>
      </c>
      <c r="CD9" s="49" t="s">
        <v>90</v>
      </c>
      <c r="CE9" s="49" t="s">
        <v>91</v>
      </c>
      <c r="CF9" s="49" t="s">
        <v>92</v>
      </c>
      <c r="CG9" s="49" t="s">
        <v>93</v>
      </c>
      <c r="CH9" s="49" t="s">
        <v>94</v>
      </c>
      <c r="CI9" s="49" t="s">
        <v>95</v>
      </c>
      <c r="CJ9" s="49" t="s">
        <v>96</v>
      </c>
      <c r="CK9" s="49" t="s">
        <v>97</v>
      </c>
      <c r="CL9" s="49" t="s">
        <v>98</v>
      </c>
      <c r="CM9" s="49" t="s">
        <v>99</v>
      </c>
      <c r="CN9" s="49" t="s">
        <v>100</v>
      </c>
      <c r="CO9" s="49" t="s">
        <v>101</v>
      </c>
    </row>
    <row r="10" spans="1:93" ht="14.5" x14ac:dyDescent="0.35">
      <c r="A10" s="3" t="s">
        <v>23</v>
      </c>
      <c r="B10" s="11">
        <v>15415075.76</v>
      </c>
      <c r="C10" s="11">
        <v>268706.46000000002</v>
      </c>
      <c r="D10" s="11">
        <v>30618.13</v>
      </c>
      <c r="E10" s="11">
        <v>6489.54</v>
      </c>
      <c r="F10" s="11">
        <v>43290.2</v>
      </c>
      <c r="G10" s="11">
        <v>929964.59</v>
      </c>
      <c r="H10" s="11">
        <v>122564.69</v>
      </c>
      <c r="I10" s="11">
        <v>103798.64</v>
      </c>
      <c r="J10" s="11">
        <v>141498.67000000001</v>
      </c>
      <c r="K10" s="11">
        <v>33305.67</v>
      </c>
      <c r="L10" s="11">
        <v>168969.34</v>
      </c>
      <c r="M10" s="11">
        <f>N10-SUM(O10:V10)</f>
        <v>367988.36</v>
      </c>
      <c r="N10" s="11">
        <v>367988.36</v>
      </c>
      <c r="O10" s="15"/>
      <c r="P10" s="15"/>
      <c r="Q10" s="18"/>
      <c r="R10" s="18"/>
      <c r="S10" s="21"/>
      <c r="T10" s="21"/>
      <c r="U10" s="24"/>
      <c r="V10" s="74"/>
      <c r="W10" s="11">
        <v>123896.2</v>
      </c>
      <c r="X10" s="11">
        <v>199872.38</v>
      </c>
      <c r="Y10" s="11">
        <v>145701.82</v>
      </c>
      <c r="Z10" s="11">
        <v>318222.82</v>
      </c>
      <c r="AA10" s="11">
        <v>344601.61</v>
      </c>
      <c r="AB10" s="11">
        <v>136483.93</v>
      </c>
      <c r="AC10" s="11">
        <v>204979.41</v>
      </c>
      <c r="AD10" s="11">
        <v>404427.28</v>
      </c>
      <c r="AE10" s="11">
        <v>609255.18999999994</v>
      </c>
      <c r="AF10" s="11">
        <v>148951.91</v>
      </c>
      <c r="AG10" s="11">
        <v>140053.12</v>
      </c>
      <c r="AH10" s="11">
        <v>177190.99</v>
      </c>
      <c r="AI10" s="89">
        <f>AJ10-AK10</f>
        <v>553798.5</v>
      </c>
      <c r="AJ10" s="11">
        <v>553798.5</v>
      </c>
      <c r="AK10" s="29"/>
      <c r="AL10" s="11">
        <v>33208.370000000003</v>
      </c>
      <c r="AM10" s="11">
        <v>174031.83</v>
      </c>
      <c r="AN10" s="11">
        <v>1424171.46</v>
      </c>
      <c r="AO10" s="11">
        <v>183654.58</v>
      </c>
      <c r="AP10" s="11">
        <v>797261.67</v>
      </c>
      <c r="AQ10" s="11">
        <v>446436.16</v>
      </c>
      <c r="AR10" s="11">
        <v>421900.5</v>
      </c>
      <c r="AS10" s="11">
        <v>110154.95</v>
      </c>
      <c r="AT10" s="11">
        <v>95530.62</v>
      </c>
      <c r="AU10" s="11">
        <v>392113.96</v>
      </c>
      <c r="AV10" s="11">
        <v>80584.33</v>
      </c>
      <c r="AW10" s="11">
        <v>439547.4</v>
      </c>
      <c r="AX10" s="11">
        <v>95819.15</v>
      </c>
      <c r="AY10" s="11">
        <v>82580.600000000006</v>
      </c>
      <c r="AZ10" s="11">
        <v>182771.74</v>
      </c>
      <c r="BA10" s="11">
        <v>464495.81</v>
      </c>
      <c r="BB10" s="11">
        <v>299279.58</v>
      </c>
      <c r="BC10" s="11">
        <v>216185.66</v>
      </c>
      <c r="BD10" s="11">
        <v>160417.10999999999</v>
      </c>
      <c r="BE10" s="11">
        <v>444965.67</v>
      </c>
      <c r="BF10" s="11">
        <v>506259.07</v>
      </c>
      <c r="BG10" s="11">
        <v>216655.01</v>
      </c>
      <c r="BH10" s="11">
        <v>169190.95</v>
      </c>
      <c r="BI10" s="11">
        <v>110052.54</v>
      </c>
      <c r="BJ10" s="11">
        <v>80908.42</v>
      </c>
      <c r="BK10" s="11">
        <v>238717.33</v>
      </c>
      <c r="BL10" s="11">
        <v>57204.23</v>
      </c>
      <c r="BM10" s="11">
        <v>85522.48</v>
      </c>
      <c r="BN10" s="11">
        <v>303361.87</v>
      </c>
      <c r="BO10" s="11">
        <v>367793.01</v>
      </c>
      <c r="BP10" s="11">
        <v>173113.36</v>
      </c>
      <c r="BQ10" s="11">
        <v>375424.39</v>
      </c>
      <c r="BR10" s="11">
        <v>143983.07999999999</v>
      </c>
      <c r="BS10" s="11">
        <v>97780.95</v>
      </c>
      <c r="BT10" s="11">
        <v>79084.58</v>
      </c>
      <c r="BU10" s="11">
        <v>52205.95</v>
      </c>
      <c r="BV10" s="5">
        <v>18643</v>
      </c>
      <c r="BW10" s="11">
        <v>68738.17</v>
      </c>
      <c r="BX10" s="11">
        <v>696.82</v>
      </c>
      <c r="BY10" s="5">
        <v>0</v>
      </c>
      <c r="BZ10" s="11">
        <v>11329092.800000001</v>
      </c>
      <c r="CA10" s="11">
        <v>3582352.57</v>
      </c>
      <c r="CB10" s="11">
        <v>7519519.04</v>
      </c>
      <c r="CC10" s="11">
        <v>227221.2</v>
      </c>
      <c r="CD10" s="11">
        <v>3281875.82</v>
      </c>
      <c r="CE10" s="11">
        <v>10818.64</v>
      </c>
      <c r="CF10" s="11">
        <v>3688498.18</v>
      </c>
      <c r="CG10" s="5" t="s">
        <v>102</v>
      </c>
      <c r="CH10" s="11">
        <v>3688498.18</v>
      </c>
      <c r="CI10" s="5" t="s">
        <v>102</v>
      </c>
      <c r="CJ10" s="5" t="s">
        <v>102</v>
      </c>
      <c r="CK10" s="11">
        <v>3271057.18</v>
      </c>
      <c r="CL10" s="5" t="s">
        <v>102</v>
      </c>
      <c r="CM10" s="5" t="s">
        <v>102</v>
      </c>
      <c r="CN10" s="11">
        <v>33714542.560000002</v>
      </c>
      <c r="CO10" s="11">
        <v>18299466.789999999</v>
      </c>
    </row>
    <row r="11" spans="1:93" s="62" customFormat="1" ht="11.5" x14ac:dyDescent="0.35">
      <c r="A11" s="25" t="s">
        <v>24</v>
      </c>
      <c r="B11" s="62">
        <v>354686.15</v>
      </c>
      <c r="C11" s="62">
        <v>59792.08</v>
      </c>
      <c r="D11" s="62">
        <v>572.84</v>
      </c>
      <c r="E11" s="62">
        <v>95.76</v>
      </c>
      <c r="F11" s="62">
        <v>59.6</v>
      </c>
      <c r="G11" s="62">
        <v>242674.95</v>
      </c>
      <c r="H11" s="62">
        <v>2583.1999999999998</v>
      </c>
      <c r="I11" s="62">
        <v>97.86</v>
      </c>
      <c r="J11" s="62">
        <v>108.57</v>
      </c>
      <c r="K11" s="62">
        <v>20.03</v>
      </c>
      <c r="L11" s="62">
        <v>139.36000000000001</v>
      </c>
      <c r="M11" s="82">
        <f t="shared" ref="M11:M20" si="0">N11-SUM(O11:U11)</f>
        <v>2043.5526755080796</v>
      </c>
      <c r="N11" s="83">
        <v>3386.31</v>
      </c>
      <c r="O11" s="83"/>
      <c r="P11" s="39">
        <f>'[1]2023 costs'!$J$29/1000000</f>
        <v>2.3521920523857234</v>
      </c>
      <c r="Q11" s="63">
        <f>'[1]2023 costs'!$J$122/1000000</f>
        <v>1288.8993971841726</v>
      </c>
      <c r="R11" s="63">
        <f>'[1]2023 costs'!$J$57/1000000</f>
        <v>51.505735255361969</v>
      </c>
      <c r="U11" s="63"/>
      <c r="V11" s="75"/>
      <c r="W11" s="62">
        <v>580.05999999999995</v>
      </c>
      <c r="X11" s="62">
        <v>1289.0899999999999</v>
      </c>
      <c r="Y11" s="62">
        <v>91.62</v>
      </c>
      <c r="Z11" s="62">
        <v>92.11</v>
      </c>
      <c r="AA11" s="62">
        <v>102.91</v>
      </c>
      <c r="AB11" s="62">
        <v>106.86</v>
      </c>
      <c r="AC11" s="62">
        <v>43.38</v>
      </c>
      <c r="AD11" s="62">
        <v>115.95</v>
      </c>
      <c r="AE11" s="62">
        <v>105.18</v>
      </c>
      <c r="AF11" s="62">
        <v>8.74</v>
      </c>
      <c r="AG11" s="62">
        <v>232.62</v>
      </c>
      <c r="AH11" s="62">
        <v>239.75</v>
      </c>
      <c r="AI11" s="71">
        <f>AJ11-AK11</f>
        <v>1275.8537770397666</v>
      </c>
      <c r="AJ11" s="62">
        <v>1277.6600000000001</v>
      </c>
      <c r="AK11" s="63">
        <f>'[1]2023 costs'!$J$76/1000000</f>
        <v>1.8062229602335496</v>
      </c>
      <c r="AL11" s="62">
        <v>12.64</v>
      </c>
      <c r="AM11" s="62">
        <v>123.51</v>
      </c>
      <c r="AN11" s="62">
        <v>809.55</v>
      </c>
      <c r="AO11" s="62">
        <v>34.33</v>
      </c>
      <c r="AP11" s="62">
        <v>9814.35</v>
      </c>
      <c r="AQ11" s="62">
        <v>3755.41</v>
      </c>
      <c r="AR11" s="62">
        <v>330.69</v>
      </c>
      <c r="AS11" s="62">
        <v>54.02</v>
      </c>
      <c r="AT11" s="62">
        <v>1.67</v>
      </c>
      <c r="AU11" s="62">
        <v>219.12</v>
      </c>
      <c r="AV11" s="62">
        <v>4.42</v>
      </c>
      <c r="AW11" s="62">
        <v>12663.66</v>
      </c>
      <c r="AX11" s="62">
        <v>5.18</v>
      </c>
      <c r="AY11" s="62">
        <v>19.82</v>
      </c>
      <c r="AZ11" s="62">
        <v>23.39</v>
      </c>
      <c r="BA11" s="62">
        <v>278.68</v>
      </c>
      <c r="BB11" s="62">
        <v>6.66</v>
      </c>
      <c r="BC11" s="62">
        <v>32.340000000000003</v>
      </c>
      <c r="BD11" s="62">
        <v>5.32</v>
      </c>
      <c r="BE11" s="62">
        <v>1085.8499999999999</v>
      </c>
      <c r="BF11" s="62">
        <v>698.07</v>
      </c>
      <c r="BG11" s="62">
        <v>227.85</v>
      </c>
      <c r="BH11" s="62">
        <v>744.89</v>
      </c>
      <c r="BI11" s="62">
        <v>128.44999999999999</v>
      </c>
      <c r="BJ11" s="62">
        <v>472.56</v>
      </c>
      <c r="BK11" s="62">
        <v>784.73</v>
      </c>
      <c r="BL11" s="62">
        <v>34.17</v>
      </c>
      <c r="BM11" s="62">
        <v>24.95</v>
      </c>
      <c r="BN11" s="62">
        <v>5029.5600000000004</v>
      </c>
      <c r="BO11" s="62">
        <v>1096.6600000000001</v>
      </c>
      <c r="BP11" s="62">
        <v>392.07</v>
      </c>
      <c r="BQ11" s="62">
        <v>669.26</v>
      </c>
      <c r="BR11" s="62">
        <v>587.55999999999995</v>
      </c>
      <c r="BS11" s="62">
        <v>225.86</v>
      </c>
      <c r="BT11" s="62">
        <v>190.33</v>
      </c>
      <c r="BU11" s="62">
        <v>54.56</v>
      </c>
      <c r="BV11" s="62">
        <v>47.04</v>
      </c>
      <c r="BW11" s="62">
        <v>179.54</v>
      </c>
      <c r="BX11" s="62">
        <v>0.98</v>
      </c>
      <c r="BY11" s="62">
        <v>0</v>
      </c>
      <c r="BZ11" s="62">
        <v>125203.62</v>
      </c>
      <c r="CA11" s="62">
        <v>1624.15</v>
      </c>
      <c r="CB11" s="62">
        <v>123558.62</v>
      </c>
      <c r="CC11" s="62">
        <v>20.85</v>
      </c>
      <c r="CD11" s="62">
        <v>11359.24</v>
      </c>
      <c r="CE11" s="62">
        <v>4816.8900000000003</v>
      </c>
      <c r="CF11" s="62">
        <v>34689.800000000003</v>
      </c>
      <c r="CG11" s="62" t="s">
        <v>102</v>
      </c>
      <c r="CH11" s="62">
        <v>34689.800000000003</v>
      </c>
      <c r="CI11" s="62" t="s">
        <v>102</v>
      </c>
      <c r="CJ11" s="62" t="s">
        <v>102</v>
      </c>
      <c r="CK11" s="62">
        <v>6542.35</v>
      </c>
      <c r="CL11" s="62" t="s">
        <v>102</v>
      </c>
      <c r="CM11" s="62" t="s">
        <v>102</v>
      </c>
      <c r="CN11" s="62">
        <v>525938.80000000005</v>
      </c>
      <c r="CO11" s="62">
        <v>171252.66</v>
      </c>
    </row>
    <row r="12" spans="1:93" s="62" customFormat="1" ht="11.5" x14ac:dyDescent="0.35">
      <c r="A12" s="25" t="s">
        <v>25</v>
      </c>
      <c r="B12" s="62">
        <v>46675.55</v>
      </c>
      <c r="C12" s="62">
        <v>662.06</v>
      </c>
      <c r="D12" s="62">
        <v>16064.23</v>
      </c>
      <c r="E12" s="62">
        <v>42.27</v>
      </c>
      <c r="F12" s="62">
        <v>74.040000000000006</v>
      </c>
      <c r="G12" s="62">
        <v>320.88</v>
      </c>
      <c r="H12" s="62">
        <v>43.52</v>
      </c>
      <c r="I12" s="62">
        <v>16178.42</v>
      </c>
      <c r="J12" s="62">
        <v>6423.73</v>
      </c>
      <c r="K12" s="62">
        <v>25.49</v>
      </c>
      <c r="L12" s="62">
        <v>5.44</v>
      </c>
      <c r="M12" s="82">
        <f t="shared" si="0"/>
        <v>335.07715639821055</v>
      </c>
      <c r="N12" s="83">
        <v>337.01</v>
      </c>
      <c r="O12" s="83">
        <v>0</v>
      </c>
      <c r="P12" s="39">
        <f>'[1]2023 costs'!$J$34/1000000</f>
        <v>0.96642180089473528</v>
      </c>
      <c r="Q12" s="63"/>
      <c r="R12" s="63">
        <f>'[1]2023 costs'!$J$62/1000000</f>
        <v>0.96642180089473528</v>
      </c>
      <c r="V12" s="76"/>
      <c r="W12" s="62">
        <v>13.4</v>
      </c>
      <c r="X12" s="62">
        <v>229.78</v>
      </c>
      <c r="Y12" s="62">
        <v>37.26</v>
      </c>
      <c r="Z12" s="62">
        <v>39.47</v>
      </c>
      <c r="AA12" s="62">
        <v>87.73</v>
      </c>
      <c r="AB12" s="62">
        <v>4.18</v>
      </c>
      <c r="AC12" s="62">
        <v>5</v>
      </c>
      <c r="AD12" s="62">
        <v>20.48</v>
      </c>
      <c r="AE12" s="62">
        <v>14.3</v>
      </c>
      <c r="AF12" s="62">
        <v>4.87</v>
      </c>
      <c r="AG12" s="62">
        <v>983.23</v>
      </c>
      <c r="AH12" s="62">
        <v>33.99</v>
      </c>
      <c r="AI12" s="71">
        <f t="shared" ref="AI12:AI73" si="1">AJ12-AK12</f>
        <v>1224.92</v>
      </c>
      <c r="AJ12" s="62">
        <v>1224.92</v>
      </c>
      <c r="AL12" s="62">
        <v>8.91</v>
      </c>
      <c r="AM12" s="62">
        <v>139.38999999999999</v>
      </c>
      <c r="AN12" s="62">
        <v>863.24</v>
      </c>
      <c r="AO12" s="62">
        <v>11.5</v>
      </c>
      <c r="AP12" s="62">
        <v>942.51</v>
      </c>
      <c r="AQ12" s="62">
        <v>242.39</v>
      </c>
      <c r="AR12" s="62">
        <v>95.79</v>
      </c>
      <c r="AS12" s="62">
        <v>9.34</v>
      </c>
      <c r="AT12" s="62">
        <v>2.6</v>
      </c>
      <c r="AU12" s="62">
        <v>64.319999999999993</v>
      </c>
      <c r="AV12" s="62">
        <v>0.8</v>
      </c>
      <c r="AW12" s="62">
        <v>70.290000000000006</v>
      </c>
      <c r="AX12" s="62">
        <v>5</v>
      </c>
      <c r="AY12" s="62">
        <v>2.65</v>
      </c>
      <c r="AZ12" s="62">
        <v>3.91</v>
      </c>
      <c r="BA12" s="62">
        <v>57.42</v>
      </c>
      <c r="BB12" s="62">
        <v>2.44</v>
      </c>
      <c r="BC12" s="62">
        <v>0.11</v>
      </c>
      <c r="BD12" s="62">
        <v>1.7</v>
      </c>
      <c r="BE12" s="62">
        <v>116.88</v>
      </c>
      <c r="BF12" s="62">
        <v>234.07</v>
      </c>
      <c r="BG12" s="62">
        <v>77.5</v>
      </c>
      <c r="BH12" s="62">
        <v>85.09</v>
      </c>
      <c r="BI12" s="62">
        <v>8.76</v>
      </c>
      <c r="BJ12" s="62">
        <v>18.649999999999999</v>
      </c>
      <c r="BK12" s="62">
        <v>145.18</v>
      </c>
      <c r="BL12" s="62">
        <v>9.36</v>
      </c>
      <c r="BM12" s="62">
        <v>1.21</v>
      </c>
      <c r="BN12" s="62">
        <v>177.81</v>
      </c>
      <c r="BO12" s="62">
        <v>232.96</v>
      </c>
      <c r="BP12" s="62">
        <v>24.7</v>
      </c>
      <c r="BQ12" s="62">
        <v>34.340000000000003</v>
      </c>
      <c r="BR12" s="62">
        <v>12.86</v>
      </c>
      <c r="BS12" s="62">
        <v>31.13</v>
      </c>
      <c r="BT12" s="62">
        <v>20.05</v>
      </c>
      <c r="BU12" s="62">
        <v>13.9</v>
      </c>
      <c r="BV12" s="62">
        <v>8.6</v>
      </c>
      <c r="BW12" s="62">
        <v>22.5</v>
      </c>
      <c r="BX12" s="62">
        <v>0.04</v>
      </c>
      <c r="BY12" s="62">
        <v>0</v>
      </c>
      <c r="BZ12" s="62">
        <v>13363.16</v>
      </c>
      <c r="CA12" s="62">
        <v>1583.09</v>
      </c>
      <c r="CB12" s="62">
        <v>11776.85</v>
      </c>
      <c r="CC12" s="62">
        <v>3.22</v>
      </c>
      <c r="CD12" s="62">
        <v>1651.99</v>
      </c>
      <c r="CE12" s="62">
        <v>1300.58</v>
      </c>
      <c r="CF12" s="62">
        <v>2467.1999999999998</v>
      </c>
      <c r="CG12" s="62" t="s">
        <v>102</v>
      </c>
      <c r="CH12" s="62">
        <v>2467.1999999999998</v>
      </c>
      <c r="CI12" s="62" t="s">
        <v>102</v>
      </c>
      <c r="CJ12" s="62" t="s">
        <v>102</v>
      </c>
      <c r="CK12" s="62">
        <v>351.41</v>
      </c>
      <c r="CL12" s="62" t="s">
        <v>102</v>
      </c>
      <c r="CM12" s="62" t="s">
        <v>102</v>
      </c>
      <c r="CN12" s="62">
        <v>64157.9</v>
      </c>
      <c r="CO12" s="62">
        <v>17482.349999999999</v>
      </c>
    </row>
    <row r="13" spans="1:93" ht="14.5" x14ac:dyDescent="0.35">
      <c r="A13" s="3" t="s">
        <v>26</v>
      </c>
      <c r="B13" s="10">
        <v>5430.84</v>
      </c>
      <c r="C13" s="10">
        <v>9.7799999999999994</v>
      </c>
      <c r="D13" s="10">
        <v>1.94</v>
      </c>
      <c r="E13" s="10">
        <v>461.27</v>
      </c>
      <c r="F13" s="10">
        <v>0.56000000000000005</v>
      </c>
      <c r="G13" s="10">
        <v>2832.06</v>
      </c>
      <c r="H13" s="10">
        <v>4.34</v>
      </c>
      <c r="I13" s="10">
        <v>0.21</v>
      </c>
      <c r="J13" s="10">
        <v>0.37</v>
      </c>
      <c r="K13" s="10">
        <v>0.06</v>
      </c>
      <c r="L13" s="10">
        <v>0.43</v>
      </c>
      <c r="M13" s="71">
        <f t="shared" si="0"/>
        <v>34.93</v>
      </c>
      <c r="N13" s="44">
        <v>34.93</v>
      </c>
      <c r="O13" s="38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0">
        <v>6.79</v>
      </c>
      <c r="X13" s="10">
        <v>0.68</v>
      </c>
      <c r="Y13" s="10">
        <v>0.21</v>
      </c>
      <c r="Z13" s="10">
        <v>0.42</v>
      </c>
      <c r="AA13" s="10">
        <v>0.97</v>
      </c>
      <c r="AB13" s="10">
        <v>0.2</v>
      </c>
      <c r="AC13" s="10">
        <v>0.1</v>
      </c>
      <c r="AD13" s="10">
        <v>0.37</v>
      </c>
      <c r="AE13" s="10">
        <v>0.69</v>
      </c>
      <c r="AF13" s="10">
        <v>0.02</v>
      </c>
      <c r="AG13" s="10">
        <v>3.34</v>
      </c>
      <c r="AH13" s="10">
        <v>0.71</v>
      </c>
      <c r="AI13" s="71">
        <f t="shared" si="1"/>
        <v>17.21</v>
      </c>
      <c r="AJ13" s="10">
        <v>17.21</v>
      </c>
      <c r="AK13" s="29"/>
      <c r="AL13" s="10">
        <v>0.08</v>
      </c>
      <c r="AM13" s="10">
        <v>1.36</v>
      </c>
      <c r="AN13" s="10">
        <v>33.72</v>
      </c>
      <c r="AO13" s="10">
        <v>0.21</v>
      </c>
      <c r="AP13" s="10">
        <v>59.18</v>
      </c>
      <c r="AQ13" s="10">
        <v>20.440000000000001</v>
      </c>
      <c r="AR13" s="10">
        <v>3.63</v>
      </c>
      <c r="AS13" s="10">
        <v>5.42</v>
      </c>
      <c r="AT13" s="10">
        <v>0.04</v>
      </c>
      <c r="AU13" s="10">
        <v>3.59</v>
      </c>
      <c r="AV13" s="10">
        <v>0.28999999999999998</v>
      </c>
      <c r="AW13" s="10">
        <v>1717.39</v>
      </c>
      <c r="AX13" s="10">
        <v>0.47</v>
      </c>
      <c r="AY13" s="10">
        <v>2.5099999999999998</v>
      </c>
      <c r="AZ13" s="10">
        <v>1.53</v>
      </c>
      <c r="BA13" s="10">
        <v>4.47</v>
      </c>
      <c r="BB13" s="10">
        <v>0.89</v>
      </c>
      <c r="BC13" s="10">
        <v>0.49</v>
      </c>
      <c r="BD13" s="10">
        <v>0.24</v>
      </c>
      <c r="BE13" s="10">
        <v>13.35</v>
      </c>
      <c r="BF13" s="10">
        <v>7.39</v>
      </c>
      <c r="BG13" s="10">
        <v>2.04</v>
      </c>
      <c r="BH13" s="10">
        <v>8.32</v>
      </c>
      <c r="BI13" s="10">
        <v>1.05</v>
      </c>
      <c r="BJ13" s="10">
        <v>2.38</v>
      </c>
      <c r="BK13" s="10">
        <v>10.02</v>
      </c>
      <c r="BL13" s="10">
        <v>0.56000000000000005</v>
      </c>
      <c r="BM13" s="10">
        <v>1.7</v>
      </c>
      <c r="BN13" s="10">
        <v>7.27</v>
      </c>
      <c r="BO13" s="10">
        <v>13.88</v>
      </c>
      <c r="BP13" s="10">
        <v>7.98</v>
      </c>
      <c r="BQ13" s="10">
        <v>35.83</v>
      </c>
      <c r="BR13" s="10">
        <v>31.37</v>
      </c>
      <c r="BS13" s="10">
        <v>7.65</v>
      </c>
      <c r="BT13" s="10">
        <v>10.17</v>
      </c>
      <c r="BU13" s="10">
        <v>33.53</v>
      </c>
      <c r="BV13" s="10">
        <v>0.09</v>
      </c>
      <c r="BW13" s="10">
        <v>2.64</v>
      </c>
      <c r="BX13" s="10">
        <v>0.01</v>
      </c>
      <c r="BY13" s="4">
        <v>0</v>
      </c>
      <c r="BZ13" s="10">
        <v>7964.41</v>
      </c>
      <c r="CA13" s="10">
        <v>6.92</v>
      </c>
      <c r="CB13" s="10">
        <v>7956.08</v>
      </c>
      <c r="CC13" s="10">
        <v>1.41</v>
      </c>
      <c r="CD13" s="10">
        <v>-148.32</v>
      </c>
      <c r="CE13" s="10">
        <v>-180.5</v>
      </c>
      <c r="CF13" s="10">
        <v>1166.3699999999999</v>
      </c>
      <c r="CG13" s="4" t="s">
        <v>102</v>
      </c>
      <c r="CH13" s="10">
        <v>1166.3699999999999</v>
      </c>
      <c r="CI13" s="4" t="s">
        <v>102</v>
      </c>
      <c r="CJ13" s="4" t="s">
        <v>102</v>
      </c>
      <c r="CK13" s="10">
        <v>32.19</v>
      </c>
      <c r="CL13" s="4" t="s">
        <v>102</v>
      </c>
      <c r="CM13" s="4" t="s">
        <v>102</v>
      </c>
      <c r="CN13" s="10">
        <v>14413.3</v>
      </c>
      <c r="CO13" s="10">
        <v>8982.4699999999993</v>
      </c>
    </row>
    <row r="14" spans="1:93" ht="14.5" x14ac:dyDescent="0.35">
      <c r="A14" s="3" t="s">
        <v>27</v>
      </c>
      <c r="B14" s="11">
        <v>95548.77</v>
      </c>
      <c r="C14" s="11">
        <v>812.02</v>
      </c>
      <c r="D14" s="11">
        <v>61.22</v>
      </c>
      <c r="E14" s="11">
        <v>47.45</v>
      </c>
      <c r="F14" s="11">
        <v>5547.63</v>
      </c>
      <c r="G14" s="11">
        <v>1174.5899999999999</v>
      </c>
      <c r="H14" s="11">
        <v>127.08</v>
      </c>
      <c r="I14" s="11">
        <v>57.77</v>
      </c>
      <c r="J14" s="11">
        <v>545.45000000000005</v>
      </c>
      <c r="K14" s="11">
        <v>38.83</v>
      </c>
      <c r="L14" s="11">
        <v>21936.560000000001</v>
      </c>
      <c r="M14" s="71">
        <f t="shared" si="0"/>
        <v>6838.53</v>
      </c>
      <c r="N14" s="45">
        <v>6838.53</v>
      </c>
      <c r="O14" s="38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1">
        <v>138.63999999999999</v>
      </c>
      <c r="X14" s="11">
        <v>411.72</v>
      </c>
      <c r="Y14" s="11">
        <v>9450.74</v>
      </c>
      <c r="Z14" s="5">
        <v>7728</v>
      </c>
      <c r="AA14" s="11">
        <v>603.91</v>
      </c>
      <c r="AB14" s="11">
        <v>63.64</v>
      </c>
      <c r="AC14" s="11">
        <v>192.15</v>
      </c>
      <c r="AD14" s="11">
        <v>301.83</v>
      </c>
      <c r="AE14" s="11">
        <v>158.03</v>
      </c>
      <c r="AF14" s="11">
        <v>43.76</v>
      </c>
      <c r="AG14" s="11">
        <v>381.44</v>
      </c>
      <c r="AH14" s="5">
        <v>287</v>
      </c>
      <c r="AI14" s="71">
        <f t="shared" si="1"/>
        <v>15343.18</v>
      </c>
      <c r="AJ14" s="11">
        <v>15343.18</v>
      </c>
      <c r="AK14" s="29"/>
      <c r="AL14" s="11">
        <v>185.01</v>
      </c>
      <c r="AM14" s="11">
        <v>524.54999999999995</v>
      </c>
      <c r="AN14" s="11">
        <v>14038.44</v>
      </c>
      <c r="AO14" s="11">
        <v>32.909999999999997</v>
      </c>
      <c r="AP14" s="11">
        <v>1995.5</v>
      </c>
      <c r="AQ14" s="11">
        <v>338.31</v>
      </c>
      <c r="AR14" s="11">
        <v>489.82</v>
      </c>
      <c r="AS14" s="11">
        <v>16.91</v>
      </c>
      <c r="AT14" s="11">
        <v>6.35</v>
      </c>
      <c r="AU14" s="11">
        <v>339.37</v>
      </c>
      <c r="AV14" s="11">
        <v>9.58</v>
      </c>
      <c r="AW14" s="11">
        <v>220.54</v>
      </c>
      <c r="AX14" s="11">
        <v>9.4700000000000006</v>
      </c>
      <c r="AY14" s="11">
        <v>7.74</v>
      </c>
      <c r="AZ14" s="11">
        <v>29.87</v>
      </c>
      <c r="BA14" s="11">
        <v>153.44999999999999</v>
      </c>
      <c r="BB14" s="11">
        <v>32.99</v>
      </c>
      <c r="BC14" s="11">
        <v>3.78</v>
      </c>
      <c r="BD14" s="11">
        <v>20.29</v>
      </c>
      <c r="BE14" s="11">
        <v>645.16999999999996</v>
      </c>
      <c r="BF14" s="11">
        <v>926.11</v>
      </c>
      <c r="BG14" s="11">
        <v>433.32</v>
      </c>
      <c r="BH14" s="11">
        <v>238.61</v>
      </c>
      <c r="BI14" s="11">
        <v>18.760000000000002</v>
      </c>
      <c r="BJ14" s="11">
        <v>59.53</v>
      </c>
      <c r="BK14" s="11">
        <v>219.65</v>
      </c>
      <c r="BL14" s="11">
        <v>51.36</v>
      </c>
      <c r="BM14" s="11">
        <v>5.98</v>
      </c>
      <c r="BN14" s="11">
        <v>658.35</v>
      </c>
      <c r="BO14" s="11">
        <v>818.4</v>
      </c>
      <c r="BP14" s="11">
        <v>124.14</v>
      </c>
      <c r="BQ14" s="11">
        <v>301.44</v>
      </c>
      <c r="BR14" s="11">
        <v>113.7</v>
      </c>
      <c r="BS14" s="11">
        <v>25.47</v>
      </c>
      <c r="BT14" s="11">
        <v>55.77</v>
      </c>
      <c r="BU14" s="11">
        <v>55.48</v>
      </c>
      <c r="BV14" s="11">
        <v>7.8</v>
      </c>
      <c r="BW14" s="11">
        <v>42.73</v>
      </c>
      <c r="BX14" s="11">
        <v>0.98</v>
      </c>
      <c r="BY14" s="5">
        <v>0</v>
      </c>
      <c r="BZ14" s="11">
        <v>4236.17</v>
      </c>
      <c r="CA14" s="11">
        <v>252.17</v>
      </c>
      <c r="CB14" s="11">
        <v>3981.76</v>
      </c>
      <c r="CC14" s="11">
        <v>2.2400000000000002</v>
      </c>
      <c r="CD14" s="11">
        <v>-2178.88</v>
      </c>
      <c r="CE14" s="11">
        <v>-3372.11</v>
      </c>
      <c r="CF14" s="11">
        <v>6608.23</v>
      </c>
      <c r="CG14" s="5" t="s">
        <v>102</v>
      </c>
      <c r="CH14" s="11">
        <v>6608.23</v>
      </c>
      <c r="CI14" s="5" t="s">
        <v>102</v>
      </c>
      <c r="CJ14" s="5" t="s">
        <v>102</v>
      </c>
      <c r="CK14" s="11">
        <v>1193.24</v>
      </c>
      <c r="CL14" s="5" t="s">
        <v>102</v>
      </c>
      <c r="CM14" s="5" t="s">
        <v>102</v>
      </c>
      <c r="CN14" s="11">
        <v>104214.3</v>
      </c>
      <c r="CO14" s="11">
        <v>8665.5300000000007</v>
      </c>
    </row>
    <row r="15" spans="1:93" s="62" customFormat="1" ht="11.5" x14ac:dyDescent="0.35">
      <c r="A15" s="25" t="s">
        <v>28</v>
      </c>
      <c r="B15" s="62">
        <v>507187.6</v>
      </c>
      <c r="C15" s="62">
        <v>52956.91</v>
      </c>
      <c r="D15" s="62">
        <v>183.48</v>
      </c>
      <c r="E15" s="62">
        <v>646.97</v>
      </c>
      <c r="F15" s="62">
        <v>208.57</v>
      </c>
      <c r="G15" s="62">
        <v>225899.14</v>
      </c>
      <c r="H15" s="62">
        <v>1779.91</v>
      </c>
      <c r="I15" s="62">
        <v>116.19</v>
      </c>
      <c r="J15" s="62">
        <v>552.52</v>
      </c>
      <c r="K15" s="62">
        <v>29.59</v>
      </c>
      <c r="L15" s="62">
        <v>907.3</v>
      </c>
      <c r="M15" s="71">
        <f t="shared" si="0"/>
        <v>3856.1279949609352</v>
      </c>
      <c r="N15" s="39">
        <v>9945.35</v>
      </c>
      <c r="O15" s="39">
        <f>'[1]2023 costs'!$J$106/1000000</f>
        <v>6089.1048466306902</v>
      </c>
      <c r="P15" s="39">
        <f>'[1]2023 costs'!$J$32/1000000</f>
        <v>5.857920418775954E-2</v>
      </c>
      <c r="R15" s="63">
        <f>'[1]2023 costs'!$J$60/1000000</f>
        <v>5.857920418775954E-2</v>
      </c>
      <c r="U15" s="63"/>
      <c r="V15" s="75"/>
      <c r="W15" s="62">
        <v>2436.71</v>
      </c>
      <c r="X15" s="62">
        <v>362.16</v>
      </c>
      <c r="Y15" s="62">
        <v>358.67</v>
      </c>
      <c r="Z15" s="62">
        <v>623.08000000000004</v>
      </c>
      <c r="AA15" s="62">
        <v>248.27</v>
      </c>
      <c r="AB15" s="62">
        <v>143.63999999999999</v>
      </c>
      <c r="AC15" s="62">
        <v>153.41</v>
      </c>
      <c r="AD15" s="62">
        <v>268.37</v>
      </c>
      <c r="AE15" s="62">
        <v>259.26</v>
      </c>
      <c r="AF15" s="62">
        <v>79.69</v>
      </c>
      <c r="AG15" s="62">
        <v>673.26</v>
      </c>
      <c r="AH15" s="62">
        <v>389.91</v>
      </c>
      <c r="AI15" s="71">
        <f t="shared" si="1"/>
        <v>1277.9337742133082</v>
      </c>
      <c r="AJ15" s="62">
        <v>1278.3599999999999</v>
      </c>
      <c r="AK15" s="63">
        <f>'[1]2023 costs'!$J$79/1000000</f>
        <v>0.42622578669176986</v>
      </c>
      <c r="AL15" s="62">
        <v>44.23</v>
      </c>
      <c r="AM15" s="62">
        <v>745.45</v>
      </c>
      <c r="AN15" s="62">
        <v>1475.79</v>
      </c>
      <c r="AO15" s="62">
        <v>434.31</v>
      </c>
      <c r="AP15" s="62">
        <v>15802.71</v>
      </c>
      <c r="AQ15" s="62">
        <v>7500.65</v>
      </c>
      <c r="AR15" s="62">
        <v>1451.09</v>
      </c>
      <c r="AS15" s="62">
        <v>677.08</v>
      </c>
      <c r="AT15" s="62">
        <v>341.51</v>
      </c>
      <c r="AU15" s="62">
        <v>802.85</v>
      </c>
      <c r="AV15" s="62">
        <v>132.56</v>
      </c>
      <c r="AW15" s="62">
        <v>122068.75</v>
      </c>
      <c r="AX15" s="62">
        <v>340.5</v>
      </c>
      <c r="AY15" s="62">
        <v>489.32</v>
      </c>
      <c r="AZ15" s="62">
        <v>497.34</v>
      </c>
      <c r="BA15" s="62">
        <v>1264.8900000000001</v>
      </c>
      <c r="BB15" s="62">
        <v>208.46</v>
      </c>
      <c r="BC15" s="62">
        <v>130.93</v>
      </c>
      <c r="BD15" s="62">
        <v>121.21</v>
      </c>
      <c r="BE15" s="62">
        <v>1892.85</v>
      </c>
      <c r="BF15" s="62">
        <v>2201.63</v>
      </c>
      <c r="BG15" s="62">
        <v>609.45000000000005</v>
      </c>
      <c r="BH15" s="62">
        <v>1847.18</v>
      </c>
      <c r="BI15" s="62">
        <v>575.52</v>
      </c>
      <c r="BJ15" s="62">
        <v>821.6</v>
      </c>
      <c r="BK15" s="62">
        <v>1825.25</v>
      </c>
      <c r="BL15" s="62">
        <v>248.58</v>
      </c>
      <c r="BM15" s="62">
        <v>459.97</v>
      </c>
      <c r="BN15" s="62">
        <v>2810.89</v>
      </c>
      <c r="BO15" s="62">
        <v>5946.08</v>
      </c>
      <c r="BP15" s="62">
        <v>6003.62</v>
      </c>
      <c r="BQ15" s="62">
        <v>12542.82</v>
      </c>
      <c r="BR15" s="62">
        <v>8608.6</v>
      </c>
      <c r="BS15" s="62">
        <v>1243.4000000000001</v>
      </c>
      <c r="BT15" s="62">
        <v>2721.55</v>
      </c>
      <c r="BU15" s="62">
        <v>1109.47</v>
      </c>
      <c r="BV15" s="62">
        <v>143.91</v>
      </c>
      <c r="BW15" s="62">
        <v>538.58000000000004</v>
      </c>
      <c r="BX15" s="62">
        <v>6.3</v>
      </c>
      <c r="BY15" s="62">
        <v>0</v>
      </c>
      <c r="BZ15" s="62">
        <v>652911.48</v>
      </c>
      <c r="CA15" s="62">
        <v>1132.6099999999999</v>
      </c>
      <c r="CB15" s="62">
        <v>651537.61</v>
      </c>
      <c r="CC15" s="62">
        <v>241.26</v>
      </c>
      <c r="CD15" s="62">
        <v>20033.02</v>
      </c>
      <c r="CE15" s="62">
        <v>20032.25</v>
      </c>
      <c r="CF15" s="62">
        <v>181233.45</v>
      </c>
      <c r="CG15" s="62" t="s">
        <v>102</v>
      </c>
      <c r="CH15" s="62">
        <v>181233.45</v>
      </c>
      <c r="CI15" s="62" t="s">
        <v>102</v>
      </c>
      <c r="CJ15" s="62" t="s">
        <v>102</v>
      </c>
      <c r="CK15" s="62">
        <v>0.77</v>
      </c>
      <c r="CL15" s="62" t="s">
        <v>102</v>
      </c>
      <c r="CM15" s="62" t="s">
        <v>102</v>
      </c>
      <c r="CN15" s="62">
        <v>1361365.54</v>
      </c>
      <c r="CO15" s="62">
        <v>854177.94</v>
      </c>
    </row>
    <row r="16" spans="1:93" ht="14.5" x14ac:dyDescent="0.35">
      <c r="A16" s="3" t="s">
        <v>29</v>
      </c>
      <c r="B16" s="11">
        <v>82586.070000000007</v>
      </c>
      <c r="C16" s="11">
        <v>503.94</v>
      </c>
      <c r="D16" s="11">
        <v>46.62</v>
      </c>
      <c r="E16" s="11">
        <v>93.46</v>
      </c>
      <c r="F16" s="11">
        <v>62.7</v>
      </c>
      <c r="G16" s="11">
        <v>690.02</v>
      </c>
      <c r="H16" s="11">
        <v>41233.08</v>
      </c>
      <c r="I16" s="11">
        <v>674.26</v>
      </c>
      <c r="J16" s="11">
        <v>1099.99</v>
      </c>
      <c r="K16" s="11">
        <v>384.77</v>
      </c>
      <c r="L16" s="11">
        <v>152.47999999999999</v>
      </c>
      <c r="M16" s="71">
        <f t="shared" si="0"/>
        <v>797.06</v>
      </c>
      <c r="N16" s="45">
        <v>797.06</v>
      </c>
      <c r="O16" s="38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1">
        <v>256.27</v>
      </c>
      <c r="X16" s="11">
        <v>1878.4</v>
      </c>
      <c r="Y16" s="11">
        <v>445.31</v>
      </c>
      <c r="Z16" s="11">
        <v>279.36</v>
      </c>
      <c r="AA16" s="11">
        <v>625.05999999999995</v>
      </c>
      <c r="AB16" s="5">
        <v>253</v>
      </c>
      <c r="AC16" s="11">
        <v>337.42</v>
      </c>
      <c r="AD16" s="11">
        <v>565.99</v>
      </c>
      <c r="AE16" s="11">
        <v>3035.16</v>
      </c>
      <c r="AF16" s="11">
        <v>487.61</v>
      </c>
      <c r="AG16" s="11">
        <v>3610.31</v>
      </c>
      <c r="AH16" s="11">
        <v>463.07</v>
      </c>
      <c r="AI16" s="71">
        <f t="shared" si="1"/>
        <v>342.25</v>
      </c>
      <c r="AJ16" s="11">
        <v>342.25</v>
      </c>
      <c r="AK16" s="29"/>
      <c r="AL16" s="11">
        <v>30.13</v>
      </c>
      <c r="AM16" s="11">
        <v>419.99</v>
      </c>
      <c r="AN16" s="11">
        <v>1992.74</v>
      </c>
      <c r="AO16" s="11">
        <v>476.37</v>
      </c>
      <c r="AP16" s="11">
        <v>3798.76</v>
      </c>
      <c r="AQ16" s="11">
        <v>2330.2199999999998</v>
      </c>
      <c r="AR16" s="11">
        <v>462.13</v>
      </c>
      <c r="AS16" s="11">
        <v>99.21</v>
      </c>
      <c r="AT16" s="11">
        <v>45.05</v>
      </c>
      <c r="AU16" s="11">
        <v>379.59</v>
      </c>
      <c r="AV16" s="11">
        <v>94.08</v>
      </c>
      <c r="AW16" s="11">
        <v>1282.56</v>
      </c>
      <c r="AX16" s="11">
        <v>102.34</v>
      </c>
      <c r="AY16" s="5">
        <v>479</v>
      </c>
      <c r="AZ16" s="11">
        <v>250.87</v>
      </c>
      <c r="BA16" s="11">
        <v>371.48</v>
      </c>
      <c r="BB16" s="11">
        <v>95.32</v>
      </c>
      <c r="BC16" s="11">
        <v>32.74</v>
      </c>
      <c r="BD16" s="11">
        <v>26.9</v>
      </c>
      <c r="BE16" s="11">
        <v>582.39</v>
      </c>
      <c r="BF16" s="11">
        <v>589.14</v>
      </c>
      <c r="BG16" s="11">
        <v>287.02999999999997</v>
      </c>
      <c r="BH16" s="5">
        <v>666</v>
      </c>
      <c r="BI16" s="11">
        <v>102.49</v>
      </c>
      <c r="BJ16" s="11">
        <v>422.97</v>
      </c>
      <c r="BK16" s="11">
        <v>473.21</v>
      </c>
      <c r="BL16" s="11">
        <v>151.88</v>
      </c>
      <c r="BM16" s="11">
        <v>68.739999999999995</v>
      </c>
      <c r="BN16" s="11">
        <v>1221.6400000000001</v>
      </c>
      <c r="BO16" s="11">
        <v>1078.92</v>
      </c>
      <c r="BP16" s="11">
        <v>392.31</v>
      </c>
      <c r="BQ16" s="11">
        <v>2565.39</v>
      </c>
      <c r="BR16" s="11">
        <v>864.77</v>
      </c>
      <c r="BS16" s="11">
        <v>609.83000000000004</v>
      </c>
      <c r="BT16" s="11">
        <v>491.78</v>
      </c>
      <c r="BU16" s="11">
        <v>111.32</v>
      </c>
      <c r="BV16" s="11">
        <v>222.49</v>
      </c>
      <c r="BW16" s="11">
        <v>593.64</v>
      </c>
      <c r="BX16" s="11">
        <v>3.13</v>
      </c>
      <c r="BY16" s="5">
        <v>0</v>
      </c>
      <c r="BZ16" s="5">
        <v>82199</v>
      </c>
      <c r="CA16" s="11">
        <v>331.62</v>
      </c>
      <c r="CB16" s="11">
        <v>81849.41</v>
      </c>
      <c r="CC16" s="11">
        <v>17.97</v>
      </c>
      <c r="CD16" s="11">
        <v>283.33999999999997</v>
      </c>
      <c r="CE16" s="11">
        <v>-646.92999999999995</v>
      </c>
      <c r="CF16" s="11">
        <v>64333.09</v>
      </c>
      <c r="CG16" s="5" t="s">
        <v>102</v>
      </c>
      <c r="CH16" s="11">
        <v>64333.09</v>
      </c>
      <c r="CI16" s="5" t="s">
        <v>102</v>
      </c>
      <c r="CJ16" s="5" t="s">
        <v>102</v>
      </c>
      <c r="CK16" s="11">
        <v>930.28</v>
      </c>
      <c r="CL16" s="5" t="s">
        <v>102</v>
      </c>
      <c r="CM16" s="5" t="s">
        <v>102</v>
      </c>
      <c r="CN16" s="11">
        <v>229401.5</v>
      </c>
      <c r="CO16" s="11">
        <v>146815.43</v>
      </c>
    </row>
    <row r="17" spans="1:93" ht="14.5" x14ac:dyDescent="0.35">
      <c r="A17" s="3" t="s">
        <v>30</v>
      </c>
      <c r="B17" s="10">
        <v>119880.69</v>
      </c>
      <c r="C17" s="10">
        <v>1255.6300000000001</v>
      </c>
      <c r="D17" s="10">
        <v>419.73</v>
      </c>
      <c r="E17" s="10">
        <v>70.92</v>
      </c>
      <c r="F17" s="10">
        <v>217.43</v>
      </c>
      <c r="G17" s="10">
        <v>3490.08</v>
      </c>
      <c r="H17" s="10">
        <v>337.1</v>
      </c>
      <c r="I17" s="10">
        <v>28550.38</v>
      </c>
      <c r="J17" s="10">
        <v>4234.75</v>
      </c>
      <c r="K17" s="10">
        <v>138.51</v>
      </c>
      <c r="L17" s="10">
        <v>124.08</v>
      </c>
      <c r="M17" s="71">
        <f t="shared" si="0"/>
        <v>943.55</v>
      </c>
      <c r="N17" s="44">
        <v>943.55</v>
      </c>
      <c r="O17" s="38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0">
        <v>211.16</v>
      </c>
      <c r="X17" s="10">
        <v>1135.46</v>
      </c>
      <c r="Y17" s="10">
        <v>1324.37</v>
      </c>
      <c r="Z17" s="10">
        <v>732.44</v>
      </c>
      <c r="AA17" s="10">
        <v>1812.44</v>
      </c>
      <c r="AB17" s="10">
        <v>300.24</v>
      </c>
      <c r="AC17" s="10">
        <v>533.79999999999995</v>
      </c>
      <c r="AD17" s="10">
        <v>1005.83</v>
      </c>
      <c r="AE17" s="10">
        <v>1015.9</v>
      </c>
      <c r="AF17" s="10">
        <v>906.58</v>
      </c>
      <c r="AG17" s="10">
        <v>13651.4</v>
      </c>
      <c r="AH17" s="10">
        <v>1287.46</v>
      </c>
      <c r="AI17" s="71">
        <f t="shared" si="1"/>
        <v>2245.5100000000002</v>
      </c>
      <c r="AJ17" s="10">
        <v>2245.5100000000002</v>
      </c>
      <c r="AK17" s="29"/>
      <c r="AL17" s="10">
        <v>35.5</v>
      </c>
      <c r="AM17" s="10">
        <v>411.34</v>
      </c>
      <c r="AN17" s="10">
        <v>36974.33</v>
      </c>
      <c r="AO17" s="10">
        <v>218.97</v>
      </c>
      <c r="AP17" s="10">
        <v>3132.26</v>
      </c>
      <c r="AQ17" s="10">
        <v>1252.08</v>
      </c>
      <c r="AR17" s="10">
        <v>774.65</v>
      </c>
      <c r="AS17" s="10">
        <v>21.82</v>
      </c>
      <c r="AT17" s="10">
        <v>12.66</v>
      </c>
      <c r="AU17" s="10">
        <v>637.66</v>
      </c>
      <c r="AV17" s="10">
        <v>35.25</v>
      </c>
      <c r="AW17" s="10">
        <v>604.11</v>
      </c>
      <c r="AX17" s="10">
        <v>86.01</v>
      </c>
      <c r="AY17" s="10">
        <v>413.02</v>
      </c>
      <c r="AZ17" s="10">
        <v>161.69</v>
      </c>
      <c r="BA17" s="10">
        <v>323.19</v>
      </c>
      <c r="BB17" s="10">
        <v>29.25</v>
      </c>
      <c r="BC17" s="10">
        <v>23.96</v>
      </c>
      <c r="BD17" s="10">
        <v>35.270000000000003</v>
      </c>
      <c r="BE17" s="10">
        <v>2160.9699999999998</v>
      </c>
      <c r="BF17" s="10">
        <v>502.08</v>
      </c>
      <c r="BG17" s="10">
        <v>411.76</v>
      </c>
      <c r="BH17" s="10">
        <v>409.58</v>
      </c>
      <c r="BI17" s="10">
        <v>174.62</v>
      </c>
      <c r="BJ17" s="10">
        <v>241.47</v>
      </c>
      <c r="BK17" s="10">
        <v>489.83</v>
      </c>
      <c r="BL17" s="10">
        <v>57.21</v>
      </c>
      <c r="BM17" s="10">
        <v>15.93</v>
      </c>
      <c r="BN17" s="10">
        <v>1585.87</v>
      </c>
      <c r="BO17" s="10">
        <v>255.89</v>
      </c>
      <c r="BP17" s="10">
        <v>274.62</v>
      </c>
      <c r="BQ17" s="10">
        <v>149.15</v>
      </c>
      <c r="BR17" s="10">
        <v>149.01</v>
      </c>
      <c r="BS17" s="10">
        <v>331.86</v>
      </c>
      <c r="BT17" s="10">
        <v>190.19</v>
      </c>
      <c r="BU17" s="10">
        <v>125.56</v>
      </c>
      <c r="BV17" s="10">
        <v>113.52</v>
      </c>
      <c r="BW17" s="10">
        <v>1110.67</v>
      </c>
      <c r="BX17" s="10">
        <v>3.17</v>
      </c>
      <c r="BY17" s="4">
        <v>0</v>
      </c>
      <c r="BZ17" s="10">
        <v>9009.86</v>
      </c>
      <c r="CA17" s="10">
        <v>0.04</v>
      </c>
      <c r="CB17" s="10">
        <v>9003.08</v>
      </c>
      <c r="CC17" s="10">
        <v>6.74</v>
      </c>
      <c r="CD17" s="10">
        <v>13301.14</v>
      </c>
      <c r="CE17" s="10">
        <v>3792.96</v>
      </c>
      <c r="CF17" s="10">
        <v>25213.06</v>
      </c>
      <c r="CG17" s="4" t="s">
        <v>102</v>
      </c>
      <c r="CH17" s="10">
        <v>25213.06</v>
      </c>
      <c r="CI17" s="4" t="s">
        <v>102</v>
      </c>
      <c r="CJ17" s="4" t="s">
        <v>102</v>
      </c>
      <c r="CK17" s="10">
        <v>9508.18</v>
      </c>
      <c r="CL17" s="4" t="s">
        <v>102</v>
      </c>
      <c r="CM17" s="4" t="s">
        <v>102</v>
      </c>
      <c r="CN17" s="10">
        <v>167404.75</v>
      </c>
      <c r="CO17" s="10">
        <v>47524.06</v>
      </c>
    </row>
    <row r="18" spans="1:93" s="62" customFormat="1" ht="11.5" x14ac:dyDescent="0.35">
      <c r="A18" s="25" t="s">
        <v>31</v>
      </c>
      <c r="B18" s="62">
        <v>145665.32999999999</v>
      </c>
      <c r="C18" s="62">
        <v>592.38</v>
      </c>
      <c r="D18" s="62">
        <v>134.38</v>
      </c>
      <c r="E18" s="62">
        <v>33.659999999999997</v>
      </c>
      <c r="F18" s="62">
        <v>142.05000000000001</v>
      </c>
      <c r="G18" s="62">
        <v>18247.96</v>
      </c>
      <c r="H18" s="62">
        <v>1158.57</v>
      </c>
      <c r="I18" s="62">
        <v>1614.09</v>
      </c>
      <c r="J18" s="62">
        <v>43049.71</v>
      </c>
      <c r="K18" s="62">
        <v>6757.19</v>
      </c>
      <c r="L18" s="62">
        <v>260.83</v>
      </c>
      <c r="M18" s="71">
        <f t="shared" si="0"/>
        <v>4171.8686147886438</v>
      </c>
      <c r="N18" s="39">
        <v>4187.79</v>
      </c>
      <c r="O18" s="39">
        <v>0</v>
      </c>
      <c r="P18" s="39">
        <f>'[1]2023 costs'!$J$30/1000000</f>
        <v>0.84549615046998894</v>
      </c>
      <c r="R18" s="63">
        <f>'[1]2023 costs'!$J$58/1000000</f>
        <v>15.075889060886313</v>
      </c>
      <c r="U18" s="63"/>
      <c r="V18" s="75"/>
      <c r="W18" s="62">
        <v>1888.07</v>
      </c>
      <c r="X18" s="62">
        <v>2782.88</v>
      </c>
      <c r="Y18" s="62">
        <v>1292.45</v>
      </c>
      <c r="Z18" s="62">
        <v>791.52</v>
      </c>
      <c r="AA18" s="62">
        <v>1432.34</v>
      </c>
      <c r="AB18" s="62">
        <v>804.69</v>
      </c>
      <c r="AC18" s="62">
        <v>1563.6</v>
      </c>
      <c r="AD18" s="62">
        <v>1457.4</v>
      </c>
      <c r="AE18" s="62">
        <v>812.24</v>
      </c>
      <c r="AF18" s="62">
        <v>218.47</v>
      </c>
      <c r="AG18" s="62">
        <v>2319.4699999999998</v>
      </c>
      <c r="AH18" s="62">
        <v>572.96</v>
      </c>
      <c r="AI18" s="71">
        <f t="shared" si="1"/>
        <v>1349.5</v>
      </c>
      <c r="AJ18" s="62">
        <v>1349.5</v>
      </c>
      <c r="AL18" s="62">
        <v>82.29</v>
      </c>
      <c r="AM18" s="62">
        <v>1531.17</v>
      </c>
      <c r="AN18" s="62">
        <v>1936.52</v>
      </c>
      <c r="AO18" s="62">
        <v>508.38</v>
      </c>
      <c r="AP18" s="62">
        <v>7514.41</v>
      </c>
      <c r="AQ18" s="62">
        <v>3948.38</v>
      </c>
      <c r="AR18" s="62">
        <v>1089.49</v>
      </c>
      <c r="AS18" s="62">
        <v>62.95</v>
      </c>
      <c r="AT18" s="62">
        <v>31.68</v>
      </c>
      <c r="AU18" s="62">
        <v>1197.4100000000001</v>
      </c>
      <c r="AV18" s="62">
        <v>233</v>
      </c>
      <c r="AW18" s="62">
        <v>2984.59</v>
      </c>
      <c r="AX18" s="62">
        <v>3264.91</v>
      </c>
      <c r="AY18" s="62">
        <v>598.30999999999995</v>
      </c>
      <c r="AZ18" s="62">
        <v>210.3</v>
      </c>
      <c r="BA18" s="62">
        <v>1210.95</v>
      </c>
      <c r="BB18" s="62">
        <v>929.93</v>
      </c>
      <c r="BC18" s="62">
        <v>420.68</v>
      </c>
      <c r="BD18" s="62">
        <v>920.72</v>
      </c>
      <c r="BE18" s="62">
        <v>1264.96</v>
      </c>
      <c r="BF18" s="62">
        <v>3322.16</v>
      </c>
      <c r="BG18" s="62">
        <v>1834.87</v>
      </c>
      <c r="BH18" s="62">
        <v>1125.0899999999999</v>
      </c>
      <c r="BI18" s="62">
        <v>1418.77</v>
      </c>
      <c r="BJ18" s="62">
        <v>1393.68</v>
      </c>
      <c r="BK18" s="62">
        <v>1002.39</v>
      </c>
      <c r="BL18" s="62">
        <v>162.99</v>
      </c>
      <c r="BM18" s="62">
        <v>386.05</v>
      </c>
      <c r="BN18" s="62">
        <v>4290.07</v>
      </c>
      <c r="BO18" s="62">
        <v>1756.83</v>
      </c>
      <c r="BP18" s="62">
        <v>1264.8399999999999</v>
      </c>
      <c r="BQ18" s="62">
        <v>1326.17</v>
      </c>
      <c r="BR18" s="62">
        <v>896.78</v>
      </c>
      <c r="BS18" s="62">
        <v>1111.54</v>
      </c>
      <c r="BT18" s="62">
        <v>381.73</v>
      </c>
      <c r="BU18" s="62">
        <v>264.14999999999998</v>
      </c>
      <c r="BV18" s="62">
        <v>89.09</v>
      </c>
      <c r="BW18" s="62">
        <v>230.84</v>
      </c>
      <c r="BX18" s="62">
        <v>2.08</v>
      </c>
      <c r="BY18" s="62">
        <v>0</v>
      </c>
      <c r="BZ18" s="62">
        <v>31558.06</v>
      </c>
      <c r="CA18" s="62">
        <v>123.91</v>
      </c>
      <c r="CB18" s="62">
        <v>31433.38</v>
      </c>
      <c r="CC18" s="62">
        <v>0.77</v>
      </c>
      <c r="CD18" s="62">
        <v>-3637.98</v>
      </c>
      <c r="CE18" s="62">
        <v>-3638.25</v>
      </c>
      <c r="CF18" s="62">
        <v>43155.74</v>
      </c>
      <c r="CG18" s="62" t="s">
        <v>102</v>
      </c>
      <c r="CH18" s="62">
        <v>43155.74</v>
      </c>
      <c r="CI18" s="62" t="s">
        <v>102</v>
      </c>
      <c r="CJ18" s="62" t="s">
        <v>102</v>
      </c>
      <c r="CK18" s="62">
        <v>0.27</v>
      </c>
      <c r="CL18" s="62" t="s">
        <v>102</v>
      </c>
      <c r="CM18" s="62" t="s">
        <v>102</v>
      </c>
      <c r="CN18" s="62">
        <v>216741.15</v>
      </c>
      <c r="CO18" s="62">
        <v>71075.820000000007</v>
      </c>
    </row>
    <row r="19" spans="1:93" ht="14.5" x14ac:dyDescent="0.35">
      <c r="A19" s="3" t="s">
        <v>32</v>
      </c>
      <c r="B19" s="10">
        <v>56623.56</v>
      </c>
      <c r="C19" s="10">
        <v>92.54</v>
      </c>
      <c r="D19" s="10">
        <v>13.28</v>
      </c>
      <c r="E19" s="10">
        <v>8.4</v>
      </c>
      <c r="F19" s="10">
        <v>28.45</v>
      </c>
      <c r="G19" s="10">
        <v>1022.15</v>
      </c>
      <c r="H19" s="10">
        <v>248.88</v>
      </c>
      <c r="I19" s="10">
        <v>355.17</v>
      </c>
      <c r="J19" s="10">
        <v>1663.26</v>
      </c>
      <c r="K19" s="10">
        <v>3695.85</v>
      </c>
      <c r="L19" s="10">
        <v>100.12</v>
      </c>
      <c r="M19" s="71">
        <f t="shared" si="0"/>
        <v>480.07</v>
      </c>
      <c r="N19" s="10">
        <v>480.07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0">
        <v>377.56</v>
      </c>
      <c r="X19" s="10">
        <v>409.33</v>
      </c>
      <c r="Y19" s="10">
        <v>142.99</v>
      </c>
      <c r="Z19" s="10">
        <v>209.56</v>
      </c>
      <c r="AA19" s="10">
        <v>396.8</v>
      </c>
      <c r="AB19" s="10">
        <v>200.85</v>
      </c>
      <c r="AC19" s="10">
        <v>244.64</v>
      </c>
      <c r="AD19" s="10">
        <v>491.65</v>
      </c>
      <c r="AE19" s="10">
        <v>597.25</v>
      </c>
      <c r="AF19" s="10">
        <v>90.44</v>
      </c>
      <c r="AG19" s="10">
        <v>472.52</v>
      </c>
      <c r="AH19" s="10">
        <v>169.67</v>
      </c>
      <c r="AI19" s="71">
        <f t="shared" si="1"/>
        <v>413.82</v>
      </c>
      <c r="AJ19" s="10">
        <v>413.82</v>
      </c>
      <c r="AK19" s="29"/>
      <c r="AL19" s="10">
        <v>44.94</v>
      </c>
      <c r="AM19" s="10">
        <v>304.8</v>
      </c>
      <c r="AN19" s="10">
        <v>723.94</v>
      </c>
      <c r="AO19" s="10">
        <v>687.63</v>
      </c>
      <c r="AP19" s="10">
        <v>2706.87</v>
      </c>
      <c r="AQ19" s="10">
        <v>3446.42</v>
      </c>
      <c r="AR19" s="10">
        <v>727.96</v>
      </c>
      <c r="AS19" s="10">
        <v>32.56</v>
      </c>
      <c r="AT19" s="10">
        <v>53.48</v>
      </c>
      <c r="AU19" s="10">
        <v>525.28</v>
      </c>
      <c r="AV19" s="10">
        <v>497.15</v>
      </c>
      <c r="AW19" s="10">
        <v>1007.62</v>
      </c>
      <c r="AX19" s="10">
        <v>6115.91</v>
      </c>
      <c r="AY19" s="10">
        <v>1490.44</v>
      </c>
      <c r="AZ19" s="10">
        <v>843.65</v>
      </c>
      <c r="BA19" s="10">
        <v>1570.66</v>
      </c>
      <c r="BB19" s="10">
        <v>1386.04</v>
      </c>
      <c r="BC19" s="10">
        <v>874.22</v>
      </c>
      <c r="BD19" s="10">
        <v>1390.79</v>
      </c>
      <c r="BE19" s="10">
        <v>792.93</v>
      </c>
      <c r="BF19" s="10">
        <v>2234.73</v>
      </c>
      <c r="BG19" s="10">
        <v>1279.93</v>
      </c>
      <c r="BH19" s="10">
        <v>773.67</v>
      </c>
      <c r="BI19" s="10">
        <v>1605.82</v>
      </c>
      <c r="BJ19" s="10">
        <v>1106.27</v>
      </c>
      <c r="BK19" s="10">
        <v>642.54</v>
      </c>
      <c r="BL19" s="10">
        <v>232.84</v>
      </c>
      <c r="BM19" s="10">
        <v>606.02</v>
      </c>
      <c r="BN19" s="10">
        <v>2920.67</v>
      </c>
      <c r="BO19" s="10">
        <v>1860.05</v>
      </c>
      <c r="BP19" s="10">
        <v>1511.52</v>
      </c>
      <c r="BQ19" s="10">
        <v>548.78</v>
      </c>
      <c r="BR19" s="10">
        <v>890.37</v>
      </c>
      <c r="BS19" s="10">
        <v>1448.78</v>
      </c>
      <c r="BT19" s="10">
        <v>753.29</v>
      </c>
      <c r="BU19" s="10">
        <v>764.8</v>
      </c>
      <c r="BV19" s="10">
        <v>70.84</v>
      </c>
      <c r="BW19" s="10">
        <v>223.34</v>
      </c>
      <c r="BX19" s="10">
        <v>0.8</v>
      </c>
      <c r="BY19" s="4">
        <v>0</v>
      </c>
      <c r="BZ19" s="10">
        <v>5009.88</v>
      </c>
      <c r="CA19" s="10">
        <v>7.55</v>
      </c>
      <c r="CB19" s="10">
        <v>4992.26</v>
      </c>
      <c r="CC19" s="10">
        <v>10.08</v>
      </c>
      <c r="CD19" s="10">
        <v>-3399.78</v>
      </c>
      <c r="CE19" s="10">
        <v>-3409.83</v>
      </c>
      <c r="CF19" s="10">
        <v>2760.18</v>
      </c>
      <c r="CG19" s="4" t="s">
        <v>102</v>
      </c>
      <c r="CH19" s="10">
        <v>2760.18</v>
      </c>
      <c r="CI19" s="4" t="s">
        <v>102</v>
      </c>
      <c r="CJ19" s="4" t="s">
        <v>102</v>
      </c>
      <c r="CK19" s="10">
        <v>10.050000000000001</v>
      </c>
      <c r="CL19" s="4" t="s">
        <v>102</v>
      </c>
      <c r="CM19" s="4" t="s">
        <v>102</v>
      </c>
      <c r="CN19" s="10">
        <v>60993.85</v>
      </c>
      <c r="CO19" s="10">
        <v>4370.29</v>
      </c>
    </row>
    <row r="20" spans="1:93" ht="14.5" x14ac:dyDescent="0.35">
      <c r="A20" s="3" t="s">
        <v>33</v>
      </c>
      <c r="B20" s="11">
        <v>277346.2</v>
      </c>
      <c r="C20" s="11">
        <v>10946.23</v>
      </c>
      <c r="D20" s="11">
        <v>1126.97</v>
      </c>
      <c r="E20" s="11">
        <v>613.47</v>
      </c>
      <c r="F20" s="11">
        <v>1826.07</v>
      </c>
      <c r="G20" s="11">
        <v>4049.36</v>
      </c>
      <c r="H20" s="11">
        <v>614.54</v>
      </c>
      <c r="I20" s="11">
        <v>627.79</v>
      </c>
      <c r="J20" s="11">
        <v>685.44</v>
      </c>
      <c r="K20" s="11">
        <v>165.47</v>
      </c>
      <c r="L20" s="11">
        <v>37264.43</v>
      </c>
      <c r="M20" s="71">
        <f t="shared" si="0"/>
        <v>28252.799999999999</v>
      </c>
      <c r="N20" s="11">
        <v>28252.799999999999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1">
        <v>786.52</v>
      </c>
      <c r="X20" s="11">
        <v>1103.31</v>
      </c>
      <c r="Y20" s="11">
        <v>4453.88</v>
      </c>
      <c r="Z20" s="11">
        <v>5776.15</v>
      </c>
      <c r="AA20" s="11">
        <v>1686.89</v>
      </c>
      <c r="AB20" s="11">
        <v>253.1</v>
      </c>
      <c r="AC20" s="11">
        <v>752.7</v>
      </c>
      <c r="AD20" s="11">
        <v>1273.24</v>
      </c>
      <c r="AE20" s="11">
        <v>2099.5</v>
      </c>
      <c r="AF20" s="11">
        <v>355.01</v>
      </c>
      <c r="AG20" s="11">
        <v>814.01</v>
      </c>
      <c r="AH20" s="11">
        <v>1568.22</v>
      </c>
      <c r="AI20" s="71">
        <f t="shared" si="1"/>
        <v>9866.82</v>
      </c>
      <c r="AJ20" s="11">
        <v>9866.82</v>
      </c>
      <c r="AK20" s="29"/>
      <c r="AL20" s="11">
        <v>313.02</v>
      </c>
      <c r="AM20" s="11">
        <v>2919.13</v>
      </c>
      <c r="AN20" s="11">
        <v>21543.69</v>
      </c>
      <c r="AO20" s="11">
        <v>2542.52</v>
      </c>
      <c r="AP20" s="11">
        <v>10133.959999999999</v>
      </c>
      <c r="AQ20" s="11">
        <v>3252.39</v>
      </c>
      <c r="AR20" s="11">
        <v>40245.230000000003</v>
      </c>
      <c r="AS20" s="11">
        <v>15837.62</v>
      </c>
      <c r="AT20" s="11">
        <v>16953.23</v>
      </c>
      <c r="AU20" s="11">
        <v>9157.9</v>
      </c>
      <c r="AV20" s="11">
        <v>1815.97</v>
      </c>
      <c r="AW20" s="11">
        <v>2488.2800000000002</v>
      </c>
      <c r="AX20" s="11">
        <v>164.71</v>
      </c>
      <c r="AY20" s="11">
        <v>507.84</v>
      </c>
      <c r="AZ20" s="11">
        <v>409.39</v>
      </c>
      <c r="BA20" s="11">
        <v>1220.6400000000001</v>
      </c>
      <c r="BB20" s="11">
        <v>449.12</v>
      </c>
      <c r="BC20" s="11">
        <v>670.86</v>
      </c>
      <c r="BD20" s="11">
        <v>1633.02</v>
      </c>
      <c r="BE20" s="11">
        <v>1679.8</v>
      </c>
      <c r="BF20" s="11">
        <v>2347.9899999999998</v>
      </c>
      <c r="BG20" s="11">
        <v>1434.76</v>
      </c>
      <c r="BH20" s="11">
        <v>1268.76</v>
      </c>
      <c r="BI20" s="11">
        <v>480.4</v>
      </c>
      <c r="BJ20" s="11">
        <v>636.02</v>
      </c>
      <c r="BK20" s="11">
        <v>4106.18</v>
      </c>
      <c r="BL20" s="11">
        <v>331.01</v>
      </c>
      <c r="BM20" s="11">
        <v>337.75</v>
      </c>
      <c r="BN20" s="11">
        <v>3265.55</v>
      </c>
      <c r="BO20" s="11">
        <v>4839.93</v>
      </c>
      <c r="BP20" s="11">
        <v>1458.41</v>
      </c>
      <c r="BQ20" s="11">
        <v>1722.16</v>
      </c>
      <c r="BR20" s="11">
        <v>1165.32</v>
      </c>
      <c r="BS20" s="11">
        <v>653.73</v>
      </c>
      <c r="BT20" s="11">
        <v>688.26</v>
      </c>
      <c r="BU20" s="11">
        <v>578.98</v>
      </c>
      <c r="BV20" s="11">
        <v>146.93</v>
      </c>
      <c r="BW20" s="11">
        <v>975.42</v>
      </c>
      <c r="BX20" s="11">
        <v>8.43</v>
      </c>
      <c r="BY20" s="5">
        <v>0</v>
      </c>
      <c r="BZ20" s="11">
        <v>147381.46</v>
      </c>
      <c r="CA20" s="11">
        <v>522.27</v>
      </c>
      <c r="CB20" s="11">
        <v>146851.4</v>
      </c>
      <c r="CC20" s="11">
        <v>7.79</v>
      </c>
      <c r="CD20" s="11">
        <v>-9006.61</v>
      </c>
      <c r="CE20" s="11">
        <v>-9006.61</v>
      </c>
      <c r="CF20" s="11">
        <v>101636.74</v>
      </c>
      <c r="CG20" s="5" t="s">
        <v>102</v>
      </c>
      <c r="CH20" s="11">
        <v>101636.74</v>
      </c>
      <c r="CI20" s="5" t="s">
        <v>102</v>
      </c>
      <c r="CJ20" s="5" t="s">
        <v>102</v>
      </c>
      <c r="CK20" s="5">
        <v>0</v>
      </c>
      <c r="CL20" s="5" t="s">
        <v>102</v>
      </c>
      <c r="CM20" s="5" t="s">
        <v>102</v>
      </c>
      <c r="CN20" s="11">
        <v>517357.78</v>
      </c>
      <c r="CO20" s="11">
        <v>240011.58</v>
      </c>
    </row>
    <row r="21" spans="1:93" s="64" customFormat="1" ht="11.5" x14ac:dyDescent="0.35">
      <c r="A21" s="46" t="s">
        <v>131</v>
      </c>
      <c r="B21" s="94">
        <f t="shared" ref="B21:AH21" si="2">B22-SUM(B23:B30)</f>
        <v>348476.67771988845</v>
      </c>
      <c r="C21" s="80">
        <f t="shared" si="2"/>
        <v>371756.19</v>
      </c>
      <c r="D21" s="64">
        <f t="shared" si="2"/>
        <v>300.58999999999997</v>
      </c>
      <c r="E21" s="64">
        <f t="shared" si="2"/>
        <v>160.6</v>
      </c>
      <c r="F21" s="64">
        <f t="shared" si="2"/>
        <v>1248.19</v>
      </c>
      <c r="G21" s="64">
        <f t="shared" si="2"/>
        <v>11118.01</v>
      </c>
      <c r="H21" s="64">
        <f t="shared" si="2"/>
        <v>7682.61</v>
      </c>
      <c r="I21" s="64">
        <f t="shared" si="2"/>
        <v>4525.74</v>
      </c>
      <c r="J21" s="64">
        <f t="shared" si="2"/>
        <v>7371.85</v>
      </c>
      <c r="K21" s="64">
        <f t="shared" si="2"/>
        <v>1679.2</v>
      </c>
      <c r="L21" s="85">
        <f t="shared" si="2"/>
        <v>14715.45</v>
      </c>
      <c r="M21" s="80">
        <f t="shared" si="2"/>
        <v>106097.24520912777</v>
      </c>
      <c r="N21" s="64">
        <f t="shared" si="2"/>
        <v>106199.75</v>
      </c>
      <c r="O21" s="80">
        <f t="shared" si="2"/>
        <v>0</v>
      </c>
      <c r="P21" s="80">
        <f t="shared" si="2"/>
        <v>102.50479087223586</v>
      </c>
      <c r="Q21" s="80">
        <f t="shared" si="2"/>
        <v>0</v>
      </c>
      <c r="R21" s="80">
        <f t="shared" si="2"/>
        <v>0</v>
      </c>
      <c r="S21" s="64">
        <f t="shared" si="2"/>
        <v>0</v>
      </c>
      <c r="T21" s="64">
        <f t="shared" si="2"/>
        <v>0</v>
      </c>
      <c r="U21" s="64">
        <f t="shared" si="2"/>
        <v>0</v>
      </c>
      <c r="V21" s="64">
        <f t="shared" si="2"/>
        <v>0</v>
      </c>
      <c r="W21" s="64">
        <f t="shared" si="2"/>
        <v>12939.59</v>
      </c>
      <c r="X21" s="64">
        <f t="shared" si="2"/>
        <v>41259.21</v>
      </c>
      <c r="Y21" s="64">
        <f t="shared" si="2"/>
        <v>6552.55</v>
      </c>
      <c r="Z21" s="64">
        <f t="shared" si="2"/>
        <v>6858.1</v>
      </c>
      <c r="AA21" s="64">
        <f t="shared" si="2"/>
        <v>6834.17</v>
      </c>
      <c r="AB21" s="64">
        <f t="shared" si="2"/>
        <v>2841.04</v>
      </c>
      <c r="AC21" s="64">
        <f t="shared" si="2"/>
        <v>5087.42</v>
      </c>
      <c r="AD21" s="64">
        <f t="shared" si="2"/>
        <v>4268.8</v>
      </c>
      <c r="AE21" s="64">
        <f t="shared" si="2"/>
        <v>7947.53</v>
      </c>
      <c r="AF21" s="64">
        <f t="shared" si="2"/>
        <v>2415.7199999999998</v>
      </c>
      <c r="AG21" s="64">
        <f t="shared" si="2"/>
        <v>5960.3</v>
      </c>
      <c r="AH21" s="93">
        <f t="shared" si="2"/>
        <v>2166.19</v>
      </c>
      <c r="AI21" s="71">
        <f>AJ21-AK21</f>
        <v>10254.540565233769</v>
      </c>
      <c r="AJ21" s="64">
        <f t="shared" ref="AJ21:BO21" si="3">AJ22-SUM(AJ23:AJ30)</f>
        <v>10278.42</v>
      </c>
      <c r="AK21" s="85">
        <f t="shared" si="3"/>
        <v>23.879434766232364</v>
      </c>
      <c r="AL21" s="64">
        <f t="shared" si="3"/>
        <v>463.78</v>
      </c>
      <c r="AM21" s="64">
        <f t="shared" si="3"/>
        <v>2226.75</v>
      </c>
      <c r="AN21" s="64">
        <f t="shared" si="3"/>
        <v>16752.21</v>
      </c>
      <c r="AO21" s="64">
        <f t="shared" si="3"/>
        <v>1997.4</v>
      </c>
      <c r="AP21" s="64">
        <f t="shared" si="3"/>
        <v>10892.85</v>
      </c>
      <c r="AQ21" s="64">
        <f t="shared" si="3"/>
        <v>2720.6</v>
      </c>
      <c r="AR21" s="64">
        <f t="shared" si="3"/>
        <v>-21072.682886714429</v>
      </c>
      <c r="AS21" s="64">
        <f t="shared" si="3"/>
        <v>-205.74184470781375</v>
      </c>
      <c r="AT21" s="64">
        <f t="shared" si="3"/>
        <v>66.342451310700042</v>
      </c>
      <c r="AU21" s="64">
        <f t="shared" si="3"/>
        <v>820.8</v>
      </c>
      <c r="AV21" s="64">
        <f t="shared" si="3"/>
        <v>55.08</v>
      </c>
      <c r="AW21" s="64">
        <f t="shared" si="3"/>
        <v>2183.98</v>
      </c>
      <c r="AX21" s="64">
        <f t="shared" si="3"/>
        <v>1398.78</v>
      </c>
      <c r="AY21" s="64">
        <f t="shared" si="3"/>
        <v>302.06</v>
      </c>
      <c r="AZ21" s="64">
        <f t="shared" si="3"/>
        <v>105.74</v>
      </c>
      <c r="BA21" s="64">
        <f t="shared" si="3"/>
        <v>1608.55</v>
      </c>
      <c r="BB21" s="64">
        <f t="shared" si="3"/>
        <v>89.59</v>
      </c>
      <c r="BC21" s="64">
        <f t="shared" si="3"/>
        <v>68.430000000000007</v>
      </c>
      <c r="BD21" s="64">
        <f t="shared" si="3"/>
        <v>55.11</v>
      </c>
      <c r="BE21" s="64">
        <f t="shared" si="3"/>
        <v>3304.55</v>
      </c>
      <c r="BF21" s="64">
        <f t="shared" si="3"/>
        <v>1900.37</v>
      </c>
      <c r="BG21" s="64">
        <f t="shared" si="3"/>
        <v>1918.16</v>
      </c>
      <c r="BH21" s="64">
        <f t="shared" si="3"/>
        <v>5276.42</v>
      </c>
      <c r="BI21" s="64">
        <f t="shared" si="3"/>
        <v>304.58</v>
      </c>
      <c r="BJ21" s="64">
        <f t="shared" si="3"/>
        <v>961.91</v>
      </c>
      <c r="BK21" s="64">
        <f t="shared" si="3"/>
        <v>2667.04</v>
      </c>
      <c r="BL21" s="64">
        <f t="shared" si="3"/>
        <v>215.81</v>
      </c>
      <c r="BM21" s="64">
        <f t="shared" si="3"/>
        <v>64.209999999999994</v>
      </c>
      <c r="BN21" s="64">
        <f t="shared" si="3"/>
        <v>6626.34</v>
      </c>
      <c r="BO21" s="64">
        <f t="shared" si="3"/>
        <v>1413.84</v>
      </c>
      <c r="BP21" s="64">
        <f t="shared" ref="BP21:CU21" si="4">BP22-SUM(BP23:BP30)</f>
        <v>794.96</v>
      </c>
      <c r="BQ21" s="64">
        <f t="shared" si="4"/>
        <v>8885.6</v>
      </c>
      <c r="BR21" s="64">
        <f t="shared" si="4"/>
        <v>1107.6600000000001</v>
      </c>
      <c r="BS21" s="64">
        <f t="shared" si="4"/>
        <v>471.25</v>
      </c>
      <c r="BT21" s="64">
        <f t="shared" si="4"/>
        <v>316.52999999999997</v>
      </c>
      <c r="BU21" s="64">
        <f t="shared" si="4"/>
        <v>276.25</v>
      </c>
      <c r="BV21" s="64">
        <f t="shared" si="4"/>
        <v>107.89</v>
      </c>
      <c r="BW21" s="64">
        <f t="shared" si="4"/>
        <v>2507.08</v>
      </c>
      <c r="BX21" s="64">
        <f t="shared" si="4"/>
        <v>5.62</v>
      </c>
      <c r="BY21" s="64">
        <f t="shared" si="4"/>
        <v>0</v>
      </c>
      <c r="BZ21" s="64">
        <f t="shared" si="4"/>
        <v>54021.05</v>
      </c>
      <c r="CA21" s="64">
        <f t="shared" si="4"/>
        <v>624.47</v>
      </c>
      <c r="CB21" s="94">
        <f t="shared" si="4"/>
        <v>53395.97</v>
      </c>
      <c r="CC21" s="64">
        <f t="shared" si="4"/>
        <v>0.6</v>
      </c>
      <c r="CD21" s="64">
        <f t="shared" si="4"/>
        <v>-359.33</v>
      </c>
      <c r="CE21" s="64">
        <f t="shared" si="4"/>
        <v>-414.64</v>
      </c>
      <c r="CF21" s="64">
        <f t="shared" si="4"/>
        <v>196457.18</v>
      </c>
      <c r="CG21" s="64" t="e">
        <f t="shared" si="4"/>
        <v>#VALUE!</v>
      </c>
      <c r="CH21" s="64">
        <f t="shared" si="4"/>
        <v>196457.18</v>
      </c>
      <c r="CI21" s="64" t="e">
        <f t="shared" si="4"/>
        <v>#VALUE!</v>
      </c>
      <c r="CJ21" s="64" t="e">
        <f t="shared" si="4"/>
        <v>#VALUE!</v>
      </c>
      <c r="CK21" s="64">
        <f t="shared" si="4"/>
        <v>55.32</v>
      </c>
      <c r="CL21" s="64" t="e">
        <f t="shared" si="4"/>
        <v>#VALUE!</v>
      </c>
      <c r="CM21" s="64" t="e">
        <f t="shared" si="4"/>
        <v>#VALUE!</v>
      </c>
      <c r="CN21" s="64">
        <f t="shared" si="4"/>
        <v>621875.07999999996</v>
      </c>
      <c r="CO21" s="64">
        <f t="shared" si="4"/>
        <v>250118.9</v>
      </c>
    </row>
    <row r="22" spans="1:93" s="65" customFormat="1" ht="14.5" x14ac:dyDescent="0.35">
      <c r="A22" s="46" t="s">
        <v>130</v>
      </c>
      <c r="B22" s="53">
        <v>371756.19</v>
      </c>
      <c r="C22" s="53">
        <v>371756.19</v>
      </c>
      <c r="D22" s="40">
        <v>300.58999999999997</v>
      </c>
      <c r="E22" s="40">
        <v>160.6</v>
      </c>
      <c r="F22" s="40">
        <v>1248.19</v>
      </c>
      <c r="G22" s="40">
        <v>11118.01</v>
      </c>
      <c r="H22" s="40">
        <v>7682.61</v>
      </c>
      <c r="I22" s="40">
        <v>4525.74</v>
      </c>
      <c r="J22" s="40">
        <v>7371.85</v>
      </c>
      <c r="K22" s="40">
        <v>1679.2</v>
      </c>
      <c r="L22" s="40">
        <v>14715.45</v>
      </c>
      <c r="M22" s="87">
        <f t="shared" ref="M22:M29" si="5">N22-SUM(O22:U22)</f>
        <v>106097.24520912777</v>
      </c>
      <c r="N22" s="40">
        <v>106199.75</v>
      </c>
      <c r="O22" s="41">
        <f>'[1]2023 costs'!$Q$106/1000000</f>
        <v>0</v>
      </c>
      <c r="P22" s="43">
        <f>'[1]2023 costs'!$P$30/1000000</f>
        <v>102.50479087223586</v>
      </c>
      <c r="Q22" s="41">
        <f>'[1]2023 costs'!$Q$116/1000000</f>
        <v>0</v>
      </c>
      <c r="R22" s="41">
        <f>'[1]2023 costs'!$Q$58/1000000</f>
        <v>0</v>
      </c>
      <c r="S22" s="41"/>
      <c r="T22" s="41"/>
      <c r="U22" s="41"/>
      <c r="V22" s="74"/>
      <c r="W22" s="40">
        <v>12939.59</v>
      </c>
      <c r="X22" s="40">
        <v>41259.21</v>
      </c>
      <c r="Y22" s="40">
        <v>6552.55</v>
      </c>
      <c r="Z22" s="40">
        <v>6858.1</v>
      </c>
      <c r="AA22" s="40">
        <v>6834.17</v>
      </c>
      <c r="AB22" s="40">
        <v>2841.04</v>
      </c>
      <c r="AC22" s="40">
        <v>5087.42</v>
      </c>
      <c r="AD22" s="40">
        <v>4268.8</v>
      </c>
      <c r="AE22" s="40">
        <v>7947.53</v>
      </c>
      <c r="AF22" s="40">
        <v>2415.7199999999998</v>
      </c>
      <c r="AG22" s="40">
        <v>5960.3</v>
      </c>
      <c r="AH22" s="40">
        <v>2166.19</v>
      </c>
      <c r="AI22" s="71">
        <f t="shared" si="1"/>
        <v>10254.463455035971</v>
      </c>
      <c r="AJ22" s="40">
        <v>10278.42</v>
      </c>
      <c r="AK22" s="43">
        <f>'[1]2023 costs'!$P$77/1000000</f>
        <v>23.956544964028783</v>
      </c>
      <c r="AL22" s="40">
        <v>463.78</v>
      </c>
      <c r="AM22" s="40">
        <v>2226.75</v>
      </c>
      <c r="AN22" s="40">
        <v>16752.21</v>
      </c>
      <c r="AO22" s="40">
        <v>1997.4</v>
      </c>
      <c r="AP22" s="40">
        <v>10892.85</v>
      </c>
      <c r="AQ22" s="40">
        <v>2720.6</v>
      </c>
      <c r="AR22" s="40">
        <v>1872.63</v>
      </c>
      <c r="AS22" s="40">
        <v>105.55</v>
      </c>
      <c r="AT22" s="40">
        <v>89.25</v>
      </c>
      <c r="AU22" s="40">
        <v>820.8</v>
      </c>
      <c r="AV22" s="40">
        <v>55.08</v>
      </c>
      <c r="AW22" s="40">
        <v>2183.98</v>
      </c>
      <c r="AX22" s="40">
        <v>1398.78</v>
      </c>
      <c r="AY22" s="40">
        <v>302.06</v>
      </c>
      <c r="AZ22" s="40">
        <v>105.74</v>
      </c>
      <c r="BA22" s="40">
        <v>1608.55</v>
      </c>
      <c r="BB22" s="40">
        <v>89.59</v>
      </c>
      <c r="BC22" s="40">
        <v>68.430000000000007</v>
      </c>
      <c r="BD22" s="40">
        <v>55.11</v>
      </c>
      <c r="BE22" s="40">
        <v>3304.55</v>
      </c>
      <c r="BF22" s="40">
        <v>1900.37</v>
      </c>
      <c r="BG22" s="40">
        <v>1918.16</v>
      </c>
      <c r="BH22" s="40">
        <v>5276.42</v>
      </c>
      <c r="BI22" s="40">
        <v>304.58</v>
      </c>
      <c r="BJ22" s="40">
        <v>961.91</v>
      </c>
      <c r="BK22" s="40">
        <v>2667.04</v>
      </c>
      <c r="BL22" s="40">
        <v>215.81</v>
      </c>
      <c r="BM22" s="40">
        <v>64.209999999999994</v>
      </c>
      <c r="BN22" s="40">
        <v>6626.34</v>
      </c>
      <c r="BO22" s="40">
        <v>1413.84</v>
      </c>
      <c r="BP22" s="40">
        <v>794.96</v>
      </c>
      <c r="BQ22" s="40">
        <v>8885.6</v>
      </c>
      <c r="BR22" s="40">
        <v>1107.6600000000001</v>
      </c>
      <c r="BS22" s="40">
        <v>471.25</v>
      </c>
      <c r="BT22" s="40">
        <v>316.52999999999997</v>
      </c>
      <c r="BU22" s="40">
        <v>276.25</v>
      </c>
      <c r="BV22" s="40">
        <v>107.89</v>
      </c>
      <c r="BW22" s="40">
        <v>2507.08</v>
      </c>
      <c r="BX22" s="40">
        <v>5.62</v>
      </c>
      <c r="BY22" s="41">
        <v>0</v>
      </c>
      <c r="BZ22" s="40">
        <v>54021.05</v>
      </c>
      <c r="CA22" s="40">
        <v>624.47</v>
      </c>
      <c r="CB22" s="40">
        <v>53395.97</v>
      </c>
      <c r="CC22" s="40">
        <v>0.6</v>
      </c>
      <c r="CD22" s="40">
        <v>-359.33</v>
      </c>
      <c r="CE22" s="40">
        <v>-414.64</v>
      </c>
      <c r="CF22" s="40">
        <v>196457.18</v>
      </c>
      <c r="CG22" s="41" t="s">
        <v>102</v>
      </c>
      <c r="CH22" s="40">
        <v>196457.18</v>
      </c>
      <c r="CI22" s="41" t="s">
        <v>102</v>
      </c>
      <c r="CJ22" s="41" t="s">
        <v>102</v>
      </c>
      <c r="CK22" s="40">
        <v>55.32</v>
      </c>
      <c r="CL22" s="41" t="s">
        <v>102</v>
      </c>
      <c r="CM22" s="41" t="s">
        <v>102</v>
      </c>
      <c r="CN22" s="40">
        <v>621875.07999999996</v>
      </c>
      <c r="CO22" s="40">
        <v>250118.9</v>
      </c>
    </row>
    <row r="23" spans="1:93" s="55" customFormat="1" ht="14.5" x14ac:dyDescent="0.35">
      <c r="A23" s="13" t="s">
        <v>122</v>
      </c>
      <c r="B23" s="31">
        <f>'[2]Market prices'!$H$15</f>
        <v>15969.07806818182</v>
      </c>
      <c r="C23" s="86">
        <v>0</v>
      </c>
      <c r="D23" s="14">
        <v>0</v>
      </c>
      <c r="E23" s="14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/>
      <c r="M23" s="14">
        <f t="shared" si="5"/>
        <v>0</v>
      </c>
      <c r="N23" s="14"/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71">
        <f>AJ23-AK23</f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32">
        <f>'[2]Market prices'!$I$17</f>
        <v>15779.358701872621</v>
      </c>
      <c r="AS23" s="32">
        <f>'[2]Market prices'!$K$17</f>
        <v>189.71936630919828</v>
      </c>
      <c r="AT23" s="14"/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/>
      <c r="CO23" s="14"/>
    </row>
    <row r="24" spans="1:93" s="55" customFormat="1" ht="14.5" x14ac:dyDescent="0.35">
      <c r="A24" s="13" t="s">
        <v>123</v>
      </c>
      <c r="B24" s="32">
        <f>'[2]Market prices'!$H$3</f>
        <v>2109.8060243287136</v>
      </c>
      <c r="C24" s="15">
        <v>0</v>
      </c>
      <c r="D24" s="14">
        <v>0</v>
      </c>
      <c r="E24" s="14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4">
        <f t="shared" si="5"/>
        <v>0</v>
      </c>
      <c r="N24" s="14"/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71">
        <f t="shared" si="1"/>
        <v>-7.7110197796418659E-2</v>
      </c>
      <c r="AJ24" s="18">
        <v>0</v>
      </c>
      <c r="AK24" s="43">
        <f>'[1]2023 costs'!$J$78/1000000</f>
        <v>7.7110197796418659E-2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32">
        <f>'[2]Market prices'!$I$5</f>
        <v>1965.3259972407984</v>
      </c>
      <c r="AS24" s="32">
        <f>'[2]Market prices'!$K$5</f>
        <v>121.5724783986155</v>
      </c>
      <c r="AT24" s="32">
        <f>'[2]Market prices'!$J$5</f>
        <v>22.907548689299958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/>
      <c r="CO24" s="14"/>
    </row>
    <row r="25" spans="1:93" s="56" customFormat="1" ht="14.5" x14ac:dyDescent="0.35">
      <c r="A25" s="16" t="s">
        <v>124</v>
      </c>
      <c r="B25" s="33">
        <f>'[2]Market prices'!$H$18</f>
        <v>4992.9509505703409</v>
      </c>
      <c r="C25" s="18">
        <v>0</v>
      </c>
      <c r="D25" s="17">
        <v>0</v>
      </c>
      <c r="E25" s="17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7">
        <f t="shared" si="5"/>
        <v>0</v>
      </c>
      <c r="N25" s="17"/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89">
        <f t="shared" si="1"/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33">
        <f>'[2]Market prices'!$I$20</f>
        <v>4992.9509505703409</v>
      </c>
      <c r="AS25" s="17">
        <v>0</v>
      </c>
      <c r="AT25" s="17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7"/>
      <c r="CO25" s="17"/>
    </row>
    <row r="26" spans="1:93" s="56" customFormat="1" ht="14.5" x14ac:dyDescent="0.35">
      <c r="A26" s="16" t="s">
        <v>125</v>
      </c>
      <c r="B26" s="33">
        <f>'[2]Market prices'!$H$7</f>
        <v>207.67723703066784</v>
      </c>
      <c r="C26" s="18">
        <v>0</v>
      </c>
      <c r="D26" s="17">
        <v>0</v>
      </c>
      <c r="E26" s="17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7">
        <f t="shared" si="5"/>
        <v>0</v>
      </c>
      <c r="N26" s="17"/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89">
        <f t="shared" si="1"/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33">
        <f>'[2]Market prices'!$I$9</f>
        <v>207.67723703066784</v>
      </c>
      <c r="AS26" s="17">
        <v>0</v>
      </c>
      <c r="AT26" s="17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7"/>
      <c r="CO26" s="17"/>
    </row>
    <row r="27" spans="1:93" s="57" customFormat="1" ht="14.5" x14ac:dyDescent="0.35">
      <c r="A27" s="19" t="s">
        <v>126</v>
      </c>
      <c r="B27" s="20">
        <v>0</v>
      </c>
      <c r="C27" s="21">
        <v>0</v>
      </c>
      <c r="D27" s="20">
        <v>0</v>
      </c>
      <c r="E27" s="20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20">
        <f t="shared" si="5"/>
        <v>0</v>
      </c>
      <c r="N27" s="20"/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89">
        <f t="shared" si="1"/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20">
        <v>0</v>
      </c>
      <c r="AS27" s="20">
        <v>0</v>
      </c>
      <c r="AT27" s="20"/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20"/>
      <c r="CO27" s="20"/>
    </row>
    <row r="28" spans="1:93" s="57" customFormat="1" ht="14.5" x14ac:dyDescent="0.35">
      <c r="A28" s="19" t="s">
        <v>127</v>
      </c>
      <c r="B28" s="20">
        <v>0</v>
      </c>
      <c r="C28" s="21">
        <v>0</v>
      </c>
      <c r="D28" s="20">
        <v>0</v>
      </c>
      <c r="E28" s="20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20">
        <f t="shared" si="5"/>
        <v>0</v>
      </c>
      <c r="N28" s="20"/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89">
        <f t="shared" si="1"/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20">
        <v>0</v>
      </c>
      <c r="AS28" s="20">
        <v>0</v>
      </c>
      <c r="AT28" s="88"/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20"/>
      <c r="CO28" s="20"/>
    </row>
    <row r="29" spans="1:93" s="58" customFormat="1" ht="14.5" x14ac:dyDescent="0.35">
      <c r="A29" s="22" t="s">
        <v>128</v>
      </c>
      <c r="B29" s="23">
        <v>0</v>
      </c>
      <c r="C29" s="24">
        <v>0</v>
      </c>
      <c r="D29" s="23">
        <v>0</v>
      </c>
      <c r="E29" s="23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23">
        <f t="shared" si="5"/>
        <v>0</v>
      </c>
      <c r="N29" s="23"/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89">
        <f t="shared" si="1"/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23">
        <v>0</v>
      </c>
      <c r="AS29" s="23">
        <v>0</v>
      </c>
      <c r="AT29" s="23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23"/>
      <c r="CO29" s="23"/>
    </row>
    <row r="30" spans="1:93" s="72" customFormat="1" ht="14.5" x14ac:dyDescent="0.35">
      <c r="A30" s="73" t="s">
        <v>132</v>
      </c>
      <c r="B30" s="77"/>
      <c r="C30" s="74">
        <v>0</v>
      </c>
      <c r="D30" s="77">
        <v>0</v>
      </c>
      <c r="E30" s="77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78"/>
      <c r="N30" s="77"/>
      <c r="O30" s="74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89">
        <f t="shared" si="1"/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77">
        <v>0</v>
      </c>
      <c r="AS30" s="77">
        <v>0</v>
      </c>
      <c r="AT30" s="77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77"/>
      <c r="CO30" s="77"/>
    </row>
    <row r="31" spans="1:93" ht="14.5" x14ac:dyDescent="0.35">
      <c r="A31" s="3" t="s">
        <v>34</v>
      </c>
      <c r="B31" s="11">
        <v>72121.850000000006</v>
      </c>
      <c r="C31" s="11">
        <v>1030.33</v>
      </c>
      <c r="D31" s="11">
        <v>2.97</v>
      </c>
      <c r="E31" s="11">
        <v>19.46</v>
      </c>
      <c r="F31" s="11">
        <v>10.4</v>
      </c>
      <c r="G31" s="11">
        <v>2317.54</v>
      </c>
      <c r="H31" s="11">
        <v>36.9</v>
      </c>
      <c r="I31" s="11">
        <v>14.27</v>
      </c>
      <c r="J31" s="11">
        <v>29.56</v>
      </c>
      <c r="K31" s="11">
        <v>4.7699999999999996</v>
      </c>
      <c r="L31" s="11">
        <v>42.71</v>
      </c>
      <c r="M31" s="71">
        <f t="shared" ref="M31:M42" si="6">N31-SUM(O31:U31)</f>
        <v>2905.7</v>
      </c>
      <c r="N31" s="11">
        <v>2905.7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1">
        <v>18500.04</v>
      </c>
      <c r="X31" s="11">
        <v>1036.1500000000001</v>
      </c>
      <c r="Y31" s="11">
        <v>169.45</v>
      </c>
      <c r="Z31" s="11">
        <v>22.99</v>
      </c>
      <c r="AA31" s="11">
        <v>26.35</v>
      </c>
      <c r="AB31" s="11">
        <v>37.450000000000003</v>
      </c>
      <c r="AC31" s="11">
        <v>22.43</v>
      </c>
      <c r="AD31" s="11">
        <v>42.81</v>
      </c>
      <c r="AE31" s="11">
        <v>22.3</v>
      </c>
      <c r="AF31" s="11">
        <v>10.87</v>
      </c>
      <c r="AG31" s="11">
        <v>266.8</v>
      </c>
      <c r="AH31" s="11">
        <v>49.87</v>
      </c>
      <c r="AI31" s="89">
        <f t="shared" si="1"/>
        <v>25.54</v>
      </c>
      <c r="AJ31" s="11">
        <v>25.54</v>
      </c>
      <c r="AK31" s="29"/>
      <c r="AL31" s="11">
        <v>1.79</v>
      </c>
      <c r="AM31" s="11">
        <v>59.38</v>
      </c>
      <c r="AN31" s="11">
        <v>60.98</v>
      </c>
      <c r="AO31" s="11">
        <v>5.62</v>
      </c>
      <c r="AP31" s="11">
        <v>3115.32</v>
      </c>
      <c r="AQ31" s="11">
        <v>896.16</v>
      </c>
      <c r="AR31" s="11">
        <v>45.43</v>
      </c>
      <c r="AS31" s="11">
        <v>2.29</v>
      </c>
      <c r="AT31" s="11">
        <v>2.4700000000000002</v>
      </c>
      <c r="AU31" s="11">
        <v>70.64</v>
      </c>
      <c r="AV31" s="11">
        <v>14.82</v>
      </c>
      <c r="AW31" s="11">
        <v>104.17</v>
      </c>
      <c r="AX31" s="11">
        <v>10.56</v>
      </c>
      <c r="AY31" s="11">
        <v>3.57</v>
      </c>
      <c r="AZ31" s="11">
        <v>14.67</v>
      </c>
      <c r="BA31" s="11">
        <v>266.64999999999998</v>
      </c>
      <c r="BB31" s="11">
        <v>4.87</v>
      </c>
      <c r="BC31" s="11">
        <v>4.3600000000000003</v>
      </c>
      <c r="BD31" s="11">
        <v>1.71</v>
      </c>
      <c r="BE31" s="11">
        <v>387.99</v>
      </c>
      <c r="BF31" s="11">
        <v>519.29999999999995</v>
      </c>
      <c r="BG31" s="11">
        <v>169.73</v>
      </c>
      <c r="BH31" s="5">
        <v>2436</v>
      </c>
      <c r="BI31" s="11">
        <v>83.74</v>
      </c>
      <c r="BJ31" s="11">
        <v>904.75</v>
      </c>
      <c r="BK31" s="11">
        <v>1123.0999999999999</v>
      </c>
      <c r="BL31" s="11">
        <v>69.47</v>
      </c>
      <c r="BM31" s="11">
        <v>1.63</v>
      </c>
      <c r="BN31" s="11">
        <v>458.38</v>
      </c>
      <c r="BO31" s="11">
        <v>869.54</v>
      </c>
      <c r="BP31" s="11">
        <v>470.29</v>
      </c>
      <c r="BQ31" s="11">
        <v>30564.85</v>
      </c>
      <c r="BR31" s="11">
        <v>2573.75</v>
      </c>
      <c r="BS31" s="11">
        <v>21.29</v>
      </c>
      <c r="BT31" s="11">
        <v>32.01</v>
      </c>
      <c r="BU31" s="11">
        <v>31.8</v>
      </c>
      <c r="BV31" s="11">
        <v>3.84</v>
      </c>
      <c r="BW31" s="11">
        <v>57.49</v>
      </c>
      <c r="BX31" s="11">
        <v>9.8000000000000007</v>
      </c>
      <c r="BY31" s="5">
        <v>0</v>
      </c>
      <c r="BZ31" s="11">
        <v>101179.67</v>
      </c>
      <c r="CA31" s="11">
        <v>51857.72</v>
      </c>
      <c r="CB31" s="11">
        <v>49300.639999999999</v>
      </c>
      <c r="CC31" s="11">
        <v>21.31</v>
      </c>
      <c r="CD31" s="11">
        <v>-41066.449999999997</v>
      </c>
      <c r="CE31" s="11">
        <v>-41067.230000000003</v>
      </c>
      <c r="CF31" s="11">
        <v>203993.76</v>
      </c>
      <c r="CG31" s="5" t="s">
        <v>102</v>
      </c>
      <c r="CH31" s="11">
        <v>203993.76</v>
      </c>
      <c r="CI31" s="5" t="s">
        <v>102</v>
      </c>
      <c r="CJ31" s="5" t="s">
        <v>102</v>
      </c>
      <c r="CK31" s="11">
        <v>0.78</v>
      </c>
      <c r="CL31" s="5" t="s">
        <v>102</v>
      </c>
      <c r="CM31" s="5" t="s">
        <v>102</v>
      </c>
      <c r="CN31" s="11">
        <v>336228.83</v>
      </c>
      <c r="CO31" s="11">
        <v>264106.98</v>
      </c>
    </row>
    <row r="32" spans="1:93" ht="14.5" x14ac:dyDescent="0.35">
      <c r="A32" s="3" t="s">
        <v>35</v>
      </c>
      <c r="B32" s="10">
        <v>258792.05</v>
      </c>
      <c r="C32" s="10">
        <v>2002.38</v>
      </c>
      <c r="D32" s="10">
        <v>73.010000000000005</v>
      </c>
      <c r="E32" s="10">
        <v>63.36</v>
      </c>
      <c r="F32" s="10">
        <v>350.46</v>
      </c>
      <c r="G32" s="10">
        <v>17290.37</v>
      </c>
      <c r="H32" s="10">
        <v>2377.7399999999998</v>
      </c>
      <c r="I32" s="10">
        <v>1272.46</v>
      </c>
      <c r="J32" s="10">
        <v>2481.35</v>
      </c>
      <c r="K32" s="10">
        <v>713.21</v>
      </c>
      <c r="L32" s="10">
        <v>1647.32</v>
      </c>
      <c r="M32" s="71">
        <f t="shared" si="6"/>
        <v>7799.63</v>
      </c>
      <c r="N32" s="10">
        <v>7799.63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0">
        <v>3521.06</v>
      </c>
      <c r="X32" s="10">
        <v>37369.5</v>
      </c>
      <c r="Y32" s="10">
        <v>3383.13</v>
      </c>
      <c r="Z32" s="10">
        <v>2595.64</v>
      </c>
      <c r="AA32" s="10">
        <v>7949.88</v>
      </c>
      <c r="AB32" s="10">
        <v>3286.87</v>
      </c>
      <c r="AC32" s="10">
        <v>8659.2999999999993</v>
      </c>
      <c r="AD32" s="10">
        <v>11525.72</v>
      </c>
      <c r="AE32" s="10">
        <v>27733.23</v>
      </c>
      <c r="AF32" s="10">
        <v>2288.29</v>
      </c>
      <c r="AG32" s="10">
        <v>5964.29</v>
      </c>
      <c r="AH32" s="10">
        <v>3393.84</v>
      </c>
      <c r="AI32" s="89">
        <f t="shared" si="1"/>
        <v>1051.43</v>
      </c>
      <c r="AJ32" s="10">
        <v>1051.43</v>
      </c>
      <c r="AK32" s="29"/>
      <c r="AL32" s="10">
        <v>144.91</v>
      </c>
      <c r="AM32" s="10">
        <v>1512.08</v>
      </c>
      <c r="AN32" s="10">
        <v>50457.91</v>
      </c>
      <c r="AO32" s="10">
        <v>5192.1499999999996</v>
      </c>
      <c r="AP32" s="10">
        <v>8698.2800000000007</v>
      </c>
      <c r="AQ32" s="10">
        <v>4453.28</v>
      </c>
      <c r="AR32" s="10">
        <v>4276.03</v>
      </c>
      <c r="AS32" s="10">
        <v>84.19</v>
      </c>
      <c r="AT32" s="10">
        <v>115.29</v>
      </c>
      <c r="AU32" s="10">
        <v>1531.45</v>
      </c>
      <c r="AV32" s="10">
        <v>198.23</v>
      </c>
      <c r="AW32" s="10">
        <v>1326.27</v>
      </c>
      <c r="AX32" s="10">
        <v>339.82</v>
      </c>
      <c r="AY32" s="10">
        <v>214.99</v>
      </c>
      <c r="AZ32" s="10">
        <v>805.93</v>
      </c>
      <c r="BA32" s="10">
        <v>1093.6199999999999</v>
      </c>
      <c r="BB32" s="10">
        <v>333.81</v>
      </c>
      <c r="BC32" s="10">
        <v>216.69</v>
      </c>
      <c r="BD32" s="10">
        <v>189.65</v>
      </c>
      <c r="BE32" s="10">
        <v>3067.68</v>
      </c>
      <c r="BF32" s="10">
        <v>1694.48</v>
      </c>
      <c r="BG32" s="10">
        <v>2024.13</v>
      </c>
      <c r="BH32" s="10">
        <v>2959.23</v>
      </c>
      <c r="BI32" s="10">
        <v>550.30999999999995</v>
      </c>
      <c r="BJ32" s="10">
        <v>835.72</v>
      </c>
      <c r="BK32" s="10">
        <v>1654.85</v>
      </c>
      <c r="BL32" s="10">
        <v>122.89</v>
      </c>
      <c r="BM32" s="10">
        <v>55.47</v>
      </c>
      <c r="BN32" s="10">
        <v>4256.46</v>
      </c>
      <c r="BO32" s="10">
        <v>765.03</v>
      </c>
      <c r="BP32" s="10">
        <v>384.26</v>
      </c>
      <c r="BQ32" s="10">
        <v>1951.45</v>
      </c>
      <c r="BR32" s="10">
        <v>914.81</v>
      </c>
      <c r="BS32" s="10">
        <v>491.67</v>
      </c>
      <c r="BT32" s="10">
        <v>233.71</v>
      </c>
      <c r="BU32" s="10">
        <v>139.94999999999999</v>
      </c>
      <c r="BV32" s="10">
        <v>261.33</v>
      </c>
      <c r="BW32" s="10">
        <v>444.58</v>
      </c>
      <c r="BX32" s="10">
        <v>6.02</v>
      </c>
      <c r="BY32" s="4">
        <v>0</v>
      </c>
      <c r="BZ32" s="10">
        <v>23982.77</v>
      </c>
      <c r="CA32" s="10">
        <v>101.53</v>
      </c>
      <c r="CB32" s="10">
        <v>23880.98</v>
      </c>
      <c r="CC32" s="10">
        <v>0.27</v>
      </c>
      <c r="CD32" s="10">
        <v>1638.39</v>
      </c>
      <c r="CE32" s="10">
        <v>-2019.93</v>
      </c>
      <c r="CF32" s="10">
        <v>64460.66</v>
      </c>
      <c r="CG32" s="4" t="s">
        <v>102</v>
      </c>
      <c r="CH32" s="10">
        <v>64460.66</v>
      </c>
      <c r="CI32" s="4" t="s">
        <v>102</v>
      </c>
      <c r="CJ32" s="4" t="s">
        <v>102</v>
      </c>
      <c r="CK32" s="10">
        <v>3658.32</v>
      </c>
      <c r="CL32" s="4" t="s">
        <v>102</v>
      </c>
      <c r="CM32" s="4" t="s">
        <v>102</v>
      </c>
      <c r="CN32" s="10">
        <v>348873.88</v>
      </c>
      <c r="CO32" s="10">
        <v>90081.83</v>
      </c>
    </row>
    <row r="33" spans="1:93" ht="14.5" x14ac:dyDescent="0.35">
      <c r="A33" s="3" t="s">
        <v>36</v>
      </c>
      <c r="B33" s="11">
        <v>203900.16</v>
      </c>
      <c r="C33" s="11">
        <v>1540.85</v>
      </c>
      <c r="D33" s="11">
        <v>54.64</v>
      </c>
      <c r="E33" s="11">
        <v>51.59</v>
      </c>
      <c r="F33" s="11">
        <v>1096.25</v>
      </c>
      <c r="G33" s="11">
        <v>6779.8</v>
      </c>
      <c r="H33" s="11">
        <v>386.65</v>
      </c>
      <c r="I33" s="11">
        <v>1597.33</v>
      </c>
      <c r="J33" s="11">
        <v>185.49</v>
      </c>
      <c r="K33" s="11">
        <v>29.4</v>
      </c>
      <c r="L33" s="11">
        <v>337.04</v>
      </c>
      <c r="M33" s="71">
        <f t="shared" si="6"/>
        <v>2318.91</v>
      </c>
      <c r="N33" s="11">
        <v>2318.91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1">
        <v>889.67</v>
      </c>
      <c r="X33" s="11">
        <v>2328.67</v>
      </c>
      <c r="Y33" s="11">
        <v>24088.79</v>
      </c>
      <c r="Z33" s="11">
        <v>3491.47</v>
      </c>
      <c r="AA33" s="11">
        <v>3626.71</v>
      </c>
      <c r="AB33" s="11">
        <v>1173.07</v>
      </c>
      <c r="AC33" s="11">
        <v>2335.4899999999998</v>
      </c>
      <c r="AD33" s="11">
        <v>2090.7199999999998</v>
      </c>
      <c r="AE33" s="11">
        <v>3898.93</v>
      </c>
      <c r="AF33" s="11">
        <v>670.74</v>
      </c>
      <c r="AG33" s="11">
        <v>1771.88</v>
      </c>
      <c r="AH33" s="11">
        <v>2060.89</v>
      </c>
      <c r="AI33" s="89">
        <f t="shared" si="1"/>
        <v>1801.67</v>
      </c>
      <c r="AJ33" s="11">
        <v>1801.67</v>
      </c>
      <c r="AK33" s="29"/>
      <c r="AL33" s="11">
        <v>295.41000000000003</v>
      </c>
      <c r="AM33" s="11">
        <v>1201.3499999999999</v>
      </c>
      <c r="AN33" s="11">
        <v>114192.92</v>
      </c>
      <c r="AO33" s="11">
        <v>1035.79</v>
      </c>
      <c r="AP33" s="11">
        <v>3220.75</v>
      </c>
      <c r="AQ33" s="11">
        <v>1181.55</v>
      </c>
      <c r="AR33" s="11">
        <v>862.16</v>
      </c>
      <c r="AS33" s="11">
        <v>29.62</v>
      </c>
      <c r="AT33" s="11">
        <v>42.31</v>
      </c>
      <c r="AU33" s="11">
        <v>615.66999999999996</v>
      </c>
      <c r="AV33" s="11">
        <v>19.93</v>
      </c>
      <c r="AW33" s="11">
        <v>1422.26</v>
      </c>
      <c r="AX33" s="11">
        <v>30.2</v>
      </c>
      <c r="AY33" s="11">
        <v>14.29</v>
      </c>
      <c r="AZ33" s="11">
        <v>322.55</v>
      </c>
      <c r="BA33" s="11">
        <v>345.77</v>
      </c>
      <c r="BB33" s="11">
        <v>46.37</v>
      </c>
      <c r="BC33" s="11">
        <v>3.62</v>
      </c>
      <c r="BD33" s="11">
        <v>18.09</v>
      </c>
      <c r="BE33" s="11">
        <v>4665.13</v>
      </c>
      <c r="BF33" s="11">
        <v>557.91</v>
      </c>
      <c r="BG33" s="11">
        <v>1165.57</v>
      </c>
      <c r="BH33" s="11">
        <v>973.6</v>
      </c>
      <c r="BI33" s="11">
        <v>125.76</v>
      </c>
      <c r="BJ33" s="11">
        <v>284.04000000000002</v>
      </c>
      <c r="BK33" s="11">
        <v>773.53</v>
      </c>
      <c r="BL33" s="11">
        <v>68.92</v>
      </c>
      <c r="BM33" s="11">
        <v>16.84</v>
      </c>
      <c r="BN33" s="11">
        <v>1978.02</v>
      </c>
      <c r="BO33" s="11">
        <v>812.25</v>
      </c>
      <c r="BP33" s="11">
        <v>411.93</v>
      </c>
      <c r="BQ33" s="11">
        <v>1180.54</v>
      </c>
      <c r="BR33" s="11">
        <v>215.19</v>
      </c>
      <c r="BS33" s="11">
        <v>370.5</v>
      </c>
      <c r="BT33" s="11">
        <v>181.44</v>
      </c>
      <c r="BU33" s="11">
        <v>162.83000000000001</v>
      </c>
      <c r="BV33" s="11">
        <v>88.84</v>
      </c>
      <c r="BW33" s="11">
        <v>355.39</v>
      </c>
      <c r="BX33" s="11">
        <v>4.7</v>
      </c>
      <c r="BY33" s="5">
        <v>0</v>
      </c>
      <c r="BZ33" s="11">
        <v>17306.939999999999</v>
      </c>
      <c r="CA33" s="11">
        <v>0.24</v>
      </c>
      <c r="CB33" s="11">
        <v>17306.7</v>
      </c>
      <c r="CC33" s="5">
        <v>0</v>
      </c>
      <c r="CD33" s="11">
        <v>-352.19</v>
      </c>
      <c r="CE33" s="11">
        <v>-7989.28</v>
      </c>
      <c r="CF33" s="11">
        <v>31016.18</v>
      </c>
      <c r="CG33" s="5" t="s">
        <v>102</v>
      </c>
      <c r="CH33" s="11">
        <v>31016.18</v>
      </c>
      <c r="CI33" s="5" t="s">
        <v>102</v>
      </c>
      <c r="CJ33" s="5" t="s">
        <v>102</v>
      </c>
      <c r="CK33" s="11">
        <v>7637.08</v>
      </c>
      <c r="CL33" s="5" t="s">
        <v>102</v>
      </c>
      <c r="CM33" s="5" t="s">
        <v>102</v>
      </c>
      <c r="CN33" s="11">
        <v>251871.08</v>
      </c>
      <c r="CO33" s="11">
        <v>47970.92</v>
      </c>
    </row>
    <row r="34" spans="1:93" ht="14.5" x14ac:dyDescent="0.35">
      <c r="A34" s="3" t="s">
        <v>37</v>
      </c>
      <c r="B34" s="10">
        <v>405360.2</v>
      </c>
      <c r="C34" s="10">
        <v>184.93</v>
      </c>
      <c r="D34" s="10">
        <v>24.53</v>
      </c>
      <c r="E34" s="10">
        <v>3.47</v>
      </c>
      <c r="F34" s="10">
        <v>473.62</v>
      </c>
      <c r="G34" s="10">
        <v>2107.3200000000002</v>
      </c>
      <c r="H34" s="10">
        <v>516.71</v>
      </c>
      <c r="I34" s="10">
        <v>869.53</v>
      </c>
      <c r="J34" s="10">
        <v>542.84</v>
      </c>
      <c r="K34" s="10">
        <v>168.51</v>
      </c>
      <c r="L34" s="10">
        <v>1084.5</v>
      </c>
      <c r="M34" s="71">
        <f t="shared" si="6"/>
        <v>5197.13</v>
      </c>
      <c r="N34" s="10">
        <v>5197.13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0">
        <v>783.84</v>
      </c>
      <c r="X34" s="10">
        <v>5403.9</v>
      </c>
      <c r="Y34" s="10">
        <v>2565.2199999999998</v>
      </c>
      <c r="Z34" s="10">
        <v>124946.37</v>
      </c>
      <c r="AA34" s="10">
        <v>72804.460000000006</v>
      </c>
      <c r="AB34" s="10">
        <v>4460.01</v>
      </c>
      <c r="AC34" s="10">
        <v>21271.19</v>
      </c>
      <c r="AD34" s="10">
        <v>32507.119999999999</v>
      </c>
      <c r="AE34" s="10">
        <v>35314.120000000003</v>
      </c>
      <c r="AF34" s="10">
        <v>5374.35</v>
      </c>
      <c r="AG34" s="10">
        <v>9258.61</v>
      </c>
      <c r="AH34" s="10">
        <v>10469.459999999999</v>
      </c>
      <c r="AI34" s="89">
        <f t="shared" si="1"/>
        <v>1816.52</v>
      </c>
      <c r="AJ34" s="10">
        <v>1816.52</v>
      </c>
      <c r="AK34" s="29"/>
      <c r="AL34" s="10">
        <v>297.67</v>
      </c>
      <c r="AM34" s="10">
        <v>5666.11</v>
      </c>
      <c r="AN34" s="10">
        <v>28115.279999999999</v>
      </c>
      <c r="AO34" s="10">
        <v>2447.5</v>
      </c>
      <c r="AP34" s="10">
        <v>7326.78</v>
      </c>
      <c r="AQ34" s="10">
        <v>1446.94</v>
      </c>
      <c r="AR34" s="10">
        <v>1571.91</v>
      </c>
      <c r="AS34" s="10">
        <v>30.55</v>
      </c>
      <c r="AT34" s="4">
        <v>23</v>
      </c>
      <c r="AU34" s="10">
        <v>910.33</v>
      </c>
      <c r="AV34" s="10">
        <v>14.11</v>
      </c>
      <c r="AW34" s="10">
        <v>297.92</v>
      </c>
      <c r="AX34" s="10">
        <v>84.77</v>
      </c>
      <c r="AY34" s="10">
        <v>24.98</v>
      </c>
      <c r="AZ34" s="10">
        <v>224.7</v>
      </c>
      <c r="BA34" s="10">
        <v>1103.2</v>
      </c>
      <c r="BB34" s="10">
        <v>39.869999999999997</v>
      </c>
      <c r="BC34" s="10">
        <v>19.37</v>
      </c>
      <c r="BD34" s="10">
        <v>49.49</v>
      </c>
      <c r="BE34" s="10">
        <v>2324.52</v>
      </c>
      <c r="BF34" s="10">
        <v>874.34</v>
      </c>
      <c r="BG34" s="4">
        <v>3413</v>
      </c>
      <c r="BH34" s="10">
        <v>4306.9799999999996</v>
      </c>
      <c r="BI34" s="10">
        <v>295.44</v>
      </c>
      <c r="BJ34" s="10">
        <v>603.46</v>
      </c>
      <c r="BK34" s="10">
        <v>1605.06</v>
      </c>
      <c r="BL34" s="10">
        <v>107.35</v>
      </c>
      <c r="BM34" s="10">
        <v>7.53</v>
      </c>
      <c r="BN34" s="10">
        <v>1393.21</v>
      </c>
      <c r="BO34" s="10">
        <v>260.77</v>
      </c>
      <c r="BP34" s="10">
        <v>100.75</v>
      </c>
      <c r="BQ34" s="10">
        <v>1646.74</v>
      </c>
      <c r="BR34" s="10">
        <v>7.28</v>
      </c>
      <c r="BS34" s="10">
        <v>154.75</v>
      </c>
      <c r="BT34" s="10">
        <v>55.29</v>
      </c>
      <c r="BU34" s="10">
        <v>14.24</v>
      </c>
      <c r="BV34" s="10">
        <v>252.35</v>
      </c>
      <c r="BW34" s="10">
        <v>93.3</v>
      </c>
      <c r="BX34" s="10">
        <v>1.1299999999999999</v>
      </c>
      <c r="BY34" s="4">
        <v>0</v>
      </c>
      <c r="BZ34" s="10">
        <v>469.96</v>
      </c>
      <c r="CA34" s="4">
        <v>0</v>
      </c>
      <c r="CB34" s="10">
        <v>469.96</v>
      </c>
      <c r="CC34" s="4">
        <v>0</v>
      </c>
      <c r="CD34" s="10">
        <v>5252.36</v>
      </c>
      <c r="CE34" s="10">
        <v>2235.98</v>
      </c>
      <c r="CF34" s="10">
        <v>87771.92</v>
      </c>
      <c r="CG34" s="4" t="s">
        <v>102</v>
      </c>
      <c r="CH34" s="10">
        <v>87771.92</v>
      </c>
      <c r="CI34" s="4" t="s">
        <v>102</v>
      </c>
      <c r="CJ34" s="4" t="s">
        <v>102</v>
      </c>
      <c r="CK34" s="10">
        <v>3016.38</v>
      </c>
      <c r="CL34" s="4" t="s">
        <v>102</v>
      </c>
      <c r="CM34" s="4" t="s">
        <v>102</v>
      </c>
      <c r="CN34" s="10">
        <v>498854.44</v>
      </c>
      <c r="CO34" s="10">
        <v>93494.24</v>
      </c>
    </row>
    <row r="35" spans="1:93" s="36" customFormat="1" ht="11.5" x14ac:dyDescent="0.35">
      <c r="A35" s="26" t="s">
        <v>38</v>
      </c>
      <c r="B35" s="36">
        <v>451376.99</v>
      </c>
      <c r="C35" s="36">
        <v>3421.16</v>
      </c>
      <c r="D35" s="36">
        <v>129.16</v>
      </c>
      <c r="E35" s="36">
        <v>80.37</v>
      </c>
      <c r="F35" s="36">
        <v>804.52</v>
      </c>
      <c r="G35" s="36">
        <v>8973.18</v>
      </c>
      <c r="H35" s="36">
        <v>1262.42</v>
      </c>
      <c r="I35" s="36">
        <v>1894.02</v>
      </c>
      <c r="J35" s="36">
        <v>853.5</v>
      </c>
      <c r="K35" s="36">
        <v>279.81</v>
      </c>
      <c r="L35" s="36">
        <v>1665.71</v>
      </c>
      <c r="M35" s="71">
        <f t="shared" si="6"/>
        <v>3567.0252369550867</v>
      </c>
      <c r="N35" s="36">
        <v>3650.39</v>
      </c>
      <c r="O35" s="66">
        <f>'[1]2023 costs'!$M109/1000000</f>
        <v>58.500562820000006</v>
      </c>
      <c r="P35" s="37">
        <f>'[1]2023 costs'!$M$29/1000000</f>
        <v>9.5602062530712537</v>
      </c>
      <c r="Q35" s="37">
        <f>'[1]2023 costs'!$M$119/1000000</f>
        <v>12.88899397184173</v>
      </c>
      <c r="R35" s="66">
        <f>'[1]2023 costs'!$M$57/1000000</f>
        <v>2.415</v>
      </c>
      <c r="V35" s="76"/>
      <c r="W35" s="36">
        <v>1080.47</v>
      </c>
      <c r="X35" s="36">
        <v>6397.01</v>
      </c>
      <c r="Y35" s="36">
        <v>2532.4699999999998</v>
      </c>
      <c r="Z35" s="36">
        <v>15492.17</v>
      </c>
      <c r="AA35" s="36">
        <v>91022.56</v>
      </c>
      <c r="AB35" s="36">
        <v>5598.39</v>
      </c>
      <c r="AC35" s="36">
        <v>13506.21</v>
      </c>
      <c r="AD35" s="36">
        <v>60986.15</v>
      </c>
      <c r="AE35" s="36">
        <v>41561.160000000003</v>
      </c>
      <c r="AF35" s="36">
        <v>12199.55</v>
      </c>
      <c r="AG35" s="36">
        <v>7235.74</v>
      </c>
      <c r="AH35" s="36">
        <v>17901.64</v>
      </c>
      <c r="AI35" s="71">
        <f t="shared" si="1"/>
        <v>2813.7797140287771</v>
      </c>
      <c r="AJ35" s="47">
        <v>2817.07</v>
      </c>
      <c r="AK35" s="48">
        <f>'[1]2023 costs'!$M$76/1000000</f>
        <v>3.2902859712230228</v>
      </c>
      <c r="AL35" s="47">
        <v>529.23</v>
      </c>
      <c r="AM35" s="47">
        <v>3774.32</v>
      </c>
      <c r="AN35" s="47">
        <v>90166.61</v>
      </c>
      <c r="AO35" s="36">
        <v>4961.74</v>
      </c>
      <c r="AP35" s="36">
        <v>9504.91</v>
      </c>
      <c r="AQ35" s="36">
        <v>2571.98</v>
      </c>
      <c r="AR35" s="36">
        <v>2436.52</v>
      </c>
      <c r="AS35" s="36">
        <v>127.07</v>
      </c>
      <c r="AT35" s="36">
        <v>44.42</v>
      </c>
      <c r="AU35" s="36">
        <v>2692.14</v>
      </c>
      <c r="AV35" s="36">
        <v>94.93</v>
      </c>
      <c r="AW35" s="36">
        <v>1466.12</v>
      </c>
      <c r="AX35" s="36">
        <v>155.07</v>
      </c>
      <c r="AY35" s="36">
        <v>103.16</v>
      </c>
      <c r="AZ35" s="36">
        <v>734.47</v>
      </c>
      <c r="BA35" s="36">
        <v>1670</v>
      </c>
      <c r="BB35" s="36">
        <v>210.09</v>
      </c>
      <c r="BC35" s="36">
        <v>95.15</v>
      </c>
      <c r="BD35" s="36">
        <v>99.52</v>
      </c>
      <c r="BE35" s="36">
        <v>3612.48</v>
      </c>
      <c r="BF35" s="36">
        <v>1861.43</v>
      </c>
      <c r="BG35" s="36">
        <v>3885.66</v>
      </c>
      <c r="BH35" s="36">
        <v>5227.1099999999997</v>
      </c>
      <c r="BI35" s="36">
        <v>606.67999999999995</v>
      </c>
      <c r="BJ35" s="36">
        <v>708.9</v>
      </c>
      <c r="BK35" s="36">
        <v>2569.5</v>
      </c>
      <c r="BL35" s="36">
        <v>196.49</v>
      </c>
      <c r="BM35" s="36">
        <v>61.56</v>
      </c>
      <c r="BN35" s="36">
        <v>3647.5</v>
      </c>
      <c r="BO35" s="36">
        <v>2980.82</v>
      </c>
      <c r="BP35" s="36">
        <v>393.44</v>
      </c>
      <c r="BQ35" s="36">
        <v>564.19000000000005</v>
      </c>
      <c r="BR35" s="36">
        <v>324.36</v>
      </c>
      <c r="BS35" s="36">
        <v>705.77</v>
      </c>
      <c r="BT35" s="36">
        <v>293.07</v>
      </c>
      <c r="BU35" s="36">
        <v>174.16</v>
      </c>
      <c r="BV35" s="36">
        <v>436.08</v>
      </c>
      <c r="BW35" s="36">
        <v>335.97</v>
      </c>
      <c r="BX35" s="36">
        <v>9.5500000000000007</v>
      </c>
      <c r="BY35" s="36">
        <v>0</v>
      </c>
      <c r="BZ35" s="36">
        <v>19376.02</v>
      </c>
      <c r="CA35" s="36">
        <v>155.94999999999999</v>
      </c>
      <c r="CB35" s="36">
        <v>19183.84</v>
      </c>
      <c r="CC35" s="36">
        <v>36.229999999999997</v>
      </c>
      <c r="CD35" s="36">
        <v>63743.77</v>
      </c>
      <c r="CE35" s="36">
        <v>2911.8</v>
      </c>
      <c r="CF35" s="36">
        <v>65351.360000000001</v>
      </c>
      <c r="CG35" s="36" t="s">
        <v>102</v>
      </c>
      <c r="CH35" s="36">
        <v>65351.360000000001</v>
      </c>
      <c r="CI35" s="36" t="s">
        <v>102</v>
      </c>
      <c r="CJ35" s="36" t="s">
        <v>102</v>
      </c>
      <c r="CK35" s="36">
        <v>60831.97</v>
      </c>
      <c r="CL35" s="36" t="s">
        <v>102</v>
      </c>
      <c r="CM35" s="36" t="s">
        <v>102</v>
      </c>
      <c r="CN35" s="36">
        <v>599848.14</v>
      </c>
      <c r="CO35" s="36">
        <v>148471.15</v>
      </c>
    </row>
    <row r="36" spans="1:93" s="36" customFormat="1" ht="11.5" x14ac:dyDescent="0.35">
      <c r="A36" s="26" t="s">
        <v>39</v>
      </c>
      <c r="B36" s="36">
        <v>104816.95</v>
      </c>
      <c r="C36" s="36">
        <v>92.86</v>
      </c>
      <c r="D36" s="36">
        <v>14.62</v>
      </c>
      <c r="E36" s="36">
        <v>10.26</v>
      </c>
      <c r="F36" s="36">
        <v>45.25</v>
      </c>
      <c r="G36" s="36">
        <v>286.95</v>
      </c>
      <c r="H36" s="36">
        <v>71.75</v>
      </c>
      <c r="I36" s="36">
        <v>38.28</v>
      </c>
      <c r="J36" s="36">
        <v>69.77</v>
      </c>
      <c r="K36" s="36">
        <v>189.8</v>
      </c>
      <c r="L36" s="36">
        <v>177.16</v>
      </c>
      <c r="M36" s="71">
        <f t="shared" si="6"/>
        <v>374.90493390879652</v>
      </c>
      <c r="N36" s="36">
        <v>414.11</v>
      </c>
      <c r="O36" s="66">
        <f>'[1]2023 costs'!$M110/1000000</f>
        <v>25.071669780000001</v>
      </c>
      <c r="P36" s="37">
        <f>'[1]2023 costs'!$M$34/1000000</f>
        <v>4.7701237518427524</v>
      </c>
      <c r="Q36" s="37">
        <f>'[1]2023 costs'!$M$120/1000000</f>
        <v>5.5238545593607418</v>
      </c>
      <c r="R36" s="66">
        <f>'[1]2023 costs'!$M$62/1000000</f>
        <v>3.8394180000000002</v>
      </c>
      <c r="V36" s="76"/>
      <c r="W36" s="36">
        <v>477.13</v>
      </c>
      <c r="X36" s="36">
        <v>437.26</v>
      </c>
      <c r="Y36" s="36">
        <v>275.57</v>
      </c>
      <c r="Z36" s="36">
        <v>386.73</v>
      </c>
      <c r="AA36" s="36">
        <v>1453.17</v>
      </c>
      <c r="AB36" s="36">
        <v>24020.41</v>
      </c>
      <c r="AC36" s="36">
        <v>8096.51</v>
      </c>
      <c r="AD36" s="36">
        <v>4366.6099999999997</v>
      </c>
      <c r="AE36" s="36">
        <v>6124.62</v>
      </c>
      <c r="AF36" s="36">
        <v>2852</v>
      </c>
      <c r="AG36" s="36">
        <v>1845.91</v>
      </c>
      <c r="AH36" s="36">
        <v>4103.22</v>
      </c>
      <c r="AI36" s="71">
        <f t="shared" si="1"/>
        <v>1816.8658284172661</v>
      </c>
      <c r="AJ36" s="47">
        <v>1818.84</v>
      </c>
      <c r="AK36" s="48">
        <f>'[1]2023 costs'!$M$81/1000000</f>
        <v>1.9741715827338135</v>
      </c>
      <c r="AL36" s="47">
        <v>129.13999999999999</v>
      </c>
      <c r="AM36" s="47">
        <v>245.78</v>
      </c>
      <c r="AN36" s="47">
        <v>4972.63</v>
      </c>
      <c r="AO36" s="36">
        <v>569.96</v>
      </c>
      <c r="AP36" s="36">
        <v>3813.84</v>
      </c>
      <c r="AQ36" s="36">
        <v>1153.1400000000001</v>
      </c>
      <c r="AR36" s="36">
        <v>568.4</v>
      </c>
      <c r="AS36" s="36">
        <v>52.25</v>
      </c>
      <c r="AT36" s="36">
        <v>100.99</v>
      </c>
      <c r="AU36" s="36">
        <v>538.72</v>
      </c>
      <c r="AV36" s="36">
        <v>180.01</v>
      </c>
      <c r="AW36" s="36">
        <v>312.64</v>
      </c>
      <c r="AX36" s="36">
        <v>781.28</v>
      </c>
      <c r="AY36" s="36">
        <v>763.51</v>
      </c>
      <c r="AZ36" s="36">
        <v>5327.82</v>
      </c>
      <c r="BA36" s="36">
        <v>7211.75</v>
      </c>
      <c r="BB36" s="36">
        <v>232.83</v>
      </c>
      <c r="BC36" s="36">
        <v>182.11</v>
      </c>
      <c r="BD36" s="36">
        <v>315.01</v>
      </c>
      <c r="BE36" s="36">
        <v>536.20000000000005</v>
      </c>
      <c r="BF36" s="36">
        <v>1066.27</v>
      </c>
      <c r="BG36" s="36">
        <v>2128.3200000000002</v>
      </c>
      <c r="BH36" s="36">
        <v>2841.82</v>
      </c>
      <c r="BI36" s="36">
        <v>540.49</v>
      </c>
      <c r="BJ36" s="36">
        <v>681.04</v>
      </c>
      <c r="BK36" s="36">
        <v>1285.05</v>
      </c>
      <c r="BL36" s="36">
        <v>126.54</v>
      </c>
      <c r="BM36" s="36">
        <v>49.94</v>
      </c>
      <c r="BN36" s="36">
        <v>1695.43</v>
      </c>
      <c r="BO36" s="36">
        <v>1430.88</v>
      </c>
      <c r="BP36" s="36">
        <v>830.99</v>
      </c>
      <c r="BQ36" s="36">
        <v>3396.14</v>
      </c>
      <c r="BR36" s="36">
        <v>702.77</v>
      </c>
      <c r="BS36" s="36">
        <v>1011.45</v>
      </c>
      <c r="BT36" s="36">
        <v>321.49</v>
      </c>
      <c r="BU36" s="36">
        <v>103.81</v>
      </c>
      <c r="BV36" s="36">
        <v>847.52</v>
      </c>
      <c r="BW36" s="36">
        <v>96.85</v>
      </c>
      <c r="BX36" s="36">
        <v>3.37</v>
      </c>
      <c r="BY36" s="36">
        <v>0</v>
      </c>
      <c r="BZ36" s="36">
        <v>44953.78</v>
      </c>
      <c r="CA36" s="36">
        <v>1472.33</v>
      </c>
      <c r="CB36" s="36">
        <v>43475.6</v>
      </c>
      <c r="CC36" s="36">
        <v>5.85</v>
      </c>
      <c r="CD36" s="36">
        <v>64322.559999999998</v>
      </c>
      <c r="CE36" s="36">
        <v>3601.5</v>
      </c>
      <c r="CF36" s="36">
        <v>144753.01999999999</v>
      </c>
      <c r="CG36" s="36" t="s">
        <v>102</v>
      </c>
      <c r="CH36" s="36">
        <v>144753.01999999999</v>
      </c>
      <c r="CI36" s="36" t="s">
        <v>102</v>
      </c>
      <c r="CJ36" s="36" t="s">
        <v>102</v>
      </c>
      <c r="CK36" s="36">
        <v>60721.06</v>
      </c>
      <c r="CL36" s="36" t="s">
        <v>102</v>
      </c>
      <c r="CM36" s="36" t="s">
        <v>102</v>
      </c>
      <c r="CN36" s="36">
        <v>358846.32</v>
      </c>
      <c r="CO36" s="36">
        <v>254029.37</v>
      </c>
    </row>
    <row r="37" spans="1:93" s="36" customFormat="1" ht="11.5" x14ac:dyDescent="0.35">
      <c r="A37" s="26" t="s">
        <v>40</v>
      </c>
      <c r="B37" s="36">
        <v>173795.62</v>
      </c>
      <c r="C37" s="36">
        <v>342.05</v>
      </c>
      <c r="D37" s="36">
        <v>20.94</v>
      </c>
      <c r="E37" s="36">
        <v>29.84</v>
      </c>
      <c r="F37" s="36">
        <v>170.11</v>
      </c>
      <c r="G37" s="36">
        <v>1692.89</v>
      </c>
      <c r="H37" s="36">
        <v>208.63</v>
      </c>
      <c r="I37" s="36">
        <v>215.4</v>
      </c>
      <c r="J37" s="36">
        <v>240.74</v>
      </c>
      <c r="K37" s="36">
        <v>66.06</v>
      </c>
      <c r="L37" s="36">
        <v>324.36</v>
      </c>
      <c r="M37" s="71">
        <f t="shared" si="6"/>
        <v>655.23030549877149</v>
      </c>
      <c r="N37" s="36">
        <v>660.97</v>
      </c>
      <c r="O37" s="66">
        <v>0</v>
      </c>
      <c r="P37" s="37">
        <f>'[1]2023 costs'!$M$30/1000000</f>
        <v>3.1800825012285014</v>
      </c>
      <c r="Q37" s="37"/>
      <c r="R37" s="66">
        <f>'[1]2023 costs'!$M$58/1000000</f>
        <v>2.559612</v>
      </c>
      <c r="V37" s="76"/>
      <c r="W37" s="36">
        <v>509.63</v>
      </c>
      <c r="X37" s="36">
        <v>1200.4000000000001</v>
      </c>
      <c r="Y37" s="36">
        <v>521.38</v>
      </c>
      <c r="Z37" s="36">
        <v>2048.87</v>
      </c>
      <c r="AA37" s="36">
        <v>4179.13</v>
      </c>
      <c r="AB37" s="36">
        <v>7953.57</v>
      </c>
      <c r="AC37" s="36">
        <v>36092.46</v>
      </c>
      <c r="AD37" s="36">
        <v>14712.06</v>
      </c>
      <c r="AE37" s="36">
        <v>17448.099999999999</v>
      </c>
      <c r="AF37" s="36">
        <v>3587.31</v>
      </c>
      <c r="AG37" s="36">
        <v>1839.35</v>
      </c>
      <c r="AH37" s="36">
        <v>6570.05</v>
      </c>
      <c r="AI37" s="71">
        <f t="shared" si="1"/>
        <v>6314.6338856115108</v>
      </c>
      <c r="AJ37" s="47">
        <v>6315.95</v>
      </c>
      <c r="AK37" s="48">
        <f>'[1]2023 costs'!$M$77/1000000</f>
        <v>1.3161143884892088</v>
      </c>
      <c r="AL37" s="47">
        <v>350.47</v>
      </c>
      <c r="AM37" s="47">
        <v>755.18</v>
      </c>
      <c r="AN37" s="47">
        <v>34317.97</v>
      </c>
      <c r="AO37" s="36">
        <v>1777.05</v>
      </c>
      <c r="AP37" s="36">
        <v>4827.18</v>
      </c>
      <c r="AQ37" s="36">
        <v>1428.02</v>
      </c>
      <c r="AR37" s="36">
        <v>1218.6400000000001</v>
      </c>
      <c r="AS37" s="36">
        <v>60.17</v>
      </c>
      <c r="AT37" s="36">
        <v>67.69</v>
      </c>
      <c r="AU37" s="36">
        <v>1076.6600000000001</v>
      </c>
      <c r="AV37" s="36">
        <v>124.8</v>
      </c>
      <c r="AW37" s="36">
        <v>1569.47</v>
      </c>
      <c r="AX37" s="36">
        <v>130.97999999999999</v>
      </c>
      <c r="AY37" s="36">
        <v>266.13</v>
      </c>
      <c r="AZ37" s="36">
        <v>1612.28</v>
      </c>
      <c r="BA37" s="36">
        <v>1999.6</v>
      </c>
      <c r="BB37" s="36">
        <v>71.489999999999995</v>
      </c>
      <c r="BC37" s="36">
        <v>32.090000000000003</v>
      </c>
      <c r="BD37" s="36">
        <v>89.54</v>
      </c>
      <c r="BE37" s="36">
        <v>2287.34</v>
      </c>
      <c r="BF37" s="36">
        <v>1224.4000000000001</v>
      </c>
      <c r="BG37" s="36">
        <v>1730.84</v>
      </c>
      <c r="BH37" s="36">
        <v>2804.02</v>
      </c>
      <c r="BI37" s="36">
        <v>220.35</v>
      </c>
      <c r="BJ37" s="36">
        <v>471.69</v>
      </c>
      <c r="BK37" s="36">
        <v>1463.68</v>
      </c>
      <c r="BL37" s="36">
        <v>75.91</v>
      </c>
      <c r="BM37" s="36">
        <v>35.619999999999997</v>
      </c>
      <c r="BN37" s="36">
        <v>1470.31</v>
      </c>
      <c r="BO37" s="36">
        <v>577.29999999999995</v>
      </c>
      <c r="BP37" s="36">
        <v>279.37</v>
      </c>
      <c r="BQ37" s="36">
        <v>348.8</v>
      </c>
      <c r="BR37" s="36">
        <v>245.38</v>
      </c>
      <c r="BS37" s="36">
        <v>623.92999999999995</v>
      </c>
      <c r="BT37" s="36">
        <v>258.23</v>
      </c>
      <c r="BU37" s="36">
        <v>50.41</v>
      </c>
      <c r="BV37" s="36">
        <v>450.02</v>
      </c>
      <c r="BW37" s="36">
        <v>449.96</v>
      </c>
      <c r="BX37" s="36">
        <v>2.42</v>
      </c>
      <c r="BY37" s="36">
        <v>0</v>
      </c>
      <c r="BZ37" s="36">
        <v>43592.89</v>
      </c>
      <c r="CA37" s="36">
        <v>27.26</v>
      </c>
      <c r="CB37" s="36">
        <v>43561.56</v>
      </c>
      <c r="CC37" s="36">
        <v>4.07</v>
      </c>
      <c r="CD37" s="36">
        <v>44468.09</v>
      </c>
      <c r="CE37" s="36">
        <v>8927.48</v>
      </c>
      <c r="CF37" s="36">
        <v>105715.13</v>
      </c>
      <c r="CG37" s="36" t="s">
        <v>102</v>
      </c>
      <c r="CH37" s="36">
        <v>105715.13</v>
      </c>
      <c r="CI37" s="36" t="s">
        <v>102</v>
      </c>
      <c r="CJ37" s="36" t="s">
        <v>102</v>
      </c>
      <c r="CK37" s="36">
        <v>35540.61</v>
      </c>
      <c r="CL37" s="36" t="s">
        <v>102</v>
      </c>
      <c r="CM37" s="36" t="s">
        <v>102</v>
      </c>
      <c r="CN37" s="36">
        <v>367571.73</v>
      </c>
      <c r="CO37" s="36">
        <v>193776.11</v>
      </c>
    </row>
    <row r="38" spans="1:93" s="36" customFormat="1" ht="11.5" x14ac:dyDescent="0.35">
      <c r="A38" s="26" t="s">
        <v>41</v>
      </c>
      <c r="B38" s="36">
        <v>226030.11</v>
      </c>
      <c r="C38" s="36">
        <v>2080.4299999999998</v>
      </c>
      <c r="D38" s="36">
        <v>351.9</v>
      </c>
      <c r="E38" s="36">
        <v>81.28</v>
      </c>
      <c r="F38" s="36">
        <v>631.36</v>
      </c>
      <c r="G38" s="36">
        <v>3707.43</v>
      </c>
      <c r="H38" s="36">
        <v>705.77</v>
      </c>
      <c r="I38" s="36">
        <v>432.9</v>
      </c>
      <c r="J38" s="36">
        <v>1061.18</v>
      </c>
      <c r="K38" s="36">
        <v>261.85000000000002</v>
      </c>
      <c r="L38" s="36">
        <v>1011.81</v>
      </c>
      <c r="M38" s="71">
        <f t="shared" si="6"/>
        <v>824.18652176634623</v>
      </c>
      <c r="N38" s="36">
        <v>1474.85</v>
      </c>
      <c r="O38" s="66">
        <f>'[1]2023 costs'!$M$106/1000000</f>
        <v>423.86207930000006</v>
      </c>
      <c r="P38" s="37">
        <f>'[1]2023 costs'!$M$31/1000000</f>
        <v>71.551856277641278</v>
      </c>
      <c r="Q38" s="37">
        <f>'[1]2023 costs'!$M$116/1000000</f>
        <v>92.064242656012354</v>
      </c>
      <c r="R38" s="66">
        <f>'[1]2023 costs'!$M$59/1000000</f>
        <v>63.185299999999998</v>
      </c>
      <c r="V38" s="76"/>
      <c r="W38" s="36">
        <v>830.41</v>
      </c>
      <c r="X38" s="36">
        <v>2337.4</v>
      </c>
      <c r="Y38" s="36">
        <v>1232.45</v>
      </c>
      <c r="Z38" s="36">
        <v>4121.95</v>
      </c>
      <c r="AA38" s="36">
        <v>8189.95</v>
      </c>
      <c r="AB38" s="36">
        <v>3128.35</v>
      </c>
      <c r="AC38" s="36">
        <v>6385.89</v>
      </c>
      <c r="AD38" s="36">
        <v>82060.5</v>
      </c>
      <c r="AE38" s="36">
        <v>20474.2</v>
      </c>
      <c r="AF38" s="36">
        <v>6161.9</v>
      </c>
      <c r="AG38" s="36">
        <v>1370.65</v>
      </c>
      <c r="AH38" s="36">
        <v>15474.16</v>
      </c>
      <c r="AI38" s="71">
        <f t="shared" si="1"/>
        <v>2318.217712230216</v>
      </c>
      <c r="AJ38" s="47">
        <v>2344.54</v>
      </c>
      <c r="AK38" s="48">
        <f>'[1]2023 costs'!$M$78/1000000</f>
        <v>26.322287769784182</v>
      </c>
      <c r="AL38" s="47">
        <v>455.91</v>
      </c>
      <c r="AM38" s="47">
        <v>1948.18</v>
      </c>
      <c r="AN38" s="47">
        <v>19805.78</v>
      </c>
      <c r="AO38" s="36">
        <v>3135.22</v>
      </c>
      <c r="AP38" s="36">
        <v>6156.97</v>
      </c>
      <c r="AQ38" s="36">
        <v>1735.76</v>
      </c>
      <c r="AR38" s="36">
        <v>1403.4</v>
      </c>
      <c r="AS38" s="36">
        <v>276.62</v>
      </c>
      <c r="AT38" s="36">
        <v>162.87</v>
      </c>
      <c r="AU38" s="36">
        <v>3196.41</v>
      </c>
      <c r="AV38" s="36">
        <v>136.25</v>
      </c>
      <c r="AW38" s="36">
        <v>983.71</v>
      </c>
      <c r="AX38" s="36">
        <v>153.18</v>
      </c>
      <c r="AY38" s="36">
        <v>133.72</v>
      </c>
      <c r="AZ38" s="36">
        <v>735.16</v>
      </c>
      <c r="BA38" s="36">
        <v>1311.98</v>
      </c>
      <c r="BB38" s="36">
        <v>259.42</v>
      </c>
      <c r="BC38" s="36">
        <v>103.53</v>
      </c>
      <c r="BD38" s="36">
        <v>91.18</v>
      </c>
      <c r="BE38" s="36">
        <v>1176.3399999999999</v>
      </c>
      <c r="BF38" s="36">
        <v>1443.9</v>
      </c>
      <c r="BG38" s="36">
        <v>2067.4499999999998</v>
      </c>
      <c r="BH38" s="36">
        <v>4368.8900000000003</v>
      </c>
      <c r="BI38" s="36">
        <v>237.89</v>
      </c>
      <c r="BJ38" s="36">
        <v>507.3</v>
      </c>
      <c r="BK38" s="36">
        <v>2946.81</v>
      </c>
      <c r="BL38" s="36">
        <v>150.94</v>
      </c>
      <c r="BM38" s="36">
        <v>82.28</v>
      </c>
      <c r="BN38" s="36">
        <v>2126.59</v>
      </c>
      <c r="BO38" s="36">
        <v>542.67999999999995</v>
      </c>
      <c r="BP38" s="36">
        <v>214.39</v>
      </c>
      <c r="BQ38" s="36">
        <v>532.22</v>
      </c>
      <c r="BR38" s="36">
        <v>315.08999999999997</v>
      </c>
      <c r="BS38" s="36">
        <v>347.1</v>
      </c>
      <c r="BT38" s="36">
        <v>161.36000000000001</v>
      </c>
      <c r="BU38" s="36">
        <v>258.54000000000002</v>
      </c>
      <c r="BV38" s="36">
        <v>231.88</v>
      </c>
      <c r="BW38" s="36">
        <v>215.9</v>
      </c>
      <c r="BX38" s="36">
        <v>4.21</v>
      </c>
      <c r="BY38" s="36">
        <v>0</v>
      </c>
      <c r="BZ38" s="36">
        <v>9536.1299999999992</v>
      </c>
      <c r="CA38" s="36">
        <v>179.34</v>
      </c>
      <c r="CB38" s="36">
        <v>9354.5</v>
      </c>
      <c r="CC38" s="36">
        <v>2.29</v>
      </c>
      <c r="CD38" s="36">
        <v>209478.74</v>
      </c>
      <c r="CE38" s="36">
        <v>10933.08</v>
      </c>
      <c r="CF38" s="36">
        <v>271397.75</v>
      </c>
      <c r="CG38" s="36" t="s">
        <v>102</v>
      </c>
      <c r="CH38" s="36">
        <v>271397.75</v>
      </c>
      <c r="CI38" s="36" t="s">
        <v>102</v>
      </c>
      <c r="CJ38" s="36" t="s">
        <v>102</v>
      </c>
      <c r="CK38" s="36">
        <v>198545.66</v>
      </c>
      <c r="CL38" s="36" t="s">
        <v>102</v>
      </c>
      <c r="CM38" s="36" t="s">
        <v>102</v>
      </c>
      <c r="CN38" s="36">
        <v>716442.73</v>
      </c>
      <c r="CO38" s="36">
        <v>490412.62</v>
      </c>
    </row>
    <row r="39" spans="1:93" ht="14.5" x14ac:dyDescent="0.35">
      <c r="A39" s="3" t="s">
        <v>42</v>
      </c>
      <c r="B39" s="11">
        <v>324908.2</v>
      </c>
      <c r="C39" s="11">
        <v>692.55</v>
      </c>
      <c r="D39" s="11">
        <v>87.52</v>
      </c>
      <c r="E39" s="11">
        <v>13.12</v>
      </c>
      <c r="F39" s="11">
        <v>106.74</v>
      </c>
      <c r="G39" s="11">
        <v>383.74</v>
      </c>
      <c r="H39" s="11">
        <v>217.73</v>
      </c>
      <c r="I39" s="11">
        <v>136.94999999999999</v>
      </c>
      <c r="J39" s="11">
        <v>33.79</v>
      </c>
      <c r="K39" s="11">
        <v>7.42</v>
      </c>
      <c r="L39" s="11">
        <v>190.91</v>
      </c>
      <c r="M39" s="71">
        <f t="shared" si="6"/>
        <v>851.8</v>
      </c>
      <c r="N39" s="11">
        <v>851.8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1">
        <v>33.86</v>
      </c>
      <c r="X39" s="11">
        <v>1609.71</v>
      </c>
      <c r="Y39" s="11">
        <v>1259.08</v>
      </c>
      <c r="Z39" s="11">
        <v>548.84</v>
      </c>
      <c r="AA39" s="11">
        <v>3499.77</v>
      </c>
      <c r="AB39" s="11">
        <v>1712.02</v>
      </c>
      <c r="AC39" s="11">
        <v>4656.24</v>
      </c>
      <c r="AD39" s="11">
        <v>15994.5</v>
      </c>
      <c r="AE39" s="11">
        <v>211080.68</v>
      </c>
      <c r="AF39" s="11">
        <v>1839.6</v>
      </c>
      <c r="AG39" s="11">
        <v>689.17</v>
      </c>
      <c r="AH39" s="11">
        <v>3239.97</v>
      </c>
      <c r="AI39" s="71">
        <f t="shared" si="1"/>
        <v>418.14</v>
      </c>
      <c r="AJ39" s="11">
        <v>418.14</v>
      </c>
      <c r="AK39" s="29"/>
      <c r="AL39" s="11">
        <v>57.55</v>
      </c>
      <c r="AM39" s="11">
        <v>1977.84</v>
      </c>
      <c r="AN39" s="11">
        <v>3386.29</v>
      </c>
      <c r="AO39" s="11">
        <v>28247.37</v>
      </c>
      <c r="AP39" s="11">
        <v>5144.71</v>
      </c>
      <c r="AQ39" s="11">
        <v>882.01</v>
      </c>
      <c r="AR39" s="11">
        <v>10349.42</v>
      </c>
      <c r="AS39" s="11">
        <v>103.25</v>
      </c>
      <c r="AT39" s="11">
        <v>325.47000000000003</v>
      </c>
      <c r="AU39" s="11">
        <v>2405.4299999999998</v>
      </c>
      <c r="AV39" s="11">
        <v>109.4</v>
      </c>
      <c r="AW39" s="11">
        <v>375.29</v>
      </c>
      <c r="AX39" s="11">
        <v>28.97</v>
      </c>
      <c r="AY39" s="11">
        <v>47.96</v>
      </c>
      <c r="AZ39" s="11">
        <v>120.27</v>
      </c>
      <c r="BA39" s="11">
        <v>1162.02</v>
      </c>
      <c r="BB39" s="11">
        <v>154.51</v>
      </c>
      <c r="BC39" s="11">
        <v>87.48</v>
      </c>
      <c r="BD39" s="11">
        <v>202.93</v>
      </c>
      <c r="BE39" s="11">
        <v>955.82</v>
      </c>
      <c r="BF39" s="11">
        <v>1410.93</v>
      </c>
      <c r="BG39" s="11">
        <v>720.33</v>
      </c>
      <c r="BH39" s="11">
        <v>8681.0300000000007</v>
      </c>
      <c r="BI39" s="11">
        <v>276.8</v>
      </c>
      <c r="BJ39" s="11">
        <v>593.78</v>
      </c>
      <c r="BK39" s="11">
        <v>4193.4799999999996</v>
      </c>
      <c r="BL39" s="11">
        <v>207.46</v>
      </c>
      <c r="BM39" s="11">
        <v>69.64</v>
      </c>
      <c r="BN39" s="11">
        <v>1896.87</v>
      </c>
      <c r="BO39" s="11">
        <v>448.78</v>
      </c>
      <c r="BP39" s="11">
        <v>254.86</v>
      </c>
      <c r="BQ39" s="11">
        <v>182.22</v>
      </c>
      <c r="BR39" s="11">
        <v>105.24</v>
      </c>
      <c r="BS39" s="11">
        <v>69.11</v>
      </c>
      <c r="BT39" s="11">
        <v>152.15</v>
      </c>
      <c r="BU39" s="11">
        <v>147.52000000000001</v>
      </c>
      <c r="BV39" s="11">
        <v>31.71</v>
      </c>
      <c r="BW39" s="11">
        <v>36.340000000000003</v>
      </c>
      <c r="BX39" s="11">
        <v>2.13</v>
      </c>
      <c r="BY39" s="5">
        <v>0</v>
      </c>
      <c r="BZ39" s="11">
        <v>221480.02</v>
      </c>
      <c r="CA39" s="11">
        <v>66.81</v>
      </c>
      <c r="CB39" s="11">
        <v>221410.83</v>
      </c>
      <c r="CC39" s="11">
        <v>2.38</v>
      </c>
      <c r="CD39" s="11">
        <v>161950.93</v>
      </c>
      <c r="CE39" s="11">
        <v>21822.39</v>
      </c>
      <c r="CF39" s="11">
        <v>241454.97</v>
      </c>
      <c r="CG39" s="5" t="s">
        <v>102</v>
      </c>
      <c r="CH39" s="11">
        <v>241454.97</v>
      </c>
      <c r="CI39" s="5" t="s">
        <v>102</v>
      </c>
      <c r="CJ39" s="5" t="s">
        <v>102</v>
      </c>
      <c r="CK39" s="11">
        <v>140128.54</v>
      </c>
      <c r="CL39" s="5" t="s">
        <v>102</v>
      </c>
      <c r="CM39" s="5" t="s">
        <v>102</v>
      </c>
      <c r="CN39" s="11">
        <v>949794.12</v>
      </c>
      <c r="CO39" s="11">
        <v>624885.92000000004</v>
      </c>
    </row>
    <row r="40" spans="1:93" ht="14.5" x14ac:dyDescent="0.35">
      <c r="A40" s="3" t="s">
        <v>43</v>
      </c>
      <c r="B40" s="10">
        <v>77075.100000000006</v>
      </c>
      <c r="C40" s="10">
        <v>17.809999999999999</v>
      </c>
      <c r="D40" s="10">
        <v>12.23</v>
      </c>
      <c r="E40" s="10">
        <v>108.71</v>
      </c>
      <c r="F40" s="10">
        <v>15.02</v>
      </c>
      <c r="G40" s="10">
        <v>32.53</v>
      </c>
      <c r="H40" s="10">
        <v>20.96</v>
      </c>
      <c r="I40" s="10">
        <v>13.96</v>
      </c>
      <c r="J40" s="10">
        <v>4.6900000000000004</v>
      </c>
      <c r="K40" s="10">
        <v>1.96</v>
      </c>
      <c r="L40" s="10">
        <v>13.47</v>
      </c>
      <c r="M40" s="71">
        <f t="shared" si="6"/>
        <v>14.72</v>
      </c>
      <c r="N40" s="10">
        <v>14.72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0">
        <v>4.07</v>
      </c>
      <c r="X40" s="10">
        <v>116.81</v>
      </c>
      <c r="Y40" s="10">
        <v>18.38</v>
      </c>
      <c r="Z40" s="10">
        <v>54.18</v>
      </c>
      <c r="AA40" s="10">
        <v>428.37</v>
      </c>
      <c r="AB40" s="10">
        <v>320.99</v>
      </c>
      <c r="AC40" s="10">
        <v>472.31</v>
      </c>
      <c r="AD40" s="10">
        <v>442.96</v>
      </c>
      <c r="AE40" s="10">
        <v>564.96</v>
      </c>
      <c r="AF40" s="10">
        <v>49987.92</v>
      </c>
      <c r="AG40" s="10">
        <v>241.01</v>
      </c>
      <c r="AH40" s="10">
        <v>5855.26</v>
      </c>
      <c r="AI40" s="71">
        <f t="shared" si="1"/>
        <v>73.260000000000005</v>
      </c>
      <c r="AJ40" s="10">
        <v>73.260000000000005</v>
      </c>
      <c r="AK40" s="29"/>
      <c r="AL40" s="10">
        <v>16.64</v>
      </c>
      <c r="AM40" s="10">
        <v>125.84</v>
      </c>
      <c r="AN40" s="10">
        <v>436.3</v>
      </c>
      <c r="AO40" s="10">
        <v>330.01</v>
      </c>
      <c r="AP40" s="10">
        <v>519.55999999999995</v>
      </c>
      <c r="AQ40" s="10">
        <v>187.09</v>
      </c>
      <c r="AR40" s="10">
        <v>2082.7600000000002</v>
      </c>
      <c r="AS40" s="10">
        <v>184.67</v>
      </c>
      <c r="AT40" s="10">
        <v>2681.7</v>
      </c>
      <c r="AU40" s="10">
        <v>1530.99</v>
      </c>
      <c r="AV40" s="10">
        <v>11.75</v>
      </c>
      <c r="AW40" s="10">
        <v>106.29</v>
      </c>
      <c r="AX40" s="10">
        <v>25.9</v>
      </c>
      <c r="AY40" s="10">
        <v>1.78</v>
      </c>
      <c r="AZ40" s="10">
        <v>8.7100000000000009</v>
      </c>
      <c r="BA40" s="10">
        <v>175.15</v>
      </c>
      <c r="BB40" s="10">
        <v>9.4499999999999993</v>
      </c>
      <c r="BC40" s="10">
        <v>1.84</v>
      </c>
      <c r="BD40" s="10">
        <v>7.22</v>
      </c>
      <c r="BE40" s="10">
        <v>222.19</v>
      </c>
      <c r="BF40" s="10">
        <v>82.09</v>
      </c>
      <c r="BG40" s="10">
        <v>217.07</v>
      </c>
      <c r="BH40" s="10">
        <v>874.72</v>
      </c>
      <c r="BI40" s="10">
        <v>17.88</v>
      </c>
      <c r="BJ40" s="10">
        <v>150.27000000000001</v>
      </c>
      <c r="BK40" s="10">
        <v>1042.29</v>
      </c>
      <c r="BL40" s="10">
        <v>17.14</v>
      </c>
      <c r="BM40" s="10">
        <v>12.87</v>
      </c>
      <c r="BN40" s="10">
        <v>170.82</v>
      </c>
      <c r="BO40" s="10">
        <v>6556.48</v>
      </c>
      <c r="BP40" s="10">
        <v>81.64</v>
      </c>
      <c r="BQ40" s="10">
        <v>167.45</v>
      </c>
      <c r="BR40" s="10">
        <v>19.600000000000001</v>
      </c>
      <c r="BS40" s="10">
        <v>27.06</v>
      </c>
      <c r="BT40" s="10">
        <v>57.57</v>
      </c>
      <c r="BU40" s="10">
        <v>10.99</v>
      </c>
      <c r="BV40" s="10">
        <v>20.38</v>
      </c>
      <c r="BW40" s="10">
        <v>45.89</v>
      </c>
      <c r="BX40" s="10">
        <v>0.53</v>
      </c>
      <c r="BY40" s="4">
        <v>0</v>
      </c>
      <c r="BZ40" s="10">
        <v>19410.38</v>
      </c>
      <c r="CA40" s="10">
        <v>1105.1500000000001</v>
      </c>
      <c r="CB40" s="10">
        <v>18301.099999999999</v>
      </c>
      <c r="CC40" s="10">
        <v>4.13</v>
      </c>
      <c r="CD40" s="10">
        <v>52453.38</v>
      </c>
      <c r="CE40" s="10">
        <v>-12630.78</v>
      </c>
      <c r="CF40" s="10">
        <v>106771.5</v>
      </c>
      <c r="CG40" s="4" t="s">
        <v>102</v>
      </c>
      <c r="CH40" s="10">
        <v>106771.5</v>
      </c>
      <c r="CI40" s="4" t="s">
        <v>102</v>
      </c>
      <c r="CJ40" s="4" t="s">
        <v>102</v>
      </c>
      <c r="CK40" s="10">
        <v>65084.160000000003</v>
      </c>
      <c r="CL40" s="4" t="s">
        <v>102</v>
      </c>
      <c r="CM40" s="4" t="s">
        <v>102</v>
      </c>
      <c r="CN40" s="10">
        <v>255710.35</v>
      </c>
      <c r="CO40" s="10">
        <v>178635.25</v>
      </c>
    </row>
    <row r="41" spans="1:93" ht="14.5" x14ac:dyDescent="0.35">
      <c r="A41" s="3" t="s">
        <v>44</v>
      </c>
      <c r="B41" s="11">
        <v>68966.16</v>
      </c>
      <c r="C41" s="11">
        <v>222.99</v>
      </c>
      <c r="D41" s="11">
        <v>12.27</v>
      </c>
      <c r="E41" s="11">
        <v>17.86</v>
      </c>
      <c r="F41" s="11">
        <v>41.91</v>
      </c>
      <c r="G41" s="11">
        <v>977.47</v>
      </c>
      <c r="H41" s="11">
        <v>500.03</v>
      </c>
      <c r="I41" s="11">
        <v>1087.56</v>
      </c>
      <c r="J41" s="11">
        <v>163.6</v>
      </c>
      <c r="K41" s="11">
        <v>79.19</v>
      </c>
      <c r="L41" s="11">
        <v>105.55</v>
      </c>
      <c r="M41" s="71">
        <f t="shared" si="6"/>
        <v>835.45</v>
      </c>
      <c r="N41" s="11">
        <v>835.45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1">
        <v>691.41</v>
      </c>
      <c r="X41" s="11">
        <v>495.88</v>
      </c>
      <c r="Y41" s="11">
        <v>271.45</v>
      </c>
      <c r="Z41" s="11">
        <v>474.52</v>
      </c>
      <c r="AA41" s="11">
        <v>673.31</v>
      </c>
      <c r="AB41" s="11">
        <v>971.95</v>
      </c>
      <c r="AC41" s="11">
        <v>382.13</v>
      </c>
      <c r="AD41" s="11">
        <v>831.81</v>
      </c>
      <c r="AE41" s="11">
        <v>1538.8</v>
      </c>
      <c r="AF41" s="11">
        <v>305.26</v>
      </c>
      <c r="AG41" s="11">
        <v>11347.42</v>
      </c>
      <c r="AH41" s="11">
        <v>864.51</v>
      </c>
      <c r="AI41" s="71">
        <f t="shared" si="1"/>
        <v>365.5</v>
      </c>
      <c r="AJ41" s="11">
        <v>365.5</v>
      </c>
      <c r="AK41" s="29"/>
      <c r="AL41" s="11">
        <v>41.46</v>
      </c>
      <c r="AM41" s="11">
        <v>277.33</v>
      </c>
      <c r="AN41" s="11">
        <v>7055.69</v>
      </c>
      <c r="AO41" s="11">
        <v>569.89</v>
      </c>
      <c r="AP41" s="11">
        <v>2072.65</v>
      </c>
      <c r="AQ41" s="11">
        <v>1540.24</v>
      </c>
      <c r="AR41" s="11">
        <v>578.01</v>
      </c>
      <c r="AS41" s="11">
        <v>58.93</v>
      </c>
      <c r="AT41" s="11">
        <v>35.020000000000003</v>
      </c>
      <c r="AU41" s="11">
        <v>333.72</v>
      </c>
      <c r="AV41" s="11">
        <v>37.99</v>
      </c>
      <c r="AW41" s="11">
        <v>1678.49</v>
      </c>
      <c r="AX41" s="11">
        <v>114.92</v>
      </c>
      <c r="AY41" s="11">
        <v>584.07000000000005</v>
      </c>
      <c r="AZ41" s="11">
        <v>261.07</v>
      </c>
      <c r="BA41" s="11">
        <v>648.72</v>
      </c>
      <c r="BB41" s="11">
        <v>207.09</v>
      </c>
      <c r="BC41" s="11">
        <v>85.42</v>
      </c>
      <c r="BD41" s="11">
        <v>108.52</v>
      </c>
      <c r="BE41" s="11">
        <v>1431.86</v>
      </c>
      <c r="BF41" s="11">
        <v>814.5</v>
      </c>
      <c r="BG41" s="11">
        <v>512.23</v>
      </c>
      <c r="BH41" s="11">
        <v>763.37</v>
      </c>
      <c r="BI41" s="11">
        <v>304.77</v>
      </c>
      <c r="BJ41" s="11">
        <v>533.62</v>
      </c>
      <c r="BK41" s="11">
        <v>722.13</v>
      </c>
      <c r="BL41" s="11">
        <v>154.28</v>
      </c>
      <c r="BM41" s="11">
        <v>45.31</v>
      </c>
      <c r="BN41" s="11">
        <v>933.75</v>
      </c>
      <c r="BO41" s="11">
        <v>782.81</v>
      </c>
      <c r="BP41" s="11">
        <v>772.23</v>
      </c>
      <c r="BQ41" s="11">
        <v>17802.439999999999</v>
      </c>
      <c r="BR41" s="11">
        <v>1532.46</v>
      </c>
      <c r="BS41" s="11">
        <v>914.86</v>
      </c>
      <c r="BT41" s="11">
        <v>792.42</v>
      </c>
      <c r="BU41" s="11">
        <v>228.55</v>
      </c>
      <c r="BV41" s="11">
        <v>101.79</v>
      </c>
      <c r="BW41" s="11">
        <v>270.61</v>
      </c>
      <c r="BX41" s="11">
        <v>5.16</v>
      </c>
      <c r="BY41" s="5">
        <v>0</v>
      </c>
      <c r="BZ41" s="11">
        <v>91320.78</v>
      </c>
      <c r="CA41" s="11">
        <v>6251.17</v>
      </c>
      <c r="CB41" s="11">
        <v>85049.23</v>
      </c>
      <c r="CC41" s="11">
        <v>20.39</v>
      </c>
      <c r="CD41" s="11">
        <v>35153.03</v>
      </c>
      <c r="CE41" s="11">
        <v>-386.26</v>
      </c>
      <c r="CF41" s="11">
        <v>79971.19</v>
      </c>
      <c r="CG41" s="5" t="s">
        <v>102</v>
      </c>
      <c r="CH41" s="11">
        <v>79971.19</v>
      </c>
      <c r="CI41" s="5" t="s">
        <v>102</v>
      </c>
      <c r="CJ41" s="5" t="s">
        <v>102</v>
      </c>
      <c r="CK41" s="11">
        <v>35539.279999999999</v>
      </c>
      <c r="CL41" s="5" t="s">
        <v>102</v>
      </c>
      <c r="CM41" s="5" t="s">
        <v>102</v>
      </c>
      <c r="CN41" s="11">
        <v>275411.15999999997</v>
      </c>
      <c r="CO41" s="5">
        <v>206445</v>
      </c>
    </row>
    <row r="42" spans="1:93" s="65" customFormat="1" ht="14.5" x14ac:dyDescent="0.35">
      <c r="A42" s="35" t="s">
        <v>45</v>
      </c>
      <c r="B42" s="40">
        <v>212981.69</v>
      </c>
      <c r="C42" s="40">
        <v>9700.25</v>
      </c>
      <c r="D42" s="40">
        <v>374.98</v>
      </c>
      <c r="E42" s="40">
        <v>229.5</v>
      </c>
      <c r="F42" s="40">
        <v>2178.2800000000002</v>
      </c>
      <c r="G42" s="40">
        <v>7739.73</v>
      </c>
      <c r="H42" s="40">
        <v>969.23</v>
      </c>
      <c r="I42" s="40">
        <v>1565.6</v>
      </c>
      <c r="J42" s="40">
        <v>2475.86</v>
      </c>
      <c r="K42" s="40">
        <v>480.4</v>
      </c>
      <c r="L42" s="40">
        <v>1886.62</v>
      </c>
      <c r="M42" s="71">
        <f t="shared" si="6"/>
        <v>5350.82</v>
      </c>
      <c r="N42" s="40">
        <v>5350.82</v>
      </c>
      <c r="O42" s="41">
        <f>'[1]2023 costs'!$Q$109/1000000</f>
        <v>0</v>
      </c>
      <c r="P42" s="43">
        <f>'[1]2023 costs'!$Q$32/1000000</f>
        <v>0</v>
      </c>
      <c r="Q42" s="41">
        <f>'[1]2023 costs'!$Q$119/1000000</f>
        <v>0</v>
      </c>
      <c r="R42" s="41">
        <f>'[1]2023 costs'!$Q$60/1000000</f>
        <v>0</v>
      </c>
      <c r="S42" s="41"/>
      <c r="T42" s="41"/>
      <c r="U42" s="41"/>
      <c r="V42" s="74"/>
      <c r="W42" s="40">
        <v>1166.3599999999999</v>
      </c>
      <c r="X42" s="40">
        <v>2076.0700000000002</v>
      </c>
      <c r="Y42" s="40">
        <v>2773.04</v>
      </c>
      <c r="Z42" s="40">
        <v>7972.54</v>
      </c>
      <c r="AA42" s="40">
        <v>5930.95</v>
      </c>
      <c r="AB42" s="40">
        <v>2000.7</v>
      </c>
      <c r="AC42" s="40">
        <v>2941.76</v>
      </c>
      <c r="AD42" s="40">
        <v>9066.0400000000009</v>
      </c>
      <c r="AE42" s="40">
        <v>7587.33</v>
      </c>
      <c r="AF42" s="40">
        <v>5369.25</v>
      </c>
      <c r="AG42" s="40">
        <v>1643.63</v>
      </c>
      <c r="AH42" s="40">
        <v>13721.7</v>
      </c>
      <c r="AI42" s="71">
        <f t="shared" si="1"/>
        <v>16688.208691007196</v>
      </c>
      <c r="AJ42" s="41">
        <v>16693</v>
      </c>
      <c r="AK42" s="41">
        <f>'[1]2023 costs'!$P$79/1000000</f>
        <v>4.7913089928057566</v>
      </c>
      <c r="AL42" s="40">
        <v>931.82</v>
      </c>
      <c r="AM42" s="40">
        <v>2737.76</v>
      </c>
      <c r="AN42" s="40">
        <v>11896.25</v>
      </c>
      <c r="AO42" s="40">
        <v>1531.31</v>
      </c>
      <c r="AP42" s="40">
        <v>6288.82</v>
      </c>
      <c r="AQ42" s="40">
        <v>3643.03</v>
      </c>
      <c r="AR42" s="40">
        <v>8929.52</v>
      </c>
      <c r="AS42" s="40">
        <v>4329.59</v>
      </c>
      <c r="AT42" s="40">
        <v>7949.34</v>
      </c>
      <c r="AU42" s="40">
        <v>3759.57</v>
      </c>
      <c r="AV42" s="40">
        <v>327.54000000000002</v>
      </c>
      <c r="AW42" s="40">
        <v>2799.88</v>
      </c>
      <c r="AX42" s="40">
        <v>379.69</v>
      </c>
      <c r="AY42" s="40">
        <v>379.99</v>
      </c>
      <c r="AZ42" s="40">
        <v>3477.4</v>
      </c>
      <c r="BA42" s="40">
        <v>2633.13</v>
      </c>
      <c r="BB42" s="40">
        <v>633.78</v>
      </c>
      <c r="BC42" s="40">
        <v>288.95</v>
      </c>
      <c r="BD42" s="40">
        <v>515.94000000000005</v>
      </c>
      <c r="BE42" s="40">
        <v>8446.9599999999991</v>
      </c>
      <c r="BF42" s="40">
        <v>2123.69</v>
      </c>
      <c r="BG42" s="40">
        <v>1386.26</v>
      </c>
      <c r="BH42" s="40">
        <v>2501.23</v>
      </c>
      <c r="BI42" s="40">
        <v>386.01</v>
      </c>
      <c r="BJ42" s="40">
        <v>700.34</v>
      </c>
      <c r="BK42" s="41">
        <v>3649</v>
      </c>
      <c r="BL42" s="40">
        <v>547.24</v>
      </c>
      <c r="BM42" s="40">
        <v>174.27</v>
      </c>
      <c r="BN42" s="40">
        <v>2550.64</v>
      </c>
      <c r="BO42" s="40">
        <v>6229.32</v>
      </c>
      <c r="BP42" s="40">
        <v>807.41</v>
      </c>
      <c r="BQ42" s="40">
        <v>4684.51</v>
      </c>
      <c r="BR42" s="40">
        <v>1238.83</v>
      </c>
      <c r="BS42" s="40">
        <v>510.64</v>
      </c>
      <c r="BT42" s="40">
        <v>791.73</v>
      </c>
      <c r="BU42" s="40">
        <v>241.55</v>
      </c>
      <c r="BV42" s="40">
        <v>137.94</v>
      </c>
      <c r="BW42" s="40">
        <v>466.85</v>
      </c>
      <c r="BX42" s="40">
        <v>80.349999999999994</v>
      </c>
      <c r="BY42" s="41">
        <v>0</v>
      </c>
      <c r="BZ42" s="40">
        <v>3270.67</v>
      </c>
      <c r="CA42" s="40">
        <v>81.63</v>
      </c>
      <c r="CB42" s="40">
        <v>3188.79</v>
      </c>
      <c r="CC42" s="40">
        <v>0.25</v>
      </c>
      <c r="CD42" s="40">
        <v>102013.88</v>
      </c>
      <c r="CE42" s="40">
        <v>1987.08</v>
      </c>
      <c r="CF42" s="40">
        <v>20853.490000000002</v>
      </c>
      <c r="CG42" s="41" t="s">
        <v>102</v>
      </c>
      <c r="CH42" s="40">
        <v>20853.490000000002</v>
      </c>
      <c r="CI42" s="41" t="s">
        <v>102</v>
      </c>
      <c r="CJ42" s="41" t="s">
        <v>102</v>
      </c>
      <c r="CK42" s="40">
        <v>100026.8</v>
      </c>
      <c r="CL42" s="41" t="s">
        <v>102</v>
      </c>
      <c r="CM42" s="41" t="s">
        <v>102</v>
      </c>
      <c r="CN42" s="40">
        <v>339119.74</v>
      </c>
      <c r="CO42" s="40">
        <v>126138.05</v>
      </c>
    </row>
    <row r="43" spans="1:93" s="65" customFormat="1" ht="14.5" x14ac:dyDescent="0.35">
      <c r="A43" s="35" t="s">
        <v>133</v>
      </c>
      <c r="B43" s="81">
        <f>B44-B45</f>
        <v>749334.35021582735</v>
      </c>
      <c r="C43" s="81">
        <f t="shared" ref="C43:I43" si="7">C44-C45</f>
        <v>11412.38</v>
      </c>
      <c r="D43" s="81">
        <f t="shared" si="7"/>
        <v>326.48</v>
      </c>
      <c r="E43" s="81">
        <f t="shared" si="7"/>
        <v>232.31</v>
      </c>
      <c r="F43" s="81">
        <f t="shared" si="7"/>
        <v>5413.72</v>
      </c>
      <c r="G43" s="81">
        <f t="shared" si="7"/>
        <v>26659.95</v>
      </c>
      <c r="H43" s="81">
        <f t="shared" si="7"/>
        <v>3839.72</v>
      </c>
      <c r="I43" s="81">
        <f t="shared" si="7"/>
        <v>4232.6099999999997</v>
      </c>
      <c r="J43" s="81">
        <f t="shared" ref="J43" si="8">J44-J45</f>
        <v>11605.75</v>
      </c>
      <c r="K43" s="81">
        <f t="shared" ref="K43" si="9">K44-K45</f>
        <v>1305.9100000000001</v>
      </c>
      <c r="L43" s="81">
        <f t="shared" ref="L43" si="10">L44-L45</f>
        <v>10274.57</v>
      </c>
      <c r="M43" s="81">
        <f>M44-M45</f>
        <v>23098.6</v>
      </c>
      <c r="N43" s="81">
        <f t="shared" ref="N43" si="11">N44-N45</f>
        <v>23098.6</v>
      </c>
      <c r="O43" s="81">
        <f t="shared" ref="O43:P43" si="12">O44-O45</f>
        <v>0</v>
      </c>
      <c r="P43" s="81">
        <f t="shared" si="12"/>
        <v>0</v>
      </c>
      <c r="Q43" s="81">
        <f t="shared" ref="Q43" si="13">Q44-Q45</f>
        <v>0</v>
      </c>
      <c r="R43" s="81">
        <f t="shared" ref="R43" si="14">R44-R45</f>
        <v>0</v>
      </c>
      <c r="S43" s="81">
        <f t="shared" ref="S43" si="15">S44-S45</f>
        <v>0</v>
      </c>
      <c r="T43" s="81">
        <f t="shared" ref="T43" si="16">T44-T45</f>
        <v>0</v>
      </c>
      <c r="U43" s="81">
        <f t="shared" ref="U43:V43" si="17">U44-U45</f>
        <v>0</v>
      </c>
      <c r="V43" s="81">
        <f t="shared" si="17"/>
        <v>0</v>
      </c>
      <c r="W43" s="81">
        <f t="shared" ref="W43" si="18">W44-W45</f>
        <v>2728.51</v>
      </c>
      <c r="X43" s="81">
        <f t="shared" ref="X43" si="19">X44-X45</f>
        <v>9458.68</v>
      </c>
      <c r="Y43" s="81">
        <f t="shared" ref="Y43" si="20">Y44-Y45</f>
        <v>13638.3</v>
      </c>
      <c r="Z43" s="81">
        <f t="shared" ref="Z43" si="21">Z44-Z45</f>
        <v>26666.52</v>
      </c>
      <c r="AA43" s="81">
        <f t="shared" ref="AA43" si="22">AA44-AA45</f>
        <v>10303.969999999999</v>
      </c>
      <c r="AB43" s="81">
        <f t="shared" ref="AB43:AC43" si="23">AB44-AB45</f>
        <v>2533.66</v>
      </c>
      <c r="AC43" s="81">
        <f t="shared" si="23"/>
        <v>4841.8500000000004</v>
      </c>
      <c r="AD43" s="81">
        <f t="shared" ref="AD43" si="24">AD44-AD45</f>
        <v>6162.95</v>
      </c>
      <c r="AE43" s="81">
        <f t="shared" ref="AE43" si="25">AE44-AE45</f>
        <v>10392.469999999999</v>
      </c>
      <c r="AF43" s="81">
        <f t="shared" ref="AF43" si="26">AF44-AF45</f>
        <v>1563.22</v>
      </c>
      <c r="AG43" s="81">
        <f t="shared" ref="AG43" si="27">AG44-AG45</f>
        <v>3220.65</v>
      </c>
      <c r="AH43" s="81">
        <f t="shared" ref="AH43" si="28">AH44-AH45</f>
        <v>3426.07</v>
      </c>
      <c r="AI43" s="71">
        <f t="shared" si="1"/>
        <v>300498.24738201441</v>
      </c>
      <c r="AJ43" s="81">
        <f t="shared" ref="AJ43" si="29">AJ44-AJ45</f>
        <v>300507.83</v>
      </c>
      <c r="AK43" s="81">
        <f>AK44-AK45</f>
        <v>9.5826179856115132</v>
      </c>
      <c r="AL43" s="81">
        <f t="shared" ref="AL43" si="30">AL44-AL45</f>
        <v>5743.23</v>
      </c>
      <c r="AM43" s="81">
        <f t="shared" ref="AM43" si="31">AM44-AM45</f>
        <v>7303.5574074155711</v>
      </c>
      <c r="AN43" s="81">
        <f t="shared" ref="AN43" si="32">AN44-AN45</f>
        <v>18197.87</v>
      </c>
      <c r="AO43" s="81">
        <f t="shared" ref="AO43" si="33">AO44-AO45</f>
        <v>4972.24</v>
      </c>
      <c r="AP43" s="81">
        <f t="shared" ref="AP43" si="34">AP44-AP45</f>
        <v>17128.419999999998</v>
      </c>
      <c r="AQ43" s="81">
        <f t="shared" ref="AQ43:AR43" si="35">AQ44-AQ45</f>
        <v>24517.87</v>
      </c>
      <c r="AR43" s="81">
        <f t="shared" si="35"/>
        <v>15198.700215827337</v>
      </c>
      <c r="AS43" s="81">
        <f t="shared" ref="AS43" si="36">AS44-AS45</f>
        <v>263.27999999999997</v>
      </c>
      <c r="AT43" s="81">
        <f t="shared" ref="AT43" si="37">AT44-AT45</f>
        <v>506.6</v>
      </c>
      <c r="AU43" s="81">
        <f t="shared" ref="AU43" si="38">AU44-AU45</f>
        <v>8069.09</v>
      </c>
      <c r="AV43" s="81">
        <f t="shared" ref="AV43" si="39">AV44-AV45</f>
        <v>1569.15</v>
      </c>
      <c r="AW43" s="81">
        <f t="shared" ref="AW43" si="40">AW44-AW45</f>
        <v>24805.72</v>
      </c>
      <c r="AX43" s="81">
        <f t="shared" ref="AX43:AY43" si="41">AX44-AX45</f>
        <v>1171.18</v>
      </c>
      <c r="AY43" s="81">
        <f t="shared" si="41"/>
        <v>1483.07</v>
      </c>
      <c r="AZ43" s="81">
        <f t="shared" ref="AZ43" si="42">AZ44-AZ45</f>
        <v>6601.09</v>
      </c>
      <c r="BA43" s="81">
        <f t="shared" ref="BA43" si="43">BA44-BA45</f>
        <v>6697.83</v>
      </c>
      <c r="BB43" s="81">
        <f t="shared" ref="BB43" si="44">BB44-BB45</f>
        <v>2526.19</v>
      </c>
      <c r="BC43" s="81">
        <f t="shared" ref="BC43" si="45">BC44-BC45</f>
        <v>969.48</v>
      </c>
      <c r="BD43" s="81">
        <f t="shared" ref="BD43" si="46">BD44-BD45</f>
        <v>994.22</v>
      </c>
      <c r="BE43" s="81">
        <f t="shared" ref="BE43:BF43" si="47">BE44-BE45</f>
        <v>17505.310000000001</v>
      </c>
      <c r="BF43" s="81">
        <f t="shared" si="47"/>
        <v>6699.71</v>
      </c>
      <c r="BG43" s="81">
        <f t="shared" ref="BG43" si="48">BG44-BG45</f>
        <v>3424.06</v>
      </c>
      <c r="BH43" s="81">
        <f t="shared" ref="BH43" si="49">BH44-BH45</f>
        <v>4383.08</v>
      </c>
      <c r="BI43" s="81">
        <f t="shared" ref="BI43" si="50">BI44-BI45</f>
        <v>1377.9</v>
      </c>
      <c r="BJ43" s="81">
        <f t="shared" ref="BJ43" si="51">BJ44-BJ45</f>
        <v>1847.07</v>
      </c>
      <c r="BK43" s="81">
        <f t="shared" ref="BK43" si="52">BK44-BK45</f>
        <v>3034.59</v>
      </c>
      <c r="BL43" s="81">
        <f t="shared" ref="BL43:BM43" si="53">BL44-BL45</f>
        <v>1423.32</v>
      </c>
      <c r="BM43" s="81">
        <f t="shared" si="53"/>
        <v>797.71</v>
      </c>
      <c r="BN43" s="81">
        <f t="shared" ref="BN43" si="54">BN44-BN45</f>
        <v>6683.18</v>
      </c>
      <c r="BO43" s="81">
        <f t="shared" ref="BO43" si="55">BO44-BO45</f>
        <v>13855.71</v>
      </c>
      <c r="BP43" s="81">
        <f t="shared" ref="BP43" si="56">BP44-BP45</f>
        <v>10071.83</v>
      </c>
      <c r="BQ43" s="81">
        <f t="shared" ref="BQ43" si="57">BQ44-BQ45</f>
        <v>13082.05</v>
      </c>
      <c r="BR43" s="81">
        <f t="shared" ref="BR43" si="58">BR44-BR45</f>
        <v>7581.05</v>
      </c>
      <c r="BS43" s="81">
        <f t="shared" ref="BS43:BT43" si="59">BS44-BS45</f>
        <v>3292.59</v>
      </c>
      <c r="BT43" s="81">
        <f t="shared" si="59"/>
        <v>4784</v>
      </c>
      <c r="BU43" s="81">
        <f t="shared" ref="BU43" si="60">BU44-BU45</f>
        <v>2215.41</v>
      </c>
      <c r="BV43" s="81">
        <f t="shared" ref="BV43" si="61">BV44-BV45</f>
        <v>505.04</v>
      </c>
      <c r="BW43" s="81">
        <f t="shared" ref="BW43" si="62">BW44-BW45</f>
        <v>4185.51</v>
      </c>
      <c r="BX43" s="81">
        <f t="shared" ref="BX43" si="63">BX44-BX45</f>
        <v>15.21</v>
      </c>
      <c r="BY43" s="81">
        <f t="shared" ref="BY43" si="64">BY44-BY45</f>
        <v>0</v>
      </c>
      <c r="BZ43" s="81">
        <f t="shared" ref="BZ43:CA43" si="65">BZ44-BZ45</f>
        <v>291767.17</v>
      </c>
      <c r="CA43" s="81">
        <f t="shared" si="65"/>
        <v>3293.14</v>
      </c>
      <c r="CB43" s="81">
        <f t="shared" ref="CB43" si="66">CB44-CB45</f>
        <v>288471.8</v>
      </c>
      <c r="CC43" s="81">
        <f t="shared" ref="CC43" si="67">CC44-CC45</f>
        <v>2.23</v>
      </c>
      <c r="CD43" s="81">
        <f t="shared" ref="CD43" si="68">CD44-CD45</f>
        <v>1691.84</v>
      </c>
      <c r="CE43" s="81">
        <f t="shared" ref="CE43" si="69">CE44-CE45</f>
        <v>1118.46</v>
      </c>
      <c r="CF43" s="81">
        <f t="shared" ref="CF43" si="70">CF44-CF45</f>
        <v>12378.05</v>
      </c>
      <c r="CG43" s="81" t="e">
        <f t="shared" ref="CG43:CH43" si="71">CG44-CG45</f>
        <v>#VALUE!</v>
      </c>
      <c r="CH43" s="81">
        <f t="shared" si="71"/>
        <v>12378.05</v>
      </c>
      <c r="CI43" s="81" t="e">
        <f t="shared" ref="CI43" si="72">CI44-CI45</f>
        <v>#VALUE!</v>
      </c>
      <c r="CJ43" s="81" t="e">
        <f t="shared" ref="CJ43" si="73">CJ44-CJ45</f>
        <v>#VALUE!</v>
      </c>
      <c r="CK43" s="81">
        <f t="shared" ref="CK43" si="74">CK44-CK45</f>
        <v>573.38</v>
      </c>
      <c r="CL43" s="81" t="e">
        <f t="shared" ref="CL43" si="75">CL44-CL45</f>
        <v>#VALUE!</v>
      </c>
      <c r="CM43" s="81" t="e">
        <f t="shared" ref="CM43" si="76">CM44-CM45</f>
        <v>#VALUE!</v>
      </c>
      <c r="CN43" s="81">
        <f t="shared" ref="CN43:CO43" si="77">CN44-CN45</f>
        <v>1055512.78</v>
      </c>
      <c r="CO43" s="81">
        <f t="shared" si="77"/>
        <v>305837.06</v>
      </c>
    </row>
    <row r="44" spans="1:93" s="65" customFormat="1" ht="14.5" hidden="1" x14ac:dyDescent="0.35">
      <c r="A44" s="35" t="s">
        <v>134</v>
      </c>
      <c r="B44" s="40">
        <v>749675.72</v>
      </c>
      <c r="C44" s="40">
        <v>11412.38</v>
      </c>
      <c r="D44" s="40">
        <v>326.48</v>
      </c>
      <c r="E44" s="40">
        <v>232.31</v>
      </c>
      <c r="F44" s="40">
        <v>5413.72</v>
      </c>
      <c r="G44" s="40">
        <v>26659.95</v>
      </c>
      <c r="H44" s="40">
        <v>3839.72</v>
      </c>
      <c r="I44" s="40">
        <v>4232.6099999999997</v>
      </c>
      <c r="J44" s="40">
        <v>11605.75</v>
      </c>
      <c r="K44" s="40">
        <v>1305.9100000000001</v>
      </c>
      <c r="L44" s="40">
        <v>10274.57</v>
      </c>
      <c r="M44" s="71">
        <f t="shared" ref="M44:M86" si="78">N44-SUM(O44:U44)</f>
        <v>23098.6</v>
      </c>
      <c r="N44" s="40">
        <v>23098.6</v>
      </c>
      <c r="O44" s="41">
        <f>'[1]2023 costs'!$Q$107/1000000</f>
        <v>0</v>
      </c>
      <c r="P44" s="43">
        <f>'[1]2023 costs'!$Q$29/1000000</f>
        <v>0</v>
      </c>
      <c r="Q44" s="41">
        <f>'[1]2023 costs'!$Q$117/1000000</f>
        <v>0</v>
      </c>
      <c r="R44" s="41">
        <f>'[1]2023 costs'!$Q$57/1000000</f>
        <v>0</v>
      </c>
      <c r="S44" s="41"/>
      <c r="T44" s="41"/>
      <c r="U44" s="41"/>
      <c r="V44" s="74"/>
      <c r="W44" s="40">
        <v>2728.51</v>
      </c>
      <c r="X44" s="40">
        <v>9458.68</v>
      </c>
      <c r="Y44" s="40">
        <v>13638.3</v>
      </c>
      <c r="Z44" s="40">
        <v>26666.52</v>
      </c>
      <c r="AA44" s="40">
        <v>10303.969999999999</v>
      </c>
      <c r="AB44" s="40">
        <v>2533.66</v>
      </c>
      <c r="AC44" s="40">
        <v>4841.8500000000004</v>
      </c>
      <c r="AD44" s="40">
        <v>6162.95</v>
      </c>
      <c r="AE44" s="40">
        <v>10392.469999999999</v>
      </c>
      <c r="AF44" s="40">
        <v>1563.22</v>
      </c>
      <c r="AG44" s="40">
        <v>3220.65</v>
      </c>
      <c r="AH44" s="40">
        <v>3426.07</v>
      </c>
      <c r="AI44" s="71">
        <f t="shared" si="1"/>
        <v>300498.24738201441</v>
      </c>
      <c r="AJ44" s="40">
        <v>300507.83</v>
      </c>
      <c r="AK44" s="41">
        <f>'[1]2023 costs'!$P$76/1000000</f>
        <v>9.5826179856115132</v>
      </c>
      <c r="AL44" s="40">
        <v>5743.23</v>
      </c>
      <c r="AM44" s="40">
        <v>7308.16</v>
      </c>
      <c r="AN44" s="40">
        <v>18197.87</v>
      </c>
      <c r="AO44" s="40">
        <v>4972.24</v>
      </c>
      <c r="AP44" s="40">
        <v>17128.419999999998</v>
      </c>
      <c r="AQ44" s="40">
        <v>24517.87</v>
      </c>
      <c r="AR44" s="40">
        <v>15540.07</v>
      </c>
      <c r="AS44" s="40">
        <v>263.27999999999997</v>
      </c>
      <c r="AT44" s="40">
        <v>506.6</v>
      </c>
      <c r="AU44" s="40">
        <v>8069.09</v>
      </c>
      <c r="AV44" s="40">
        <v>1569.15</v>
      </c>
      <c r="AW44" s="40">
        <v>24805.72</v>
      </c>
      <c r="AX44" s="40">
        <v>1171.18</v>
      </c>
      <c r="AY44" s="40">
        <v>1483.07</v>
      </c>
      <c r="AZ44" s="40">
        <v>6601.09</v>
      </c>
      <c r="BA44" s="40">
        <v>6697.83</v>
      </c>
      <c r="BB44" s="40">
        <v>2526.19</v>
      </c>
      <c r="BC44" s="40">
        <v>969.48</v>
      </c>
      <c r="BD44" s="40">
        <v>994.22</v>
      </c>
      <c r="BE44" s="40">
        <v>17505.310000000001</v>
      </c>
      <c r="BF44" s="40">
        <v>6699.71</v>
      </c>
      <c r="BG44" s="40">
        <v>3424.06</v>
      </c>
      <c r="BH44" s="40">
        <v>4383.08</v>
      </c>
      <c r="BI44" s="40">
        <v>1377.9</v>
      </c>
      <c r="BJ44" s="40">
        <v>1847.07</v>
      </c>
      <c r="BK44" s="40">
        <v>3034.59</v>
      </c>
      <c r="BL44" s="40">
        <v>1423.32</v>
      </c>
      <c r="BM44" s="40">
        <v>797.71</v>
      </c>
      <c r="BN44" s="40">
        <v>6683.18</v>
      </c>
      <c r="BO44" s="40">
        <v>13855.71</v>
      </c>
      <c r="BP44" s="40">
        <v>10071.83</v>
      </c>
      <c r="BQ44" s="40">
        <v>13082.05</v>
      </c>
      <c r="BR44" s="40">
        <v>7581.05</v>
      </c>
      <c r="BS44" s="40">
        <v>3292.59</v>
      </c>
      <c r="BT44" s="41">
        <v>4784</v>
      </c>
      <c r="BU44" s="40">
        <v>2215.41</v>
      </c>
      <c r="BV44" s="40">
        <v>505.04</v>
      </c>
      <c r="BW44" s="40">
        <v>4185.51</v>
      </c>
      <c r="BX44" s="40">
        <v>15.21</v>
      </c>
      <c r="BY44" s="41">
        <v>0</v>
      </c>
      <c r="BZ44" s="40">
        <v>291767.17</v>
      </c>
      <c r="CA44" s="40">
        <v>3293.14</v>
      </c>
      <c r="CB44" s="40">
        <v>288471.8</v>
      </c>
      <c r="CC44" s="40">
        <v>2.23</v>
      </c>
      <c r="CD44" s="40">
        <v>1691.84</v>
      </c>
      <c r="CE44" s="40">
        <v>1118.46</v>
      </c>
      <c r="CF44" s="40">
        <v>12378.05</v>
      </c>
      <c r="CG44" s="41" t="s">
        <v>102</v>
      </c>
      <c r="CH44" s="40">
        <v>12378.05</v>
      </c>
      <c r="CI44" s="41" t="s">
        <v>102</v>
      </c>
      <c r="CJ44" s="41" t="s">
        <v>102</v>
      </c>
      <c r="CK44" s="40">
        <v>573.38</v>
      </c>
      <c r="CL44" s="41" t="s">
        <v>102</v>
      </c>
      <c r="CM44" s="41" t="s">
        <v>102</v>
      </c>
      <c r="CN44" s="40">
        <v>1055512.78</v>
      </c>
      <c r="CO44" s="40">
        <v>305837.06</v>
      </c>
    </row>
    <row r="45" spans="1:93" s="59" customFormat="1" ht="14.5" x14ac:dyDescent="0.35">
      <c r="A45" s="27" t="s">
        <v>129</v>
      </c>
      <c r="B45" s="34">
        <f>'[2]Market prices'!$H$10</f>
        <v>341.36978417266198</v>
      </c>
      <c r="C45" s="28">
        <v>0</v>
      </c>
      <c r="D45" s="28">
        <v>0</v>
      </c>
      <c r="E45" s="28"/>
      <c r="F45" s="28"/>
      <c r="G45" s="28"/>
      <c r="H45" s="28"/>
      <c r="I45" s="28"/>
      <c r="J45" s="28"/>
      <c r="K45" s="28"/>
      <c r="L45" s="28"/>
      <c r="M45" s="69">
        <f t="shared" si="78"/>
        <v>0</v>
      </c>
      <c r="N45" s="28"/>
      <c r="O45" s="29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71">
        <f t="shared" si="1"/>
        <v>0</v>
      </c>
      <c r="AJ45" s="28"/>
      <c r="AK45" s="29"/>
      <c r="AL45" s="28"/>
      <c r="AM45" s="52">
        <f>'[1]2023 costs'!$J$80*(-1)/1000000</f>
        <v>4.6025925844290985</v>
      </c>
      <c r="AN45" s="28"/>
      <c r="AO45" s="28"/>
      <c r="AP45" s="28"/>
      <c r="AQ45" s="28"/>
      <c r="AR45" s="34">
        <f>'[2]Market prices'!$I$12</f>
        <v>341.36978417266198</v>
      </c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9"/>
      <c r="BU45" s="28"/>
      <c r="BV45" s="28"/>
      <c r="BW45" s="28"/>
      <c r="BX45" s="28"/>
      <c r="BY45" s="29"/>
      <c r="BZ45" s="28"/>
      <c r="CA45" s="28"/>
      <c r="CB45" s="28"/>
      <c r="CC45" s="28"/>
      <c r="CD45" s="28"/>
      <c r="CE45" s="28"/>
      <c r="CF45" s="28"/>
      <c r="CG45" s="29"/>
      <c r="CH45" s="28"/>
      <c r="CI45" s="29"/>
      <c r="CJ45" s="29"/>
      <c r="CK45" s="28"/>
      <c r="CL45" s="29"/>
      <c r="CM45" s="29"/>
      <c r="CN45" s="28"/>
      <c r="CO45" s="28"/>
    </row>
    <row r="46" spans="1:93" s="62" customFormat="1" ht="11.5" x14ac:dyDescent="0.35">
      <c r="A46" s="25" t="s">
        <v>46</v>
      </c>
      <c r="B46" s="62">
        <v>33865.49</v>
      </c>
      <c r="C46" s="62">
        <v>1722.95</v>
      </c>
      <c r="D46" s="62">
        <v>24.47</v>
      </c>
      <c r="E46" s="62">
        <v>39.76</v>
      </c>
      <c r="F46" s="62">
        <v>111.53</v>
      </c>
      <c r="G46" s="62">
        <v>1836.18</v>
      </c>
      <c r="H46" s="62">
        <v>186.71</v>
      </c>
      <c r="I46" s="62">
        <v>70.97</v>
      </c>
      <c r="J46" s="62">
        <v>343.15</v>
      </c>
      <c r="K46" s="62">
        <v>55.22</v>
      </c>
      <c r="L46" s="62">
        <v>293.5</v>
      </c>
      <c r="M46" s="71">
        <f t="shared" si="78"/>
        <v>897.38</v>
      </c>
      <c r="N46" s="39">
        <v>897.38</v>
      </c>
      <c r="O46" s="39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62">
        <v>177.8</v>
      </c>
      <c r="X46" s="62">
        <v>223.13</v>
      </c>
      <c r="Y46" s="62">
        <v>281.77999999999997</v>
      </c>
      <c r="Z46" s="62">
        <v>548.01</v>
      </c>
      <c r="AA46" s="62">
        <v>433.74</v>
      </c>
      <c r="AB46" s="62">
        <v>121.8</v>
      </c>
      <c r="AC46" s="62">
        <v>182.15</v>
      </c>
      <c r="AD46" s="62">
        <v>309.54000000000002</v>
      </c>
      <c r="AE46" s="62">
        <v>435.03</v>
      </c>
      <c r="AF46" s="62">
        <v>119.07</v>
      </c>
      <c r="AG46" s="62">
        <v>134.38999999999999</v>
      </c>
      <c r="AH46" s="62">
        <v>186.02</v>
      </c>
      <c r="AI46" s="71">
        <f t="shared" si="1"/>
        <v>1181.96</v>
      </c>
      <c r="AJ46" s="62">
        <v>1181.96</v>
      </c>
      <c r="AL46" s="62">
        <v>2839.03</v>
      </c>
      <c r="AM46" s="62">
        <v>1158.04</v>
      </c>
      <c r="AN46" s="62">
        <v>933.04</v>
      </c>
      <c r="AO46" s="62">
        <v>204.78</v>
      </c>
      <c r="AP46" s="62">
        <v>849.3</v>
      </c>
      <c r="AQ46" s="62">
        <v>871.15</v>
      </c>
      <c r="AR46" s="62">
        <v>317</v>
      </c>
      <c r="AS46" s="62">
        <v>16.82</v>
      </c>
      <c r="AT46" s="62">
        <v>13.27</v>
      </c>
      <c r="AU46" s="62">
        <v>301.02999999999997</v>
      </c>
      <c r="AV46" s="62">
        <v>76.010000000000005</v>
      </c>
      <c r="AW46" s="62">
        <v>2123.5</v>
      </c>
      <c r="AX46" s="62">
        <v>71.53</v>
      </c>
      <c r="AY46" s="62">
        <v>218.56</v>
      </c>
      <c r="AZ46" s="62">
        <v>180.17</v>
      </c>
      <c r="BA46" s="62">
        <v>219.79</v>
      </c>
      <c r="BB46" s="62">
        <v>193.73</v>
      </c>
      <c r="BC46" s="62">
        <v>96.05</v>
      </c>
      <c r="BD46" s="62">
        <v>198.34</v>
      </c>
      <c r="BE46" s="62">
        <v>2540.1999999999998</v>
      </c>
      <c r="BF46" s="62">
        <v>408.93</v>
      </c>
      <c r="BG46" s="62">
        <v>699.61</v>
      </c>
      <c r="BH46" s="62">
        <v>333.52</v>
      </c>
      <c r="BI46" s="62">
        <v>66.81</v>
      </c>
      <c r="BJ46" s="62">
        <v>110.48</v>
      </c>
      <c r="BK46" s="62">
        <v>179.64</v>
      </c>
      <c r="BL46" s="62">
        <v>59.31</v>
      </c>
      <c r="BM46" s="62">
        <v>48.58</v>
      </c>
      <c r="BN46" s="62">
        <v>538.41</v>
      </c>
      <c r="BO46" s="62">
        <v>1855.6</v>
      </c>
      <c r="BP46" s="62">
        <v>1363.63</v>
      </c>
      <c r="BQ46" s="62">
        <v>1848.94</v>
      </c>
      <c r="BR46" s="62">
        <v>976.42</v>
      </c>
      <c r="BS46" s="62">
        <v>386.5</v>
      </c>
      <c r="BT46" s="62">
        <v>757.6</v>
      </c>
      <c r="BU46" s="62">
        <v>271.64</v>
      </c>
      <c r="BV46" s="62">
        <v>25.4</v>
      </c>
      <c r="BW46" s="62">
        <v>596.16999999999996</v>
      </c>
      <c r="BX46" s="62">
        <v>0.76</v>
      </c>
      <c r="BY46" s="62">
        <v>0</v>
      </c>
      <c r="BZ46" s="62">
        <v>34337.519999999997</v>
      </c>
      <c r="CA46" s="62">
        <v>3687.75</v>
      </c>
      <c r="CB46" s="62">
        <v>30649.69</v>
      </c>
      <c r="CC46" s="62">
        <v>0.09</v>
      </c>
      <c r="CD46" s="62">
        <v>-29.96</v>
      </c>
      <c r="CE46" s="62">
        <v>-31.47</v>
      </c>
      <c r="CF46" s="62">
        <v>71.069999999999993</v>
      </c>
      <c r="CG46" s="62" t="s">
        <v>102</v>
      </c>
      <c r="CH46" s="62">
        <v>71.069999999999993</v>
      </c>
      <c r="CI46" s="62" t="s">
        <v>102</v>
      </c>
      <c r="CJ46" s="62" t="s">
        <v>102</v>
      </c>
      <c r="CK46" s="62">
        <v>1.51</v>
      </c>
      <c r="CL46" s="62" t="s">
        <v>102</v>
      </c>
      <c r="CM46" s="62" t="s">
        <v>102</v>
      </c>
      <c r="CN46" s="62">
        <v>68244.12</v>
      </c>
      <c r="CO46" s="62">
        <v>34378.629999999997</v>
      </c>
    </row>
    <row r="47" spans="1:93" s="62" customFormat="1" ht="11.5" x14ac:dyDescent="0.35">
      <c r="A47" s="25" t="s">
        <v>47</v>
      </c>
      <c r="B47" s="62">
        <v>238357.71</v>
      </c>
      <c r="C47" s="62">
        <v>2305.66</v>
      </c>
      <c r="D47" s="62">
        <v>119.15</v>
      </c>
      <c r="E47" s="62">
        <v>45.18</v>
      </c>
      <c r="F47" s="62">
        <v>1493.21</v>
      </c>
      <c r="G47" s="62">
        <v>8111.93</v>
      </c>
      <c r="H47" s="62">
        <v>1738.56</v>
      </c>
      <c r="I47" s="62">
        <v>1155.95</v>
      </c>
      <c r="J47" s="62">
        <v>6801.83</v>
      </c>
      <c r="K47" s="62">
        <v>330.91</v>
      </c>
      <c r="L47" s="62">
        <v>2621.35</v>
      </c>
      <c r="M47" s="71">
        <f t="shared" si="78"/>
        <v>5843.67</v>
      </c>
      <c r="N47" s="39">
        <v>5937.12</v>
      </c>
      <c r="O47" s="39">
        <f>'[1]2023 costs'!$P$111/1000000</f>
        <v>93.45</v>
      </c>
      <c r="P47" s="15">
        <v>0</v>
      </c>
      <c r="Q47" s="15">
        <f>'[1]2023 costs'!$P$121/1000000</f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62">
        <v>1110.08</v>
      </c>
      <c r="X47" s="62">
        <v>5801.42</v>
      </c>
      <c r="Y47" s="62">
        <v>2839.39</v>
      </c>
      <c r="Z47" s="62">
        <v>22640.06</v>
      </c>
      <c r="AA47" s="62">
        <v>7380.42</v>
      </c>
      <c r="AB47" s="62">
        <v>579.37</v>
      </c>
      <c r="AC47" s="62">
        <v>4154.24</v>
      </c>
      <c r="AD47" s="62">
        <v>2883.84</v>
      </c>
      <c r="AE47" s="62">
        <v>2319.14</v>
      </c>
      <c r="AF47" s="62">
        <v>626.78</v>
      </c>
      <c r="AG47" s="62">
        <v>1309.21</v>
      </c>
      <c r="AH47" s="62">
        <v>1252</v>
      </c>
      <c r="AI47" s="71">
        <f t="shared" si="1"/>
        <v>4680.1899999999996</v>
      </c>
      <c r="AJ47" s="62">
        <v>4680.1899999999996</v>
      </c>
      <c r="AL47" s="62">
        <v>3236.33</v>
      </c>
      <c r="AM47" s="62">
        <v>52934.63</v>
      </c>
      <c r="AN47" s="62">
        <v>14955.26</v>
      </c>
      <c r="AO47" s="62">
        <v>1294.68</v>
      </c>
      <c r="AP47" s="62">
        <v>5930.08</v>
      </c>
      <c r="AQ47" s="62">
        <v>5429.92</v>
      </c>
      <c r="AR47" s="62">
        <v>1713.22</v>
      </c>
      <c r="AS47" s="62">
        <v>175.62</v>
      </c>
      <c r="AT47" s="62">
        <v>162.56</v>
      </c>
      <c r="AU47" s="62">
        <v>1308.3399999999999</v>
      </c>
      <c r="AV47" s="62">
        <v>312.42</v>
      </c>
      <c r="AW47" s="62">
        <v>5254.96</v>
      </c>
      <c r="AX47" s="62">
        <v>419.1</v>
      </c>
      <c r="AY47" s="62">
        <v>346.75</v>
      </c>
      <c r="AZ47" s="62">
        <v>807.01</v>
      </c>
      <c r="BA47" s="62">
        <v>2087.81</v>
      </c>
      <c r="BB47" s="62">
        <v>548.79999999999995</v>
      </c>
      <c r="BC47" s="62">
        <v>280.39999999999998</v>
      </c>
      <c r="BD47" s="62">
        <v>263.3</v>
      </c>
      <c r="BE47" s="62">
        <v>8676.67</v>
      </c>
      <c r="BF47" s="62">
        <v>2734.31</v>
      </c>
      <c r="BG47" s="62">
        <v>1751.18</v>
      </c>
      <c r="BH47" s="62">
        <v>1570.15</v>
      </c>
      <c r="BI47" s="62">
        <v>727.68</v>
      </c>
      <c r="BJ47" s="62">
        <v>1341.26</v>
      </c>
      <c r="BK47" s="62">
        <v>1369.04</v>
      </c>
      <c r="BL47" s="62">
        <v>277.10000000000002</v>
      </c>
      <c r="BM47" s="62">
        <v>202.57</v>
      </c>
      <c r="BN47" s="62">
        <v>4800.88</v>
      </c>
      <c r="BO47" s="62">
        <v>18140.259999999998</v>
      </c>
      <c r="BP47" s="62">
        <v>1439.51</v>
      </c>
      <c r="BQ47" s="62">
        <v>3920.1</v>
      </c>
      <c r="BR47" s="62">
        <v>2029.87</v>
      </c>
      <c r="BS47" s="62">
        <v>1011.25</v>
      </c>
      <c r="BT47" s="62">
        <v>925.56</v>
      </c>
      <c r="BU47" s="62">
        <v>326.73</v>
      </c>
      <c r="BV47" s="62">
        <v>116.14</v>
      </c>
      <c r="BW47" s="62">
        <v>1288.31</v>
      </c>
      <c r="BX47" s="62">
        <v>10.99</v>
      </c>
      <c r="BY47" s="62">
        <v>0</v>
      </c>
      <c r="BZ47" s="62">
        <v>77580.67</v>
      </c>
      <c r="CA47" s="62">
        <v>20926.54</v>
      </c>
      <c r="CB47" s="62">
        <v>56633.919999999998</v>
      </c>
      <c r="CC47" s="62">
        <v>20.21</v>
      </c>
      <c r="CD47" s="62">
        <v>759.7</v>
      </c>
      <c r="CE47" s="62">
        <v>716.92</v>
      </c>
      <c r="CF47" s="62">
        <v>15417.59</v>
      </c>
      <c r="CG47" s="62" t="s">
        <v>102</v>
      </c>
      <c r="CH47" s="62">
        <v>15417.59</v>
      </c>
      <c r="CI47" s="62" t="s">
        <v>102</v>
      </c>
      <c r="CJ47" s="62" t="s">
        <v>102</v>
      </c>
      <c r="CK47" s="62">
        <v>42.79</v>
      </c>
      <c r="CL47" s="62" t="s">
        <v>102</v>
      </c>
      <c r="CM47" s="62" t="s">
        <v>102</v>
      </c>
      <c r="CN47" s="62">
        <v>332115.67</v>
      </c>
      <c r="CO47" s="62">
        <v>93757.96</v>
      </c>
    </row>
    <row r="48" spans="1:93" s="36" customFormat="1" ht="11.5" x14ac:dyDescent="0.35">
      <c r="A48" s="26" t="s">
        <v>48</v>
      </c>
      <c r="B48" s="36">
        <v>846786.89</v>
      </c>
      <c r="C48" s="36">
        <v>5468.84</v>
      </c>
      <c r="D48" s="36">
        <v>590.04999999999995</v>
      </c>
      <c r="E48" s="36">
        <v>200.79</v>
      </c>
      <c r="F48" s="36">
        <v>1386.25</v>
      </c>
      <c r="G48" s="36">
        <v>5734.28</v>
      </c>
      <c r="H48" s="36">
        <v>1078.56</v>
      </c>
      <c r="I48" s="36">
        <v>1967.54</v>
      </c>
      <c r="J48" s="36">
        <v>1187.8699999999999</v>
      </c>
      <c r="K48" s="36">
        <v>589.57000000000005</v>
      </c>
      <c r="L48" s="36">
        <v>1965.93</v>
      </c>
      <c r="M48" s="71">
        <f t="shared" si="78"/>
        <v>4176.7006858439827</v>
      </c>
      <c r="N48" s="37">
        <v>4339.96</v>
      </c>
      <c r="O48" s="37">
        <f>'[1]2023 costs'!$M$108/1000000</f>
        <v>94.202332599999991</v>
      </c>
      <c r="P48" s="37">
        <f>'[1]2023 costs'!$M$32/1000000</f>
        <v>23.04561875921376</v>
      </c>
      <c r="Q48" s="37">
        <f>'[1]2023 costs'!$M$118/1000000</f>
        <v>27.619272796803706</v>
      </c>
      <c r="R48" s="66">
        <f>'[1]2023 costs'!$M$60/1000000</f>
        <v>18.39209</v>
      </c>
      <c r="V48" s="76"/>
      <c r="W48" s="36">
        <v>2027.24</v>
      </c>
      <c r="X48" s="36">
        <v>2346.62</v>
      </c>
      <c r="Y48" s="36">
        <v>3260.7</v>
      </c>
      <c r="Z48" s="36">
        <v>3735.8</v>
      </c>
      <c r="AA48" s="36">
        <v>4928.05</v>
      </c>
      <c r="AB48" s="36">
        <v>1476.28</v>
      </c>
      <c r="AC48" s="36">
        <v>2238.29</v>
      </c>
      <c r="AD48" s="36">
        <v>3444.61</v>
      </c>
      <c r="AE48" s="36">
        <v>3305.05</v>
      </c>
      <c r="AF48" s="36">
        <v>1095.49</v>
      </c>
      <c r="AG48" s="36">
        <v>1344.27</v>
      </c>
      <c r="AH48" s="36">
        <v>5391.5</v>
      </c>
      <c r="AI48" s="71">
        <f t="shared" si="1"/>
        <v>24159.26828417266</v>
      </c>
      <c r="AJ48" s="36">
        <v>24179.01</v>
      </c>
      <c r="AK48" s="66">
        <f>'[1]2023 costs'!$M$79/1000000</f>
        <v>19.741715827338133</v>
      </c>
      <c r="AL48" s="36">
        <v>3013.97</v>
      </c>
      <c r="AM48" s="36">
        <v>9300.73</v>
      </c>
      <c r="AN48" s="36">
        <v>442249.44</v>
      </c>
      <c r="AO48" s="36">
        <v>2611.0300000000002</v>
      </c>
      <c r="AP48" s="36">
        <v>11774.85</v>
      </c>
      <c r="AQ48" s="36">
        <v>9866.3799999999992</v>
      </c>
      <c r="AR48" s="36">
        <v>9673.0300000000007</v>
      </c>
      <c r="AS48" s="36">
        <v>338.8</v>
      </c>
      <c r="AT48" s="36">
        <v>515.52</v>
      </c>
      <c r="AU48" s="36">
        <v>16718.7</v>
      </c>
      <c r="AV48" s="36">
        <v>1570.29</v>
      </c>
      <c r="AW48" s="36">
        <v>11430.46</v>
      </c>
      <c r="AX48" s="36">
        <v>934.14</v>
      </c>
      <c r="AY48" s="36">
        <v>1164.93</v>
      </c>
      <c r="AZ48" s="36">
        <v>5295.29</v>
      </c>
      <c r="BA48" s="36">
        <v>4204.9799999999996</v>
      </c>
      <c r="BB48" s="36">
        <v>2610.2399999999998</v>
      </c>
      <c r="BC48" s="36">
        <v>1797.18</v>
      </c>
      <c r="BD48" s="36">
        <v>1888.39</v>
      </c>
      <c r="BE48" s="36">
        <v>113221.8</v>
      </c>
      <c r="BF48" s="36">
        <v>7213.89</v>
      </c>
      <c r="BG48" s="36">
        <v>12068.6</v>
      </c>
      <c r="BH48" s="36">
        <v>3871.55</v>
      </c>
      <c r="BI48" s="36">
        <v>1201.8900000000001</v>
      </c>
      <c r="BJ48" s="36">
        <v>1624.14</v>
      </c>
      <c r="BK48" s="36">
        <v>4300.82</v>
      </c>
      <c r="BL48" s="36">
        <v>1598.35</v>
      </c>
      <c r="BM48" s="36">
        <v>549.04</v>
      </c>
      <c r="BN48" s="36">
        <v>8171.73</v>
      </c>
      <c r="BO48" s="36">
        <v>34305.47</v>
      </c>
      <c r="BP48" s="36">
        <v>11267.15</v>
      </c>
      <c r="BQ48" s="36">
        <v>10934.6</v>
      </c>
      <c r="BR48" s="36">
        <v>5961.84</v>
      </c>
      <c r="BS48" s="36">
        <v>3520.35</v>
      </c>
      <c r="BT48" s="36">
        <v>2612</v>
      </c>
      <c r="BU48" s="36">
        <v>2197.19</v>
      </c>
      <c r="BV48" s="36">
        <v>421.51</v>
      </c>
      <c r="BW48" s="36">
        <v>1502.2</v>
      </c>
      <c r="BX48" s="36">
        <v>1.91</v>
      </c>
      <c r="BY48" s="36">
        <v>0</v>
      </c>
      <c r="BZ48" s="36">
        <v>81814.23</v>
      </c>
      <c r="CA48" s="36">
        <v>8784.39</v>
      </c>
      <c r="CB48" s="36">
        <v>73024.92</v>
      </c>
      <c r="CC48" s="36">
        <v>4.93</v>
      </c>
      <c r="CD48" s="36">
        <v>1506899.18</v>
      </c>
      <c r="CE48" s="36">
        <v>2601.9499999999998</v>
      </c>
      <c r="CF48" s="36">
        <v>10598.99</v>
      </c>
      <c r="CG48" s="36" t="s">
        <v>102</v>
      </c>
      <c r="CH48" s="36">
        <v>10598.99</v>
      </c>
      <c r="CI48" s="36" t="s">
        <v>102</v>
      </c>
      <c r="CJ48" s="36" t="s">
        <v>102</v>
      </c>
      <c r="CK48" s="36">
        <v>1504297.23</v>
      </c>
      <c r="CL48" s="36" t="s">
        <v>102</v>
      </c>
      <c r="CM48" s="36" t="s">
        <v>102</v>
      </c>
      <c r="CN48" s="36">
        <v>2446099.29</v>
      </c>
      <c r="CO48" s="36">
        <v>1599312.4</v>
      </c>
    </row>
    <row r="49" spans="1:93" ht="14.5" x14ac:dyDescent="0.35">
      <c r="A49" s="3" t="s">
        <v>49</v>
      </c>
      <c r="B49" s="11">
        <v>193821.63</v>
      </c>
      <c r="C49" s="11">
        <v>2564.64</v>
      </c>
      <c r="D49" s="11">
        <v>395.32</v>
      </c>
      <c r="E49" s="11">
        <v>150.83000000000001</v>
      </c>
      <c r="F49" s="11">
        <v>467.28</v>
      </c>
      <c r="G49" s="11">
        <v>4130.3999999999996</v>
      </c>
      <c r="H49" s="11">
        <v>796.1</v>
      </c>
      <c r="I49" s="11">
        <v>754.81</v>
      </c>
      <c r="J49" s="11">
        <v>599.15</v>
      </c>
      <c r="K49" s="11">
        <v>279.43</v>
      </c>
      <c r="L49" s="11">
        <v>747.97</v>
      </c>
      <c r="M49" s="71">
        <f t="shared" si="78"/>
        <v>1503.48</v>
      </c>
      <c r="N49" s="11">
        <v>1503.48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1">
        <v>709.03</v>
      </c>
      <c r="X49" s="11">
        <v>1178.23</v>
      </c>
      <c r="Y49" s="11">
        <v>1513.83</v>
      </c>
      <c r="Z49" s="11">
        <v>1115.46</v>
      </c>
      <c r="AA49" s="11">
        <v>2054.27</v>
      </c>
      <c r="AB49" s="11">
        <v>1111.8900000000001</v>
      </c>
      <c r="AC49" s="11">
        <v>1713.13</v>
      </c>
      <c r="AD49" s="11">
        <v>4693.26</v>
      </c>
      <c r="AE49" s="11">
        <v>35752.199999999997</v>
      </c>
      <c r="AF49" s="11">
        <v>2449.7399999999998</v>
      </c>
      <c r="AG49" s="11">
        <v>907.92</v>
      </c>
      <c r="AH49" s="11">
        <v>2059.6</v>
      </c>
      <c r="AI49" s="89">
        <f t="shared" si="1"/>
        <v>1316.68</v>
      </c>
      <c r="AJ49" s="11">
        <v>1316.68</v>
      </c>
      <c r="AK49" s="29"/>
      <c r="AL49" s="11">
        <v>296.33999999999997</v>
      </c>
      <c r="AM49" s="11">
        <v>2612.8000000000002</v>
      </c>
      <c r="AN49" s="11">
        <v>9033.74</v>
      </c>
      <c r="AO49" s="11">
        <v>18673.060000000001</v>
      </c>
      <c r="AP49" s="11">
        <v>9445.7900000000009</v>
      </c>
      <c r="AQ49" s="11">
        <v>7124.13</v>
      </c>
      <c r="AR49" s="11">
        <v>20805.14</v>
      </c>
      <c r="AS49" s="11">
        <v>407.52</v>
      </c>
      <c r="AT49" s="11">
        <v>1080.58</v>
      </c>
      <c r="AU49" s="11">
        <v>6815.98</v>
      </c>
      <c r="AV49" s="11">
        <v>6135.87</v>
      </c>
      <c r="AW49" s="11">
        <v>2996.02</v>
      </c>
      <c r="AX49" s="11">
        <v>484.21</v>
      </c>
      <c r="AY49" s="11">
        <v>770.35</v>
      </c>
      <c r="AZ49" s="11">
        <v>1318.72</v>
      </c>
      <c r="BA49" s="11">
        <v>1811.48</v>
      </c>
      <c r="BB49" s="11">
        <v>714.06</v>
      </c>
      <c r="BC49" s="11">
        <v>504.72</v>
      </c>
      <c r="BD49" s="11">
        <v>812.47</v>
      </c>
      <c r="BE49" s="11">
        <v>1335.33</v>
      </c>
      <c r="BF49" s="11">
        <v>2319.44</v>
      </c>
      <c r="BG49" s="11">
        <v>1296.8399999999999</v>
      </c>
      <c r="BH49" s="11">
        <v>3317.27</v>
      </c>
      <c r="BI49" s="11">
        <v>726.63</v>
      </c>
      <c r="BJ49" s="11">
        <v>850.61</v>
      </c>
      <c r="BK49" s="11">
        <v>8898.83</v>
      </c>
      <c r="BL49" s="11">
        <v>516.51</v>
      </c>
      <c r="BM49" s="11">
        <v>414.18</v>
      </c>
      <c r="BN49" s="11">
        <v>2165.21</v>
      </c>
      <c r="BO49" s="11">
        <v>3284.1</v>
      </c>
      <c r="BP49" s="11">
        <v>1029.3900000000001</v>
      </c>
      <c r="BQ49" s="11">
        <v>2651.72</v>
      </c>
      <c r="BR49" s="11">
        <v>1314.08</v>
      </c>
      <c r="BS49" s="11">
        <v>656.53</v>
      </c>
      <c r="BT49" s="11">
        <v>691.18</v>
      </c>
      <c r="BU49" s="11">
        <v>713.03</v>
      </c>
      <c r="BV49" s="11">
        <v>277.61</v>
      </c>
      <c r="BW49" s="11">
        <v>552.36</v>
      </c>
      <c r="BX49" s="11">
        <v>3.17</v>
      </c>
      <c r="BY49" s="5">
        <v>0</v>
      </c>
      <c r="BZ49" s="11">
        <v>159087.32</v>
      </c>
      <c r="CA49" s="11">
        <v>325.83999999999997</v>
      </c>
      <c r="CB49" s="11">
        <v>158732.32999999999</v>
      </c>
      <c r="CC49" s="11">
        <v>29.14</v>
      </c>
      <c r="CD49" s="11">
        <v>29417.52</v>
      </c>
      <c r="CE49" s="11">
        <v>241.61</v>
      </c>
      <c r="CF49" s="11">
        <v>27066.43</v>
      </c>
      <c r="CG49" s="5" t="s">
        <v>102</v>
      </c>
      <c r="CH49" s="11">
        <v>27066.43</v>
      </c>
      <c r="CI49" s="5" t="s">
        <v>102</v>
      </c>
      <c r="CJ49" s="5" t="s">
        <v>102</v>
      </c>
      <c r="CK49" s="11">
        <v>29175.9</v>
      </c>
      <c r="CL49" s="5" t="s">
        <v>102</v>
      </c>
      <c r="CM49" s="5" t="s">
        <v>102</v>
      </c>
      <c r="CN49" s="11">
        <v>409392.89</v>
      </c>
      <c r="CO49" s="11">
        <v>215571.26</v>
      </c>
    </row>
    <row r="50" spans="1:93" ht="14.5" x14ac:dyDescent="0.35">
      <c r="A50" s="3" t="s">
        <v>50</v>
      </c>
      <c r="B50" s="10">
        <v>1015163.95</v>
      </c>
      <c r="C50" s="10">
        <v>23700.240000000002</v>
      </c>
      <c r="D50" s="10">
        <v>2273.7600000000002</v>
      </c>
      <c r="E50" s="10">
        <v>596.70000000000005</v>
      </c>
      <c r="F50" s="10">
        <v>2176.65</v>
      </c>
      <c r="G50" s="10">
        <v>98680.11</v>
      </c>
      <c r="H50" s="10">
        <v>15438.12</v>
      </c>
      <c r="I50" s="10">
        <v>11045.84</v>
      </c>
      <c r="J50" s="10">
        <v>11315.02</v>
      </c>
      <c r="K50" s="10">
        <v>2824.64</v>
      </c>
      <c r="L50" s="10">
        <v>12772.36</v>
      </c>
      <c r="M50" s="71">
        <f t="shared" si="78"/>
        <v>33927.71</v>
      </c>
      <c r="N50" s="10">
        <v>33927.71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0">
        <v>15204.91</v>
      </c>
      <c r="X50" s="10">
        <v>17847.169999999998</v>
      </c>
      <c r="Y50" s="10">
        <v>14187.62</v>
      </c>
      <c r="Z50" s="10">
        <v>21164.99</v>
      </c>
      <c r="AA50" s="10">
        <v>26413.42</v>
      </c>
      <c r="AB50" s="10">
        <v>19911.830000000002</v>
      </c>
      <c r="AC50" s="10">
        <v>20506.78</v>
      </c>
      <c r="AD50" s="10">
        <v>37329.43</v>
      </c>
      <c r="AE50" s="10">
        <v>41867.160000000003</v>
      </c>
      <c r="AF50" s="4">
        <v>10714</v>
      </c>
      <c r="AG50" s="10">
        <v>18677.34</v>
      </c>
      <c r="AH50" s="10">
        <v>19263.97</v>
      </c>
      <c r="AI50" s="89">
        <f t="shared" si="1"/>
        <v>17544.8</v>
      </c>
      <c r="AJ50" s="10">
        <v>17544.8</v>
      </c>
      <c r="AK50" s="29"/>
      <c r="AL50" s="10">
        <v>1040.27</v>
      </c>
      <c r="AM50" s="10">
        <v>8555.59</v>
      </c>
      <c r="AN50" s="10">
        <v>101184.39</v>
      </c>
      <c r="AO50" s="10">
        <v>11553.96</v>
      </c>
      <c r="AP50" s="10">
        <v>94515.51</v>
      </c>
      <c r="AQ50" s="10">
        <v>28726.54</v>
      </c>
      <c r="AR50" s="10">
        <v>11046.39</v>
      </c>
      <c r="AS50" s="10">
        <v>3067.01</v>
      </c>
      <c r="AT50" s="10">
        <v>3084.47</v>
      </c>
      <c r="AU50" s="10">
        <v>8004.48</v>
      </c>
      <c r="AV50" s="10">
        <v>1397.02</v>
      </c>
      <c r="AW50" s="10">
        <v>42692.65</v>
      </c>
      <c r="AX50" s="10">
        <v>8549.7000000000007</v>
      </c>
      <c r="AY50" s="10">
        <v>3209.48</v>
      </c>
      <c r="AZ50" s="10">
        <v>7917.9</v>
      </c>
      <c r="BA50" s="10">
        <v>23497.46</v>
      </c>
      <c r="BB50" s="10">
        <v>1616.23</v>
      </c>
      <c r="BC50" s="10">
        <v>801.6</v>
      </c>
      <c r="BD50" s="10">
        <v>5299.47</v>
      </c>
      <c r="BE50" s="10">
        <v>9210.82</v>
      </c>
      <c r="BF50" s="10">
        <v>11172.41</v>
      </c>
      <c r="BG50" s="10">
        <v>7373.12</v>
      </c>
      <c r="BH50" s="10">
        <v>10628.69</v>
      </c>
      <c r="BI50" s="10">
        <v>3463.4</v>
      </c>
      <c r="BJ50" s="10">
        <v>3913.64</v>
      </c>
      <c r="BK50" s="10">
        <v>10553.77</v>
      </c>
      <c r="BL50" s="10">
        <v>1096.3399999999999</v>
      </c>
      <c r="BM50" s="10">
        <v>1609.6</v>
      </c>
      <c r="BN50" s="10">
        <v>14398.13</v>
      </c>
      <c r="BO50" s="10">
        <v>10833.37</v>
      </c>
      <c r="BP50" s="10">
        <v>6548.16</v>
      </c>
      <c r="BQ50" s="10">
        <v>39383.269999999997</v>
      </c>
      <c r="BR50" s="10">
        <v>9661.0300000000007</v>
      </c>
      <c r="BS50" s="10">
        <v>3996.24</v>
      </c>
      <c r="BT50" s="10">
        <v>3173.36</v>
      </c>
      <c r="BU50" s="10">
        <v>1985.94</v>
      </c>
      <c r="BV50" s="10">
        <v>1661.69</v>
      </c>
      <c r="BW50" s="10">
        <v>3328.64</v>
      </c>
      <c r="BX50" s="10">
        <v>27.7</v>
      </c>
      <c r="BY50" s="4">
        <v>0</v>
      </c>
      <c r="BZ50" s="10">
        <v>341345.44</v>
      </c>
      <c r="CA50" s="10">
        <v>17166.41</v>
      </c>
      <c r="CB50" s="10">
        <v>324091.40000000002</v>
      </c>
      <c r="CC50" s="10">
        <v>87.63</v>
      </c>
      <c r="CD50" s="10">
        <v>113466.05</v>
      </c>
      <c r="CE50" s="10">
        <v>4914.01</v>
      </c>
      <c r="CF50" s="10">
        <v>309608.76</v>
      </c>
      <c r="CG50" s="4" t="s">
        <v>102</v>
      </c>
      <c r="CH50" s="10">
        <v>309608.76</v>
      </c>
      <c r="CI50" s="4" t="s">
        <v>102</v>
      </c>
      <c r="CJ50" s="4" t="s">
        <v>102</v>
      </c>
      <c r="CK50" s="10">
        <v>108552.05</v>
      </c>
      <c r="CL50" s="4" t="s">
        <v>102</v>
      </c>
      <c r="CM50" s="4" t="s">
        <v>102</v>
      </c>
      <c r="CN50" s="10">
        <v>1779584.2</v>
      </c>
      <c r="CO50" s="10">
        <v>764420.25</v>
      </c>
    </row>
    <row r="51" spans="1:93" ht="14.5" x14ac:dyDescent="0.35">
      <c r="A51" s="3" t="s">
        <v>51</v>
      </c>
      <c r="B51" s="11">
        <v>250170.21</v>
      </c>
      <c r="C51" s="11">
        <v>8758.9699999999993</v>
      </c>
      <c r="D51" s="11">
        <v>660.95</v>
      </c>
      <c r="E51" s="11">
        <v>387.09</v>
      </c>
      <c r="F51" s="11">
        <v>854.85</v>
      </c>
      <c r="G51" s="11">
        <v>26130.7</v>
      </c>
      <c r="H51" s="11">
        <v>3108.07</v>
      </c>
      <c r="I51" s="11">
        <v>2651.46</v>
      </c>
      <c r="J51" s="11">
        <v>2276.41</v>
      </c>
      <c r="K51" s="11">
        <v>896.73</v>
      </c>
      <c r="L51" s="11">
        <v>2481.6799999999998</v>
      </c>
      <c r="M51" s="71">
        <f t="shared" si="78"/>
        <v>7000.46</v>
      </c>
      <c r="N51" s="11">
        <v>7000.46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1">
        <v>2528.59</v>
      </c>
      <c r="X51" s="11">
        <v>4431.8900000000003</v>
      </c>
      <c r="Y51" s="11">
        <v>3206.49</v>
      </c>
      <c r="Z51" s="11">
        <v>3683.71</v>
      </c>
      <c r="AA51" s="11">
        <v>5641.04</v>
      </c>
      <c r="AB51" s="11">
        <v>5437.39</v>
      </c>
      <c r="AC51" s="11">
        <v>5028.6499999999996</v>
      </c>
      <c r="AD51" s="11">
        <v>6476.56</v>
      </c>
      <c r="AE51" s="11">
        <v>10586.59</v>
      </c>
      <c r="AF51" s="11">
        <v>4120.2700000000004</v>
      </c>
      <c r="AG51" s="11">
        <v>4945.6499999999996</v>
      </c>
      <c r="AH51" s="11">
        <v>4072.23</v>
      </c>
      <c r="AI51" s="89">
        <f t="shared" si="1"/>
        <v>4267.3900000000003</v>
      </c>
      <c r="AJ51" s="11">
        <v>4267.3900000000003</v>
      </c>
      <c r="AK51" s="29"/>
      <c r="AL51" s="11">
        <v>457.88</v>
      </c>
      <c r="AM51" s="11">
        <v>1674.5</v>
      </c>
      <c r="AN51" s="11">
        <v>20583.3</v>
      </c>
      <c r="AO51" s="11">
        <v>2356.81</v>
      </c>
      <c r="AP51" s="11">
        <v>6907.21</v>
      </c>
      <c r="AQ51" s="11">
        <v>4207.87</v>
      </c>
      <c r="AR51" s="11">
        <v>4230.66</v>
      </c>
      <c r="AS51" s="11">
        <v>1243.8800000000001</v>
      </c>
      <c r="AT51" s="11">
        <v>1069.97</v>
      </c>
      <c r="AU51" s="11">
        <v>2118.67</v>
      </c>
      <c r="AV51" s="11">
        <v>721.01</v>
      </c>
      <c r="AW51" s="11">
        <v>16122.74</v>
      </c>
      <c r="AX51" s="11">
        <v>986.74</v>
      </c>
      <c r="AY51" s="11">
        <v>1057.72</v>
      </c>
      <c r="AZ51" s="11">
        <v>1957.74</v>
      </c>
      <c r="BA51" s="11">
        <v>2293.11</v>
      </c>
      <c r="BB51" s="11">
        <v>764.02</v>
      </c>
      <c r="BC51" s="11">
        <v>777.55</v>
      </c>
      <c r="BD51" s="11">
        <v>829.43</v>
      </c>
      <c r="BE51" s="11">
        <v>2846.08</v>
      </c>
      <c r="BF51" s="11">
        <v>1948.6</v>
      </c>
      <c r="BG51" s="11">
        <v>2109.11</v>
      </c>
      <c r="BH51" s="11">
        <v>3085.78</v>
      </c>
      <c r="BI51" s="11">
        <v>1250.8</v>
      </c>
      <c r="BJ51" s="11">
        <v>1611.91</v>
      </c>
      <c r="BK51" s="11">
        <v>2019.55</v>
      </c>
      <c r="BL51" s="11">
        <v>555.25</v>
      </c>
      <c r="BM51" s="11">
        <v>727.48</v>
      </c>
      <c r="BN51" s="11">
        <v>3817.09</v>
      </c>
      <c r="BO51" s="11">
        <v>5095.87</v>
      </c>
      <c r="BP51" s="11">
        <v>2733.32</v>
      </c>
      <c r="BQ51" s="11">
        <v>19494.669999999998</v>
      </c>
      <c r="BR51" s="11">
        <v>6844.39</v>
      </c>
      <c r="BS51" s="11">
        <v>1694.32</v>
      </c>
      <c r="BT51" s="11">
        <v>1023.45</v>
      </c>
      <c r="BU51" s="11">
        <v>978.93</v>
      </c>
      <c r="BV51" s="11">
        <v>630.69000000000005</v>
      </c>
      <c r="BW51" s="11">
        <v>1698.47</v>
      </c>
      <c r="BX51" s="11">
        <v>9.82</v>
      </c>
      <c r="BY51" s="5">
        <v>0</v>
      </c>
      <c r="BZ51" s="11">
        <v>778196.37</v>
      </c>
      <c r="CA51" s="11">
        <v>36958.29</v>
      </c>
      <c r="CB51" s="11">
        <v>741179.99</v>
      </c>
      <c r="CC51" s="11">
        <v>58.1</v>
      </c>
      <c r="CD51" s="11">
        <v>38468.81</v>
      </c>
      <c r="CE51" s="11">
        <v>4672.21</v>
      </c>
      <c r="CF51" s="11">
        <v>43538.12</v>
      </c>
      <c r="CG51" s="5" t="s">
        <v>102</v>
      </c>
      <c r="CH51" s="11">
        <v>43538.12</v>
      </c>
      <c r="CI51" s="5" t="s">
        <v>102</v>
      </c>
      <c r="CJ51" s="5" t="s">
        <v>102</v>
      </c>
      <c r="CK51" s="11">
        <v>33796.6</v>
      </c>
      <c r="CL51" s="5" t="s">
        <v>102</v>
      </c>
      <c r="CM51" s="5" t="s">
        <v>102</v>
      </c>
      <c r="CN51" s="11">
        <v>1110373.51</v>
      </c>
      <c r="CO51" s="11">
        <v>860203.3</v>
      </c>
    </row>
    <row r="52" spans="1:93" s="42" customFormat="1" ht="11.5" x14ac:dyDescent="0.35">
      <c r="A52" s="35" t="s">
        <v>52</v>
      </c>
      <c r="B52" s="42">
        <v>514548.59</v>
      </c>
      <c r="C52" s="42">
        <v>4381.95</v>
      </c>
      <c r="D52" s="42">
        <v>2450.0700000000002</v>
      </c>
      <c r="E52" s="42">
        <v>115.25</v>
      </c>
      <c r="F52" s="42">
        <v>2863.48</v>
      </c>
      <c r="G52" s="42">
        <v>32611.48</v>
      </c>
      <c r="H52" s="42">
        <v>3816.61</v>
      </c>
      <c r="I52" s="42">
        <v>4549.68</v>
      </c>
      <c r="J52" s="42">
        <v>7267.78</v>
      </c>
      <c r="K52" s="42">
        <v>790.81</v>
      </c>
      <c r="L52" s="42">
        <v>13637.68</v>
      </c>
      <c r="M52" s="71">
        <f t="shared" si="78"/>
        <v>13645.71</v>
      </c>
      <c r="N52" s="42">
        <v>13645.71</v>
      </c>
      <c r="O52" s="67">
        <f>'[1]2023 costs'!$Q$110/1000000</f>
        <v>0</v>
      </c>
      <c r="P52" s="67">
        <f>'[1]2023 costs'!$Q$33/1000000</f>
        <v>0</v>
      </c>
      <c r="Q52" s="79">
        <f>'[1]2023 costs'!$Q$120/1000000</f>
        <v>0</v>
      </c>
      <c r="R52" s="67">
        <f>'[1]2023 costs'!$Q$61/1000000</f>
        <v>0</v>
      </c>
      <c r="V52" s="76"/>
      <c r="W52" s="42">
        <v>2654.12</v>
      </c>
      <c r="X52" s="42">
        <v>7256.75</v>
      </c>
      <c r="Y52" s="42">
        <v>9900.86</v>
      </c>
      <c r="Z52" s="42">
        <v>12557.4</v>
      </c>
      <c r="AA52" s="42">
        <v>7349.2</v>
      </c>
      <c r="AB52" s="42">
        <v>2402.29</v>
      </c>
      <c r="AC52" s="42">
        <v>4837.3999999999996</v>
      </c>
      <c r="AD52" s="42">
        <v>7692.96</v>
      </c>
      <c r="AE52" s="42">
        <v>13616.37</v>
      </c>
      <c r="AF52" s="42">
        <v>1661.59</v>
      </c>
      <c r="AG52" s="42">
        <v>4785.24</v>
      </c>
      <c r="AH52" s="42">
        <v>3071.27</v>
      </c>
      <c r="AI52" s="89">
        <f t="shared" si="1"/>
        <v>14280.48</v>
      </c>
      <c r="AJ52" s="42">
        <v>14280.48</v>
      </c>
      <c r="AK52" s="67">
        <f>'[1]2023 costs'!$Q$80/1000000</f>
        <v>0</v>
      </c>
      <c r="AL52" s="42">
        <v>346.95</v>
      </c>
      <c r="AM52" s="42">
        <v>4478.0600000000004</v>
      </c>
      <c r="AN52" s="42">
        <v>21940.04</v>
      </c>
      <c r="AO52" s="42">
        <v>6627.96</v>
      </c>
      <c r="AP52" s="42">
        <v>65912.02</v>
      </c>
      <c r="AQ52" s="42">
        <v>21086.7</v>
      </c>
      <c r="AR52" s="42">
        <v>75958.34</v>
      </c>
      <c r="AS52" s="42">
        <v>1382.53</v>
      </c>
      <c r="AT52" s="42">
        <v>1111.72</v>
      </c>
      <c r="AU52" s="42">
        <v>55772.74</v>
      </c>
      <c r="AV52" s="42">
        <v>4131.87</v>
      </c>
      <c r="AW52" s="42">
        <v>4468.74</v>
      </c>
      <c r="AX52" s="42">
        <v>1630.59</v>
      </c>
      <c r="AY52" s="42">
        <v>800.79</v>
      </c>
      <c r="AZ52" s="42">
        <v>1099.27</v>
      </c>
      <c r="BA52" s="42">
        <v>2884.16</v>
      </c>
      <c r="BB52" s="42">
        <v>846.84</v>
      </c>
      <c r="BC52" s="42">
        <v>415.38</v>
      </c>
      <c r="BD52" s="42">
        <v>1034.56</v>
      </c>
      <c r="BE52" s="42">
        <v>2925.94</v>
      </c>
      <c r="BF52" s="42">
        <v>3731.52</v>
      </c>
      <c r="BG52" s="42">
        <v>1915.5</v>
      </c>
      <c r="BH52" s="42">
        <v>3507.01</v>
      </c>
      <c r="BI52" s="42">
        <v>1652.58</v>
      </c>
      <c r="BJ52" s="42">
        <v>1203.01</v>
      </c>
      <c r="BK52" s="42">
        <v>4369.95</v>
      </c>
      <c r="BL52" s="42">
        <v>467.01</v>
      </c>
      <c r="BM52" s="42">
        <v>8860.1299999999992</v>
      </c>
      <c r="BN52" s="42">
        <v>3313.4</v>
      </c>
      <c r="BO52" s="42">
        <v>9693.2900000000009</v>
      </c>
      <c r="BP52" s="42">
        <v>11232.34</v>
      </c>
      <c r="BQ52" s="42">
        <v>4490.25</v>
      </c>
      <c r="BR52" s="42">
        <v>2193.4899999999998</v>
      </c>
      <c r="BS52" s="42">
        <v>825.2</v>
      </c>
      <c r="BT52" s="42">
        <v>859.83</v>
      </c>
      <c r="BU52" s="42">
        <v>1765.06</v>
      </c>
      <c r="BV52" s="42">
        <v>699.35</v>
      </c>
      <c r="BW52" s="42">
        <v>702.91</v>
      </c>
      <c r="BX52" s="42">
        <v>15.11</v>
      </c>
      <c r="BY52" s="42">
        <v>0</v>
      </c>
      <c r="BZ52" s="42">
        <v>176960.92</v>
      </c>
      <c r="CA52" s="42">
        <v>33848.04</v>
      </c>
      <c r="CB52" s="42">
        <v>143069.60999999999</v>
      </c>
      <c r="CC52" s="42">
        <v>43.28</v>
      </c>
      <c r="CD52" s="42">
        <v>9812.6</v>
      </c>
      <c r="CE52" s="42">
        <v>283.67</v>
      </c>
      <c r="CF52" s="42">
        <v>95005.39</v>
      </c>
      <c r="CG52" s="42" t="s">
        <v>102</v>
      </c>
      <c r="CH52" s="42">
        <v>95005.39</v>
      </c>
      <c r="CI52" s="42" t="s">
        <v>102</v>
      </c>
      <c r="CJ52" s="42" t="s">
        <v>102</v>
      </c>
      <c r="CK52" s="42">
        <v>9528.93</v>
      </c>
      <c r="CL52" s="42" t="s">
        <v>102</v>
      </c>
      <c r="CM52" s="42" t="s">
        <v>102</v>
      </c>
      <c r="CN52" s="42">
        <v>796327.49</v>
      </c>
      <c r="CO52" s="42">
        <v>281778.90999999997</v>
      </c>
    </row>
    <row r="53" spans="1:93" ht="14.5" x14ac:dyDescent="0.35">
      <c r="A53" s="3" t="s">
        <v>53</v>
      </c>
      <c r="B53" s="11">
        <v>63393.03</v>
      </c>
      <c r="C53" s="11">
        <v>182.95</v>
      </c>
      <c r="D53" s="11">
        <v>208.83</v>
      </c>
      <c r="E53" s="11">
        <v>49.17</v>
      </c>
      <c r="F53" s="11">
        <v>287.79000000000002</v>
      </c>
      <c r="G53" s="11">
        <v>2129.46</v>
      </c>
      <c r="H53" s="11">
        <v>217.56</v>
      </c>
      <c r="I53" s="11">
        <v>345.94</v>
      </c>
      <c r="J53" s="11">
        <v>687.24</v>
      </c>
      <c r="K53" s="11">
        <v>37.880000000000003</v>
      </c>
      <c r="L53" s="11">
        <v>2056.44</v>
      </c>
      <c r="M53" s="11">
        <f t="shared" si="78"/>
        <v>1576.67</v>
      </c>
      <c r="N53" s="11">
        <v>1576.67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1">
        <v>527.96</v>
      </c>
      <c r="X53" s="11">
        <v>466.85</v>
      </c>
      <c r="Y53" s="11">
        <v>553.12</v>
      </c>
      <c r="Z53" s="11">
        <v>1438.3</v>
      </c>
      <c r="AA53" s="11">
        <v>625.95000000000005</v>
      </c>
      <c r="AB53" s="11">
        <v>636.59</v>
      </c>
      <c r="AC53" s="11">
        <v>693.04</v>
      </c>
      <c r="AD53" s="11">
        <v>983.44</v>
      </c>
      <c r="AE53" s="11">
        <v>1265.95</v>
      </c>
      <c r="AF53" s="11">
        <v>153.27000000000001</v>
      </c>
      <c r="AG53" s="11">
        <v>287.18</v>
      </c>
      <c r="AH53" s="11">
        <v>327.97</v>
      </c>
      <c r="AI53" s="89">
        <f t="shared" si="1"/>
        <v>610.27</v>
      </c>
      <c r="AJ53" s="11">
        <v>610.27</v>
      </c>
      <c r="AK53" s="29"/>
      <c r="AL53" s="11">
        <v>20.05</v>
      </c>
      <c r="AM53" s="11">
        <v>288.3</v>
      </c>
      <c r="AN53" s="11">
        <v>1000.13</v>
      </c>
      <c r="AO53" s="11">
        <v>433.41</v>
      </c>
      <c r="AP53" s="11">
        <v>6235.36</v>
      </c>
      <c r="AQ53" s="11">
        <v>540.44000000000005</v>
      </c>
      <c r="AR53" s="11">
        <v>3577.12</v>
      </c>
      <c r="AS53" s="11">
        <v>21957.74</v>
      </c>
      <c r="AT53" s="11">
        <v>230.26</v>
      </c>
      <c r="AU53" s="11">
        <v>6170.35</v>
      </c>
      <c r="AV53" s="11">
        <v>141.06</v>
      </c>
      <c r="AW53" s="11">
        <v>315.14999999999998</v>
      </c>
      <c r="AX53" s="11">
        <v>110.68</v>
      </c>
      <c r="AY53" s="11">
        <v>36.340000000000003</v>
      </c>
      <c r="AZ53" s="11">
        <v>143.47</v>
      </c>
      <c r="BA53" s="11">
        <v>327.81</v>
      </c>
      <c r="BB53" s="11">
        <v>35.81</v>
      </c>
      <c r="BC53" s="11">
        <v>12.37</v>
      </c>
      <c r="BD53" s="11">
        <v>34.39</v>
      </c>
      <c r="BE53" s="11">
        <v>239.78</v>
      </c>
      <c r="BF53" s="11">
        <v>322.77</v>
      </c>
      <c r="BG53" s="11">
        <v>110.92</v>
      </c>
      <c r="BH53" s="11">
        <v>260.5</v>
      </c>
      <c r="BI53" s="11">
        <v>73.2</v>
      </c>
      <c r="BJ53" s="11">
        <v>74.28</v>
      </c>
      <c r="BK53" s="11">
        <v>571.57000000000005</v>
      </c>
      <c r="BL53" s="11">
        <v>73.64</v>
      </c>
      <c r="BM53" s="11">
        <v>2315.85</v>
      </c>
      <c r="BN53" s="11">
        <v>256.63</v>
      </c>
      <c r="BO53" s="11">
        <v>356.25</v>
      </c>
      <c r="BP53" s="11">
        <v>139.79</v>
      </c>
      <c r="BQ53" s="11">
        <v>370.14</v>
      </c>
      <c r="BR53" s="11">
        <v>117.8</v>
      </c>
      <c r="BS53" s="11">
        <v>39.270000000000003</v>
      </c>
      <c r="BT53" s="11">
        <v>32.270000000000003</v>
      </c>
      <c r="BU53" s="11">
        <v>29.19</v>
      </c>
      <c r="BV53" s="11">
        <v>20.91</v>
      </c>
      <c r="BW53" s="11">
        <v>23.81</v>
      </c>
      <c r="BX53" s="11">
        <v>4.45</v>
      </c>
      <c r="BY53" s="5">
        <v>0</v>
      </c>
      <c r="BZ53" s="11">
        <v>18653.810000000001</v>
      </c>
      <c r="CA53" s="11">
        <v>625.69000000000005</v>
      </c>
      <c r="CB53" s="11">
        <v>18027.64</v>
      </c>
      <c r="CC53" s="11">
        <v>0.48</v>
      </c>
      <c r="CD53" s="11">
        <v>-2941.77</v>
      </c>
      <c r="CE53" s="11">
        <v>-4868.67</v>
      </c>
      <c r="CF53" s="11">
        <v>149558.53</v>
      </c>
      <c r="CG53" s="5" t="s">
        <v>102</v>
      </c>
      <c r="CH53" s="11">
        <v>149558.53</v>
      </c>
      <c r="CI53" s="5" t="s">
        <v>102</v>
      </c>
      <c r="CJ53" s="5" t="s">
        <v>102</v>
      </c>
      <c r="CK53" s="11">
        <v>1926.9</v>
      </c>
      <c r="CL53" s="5" t="s">
        <v>102</v>
      </c>
      <c r="CM53" s="5" t="s">
        <v>102</v>
      </c>
      <c r="CN53" s="11">
        <v>228663.6</v>
      </c>
      <c r="CO53" s="11">
        <v>165270.57</v>
      </c>
    </row>
    <row r="54" spans="1:93" ht="14.5" x14ac:dyDescent="0.35">
      <c r="A54" s="3" t="s">
        <v>54</v>
      </c>
      <c r="B54" s="10">
        <v>60809.03</v>
      </c>
      <c r="C54" s="10">
        <v>175.75</v>
      </c>
      <c r="D54" s="10">
        <v>29.97</v>
      </c>
      <c r="E54" s="10">
        <v>57.66</v>
      </c>
      <c r="F54" s="10">
        <v>64.069999999999993</v>
      </c>
      <c r="G54" s="10">
        <v>1066.47</v>
      </c>
      <c r="H54" s="10">
        <v>195.36</v>
      </c>
      <c r="I54" s="10">
        <v>80.53</v>
      </c>
      <c r="J54" s="10">
        <v>141.63999999999999</v>
      </c>
      <c r="K54" s="10">
        <v>82.98</v>
      </c>
      <c r="L54" s="10">
        <v>195.11</v>
      </c>
      <c r="M54" s="11">
        <f t="shared" si="78"/>
        <v>784.55</v>
      </c>
      <c r="N54" s="10">
        <v>784.55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0">
        <v>452.38</v>
      </c>
      <c r="X54" s="10">
        <v>297.23</v>
      </c>
      <c r="Y54" s="10">
        <v>224.67</v>
      </c>
      <c r="Z54" s="10">
        <v>250.11</v>
      </c>
      <c r="AA54" s="10">
        <v>735.59</v>
      </c>
      <c r="AB54" s="10">
        <v>1914.31</v>
      </c>
      <c r="AC54" s="10">
        <v>1074.43</v>
      </c>
      <c r="AD54" s="10">
        <v>2174.29</v>
      </c>
      <c r="AE54" s="10">
        <v>1586.32</v>
      </c>
      <c r="AF54" s="10">
        <v>594.02</v>
      </c>
      <c r="AG54" s="10">
        <v>445.06</v>
      </c>
      <c r="AH54" s="10">
        <v>818.19</v>
      </c>
      <c r="AI54" s="89">
        <f t="shared" si="1"/>
        <v>378.98</v>
      </c>
      <c r="AJ54" s="10">
        <v>378.98</v>
      </c>
      <c r="AK54" s="29"/>
      <c r="AL54" s="10">
        <v>21.06</v>
      </c>
      <c r="AM54" s="10">
        <v>155.51</v>
      </c>
      <c r="AN54" s="10">
        <v>954.52</v>
      </c>
      <c r="AO54" s="10">
        <v>317.25</v>
      </c>
      <c r="AP54" s="10">
        <v>2073.4499999999998</v>
      </c>
      <c r="AQ54" s="10">
        <v>1063.96</v>
      </c>
      <c r="AR54" s="10">
        <v>531.48</v>
      </c>
      <c r="AS54" s="10">
        <v>369.4</v>
      </c>
      <c r="AT54" s="10">
        <v>11268.68</v>
      </c>
      <c r="AU54" s="10">
        <v>2441.61</v>
      </c>
      <c r="AV54" s="10">
        <v>2156.0700000000002</v>
      </c>
      <c r="AW54" s="10">
        <v>516.63</v>
      </c>
      <c r="AX54" s="10">
        <v>194.68</v>
      </c>
      <c r="AY54" s="10">
        <v>296.23</v>
      </c>
      <c r="AZ54" s="10">
        <v>258.43</v>
      </c>
      <c r="BA54" s="10">
        <v>924.74</v>
      </c>
      <c r="BB54" s="10">
        <v>1210.5</v>
      </c>
      <c r="BC54" s="10">
        <v>778.53</v>
      </c>
      <c r="BD54" s="10">
        <v>1561.06</v>
      </c>
      <c r="BE54" s="10">
        <v>297.36</v>
      </c>
      <c r="BF54" s="10">
        <v>1579.98</v>
      </c>
      <c r="BG54" s="10">
        <v>681.58</v>
      </c>
      <c r="BH54" s="10">
        <v>984.92</v>
      </c>
      <c r="BI54" s="10">
        <v>280.94</v>
      </c>
      <c r="BJ54" s="10">
        <v>248.59</v>
      </c>
      <c r="BK54" s="10">
        <v>690.54</v>
      </c>
      <c r="BL54" s="10">
        <v>134.19</v>
      </c>
      <c r="BM54" s="10">
        <v>9855.99</v>
      </c>
      <c r="BN54" s="10">
        <v>564.87</v>
      </c>
      <c r="BO54" s="10">
        <v>1734.3</v>
      </c>
      <c r="BP54" s="10">
        <v>620.84</v>
      </c>
      <c r="BQ54" s="10">
        <v>681.81</v>
      </c>
      <c r="BR54" s="10">
        <v>286.99</v>
      </c>
      <c r="BS54" s="10">
        <v>329.7</v>
      </c>
      <c r="BT54" s="10">
        <v>217.56</v>
      </c>
      <c r="BU54" s="10">
        <v>519.57000000000005</v>
      </c>
      <c r="BV54" s="10">
        <v>40.53</v>
      </c>
      <c r="BW54" s="10">
        <v>142.49</v>
      </c>
      <c r="BX54" s="10">
        <v>2.88</v>
      </c>
      <c r="BY54" s="4">
        <v>0</v>
      </c>
      <c r="BZ54" s="10">
        <v>35212.129999999997</v>
      </c>
      <c r="CA54" s="10">
        <v>1520.32</v>
      </c>
      <c r="CB54" s="10">
        <v>33691.21</v>
      </c>
      <c r="CC54" s="10">
        <v>0.61</v>
      </c>
      <c r="CD54" s="10">
        <v>1478.98</v>
      </c>
      <c r="CE54" s="10">
        <v>81.83</v>
      </c>
      <c r="CF54" s="10">
        <v>57932.19</v>
      </c>
      <c r="CG54" s="4" t="s">
        <v>102</v>
      </c>
      <c r="CH54" s="10">
        <v>57932.19</v>
      </c>
      <c r="CI54" s="4" t="s">
        <v>102</v>
      </c>
      <c r="CJ54" s="4" t="s">
        <v>102</v>
      </c>
      <c r="CK54" s="10">
        <v>1397.15</v>
      </c>
      <c r="CL54" s="4" t="s">
        <v>102</v>
      </c>
      <c r="CM54" s="4" t="s">
        <v>102</v>
      </c>
      <c r="CN54" s="10">
        <v>155432.32999999999</v>
      </c>
      <c r="CO54" s="10">
        <v>94623.3</v>
      </c>
    </row>
    <row r="55" spans="1:93" ht="14.5" x14ac:dyDescent="0.35">
      <c r="A55" s="3" t="s">
        <v>55</v>
      </c>
      <c r="B55" s="11">
        <v>546811.76</v>
      </c>
      <c r="C55" s="11">
        <v>1158.6600000000001</v>
      </c>
      <c r="D55" s="11">
        <v>273.07</v>
      </c>
      <c r="E55" s="11">
        <v>212.3</v>
      </c>
      <c r="F55" s="11">
        <v>1708.36</v>
      </c>
      <c r="G55" s="11">
        <v>23897.83</v>
      </c>
      <c r="H55" s="11">
        <v>2632.81</v>
      </c>
      <c r="I55" s="11">
        <v>1814.8</v>
      </c>
      <c r="J55" s="11">
        <v>4138.22</v>
      </c>
      <c r="K55" s="11">
        <v>473.87</v>
      </c>
      <c r="L55" s="11">
        <v>7186.33</v>
      </c>
      <c r="M55" s="11">
        <f t="shared" si="78"/>
        <v>7867.56</v>
      </c>
      <c r="N55" s="11">
        <v>7867.56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1">
        <v>1670.88</v>
      </c>
      <c r="X55" s="11">
        <v>3480.46</v>
      </c>
      <c r="Y55" s="11">
        <v>4624.3</v>
      </c>
      <c r="Z55" s="11">
        <v>4657.8999999999996</v>
      </c>
      <c r="AA55" s="11">
        <v>4196.3599999999997</v>
      </c>
      <c r="AB55" s="11">
        <v>1894.31</v>
      </c>
      <c r="AC55" s="11">
        <v>2757.83</v>
      </c>
      <c r="AD55" s="11">
        <v>6999.84</v>
      </c>
      <c r="AE55" s="11">
        <v>9175.89</v>
      </c>
      <c r="AF55" s="11">
        <v>1415.74</v>
      </c>
      <c r="AG55" s="11">
        <v>2466.83</v>
      </c>
      <c r="AH55" s="11">
        <v>2493.7199999999998</v>
      </c>
      <c r="AI55" s="89">
        <f t="shared" si="1"/>
        <v>7874.56</v>
      </c>
      <c r="AJ55" s="11">
        <v>7874.56</v>
      </c>
      <c r="AK55" s="29"/>
      <c r="AL55" s="11">
        <v>156.05000000000001</v>
      </c>
      <c r="AM55" s="11">
        <v>2664.39</v>
      </c>
      <c r="AN55" s="11">
        <v>9661.14</v>
      </c>
      <c r="AO55" s="11">
        <v>5839.43</v>
      </c>
      <c r="AP55" s="11">
        <v>82793.47</v>
      </c>
      <c r="AQ55" s="11">
        <v>21135.31</v>
      </c>
      <c r="AR55" s="11">
        <v>80881.100000000006</v>
      </c>
      <c r="AS55" s="11">
        <v>32599.98</v>
      </c>
      <c r="AT55" s="11">
        <v>13822.02</v>
      </c>
      <c r="AU55" s="11">
        <v>134975.39000000001</v>
      </c>
      <c r="AV55" s="11">
        <v>17037.82</v>
      </c>
      <c r="AW55" s="11">
        <v>2409.98</v>
      </c>
      <c r="AX55" s="11">
        <v>1620.85</v>
      </c>
      <c r="AY55" s="11">
        <v>275.98</v>
      </c>
      <c r="AZ55" s="11">
        <v>1594.88</v>
      </c>
      <c r="BA55" s="11">
        <v>2918.85</v>
      </c>
      <c r="BB55" s="11">
        <v>275.97000000000003</v>
      </c>
      <c r="BC55" s="11">
        <v>180.68</v>
      </c>
      <c r="BD55" s="11">
        <v>746.74</v>
      </c>
      <c r="BE55" s="11">
        <v>3134.01</v>
      </c>
      <c r="BF55" s="11">
        <v>4860.1400000000003</v>
      </c>
      <c r="BG55" s="11">
        <v>1265.44</v>
      </c>
      <c r="BH55" s="11">
        <v>1949.51</v>
      </c>
      <c r="BI55" s="11">
        <v>1327.35</v>
      </c>
      <c r="BJ55" s="11">
        <v>1208.75</v>
      </c>
      <c r="BK55" s="11">
        <v>5580.38</v>
      </c>
      <c r="BL55" s="11">
        <v>389.53</v>
      </c>
      <c r="BM55" s="11">
        <v>792.53</v>
      </c>
      <c r="BN55" s="11">
        <v>2941.91</v>
      </c>
      <c r="BO55" s="11">
        <v>3233.73</v>
      </c>
      <c r="BP55" s="11">
        <v>452.05</v>
      </c>
      <c r="BQ55" s="11">
        <v>721.78</v>
      </c>
      <c r="BR55" s="11">
        <v>225.04</v>
      </c>
      <c r="BS55" s="11">
        <v>399.81</v>
      </c>
      <c r="BT55" s="11">
        <v>381.67</v>
      </c>
      <c r="BU55" s="11">
        <v>163.5</v>
      </c>
      <c r="BV55" s="11">
        <v>688.17</v>
      </c>
      <c r="BW55" s="11">
        <v>428.51</v>
      </c>
      <c r="BX55" s="11">
        <v>5.51</v>
      </c>
      <c r="BY55" s="5">
        <v>0</v>
      </c>
      <c r="BZ55" s="11">
        <v>97732.33</v>
      </c>
      <c r="CA55" s="11">
        <v>66229.22</v>
      </c>
      <c r="CB55" s="11">
        <v>31469.73</v>
      </c>
      <c r="CC55" s="11">
        <v>33.380000000000003</v>
      </c>
      <c r="CD55" s="11">
        <v>360.45</v>
      </c>
      <c r="CE55" s="11">
        <v>15.43</v>
      </c>
      <c r="CF55" s="11">
        <v>63714.32</v>
      </c>
      <c r="CG55" s="5" t="s">
        <v>102</v>
      </c>
      <c r="CH55" s="11">
        <v>63714.32</v>
      </c>
      <c r="CI55" s="5" t="s">
        <v>102</v>
      </c>
      <c r="CJ55" s="5" t="s">
        <v>102</v>
      </c>
      <c r="CK55" s="11">
        <v>345.03</v>
      </c>
      <c r="CL55" s="5" t="s">
        <v>102</v>
      </c>
      <c r="CM55" s="5" t="s">
        <v>102</v>
      </c>
      <c r="CN55" s="11">
        <v>708618.86</v>
      </c>
      <c r="CO55" s="11">
        <v>161807.1</v>
      </c>
    </row>
    <row r="56" spans="1:93" ht="14.5" x14ac:dyDescent="0.35">
      <c r="A56" s="3" t="s">
        <v>56</v>
      </c>
      <c r="B56" s="10">
        <v>121787.92</v>
      </c>
      <c r="C56" s="10">
        <v>169.51</v>
      </c>
      <c r="D56" s="10">
        <v>40.619999999999997</v>
      </c>
      <c r="E56" s="10">
        <v>4.47</v>
      </c>
      <c r="F56" s="10">
        <v>103.15</v>
      </c>
      <c r="G56" s="10">
        <v>1243.29</v>
      </c>
      <c r="H56" s="10">
        <v>389.86</v>
      </c>
      <c r="I56" s="10">
        <v>120.56</v>
      </c>
      <c r="J56" s="10">
        <v>232.47</v>
      </c>
      <c r="K56" s="10">
        <v>324.63</v>
      </c>
      <c r="L56" s="10">
        <v>415.61</v>
      </c>
      <c r="M56" s="11">
        <f t="shared" si="78"/>
        <v>2362.41</v>
      </c>
      <c r="N56" s="10">
        <v>2362.41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0">
        <v>926.14</v>
      </c>
      <c r="X56" s="10">
        <v>587.9</v>
      </c>
      <c r="Y56" s="10">
        <v>258.58999999999997</v>
      </c>
      <c r="Z56" s="10">
        <v>317.61</v>
      </c>
      <c r="AA56" s="10">
        <v>993.6</v>
      </c>
      <c r="AB56" s="10">
        <v>1347.82</v>
      </c>
      <c r="AC56" s="10">
        <v>1573.45</v>
      </c>
      <c r="AD56" s="10">
        <v>2770.11</v>
      </c>
      <c r="AE56" s="10">
        <v>1749.26</v>
      </c>
      <c r="AF56" s="10">
        <v>161.31</v>
      </c>
      <c r="AG56" s="10">
        <v>909.65</v>
      </c>
      <c r="AH56" s="10">
        <v>772.6</v>
      </c>
      <c r="AI56" s="89">
        <f t="shared" si="1"/>
        <v>1489.68</v>
      </c>
      <c r="AJ56" s="10">
        <v>1489.68</v>
      </c>
      <c r="AK56" s="29"/>
      <c r="AL56" s="10">
        <v>325.56</v>
      </c>
      <c r="AM56" s="10">
        <v>934.93</v>
      </c>
      <c r="AN56" s="10">
        <v>2001.43</v>
      </c>
      <c r="AO56" s="10">
        <v>1439.77</v>
      </c>
      <c r="AP56" s="10">
        <v>11704.4</v>
      </c>
      <c r="AQ56" s="10">
        <v>17530.189999999999</v>
      </c>
      <c r="AR56" s="10">
        <v>3747.87</v>
      </c>
      <c r="AS56" s="10">
        <v>264.27</v>
      </c>
      <c r="AT56" s="10">
        <v>401.3</v>
      </c>
      <c r="AU56" s="10">
        <v>3622.35</v>
      </c>
      <c r="AV56" s="10">
        <v>14468.63</v>
      </c>
      <c r="AW56" s="10">
        <v>3094.57</v>
      </c>
      <c r="AX56" s="10">
        <v>1377.19</v>
      </c>
      <c r="AY56" s="10">
        <v>438.44</v>
      </c>
      <c r="AZ56" s="10">
        <v>4354.16</v>
      </c>
      <c r="BA56" s="10">
        <v>2533.98</v>
      </c>
      <c r="BB56" s="10">
        <v>2477.7800000000002</v>
      </c>
      <c r="BC56" s="10">
        <v>1156.1400000000001</v>
      </c>
      <c r="BD56" s="10">
        <v>1723.6</v>
      </c>
      <c r="BE56" s="10">
        <v>1469.49</v>
      </c>
      <c r="BF56" s="10">
        <v>4355.66</v>
      </c>
      <c r="BG56" s="10">
        <v>929.23</v>
      </c>
      <c r="BH56" s="10">
        <v>1166.6600000000001</v>
      </c>
      <c r="BI56" s="10">
        <v>814.1</v>
      </c>
      <c r="BJ56" s="10">
        <v>818.71</v>
      </c>
      <c r="BK56" s="10">
        <v>1357.47</v>
      </c>
      <c r="BL56" s="10">
        <v>1421.37</v>
      </c>
      <c r="BM56" s="10">
        <v>299.63</v>
      </c>
      <c r="BN56" s="10">
        <v>2301.2199999999998</v>
      </c>
      <c r="BO56" s="10">
        <v>7234.56</v>
      </c>
      <c r="BP56" s="10">
        <v>1005.33</v>
      </c>
      <c r="BQ56" s="10">
        <v>1489.18</v>
      </c>
      <c r="BR56" s="4">
        <v>1344</v>
      </c>
      <c r="BS56" s="10">
        <v>969.33</v>
      </c>
      <c r="BT56" s="10">
        <v>461.45</v>
      </c>
      <c r="BU56" s="10">
        <v>816.6</v>
      </c>
      <c r="BV56" s="10">
        <v>192.41</v>
      </c>
      <c r="BW56" s="10">
        <v>473.67</v>
      </c>
      <c r="BX56" s="10">
        <v>7.02</v>
      </c>
      <c r="BY56" s="4">
        <v>0</v>
      </c>
      <c r="BZ56" s="10">
        <v>9783.82</v>
      </c>
      <c r="CA56" s="10">
        <v>26.17</v>
      </c>
      <c r="CB56" s="10">
        <v>9757.43</v>
      </c>
      <c r="CC56" s="10">
        <v>0.23</v>
      </c>
      <c r="CD56" s="10">
        <v>-2.12</v>
      </c>
      <c r="CE56" s="10">
        <v>-2.12</v>
      </c>
      <c r="CF56" s="10">
        <v>18453.62</v>
      </c>
      <c r="CG56" s="4" t="s">
        <v>102</v>
      </c>
      <c r="CH56" s="10">
        <v>18453.62</v>
      </c>
      <c r="CI56" s="4" t="s">
        <v>102</v>
      </c>
      <c r="CJ56" s="4" t="s">
        <v>102</v>
      </c>
      <c r="CK56" s="4">
        <v>0</v>
      </c>
      <c r="CL56" s="4" t="s">
        <v>102</v>
      </c>
      <c r="CM56" s="4" t="s">
        <v>102</v>
      </c>
      <c r="CN56" s="10">
        <v>150023.24</v>
      </c>
      <c r="CO56" s="10">
        <v>28235.32</v>
      </c>
    </row>
    <row r="57" spans="1:93" ht="14.5" x14ac:dyDescent="0.35">
      <c r="A57" s="3" t="s">
        <v>57</v>
      </c>
      <c r="B57" s="11">
        <v>191786.4</v>
      </c>
      <c r="C57" s="11">
        <v>537.19000000000005</v>
      </c>
      <c r="D57" s="11">
        <v>75.86</v>
      </c>
      <c r="E57" s="11">
        <v>43.98</v>
      </c>
      <c r="F57" s="11">
        <v>354.68</v>
      </c>
      <c r="G57" s="11">
        <v>2844.25</v>
      </c>
      <c r="H57" s="11">
        <v>889.96</v>
      </c>
      <c r="I57" s="11">
        <v>707.41</v>
      </c>
      <c r="J57" s="11">
        <v>466.42</v>
      </c>
      <c r="K57" s="11">
        <v>223.7</v>
      </c>
      <c r="L57" s="11">
        <v>891.65</v>
      </c>
      <c r="M57" s="11">
        <f t="shared" si="78"/>
        <v>1670.96</v>
      </c>
      <c r="N57" s="11">
        <v>1670.96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1">
        <v>1055.3900000000001</v>
      </c>
      <c r="X57" s="11">
        <v>742.56</v>
      </c>
      <c r="Y57" s="11">
        <v>674.61</v>
      </c>
      <c r="Z57" s="11">
        <v>836.82</v>
      </c>
      <c r="AA57" s="11">
        <v>1997.88</v>
      </c>
      <c r="AB57" s="11">
        <v>937.58</v>
      </c>
      <c r="AC57" s="11">
        <v>1041.06</v>
      </c>
      <c r="AD57" s="11">
        <v>2389.35</v>
      </c>
      <c r="AE57" s="11">
        <v>1239.07</v>
      </c>
      <c r="AF57" s="11">
        <v>670.31</v>
      </c>
      <c r="AG57" s="11">
        <v>1072.72</v>
      </c>
      <c r="AH57" s="11">
        <v>2048.91</v>
      </c>
      <c r="AI57" s="89">
        <f t="shared" si="1"/>
        <v>2429.85</v>
      </c>
      <c r="AJ57" s="11">
        <v>2429.85</v>
      </c>
      <c r="AK57" s="29"/>
      <c r="AL57" s="11">
        <v>338.06</v>
      </c>
      <c r="AM57" s="11">
        <v>1093.1600000000001</v>
      </c>
      <c r="AN57" s="11">
        <v>14270.93</v>
      </c>
      <c r="AO57" s="11">
        <v>1857.03</v>
      </c>
      <c r="AP57" s="11">
        <v>12435.04</v>
      </c>
      <c r="AQ57" s="5">
        <v>4868</v>
      </c>
      <c r="AR57" s="11">
        <v>7989.01</v>
      </c>
      <c r="AS57" s="11">
        <v>764.46</v>
      </c>
      <c r="AT57" s="11">
        <v>4207.16</v>
      </c>
      <c r="AU57" s="11">
        <v>7680.23</v>
      </c>
      <c r="AV57" s="11">
        <v>445.5</v>
      </c>
      <c r="AW57" s="11">
        <v>9015.1200000000008</v>
      </c>
      <c r="AX57" s="11">
        <v>1109.56</v>
      </c>
      <c r="AY57" s="11">
        <v>2501.16</v>
      </c>
      <c r="AZ57" s="11">
        <v>1988.84</v>
      </c>
      <c r="BA57" s="11">
        <v>5738.45</v>
      </c>
      <c r="BB57" s="11">
        <v>2682.19</v>
      </c>
      <c r="BC57" s="11">
        <v>1088.45</v>
      </c>
      <c r="BD57" s="11">
        <v>3591.35</v>
      </c>
      <c r="BE57" s="11">
        <v>2033.04</v>
      </c>
      <c r="BF57" s="11">
        <v>8151.13</v>
      </c>
      <c r="BG57" s="11">
        <v>2563.85</v>
      </c>
      <c r="BH57" s="11">
        <v>1695.81</v>
      </c>
      <c r="BI57" s="11">
        <v>1298.1400000000001</v>
      </c>
      <c r="BJ57" s="11">
        <v>1292.6600000000001</v>
      </c>
      <c r="BK57" s="11">
        <v>2095.46</v>
      </c>
      <c r="BL57" s="11">
        <v>1277.9000000000001</v>
      </c>
      <c r="BM57" s="11">
        <v>18908.79</v>
      </c>
      <c r="BN57" s="11">
        <v>6092.45</v>
      </c>
      <c r="BO57" s="11">
        <v>7554.76</v>
      </c>
      <c r="BP57" s="11">
        <v>5684.03</v>
      </c>
      <c r="BQ57" s="11">
        <v>6583.34</v>
      </c>
      <c r="BR57" s="11">
        <v>6753.07</v>
      </c>
      <c r="BS57" s="11">
        <v>2074.81</v>
      </c>
      <c r="BT57" s="11">
        <v>2858.2</v>
      </c>
      <c r="BU57" s="11">
        <v>3420.66</v>
      </c>
      <c r="BV57" s="11">
        <v>321.39999999999998</v>
      </c>
      <c r="BW57" s="11">
        <v>1608.34</v>
      </c>
      <c r="BX57" s="11">
        <v>12.72</v>
      </c>
      <c r="BY57" s="5">
        <v>0</v>
      </c>
      <c r="BZ57" s="11">
        <v>714173.68</v>
      </c>
      <c r="CA57" s="11">
        <v>4105.4399999999996</v>
      </c>
      <c r="CB57" s="11">
        <v>707935.57</v>
      </c>
      <c r="CC57" s="11">
        <v>2132.67</v>
      </c>
      <c r="CD57" s="11">
        <v>-201.21</v>
      </c>
      <c r="CE57" s="11">
        <v>-263.32</v>
      </c>
      <c r="CF57" s="11">
        <v>6079.26</v>
      </c>
      <c r="CG57" s="5" t="s">
        <v>102</v>
      </c>
      <c r="CH57" s="11">
        <v>6079.26</v>
      </c>
      <c r="CI57" s="5" t="s">
        <v>102</v>
      </c>
      <c r="CJ57" s="5" t="s">
        <v>102</v>
      </c>
      <c r="CK57" s="11">
        <v>62.11</v>
      </c>
      <c r="CL57" s="5" t="s">
        <v>102</v>
      </c>
      <c r="CM57" s="5" t="s">
        <v>102</v>
      </c>
      <c r="CN57" s="11">
        <v>911838.13</v>
      </c>
      <c r="CO57" s="11">
        <v>720051.73</v>
      </c>
    </row>
    <row r="58" spans="1:93" ht="14.5" x14ac:dyDescent="0.35">
      <c r="A58" s="3" t="s">
        <v>58</v>
      </c>
      <c r="B58" s="10">
        <v>88165.18</v>
      </c>
      <c r="C58" s="10">
        <v>244.51</v>
      </c>
      <c r="D58" s="10">
        <v>35.409999999999997</v>
      </c>
      <c r="E58" s="10">
        <v>2.96</v>
      </c>
      <c r="F58" s="10">
        <v>226.59</v>
      </c>
      <c r="G58" s="10">
        <v>1249.8399999999999</v>
      </c>
      <c r="H58" s="10">
        <v>185.94</v>
      </c>
      <c r="I58" s="10">
        <v>98.02</v>
      </c>
      <c r="J58" s="10">
        <v>377.71</v>
      </c>
      <c r="K58" s="10">
        <v>367.48</v>
      </c>
      <c r="L58" s="10">
        <v>298.47000000000003</v>
      </c>
      <c r="M58" s="11">
        <f t="shared" si="78"/>
        <v>724.78</v>
      </c>
      <c r="N58" s="10">
        <v>724.78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0">
        <v>443.98</v>
      </c>
      <c r="X58" s="10">
        <v>273.66000000000003</v>
      </c>
      <c r="Y58" s="10">
        <v>190.11</v>
      </c>
      <c r="Z58" s="10">
        <v>279.93</v>
      </c>
      <c r="AA58" s="10">
        <v>488.26</v>
      </c>
      <c r="AB58" s="10">
        <v>463.99</v>
      </c>
      <c r="AC58" s="10">
        <v>547.6</v>
      </c>
      <c r="AD58" s="10">
        <v>642.94000000000005</v>
      </c>
      <c r="AE58" s="10">
        <v>808.49</v>
      </c>
      <c r="AF58" s="10">
        <v>226.87</v>
      </c>
      <c r="AG58" s="10">
        <v>311.76</v>
      </c>
      <c r="AH58" s="10">
        <v>299.56</v>
      </c>
      <c r="AI58" s="89">
        <f t="shared" si="1"/>
        <v>543.80999999999995</v>
      </c>
      <c r="AJ58" s="10">
        <v>543.80999999999995</v>
      </c>
      <c r="AK58" s="29"/>
      <c r="AL58" s="10">
        <v>74.94</v>
      </c>
      <c r="AM58" s="10">
        <v>683.99</v>
      </c>
      <c r="AN58" s="10">
        <v>1234.06</v>
      </c>
      <c r="AO58" s="10">
        <v>654.37</v>
      </c>
      <c r="AP58" s="10">
        <v>4792.1400000000003</v>
      </c>
      <c r="AQ58" s="10">
        <v>3324.02</v>
      </c>
      <c r="AR58" s="10">
        <v>706.13</v>
      </c>
      <c r="AS58" s="10">
        <v>123.6</v>
      </c>
      <c r="AT58" s="10">
        <v>185.1</v>
      </c>
      <c r="AU58" s="10">
        <v>659.22</v>
      </c>
      <c r="AV58" s="10">
        <v>300.01</v>
      </c>
      <c r="AW58" s="4">
        <v>1380</v>
      </c>
      <c r="AX58" s="10">
        <v>5929.65</v>
      </c>
      <c r="AY58" s="10">
        <v>831.9</v>
      </c>
      <c r="AZ58" s="10">
        <v>1228.04</v>
      </c>
      <c r="BA58" s="4">
        <v>6494</v>
      </c>
      <c r="BB58" s="10">
        <v>3288.79</v>
      </c>
      <c r="BC58" s="10">
        <v>1281.3699999999999</v>
      </c>
      <c r="BD58" s="10">
        <v>2847.05</v>
      </c>
      <c r="BE58" s="10">
        <v>1004.82</v>
      </c>
      <c r="BF58" s="10">
        <v>4267.74</v>
      </c>
      <c r="BG58" s="10">
        <v>2372.9</v>
      </c>
      <c r="BH58" s="10">
        <v>1690.29</v>
      </c>
      <c r="BI58" s="10">
        <v>4858.54</v>
      </c>
      <c r="BJ58" s="10">
        <v>1113.6099999999999</v>
      </c>
      <c r="BK58" s="10">
        <v>1688.85</v>
      </c>
      <c r="BL58" s="10">
        <v>678.3</v>
      </c>
      <c r="BM58" s="10">
        <v>481.78</v>
      </c>
      <c r="BN58" s="10">
        <v>3095.15</v>
      </c>
      <c r="BO58" s="10">
        <v>5576.92</v>
      </c>
      <c r="BP58" s="10">
        <v>5947.07</v>
      </c>
      <c r="BQ58" s="10">
        <v>2668.91</v>
      </c>
      <c r="BR58" s="10">
        <v>1749.85</v>
      </c>
      <c r="BS58" s="10">
        <v>2509.2800000000002</v>
      </c>
      <c r="BT58" s="10">
        <v>1055.02</v>
      </c>
      <c r="BU58" s="10">
        <v>1643.01</v>
      </c>
      <c r="BV58" s="10">
        <v>91.54</v>
      </c>
      <c r="BW58" s="10">
        <v>315.7</v>
      </c>
      <c r="BX58" s="10">
        <v>4.87</v>
      </c>
      <c r="BY58" s="4">
        <v>0</v>
      </c>
      <c r="BZ58" s="10">
        <v>52635.08</v>
      </c>
      <c r="CA58" s="10">
        <v>630.21</v>
      </c>
      <c r="CB58" s="10">
        <v>51941.22</v>
      </c>
      <c r="CC58" s="10">
        <v>63.65</v>
      </c>
      <c r="CD58" s="10">
        <v>25377.08</v>
      </c>
      <c r="CE58" s="10">
        <v>310.66000000000003</v>
      </c>
      <c r="CF58" s="10">
        <v>78598.61</v>
      </c>
      <c r="CG58" s="4" t="s">
        <v>102</v>
      </c>
      <c r="CH58" s="10">
        <v>78598.61</v>
      </c>
      <c r="CI58" s="4" t="s">
        <v>102</v>
      </c>
      <c r="CJ58" s="4" t="s">
        <v>102</v>
      </c>
      <c r="CK58" s="10">
        <v>25066.42</v>
      </c>
      <c r="CL58" s="4" t="s">
        <v>102</v>
      </c>
      <c r="CM58" s="4" t="s">
        <v>102</v>
      </c>
      <c r="CN58" s="10">
        <v>244775.95</v>
      </c>
      <c r="CO58" s="10">
        <v>156610.76999999999</v>
      </c>
    </row>
    <row r="59" spans="1:93" ht="14.5" x14ac:dyDescent="0.35">
      <c r="A59" s="3" t="s">
        <v>59</v>
      </c>
      <c r="B59" s="11">
        <v>79094.720000000001</v>
      </c>
      <c r="C59" s="11">
        <v>29.34</v>
      </c>
      <c r="D59" s="11">
        <v>7.56</v>
      </c>
      <c r="E59" s="11">
        <v>7.42</v>
      </c>
      <c r="F59" s="11">
        <v>19.7</v>
      </c>
      <c r="G59" s="11">
        <v>1650.33</v>
      </c>
      <c r="H59" s="11">
        <v>107.96</v>
      </c>
      <c r="I59" s="11">
        <v>39.799999999999997</v>
      </c>
      <c r="J59" s="11">
        <v>48.24</v>
      </c>
      <c r="K59" s="11">
        <v>134.82</v>
      </c>
      <c r="L59" s="11">
        <v>136.96</v>
      </c>
      <c r="M59" s="11">
        <f t="shared" si="78"/>
        <v>330.96</v>
      </c>
      <c r="N59" s="11">
        <v>330.96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1">
        <v>284.7</v>
      </c>
      <c r="X59" s="11">
        <v>83.46</v>
      </c>
      <c r="Y59" s="11">
        <v>83.73</v>
      </c>
      <c r="Z59" s="11">
        <v>67.98</v>
      </c>
      <c r="AA59" s="11">
        <v>141.74</v>
      </c>
      <c r="AB59" s="11">
        <v>264.98</v>
      </c>
      <c r="AC59" s="11">
        <v>137.59</v>
      </c>
      <c r="AD59" s="11">
        <v>146.22999999999999</v>
      </c>
      <c r="AE59" s="11">
        <v>260.58</v>
      </c>
      <c r="AF59" s="11">
        <v>292.8</v>
      </c>
      <c r="AG59" s="11">
        <v>138.59</v>
      </c>
      <c r="AH59" s="11">
        <v>199.41</v>
      </c>
      <c r="AI59" s="89">
        <f t="shared" si="1"/>
        <v>390.53</v>
      </c>
      <c r="AJ59" s="11">
        <v>390.53</v>
      </c>
      <c r="AK59" s="29"/>
      <c r="AL59" s="11">
        <v>48.34</v>
      </c>
      <c r="AM59" s="11">
        <v>113.42</v>
      </c>
      <c r="AN59" s="11">
        <v>719.13</v>
      </c>
      <c r="AO59" s="11">
        <v>410.14</v>
      </c>
      <c r="AP59" s="11">
        <v>3466.95</v>
      </c>
      <c r="AQ59" s="11">
        <v>2666.67</v>
      </c>
      <c r="AR59" s="11">
        <v>327.3</v>
      </c>
      <c r="AS59" s="11">
        <v>100.39</v>
      </c>
      <c r="AT59" s="11">
        <v>98.96</v>
      </c>
      <c r="AU59" s="11">
        <v>309.31</v>
      </c>
      <c r="AV59" s="11">
        <v>95.41</v>
      </c>
      <c r="AW59" s="11">
        <v>1987.46</v>
      </c>
      <c r="AX59" s="11">
        <v>1909.43</v>
      </c>
      <c r="AY59" s="11">
        <v>22829.23</v>
      </c>
      <c r="AZ59" s="11">
        <v>7266.66</v>
      </c>
      <c r="BA59" s="11">
        <v>5306.59</v>
      </c>
      <c r="BB59" s="11">
        <v>286.32</v>
      </c>
      <c r="BC59" s="11">
        <v>118.98</v>
      </c>
      <c r="BD59" s="11">
        <v>117.72</v>
      </c>
      <c r="BE59" s="11">
        <v>455.16</v>
      </c>
      <c r="BF59" s="11">
        <v>3207.58</v>
      </c>
      <c r="BG59" s="11">
        <v>986.49</v>
      </c>
      <c r="BH59" s="11">
        <v>659.95</v>
      </c>
      <c r="BI59" s="11">
        <v>10603.91</v>
      </c>
      <c r="BJ59" s="11">
        <v>503.71</v>
      </c>
      <c r="BK59" s="11">
        <v>1693.57</v>
      </c>
      <c r="BL59" s="11">
        <v>138.05000000000001</v>
      </c>
      <c r="BM59" s="11">
        <v>156.91</v>
      </c>
      <c r="BN59" s="11">
        <v>1547.85</v>
      </c>
      <c r="BO59" s="11">
        <v>1090.6199999999999</v>
      </c>
      <c r="BP59" s="11">
        <v>569.62</v>
      </c>
      <c r="BQ59" s="11">
        <v>515.83000000000004</v>
      </c>
      <c r="BR59" s="11">
        <v>278.05</v>
      </c>
      <c r="BS59" s="11">
        <v>1265.04</v>
      </c>
      <c r="BT59" s="11">
        <v>1316.09</v>
      </c>
      <c r="BU59" s="11">
        <v>645.28</v>
      </c>
      <c r="BV59" s="11">
        <v>58.24</v>
      </c>
      <c r="BW59" s="11">
        <v>213.87</v>
      </c>
      <c r="BX59" s="11">
        <v>5.0999999999999996</v>
      </c>
      <c r="BY59" s="5">
        <v>0</v>
      </c>
      <c r="BZ59" s="11">
        <v>49695.57</v>
      </c>
      <c r="CA59" s="11">
        <v>25421.03</v>
      </c>
      <c r="CB59" s="11">
        <v>23501.07</v>
      </c>
      <c r="CC59" s="11">
        <v>773.47</v>
      </c>
      <c r="CD59" s="11">
        <v>16579.93</v>
      </c>
      <c r="CE59" s="11">
        <v>-83.84</v>
      </c>
      <c r="CF59" s="11">
        <v>11478.17</v>
      </c>
      <c r="CG59" s="5" t="s">
        <v>102</v>
      </c>
      <c r="CH59" s="11">
        <v>11478.17</v>
      </c>
      <c r="CI59" s="5" t="s">
        <v>102</v>
      </c>
      <c r="CJ59" s="5" t="s">
        <v>102</v>
      </c>
      <c r="CK59" s="11">
        <v>16663.77</v>
      </c>
      <c r="CL59" s="5" t="s">
        <v>102</v>
      </c>
      <c r="CM59" s="5" t="s">
        <v>102</v>
      </c>
      <c r="CN59" s="11">
        <v>156848.37</v>
      </c>
      <c r="CO59" s="11">
        <v>77753.66</v>
      </c>
    </row>
    <row r="60" spans="1:93" ht="14.5" x14ac:dyDescent="0.35">
      <c r="A60" s="3" t="s">
        <v>60</v>
      </c>
      <c r="B60" s="10">
        <v>185894.7</v>
      </c>
      <c r="C60" s="10">
        <v>413.08</v>
      </c>
      <c r="D60" s="10">
        <v>74.180000000000007</v>
      </c>
      <c r="E60" s="10">
        <v>36.14</v>
      </c>
      <c r="F60" s="10">
        <v>286.86</v>
      </c>
      <c r="G60" s="10">
        <v>3032.63</v>
      </c>
      <c r="H60" s="10">
        <v>987.03</v>
      </c>
      <c r="I60" s="10">
        <v>301.61</v>
      </c>
      <c r="J60" s="10">
        <v>658.73</v>
      </c>
      <c r="K60" s="10">
        <v>233.68</v>
      </c>
      <c r="L60" s="4">
        <v>626</v>
      </c>
      <c r="M60" s="11">
        <f t="shared" si="78"/>
        <v>1389.6</v>
      </c>
      <c r="N60" s="10">
        <v>1389.6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0">
        <v>592.05999999999995</v>
      </c>
      <c r="X60" s="10">
        <v>979.14</v>
      </c>
      <c r="Y60" s="10">
        <v>1086.54</v>
      </c>
      <c r="Z60" s="10">
        <v>1315.43</v>
      </c>
      <c r="AA60" s="10">
        <v>1751.07</v>
      </c>
      <c r="AB60" s="10">
        <v>1288.3900000000001</v>
      </c>
      <c r="AC60" s="10">
        <v>799.25</v>
      </c>
      <c r="AD60" s="10">
        <v>1578.32</v>
      </c>
      <c r="AE60" s="10">
        <v>1512.79</v>
      </c>
      <c r="AF60" s="10">
        <v>495.92</v>
      </c>
      <c r="AG60" s="10">
        <v>639.58000000000004</v>
      </c>
      <c r="AH60" s="10">
        <v>959.28</v>
      </c>
      <c r="AI60" s="89">
        <f t="shared" si="1"/>
        <v>1717.31</v>
      </c>
      <c r="AJ60" s="10">
        <v>1717.31</v>
      </c>
      <c r="AK60" s="29"/>
      <c r="AL60" s="10">
        <v>371.41</v>
      </c>
      <c r="AM60" s="10">
        <v>1316.92</v>
      </c>
      <c r="AN60" s="10">
        <v>4682.22</v>
      </c>
      <c r="AO60" s="10">
        <v>1767.44</v>
      </c>
      <c r="AP60" s="10">
        <v>8579.52</v>
      </c>
      <c r="AQ60" s="10">
        <v>5801.89</v>
      </c>
      <c r="AR60" s="10">
        <v>2549.87</v>
      </c>
      <c r="AS60" s="10">
        <v>230.18</v>
      </c>
      <c r="AT60" s="10">
        <v>488.82</v>
      </c>
      <c r="AU60" s="10">
        <v>2140.5</v>
      </c>
      <c r="AV60" s="10">
        <v>3163.4</v>
      </c>
      <c r="AW60" s="10">
        <v>5699.74</v>
      </c>
      <c r="AX60" s="10">
        <v>1994.88</v>
      </c>
      <c r="AY60" s="10">
        <v>2428.63</v>
      </c>
      <c r="AZ60" s="10">
        <v>50904.66</v>
      </c>
      <c r="BA60" s="10">
        <v>8851.01</v>
      </c>
      <c r="BB60" s="10">
        <v>6233.38</v>
      </c>
      <c r="BC60" s="10">
        <v>2347.6</v>
      </c>
      <c r="BD60" s="10">
        <v>4753.3</v>
      </c>
      <c r="BE60" s="10">
        <v>3060.57</v>
      </c>
      <c r="BF60" s="10">
        <v>6583.3</v>
      </c>
      <c r="BG60" s="10">
        <v>2357.8000000000002</v>
      </c>
      <c r="BH60" s="10">
        <v>1888.72</v>
      </c>
      <c r="BI60" s="10">
        <v>1999.9</v>
      </c>
      <c r="BJ60" s="4">
        <v>1468</v>
      </c>
      <c r="BK60" s="10">
        <v>2290.5100000000002</v>
      </c>
      <c r="BL60" s="10">
        <v>2011.81</v>
      </c>
      <c r="BM60" s="10">
        <v>2655.12</v>
      </c>
      <c r="BN60" s="10">
        <v>3321.59</v>
      </c>
      <c r="BO60" s="10">
        <v>7430.07</v>
      </c>
      <c r="BP60" s="10">
        <v>2248.73</v>
      </c>
      <c r="BQ60" s="10">
        <v>3501.56</v>
      </c>
      <c r="BR60" s="10">
        <v>2336.88</v>
      </c>
      <c r="BS60" s="10">
        <v>2083.37</v>
      </c>
      <c r="BT60" s="10">
        <v>1213.3</v>
      </c>
      <c r="BU60" s="10">
        <v>986.08</v>
      </c>
      <c r="BV60" s="10">
        <v>253.48</v>
      </c>
      <c r="BW60" s="10">
        <v>1134.76</v>
      </c>
      <c r="BX60" s="10">
        <v>9.18</v>
      </c>
      <c r="BY60" s="4">
        <v>0</v>
      </c>
      <c r="BZ60" s="10">
        <v>133062.63</v>
      </c>
      <c r="CA60" s="10">
        <v>1107.5899999999999</v>
      </c>
      <c r="CB60" s="10">
        <v>131946.63</v>
      </c>
      <c r="CC60" s="10">
        <v>8.42</v>
      </c>
      <c r="CD60" s="10">
        <v>9.4</v>
      </c>
      <c r="CE60" s="10">
        <v>9.4</v>
      </c>
      <c r="CF60" s="10">
        <v>17224.09</v>
      </c>
      <c r="CG60" s="4" t="s">
        <v>102</v>
      </c>
      <c r="CH60" s="10">
        <v>17224.09</v>
      </c>
      <c r="CI60" s="4" t="s">
        <v>102</v>
      </c>
      <c r="CJ60" s="4" t="s">
        <v>102</v>
      </c>
      <c r="CK60" s="4">
        <v>0</v>
      </c>
      <c r="CL60" s="4" t="s">
        <v>102</v>
      </c>
      <c r="CM60" s="4" t="s">
        <v>102</v>
      </c>
      <c r="CN60" s="10">
        <v>336190.82</v>
      </c>
      <c r="CO60" s="10">
        <v>150296.12</v>
      </c>
    </row>
    <row r="61" spans="1:93" ht="14.5" x14ac:dyDescent="0.35">
      <c r="A61" s="3" t="s">
        <v>61</v>
      </c>
      <c r="B61" s="11">
        <v>628872.82999999996</v>
      </c>
      <c r="C61" s="11">
        <v>468.47</v>
      </c>
      <c r="D61" s="11">
        <v>127.21</v>
      </c>
      <c r="E61" s="11">
        <v>21.35</v>
      </c>
      <c r="F61" s="11">
        <v>667.38</v>
      </c>
      <c r="G61" s="11">
        <v>5370.27</v>
      </c>
      <c r="H61" s="11">
        <v>1517.93</v>
      </c>
      <c r="I61" s="11">
        <v>542.79</v>
      </c>
      <c r="J61" s="11">
        <v>1599.76</v>
      </c>
      <c r="K61" s="11">
        <v>966.99</v>
      </c>
      <c r="L61" s="11">
        <v>2321.1</v>
      </c>
      <c r="M61" s="11">
        <f t="shared" si="78"/>
        <v>6521.02</v>
      </c>
      <c r="N61" s="11">
        <v>6521.02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1">
        <v>2656.65</v>
      </c>
      <c r="X61" s="11">
        <v>1951.29</v>
      </c>
      <c r="Y61" s="11">
        <v>1513.58</v>
      </c>
      <c r="Z61" s="11">
        <v>2648.95</v>
      </c>
      <c r="AA61" s="11">
        <v>5034.17</v>
      </c>
      <c r="AB61" s="11">
        <v>4330.74</v>
      </c>
      <c r="AC61" s="11">
        <v>4064.47</v>
      </c>
      <c r="AD61" s="11">
        <v>7567.07</v>
      </c>
      <c r="AE61" s="11">
        <v>8691.92</v>
      </c>
      <c r="AF61" s="11">
        <v>3573.78</v>
      </c>
      <c r="AG61" s="11">
        <v>1726.22</v>
      </c>
      <c r="AH61" s="11">
        <v>3417.73</v>
      </c>
      <c r="AI61" s="89">
        <f t="shared" si="1"/>
        <v>9357.73</v>
      </c>
      <c r="AJ61" s="11">
        <v>9357.73</v>
      </c>
      <c r="AK61" s="29"/>
      <c r="AL61" s="11">
        <v>687.6</v>
      </c>
      <c r="AM61" s="11">
        <v>4519.49</v>
      </c>
      <c r="AN61" s="11">
        <v>9772.7800000000007</v>
      </c>
      <c r="AO61" s="11">
        <v>5325.47</v>
      </c>
      <c r="AP61" s="11">
        <v>32949.5</v>
      </c>
      <c r="AQ61" s="11">
        <v>17456.64</v>
      </c>
      <c r="AR61" s="11">
        <v>6872.14</v>
      </c>
      <c r="AS61" s="11">
        <v>2362.44</v>
      </c>
      <c r="AT61" s="11">
        <v>2727.5</v>
      </c>
      <c r="AU61" s="11">
        <v>8687.93</v>
      </c>
      <c r="AV61" s="11">
        <v>4558.8</v>
      </c>
      <c r="AW61" s="11">
        <v>4493.51</v>
      </c>
      <c r="AX61" s="11">
        <v>18792.18</v>
      </c>
      <c r="AY61" s="11">
        <v>4271.54</v>
      </c>
      <c r="AZ61" s="11">
        <v>15278.18</v>
      </c>
      <c r="BA61" s="11">
        <v>203282.58</v>
      </c>
      <c r="BB61" s="11">
        <v>23056.79</v>
      </c>
      <c r="BC61" s="11">
        <v>7578.57</v>
      </c>
      <c r="BD61" s="11">
        <v>9121.08</v>
      </c>
      <c r="BE61" s="11">
        <v>6555.93</v>
      </c>
      <c r="BF61" s="11">
        <v>40470.22</v>
      </c>
      <c r="BG61" s="11">
        <v>10163.58</v>
      </c>
      <c r="BH61" s="11">
        <v>12108.19</v>
      </c>
      <c r="BI61" s="11">
        <v>7823.71</v>
      </c>
      <c r="BJ61" s="11">
        <v>4565.93</v>
      </c>
      <c r="BK61" s="11">
        <v>12786.41</v>
      </c>
      <c r="BL61" s="11">
        <v>4251.47</v>
      </c>
      <c r="BM61" s="11">
        <v>2093.46</v>
      </c>
      <c r="BN61" s="11">
        <v>12395.11</v>
      </c>
      <c r="BO61" s="11">
        <v>20080.740000000002</v>
      </c>
      <c r="BP61" s="11">
        <v>9078.9699999999993</v>
      </c>
      <c r="BQ61" s="11">
        <v>10741.56</v>
      </c>
      <c r="BR61" s="11">
        <v>4694.75</v>
      </c>
      <c r="BS61" s="11">
        <v>6670.98</v>
      </c>
      <c r="BT61" s="11">
        <v>1299.06</v>
      </c>
      <c r="BU61" s="11">
        <v>1781.84</v>
      </c>
      <c r="BV61" s="11">
        <v>1181.24</v>
      </c>
      <c r="BW61" s="11">
        <v>1586.76</v>
      </c>
      <c r="BX61" s="11">
        <v>89.65</v>
      </c>
      <c r="BY61" s="5">
        <v>0</v>
      </c>
      <c r="BZ61" s="11">
        <v>11920.04</v>
      </c>
      <c r="CA61" s="11">
        <v>2314.6</v>
      </c>
      <c r="CB61" s="11">
        <v>9553.2800000000007</v>
      </c>
      <c r="CC61" s="11">
        <v>52.16</v>
      </c>
      <c r="CD61" s="11">
        <v>281451.61</v>
      </c>
      <c r="CE61" s="11">
        <v>256.31</v>
      </c>
      <c r="CF61" s="11">
        <v>184698.25</v>
      </c>
      <c r="CG61" s="5" t="s">
        <v>102</v>
      </c>
      <c r="CH61" s="11">
        <v>184698.25</v>
      </c>
      <c r="CI61" s="5" t="s">
        <v>102</v>
      </c>
      <c r="CJ61" s="5" t="s">
        <v>102</v>
      </c>
      <c r="CK61" s="11">
        <v>281195.3</v>
      </c>
      <c r="CL61" s="5" t="s">
        <v>102</v>
      </c>
      <c r="CM61" s="5" t="s">
        <v>102</v>
      </c>
      <c r="CN61" s="11">
        <v>1106942.73</v>
      </c>
      <c r="CO61" s="11">
        <v>478069.9</v>
      </c>
    </row>
    <row r="62" spans="1:93" ht="14.5" x14ac:dyDescent="0.35">
      <c r="A62" s="3" t="s">
        <v>62</v>
      </c>
      <c r="B62" s="10">
        <v>510848.41</v>
      </c>
      <c r="C62" s="10">
        <v>6565.91</v>
      </c>
      <c r="D62" s="10">
        <v>654.28</v>
      </c>
      <c r="E62" s="10">
        <v>236.58</v>
      </c>
      <c r="F62" s="10">
        <v>877.49</v>
      </c>
      <c r="G62" s="10">
        <v>10280.969999999999</v>
      </c>
      <c r="H62" s="10">
        <v>2419.9699999999998</v>
      </c>
      <c r="I62" s="10">
        <v>1171.49</v>
      </c>
      <c r="J62" s="10">
        <v>1501.77</v>
      </c>
      <c r="K62" s="10">
        <v>597.15</v>
      </c>
      <c r="L62" s="10">
        <v>2700.21</v>
      </c>
      <c r="M62" s="11">
        <f t="shared" si="78"/>
        <v>4308.41</v>
      </c>
      <c r="N62" s="10">
        <v>4308.41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0">
        <v>1536.69</v>
      </c>
      <c r="X62" s="10">
        <v>2677.94</v>
      </c>
      <c r="Y62" s="10">
        <v>2001.52</v>
      </c>
      <c r="Z62" s="10">
        <v>3395.51</v>
      </c>
      <c r="AA62" s="10">
        <v>4683.1400000000003</v>
      </c>
      <c r="AB62" s="10">
        <v>1848.64</v>
      </c>
      <c r="AC62" s="10">
        <v>2357.4699999999998</v>
      </c>
      <c r="AD62" s="10">
        <v>4965.92</v>
      </c>
      <c r="AE62" s="10">
        <v>5335.38</v>
      </c>
      <c r="AF62" s="10">
        <v>1206.78</v>
      </c>
      <c r="AG62" s="10">
        <v>1964.83</v>
      </c>
      <c r="AH62" s="10">
        <v>2214.19</v>
      </c>
      <c r="AI62" s="89">
        <f t="shared" si="1"/>
        <v>7594.96</v>
      </c>
      <c r="AJ62" s="10">
        <v>7594.96</v>
      </c>
      <c r="AK62" s="29"/>
      <c r="AL62" s="10">
        <v>917.54</v>
      </c>
      <c r="AM62" s="10">
        <v>2736.35</v>
      </c>
      <c r="AN62" s="10">
        <v>24374.61</v>
      </c>
      <c r="AO62" s="10">
        <v>5518.86</v>
      </c>
      <c r="AP62" s="10">
        <v>26881.82</v>
      </c>
      <c r="AQ62" s="10">
        <v>18795.57</v>
      </c>
      <c r="AR62" s="10">
        <v>7240.47</v>
      </c>
      <c r="AS62" s="10">
        <v>2378.39</v>
      </c>
      <c r="AT62" s="10">
        <v>1477.69</v>
      </c>
      <c r="AU62" s="10">
        <v>7583.08</v>
      </c>
      <c r="AV62" s="10">
        <v>1208.23</v>
      </c>
      <c r="AW62" s="10">
        <v>11811.51</v>
      </c>
      <c r="AX62" s="10">
        <v>1908.79</v>
      </c>
      <c r="AY62" s="10">
        <v>1432.5</v>
      </c>
      <c r="AZ62" s="10">
        <v>2987.84</v>
      </c>
      <c r="BA62" s="10">
        <v>8091.85</v>
      </c>
      <c r="BB62" s="10">
        <v>91104.54</v>
      </c>
      <c r="BC62" s="10">
        <v>28218.720000000001</v>
      </c>
      <c r="BD62" s="10">
        <v>21020.35</v>
      </c>
      <c r="BE62" s="10">
        <v>79736.58</v>
      </c>
      <c r="BF62" s="10">
        <v>18177.21</v>
      </c>
      <c r="BG62" s="10">
        <v>4363.74</v>
      </c>
      <c r="BH62" s="10">
        <v>2502.29</v>
      </c>
      <c r="BI62" s="10">
        <v>2494.5500000000002</v>
      </c>
      <c r="BJ62" s="10">
        <v>2087.1799999999998</v>
      </c>
      <c r="BK62" s="10">
        <v>8357.34</v>
      </c>
      <c r="BL62" s="10">
        <v>1901.63</v>
      </c>
      <c r="BM62" s="10">
        <v>1682.36</v>
      </c>
      <c r="BN62" s="10">
        <v>5894.09</v>
      </c>
      <c r="BO62" s="10">
        <v>20159.439999999999</v>
      </c>
      <c r="BP62" s="10">
        <v>2921.82</v>
      </c>
      <c r="BQ62" s="10">
        <v>7577.51</v>
      </c>
      <c r="BR62" s="10">
        <v>3406.77</v>
      </c>
      <c r="BS62" s="10">
        <v>2287.04</v>
      </c>
      <c r="BT62" s="10">
        <v>1545.51</v>
      </c>
      <c r="BU62" s="10">
        <v>3558.52</v>
      </c>
      <c r="BV62" s="10">
        <v>494.15</v>
      </c>
      <c r="BW62" s="10">
        <v>2878.54</v>
      </c>
      <c r="BX62" s="10">
        <v>36.25</v>
      </c>
      <c r="BY62" s="4">
        <v>0</v>
      </c>
      <c r="BZ62" s="10">
        <v>162950.63</v>
      </c>
      <c r="CA62" s="10">
        <v>802.51</v>
      </c>
      <c r="CB62" s="10">
        <v>162047.23000000001</v>
      </c>
      <c r="CC62" s="10">
        <v>100.89</v>
      </c>
      <c r="CD62" s="4">
        <v>81</v>
      </c>
      <c r="CE62" s="10">
        <v>0.12</v>
      </c>
      <c r="CF62" s="10">
        <v>92110.53</v>
      </c>
      <c r="CG62" s="4" t="s">
        <v>102</v>
      </c>
      <c r="CH62" s="10">
        <v>92110.53</v>
      </c>
      <c r="CI62" s="4" t="s">
        <v>102</v>
      </c>
      <c r="CJ62" s="4" t="s">
        <v>102</v>
      </c>
      <c r="CK62" s="10">
        <v>80.88</v>
      </c>
      <c r="CL62" s="4" t="s">
        <v>102</v>
      </c>
      <c r="CM62" s="4" t="s">
        <v>102</v>
      </c>
      <c r="CN62" s="10">
        <v>765990.58</v>
      </c>
      <c r="CO62" s="10">
        <v>255142.16</v>
      </c>
    </row>
    <row r="63" spans="1:93" ht="14.5" x14ac:dyDescent="0.35">
      <c r="A63" s="3" t="s">
        <v>63</v>
      </c>
      <c r="B63" s="11">
        <v>130811.62</v>
      </c>
      <c r="C63" s="11">
        <v>3440.58</v>
      </c>
      <c r="D63" s="11">
        <v>109.45</v>
      </c>
      <c r="E63" s="11">
        <v>65.37</v>
      </c>
      <c r="F63" s="11">
        <v>231.38</v>
      </c>
      <c r="G63" s="11">
        <v>2612.02</v>
      </c>
      <c r="H63" s="11">
        <v>451.1</v>
      </c>
      <c r="I63" s="11">
        <v>489.56</v>
      </c>
      <c r="J63" s="11">
        <v>593.44000000000005</v>
      </c>
      <c r="K63" s="11">
        <v>264.29000000000002</v>
      </c>
      <c r="L63" s="11">
        <v>613.08000000000004</v>
      </c>
      <c r="M63" s="11">
        <f t="shared" si="78"/>
        <v>1913.17</v>
      </c>
      <c r="N63" s="11">
        <v>1913.17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1">
        <v>539.4</v>
      </c>
      <c r="X63" s="11">
        <v>896.86</v>
      </c>
      <c r="Y63" s="11">
        <v>684.71</v>
      </c>
      <c r="Z63" s="11">
        <v>724.69</v>
      </c>
      <c r="AA63" s="11">
        <v>1149.6500000000001</v>
      </c>
      <c r="AB63" s="11">
        <v>433.28</v>
      </c>
      <c r="AC63" s="11">
        <v>619.97</v>
      </c>
      <c r="AD63" s="11">
        <v>1201.4100000000001</v>
      </c>
      <c r="AE63" s="11">
        <v>1275.3399999999999</v>
      </c>
      <c r="AF63" s="11">
        <v>442.41</v>
      </c>
      <c r="AG63" s="11">
        <v>616.59</v>
      </c>
      <c r="AH63" s="11">
        <v>740.54</v>
      </c>
      <c r="AI63" s="89">
        <f t="shared" si="1"/>
        <v>2463.04</v>
      </c>
      <c r="AJ63" s="11">
        <v>2463.04</v>
      </c>
      <c r="AK63" s="29"/>
      <c r="AL63" s="11">
        <v>278.93</v>
      </c>
      <c r="AM63" s="11">
        <v>1447.52</v>
      </c>
      <c r="AN63" s="11">
        <v>6113.34</v>
      </c>
      <c r="AO63" s="11">
        <v>1686.75</v>
      </c>
      <c r="AP63" s="11">
        <v>5043.3999999999996</v>
      </c>
      <c r="AQ63" s="11">
        <v>4696.3999999999996</v>
      </c>
      <c r="AR63" s="11">
        <v>7411.35</v>
      </c>
      <c r="AS63" s="11">
        <v>1168.1600000000001</v>
      </c>
      <c r="AT63" s="11">
        <v>664.82</v>
      </c>
      <c r="AU63" s="11">
        <v>3958.66</v>
      </c>
      <c r="AV63" s="11">
        <v>337.96</v>
      </c>
      <c r="AW63" s="11">
        <v>2239.27</v>
      </c>
      <c r="AX63" s="11">
        <v>478.09</v>
      </c>
      <c r="AY63" s="11">
        <v>306.69</v>
      </c>
      <c r="AZ63" s="11">
        <v>1050.95</v>
      </c>
      <c r="BA63" s="11">
        <v>1756.78</v>
      </c>
      <c r="BB63" s="11">
        <v>2450.5300000000002</v>
      </c>
      <c r="BC63" s="5">
        <v>28194</v>
      </c>
      <c r="BD63" s="11">
        <v>4626.7700000000004</v>
      </c>
      <c r="BE63" s="11">
        <v>7880.84</v>
      </c>
      <c r="BF63" s="11">
        <v>3663.85</v>
      </c>
      <c r="BG63" s="11">
        <v>1268.5</v>
      </c>
      <c r="BH63" s="11">
        <v>891.2</v>
      </c>
      <c r="BI63" s="11">
        <v>385.04</v>
      </c>
      <c r="BJ63" s="11">
        <v>474.31</v>
      </c>
      <c r="BK63" s="11">
        <v>4465.3500000000004</v>
      </c>
      <c r="BL63" s="11">
        <v>315.70999999999998</v>
      </c>
      <c r="BM63" s="11">
        <v>348.46</v>
      </c>
      <c r="BN63" s="11">
        <v>2015.39</v>
      </c>
      <c r="BO63" s="11">
        <v>4371.66</v>
      </c>
      <c r="BP63" s="11">
        <v>3103.38</v>
      </c>
      <c r="BQ63" s="11">
        <v>2104.08</v>
      </c>
      <c r="BR63" s="11">
        <v>1027.44</v>
      </c>
      <c r="BS63" s="5">
        <v>556</v>
      </c>
      <c r="BT63" s="11">
        <v>347.11</v>
      </c>
      <c r="BU63" s="11">
        <v>522.82000000000005</v>
      </c>
      <c r="BV63" s="11">
        <v>164.23</v>
      </c>
      <c r="BW63" s="11">
        <v>421.76</v>
      </c>
      <c r="BX63" s="11">
        <v>2.78</v>
      </c>
      <c r="BY63" s="5">
        <v>0</v>
      </c>
      <c r="BZ63" s="11">
        <v>224408.33</v>
      </c>
      <c r="CA63" s="11">
        <v>985.75</v>
      </c>
      <c r="CB63" s="11">
        <v>223158.2</v>
      </c>
      <c r="CC63" s="11">
        <v>264.38</v>
      </c>
      <c r="CD63" s="11">
        <v>532.27</v>
      </c>
      <c r="CE63" s="11">
        <v>-2.66</v>
      </c>
      <c r="CF63" s="11">
        <v>36428.35</v>
      </c>
      <c r="CG63" s="5" t="s">
        <v>102</v>
      </c>
      <c r="CH63" s="11">
        <v>36428.35</v>
      </c>
      <c r="CI63" s="5" t="s">
        <v>102</v>
      </c>
      <c r="CJ63" s="5" t="s">
        <v>102</v>
      </c>
      <c r="CK63" s="11">
        <v>534.92999999999995</v>
      </c>
      <c r="CL63" s="5" t="s">
        <v>102</v>
      </c>
      <c r="CM63" s="5" t="s">
        <v>102</v>
      </c>
      <c r="CN63" s="11">
        <v>392180.56</v>
      </c>
      <c r="CO63" s="11">
        <v>261368.95</v>
      </c>
    </row>
    <row r="64" spans="1:93" ht="14.5" x14ac:dyDescent="0.35">
      <c r="A64" s="3" t="s">
        <v>64</v>
      </c>
      <c r="B64" s="10">
        <v>290528.28000000003</v>
      </c>
      <c r="C64" s="10">
        <v>917.95</v>
      </c>
      <c r="D64" s="10">
        <v>59.52</v>
      </c>
      <c r="E64" s="10">
        <v>45.14</v>
      </c>
      <c r="F64" s="10">
        <v>94.88</v>
      </c>
      <c r="G64" s="10">
        <v>2604.41</v>
      </c>
      <c r="H64" s="10">
        <v>1015.33</v>
      </c>
      <c r="I64" s="10">
        <v>320.77999999999997</v>
      </c>
      <c r="J64" s="10">
        <v>261.5</v>
      </c>
      <c r="K64" s="10">
        <v>140.56</v>
      </c>
      <c r="L64" s="10">
        <v>849.48</v>
      </c>
      <c r="M64" s="11">
        <f t="shared" si="78"/>
        <v>1626.27</v>
      </c>
      <c r="N64" s="10">
        <v>1626.27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0">
        <v>441.98</v>
      </c>
      <c r="X64" s="10">
        <v>552.17999999999995</v>
      </c>
      <c r="Y64" s="10">
        <v>665.84</v>
      </c>
      <c r="Z64" s="10">
        <v>503.01</v>
      </c>
      <c r="AA64" s="10">
        <v>1009.63</v>
      </c>
      <c r="AB64" s="10">
        <v>431.09</v>
      </c>
      <c r="AC64" s="10">
        <v>620.72</v>
      </c>
      <c r="AD64" s="10">
        <v>1578.2</v>
      </c>
      <c r="AE64" s="10">
        <v>661.3</v>
      </c>
      <c r="AF64" s="10">
        <v>628.66</v>
      </c>
      <c r="AG64" s="10">
        <v>944.25</v>
      </c>
      <c r="AH64" s="10">
        <v>625.95000000000005</v>
      </c>
      <c r="AI64" s="89">
        <f t="shared" si="1"/>
        <v>2015.4</v>
      </c>
      <c r="AJ64" s="10">
        <v>2015.4</v>
      </c>
      <c r="AK64" s="29"/>
      <c r="AL64" s="10">
        <v>128.81</v>
      </c>
      <c r="AM64" s="10">
        <v>403.63</v>
      </c>
      <c r="AN64" s="10">
        <v>4173.37</v>
      </c>
      <c r="AO64" s="10">
        <v>1004.73</v>
      </c>
      <c r="AP64" s="10">
        <v>7235.78</v>
      </c>
      <c r="AQ64" s="10">
        <v>3607.18</v>
      </c>
      <c r="AR64" s="10">
        <v>2747.73</v>
      </c>
      <c r="AS64" s="10">
        <v>1016.89</v>
      </c>
      <c r="AT64" s="10">
        <v>621.14</v>
      </c>
      <c r="AU64" s="10">
        <v>887.29</v>
      </c>
      <c r="AV64" s="10">
        <v>367.32</v>
      </c>
      <c r="AW64" s="10">
        <v>2033.97</v>
      </c>
      <c r="AX64" s="10">
        <v>819.07</v>
      </c>
      <c r="AY64" s="10">
        <v>230.3</v>
      </c>
      <c r="AZ64" s="10">
        <v>3080.64</v>
      </c>
      <c r="BA64" s="10">
        <v>2768.26</v>
      </c>
      <c r="BB64" s="10">
        <v>71264.97</v>
      </c>
      <c r="BC64" s="10">
        <v>97128.91</v>
      </c>
      <c r="BD64" s="10">
        <v>46647.1</v>
      </c>
      <c r="BE64" s="10">
        <v>5306.52</v>
      </c>
      <c r="BF64" s="10">
        <v>6332.27</v>
      </c>
      <c r="BG64" s="10">
        <v>1484.88</v>
      </c>
      <c r="BH64" s="10">
        <v>964.85</v>
      </c>
      <c r="BI64" s="10">
        <v>424.78</v>
      </c>
      <c r="BJ64" s="10">
        <v>695.73</v>
      </c>
      <c r="BK64" s="10">
        <v>3796.81</v>
      </c>
      <c r="BL64" s="10">
        <v>309.07</v>
      </c>
      <c r="BM64" s="10">
        <v>440.26</v>
      </c>
      <c r="BN64" s="10">
        <v>2071.29</v>
      </c>
      <c r="BO64" s="10">
        <v>684.46</v>
      </c>
      <c r="BP64" s="10">
        <v>494.41</v>
      </c>
      <c r="BQ64" s="10">
        <v>633.69000000000005</v>
      </c>
      <c r="BR64" s="10">
        <v>477.36</v>
      </c>
      <c r="BS64" s="10">
        <v>367.69</v>
      </c>
      <c r="BT64" s="10">
        <v>337.17</v>
      </c>
      <c r="BU64" s="10">
        <v>412.97</v>
      </c>
      <c r="BV64" s="10">
        <v>260.45</v>
      </c>
      <c r="BW64" s="10">
        <v>250.32</v>
      </c>
      <c r="BX64" s="10">
        <v>2.16</v>
      </c>
      <c r="BY64" s="4">
        <v>0</v>
      </c>
      <c r="BZ64" s="10">
        <v>30550.42</v>
      </c>
      <c r="CA64" s="10">
        <v>806.02</v>
      </c>
      <c r="CB64" s="4">
        <v>29744</v>
      </c>
      <c r="CC64" s="10">
        <v>0.41</v>
      </c>
      <c r="CD64" s="10">
        <v>2011.81</v>
      </c>
      <c r="CE64" s="10">
        <v>110.99</v>
      </c>
      <c r="CF64" s="10">
        <v>22519.17</v>
      </c>
      <c r="CG64" s="4" t="s">
        <v>102</v>
      </c>
      <c r="CH64" s="10">
        <v>22519.17</v>
      </c>
      <c r="CI64" s="4" t="s">
        <v>102</v>
      </c>
      <c r="CJ64" s="4" t="s">
        <v>102</v>
      </c>
      <c r="CK64" s="10">
        <v>1900.82</v>
      </c>
      <c r="CL64" s="4" t="s">
        <v>102</v>
      </c>
      <c r="CM64" s="4" t="s">
        <v>102</v>
      </c>
      <c r="CN64" s="10">
        <v>345609.68</v>
      </c>
      <c r="CO64" s="10">
        <v>55081.4</v>
      </c>
    </row>
    <row r="65" spans="1:93" ht="14.5" x14ac:dyDescent="0.35">
      <c r="A65" s="3" t="s">
        <v>65</v>
      </c>
      <c r="B65" s="11">
        <v>603565.47</v>
      </c>
      <c r="C65" s="11">
        <v>1965.65</v>
      </c>
      <c r="D65" s="11">
        <v>195.96</v>
      </c>
      <c r="E65" s="11">
        <v>39.21</v>
      </c>
      <c r="F65" s="11">
        <v>686.51</v>
      </c>
      <c r="G65" s="11">
        <v>10835.76</v>
      </c>
      <c r="H65" s="11">
        <v>3104.72</v>
      </c>
      <c r="I65" s="11">
        <v>1409.69</v>
      </c>
      <c r="J65" s="11">
        <v>1754.11</v>
      </c>
      <c r="K65" s="11">
        <v>1165.8900000000001</v>
      </c>
      <c r="L65" s="11">
        <v>1401.6</v>
      </c>
      <c r="M65" s="11">
        <f t="shared" si="78"/>
        <v>3635.91</v>
      </c>
      <c r="N65" s="11">
        <v>3635.91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1">
        <v>1647.56</v>
      </c>
      <c r="X65" s="11">
        <v>3362.99</v>
      </c>
      <c r="Y65" s="11">
        <v>2295.41</v>
      </c>
      <c r="Z65" s="11">
        <v>2111.89</v>
      </c>
      <c r="AA65" s="11">
        <v>6613.81</v>
      </c>
      <c r="AB65" s="11">
        <v>2744.68</v>
      </c>
      <c r="AC65" s="11">
        <v>2822.31</v>
      </c>
      <c r="AD65" s="11">
        <v>6142.97</v>
      </c>
      <c r="AE65" s="11">
        <v>7846.95</v>
      </c>
      <c r="AF65" s="11">
        <v>1535.33</v>
      </c>
      <c r="AG65" s="11">
        <v>3070.48</v>
      </c>
      <c r="AH65" s="11">
        <v>3794.24</v>
      </c>
      <c r="AI65" s="89">
        <f t="shared" si="1"/>
        <v>7602.43</v>
      </c>
      <c r="AJ65" s="11">
        <v>7602.43</v>
      </c>
      <c r="AK65" s="29"/>
      <c r="AL65" s="11">
        <v>948.77</v>
      </c>
      <c r="AM65" s="11">
        <v>3361.4</v>
      </c>
      <c r="AN65" s="11">
        <v>39873.199999999997</v>
      </c>
      <c r="AO65" s="11">
        <v>15680.18</v>
      </c>
      <c r="AP65" s="11">
        <v>41356.31</v>
      </c>
      <c r="AQ65" s="11">
        <v>75385.240000000005</v>
      </c>
      <c r="AR65" s="11">
        <v>9643.58</v>
      </c>
      <c r="AS65" s="11">
        <v>760.59</v>
      </c>
      <c r="AT65" s="11">
        <v>1608.38</v>
      </c>
      <c r="AU65" s="11">
        <v>12424.2</v>
      </c>
      <c r="AV65" s="11">
        <v>2341.9899999999998</v>
      </c>
      <c r="AW65" s="11">
        <v>46660.23</v>
      </c>
      <c r="AX65" s="11">
        <v>2826.75</v>
      </c>
      <c r="AY65" s="11">
        <v>2925.54</v>
      </c>
      <c r="AZ65" s="11">
        <v>11291.88</v>
      </c>
      <c r="BA65" s="11">
        <v>14270.12</v>
      </c>
      <c r="BB65" s="11">
        <v>15083.57</v>
      </c>
      <c r="BC65" s="11">
        <v>7350.86</v>
      </c>
      <c r="BD65" s="11">
        <v>8162.01</v>
      </c>
      <c r="BE65" s="11">
        <v>44806.83</v>
      </c>
      <c r="BF65" s="11">
        <v>31470.83</v>
      </c>
      <c r="BG65" s="11">
        <v>12679.62</v>
      </c>
      <c r="BH65" s="11">
        <v>5419.23</v>
      </c>
      <c r="BI65" s="11">
        <v>4968.3900000000003</v>
      </c>
      <c r="BJ65" s="11">
        <v>4085.28</v>
      </c>
      <c r="BK65" s="11">
        <v>8561.59</v>
      </c>
      <c r="BL65" s="11">
        <v>4860.88</v>
      </c>
      <c r="BM65" s="11">
        <v>2361.46</v>
      </c>
      <c r="BN65" s="11">
        <v>16775.5</v>
      </c>
      <c r="BO65" s="11">
        <v>20705.400000000001</v>
      </c>
      <c r="BP65" s="11">
        <v>9773.61</v>
      </c>
      <c r="BQ65" s="11">
        <v>15157.42</v>
      </c>
      <c r="BR65" s="11">
        <v>12324.23</v>
      </c>
      <c r="BS65" s="11">
        <v>4090.83</v>
      </c>
      <c r="BT65" s="11">
        <v>4736.45</v>
      </c>
      <c r="BU65" s="11">
        <v>3442.1</v>
      </c>
      <c r="BV65" s="11">
        <v>1249.82</v>
      </c>
      <c r="BW65" s="11">
        <v>6306.23</v>
      </c>
      <c r="BX65" s="11">
        <v>48.96</v>
      </c>
      <c r="BY65" s="5">
        <v>0</v>
      </c>
      <c r="BZ65" s="11">
        <v>1546624.07</v>
      </c>
      <c r="CA65" s="11">
        <v>25824.94</v>
      </c>
      <c r="CB65" s="11">
        <v>1520140.86</v>
      </c>
      <c r="CC65" s="11">
        <v>658.28</v>
      </c>
      <c r="CD65" s="11">
        <v>46060.28</v>
      </c>
      <c r="CE65" s="11">
        <v>-166.71</v>
      </c>
      <c r="CF65" s="11">
        <v>3850.18</v>
      </c>
      <c r="CG65" s="5" t="s">
        <v>102</v>
      </c>
      <c r="CH65" s="11">
        <v>3850.18</v>
      </c>
      <c r="CI65" s="5" t="s">
        <v>102</v>
      </c>
      <c r="CJ65" s="5" t="s">
        <v>102</v>
      </c>
      <c r="CK65" s="11">
        <v>46226.98</v>
      </c>
      <c r="CL65" s="5" t="s">
        <v>102</v>
      </c>
      <c r="CM65" s="5" t="s">
        <v>102</v>
      </c>
      <c r="CN65" s="11">
        <v>2200099.9900000002</v>
      </c>
      <c r="CO65" s="11">
        <v>1596534.53</v>
      </c>
    </row>
    <row r="66" spans="1:93" s="42" customFormat="1" ht="11.5" x14ac:dyDescent="0.35">
      <c r="A66" s="35" t="s">
        <v>66</v>
      </c>
      <c r="B66" s="42">
        <v>954675.51</v>
      </c>
      <c r="C66" s="42">
        <v>3247.14</v>
      </c>
      <c r="D66" s="42">
        <v>347.45</v>
      </c>
      <c r="E66" s="42">
        <v>175.42</v>
      </c>
      <c r="F66" s="42">
        <v>1677.68</v>
      </c>
      <c r="G66" s="42">
        <v>23822.54</v>
      </c>
      <c r="H66" s="42">
        <v>3822.42</v>
      </c>
      <c r="I66" s="42">
        <v>2024.45</v>
      </c>
      <c r="J66" s="42">
        <v>3791.88</v>
      </c>
      <c r="K66" s="42">
        <v>1504.14</v>
      </c>
      <c r="L66" s="42">
        <v>6980.24</v>
      </c>
      <c r="M66" s="70">
        <f t="shared" si="78"/>
        <v>12639.981334777402</v>
      </c>
      <c r="N66" s="42">
        <v>13284.79</v>
      </c>
      <c r="O66" s="67">
        <f>'[1]2023 costs'!$P$108/1000000</f>
        <v>471.22263040000001</v>
      </c>
      <c r="P66" s="67">
        <f>'[1]2023 costs'!$P$31/1000000</f>
        <v>82.003832697788695</v>
      </c>
      <c r="Q66" s="79">
        <f>'[1]2023 costs'!$P$118/1000000</f>
        <v>73.651394124809897</v>
      </c>
      <c r="R66" s="67">
        <f>'[1]2023 costs'!$P$59/1000000</f>
        <v>17.930807999999999</v>
      </c>
      <c r="V66" s="76"/>
      <c r="W66" s="42">
        <v>8170.55</v>
      </c>
      <c r="X66" s="42">
        <v>5548.91</v>
      </c>
      <c r="Y66" s="42">
        <v>4596.03</v>
      </c>
      <c r="Z66" s="42">
        <v>6892.88</v>
      </c>
      <c r="AA66" s="42">
        <v>10032.86</v>
      </c>
      <c r="AB66" s="42">
        <v>7364.6</v>
      </c>
      <c r="AC66" s="42">
        <v>7809.39</v>
      </c>
      <c r="AD66" s="42">
        <v>16568.07</v>
      </c>
      <c r="AE66" s="42">
        <v>16777.330000000002</v>
      </c>
      <c r="AF66" s="42">
        <v>4897.55</v>
      </c>
      <c r="AG66" s="42">
        <v>4247.41</v>
      </c>
      <c r="AH66" s="42">
        <v>7017.33</v>
      </c>
      <c r="AI66" s="89">
        <f t="shared" si="1"/>
        <v>12856.7</v>
      </c>
      <c r="AJ66" s="42">
        <v>12856.7</v>
      </c>
      <c r="AK66" s="67">
        <f>'[1]2023 costs'!$Q$78/1000000</f>
        <v>0</v>
      </c>
      <c r="AL66" s="42">
        <v>1157.25</v>
      </c>
      <c r="AM66" s="42">
        <v>6418.15</v>
      </c>
      <c r="AN66" s="42">
        <v>39380.11</v>
      </c>
      <c r="AO66" s="42">
        <v>10610.5</v>
      </c>
      <c r="AP66" s="42">
        <v>66403.09</v>
      </c>
      <c r="AQ66" s="42">
        <v>33430.050000000003</v>
      </c>
      <c r="AR66" s="42">
        <v>12857.94</v>
      </c>
      <c r="AS66" s="42">
        <v>3295.08</v>
      </c>
      <c r="AT66" s="42">
        <v>2428.25</v>
      </c>
      <c r="AU66" s="42">
        <v>14316.59</v>
      </c>
      <c r="AV66" s="42">
        <v>3737.58</v>
      </c>
      <c r="AW66" s="42">
        <v>18199.14</v>
      </c>
      <c r="AX66" s="42">
        <v>9593.48</v>
      </c>
      <c r="AY66" s="42">
        <v>4764.34</v>
      </c>
      <c r="AZ66" s="42">
        <v>9883.24</v>
      </c>
      <c r="BA66" s="42">
        <v>42518.2</v>
      </c>
      <c r="BB66" s="42">
        <v>26803.24</v>
      </c>
      <c r="BC66" s="42">
        <v>10802.2</v>
      </c>
      <c r="BD66" s="42">
        <v>14978.68</v>
      </c>
      <c r="BE66" s="42">
        <v>35424.53</v>
      </c>
      <c r="BF66" s="42">
        <v>202983.63</v>
      </c>
      <c r="BG66" s="42">
        <v>36518.019999999997</v>
      </c>
      <c r="BH66" s="42">
        <v>11318.93</v>
      </c>
      <c r="BI66" s="42">
        <v>9054.7999999999993</v>
      </c>
      <c r="BJ66" s="42">
        <v>10593.82</v>
      </c>
      <c r="BK66" s="42">
        <v>19358.78</v>
      </c>
      <c r="BL66" s="42">
        <v>8190.26</v>
      </c>
      <c r="BM66" s="42">
        <v>4634.5</v>
      </c>
      <c r="BN66" s="42">
        <v>42437.87</v>
      </c>
      <c r="BO66" s="42">
        <v>18612.830000000002</v>
      </c>
      <c r="BP66" s="42">
        <v>6793.16</v>
      </c>
      <c r="BQ66" s="42">
        <v>17121.41</v>
      </c>
      <c r="BR66" s="42">
        <v>7193.2</v>
      </c>
      <c r="BS66" s="42">
        <v>5452.8</v>
      </c>
      <c r="BT66" s="42">
        <v>4016.01</v>
      </c>
      <c r="BU66" s="42">
        <v>4752.7</v>
      </c>
      <c r="BV66" s="42">
        <v>1139.3900000000001</v>
      </c>
      <c r="BW66" s="42">
        <v>4022.36</v>
      </c>
      <c r="BX66" s="42">
        <v>21.73</v>
      </c>
      <c r="BY66" s="42">
        <v>0</v>
      </c>
      <c r="BZ66" s="42">
        <v>27760.02</v>
      </c>
      <c r="CA66" s="42">
        <v>2758.29</v>
      </c>
      <c r="CB66" s="42">
        <v>24445.89</v>
      </c>
      <c r="CC66" s="42">
        <v>555.84</v>
      </c>
      <c r="CD66" s="42">
        <v>35542.46</v>
      </c>
      <c r="CE66" s="42">
        <v>-34.840000000000003</v>
      </c>
      <c r="CF66" s="42">
        <v>95242.559999999998</v>
      </c>
      <c r="CG66" s="42" t="s">
        <v>102</v>
      </c>
      <c r="CH66" s="42">
        <v>95242.559999999998</v>
      </c>
      <c r="CI66" s="42" t="s">
        <v>102</v>
      </c>
      <c r="CJ66" s="42" t="s">
        <v>102</v>
      </c>
      <c r="CK66" s="42">
        <v>35577.300000000003</v>
      </c>
      <c r="CL66" s="42" t="s">
        <v>102</v>
      </c>
      <c r="CM66" s="42" t="s">
        <v>102</v>
      </c>
      <c r="CN66" s="42">
        <v>1113220.55</v>
      </c>
      <c r="CO66" s="42">
        <v>158545.04</v>
      </c>
    </row>
    <row r="67" spans="1:93" s="36" customFormat="1" ht="11.5" x14ac:dyDescent="0.35">
      <c r="A67" s="26" t="s">
        <v>67</v>
      </c>
      <c r="B67" s="36">
        <v>324639.71999999997</v>
      </c>
      <c r="C67" s="36">
        <v>1308.69</v>
      </c>
      <c r="D67" s="36">
        <v>119.36</v>
      </c>
      <c r="E67" s="36">
        <v>22.28</v>
      </c>
      <c r="F67" s="36">
        <v>1469.12</v>
      </c>
      <c r="G67" s="36">
        <v>4569.8900000000003</v>
      </c>
      <c r="H67" s="36">
        <v>1293.8699999999999</v>
      </c>
      <c r="I67" s="36">
        <v>865.04</v>
      </c>
      <c r="J67" s="36">
        <v>1234.7</v>
      </c>
      <c r="K67" s="36">
        <v>296.64</v>
      </c>
      <c r="L67" s="36">
        <v>2810.55</v>
      </c>
      <c r="M67" s="70">
        <f t="shared" si="78"/>
        <v>6542.5867796535658</v>
      </c>
      <c r="N67" s="36">
        <v>6907.19</v>
      </c>
      <c r="O67" s="66">
        <f>'[1]2023 costs'!$M$107/1000000</f>
        <v>234.08568149999999</v>
      </c>
      <c r="P67" s="37">
        <f>'[1]2023 costs'!$M$33/1000000</f>
        <v>46.896237518427519</v>
      </c>
      <c r="Q67" s="37">
        <f>'[1]2023 costs'!$M$117/1000000</f>
        <v>46.032121328006177</v>
      </c>
      <c r="R67" s="66">
        <f>'[1]2023 costs'!$M$61/1000000</f>
        <v>37.589179999999999</v>
      </c>
      <c r="V67" s="76"/>
      <c r="W67" s="36">
        <v>3148.01</v>
      </c>
      <c r="X67" s="36">
        <v>3527.04</v>
      </c>
      <c r="Y67" s="36">
        <v>2537.7800000000002</v>
      </c>
      <c r="Z67" s="36">
        <v>2678.09</v>
      </c>
      <c r="AA67" s="36">
        <v>5100.66</v>
      </c>
      <c r="AB67" s="36">
        <v>3639.73</v>
      </c>
      <c r="AC67" s="36">
        <v>4710.87</v>
      </c>
      <c r="AD67" s="36">
        <v>6769.32</v>
      </c>
      <c r="AE67" s="36">
        <v>8284.9500000000007</v>
      </c>
      <c r="AF67" s="36">
        <v>4861.7700000000004</v>
      </c>
      <c r="AG67" s="36">
        <v>1221.1600000000001</v>
      </c>
      <c r="AH67" s="36">
        <v>5308.23</v>
      </c>
      <c r="AI67" s="89">
        <f t="shared" si="1"/>
        <v>7637.1988561151074</v>
      </c>
      <c r="AJ67" s="36">
        <v>7650.36</v>
      </c>
      <c r="AK67" s="66">
        <f>'[1]2023 costs'!$M$80/1000000</f>
        <v>13.161143884892091</v>
      </c>
      <c r="AL67" s="36">
        <v>1345.61</v>
      </c>
      <c r="AM67" s="36">
        <v>7374.88</v>
      </c>
      <c r="AN67" s="36">
        <v>57315.48</v>
      </c>
      <c r="AO67" s="36">
        <v>2268.04</v>
      </c>
      <c r="AP67" s="36">
        <v>9964.2900000000009</v>
      </c>
      <c r="AQ67" s="36">
        <v>4900.84</v>
      </c>
      <c r="AR67" s="36">
        <v>6116.97</v>
      </c>
      <c r="AS67" s="36">
        <v>971.5</v>
      </c>
      <c r="AT67" s="36">
        <v>1326.27</v>
      </c>
      <c r="AU67" s="36">
        <v>6045.65</v>
      </c>
      <c r="AV67" s="36">
        <v>581.22</v>
      </c>
      <c r="AW67" s="36">
        <v>3318.13</v>
      </c>
      <c r="AX67" s="36">
        <v>1527.59</v>
      </c>
      <c r="AY67" s="36">
        <v>685.2</v>
      </c>
      <c r="AZ67" s="36">
        <v>3596.02</v>
      </c>
      <c r="BA67" s="36">
        <v>10304.18</v>
      </c>
      <c r="BB67" s="36">
        <v>2106.36</v>
      </c>
      <c r="BC67" s="36">
        <v>1247.55</v>
      </c>
      <c r="BD67" s="36">
        <v>1557.49</v>
      </c>
      <c r="BE67" s="36">
        <v>9894.85</v>
      </c>
      <c r="BF67" s="36">
        <v>12793.41</v>
      </c>
      <c r="BG67" s="36">
        <v>49357.55</v>
      </c>
      <c r="BH67" s="36">
        <v>5906.61</v>
      </c>
      <c r="BI67" s="36">
        <v>2850.63</v>
      </c>
      <c r="BJ67" s="36">
        <v>3785.26</v>
      </c>
      <c r="BK67" s="36">
        <v>5285.82</v>
      </c>
      <c r="BL67" s="36">
        <v>1682.57</v>
      </c>
      <c r="BM67" s="36">
        <v>240.35</v>
      </c>
      <c r="BN67" s="36">
        <v>9076.5300000000007</v>
      </c>
      <c r="BO67" s="36">
        <v>8833.92</v>
      </c>
      <c r="BP67" s="36">
        <v>2445.3000000000002</v>
      </c>
      <c r="BQ67" s="36">
        <v>3635.41</v>
      </c>
      <c r="BR67" s="36">
        <v>757.45</v>
      </c>
      <c r="BS67" s="36">
        <v>1617.36</v>
      </c>
      <c r="BT67" s="36">
        <v>1102.5999999999999</v>
      </c>
      <c r="BU67" s="36">
        <v>744.02</v>
      </c>
      <c r="BV67" s="36">
        <v>300.77999999999997</v>
      </c>
      <c r="BW67" s="36">
        <v>1422.04</v>
      </c>
      <c r="BX67" s="36">
        <v>18.739999999999998</v>
      </c>
      <c r="BY67" s="36">
        <v>0</v>
      </c>
      <c r="BZ67" s="36">
        <v>14718.47</v>
      </c>
      <c r="CA67" s="36">
        <v>2220.67</v>
      </c>
      <c r="CB67" s="36">
        <v>12423.51</v>
      </c>
      <c r="CC67" s="36">
        <v>74.28</v>
      </c>
      <c r="CD67" s="36">
        <v>95094.15</v>
      </c>
      <c r="CE67" s="36">
        <v>980.34</v>
      </c>
      <c r="CF67" s="36">
        <v>32044.84</v>
      </c>
      <c r="CG67" s="36" t="s">
        <v>102</v>
      </c>
      <c r="CH67" s="36">
        <v>32044.84</v>
      </c>
      <c r="CI67" s="36" t="s">
        <v>102</v>
      </c>
      <c r="CJ67" s="36" t="s">
        <v>102</v>
      </c>
      <c r="CK67" s="36">
        <v>94113.81</v>
      </c>
      <c r="CL67" s="36" t="s">
        <v>102</v>
      </c>
      <c r="CM67" s="36" t="s">
        <v>102</v>
      </c>
      <c r="CN67" s="36">
        <v>466497.17</v>
      </c>
      <c r="CO67" s="36">
        <v>141857.45000000001</v>
      </c>
    </row>
    <row r="68" spans="1:93" ht="14.5" x14ac:dyDescent="0.35">
      <c r="A68" s="3" t="s">
        <v>68</v>
      </c>
      <c r="B68" s="10">
        <v>28973.53</v>
      </c>
      <c r="C68" s="10">
        <v>61.53</v>
      </c>
      <c r="D68" s="10">
        <v>4.5999999999999996</v>
      </c>
      <c r="E68" s="10">
        <v>3.2</v>
      </c>
      <c r="F68" s="10">
        <v>29.03</v>
      </c>
      <c r="G68" s="10">
        <v>288.87</v>
      </c>
      <c r="H68" s="10">
        <v>104.08</v>
      </c>
      <c r="I68" s="10">
        <v>5.89</v>
      </c>
      <c r="J68" s="10">
        <v>43.04</v>
      </c>
      <c r="K68" s="10">
        <v>10.34</v>
      </c>
      <c r="L68" s="10">
        <v>111.07</v>
      </c>
      <c r="M68" s="11">
        <f t="shared" si="78"/>
        <v>392.91</v>
      </c>
      <c r="N68" s="10">
        <v>392.91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0">
        <v>2031.71</v>
      </c>
      <c r="X68" s="10">
        <v>352.65</v>
      </c>
      <c r="Y68" s="10">
        <v>62.13</v>
      </c>
      <c r="Z68" s="10">
        <v>35.89</v>
      </c>
      <c r="AA68" s="10">
        <v>213.36</v>
      </c>
      <c r="AB68" s="10">
        <v>630.27</v>
      </c>
      <c r="AC68" s="10">
        <v>422.29</v>
      </c>
      <c r="AD68" s="10">
        <v>1412.49</v>
      </c>
      <c r="AE68" s="10">
        <v>2234.9699999999998</v>
      </c>
      <c r="AF68" s="10">
        <v>142.76</v>
      </c>
      <c r="AG68" s="10">
        <v>105.6</v>
      </c>
      <c r="AH68" s="10">
        <v>164.66</v>
      </c>
      <c r="AI68" s="89">
        <f t="shared" si="1"/>
        <v>91.34</v>
      </c>
      <c r="AJ68" s="10">
        <v>91.34</v>
      </c>
      <c r="AK68" s="29"/>
      <c r="AL68" s="10">
        <v>7.53</v>
      </c>
      <c r="AM68" s="10">
        <v>50.9</v>
      </c>
      <c r="AN68" s="10">
        <v>422.74</v>
      </c>
      <c r="AO68" s="10">
        <v>330.69</v>
      </c>
      <c r="AP68" s="10">
        <v>1259.54</v>
      </c>
      <c r="AQ68" s="10">
        <v>129.97999999999999</v>
      </c>
      <c r="AR68" s="10">
        <v>46.51</v>
      </c>
      <c r="AS68" s="10">
        <v>2.29</v>
      </c>
      <c r="AT68" s="10">
        <v>2.65</v>
      </c>
      <c r="AU68" s="10">
        <v>25.46</v>
      </c>
      <c r="AV68" s="10">
        <v>58.65</v>
      </c>
      <c r="AW68" s="10">
        <v>13.07</v>
      </c>
      <c r="AX68" s="10">
        <v>196.95</v>
      </c>
      <c r="AY68" s="10">
        <v>23.84</v>
      </c>
      <c r="AZ68" s="10">
        <v>28.7</v>
      </c>
      <c r="BA68" s="10">
        <v>1173.56</v>
      </c>
      <c r="BB68" s="10">
        <v>161.66</v>
      </c>
      <c r="BC68" s="10">
        <v>24.39</v>
      </c>
      <c r="BD68" s="10">
        <v>26.6</v>
      </c>
      <c r="BE68" s="10">
        <v>60.2</v>
      </c>
      <c r="BF68" s="10">
        <v>1090.1199999999999</v>
      </c>
      <c r="BG68" s="10">
        <v>371.82</v>
      </c>
      <c r="BH68" s="10">
        <v>10887.14</v>
      </c>
      <c r="BI68" s="10">
        <v>195.07</v>
      </c>
      <c r="BJ68" s="10">
        <v>190.7</v>
      </c>
      <c r="BK68" s="10">
        <v>1257.82</v>
      </c>
      <c r="BL68" s="10">
        <v>81.12</v>
      </c>
      <c r="BM68" s="10">
        <v>13.13</v>
      </c>
      <c r="BN68" s="10">
        <v>324.43</v>
      </c>
      <c r="BO68" s="10">
        <v>274.48</v>
      </c>
      <c r="BP68" s="10">
        <v>796.65</v>
      </c>
      <c r="BQ68" s="10">
        <v>323.05</v>
      </c>
      <c r="BR68" s="10">
        <v>33.69</v>
      </c>
      <c r="BS68" s="10">
        <v>39.89</v>
      </c>
      <c r="BT68" s="10">
        <v>21.09</v>
      </c>
      <c r="BU68" s="10">
        <v>52.99</v>
      </c>
      <c r="BV68" s="10">
        <v>6.75</v>
      </c>
      <c r="BW68" s="10">
        <v>2.54</v>
      </c>
      <c r="BX68" s="10">
        <v>10.48</v>
      </c>
      <c r="BY68" s="4">
        <v>0</v>
      </c>
      <c r="BZ68" s="10">
        <v>51975.55</v>
      </c>
      <c r="CA68" s="10">
        <v>49279.53</v>
      </c>
      <c r="CB68" s="10">
        <v>0.65</v>
      </c>
      <c r="CC68" s="10">
        <v>2695.37</v>
      </c>
      <c r="CD68" s="10">
        <v>320077.46000000002</v>
      </c>
      <c r="CE68" s="10">
        <v>93.12</v>
      </c>
      <c r="CF68" s="10">
        <v>45070.13</v>
      </c>
      <c r="CG68" s="4" t="s">
        <v>102</v>
      </c>
      <c r="CH68" s="10">
        <v>45070.13</v>
      </c>
      <c r="CI68" s="4" t="s">
        <v>102</v>
      </c>
      <c r="CJ68" s="4" t="s">
        <v>102</v>
      </c>
      <c r="CK68" s="10">
        <v>319984.34999999998</v>
      </c>
      <c r="CL68" s="4" t="s">
        <v>102</v>
      </c>
      <c r="CM68" s="4" t="s">
        <v>102</v>
      </c>
      <c r="CN68" s="10">
        <v>446096.66</v>
      </c>
      <c r="CO68" s="10">
        <v>417123.14</v>
      </c>
    </row>
    <row r="69" spans="1:93" ht="14.5" x14ac:dyDescent="0.35">
      <c r="A69" s="3" t="s">
        <v>69</v>
      </c>
      <c r="B69" s="11">
        <v>179239.67999999999</v>
      </c>
      <c r="C69" s="11">
        <v>318.20999999999998</v>
      </c>
      <c r="D69" s="11">
        <v>55.88</v>
      </c>
      <c r="E69" s="11">
        <v>19.440000000000001</v>
      </c>
      <c r="F69" s="11">
        <v>196.34</v>
      </c>
      <c r="G69" s="11">
        <v>17468.39</v>
      </c>
      <c r="H69" s="11">
        <v>1611.24</v>
      </c>
      <c r="I69" s="11">
        <v>316.52</v>
      </c>
      <c r="J69" s="11">
        <v>951.87</v>
      </c>
      <c r="K69" s="11">
        <v>241.59</v>
      </c>
      <c r="L69" s="11">
        <v>1321.83</v>
      </c>
      <c r="M69" s="11">
        <f t="shared" si="78"/>
        <v>4067.37</v>
      </c>
      <c r="N69" s="11">
        <v>4067.37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1">
        <v>4374.88</v>
      </c>
      <c r="X69" s="5">
        <v>1172</v>
      </c>
      <c r="Y69" s="11">
        <v>868.6</v>
      </c>
      <c r="Z69" s="11">
        <v>642.84</v>
      </c>
      <c r="AA69" s="11">
        <v>1360.67</v>
      </c>
      <c r="AB69" s="11">
        <v>1187.8</v>
      </c>
      <c r="AC69" s="11">
        <v>1385.63</v>
      </c>
      <c r="AD69" s="11">
        <v>1577.07</v>
      </c>
      <c r="AE69" s="11">
        <v>3583.02</v>
      </c>
      <c r="AF69" s="11">
        <v>350.26</v>
      </c>
      <c r="AG69" s="11">
        <v>1812.61</v>
      </c>
      <c r="AH69" s="11">
        <v>782.37</v>
      </c>
      <c r="AI69" s="89">
        <f t="shared" si="1"/>
        <v>1491.59</v>
      </c>
      <c r="AJ69" s="11">
        <v>1491.59</v>
      </c>
      <c r="AK69" s="29"/>
      <c r="AL69" s="11">
        <v>141.9</v>
      </c>
      <c r="AM69" s="11">
        <v>787.71</v>
      </c>
      <c r="AN69" s="11">
        <v>2992.25</v>
      </c>
      <c r="AO69" s="11">
        <v>5485.43</v>
      </c>
      <c r="AP69" s="11">
        <v>20968.2</v>
      </c>
      <c r="AQ69" s="11">
        <v>14735.12</v>
      </c>
      <c r="AR69" s="11">
        <v>1325.27</v>
      </c>
      <c r="AS69" s="11">
        <v>146.97999999999999</v>
      </c>
      <c r="AT69" s="11">
        <v>722.15</v>
      </c>
      <c r="AU69" s="11">
        <v>1388.1</v>
      </c>
      <c r="AV69" s="11">
        <v>730.12</v>
      </c>
      <c r="AW69" s="11">
        <v>3374.37</v>
      </c>
      <c r="AX69" s="11">
        <v>2663.44</v>
      </c>
      <c r="AY69" s="11">
        <v>2108.1999999999998</v>
      </c>
      <c r="AZ69" s="11">
        <v>2914.33</v>
      </c>
      <c r="BA69" s="11">
        <v>7137.73</v>
      </c>
      <c r="BB69" s="11">
        <v>4740.57</v>
      </c>
      <c r="BC69" s="11">
        <v>2512.8000000000002</v>
      </c>
      <c r="BD69" s="11">
        <v>1608.12</v>
      </c>
      <c r="BE69" s="11">
        <v>2191.81</v>
      </c>
      <c r="BF69" s="11">
        <v>7199.8</v>
      </c>
      <c r="BG69" s="11">
        <v>1135.98</v>
      </c>
      <c r="BH69" s="11">
        <v>1737.35</v>
      </c>
      <c r="BI69" s="11">
        <v>20519.45</v>
      </c>
      <c r="BJ69" s="11">
        <v>1321.67</v>
      </c>
      <c r="BK69" s="11">
        <v>3411.66</v>
      </c>
      <c r="BL69" s="11">
        <v>1493.15</v>
      </c>
      <c r="BM69" s="11">
        <v>3117.83</v>
      </c>
      <c r="BN69" s="11">
        <v>3069.08</v>
      </c>
      <c r="BO69" s="11">
        <v>2800.58</v>
      </c>
      <c r="BP69" s="11">
        <v>925.11</v>
      </c>
      <c r="BQ69" s="11">
        <v>1240.58</v>
      </c>
      <c r="BR69" s="11">
        <v>397.15</v>
      </c>
      <c r="BS69" s="11">
        <v>2142.5</v>
      </c>
      <c r="BT69" s="11">
        <v>1238.78</v>
      </c>
      <c r="BU69" s="11">
        <v>721.82</v>
      </c>
      <c r="BV69" s="11">
        <v>314.89</v>
      </c>
      <c r="BW69" s="11">
        <v>617.96</v>
      </c>
      <c r="BX69" s="11">
        <v>1.74</v>
      </c>
      <c r="BY69" s="5">
        <v>0</v>
      </c>
      <c r="BZ69" s="5">
        <v>161</v>
      </c>
      <c r="CA69" s="11">
        <v>35.130000000000003</v>
      </c>
      <c r="CB69" s="11">
        <v>117.96</v>
      </c>
      <c r="CC69" s="11">
        <v>7.91</v>
      </c>
      <c r="CD69" s="11">
        <v>-121.71</v>
      </c>
      <c r="CE69" s="11">
        <v>-127.38</v>
      </c>
      <c r="CF69" s="11">
        <v>25193.51</v>
      </c>
      <c r="CG69" s="5" t="s">
        <v>102</v>
      </c>
      <c r="CH69" s="11">
        <v>25193.51</v>
      </c>
      <c r="CI69" s="5" t="s">
        <v>102</v>
      </c>
      <c r="CJ69" s="5" t="s">
        <v>102</v>
      </c>
      <c r="CK69" s="11">
        <v>5.67</v>
      </c>
      <c r="CL69" s="5" t="s">
        <v>102</v>
      </c>
      <c r="CM69" s="5" t="s">
        <v>102</v>
      </c>
      <c r="CN69" s="11">
        <v>204472.48</v>
      </c>
      <c r="CO69" s="11">
        <v>25232.799999999999</v>
      </c>
    </row>
    <row r="70" spans="1:93" ht="14.5" x14ac:dyDescent="0.35">
      <c r="A70" s="3" t="s">
        <v>70</v>
      </c>
      <c r="B70" s="10">
        <v>139029.29999999999</v>
      </c>
      <c r="C70" s="10">
        <v>7086.7</v>
      </c>
      <c r="D70" s="10">
        <v>125.7</v>
      </c>
      <c r="E70" s="10">
        <v>47.04</v>
      </c>
      <c r="F70" s="10">
        <v>279.39</v>
      </c>
      <c r="G70" s="10">
        <v>3392.81</v>
      </c>
      <c r="H70" s="10">
        <v>1403.78</v>
      </c>
      <c r="I70" s="10">
        <v>229.37</v>
      </c>
      <c r="J70" s="10">
        <v>429.09</v>
      </c>
      <c r="K70" s="10">
        <v>244.71</v>
      </c>
      <c r="L70" s="10">
        <v>573.49</v>
      </c>
      <c r="M70" s="11">
        <f t="shared" si="78"/>
        <v>1561.97</v>
      </c>
      <c r="N70" s="10">
        <v>1561.97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0">
        <v>654.84</v>
      </c>
      <c r="X70" s="10">
        <v>843.88</v>
      </c>
      <c r="Y70" s="10">
        <v>572.21</v>
      </c>
      <c r="Z70" s="10">
        <v>750.32</v>
      </c>
      <c r="AA70" s="10">
        <v>1304.0999999999999</v>
      </c>
      <c r="AB70" s="10">
        <v>1205.32</v>
      </c>
      <c r="AC70" s="10">
        <v>1376.76</v>
      </c>
      <c r="AD70" s="10">
        <v>2080.41</v>
      </c>
      <c r="AE70" s="10">
        <v>2685.06</v>
      </c>
      <c r="AF70" s="10">
        <v>541.62</v>
      </c>
      <c r="AG70" s="10">
        <v>1140.02</v>
      </c>
      <c r="AH70" s="10">
        <v>890.41</v>
      </c>
      <c r="AI70" s="89">
        <f t="shared" si="1"/>
        <v>1707.83</v>
      </c>
      <c r="AJ70" s="10">
        <v>1707.83</v>
      </c>
      <c r="AK70" s="29"/>
      <c r="AL70" s="10">
        <v>225.37</v>
      </c>
      <c r="AM70" s="10">
        <v>1335.9</v>
      </c>
      <c r="AN70" s="10">
        <v>5228.3</v>
      </c>
      <c r="AO70" s="10">
        <v>1783.95</v>
      </c>
      <c r="AP70" s="10">
        <v>12473.66</v>
      </c>
      <c r="AQ70" s="10">
        <v>3749.55</v>
      </c>
      <c r="AR70" s="10">
        <v>1622.68</v>
      </c>
      <c r="AS70" s="10">
        <v>155.18</v>
      </c>
      <c r="AT70" s="10">
        <v>856.91</v>
      </c>
      <c r="AU70" s="10">
        <v>1706.03</v>
      </c>
      <c r="AV70" s="10">
        <v>339.39</v>
      </c>
      <c r="AW70" s="10">
        <v>2744.45</v>
      </c>
      <c r="AX70" s="10">
        <v>1914.07</v>
      </c>
      <c r="AY70" s="10">
        <v>1071.8699999999999</v>
      </c>
      <c r="AZ70" s="10">
        <v>2200.12</v>
      </c>
      <c r="BA70" s="10">
        <v>6324.94</v>
      </c>
      <c r="BB70" s="10">
        <v>3718.35</v>
      </c>
      <c r="BC70" s="10">
        <v>2785.25</v>
      </c>
      <c r="BD70" s="10">
        <v>2647.79</v>
      </c>
      <c r="BE70" s="10">
        <v>3491.21</v>
      </c>
      <c r="BF70" s="10">
        <v>10585.9</v>
      </c>
      <c r="BG70" s="10">
        <v>3831.29</v>
      </c>
      <c r="BH70" s="10">
        <v>1854.92</v>
      </c>
      <c r="BI70" s="10">
        <v>3203.03</v>
      </c>
      <c r="BJ70" s="10">
        <v>6736.36</v>
      </c>
      <c r="BK70" s="10">
        <v>2877.58</v>
      </c>
      <c r="BL70" s="10">
        <v>988.27</v>
      </c>
      <c r="BM70" s="10">
        <v>556.1</v>
      </c>
      <c r="BN70" s="10">
        <v>5145.68</v>
      </c>
      <c r="BO70" s="10">
        <v>4384.1000000000004</v>
      </c>
      <c r="BP70" s="10">
        <v>2375.4499999999998</v>
      </c>
      <c r="BQ70" s="10">
        <v>2471.4499999999998</v>
      </c>
      <c r="BR70" s="10">
        <v>1230.6500000000001</v>
      </c>
      <c r="BS70" s="10">
        <v>1810.06</v>
      </c>
      <c r="BT70" s="10">
        <v>1600.19</v>
      </c>
      <c r="BU70" s="10">
        <v>898.44</v>
      </c>
      <c r="BV70" s="10">
        <v>182.3</v>
      </c>
      <c r="BW70" s="10">
        <v>788.98</v>
      </c>
      <c r="BX70" s="10">
        <v>6.78</v>
      </c>
      <c r="BY70" s="4">
        <v>0</v>
      </c>
      <c r="BZ70" s="10">
        <v>25992.37</v>
      </c>
      <c r="CA70" s="10">
        <v>2083.2199999999998</v>
      </c>
      <c r="CB70" s="10">
        <v>23872.04</v>
      </c>
      <c r="CC70" s="10">
        <v>37.11</v>
      </c>
      <c r="CD70" s="10">
        <v>374.77</v>
      </c>
      <c r="CE70" s="10">
        <v>289.31</v>
      </c>
      <c r="CF70" s="10">
        <v>12817.42</v>
      </c>
      <c r="CG70" s="4" t="s">
        <v>102</v>
      </c>
      <c r="CH70" s="10">
        <v>12817.42</v>
      </c>
      <c r="CI70" s="4" t="s">
        <v>102</v>
      </c>
      <c r="CJ70" s="4" t="s">
        <v>102</v>
      </c>
      <c r="CK70" s="10">
        <v>85.46</v>
      </c>
      <c r="CL70" s="4" t="s">
        <v>102</v>
      </c>
      <c r="CM70" s="4" t="s">
        <v>102</v>
      </c>
      <c r="CN70" s="10">
        <v>178213.86</v>
      </c>
      <c r="CO70" s="10">
        <v>39184.559999999998</v>
      </c>
    </row>
    <row r="71" spans="1:93" ht="14.5" x14ac:dyDescent="0.35">
      <c r="A71" s="3" t="s">
        <v>71</v>
      </c>
      <c r="B71" s="11">
        <v>440512.03</v>
      </c>
      <c r="C71" s="11">
        <v>4945.3500000000004</v>
      </c>
      <c r="D71" s="11">
        <v>338.45</v>
      </c>
      <c r="E71" s="11">
        <v>102.29</v>
      </c>
      <c r="F71" s="11">
        <v>1171.71</v>
      </c>
      <c r="G71" s="11">
        <v>9606.92</v>
      </c>
      <c r="H71" s="11">
        <v>1622.03</v>
      </c>
      <c r="I71" s="11">
        <v>1266.3599999999999</v>
      </c>
      <c r="J71" s="11">
        <v>1906.26</v>
      </c>
      <c r="K71" s="11">
        <v>1315.01</v>
      </c>
      <c r="L71" s="11">
        <v>1980.1</v>
      </c>
      <c r="M71" s="11">
        <f t="shared" si="78"/>
        <v>7338.27</v>
      </c>
      <c r="N71" s="11">
        <v>7338.27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1">
        <v>8545.19</v>
      </c>
      <c r="X71" s="11">
        <v>3565.52</v>
      </c>
      <c r="Y71" s="11">
        <v>3012.76</v>
      </c>
      <c r="Z71" s="11">
        <v>2638.27</v>
      </c>
      <c r="AA71" s="11">
        <v>4904.3999999999996</v>
      </c>
      <c r="AB71" s="11">
        <v>3240.91</v>
      </c>
      <c r="AC71" s="11">
        <v>3094.29</v>
      </c>
      <c r="AD71" s="11">
        <v>5887.91</v>
      </c>
      <c r="AE71" s="11">
        <v>6354.88</v>
      </c>
      <c r="AF71" s="11">
        <v>1678.01</v>
      </c>
      <c r="AG71" s="11">
        <v>2256.91</v>
      </c>
      <c r="AH71" s="11">
        <v>3721.86</v>
      </c>
      <c r="AI71" s="89">
        <f t="shared" si="1"/>
        <v>7787.54</v>
      </c>
      <c r="AJ71" s="11">
        <v>7787.54</v>
      </c>
      <c r="AK71" s="29"/>
      <c r="AL71" s="11">
        <v>1133.3499999999999</v>
      </c>
      <c r="AM71" s="11">
        <v>5813.94</v>
      </c>
      <c r="AN71" s="11">
        <v>40735.879999999997</v>
      </c>
      <c r="AO71" s="11">
        <v>4168.66</v>
      </c>
      <c r="AP71" s="11">
        <v>30267.21</v>
      </c>
      <c r="AQ71" s="11">
        <v>16258.56</v>
      </c>
      <c r="AR71" s="11">
        <v>16823.37</v>
      </c>
      <c r="AS71" s="11">
        <v>5155.62</v>
      </c>
      <c r="AT71" s="11">
        <v>8531.24</v>
      </c>
      <c r="AU71" s="11">
        <v>12268.35</v>
      </c>
      <c r="AV71" s="11">
        <v>1922.06</v>
      </c>
      <c r="AW71" s="11">
        <v>9967.2999999999993</v>
      </c>
      <c r="AX71" s="11">
        <v>3202.83</v>
      </c>
      <c r="AY71" s="11">
        <v>7143.88</v>
      </c>
      <c r="AZ71" s="11">
        <v>7349.15</v>
      </c>
      <c r="BA71" s="11">
        <v>25466.560000000001</v>
      </c>
      <c r="BB71" s="11">
        <v>4296.7299999999996</v>
      </c>
      <c r="BC71" s="11">
        <v>3261.13</v>
      </c>
      <c r="BD71" s="11">
        <v>4407.1099999999997</v>
      </c>
      <c r="BE71" s="11">
        <v>3611.69</v>
      </c>
      <c r="BF71" s="11">
        <v>16226.16</v>
      </c>
      <c r="BG71" s="11">
        <v>4810.26</v>
      </c>
      <c r="BH71" s="11">
        <v>5678.18</v>
      </c>
      <c r="BI71" s="11">
        <v>3911.19</v>
      </c>
      <c r="BJ71" s="11">
        <v>2678.26</v>
      </c>
      <c r="BK71" s="11">
        <v>52722.58</v>
      </c>
      <c r="BL71" s="11">
        <v>1271.18</v>
      </c>
      <c r="BM71" s="11">
        <v>1482.96</v>
      </c>
      <c r="BN71" s="11">
        <v>15783.52</v>
      </c>
      <c r="BO71" s="11">
        <v>8053.14</v>
      </c>
      <c r="BP71" s="11">
        <v>5263.93</v>
      </c>
      <c r="BQ71" s="11">
        <v>7178.37</v>
      </c>
      <c r="BR71" s="11">
        <v>3936.78</v>
      </c>
      <c r="BS71" s="11">
        <v>3009.38</v>
      </c>
      <c r="BT71" s="11">
        <v>3059.33</v>
      </c>
      <c r="BU71" s="11">
        <v>1574.17</v>
      </c>
      <c r="BV71" s="11">
        <v>511.02</v>
      </c>
      <c r="BW71" s="11">
        <v>3279.58</v>
      </c>
      <c r="BX71" s="11">
        <v>16.23</v>
      </c>
      <c r="BY71" s="5">
        <v>0</v>
      </c>
      <c r="BZ71" s="11">
        <v>47920.71</v>
      </c>
      <c r="CA71" s="11">
        <v>777.47</v>
      </c>
      <c r="CB71" s="11">
        <v>47139.46</v>
      </c>
      <c r="CC71" s="11">
        <v>3.78</v>
      </c>
      <c r="CD71" s="11">
        <v>3019.6</v>
      </c>
      <c r="CE71" s="11">
        <v>35.33</v>
      </c>
      <c r="CF71" s="11">
        <v>56960.639999999999</v>
      </c>
      <c r="CG71" s="5" t="s">
        <v>102</v>
      </c>
      <c r="CH71" s="11">
        <v>56960.639999999999</v>
      </c>
      <c r="CI71" s="5" t="s">
        <v>102</v>
      </c>
      <c r="CJ71" s="5" t="s">
        <v>102</v>
      </c>
      <c r="CK71" s="11">
        <v>2984.27</v>
      </c>
      <c r="CL71" s="5" t="s">
        <v>102</v>
      </c>
      <c r="CM71" s="5" t="s">
        <v>102</v>
      </c>
      <c r="CN71" s="11">
        <v>548412.97</v>
      </c>
      <c r="CO71" s="11">
        <v>107900.95</v>
      </c>
    </row>
    <row r="72" spans="1:93" ht="14.5" x14ac:dyDescent="0.35">
      <c r="A72" s="3" t="s">
        <v>72</v>
      </c>
      <c r="B72" s="10">
        <v>237752.99</v>
      </c>
      <c r="C72" s="4">
        <v>3449</v>
      </c>
      <c r="D72" s="10">
        <v>155.83000000000001</v>
      </c>
      <c r="E72" s="10">
        <v>27.21</v>
      </c>
      <c r="F72" s="10">
        <v>640.89</v>
      </c>
      <c r="G72" s="10">
        <v>13532.56</v>
      </c>
      <c r="H72" s="10">
        <v>1162.47</v>
      </c>
      <c r="I72" s="10">
        <v>1089.27</v>
      </c>
      <c r="J72" s="10">
        <v>1428.23</v>
      </c>
      <c r="K72" s="10">
        <v>590.19000000000005</v>
      </c>
      <c r="L72" s="10">
        <v>497.95</v>
      </c>
      <c r="M72" s="11">
        <f t="shared" si="78"/>
        <v>3212.03</v>
      </c>
      <c r="N72" s="10">
        <v>3212.03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0">
        <v>2569.08</v>
      </c>
      <c r="X72" s="10">
        <v>3269.07</v>
      </c>
      <c r="Y72" s="10">
        <v>2567.4</v>
      </c>
      <c r="Z72" s="10">
        <v>2305.23</v>
      </c>
      <c r="AA72" s="10">
        <v>5937.46</v>
      </c>
      <c r="AB72" s="10">
        <v>2649.79</v>
      </c>
      <c r="AC72" s="10">
        <v>3364.39</v>
      </c>
      <c r="AD72" s="10">
        <v>7017.32</v>
      </c>
      <c r="AE72" s="4">
        <v>5968</v>
      </c>
      <c r="AF72" s="10">
        <v>3404.44</v>
      </c>
      <c r="AG72" s="10">
        <v>1939.64</v>
      </c>
      <c r="AH72" s="10">
        <v>4855.8500000000004</v>
      </c>
      <c r="AI72" s="89">
        <f t="shared" si="1"/>
        <v>2819.26</v>
      </c>
      <c r="AJ72" s="10">
        <v>2819.26</v>
      </c>
      <c r="AK72" s="29"/>
      <c r="AL72" s="10">
        <v>389.41</v>
      </c>
      <c r="AM72" s="10">
        <v>2615.2800000000002</v>
      </c>
      <c r="AN72" s="10">
        <v>19675.66</v>
      </c>
      <c r="AO72" s="10">
        <v>1827.51</v>
      </c>
      <c r="AP72" s="10">
        <v>14839.95</v>
      </c>
      <c r="AQ72" s="10">
        <v>7912.6</v>
      </c>
      <c r="AR72" s="10">
        <v>8502.77</v>
      </c>
      <c r="AS72" s="10">
        <v>2396.71</v>
      </c>
      <c r="AT72" s="10">
        <v>1243.46</v>
      </c>
      <c r="AU72" s="10">
        <v>10500.7</v>
      </c>
      <c r="AV72" s="10">
        <v>2815.98</v>
      </c>
      <c r="AW72" s="10">
        <v>5790.7</v>
      </c>
      <c r="AX72" s="10">
        <v>1158.3</v>
      </c>
      <c r="AY72" s="10">
        <v>386.22</v>
      </c>
      <c r="AZ72" s="10">
        <v>1893.68</v>
      </c>
      <c r="BA72" s="10">
        <v>6797.65</v>
      </c>
      <c r="BB72" s="10">
        <v>2406.36</v>
      </c>
      <c r="BC72" s="10">
        <v>740.45</v>
      </c>
      <c r="BD72" s="10">
        <v>1856.68</v>
      </c>
      <c r="BE72" s="10">
        <v>2655.67</v>
      </c>
      <c r="BF72" s="10">
        <v>7929.76</v>
      </c>
      <c r="BG72" s="4">
        <v>4440</v>
      </c>
      <c r="BH72" s="10">
        <v>3188.68</v>
      </c>
      <c r="BI72" s="10">
        <v>1263.43</v>
      </c>
      <c r="BJ72" s="10">
        <v>1224.82</v>
      </c>
      <c r="BK72" s="10">
        <v>5012.58</v>
      </c>
      <c r="BL72" s="10">
        <v>10537.84</v>
      </c>
      <c r="BM72" s="10">
        <v>594.96</v>
      </c>
      <c r="BN72" s="10">
        <v>9627.39</v>
      </c>
      <c r="BO72" s="10">
        <v>5017.41</v>
      </c>
      <c r="BP72" s="10">
        <v>3360.38</v>
      </c>
      <c r="BQ72" s="10">
        <v>7351.91</v>
      </c>
      <c r="BR72" s="10">
        <v>4475.49</v>
      </c>
      <c r="BS72" s="10">
        <v>674.74</v>
      </c>
      <c r="BT72" s="10">
        <v>532.52</v>
      </c>
      <c r="BU72" s="10">
        <v>652.70000000000005</v>
      </c>
      <c r="BV72" s="10">
        <v>356.82</v>
      </c>
      <c r="BW72" s="10">
        <v>644.26</v>
      </c>
      <c r="BX72" s="10">
        <v>9.01</v>
      </c>
      <c r="BY72" s="4">
        <v>0</v>
      </c>
      <c r="BZ72" s="10">
        <v>4820.3999999999996</v>
      </c>
      <c r="CA72" s="10">
        <v>2890.68</v>
      </c>
      <c r="CB72" s="10">
        <v>1914.56</v>
      </c>
      <c r="CC72" s="10">
        <v>15.16</v>
      </c>
      <c r="CD72" s="10">
        <v>55.24</v>
      </c>
      <c r="CE72" s="4">
        <v>30</v>
      </c>
      <c r="CF72" s="10">
        <v>4076.48</v>
      </c>
      <c r="CG72" s="4" t="s">
        <v>102</v>
      </c>
      <c r="CH72" s="10">
        <v>4076.48</v>
      </c>
      <c r="CI72" s="4" t="s">
        <v>102</v>
      </c>
      <c r="CJ72" s="4" t="s">
        <v>102</v>
      </c>
      <c r="CK72" s="10">
        <v>25.23</v>
      </c>
      <c r="CL72" s="4" t="s">
        <v>102</v>
      </c>
      <c r="CM72" s="4" t="s">
        <v>102</v>
      </c>
      <c r="CN72" s="10">
        <v>246705.1</v>
      </c>
      <c r="CO72" s="10">
        <v>8952.11</v>
      </c>
    </row>
    <row r="73" spans="1:93" ht="14.5" x14ac:dyDescent="0.35">
      <c r="A73" s="3" t="s">
        <v>73</v>
      </c>
      <c r="B73" s="11">
        <v>32270.03</v>
      </c>
      <c r="C73" s="11">
        <v>55.61</v>
      </c>
      <c r="D73" s="11">
        <v>19.850000000000001</v>
      </c>
      <c r="E73" s="5">
        <v>15</v>
      </c>
      <c r="F73" s="11">
        <v>51.6</v>
      </c>
      <c r="G73" s="11">
        <v>273.75</v>
      </c>
      <c r="H73" s="11">
        <v>104.26</v>
      </c>
      <c r="I73" s="11">
        <v>47.05</v>
      </c>
      <c r="J73" s="11">
        <v>65.040000000000006</v>
      </c>
      <c r="K73" s="11">
        <v>35.14</v>
      </c>
      <c r="L73" s="11">
        <v>80.02</v>
      </c>
      <c r="M73" s="11">
        <f t="shared" si="78"/>
        <v>197.42</v>
      </c>
      <c r="N73" s="11">
        <v>197.42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1">
        <v>148.29</v>
      </c>
      <c r="X73" s="11">
        <v>98.43</v>
      </c>
      <c r="Y73" s="11">
        <v>150.63999999999999</v>
      </c>
      <c r="Z73" s="11">
        <v>97.92</v>
      </c>
      <c r="AA73" s="11">
        <v>240.12</v>
      </c>
      <c r="AB73" s="11">
        <v>138.44</v>
      </c>
      <c r="AC73" s="11">
        <v>295.91000000000003</v>
      </c>
      <c r="AD73" s="11">
        <v>260.23</v>
      </c>
      <c r="AE73" s="11">
        <v>361.52</v>
      </c>
      <c r="AF73" s="11">
        <v>123.4</v>
      </c>
      <c r="AG73" s="11">
        <v>99.89</v>
      </c>
      <c r="AH73" s="11">
        <v>155.28</v>
      </c>
      <c r="AI73" s="89">
        <f t="shared" si="1"/>
        <v>332.97</v>
      </c>
      <c r="AJ73" s="11">
        <v>332.97</v>
      </c>
      <c r="AK73" s="29"/>
      <c r="AL73" s="11">
        <v>41.75</v>
      </c>
      <c r="AM73" s="11">
        <v>130.27000000000001</v>
      </c>
      <c r="AN73" s="11">
        <v>585.62</v>
      </c>
      <c r="AO73" s="11">
        <v>156.15</v>
      </c>
      <c r="AP73" s="11">
        <v>986.6</v>
      </c>
      <c r="AQ73" s="11">
        <v>447.12</v>
      </c>
      <c r="AR73" s="11">
        <v>2084.66</v>
      </c>
      <c r="AS73" s="11">
        <v>343.5</v>
      </c>
      <c r="AT73" s="11">
        <v>2484.85</v>
      </c>
      <c r="AU73" s="11">
        <v>1064.8399999999999</v>
      </c>
      <c r="AV73" s="11">
        <v>65.48</v>
      </c>
      <c r="AW73" s="11">
        <v>1611.73</v>
      </c>
      <c r="AX73" s="11">
        <v>77.44</v>
      </c>
      <c r="AY73" s="11">
        <v>216.77</v>
      </c>
      <c r="AZ73" s="11">
        <v>391.61</v>
      </c>
      <c r="BA73" s="11">
        <v>522.24</v>
      </c>
      <c r="BB73" s="11">
        <v>203.76</v>
      </c>
      <c r="BC73" s="11">
        <v>113.63</v>
      </c>
      <c r="BD73" s="11">
        <v>126.1</v>
      </c>
      <c r="BE73" s="11">
        <v>222.63</v>
      </c>
      <c r="BF73" s="11">
        <v>657.19</v>
      </c>
      <c r="BG73" s="11">
        <v>146.83000000000001</v>
      </c>
      <c r="BH73" s="11">
        <v>279.42</v>
      </c>
      <c r="BI73" s="11">
        <v>162.51</v>
      </c>
      <c r="BJ73" s="11">
        <v>87.47</v>
      </c>
      <c r="BK73" s="11">
        <v>517.48</v>
      </c>
      <c r="BL73" s="11">
        <v>72.59</v>
      </c>
      <c r="BM73" s="11">
        <v>11649.85</v>
      </c>
      <c r="BN73" s="11">
        <v>257.91000000000003</v>
      </c>
      <c r="BO73" s="11">
        <v>586.19000000000005</v>
      </c>
      <c r="BP73" s="11">
        <v>365.79</v>
      </c>
      <c r="BQ73" s="11">
        <v>213.25</v>
      </c>
      <c r="BR73" s="11">
        <v>158.16</v>
      </c>
      <c r="BS73" s="11">
        <v>524.08000000000004</v>
      </c>
      <c r="BT73" s="11">
        <v>1075.68</v>
      </c>
      <c r="BU73" s="11">
        <v>93.91</v>
      </c>
      <c r="BV73" s="11">
        <v>36.4</v>
      </c>
      <c r="BW73" s="11">
        <v>59.17</v>
      </c>
      <c r="BX73" s="11">
        <v>1.67</v>
      </c>
      <c r="BY73" s="5">
        <v>0</v>
      </c>
      <c r="BZ73" s="11">
        <v>81919.5</v>
      </c>
      <c r="CA73" s="11">
        <v>2473.59</v>
      </c>
      <c r="CB73" s="11">
        <v>79288.77</v>
      </c>
      <c r="CC73" s="11">
        <v>157.13999999999999</v>
      </c>
      <c r="CD73" s="11">
        <v>95.34</v>
      </c>
      <c r="CE73" s="11">
        <v>49.31</v>
      </c>
      <c r="CF73" s="11">
        <v>14011.33</v>
      </c>
      <c r="CG73" s="5" t="s">
        <v>102</v>
      </c>
      <c r="CH73" s="11">
        <v>14011.33</v>
      </c>
      <c r="CI73" s="5" t="s">
        <v>102</v>
      </c>
      <c r="CJ73" s="5" t="s">
        <v>102</v>
      </c>
      <c r="CK73" s="11">
        <v>46.02</v>
      </c>
      <c r="CL73" s="5" t="s">
        <v>102</v>
      </c>
      <c r="CM73" s="5" t="s">
        <v>102</v>
      </c>
      <c r="CN73" s="11">
        <v>128296.19</v>
      </c>
      <c r="CO73" s="11">
        <v>96026.17</v>
      </c>
    </row>
    <row r="74" spans="1:93" ht="14.5" x14ac:dyDescent="0.35">
      <c r="A74" s="3" t="s">
        <v>74</v>
      </c>
      <c r="B74" s="10">
        <v>567997.41</v>
      </c>
      <c r="C74" s="10">
        <v>2242.0500000000002</v>
      </c>
      <c r="D74" s="10">
        <v>298.48</v>
      </c>
      <c r="E74" s="10">
        <v>49.77</v>
      </c>
      <c r="F74" s="10">
        <v>1294.9100000000001</v>
      </c>
      <c r="G74" s="10">
        <v>13053.09</v>
      </c>
      <c r="H74" s="10">
        <v>2628.54</v>
      </c>
      <c r="I74" s="10">
        <v>1260.48</v>
      </c>
      <c r="J74" s="10">
        <v>2360.36</v>
      </c>
      <c r="K74" s="10">
        <v>930.78</v>
      </c>
      <c r="L74" s="10">
        <v>3401.5</v>
      </c>
      <c r="M74" s="11">
        <f t="shared" si="78"/>
        <v>8798.7099999999991</v>
      </c>
      <c r="N74" s="10">
        <v>8798.7099999999991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0">
        <v>4073.63</v>
      </c>
      <c r="X74" s="10">
        <v>3070.69</v>
      </c>
      <c r="Y74" s="10">
        <v>2722.88</v>
      </c>
      <c r="Z74" s="10">
        <v>4079.89</v>
      </c>
      <c r="AA74" s="10">
        <v>5046.97</v>
      </c>
      <c r="AB74" s="10">
        <v>2731.9</v>
      </c>
      <c r="AC74" s="10">
        <v>3567.34</v>
      </c>
      <c r="AD74" s="10">
        <v>6950.68</v>
      </c>
      <c r="AE74" s="10">
        <v>8488.7900000000009</v>
      </c>
      <c r="AF74" s="10">
        <v>2402.65</v>
      </c>
      <c r="AG74" s="10">
        <v>2743.29</v>
      </c>
      <c r="AH74" s="10">
        <v>3843.08</v>
      </c>
      <c r="AI74" s="89">
        <f t="shared" ref="AI74:AI103" si="79">AJ74-AK74</f>
        <v>13384.22</v>
      </c>
      <c r="AJ74" s="10">
        <v>13384.22</v>
      </c>
      <c r="AK74" s="29"/>
      <c r="AL74" s="10">
        <v>1921.89</v>
      </c>
      <c r="AM74" s="10">
        <v>8235.23</v>
      </c>
      <c r="AN74" s="10">
        <v>31410.959999999999</v>
      </c>
      <c r="AO74" s="10">
        <v>6738.77</v>
      </c>
      <c r="AP74" s="10">
        <v>40069.33</v>
      </c>
      <c r="AQ74" s="10">
        <v>24814.67</v>
      </c>
      <c r="AR74" s="10">
        <v>10979.23</v>
      </c>
      <c r="AS74" s="10">
        <v>3203.68</v>
      </c>
      <c r="AT74" s="10">
        <v>1962.78</v>
      </c>
      <c r="AU74" s="10">
        <v>16146.35</v>
      </c>
      <c r="AV74" s="10">
        <v>2442.7199999999998</v>
      </c>
      <c r="AW74" s="10">
        <v>15311.47</v>
      </c>
      <c r="AX74" s="10">
        <v>4900.07</v>
      </c>
      <c r="AY74" s="10">
        <v>5485.59</v>
      </c>
      <c r="AZ74" s="10">
        <v>6657.27</v>
      </c>
      <c r="BA74" s="10">
        <v>18805.23</v>
      </c>
      <c r="BB74" s="10">
        <v>13955.45</v>
      </c>
      <c r="BC74" s="10">
        <v>7760.58</v>
      </c>
      <c r="BD74" s="10">
        <v>8236.32</v>
      </c>
      <c r="BE74" s="10">
        <v>22451.45</v>
      </c>
      <c r="BF74" s="10">
        <v>28346.97</v>
      </c>
      <c r="BG74" s="10">
        <v>9446.83</v>
      </c>
      <c r="BH74" s="10">
        <v>6834.68</v>
      </c>
      <c r="BI74" s="10">
        <v>5423.8</v>
      </c>
      <c r="BJ74" s="10">
        <v>4880.3500000000004</v>
      </c>
      <c r="BK74" s="10">
        <v>17204.41</v>
      </c>
      <c r="BL74" s="10">
        <v>2792.05</v>
      </c>
      <c r="BM74" s="10">
        <v>3096.34</v>
      </c>
      <c r="BN74" s="10">
        <v>49301.79</v>
      </c>
      <c r="BO74" s="10">
        <v>32089.52</v>
      </c>
      <c r="BP74" s="10">
        <v>10665.69</v>
      </c>
      <c r="BQ74" s="10">
        <v>20534.27</v>
      </c>
      <c r="BR74" s="10">
        <v>9878.5499999999993</v>
      </c>
      <c r="BS74" s="10">
        <v>5199.8900000000003</v>
      </c>
      <c r="BT74" s="10">
        <v>4261.2700000000004</v>
      </c>
      <c r="BU74" s="10">
        <v>3127.01</v>
      </c>
      <c r="BV74" s="10">
        <v>969.32</v>
      </c>
      <c r="BW74" s="10">
        <v>2994.82</v>
      </c>
      <c r="BX74" s="10">
        <v>36.200000000000003</v>
      </c>
      <c r="BY74" s="4">
        <v>0</v>
      </c>
      <c r="BZ74" s="10">
        <v>48218.7</v>
      </c>
      <c r="CA74" s="10">
        <v>3804.93</v>
      </c>
      <c r="CB74" s="10">
        <v>44352.07</v>
      </c>
      <c r="CC74" s="10">
        <v>61.7</v>
      </c>
      <c r="CD74" s="10">
        <v>12855.92</v>
      </c>
      <c r="CE74" s="10">
        <v>-281.86</v>
      </c>
      <c r="CF74" s="4">
        <v>40292</v>
      </c>
      <c r="CG74" s="4" t="s">
        <v>102</v>
      </c>
      <c r="CH74" s="4">
        <v>40292</v>
      </c>
      <c r="CI74" s="4" t="s">
        <v>102</v>
      </c>
      <c r="CJ74" s="4" t="s">
        <v>102</v>
      </c>
      <c r="CK74" s="10">
        <v>13137.79</v>
      </c>
      <c r="CL74" s="4" t="s">
        <v>102</v>
      </c>
      <c r="CM74" s="4" t="s">
        <v>102</v>
      </c>
      <c r="CN74" s="10">
        <v>669364.03</v>
      </c>
      <c r="CO74" s="10">
        <v>101366.62</v>
      </c>
    </row>
    <row r="75" spans="1:93" ht="14.5" x14ac:dyDescent="0.35">
      <c r="A75" s="3" t="s">
        <v>75</v>
      </c>
      <c r="B75" s="11">
        <v>101522.29</v>
      </c>
      <c r="C75" s="11">
        <v>720.38</v>
      </c>
      <c r="D75" s="11">
        <v>168.71</v>
      </c>
      <c r="E75" s="11">
        <v>52.89</v>
      </c>
      <c r="F75" s="11">
        <v>329.96</v>
      </c>
      <c r="G75" s="11">
        <v>2462.5500000000002</v>
      </c>
      <c r="H75" s="11">
        <v>336.3</v>
      </c>
      <c r="I75" s="11">
        <v>393.08</v>
      </c>
      <c r="J75" s="11">
        <v>671.56</v>
      </c>
      <c r="K75" s="11">
        <v>248.25</v>
      </c>
      <c r="L75" s="11">
        <v>867.58</v>
      </c>
      <c r="M75" s="11">
        <f t="shared" si="78"/>
        <v>2069.8000000000002</v>
      </c>
      <c r="N75" s="11">
        <v>2069.8000000000002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1">
        <v>547.16999999999996</v>
      </c>
      <c r="X75" s="11">
        <v>875.54</v>
      </c>
      <c r="Y75" s="11">
        <v>773.9</v>
      </c>
      <c r="Z75" s="11">
        <v>995.19</v>
      </c>
      <c r="AA75" s="11">
        <v>1050.43</v>
      </c>
      <c r="AB75" s="11">
        <v>618.30999999999995</v>
      </c>
      <c r="AC75" s="11">
        <v>1067.6099999999999</v>
      </c>
      <c r="AD75" s="11">
        <v>1165.95</v>
      </c>
      <c r="AE75" s="11">
        <v>1836.39</v>
      </c>
      <c r="AF75" s="11">
        <v>259.08</v>
      </c>
      <c r="AG75" s="11">
        <v>460.12</v>
      </c>
      <c r="AH75" s="11">
        <v>450.19</v>
      </c>
      <c r="AI75" s="89">
        <f t="shared" si="79"/>
        <v>11514.62</v>
      </c>
      <c r="AJ75" s="11">
        <v>11514.62</v>
      </c>
      <c r="AK75" s="29"/>
      <c r="AL75" s="11">
        <v>623.45000000000005</v>
      </c>
      <c r="AM75" s="11">
        <v>1368.01</v>
      </c>
      <c r="AN75" s="11">
        <v>8599.6200000000008</v>
      </c>
      <c r="AO75" s="11">
        <v>831.91</v>
      </c>
      <c r="AP75" s="11">
        <v>2629.26</v>
      </c>
      <c r="AQ75" s="11">
        <v>2307.09</v>
      </c>
      <c r="AR75" s="11">
        <v>1664.75</v>
      </c>
      <c r="AS75" s="11">
        <v>215.44</v>
      </c>
      <c r="AT75" s="11">
        <v>276.95999999999998</v>
      </c>
      <c r="AU75" s="11">
        <v>1184.1600000000001</v>
      </c>
      <c r="AV75" s="11">
        <v>259.86</v>
      </c>
      <c r="AW75" s="11">
        <v>1607.06</v>
      </c>
      <c r="AX75" s="11">
        <v>315.66000000000003</v>
      </c>
      <c r="AY75" s="11">
        <v>356.57</v>
      </c>
      <c r="AZ75" s="11">
        <v>917.44</v>
      </c>
      <c r="BA75" s="11">
        <v>1901.13</v>
      </c>
      <c r="BB75" s="11">
        <v>1095.6400000000001</v>
      </c>
      <c r="BC75" s="11">
        <v>444.03</v>
      </c>
      <c r="BD75" s="11">
        <v>577.49</v>
      </c>
      <c r="BE75" s="11">
        <v>4112.7</v>
      </c>
      <c r="BF75" s="11">
        <v>6611.75</v>
      </c>
      <c r="BG75" s="11">
        <v>3611.74</v>
      </c>
      <c r="BH75" s="11">
        <v>1187.29</v>
      </c>
      <c r="BI75" s="5">
        <v>1191</v>
      </c>
      <c r="BJ75" s="11">
        <v>1240.56</v>
      </c>
      <c r="BK75" s="11">
        <v>1477.54</v>
      </c>
      <c r="BL75" s="11">
        <v>499.03</v>
      </c>
      <c r="BM75" s="11">
        <v>123.73</v>
      </c>
      <c r="BN75" s="11">
        <v>3643.7</v>
      </c>
      <c r="BO75" s="11">
        <v>12601.2</v>
      </c>
      <c r="BP75" s="11">
        <v>2509.0500000000002</v>
      </c>
      <c r="BQ75" s="11">
        <v>1958.43</v>
      </c>
      <c r="BR75" s="11">
        <v>1247.28</v>
      </c>
      <c r="BS75" s="11">
        <v>471.16</v>
      </c>
      <c r="BT75" s="11">
        <v>530.23</v>
      </c>
      <c r="BU75" s="11">
        <v>1076.22</v>
      </c>
      <c r="BV75" s="11">
        <v>52.62</v>
      </c>
      <c r="BW75" s="11">
        <v>258.83999999999997</v>
      </c>
      <c r="BX75" s="11">
        <v>7.14</v>
      </c>
      <c r="BY75" s="5">
        <v>0</v>
      </c>
      <c r="BZ75" s="11">
        <v>1205275.19</v>
      </c>
      <c r="CA75" s="11">
        <v>1177332.23</v>
      </c>
      <c r="CB75" s="11">
        <v>27534.83</v>
      </c>
      <c r="CC75" s="11">
        <v>408.13</v>
      </c>
      <c r="CD75" s="11">
        <v>4659.54</v>
      </c>
      <c r="CE75" s="11">
        <v>69.13</v>
      </c>
      <c r="CF75" s="11">
        <v>10616.71</v>
      </c>
      <c r="CG75" s="5" t="s">
        <v>102</v>
      </c>
      <c r="CH75" s="11">
        <v>10616.71</v>
      </c>
      <c r="CI75" s="5" t="s">
        <v>102</v>
      </c>
      <c r="CJ75" s="5" t="s">
        <v>102</v>
      </c>
      <c r="CK75" s="11">
        <v>4590.41</v>
      </c>
      <c r="CL75" s="5" t="s">
        <v>102</v>
      </c>
      <c r="CM75" s="5" t="s">
        <v>102</v>
      </c>
      <c r="CN75" s="11">
        <v>1322073.73</v>
      </c>
      <c r="CO75" s="11">
        <v>1220551.44</v>
      </c>
    </row>
    <row r="76" spans="1:93" ht="14.5" x14ac:dyDescent="0.35">
      <c r="A76" s="3" t="s">
        <v>76</v>
      </c>
      <c r="B76" s="10">
        <v>90900.79</v>
      </c>
      <c r="C76" s="10">
        <v>242.34</v>
      </c>
      <c r="D76" s="10">
        <v>48.07</v>
      </c>
      <c r="E76" s="10">
        <v>17.09</v>
      </c>
      <c r="F76" s="10">
        <v>112.34</v>
      </c>
      <c r="G76" s="10">
        <v>1125.8800000000001</v>
      </c>
      <c r="H76" s="10">
        <v>323.44</v>
      </c>
      <c r="I76" s="10">
        <v>107.92</v>
      </c>
      <c r="J76" s="10">
        <v>150.81</v>
      </c>
      <c r="K76" s="10">
        <v>61.57</v>
      </c>
      <c r="L76" s="10">
        <v>420.34</v>
      </c>
      <c r="M76" s="11">
        <f t="shared" si="78"/>
        <v>720.03</v>
      </c>
      <c r="N76" s="10">
        <v>720.03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0">
        <v>411.42</v>
      </c>
      <c r="X76" s="10">
        <v>279.26</v>
      </c>
      <c r="Y76" s="10">
        <v>245.38</v>
      </c>
      <c r="Z76" s="10">
        <v>261.77999999999997</v>
      </c>
      <c r="AA76" s="10">
        <v>700.83</v>
      </c>
      <c r="AB76" s="10">
        <v>460.89</v>
      </c>
      <c r="AC76" s="10">
        <v>664.17</v>
      </c>
      <c r="AD76" s="10">
        <v>955.27</v>
      </c>
      <c r="AE76" s="10">
        <v>2146.5500000000002</v>
      </c>
      <c r="AF76" s="10">
        <v>574.14</v>
      </c>
      <c r="AG76" s="10">
        <v>302.47000000000003</v>
      </c>
      <c r="AH76" s="10">
        <v>548.09</v>
      </c>
      <c r="AI76" s="89">
        <f t="shared" si="79"/>
        <v>768.59</v>
      </c>
      <c r="AJ76" s="10">
        <v>768.59</v>
      </c>
      <c r="AK76" s="29"/>
      <c r="AL76" s="10">
        <v>93.02</v>
      </c>
      <c r="AM76" s="10">
        <v>579.21</v>
      </c>
      <c r="AN76" s="10">
        <v>2053.14</v>
      </c>
      <c r="AO76" s="10">
        <v>826.9</v>
      </c>
      <c r="AP76" s="10">
        <v>2640.54</v>
      </c>
      <c r="AQ76" s="10">
        <v>1636.15</v>
      </c>
      <c r="AR76" s="10">
        <v>1555.02</v>
      </c>
      <c r="AS76" s="10">
        <v>597.70000000000005</v>
      </c>
      <c r="AT76" s="10">
        <v>617.11</v>
      </c>
      <c r="AU76" s="10">
        <v>1153.19</v>
      </c>
      <c r="AV76" s="10">
        <v>428.01</v>
      </c>
      <c r="AW76" s="10">
        <v>1073.31</v>
      </c>
      <c r="AX76" s="10">
        <v>429.5</v>
      </c>
      <c r="AY76" s="10">
        <v>282.61</v>
      </c>
      <c r="AZ76" s="10">
        <v>1000.98</v>
      </c>
      <c r="BA76" s="10">
        <v>3434.5</v>
      </c>
      <c r="BB76" s="10">
        <v>2083.4</v>
      </c>
      <c r="BC76" s="10">
        <v>764.16</v>
      </c>
      <c r="BD76" s="10">
        <v>471.51</v>
      </c>
      <c r="BE76" s="10">
        <v>1454.48</v>
      </c>
      <c r="BF76" s="10">
        <v>3806.89</v>
      </c>
      <c r="BG76" s="10">
        <v>898.27</v>
      </c>
      <c r="BH76" s="10">
        <v>3501.63</v>
      </c>
      <c r="BI76" s="10">
        <v>672.96</v>
      </c>
      <c r="BJ76" s="10">
        <v>689.47</v>
      </c>
      <c r="BK76" s="10">
        <v>1350.03</v>
      </c>
      <c r="BL76" s="10">
        <v>1037.8</v>
      </c>
      <c r="BM76" s="10">
        <v>152.72999999999999</v>
      </c>
      <c r="BN76" s="10">
        <v>1623.7</v>
      </c>
      <c r="BO76" s="10">
        <v>7838.63</v>
      </c>
      <c r="BP76" s="10">
        <v>25044.77</v>
      </c>
      <c r="BQ76" s="10">
        <v>4625.1499999999996</v>
      </c>
      <c r="BR76" s="10">
        <v>2072.4699999999998</v>
      </c>
      <c r="BS76" s="10">
        <v>680.4</v>
      </c>
      <c r="BT76" s="10">
        <v>782.97</v>
      </c>
      <c r="BU76" s="10">
        <v>970.72</v>
      </c>
      <c r="BV76" s="10">
        <v>114.26</v>
      </c>
      <c r="BW76" s="10">
        <v>207.96</v>
      </c>
      <c r="BX76" s="10">
        <v>6.93</v>
      </c>
      <c r="BY76" s="4">
        <v>0</v>
      </c>
      <c r="BZ76" s="10">
        <v>812084.32</v>
      </c>
      <c r="CA76" s="10">
        <v>681061.28</v>
      </c>
      <c r="CB76" s="10">
        <v>99886.720000000001</v>
      </c>
      <c r="CC76" s="10">
        <v>31136.31</v>
      </c>
      <c r="CD76" s="10">
        <v>15.39</v>
      </c>
      <c r="CE76" s="10">
        <v>7.95</v>
      </c>
      <c r="CF76" s="10">
        <v>705.87</v>
      </c>
      <c r="CG76" s="4" t="s">
        <v>102</v>
      </c>
      <c r="CH76" s="10">
        <v>705.87</v>
      </c>
      <c r="CI76" s="4" t="s">
        <v>102</v>
      </c>
      <c r="CJ76" s="4" t="s">
        <v>102</v>
      </c>
      <c r="CK76" s="10">
        <v>7.44</v>
      </c>
      <c r="CL76" s="4" t="s">
        <v>102</v>
      </c>
      <c r="CM76" s="4" t="s">
        <v>102</v>
      </c>
      <c r="CN76" s="10">
        <v>903706.36</v>
      </c>
      <c r="CO76" s="10">
        <v>812805.58</v>
      </c>
    </row>
    <row r="77" spans="1:93" ht="14.5" x14ac:dyDescent="0.35">
      <c r="A77" s="3" t="s">
        <v>77</v>
      </c>
      <c r="B77" s="11">
        <v>106344.66</v>
      </c>
      <c r="C77" s="11">
        <v>115.05</v>
      </c>
      <c r="D77" s="11">
        <v>25.9</v>
      </c>
      <c r="E77" s="11">
        <v>13.67</v>
      </c>
      <c r="F77" s="11">
        <v>85.22</v>
      </c>
      <c r="G77" s="11">
        <v>347.13</v>
      </c>
      <c r="H77" s="11">
        <v>83.17</v>
      </c>
      <c r="I77" s="11">
        <v>49.92</v>
      </c>
      <c r="J77" s="11">
        <v>59.2</v>
      </c>
      <c r="K77" s="11">
        <v>29.36</v>
      </c>
      <c r="L77" s="11">
        <v>123.27</v>
      </c>
      <c r="M77" s="11">
        <f t="shared" si="78"/>
        <v>182.05</v>
      </c>
      <c r="N77" s="11">
        <v>182.05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1">
        <v>437.36</v>
      </c>
      <c r="X77" s="11">
        <v>106.63</v>
      </c>
      <c r="Y77" s="11">
        <v>80.349999999999994</v>
      </c>
      <c r="Z77" s="11">
        <v>120.16</v>
      </c>
      <c r="AA77" s="11">
        <v>172.81</v>
      </c>
      <c r="AB77" s="11">
        <v>95.63</v>
      </c>
      <c r="AC77" s="11">
        <v>170.9</v>
      </c>
      <c r="AD77" s="11">
        <v>210.78</v>
      </c>
      <c r="AE77" s="11">
        <v>346.62</v>
      </c>
      <c r="AF77" s="11">
        <v>109.58</v>
      </c>
      <c r="AG77" s="11">
        <v>190.9</v>
      </c>
      <c r="AH77" s="11">
        <v>182.28</v>
      </c>
      <c r="AI77" s="89">
        <f t="shared" si="79"/>
        <v>183.11</v>
      </c>
      <c r="AJ77" s="11">
        <v>183.11</v>
      </c>
      <c r="AK77" s="29"/>
      <c r="AL77" s="11">
        <v>59.68</v>
      </c>
      <c r="AM77" s="11">
        <v>546.36</v>
      </c>
      <c r="AN77" s="11">
        <v>817.21</v>
      </c>
      <c r="AO77" s="11">
        <v>177.98</v>
      </c>
      <c r="AP77" s="11">
        <v>1251.8599999999999</v>
      </c>
      <c r="AQ77" s="11">
        <v>710.61</v>
      </c>
      <c r="AR77" s="11">
        <v>496.98</v>
      </c>
      <c r="AS77" s="11">
        <v>45.39</v>
      </c>
      <c r="AT77" s="11">
        <v>165.4</v>
      </c>
      <c r="AU77" s="11">
        <v>444.99</v>
      </c>
      <c r="AV77" s="11">
        <v>84.55</v>
      </c>
      <c r="AW77" s="11">
        <v>703.63</v>
      </c>
      <c r="AX77" s="11">
        <v>159.38999999999999</v>
      </c>
      <c r="AY77" s="11">
        <v>92.47</v>
      </c>
      <c r="AZ77" s="11">
        <v>238.81</v>
      </c>
      <c r="BA77" s="11">
        <v>815.36</v>
      </c>
      <c r="BB77" s="11">
        <v>404.63</v>
      </c>
      <c r="BC77" s="11">
        <v>375.38</v>
      </c>
      <c r="BD77" s="11">
        <v>329.25</v>
      </c>
      <c r="BE77" s="11">
        <v>417.42</v>
      </c>
      <c r="BF77" s="11">
        <v>823.13</v>
      </c>
      <c r="BG77" s="11">
        <v>283.31</v>
      </c>
      <c r="BH77" s="11">
        <v>940.94</v>
      </c>
      <c r="BI77" s="11">
        <v>1563.49</v>
      </c>
      <c r="BJ77" s="11">
        <v>995.41</v>
      </c>
      <c r="BK77" s="11">
        <v>337.72</v>
      </c>
      <c r="BL77" s="11">
        <v>411.54</v>
      </c>
      <c r="BM77" s="11">
        <v>128.57</v>
      </c>
      <c r="BN77" s="11">
        <v>2551.67</v>
      </c>
      <c r="BO77" s="11">
        <v>15914.09</v>
      </c>
      <c r="BP77" s="11">
        <v>1793.32</v>
      </c>
      <c r="BQ77" s="11">
        <v>58282.37</v>
      </c>
      <c r="BR77" s="11">
        <v>9260.42</v>
      </c>
      <c r="BS77" s="11">
        <v>224.59</v>
      </c>
      <c r="BT77" s="11">
        <v>465.82</v>
      </c>
      <c r="BU77" s="11">
        <v>236.25</v>
      </c>
      <c r="BV77" s="11">
        <v>54.14</v>
      </c>
      <c r="BW77" s="11">
        <v>211.02</v>
      </c>
      <c r="BX77" s="11">
        <v>8.5399999999999991</v>
      </c>
      <c r="BY77" s="5">
        <v>0</v>
      </c>
      <c r="BZ77" s="11">
        <v>1130251.8400000001</v>
      </c>
      <c r="CA77" s="11">
        <v>891407.14</v>
      </c>
      <c r="CB77" s="11">
        <v>231554.44</v>
      </c>
      <c r="CC77" s="11">
        <v>7290.27</v>
      </c>
      <c r="CD77" s="11">
        <v>8.5399999999999991</v>
      </c>
      <c r="CE77" s="11">
        <v>6.13</v>
      </c>
      <c r="CF77" s="11">
        <v>1338.2</v>
      </c>
      <c r="CG77" s="5" t="s">
        <v>102</v>
      </c>
      <c r="CH77" s="11">
        <v>1338.2</v>
      </c>
      <c r="CI77" s="5" t="s">
        <v>102</v>
      </c>
      <c r="CJ77" s="5" t="s">
        <v>102</v>
      </c>
      <c r="CK77" s="11">
        <v>2.41</v>
      </c>
      <c r="CL77" s="5" t="s">
        <v>102</v>
      </c>
      <c r="CM77" s="5" t="s">
        <v>102</v>
      </c>
      <c r="CN77" s="11">
        <v>1237943.25</v>
      </c>
      <c r="CO77" s="11">
        <v>1131598.5900000001</v>
      </c>
    </row>
    <row r="78" spans="1:93" ht="14.5" x14ac:dyDescent="0.35">
      <c r="A78" s="3" t="s">
        <v>78</v>
      </c>
      <c r="B78" s="10">
        <v>15118.65</v>
      </c>
      <c r="C78" s="10">
        <v>3.06</v>
      </c>
      <c r="D78" s="10">
        <v>0.71</v>
      </c>
      <c r="E78" s="10">
        <v>0.43</v>
      </c>
      <c r="F78" s="10">
        <v>0.92</v>
      </c>
      <c r="G78" s="10">
        <v>9.43</v>
      </c>
      <c r="H78" s="10">
        <v>10.85</v>
      </c>
      <c r="I78" s="10">
        <v>1.01</v>
      </c>
      <c r="J78" s="10">
        <v>3.78</v>
      </c>
      <c r="K78" s="10">
        <v>1.1599999999999999</v>
      </c>
      <c r="L78" s="10">
        <v>1.64</v>
      </c>
      <c r="M78" s="11">
        <f t="shared" si="78"/>
        <v>3.62</v>
      </c>
      <c r="N78" s="10">
        <v>3.62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0">
        <v>3.25</v>
      </c>
      <c r="X78" s="10">
        <v>1.32</v>
      </c>
      <c r="Y78" s="10">
        <v>1.02</v>
      </c>
      <c r="Z78" s="10">
        <v>1.8</v>
      </c>
      <c r="AA78" s="10">
        <v>5.19</v>
      </c>
      <c r="AB78" s="10">
        <v>1.92</v>
      </c>
      <c r="AC78" s="10">
        <v>1.23</v>
      </c>
      <c r="AD78" s="10">
        <v>2.62</v>
      </c>
      <c r="AE78" s="10">
        <v>4.3499999999999996</v>
      </c>
      <c r="AF78" s="10">
        <v>10.84</v>
      </c>
      <c r="AG78" s="10">
        <v>14.4</v>
      </c>
      <c r="AH78" s="10">
        <v>6.9</v>
      </c>
      <c r="AI78" s="89">
        <f t="shared" si="79"/>
        <v>4.1900000000000004</v>
      </c>
      <c r="AJ78" s="10">
        <v>4.1900000000000004</v>
      </c>
      <c r="AK78" s="29"/>
      <c r="AL78" s="10">
        <v>1.93</v>
      </c>
      <c r="AM78" s="10">
        <v>24.32</v>
      </c>
      <c r="AN78" s="10">
        <v>16.649999999999999</v>
      </c>
      <c r="AO78" s="10">
        <v>1.23</v>
      </c>
      <c r="AP78" s="10">
        <v>17.670000000000002</v>
      </c>
      <c r="AQ78" s="10">
        <v>86.42</v>
      </c>
      <c r="AR78" s="10">
        <v>48.02</v>
      </c>
      <c r="AS78" s="10">
        <v>2.88</v>
      </c>
      <c r="AT78" s="10">
        <v>1.93</v>
      </c>
      <c r="AU78" s="10">
        <v>22.95</v>
      </c>
      <c r="AV78" s="10">
        <v>3.72</v>
      </c>
      <c r="AW78" s="10">
        <v>87.83</v>
      </c>
      <c r="AX78" s="10">
        <v>48.35</v>
      </c>
      <c r="AY78" s="10">
        <v>7.96</v>
      </c>
      <c r="AZ78" s="10">
        <v>3.33</v>
      </c>
      <c r="BA78" s="10">
        <v>87.8</v>
      </c>
      <c r="BB78" s="10">
        <v>24.57</v>
      </c>
      <c r="BC78" s="10">
        <v>1.45</v>
      </c>
      <c r="BD78" s="10">
        <v>4.58</v>
      </c>
      <c r="BE78" s="10">
        <v>48.69</v>
      </c>
      <c r="BF78" s="10">
        <v>229.32</v>
      </c>
      <c r="BG78" s="10">
        <v>7.55</v>
      </c>
      <c r="BH78" s="10">
        <v>100.65</v>
      </c>
      <c r="BI78" s="10">
        <v>1517.76</v>
      </c>
      <c r="BJ78" s="10">
        <v>361.18</v>
      </c>
      <c r="BK78" s="10">
        <v>30.88</v>
      </c>
      <c r="BL78" s="10">
        <v>15.03</v>
      </c>
      <c r="BM78" s="4">
        <v>26</v>
      </c>
      <c r="BN78" s="10">
        <v>1722.11</v>
      </c>
      <c r="BO78" s="10">
        <v>910.43</v>
      </c>
      <c r="BP78" s="10">
        <v>466.94</v>
      </c>
      <c r="BQ78" s="10">
        <v>3413.25</v>
      </c>
      <c r="BR78" s="10">
        <v>4943.93</v>
      </c>
      <c r="BS78" s="10">
        <v>557.29</v>
      </c>
      <c r="BT78" s="10">
        <v>106.16</v>
      </c>
      <c r="BU78" s="10">
        <v>45.91</v>
      </c>
      <c r="BV78" s="4">
        <v>2</v>
      </c>
      <c r="BW78" s="10">
        <v>24.35</v>
      </c>
      <c r="BX78" s="4">
        <v>0</v>
      </c>
      <c r="BY78" s="4">
        <v>0</v>
      </c>
      <c r="BZ78" s="10">
        <v>525095.32999999996</v>
      </c>
      <c r="CA78" s="10">
        <v>326756.59999999998</v>
      </c>
      <c r="CB78" s="10">
        <v>128537.76</v>
      </c>
      <c r="CC78" s="10">
        <v>69800.97</v>
      </c>
      <c r="CD78" s="10">
        <v>2.33</v>
      </c>
      <c r="CE78" s="10">
        <v>1.1200000000000001</v>
      </c>
      <c r="CF78" s="10">
        <v>68.400000000000006</v>
      </c>
      <c r="CG78" s="4" t="s">
        <v>102</v>
      </c>
      <c r="CH78" s="10">
        <v>68.400000000000006</v>
      </c>
      <c r="CI78" s="4" t="s">
        <v>102</v>
      </c>
      <c r="CJ78" s="4" t="s">
        <v>102</v>
      </c>
      <c r="CK78" s="10">
        <v>1.21</v>
      </c>
      <c r="CL78" s="4" t="s">
        <v>102</v>
      </c>
      <c r="CM78" s="4" t="s">
        <v>102</v>
      </c>
      <c r="CN78" s="10">
        <v>540284.71</v>
      </c>
      <c r="CO78" s="10">
        <v>525166.06000000006</v>
      </c>
    </row>
    <row r="79" spans="1:93" ht="14.5" x14ac:dyDescent="0.35">
      <c r="A79" s="3" t="s">
        <v>79</v>
      </c>
      <c r="B79" s="11">
        <v>46277.87</v>
      </c>
      <c r="C79" s="11">
        <v>12.79</v>
      </c>
      <c r="D79" s="11">
        <v>2.15</v>
      </c>
      <c r="E79" s="11">
        <v>9.0399999999999991</v>
      </c>
      <c r="F79" s="11">
        <v>13.3</v>
      </c>
      <c r="G79" s="11">
        <v>642.46</v>
      </c>
      <c r="H79" s="11">
        <v>257.79000000000002</v>
      </c>
      <c r="I79" s="11">
        <v>33.99</v>
      </c>
      <c r="J79" s="11">
        <v>165.2</v>
      </c>
      <c r="K79" s="11">
        <v>181.46</v>
      </c>
      <c r="L79" s="11">
        <v>118.61</v>
      </c>
      <c r="M79" s="11">
        <f t="shared" si="78"/>
        <v>74.27</v>
      </c>
      <c r="N79" s="11">
        <v>74.27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1">
        <v>128.26</v>
      </c>
      <c r="X79" s="11">
        <v>51.4</v>
      </c>
      <c r="Y79" s="11">
        <v>38.630000000000003</v>
      </c>
      <c r="Z79" s="11">
        <v>73.94</v>
      </c>
      <c r="AA79" s="11">
        <v>82.31</v>
      </c>
      <c r="AB79" s="11">
        <v>78.569999999999993</v>
      </c>
      <c r="AC79" s="11">
        <v>68.819999999999993</v>
      </c>
      <c r="AD79" s="11">
        <v>63.52</v>
      </c>
      <c r="AE79" s="11">
        <v>36.97</v>
      </c>
      <c r="AF79" s="11">
        <v>64.47</v>
      </c>
      <c r="AG79" s="11">
        <v>132.18</v>
      </c>
      <c r="AH79" s="11">
        <v>113.74</v>
      </c>
      <c r="AI79" s="89">
        <f t="shared" si="79"/>
        <v>110.23</v>
      </c>
      <c r="AJ79" s="11">
        <v>110.23</v>
      </c>
      <c r="AK79" s="29"/>
      <c r="AL79" s="11">
        <v>9.26</v>
      </c>
      <c r="AM79" s="11">
        <v>81.12</v>
      </c>
      <c r="AN79" s="11">
        <v>897.18</v>
      </c>
      <c r="AO79" s="11">
        <v>226.92</v>
      </c>
      <c r="AP79" s="11">
        <v>413.87</v>
      </c>
      <c r="AQ79" s="11">
        <v>764.8</v>
      </c>
      <c r="AR79" s="11">
        <v>337.13</v>
      </c>
      <c r="AS79" s="11">
        <v>39.520000000000003</v>
      </c>
      <c r="AT79" s="11">
        <v>19.559999999999999</v>
      </c>
      <c r="AU79" s="11">
        <v>271.31</v>
      </c>
      <c r="AV79" s="11">
        <v>35.53</v>
      </c>
      <c r="AW79" s="11">
        <v>4870.7700000000004</v>
      </c>
      <c r="AX79" s="11">
        <v>1700.57</v>
      </c>
      <c r="AY79" s="11">
        <v>3117.82</v>
      </c>
      <c r="AZ79" s="11">
        <v>269.58</v>
      </c>
      <c r="BA79" s="11">
        <v>759.39</v>
      </c>
      <c r="BB79" s="11">
        <v>358.15</v>
      </c>
      <c r="BC79" s="11">
        <v>31.34</v>
      </c>
      <c r="BD79" s="11">
        <v>61.19</v>
      </c>
      <c r="BE79" s="11">
        <v>319.39999999999998</v>
      </c>
      <c r="BF79" s="11">
        <v>890.91</v>
      </c>
      <c r="BG79" s="11">
        <v>159.44</v>
      </c>
      <c r="BH79" s="11">
        <v>287.39</v>
      </c>
      <c r="BI79" s="11">
        <v>427.33</v>
      </c>
      <c r="BJ79" s="11">
        <v>430.72</v>
      </c>
      <c r="BK79" s="11">
        <v>486.32</v>
      </c>
      <c r="BL79" s="11">
        <v>177.91</v>
      </c>
      <c r="BM79" s="5">
        <v>523</v>
      </c>
      <c r="BN79" s="11">
        <v>818.78</v>
      </c>
      <c r="BO79" s="11">
        <v>1404.73</v>
      </c>
      <c r="BP79" s="11">
        <v>1036.32</v>
      </c>
      <c r="BQ79" s="11">
        <v>88.03</v>
      </c>
      <c r="BR79" s="11">
        <v>242.33</v>
      </c>
      <c r="BS79" s="11">
        <v>18761.3</v>
      </c>
      <c r="BT79" s="11">
        <v>2710.23</v>
      </c>
      <c r="BU79" s="11">
        <v>582.77</v>
      </c>
      <c r="BV79" s="11">
        <v>45.3</v>
      </c>
      <c r="BW79" s="11">
        <v>59.74</v>
      </c>
      <c r="BX79" s="11">
        <v>6.83</v>
      </c>
      <c r="BY79" s="5">
        <v>0</v>
      </c>
      <c r="BZ79" s="11">
        <v>164710.39999999999</v>
      </c>
      <c r="CA79" s="11">
        <v>61871.19</v>
      </c>
      <c r="CB79" s="11">
        <v>95115.28</v>
      </c>
      <c r="CC79" s="11">
        <v>7723.93</v>
      </c>
      <c r="CD79" s="11">
        <v>7105.19</v>
      </c>
      <c r="CE79" s="11">
        <v>2254.25</v>
      </c>
      <c r="CF79" s="11">
        <v>6542.17</v>
      </c>
      <c r="CG79" s="5" t="s">
        <v>102</v>
      </c>
      <c r="CH79" s="11">
        <v>6542.17</v>
      </c>
      <c r="CI79" s="5" t="s">
        <v>102</v>
      </c>
      <c r="CJ79" s="5" t="s">
        <v>102</v>
      </c>
      <c r="CK79" s="11">
        <v>4850.9399999999996</v>
      </c>
      <c r="CL79" s="5" t="s">
        <v>102</v>
      </c>
      <c r="CM79" s="5" t="s">
        <v>102</v>
      </c>
      <c r="CN79" s="11">
        <v>224635.63</v>
      </c>
      <c r="CO79" s="11">
        <v>178357.76000000001</v>
      </c>
    </row>
    <row r="80" spans="1:93" ht="14.5" x14ac:dyDescent="0.35">
      <c r="A80" s="3" t="s">
        <v>80</v>
      </c>
      <c r="B80" s="10">
        <v>56829.64</v>
      </c>
      <c r="C80" s="10">
        <v>62.35</v>
      </c>
      <c r="D80" s="10">
        <v>9.32</v>
      </c>
      <c r="E80" s="10">
        <v>13.27</v>
      </c>
      <c r="F80" s="10">
        <v>30.89</v>
      </c>
      <c r="G80" s="10">
        <v>913.04</v>
      </c>
      <c r="H80" s="10">
        <v>173.42</v>
      </c>
      <c r="I80" s="10">
        <v>35.44</v>
      </c>
      <c r="J80" s="10">
        <v>97.89</v>
      </c>
      <c r="K80" s="10">
        <v>107.77</v>
      </c>
      <c r="L80" s="10">
        <v>106.26</v>
      </c>
      <c r="M80" s="11">
        <f t="shared" si="78"/>
        <v>152.87</v>
      </c>
      <c r="N80" s="10">
        <v>152.87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0">
        <v>158.32</v>
      </c>
      <c r="X80" s="10">
        <v>68.069999999999993</v>
      </c>
      <c r="Y80" s="10">
        <v>57.44</v>
      </c>
      <c r="Z80" s="10">
        <v>98.01</v>
      </c>
      <c r="AA80" s="10">
        <v>110.66</v>
      </c>
      <c r="AB80" s="10">
        <v>59.56</v>
      </c>
      <c r="AC80" s="10">
        <v>91.44</v>
      </c>
      <c r="AD80" s="10">
        <v>140.88</v>
      </c>
      <c r="AE80" s="10">
        <v>201.38</v>
      </c>
      <c r="AF80" s="10">
        <v>123.65</v>
      </c>
      <c r="AG80" s="10">
        <v>126.61</v>
      </c>
      <c r="AH80" s="10">
        <v>149.69</v>
      </c>
      <c r="AI80" s="89">
        <f t="shared" si="79"/>
        <v>218.1</v>
      </c>
      <c r="AJ80" s="10">
        <v>218.1</v>
      </c>
      <c r="AK80" s="29"/>
      <c r="AL80" s="10">
        <v>31.8</v>
      </c>
      <c r="AM80" s="10">
        <v>175.07</v>
      </c>
      <c r="AN80" s="10">
        <v>991.35</v>
      </c>
      <c r="AO80" s="10">
        <v>196.07</v>
      </c>
      <c r="AP80" s="10">
        <v>3292.02</v>
      </c>
      <c r="AQ80" s="10">
        <v>1347.66</v>
      </c>
      <c r="AR80" s="10">
        <v>363.12</v>
      </c>
      <c r="AS80" s="10">
        <v>116.56</v>
      </c>
      <c r="AT80" s="10">
        <v>44.2</v>
      </c>
      <c r="AU80" s="10">
        <v>336.5</v>
      </c>
      <c r="AV80" s="10">
        <v>70.97</v>
      </c>
      <c r="AW80" s="10">
        <v>5293.5</v>
      </c>
      <c r="AX80" s="10">
        <v>165.07</v>
      </c>
      <c r="AY80" s="10">
        <v>1393.74</v>
      </c>
      <c r="AZ80" s="10">
        <v>389.81</v>
      </c>
      <c r="BA80" s="10">
        <v>694.15</v>
      </c>
      <c r="BB80" s="10">
        <v>628.29999999999995</v>
      </c>
      <c r="BC80" s="10">
        <v>150.35</v>
      </c>
      <c r="BD80" s="10">
        <v>160.72999999999999</v>
      </c>
      <c r="BE80" s="10">
        <v>349.35</v>
      </c>
      <c r="BF80" s="10">
        <v>849.12</v>
      </c>
      <c r="BG80" s="10">
        <v>230.67</v>
      </c>
      <c r="BH80" s="10">
        <v>299.56</v>
      </c>
      <c r="BI80" s="10">
        <v>735.04</v>
      </c>
      <c r="BJ80" s="10">
        <v>181.22</v>
      </c>
      <c r="BK80" s="10">
        <v>1066.8699999999999</v>
      </c>
      <c r="BL80" s="10">
        <v>108.82</v>
      </c>
      <c r="BM80" s="10">
        <v>574.35</v>
      </c>
      <c r="BN80" s="10">
        <v>855.64</v>
      </c>
      <c r="BO80" s="10">
        <v>5994.59</v>
      </c>
      <c r="BP80" s="10">
        <v>1832.9</v>
      </c>
      <c r="BQ80" s="10">
        <v>443.85</v>
      </c>
      <c r="BR80" s="10">
        <v>446.05</v>
      </c>
      <c r="BS80" s="10">
        <v>4952.8500000000004</v>
      </c>
      <c r="BT80" s="10">
        <v>16565.560000000001</v>
      </c>
      <c r="BU80" s="10">
        <v>1368.68</v>
      </c>
      <c r="BV80" s="10">
        <v>92.43</v>
      </c>
      <c r="BW80" s="10">
        <v>733.21</v>
      </c>
      <c r="BX80" s="10">
        <v>1.59</v>
      </c>
      <c r="BY80" s="4">
        <v>0</v>
      </c>
      <c r="BZ80" s="10">
        <v>108822.37</v>
      </c>
      <c r="CA80" s="10">
        <v>37333.33</v>
      </c>
      <c r="CB80" s="10">
        <v>54318.99</v>
      </c>
      <c r="CC80" s="10">
        <v>17170.05</v>
      </c>
      <c r="CD80" s="10">
        <v>-2.93</v>
      </c>
      <c r="CE80" s="10">
        <v>-7.85</v>
      </c>
      <c r="CF80" s="10">
        <v>660.87</v>
      </c>
      <c r="CG80" s="4" t="s">
        <v>102</v>
      </c>
      <c r="CH80" s="10">
        <v>660.87</v>
      </c>
      <c r="CI80" s="4" t="s">
        <v>102</v>
      </c>
      <c r="CJ80" s="4" t="s">
        <v>102</v>
      </c>
      <c r="CK80" s="10">
        <v>4.92</v>
      </c>
      <c r="CL80" s="4" t="s">
        <v>102</v>
      </c>
      <c r="CM80" s="4" t="s">
        <v>102</v>
      </c>
      <c r="CN80" s="10">
        <v>166309.94</v>
      </c>
      <c r="CO80" s="10">
        <v>109480.3</v>
      </c>
    </row>
    <row r="81" spans="1:93" ht="14.5" x14ac:dyDescent="0.35">
      <c r="A81" s="3" t="s">
        <v>81</v>
      </c>
      <c r="B81" s="11">
        <v>40535.919999999998</v>
      </c>
      <c r="C81" s="11">
        <v>727.64</v>
      </c>
      <c r="D81" s="11">
        <v>29.45</v>
      </c>
      <c r="E81" s="11">
        <v>246.16</v>
      </c>
      <c r="F81" s="11">
        <v>97.89</v>
      </c>
      <c r="G81" s="11">
        <v>939.93</v>
      </c>
      <c r="H81" s="11">
        <v>203.82</v>
      </c>
      <c r="I81" s="11">
        <v>82.15</v>
      </c>
      <c r="J81" s="11">
        <v>176.09</v>
      </c>
      <c r="K81" s="11">
        <v>105.72</v>
      </c>
      <c r="L81" s="11">
        <v>621.79</v>
      </c>
      <c r="M81" s="11">
        <f t="shared" si="78"/>
        <v>517.53</v>
      </c>
      <c r="N81" s="11">
        <v>517.53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1">
        <v>235.64</v>
      </c>
      <c r="X81" s="11">
        <v>197.07</v>
      </c>
      <c r="Y81" s="11">
        <v>206.56</v>
      </c>
      <c r="Z81" s="11">
        <v>318.26</v>
      </c>
      <c r="AA81" s="11">
        <v>352.16</v>
      </c>
      <c r="AB81" s="11">
        <v>165.66</v>
      </c>
      <c r="AC81" s="11">
        <v>199.52</v>
      </c>
      <c r="AD81" s="11">
        <v>308.61</v>
      </c>
      <c r="AE81" s="11">
        <v>312.04000000000002</v>
      </c>
      <c r="AF81" s="11">
        <v>115.55</v>
      </c>
      <c r="AG81" s="11">
        <v>198.24</v>
      </c>
      <c r="AH81" s="11">
        <v>198.95</v>
      </c>
      <c r="AI81" s="89">
        <f t="shared" si="79"/>
        <v>673.22</v>
      </c>
      <c r="AJ81" s="11">
        <v>673.22</v>
      </c>
      <c r="AK81" s="29"/>
      <c r="AL81" s="11">
        <v>104.22</v>
      </c>
      <c r="AM81" s="11">
        <v>509.63</v>
      </c>
      <c r="AN81" s="11">
        <v>2048.54</v>
      </c>
      <c r="AO81" s="11">
        <v>776.17</v>
      </c>
      <c r="AP81" s="11">
        <v>2371.85</v>
      </c>
      <c r="AQ81" s="11">
        <v>2288.48</v>
      </c>
      <c r="AR81" s="11">
        <v>827.47</v>
      </c>
      <c r="AS81" s="11">
        <v>89.48</v>
      </c>
      <c r="AT81" s="11">
        <v>58.44</v>
      </c>
      <c r="AU81" s="11">
        <v>999.78</v>
      </c>
      <c r="AV81" s="11">
        <v>118.39</v>
      </c>
      <c r="AW81" s="11">
        <v>1049.7</v>
      </c>
      <c r="AX81" s="11">
        <v>485.34</v>
      </c>
      <c r="AY81" s="11">
        <v>164.59</v>
      </c>
      <c r="AZ81" s="11">
        <v>1061.82</v>
      </c>
      <c r="BA81" s="11">
        <v>1257.67</v>
      </c>
      <c r="BB81" s="11">
        <v>838.85</v>
      </c>
      <c r="BC81" s="11">
        <v>418.2</v>
      </c>
      <c r="BD81" s="11">
        <v>865.72</v>
      </c>
      <c r="BE81" s="11">
        <v>608.34</v>
      </c>
      <c r="BF81" s="11">
        <v>3731.16</v>
      </c>
      <c r="BG81" s="11">
        <v>834.28</v>
      </c>
      <c r="BH81" s="11">
        <v>584.52</v>
      </c>
      <c r="BI81" s="11">
        <v>486.61</v>
      </c>
      <c r="BJ81" s="11">
        <v>340.08</v>
      </c>
      <c r="BK81" s="11">
        <v>561.6</v>
      </c>
      <c r="BL81" s="11">
        <v>369.41</v>
      </c>
      <c r="BM81" s="11">
        <v>148.79</v>
      </c>
      <c r="BN81" s="11">
        <v>1402.5</v>
      </c>
      <c r="BO81" s="11">
        <v>714.34</v>
      </c>
      <c r="BP81" s="11">
        <v>1180.03</v>
      </c>
      <c r="BQ81" s="11">
        <v>2009.57</v>
      </c>
      <c r="BR81" s="11">
        <v>1161.54</v>
      </c>
      <c r="BS81" s="11">
        <v>410.6</v>
      </c>
      <c r="BT81" s="11">
        <v>512.29</v>
      </c>
      <c r="BU81" s="5">
        <v>1439</v>
      </c>
      <c r="BV81" s="11">
        <v>39.81</v>
      </c>
      <c r="BW81" s="11">
        <v>436.61</v>
      </c>
      <c r="BX81" s="11">
        <v>0.92</v>
      </c>
      <c r="BY81" s="5">
        <v>0</v>
      </c>
      <c r="BZ81" s="11">
        <v>109925.51</v>
      </c>
      <c r="CA81" s="11">
        <v>14453.42</v>
      </c>
      <c r="CB81" s="11">
        <v>10258.120000000001</v>
      </c>
      <c r="CC81" s="11">
        <v>85213.97</v>
      </c>
      <c r="CD81" s="11">
        <v>9.9700000000000006</v>
      </c>
      <c r="CE81" s="11">
        <v>5.58</v>
      </c>
      <c r="CF81" s="11">
        <v>244.47</v>
      </c>
      <c r="CG81" s="5" t="s">
        <v>102</v>
      </c>
      <c r="CH81" s="11">
        <v>244.47</v>
      </c>
      <c r="CI81" s="5" t="s">
        <v>102</v>
      </c>
      <c r="CJ81" s="5" t="s">
        <v>102</v>
      </c>
      <c r="CK81" s="11">
        <v>4.3899999999999997</v>
      </c>
      <c r="CL81" s="5" t="s">
        <v>102</v>
      </c>
      <c r="CM81" s="5" t="s">
        <v>102</v>
      </c>
      <c r="CN81" s="11">
        <v>150715.85999999999</v>
      </c>
      <c r="CO81" s="11">
        <v>110179.94</v>
      </c>
    </row>
    <row r="82" spans="1:93" ht="14.5" x14ac:dyDescent="0.35">
      <c r="A82" s="3" t="s">
        <v>82</v>
      </c>
      <c r="B82" s="10">
        <v>24485.03</v>
      </c>
      <c r="C82" s="10">
        <v>71.95</v>
      </c>
      <c r="D82" s="10">
        <v>36.74</v>
      </c>
      <c r="E82" s="10">
        <v>64.13</v>
      </c>
      <c r="F82" s="10">
        <v>53.41</v>
      </c>
      <c r="G82" s="10">
        <v>611.30999999999995</v>
      </c>
      <c r="H82" s="10">
        <v>138.58000000000001</v>
      </c>
      <c r="I82" s="10">
        <v>84.44</v>
      </c>
      <c r="J82" s="10">
        <v>137.30000000000001</v>
      </c>
      <c r="K82" s="10">
        <v>54.31</v>
      </c>
      <c r="L82" s="10">
        <v>265.33999999999997</v>
      </c>
      <c r="M82" s="11">
        <f t="shared" si="78"/>
        <v>237.93</v>
      </c>
      <c r="N82" s="10">
        <v>237.93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0">
        <v>101.86</v>
      </c>
      <c r="X82" s="10">
        <v>163.63999999999999</v>
      </c>
      <c r="Y82" s="10">
        <v>182.61</v>
      </c>
      <c r="Z82" s="10">
        <v>159.08000000000001</v>
      </c>
      <c r="AA82" s="10">
        <v>269.63</v>
      </c>
      <c r="AB82" s="10">
        <v>351.6</v>
      </c>
      <c r="AC82" s="10">
        <v>208.82</v>
      </c>
      <c r="AD82" s="10">
        <v>316.5</v>
      </c>
      <c r="AE82" s="10">
        <v>346.86</v>
      </c>
      <c r="AF82" s="10">
        <v>210.91</v>
      </c>
      <c r="AG82" s="10">
        <v>292.58999999999997</v>
      </c>
      <c r="AH82" s="10">
        <v>381.29</v>
      </c>
      <c r="AI82" s="89">
        <f t="shared" si="79"/>
        <v>368.9</v>
      </c>
      <c r="AJ82" s="10">
        <v>368.9</v>
      </c>
      <c r="AK82" s="29"/>
      <c r="AL82" s="10">
        <v>109.52</v>
      </c>
      <c r="AM82" s="10">
        <v>191.15</v>
      </c>
      <c r="AN82" s="10">
        <v>579.69000000000005</v>
      </c>
      <c r="AO82" s="10">
        <v>158.94999999999999</v>
      </c>
      <c r="AP82" s="10">
        <v>1460.95</v>
      </c>
      <c r="AQ82" s="10">
        <v>1636.69</v>
      </c>
      <c r="AR82" s="10">
        <v>431.33</v>
      </c>
      <c r="AS82" s="10">
        <v>75.790000000000006</v>
      </c>
      <c r="AT82" s="10">
        <v>188.01</v>
      </c>
      <c r="AU82" s="10">
        <v>375.97</v>
      </c>
      <c r="AV82" s="10">
        <v>126.76</v>
      </c>
      <c r="AW82" s="10">
        <v>834.89</v>
      </c>
      <c r="AX82" s="10">
        <v>158.63999999999999</v>
      </c>
      <c r="AY82" s="10">
        <v>341.56</v>
      </c>
      <c r="AZ82" s="10">
        <v>994.5</v>
      </c>
      <c r="BA82" s="10">
        <v>1411.22</v>
      </c>
      <c r="BB82" s="10">
        <v>618.64</v>
      </c>
      <c r="BC82" s="10">
        <v>226.95</v>
      </c>
      <c r="BD82" s="10">
        <v>286.74</v>
      </c>
      <c r="BE82" s="10">
        <v>436.22</v>
      </c>
      <c r="BF82" s="10">
        <v>1580.72</v>
      </c>
      <c r="BG82" s="10">
        <v>374.24</v>
      </c>
      <c r="BH82" s="10">
        <v>239.13</v>
      </c>
      <c r="BI82" s="10">
        <v>251.19</v>
      </c>
      <c r="BJ82" s="10">
        <v>687.43</v>
      </c>
      <c r="BK82" s="10">
        <v>652.72</v>
      </c>
      <c r="BL82" s="10">
        <v>54.45</v>
      </c>
      <c r="BM82" s="10">
        <v>156.1</v>
      </c>
      <c r="BN82" s="10">
        <v>687.81</v>
      </c>
      <c r="BO82" s="10">
        <v>1119.7</v>
      </c>
      <c r="BP82" s="10">
        <v>431.79</v>
      </c>
      <c r="BQ82" s="10">
        <v>549.98</v>
      </c>
      <c r="BR82" s="10">
        <v>187.16</v>
      </c>
      <c r="BS82" s="10">
        <v>140.81</v>
      </c>
      <c r="BT82" s="10">
        <v>175.75</v>
      </c>
      <c r="BU82" s="10">
        <v>154.66999999999999</v>
      </c>
      <c r="BV82" s="10">
        <v>1229.1099999999999</v>
      </c>
      <c r="BW82" s="10">
        <v>58.41</v>
      </c>
      <c r="BX82" s="4">
        <v>0</v>
      </c>
      <c r="BY82" s="4">
        <v>0</v>
      </c>
      <c r="BZ82" s="10">
        <v>14217.78</v>
      </c>
      <c r="CA82" s="10">
        <v>1.4</v>
      </c>
      <c r="CB82" s="10">
        <v>14176.88</v>
      </c>
      <c r="CC82" s="10">
        <v>39.5</v>
      </c>
      <c r="CD82" s="10">
        <v>4827.32</v>
      </c>
      <c r="CE82" s="10">
        <v>-79.680000000000007</v>
      </c>
      <c r="CF82" s="10">
        <v>1655.07</v>
      </c>
      <c r="CG82" s="4" t="s">
        <v>102</v>
      </c>
      <c r="CH82" s="10">
        <v>1655.07</v>
      </c>
      <c r="CI82" s="4" t="s">
        <v>102</v>
      </c>
      <c r="CJ82" s="4" t="s">
        <v>102</v>
      </c>
      <c r="CK82" s="10">
        <v>4907.01</v>
      </c>
      <c r="CL82" s="4" t="s">
        <v>102</v>
      </c>
      <c r="CM82" s="4" t="s">
        <v>102</v>
      </c>
      <c r="CN82" s="10">
        <v>45185.21</v>
      </c>
      <c r="CO82" s="10">
        <v>20700.169999999998</v>
      </c>
    </row>
    <row r="83" spans="1:93" ht="14.5" x14ac:dyDescent="0.35">
      <c r="A83" s="3" t="s">
        <v>83</v>
      </c>
      <c r="B83" s="11">
        <v>37240.42</v>
      </c>
      <c r="C83" s="11">
        <v>88.81</v>
      </c>
      <c r="D83" s="11">
        <v>9.9600000000000009</v>
      </c>
      <c r="E83" s="11">
        <v>18.57</v>
      </c>
      <c r="F83" s="11">
        <v>40.64</v>
      </c>
      <c r="G83" s="11">
        <v>383.38</v>
      </c>
      <c r="H83" s="11">
        <v>79.33</v>
      </c>
      <c r="I83" s="11">
        <v>97.35</v>
      </c>
      <c r="J83" s="11">
        <v>90.22</v>
      </c>
      <c r="K83" s="11">
        <v>43.04</v>
      </c>
      <c r="L83" s="11">
        <v>107.06</v>
      </c>
      <c r="M83" s="11">
        <f t="shared" si="78"/>
        <v>329.34</v>
      </c>
      <c r="N83" s="11">
        <v>329.34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1">
        <v>118.06</v>
      </c>
      <c r="X83" s="11">
        <v>114.12</v>
      </c>
      <c r="Y83" s="11">
        <v>99.35</v>
      </c>
      <c r="Z83" s="11">
        <v>126.7</v>
      </c>
      <c r="AA83" s="11">
        <v>175.92</v>
      </c>
      <c r="AB83" s="11">
        <v>116.97</v>
      </c>
      <c r="AC83" s="11">
        <v>132.79</v>
      </c>
      <c r="AD83" s="11">
        <v>209.3</v>
      </c>
      <c r="AE83" s="11">
        <v>208.79</v>
      </c>
      <c r="AF83" s="11">
        <v>75.959999999999994</v>
      </c>
      <c r="AG83" s="11">
        <v>274.3</v>
      </c>
      <c r="AH83" s="11">
        <v>91.8</v>
      </c>
      <c r="AI83" s="89">
        <f t="shared" si="79"/>
        <v>229.8</v>
      </c>
      <c r="AJ83" s="11">
        <v>229.8</v>
      </c>
      <c r="AK83" s="29"/>
      <c r="AL83" s="11">
        <v>47.79</v>
      </c>
      <c r="AM83" s="11">
        <v>424.62</v>
      </c>
      <c r="AN83" s="11">
        <v>474.12</v>
      </c>
      <c r="AO83" s="11">
        <v>111.31</v>
      </c>
      <c r="AP83" s="11">
        <v>458.35</v>
      </c>
      <c r="AQ83" s="11">
        <v>651.11</v>
      </c>
      <c r="AR83" s="11">
        <v>442.94</v>
      </c>
      <c r="AS83" s="11">
        <v>46.06</v>
      </c>
      <c r="AT83" s="11">
        <v>165.87</v>
      </c>
      <c r="AU83" s="11">
        <v>353.59</v>
      </c>
      <c r="AV83" s="11">
        <v>79.56</v>
      </c>
      <c r="AW83" s="11">
        <v>2406.23</v>
      </c>
      <c r="AX83" s="11">
        <v>74.44</v>
      </c>
      <c r="AY83" s="11">
        <v>230.44</v>
      </c>
      <c r="AZ83" s="11">
        <v>192.83</v>
      </c>
      <c r="BA83" s="11">
        <v>426.97</v>
      </c>
      <c r="BB83" s="11">
        <v>129.41999999999999</v>
      </c>
      <c r="BC83" s="11">
        <v>69.209999999999994</v>
      </c>
      <c r="BD83" s="11">
        <v>42.96</v>
      </c>
      <c r="BE83" s="11">
        <v>284.95999999999998</v>
      </c>
      <c r="BF83" s="11">
        <v>1614.67</v>
      </c>
      <c r="BG83" s="11">
        <v>374.45</v>
      </c>
      <c r="BH83" s="11">
        <v>247.1</v>
      </c>
      <c r="BI83" s="11">
        <v>337.74</v>
      </c>
      <c r="BJ83" s="11">
        <v>232.82</v>
      </c>
      <c r="BK83" s="11">
        <v>1047.77</v>
      </c>
      <c r="BL83" s="11">
        <v>312.74</v>
      </c>
      <c r="BM83" s="11">
        <v>113.92</v>
      </c>
      <c r="BN83" s="11">
        <v>675.53</v>
      </c>
      <c r="BO83" s="11">
        <v>700.3</v>
      </c>
      <c r="BP83" s="11">
        <v>523.55999999999995</v>
      </c>
      <c r="BQ83" s="11">
        <v>3342.1</v>
      </c>
      <c r="BR83" s="11">
        <v>1820.48</v>
      </c>
      <c r="BS83" s="11">
        <v>632.20000000000005</v>
      </c>
      <c r="BT83" s="11">
        <v>526.73</v>
      </c>
      <c r="BU83" s="11">
        <v>360.52</v>
      </c>
      <c r="BV83" s="11">
        <v>19.809999999999999</v>
      </c>
      <c r="BW83" s="11">
        <v>13980.9</v>
      </c>
      <c r="BX83" s="11">
        <v>2.78</v>
      </c>
      <c r="BY83" s="5">
        <v>0</v>
      </c>
      <c r="BZ83" s="11">
        <v>152088.65</v>
      </c>
      <c r="CA83" s="11">
        <v>733.94</v>
      </c>
      <c r="CB83" s="11">
        <v>151269.63</v>
      </c>
      <c r="CC83" s="11">
        <v>85.08</v>
      </c>
      <c r="CD83" s="11">
        <v>19.440000000000001</v>
      </c>
      <c r="CE83" s="11">
        <v>14.25</v>
      </c>
      <c r="CF83" s="11">
        <v>1395.07</v>
      </c>
      <c r="CG83" s="5" t="s">
        <v>102</v>
      </c>
      <c r="CH83" s="11">
        <v>1395.07</v>
      </c>
      <c r="CI83" s="5" t="s">
        <v>102</v>
      </c>
      <c r="CJ83" s="5" t="s">
        <v>102</v>
      </c>
      <c r="CK83" s="11">
        <v>5.19</v>
      </c>
      <c r="CL83" s="5" t="s">
        <v>102</v>
      </c>
      <c r="CM83" s="5" t="s">
        <v>102</v>
      </c>
      <c r="CN83" s="11">
        <v>190743.59</v>
      </c>
      <c r="CO83" s="11">
        <v>153503.17000000001</v>
      </c>
    </row>
    <row r="84" spans="1:93" ht="14.5" x14ac:dyDescent="0.35">
      <c r="A84" s="3" t="s">
        <v>84</v>
      </c>
      <c r="B84" s="10">
        <v>2458.7800000000002</v>
      </c>
      <c r="C84" s="10">
        <v>0.49</v>
      </c>
      <c r="D84" s="10">
        <v>5.31</v>
      </c>
      <c r="E84" s="10">
        <v>19.989999999999998</v>
      </c>
      <c r="F84" s="4">
        <v>0</v>
      </c>
      <c r="G84" s="4">
        <v>0</v>
      </c>
      <c r="H84" s="4">
        <v>0</v>
      </c>
      <c r="I84" s="10">
        <v>0.94</v>
      </c>
      <c r="J84" s="4">
        <v>0</v>
      </c>
      <c r="K84" s="4">
        <v>0</v>
      </c>
      <c r="L84" s="4">
        <v>0</v>
      </c>
      <c r="M84" s="11">
        <f t="shared" si="78"/>
        <v>0</v>
      </c>
      <c r="N84" s="4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10">
        <v>0.19</v>
      </c>
      <c r="AE84" s="10">
        <v>0.04</v>
      </c>
      <c r="AF84" s="4">
        <v>0</v>
      </c>
      <c r="AG84" s="4">
        <v>0</v>
      </c>
      <c r="AH84" s="10">
        <v>10.55</v>
      </c>
      <c r="AI84" s="89">
        <f t="shared" si="79"/>
        <v>0</v>
      </c>
      <c r="AJ84" s="4">
        <v>0</v>
      </c>
      <c r="AK84" s="29"/>
      <c r="AL84" s="4">
        <v>0</v>
      </c>
      <c r="AM84" s="4">
        <v>0</v>
      </c>
      <c r="AN84" s="10">
        <v>30.3</v>
      </c>
      <c r="AO84" s="4">
        <v>0</v>
      </c>
      <c r="AP84" s="4">
        <v>0</v>
      </c>
      <c r="AQ84" s="10">
        <v>0.14000000000000001</v>
      </c>
      <c r="AR84" s="10">
        <v>0.05</v>
      </c>
      <c r="AS84" s="10">
        <v>2.0099999999999998</v>
      </c>
      <c r="AT84" s="4">
        <v>0</v>
      </c>
      <c r="AU84" s="10">
        <v>50.67</v>
      </c>
      <c r="AV84" s="4">
        <v>0</v>
      </c>
      <c r="AW84" s="10">
        <v>3.94</v>
      </c>
      <c r="AX84" s="10">
        <v>0.45</v>
      </c>
      <c r="AY84" s="4">
        <v>0</v>
      </c>
      <c r="AZ84" s="4">
        <v>0</v>
      </c>
      <c r="BA84" s="10">
        <v>9.77</v>
      </c>
      <c r="BB84" s="4">
        <v>0</v>
      </c>
      <c r="BC84" s="4">
        <v>0</v>
      </c>
      <c r="BD84" s="4">
        <v>0</v>
      </c>
      <c r="BE84" s="10">
        <v>32.840000000000003</v>
      </c>
      <c r="BF84" s="4">
        <v>0</v>
      </c>
      <c r="BG84" s="10">
        <v>18.7</v>
      </c>
      <c r="BH84" s="10">
        <v>56.06</v>
      </c>
      <c r="BI84" s="4">
        <v>0</v>
      </c>
      <c r="BJ84" s="10">
        <v>0.01</v>
      </c>
      <c r="BK84" s="10">
        <v>0.66</v>
      </c>
      <c r="BL84" s="10">
        <v>11.37</v>
      </c>
      <c r="BM84" s="10">
        <v>1.92</v>
      </c>
      <c r="BN84" s="10">
        <v>23.2</v>
      </c>
      <c r="BO84" s="10">
        <v>1096.2</v>
      </c>
      <c r="BP84" s="10">
        <v>327.52</v>
      </c>
      <c r="BQ84" s="10">
        <v>287.12</v>
      </c>
      <c r="BR84" s="10">
        <v>333.16</v>
      </c>
      <c r="BS84" s="10">
        <v>44.31</v>
      </c>
      <c r="BT84" s="10">
        <v>23.43</v>
      </c>
      <c r="BU84" s="10">
        <v>5.04</v>
      </c>
      <c r="BV84" s="4">
        <v>0</v>
      </c>
      <c r="BW84" s="4">
        <v>0</v>
      </c>
      <c r="BX84" s="10">
        <v>62.42</v>
      </c>
      <c r="BY84" s="4">
        <v>0</v>
      </c>
      <c r="BZ84" s="10">
        <v>45904.42</v>
      </c>
      <c r="CA84" s="10">
        <v>2180.7600000000002</v>
      </c>
      <c r="CB84" s="10">
        <v>43723.66</v>
      </c>
      <c r="CC84" s="4">
        <v>0</v>
      </c>
      <c r="CD84" s="4">
        <v>0</v>
      </c>
      <c r="CE84" s="4">
        <v>0</v>
      </c>
      <c r="CF84" s="10">
        <v>0.83</v>
      </c>
      <c r="CG84" s="4" t="s">
        <v>102</v>
      </c>
      <c r="CH84" s="10">
        <v>0.83</v>
      </c>
      <c r="CI84" s="4" t="s">
        <v>102</v>
      </c>
      <c r="CJ84" s="4" t="s">
        <v>102</v>
      </c>
      <c r="CK84" s="4">
        <v>0</v>
      </c>
      <c r="CL84" s="4" t="s">
        <v>102</v>
      </c>
      <c r="CM84" s="4" t="s">
        <v>102</v>
      </c>
      <c r="CN84" s="10">
        <v>48364.04</v>
      </c>
      <c r="CO84" s="10">
        <v>45905.25</v>
      </c>
    </row>
    <row r="85" spans="1:93" ht="14.5" x14ac:dyDescent="0.35">
      <c r="A85" s="3" t="s">
        <v>85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11">
        <f t="shared" si="78"/>
        <v>0</v>
      </c>
      <c r="N85" s="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89">
        <f t="shared" si="79"/>
        <v>0</v>
      </c>
      <c r="AJ85" s="5">
        <v>0</v>
      </c>
      <c r="AK85" s="29"/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 t="s">
        <v>102</v>
      </c>
      <c r="CH85" s="5">
        <v>0</v>
      </c>
      <c r="CI85" s="5" t="s">
        <v>102</v>
      </c>
      <c r="CJ85" s="5" t="s">
        <v>102</v>
      </c>
      <c r="CK85" s="5">
        <v>0</v>
      </c>
      <c r="CL85" s="5" t="s">
        <v>102</v>
      </c>
      <c r="CM85" s="5" t="s">
        <v>102</v>
      </c>
      <c r="CN85" s="5">
        <v>0</v>
      </c>
      <c r="CO85" s="5">
        <v>0</v>
      </c>
    </row>
    <row r="86" spans="1:93" ht="14.5" x14ac:dyDescent="0.35">
      <c r="A86" s="92" t="s">
        <v>103</v>
      </c>
      <c r="B86" s="4" t="s">
        <v>102</v>
      </c>
      <c r="C86" s="10">
        <v>224349.1</v>
      </c>
      <c r="D86" s="10">
        <v>31062.799999999999</v>
      </c>
      <c r="E86" s="10">
        <v>6489.66</v>
      </c>
      <c r="F86" s="10">
        <v>54114.01</v>
      </c>
      <c r="G86" s="10">
        <v>314214.84999999998</v>
      </c>
      <c r="H86" s="10">
        <v>79231.789999999994</v>
      </c>
      <c r="I86" s="10">
        <v>51670.77</v>
      </c>
      <c r="J86" s="10">
        <v>54912.04</v>
      </c>
      <c r="K86" s="10">
        <v>22742.94</v>
      </c>
      <c r="L86" s="10">
        <v>64965.66</v>
      </c>
      <c r="M86" s="11">
        <f t="shared" si="78"/>
        <v>147279.69</v>
      </c>
      <c r="N86" s="10">
        <v>147279.69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0">
        <v>159400.45000000001</v>
      </c>
      <c r="X86" s="10">
        <v>107409.02</v>
      </c>
      <c r="Y86" s="10">
        <v>82537.929999999993</v>
      </c>
      <c r="Z86" s="10">
        <v>95590.85</v>
      </c>
      <c r="AA86" s="10">
        <v>206525.06</v>
      </c>
      <c r="AB86" s="10">
        <v>166488.6</v>
      </c>
      <c r="AC86" s="10">
        <v>113605.17</v>
      </c>
      <c r="AD86" s="10">
        <v>246945.17</v>
      </c>
      <c r="AE86" s="10">
        <v>244267.51</v>
      </c>
      <c r="AF86" s="10">
        <v>64935.08</v>
      </c>
      <c r="AG86" s="10">
        <v>106614.39999999999</v>
      </c>
      <c r="AH86" s="10">
        <v>133074.37</v>
      </c>
      <c r="AI86" s="89">
        <f t="shared" si="79"/>
        <v>395562.58</v>
      </c>
      <c r="AJ86" s="10">
        <v>395562.58</v>
      </c>
      <c r="AK86" s="29"/>
      <c r="AL86" s="10">
        <v>31853.439999999999</v>
      </c>
      <c r="AM86" s="10">
        <v>137828.41</v>
      </c>
      <c r="AN86" s="10">
        <v>895623.35</v>
      </c>
      <c r="AO86" s="4">
        <v>203416</v>
      </c>
      <c r="AP86" s="10">
        <v>861586.96</v>
      </c>
      <c r="AQ86" s="10">
        <v>621080.63</v>
      </c>
      <c r="AR86" s="10">
        <v>319381.76000000001</v>
      </c>
      <c r="AS86" s="10">
        <v>71518.98</v>
      </c>
      <c r="AT86" s="10">
        <v>33080.400000000001</v>
      </c>
      <c r="AU86" s="10">
        <v>276744.78000000003</v>
      </c>
      <c r="AV86" s="10">
        <v>58490.82</v>
      </c>
      <c r="AW86" s="10">
        <v>431804.98</v>
      </c>
      <c r="AX86" s="10">
        <v>114875.3</v>
      </c>
      <c r="AY86" s="10">
        <v>61745.86</v>
      </c>
      <c r="AZ86" s="10">
        <v>133105.34</v>
      </c>
      <c r="BA86" s="10">
        <v>525253.81999999995</v>
      </c>
      <c r="BB86" s="10">
        <v>397844.66</v>
      </c>
      <c r="BC86" s="10">
        <v>130561.43</v>
      </c>
      <c r="BD86" s="10">
        <v>151932.48000000001</v>
      </c>
      <c r="BE86" s="10">
        <v>1708971.49</v>
      </c>
      <c r="BF86" s="10">
        <v>548179.23</v>
      </c>
      <c r="BG86" s="10">
        <v>230999.05</v>
      </c>
      <c r="BH86" s="10">
        <v>244212.15</v>
      </c>
      <c r="BI86" s="10">
        <v>82028.7</v>
      </c>
      <c r="BJ86" s="10">
        <v>87212.33</v>
      </c>
      <c r="BK86" s="10">
        <v>275674.55</v>
      </c>
      <c r="BL86" s="10">
        <v>183143.48</v>
      </c>
      <c r="BM86" s="10">
        <v>31583.68</v>
      </c>
      <c r="BN86" s="10">
        <v>336528.83</v>
      </c>
      <c r="BO86" s="10">
        <v>880502.71</v>
      </c>
      <c r="BP86" s="10">
        <v>703314.63</v>
      </c>
      <c r="BQ86" s="10">
        <v>771965.16</v>
      </c>
      <c r="BR86" s="10">
        <v>367436.49</v>
      </c>
      <c r="BS86" s="10">
        <v>110508.36</v>
      </c>
      <c r="BT86" s="10">
        <v>77474.509999999995</v>
      </c>
      <c r="BU86" s="10">
        <v>87475.61</v>
      </c>
      <c r="BV86" s="10">
        <v>23517.72</v>
      </c>
      <c r="BW86" s="10">
        <v>115546.58</v>
      </c>
      <c r="BX86" s="10">
        <v>47485.67</v>
      </c>
      <c r="BY86" s="4">
        <v>0</v>
      </c>
      <c r="BZ86" s="4" t="s">
        <v>102</v>
      </c>
      <c r="CA86" s="4" t="s">
        <v>102</v>
      </c>
      <c r="CB86" s="4" t="s">
        <v>102</v>
      </c>
      <c r="CC86" s="4" t="s">
        <v>102</v>
      </c>
      <c r="CD86" s="4" t="s">
        <v>102</v>
      </c>
      <c r="CE86" s="4" t="s">
        <v>102</v>
      </c>
      <c r="CF86" s="4" t="s">
        <v>102</v>
      </c>
      <c r="CG86" s="4" t="s">
        <v>102</v>
      </c>
      <c r="CH86" s="4" t="s">
        <v>102</v>
      </c>
      <c r="CI86" s="4" t="s">
        <v>102</v>
      </c>
      <c r="CJ86" s="4" t="s">
        <v>102</v>
      </c>
      <c r="CK86" s="4" t="s">
        <v>102</v>
      </c>
      <c r="CL86" s="4" t="s">
        <v>102</v>
      </c>
      <c r="CM86" s="4" t="s">
        <v>102</v>
      </c>
      <c r="CN86" s="4" t="s">
        <v>102</v>
      </c>
      <c r="CO86" s="4" t="s">
        <v>102</v>
      </c>
    </row>
    <row r="87" spans="1:93" ht="14.5" x14ac:dyDescent="0.35">
      <c r="A87" s="92" t="s">
        <v>104</v>
      </c>
      <c r="B87" s="5" t="s">
        <v>102</v>
      </c>
      <c r="C87" s="5" t="s">
        <v>102</v>
      </c>
      <c r="D87" s="5" t="s">
        <v>102</v>
      </c>
      <c r="E87" s="5" t="s">
        <v>102</v>
      </c>
      <c r="F87" s="5" t="s">
        <v>102</v>
      </c>
      <c r="G87" s="5" t="s">
        <v>102</v>
      </c>
      <c r="H87" s="5" t="s">
        <v>102</v>
      </c>
      <c r="I87" s="5" t="s">
        <v>102</v>
      </c>
      <c r="J87" s="5" t="s">
        <v>102</v>
      </c>
      <c r="K87" s="5" t="s">
        <v>102</v>
      </c>
      <c r="L87" s="5" t="s">
        <v>102</v>
      </c>
      <c r="M87" s="11"/>
      <c r="N87" s="5" t="s">
        <v>102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5" t="s">
        <v>102</v>
      </c>
      <c r="X87" s="5" t="s">
        <v>102</v>
      </c>
      <c r="Y87" s="5" t="s">
        <v>102</v>
      </c>
      <c r="Z87" s="5" t="s">
        <v>102</v>
      </c>
      <c r="AA87" s="5" t="s">
        <v>102</v>
      </c>
      <c r="AB87" s="5" t="s">
        <v>102</v>
      </c>
      <c r="AC87" s="5" t="s">
        <v>102</v>
      </c>
      <c r="AD87" s="5" t="s">
        <v>102</v>
      </c>
      <c r="AE87" s="5" t="s">
        <v>102</v>
      </c>
      <c r="AF87" s="5" t="s">
        <v>102</v>
      </c>
      <c r="AG87" s="5" t="s">
        <v>102</v>
      </c>
      <c r="AH87" s="5" t="s">
        <v>102</v>
      </c>
      <c r="AI87" s="89" t="e">
        <f t="shared" si="79"/>
        <v>#VALUE!</v>
      </c>
      <c r="AJ87" s="5" t="s">
        <v>102</v>
      </c>
      <c r="AK87" s="29"/>
      <c r="AL87" s="5" t="s">
        <v>102</v>
      </c>
      <c r="AM87" s="5" t="s">
        <v>102</v>
      </c>
      <c r="AN87" s="5" t="s">
        <v>102</v>
      </c>
      <c r="AO87" s="5" t="s">
        <v>102</v>
      </c>
      <c r="AP87" s="5" t="s">
        <v>102</v>
      </c>
      <c r="AQ87" s="5" t="s">
        <v>102</v>
      </c>
      <c r="AR87" s="5" t="s">
        <v>102</v>
      </c>
      <c r="AS87" s="5" t="s">
        <v>102</v>
      </c>
      <c r="AT87" s="5" t="s">
        <v>102</v>
      </c>
      <c r="AU87" s="5" t="s">
        <v>102</v>
      </c>
      <c r="AV87" s="5" t="s">
        <v>102</v>
      </c>
      <c r="AW87" s="5" t="s">
        <v>102</v>
      </c>
      <c r="AX87" s="5" t="s">
        <v>102</v>
      </c>
      <c r="AY87" s="5" t="s">
        <v>102</v>
      </c>
      <c r="AZ87" s="5" t="s">
        <v>102</v>
      </c>
      <c r="BA87" s="5" t="s">
        <v>102</v>
      </c>
      <c r="BB87" s="5" t="s">
        <v>102</v>
      </c>
      <c r="BC87" s="5" t="s">
        <v>102</v>
      </c>
      <c r="BD87" s="5" t="s">
        <v>102</v>
      </c>
      <c r="BE87" s="5" t="s">
        <v>102</v>
      </c>
      <c r="BF87" s="5" t="s">
        <v>102</v>
      </c>
      <c r="BG87" s="5" t="s">
        <v>102</v>
      </c>
      <c r="BH87" s="5" t="s">
        <v>102</v>
      </c>
      <c r="BI87" s="5" t="s">
        <v>102</v>
      </c>
      <c r="BJ87" s="5" t="s">
        <v>102</v>
      </c>
      <c r="BK87" s="5" t="s">
        <v>102</v>
      </c>
      <c r="BL87" s="5" t="s">
        <v>102</v>
      </c>
      <c r="BM87" s="5" t="s">
        <v>102</v>
      </c>
      <c r="BN87" s="5" t="s">
        <v>102</v>
      </c>
      <c r="BO87" s="5" t="s">
        <v>102</v>
      </c>
      <c r="BP87" s="5" t="s">
        <v>102</v>
      </c>
      <c r="BQ87" s="5" t="s">
        <v>102</v>
      </c>
      <c r="BR87" s="5" t="s">
        <v>102</v>
      </c>
      <c r="BS87" s="5" t="s">
        <v>102</v>
      </c>
      <c r="BT87" s="5" t="s">
        <v>102</v>
      </c>
      <c r="BU87" s="5" t="s">
        <v>102</v>
      </c>
      <c r="BV87" s="5" t="s">
        <v>102</v>
      </c>
      <c r="BW87" s="5" t="s">
        <v>102</v>
      </c>
      <c r="BX87" s="5" t="s">
        <v>102</v>
      </c>
      <c r="BY87" s="5" t="s">
        <v>102</v>
      </c>
      <c r="BZ87" s="5" t="s">
        <v>102</v>
      </c>
      <c r="CA87" s="5" t="s">
        <v>102</v>
      </c>
      <c r="CB87" s="5" t="s">
        <v>102</v>
      </c>
      <c r="CC87" s="5" t="s">
        <v>102</v>
      </c>
      <c r="CD87" s="5" t="s">
        <v>102</v>
      </c>
      <c r="CE87" s="5" t="s">
        <v>102</v>
      </c>
      <c r="CF87" s="5" t="s">
        <v>102</v>
      </c>
      <c r="CG87" s="5" t="s">
        <v>102</v>
      </c>
      <c r="CH87" s="5" t="s">
        <v>102</v>
      </c>
      <c r="CI87" s="5" t="s">
        <v>102</v>
      </c>
      <c r="CJ87" s="5" t="s">
        <v>102</v>
      </c>
      <c r="CK87" s="5" t="s">
        <v>102</v>
      </c>
      <c r="CL87" s="5" t="s">
        <v>102</v>
      </c>
      <c r="CM87" s="5" t="s">
        <v>102</v>
      </c>
      <c r="CN87" s="5" t="s">
        <v>102</v>
      </c>
      <c r="CO87" s="5" t="s">
        <v>102</v>
      </c>
    </row>
    <row r="88" spans="1:93" ht="14.5" x14ac:dyDescent="0.35">
      <c r="A88" s="92" t="s">
        <v>105</v>
      </c>
      <c r="B88" s="10">
        <v>7267415.7000000002</v>
      </c>
      <c r="C88" s="10">
        <v>210755.08</v>
      </c>
      <c r="D88" s="10">
        <v>21683.68</v>
      </c>
      <c r="E88" s="10">
        <v>4213.93</v>
      </c>
      <c r="F88" s="10">
        <v>36382.85</v>
      </c>
      <c r="G88" s="10">
        <v>147640.60999999999</v>
      </c>
      <c r="H88" s="10">
        <v>33776.18</v>
      </c>
      <c r="I88" s="10">
        <v>24758.080000000002</v>
      </c>
      <c r="J88" s="10">
        <v>24972.400000000001</v>
      </c>
      <c r="K88" s="10">
        <v>8172.85</v>
      </c>
      <c r="L88" s="10">
        <v>47244.38</v>
      </c>
      <c r="M88" s="11">
        <f>N88-SUM(O88:U88)</f>
        <v>70631.67</v>
      </c>
      <c r="N88" s="10">
        <v>70631.67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0">
        <v>116668.58</v>
      </c>
      <c r="X88" s="10">
        <v>42069.81</v>
      </c>
      <c r="Y88" s="10">
        <v>34456.54</v>
      </c>
      <c r="Z88" s="10">
        <v>42046.63</v>
      </c>
      <c r="AA88" s="10">
        <v>72352.95</v>
      </c>
      <c r="AB88" s="10">
        <v>108220.94</v>
      </c>
      <c r="AC88" s="10">
        <v>43076.17</v>
      </c>
      <c r="AD88" s="10">
        <v>94316.800000000003</v>
      </c>
      <c r="AE88" s="10">
        <v>121216.51</v>
      </c>
      <c r="AF88" s="10">
        <v>26746.51</v>
      </c>
      <c r="AG88" s="10">
        <v>44971.47</v>
      </c>
      <c r="AH88" s="10">
        <v>43967.519999999997</v>
      </c>
      <c r="AI88" s="89">
        <f t="shared" si="79"/>
        <v>309220.71000000002</v>
      </c>
      <c r="AJ88" s="10">
        <v>309220.71000000002</v>
      </c>
      <c r="AK88" s="29"/>
      <c r="AL88" s="10">
        <v>17894.939999999999</v>
      </c>
      <c r="AM88" s="10">
        <v>70483.42</v>
      </c>
      <c r="AN88" s="10">
        <v>420321.85</v>
      </c>
      <c r="AO88" s="10">
        <v>83728.02</v>
      </c>
      <c r="AP88" s="10">
        <v>444181.76000000001</v>
      </c>
      <c r="AQ88" s="10">
        <v>218962.29</v>
      </c>
      <c r="AR88" s="10">
        <v>120205.79</v>
      </c>
      <c r="AS88" s="10">
        <v>58168.19</v>
      </c>
      <c r="AT88" s="10">
        <v>12676.67</v>
      </c>
      <c r="AU88" s="10">
        <v>123066.3</v>
      </c>
      <c r="AV88" s="10">
        <v>11029.31</v>
      </c>
      <c r="AW88" s="10">
        <v>183530.34</v>
      </c>
      <c r="AX88" s="10">
        <v>59693.8</v>
      </c>
      <c r="AY88" s="10">
        <v>28500.78</v>
      </c>
      <c r="AZ88" s="10">
        <v>83429.100000000006</v>
      </c>
      <c r="BA88" s="10">
        <v>194640.67</v>
      </c>
      <c r="BB88" s="10">
        <v>182730.65</v>
      </c>
      <c r="BC88" s="10">
        <v>75181.64</v>
      </c>
      <c r="BD88" s="10">
        <v>63845.9</v>
      </c>
      <c r="BE88" s="10">
        <v>1496095.33</v>
      </c>
      <c r="BF88" s="10">
        <v>210435.67</v>
      </c>
      <c r="BG88" s="10">
        <v>87258.69</v>
      </c>
      <c r="BH88" s="10">
        <v>108866.12</v>
      </c>
      <c r="BI88" s="10">
        <v>32927.21</v>
      </c>
      <c r="BJ88" s="10">
        <v>47695.83</v>
      </c>
      <c r="BK88" s="10">
        <v>198151.22</v>
      </c>
      <c r="BL88" s="10">
        <v>15595.56</v>
      </c>
      <c r="BM88" s="10">
        <v>18050.8</v>
      </c>
      <c r="BN88" s="10">
        <v>104166.24</v>
      </c>
      <c r="BO88" s="10">
        <v>214824.59</v>
      </c>
      <c r="BP88" s="10">
        <v>117678.13</v>
      </c>
      <c r="BQ88" s="10">
        <v>217076.92</v>
      </c>
      <c r="BR88" s="10">
        <v>45825.95</v>
      </c>
      <c r="BS88" s="10">
        <v>54047.83</v>
      </c>
      <c r="BT88" s="10">
        <v>24578.01</v>
      </c>
      <c r="BU88" s="10">
        <v>8404.0499999999993</v>
      </c>
      <c r="BV88" s="10">
        <v>10652.94</v>
      </c>
      <c r="BW88" s="10">
        <v>72838.52</v>
      </c>
      <c r="BX88" s="10">
        <v>411.84</v>
      </c>
      <c r="BY88" s="4">
        <v>0</v>
      </c>
      <c r="BZ88" s="4" t="s">
        <v>102</v>
      </c>
      <c r="CA88" s="4" t="s">
        <v>102</v>
      </c>
      <c r="CB88" s="4" t="s">
        <v>102</v>
      </c>
      <c r="CC88" s="4" t="s">
        <v>102</v>
      </c>
      <c r="CD88" s="4" t="s">
        <v>102</v>
      </c>
      <c r="CE88" s="4" t="s">
        <v>102</v>
      </c>
      <c r="CF88" s="4" t="s">
        <v>102</v>
      </c>
      <c r="CG88" s="4" t="s">
        <v>102</v>
      </c>
      <c r="CH88" s="4" t="s">
        <v>102</v>
      </c>
      <c r="CI88" s="4" t="s">
        <v>102</v>
      </c>
      <c r="CJ88" s="4" t="s">
        <v>102</v>
      </c>
      <c r="CK88" s="4" t="s">
        <v>102</v>
      </c>
      <c r="CL88" s="4" t="s">
        <v>102</v>
      </c>
      <c r="CM88" s="4" t="s">
        <v>102</v>
      </c>
      <c r="CN88" s="4" t="s">
        <v>102</v>
      </c>
      <c r="CO88" s="4" t="s">
        <v>102</v>
      </c>
    </row>
    <row r="89" spans="1:93" ht="14.5" x14ac:dyDescent="0.35">
      <c r="A89" s="92" t="s">
        <v>106</v>
      </c>
      <c r="B89" s="5" t="s">
        <v>102</v>
      </c>
      <c r="C89" s="5" t="s">
        <v>102</v>
      </c>
      <c r="D89" s="5" t="s">
        <v>102</v>
      </c>
      <c r="E89" s="5" t="s">
        <v>102</v>
      </c>
      <c r="F89" s="5" t="s">
        <v>102</v>
      </c>
      <c r="G89" s="5" t="s">
        <v>102</v>
      </c>
      <c r="H89" s="5" t="s">
        <v>102</v>
      </c>
      <c r="I89" s="5" t="s">
        <v>102</v>
      </c>
      <c r="J89" s="5" t="s">
        <v>102</v>
      </c>
      <c r="K89" s="5" t="s">
        <v>102</v>
      </c>
      <c r="L89" s="5" t="s">
        <v>102</v>
      </c>
      <c r="M89" s="11"/>
      <c r="N89" s="5" t="s">
        <v>102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5" t="s">
        <v>102</v>
      </c>
      <c r="X89" s="5" t="s">
        <v>102</v>
      </c>
      <c r="Y89" s="5" t="s">
        <v>102</v>
      </c>
      <c r="Z89" s="5" t="s">
        <v>102</v>
      </c>
      <c r="AA89" s="5" t="s">
        <v>102</v>
      </c>
      <c r="AB89" s="5" t="s">
        <v>102</v>
      </c>
      <c r="AC89" s="5" t="s">
        <v>102</v>
      </c>
      <c r="AD89" s="5" t="s">
        <v>102</v>
      </c>
      <c r="AE89" s="5" t="s">
        <v>102</v>
      </c>
      <c r="AF89" s="5" t="s">
        <v>102</v>
      </c>
      <c r="AG89" s="5" t="s">
        <v>102</v>
      </c>
      <c r="AH89" s="5" t="s">
        <v>102</v>
      </c>
      <c r="AI89" s="89" t="e">
        <f t="shared" si="79"/>
        <v>#VALUE!</v>
      </c>
      <c r="AJ89" s="5" t="s">
        <v>102</v>
      </c>
      <c r="AK89" s="29"/>
      <c r="AL89" s="5" t="s">
        <v>102</v>
      </c>
      <c r="AM89" s="5" t="s">
        <v>102</v>
      </c>
      <c r="AN89" s="5" t="s">
        <v>102</v>
      </c>
      <c r="AO89" s="5" t="s">
        <v>102</v>
      </c>
      <c r="AP89" s="5" t="s">
        <v>102</v>
      </c>
      <c r="AQ89" s="5" t="s">
        <v>102</v>
      </c>
      <c r="AR89" s="5" t="s">
        <v>102</v>
      </c>
      <c r="AS89" s="5" t="s">
        <v>102</v>
      </c>
      <c r="AT89" s="5" t="s">
        <v>102</v>
      </c>
      <c r="AU89" s="5" t="s">
        <v>102</v>
      </c>
      <c r="AV89" s="5" t="s">
        <v>102</v>
      </c>
      <c r="AW89" s="5" t="s">
        <v>102</v>
      </c>
      <c r="AX89" s="5" t="s">
        <v>102</v>
      </c>
      <c r="AY89" s="5" t="s">
        <v>102</v>
      </c>
      <c r="AZ89" s="5" t="s">
        <v>102</v>
      </c>
      <c r="BA89" s="5" t="s">
        <v>102</v>
      </c>
      <c r="BB89" s="5" t="s">
        <v>102</v>
      </c>
      <c r="BC89" s="5" t="s">
        <v>102</v>
      </c>
      <c r="BD89" s="5" t="s">
        <v>102</v>
      </c>
      <c r="BE89" s="5" t="s">
        <v>102</v>
      </c>
      <c r="BF89" s="5" t="s">
        <v>102</v>
      </c>
      <c r="BG89" s="5" t="s">
        <v>102</v>
      </c>
      <c r="BH89" s="5" t="s">
        <v>102</v>
      </c>
      <c r="BI89" s="5" t="s">
        <v>102</v>
      </c>
      <c r="BJ89" s="5" t="s">
        <v>102</v>
      </c>
      <c r="BK89" s="5" t="s">
        <v>102</v>
      </c>
      <c r="BL89" s="5" t="s">
        <v>102</v>
      </c>
      <c r="BM89" s="5" t="s">
        <v>102</v>
      </c>
      <c r="BN89" s="5" t="s">
        <v>102</v>
      </c>
      <c r="BO89" s="5" t="s">
        <v>102</v>
      </c>
      <c r="BP89" s="5" t="s">
        <v>102</v>
      </c>
      <c r="BQ89" s="5" t="s">
        <v>102</v>
      </c>
      <c r="BR89" s="5" t="s">
        <v>102</v>
      </c>
      <c r="BS89" s="5" t="s">
        <v>102</v>
      </c>
      <c r="BT89" s="5" t="s">
        <v>102</v>
      </c>
      <c r="BU89" s="5" t="s">
        <v>102</v>
      </c>
      <c r="BV89" s="5" t="s">
        <v>102</v>
      </c>
      <c r="BW89" s="5" t="s">
        <v>102</v>
      </c>
      <c r="BX89" s="5" t="s">
        <v>102</v>
      </c>
      <c r="BY89" s="5" t="s">
        <v>102</v>
      </c>
      <c r="BZ89" s="5" t="s">
        <v>102</v>
      </c>
      <c r="CA89" s="5" t="s">
        <v>102</v>
      </c>
      <c r="CB89" s="5" t="s">
        <v>102</v>
      </c>
      <c r="CC89" s="5" t="s">
        <v>102</v>
      </c>
      <c r="CD89" s="5" t="s">
        <v>102</v>
      </c>
      <c r="CE89" s="5" t="s">
        <v>102</v>
      </c>
      <c r="CF89" s="5" t="s">
        <v>102</v>
      </c>
      <c r="CG89" s="5" t="s">
        <v>102</v>
      </c>
      <c r="CH89" s="5" t="s">
        <v>102</v>
      </c>
      <c r="CI89" s="5" t="s">
        <v>102</v>
      </c>
      <c r="CJ89" s="5" t="s">
        <v>102</v>
      </c>
      <c r="CK89" s="5" t="s">
        <v>102</v>
      </c>
      <c r="CL89" s="5" t="s">
        <v>102</v>
      </c>
      <c r="CM89" s="5" t="s">
        <v>102</v>
      </c>
      <c r="CN89" s="5" t="s">
        <v>102</v>
      </c>
      <c r="CO89" s="5" t="s">
        <v>102</v>
      </c>
    </row>
    <row r="90" spans="1:93" ht="14.5" x14ac:dyDescent="0.35">
      <c r="A90" s="92" t="s">
        <v>107</v>
      </c>
      <c r="B90" s="10">
        <v>8088074.0800000001</v>
      </c>
      <c r="C90" s="10">
        <v>52436.02</v>
      </c>
      <c r="D90" s="10">
        <v>9707.23</v>
      </c>
      <c r="E90" s="10">
        <v>2448.6799999999998</v>
      </c>
      <c r="F90" s="10">
        <v>17298.88</v>
      </c>
      <c r="G90" s="10">
        <v>166901.99</v>
      </c>
      <c r="H90" s="10">
        <v>45207.13</v>
      </c>
      <c r="I90" s="10">
        <v>26469.919999999998</v>
      </c>
      <c r="J90" s="10">
        <v>29301.200000000001</v>
      </c>
      <c r="K90" s="10">
        <v>14528.78</v>
      </c>
      <c r="L90" s="10">
        <v>11765.39</v>
      </c>
      <c r="M90" s="11">
        <f>N90-SUM(O90:U90)</f>
        <v>75125.41</v>
      </c>
      <c r="N90" s="10">
        <v>75125.41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0">
        <v>42274.34</v>
      </c>
      <c r="X90" s="10">
        <v>64994.2</v>
      </c>
      <c r="Y90" s="10">
        <v>46076.93</v>
      </c>
      <c r="Z90" s="10">
        <v>52483.37</v>
      </c>
      <c r="AA90" s="10">
        <v>133150.73000000001</v>
      </c>
      <c r="AB90" s="10">
        <v>58248.1</v>
      </c>
      <c r="AC90" s="10">
        <v>70467.899999999994</v>
      </c>
      <c r="AD90" s="10">
        <v>152247.6</v>
      </c>
      <c r="AE90" s="10">
        <v>122444.87</v>
      </c>
      <c r="AF90" s="10">
        <v>38135.4</v>
      </c>
      <c r="AG90" s="10">
        <v>61174.29</v>
      </c>
      <c r="AH90" s="10">
        <v>88079.16</v>
      </c>
      <c r="AI90" s="89">
        <f t="shared" si="79"/>
        <v>79112.83</v>
      </c>
      <c r="AJ90" s="10">
        <v>79112.83</v>
      </c>
      <c r="AK90" s="29"/>
      <c r="AL90" s="10">
        <v>13719.1</v>
      </c>
      <c r="AM90" s="10">
        <v>66143.899999999994</v>
      </c>
      <c r="AN90" s="10">
        <v>462999.9</v>
      </c>
      <c r="AO90" s="10">
        <v>114205.77</v>
      </c>
      <c r="AP90" s="10">
        <v>427785.35</v>
      </c>
      <c r="AQ90" s="10">
        <v>374155.95</v>
      </c>
      <c r="AR90" s="10">
        <v>202222.19</v>
      </c>
      <c r="AS90" s="10">
        <v>13738.67</v>
      </c>
      <c r="AT90" s="10">
        <v>20173.599999999999</v>
      </c>
      <c r="AU90" s="10">
        <v>150001.88</v>
      </c>
      <c r="AV90" s="10">
        <v>48133.95</v>
      </c>
      <c r="AW90" s="10">
        <v>244114.98</v>
      </c>
      <c r="AX90" s="10">
        <v>54683.6</v>
      </c>
      <c r="AY90" s="10">
        <v>34217.06</v>
      </c>
      <c r="AZ90" s="10">
        <v>47484.09</v>
      </c>
      <c r="BA90" s="10">
        <v>325568.24</v>
      </c>
      <c r="BB90" s="10">
        <v>184636.95</v>
      </c>
      <c r="BC90" s="10">
        <v>51543.08</v>
      </c>
      <c r="BD90" s="10">
        <v>83454.91</v>
      </c>
      <c r="BE90" s="10">
        <v>118413.26</v>
      </c>
      <c r="BF90" s="10">
        <v>332328.84000000003</v>
      </c>
      <c r="BG90" s="10">
        <v>141667.99</v>
      </c>
      <c r="BH90" s="10">
        <v>138202.32999999999</v>
      </c>
      <c r="BI90" s="10">
        <v>48393.59</v>
      </c>
      <c r="BJ90" s="10">
        <v>39009.01</v>
      </c>
      <c r="BK90" s="10">
        <v>76570.45</v>
      </c>
      <c r="BL90" s="10">
        <v>166037.68</v>
      </c>
      <c r="BM90" s="10">
        <v>14157.78</v>
      </c>
      <c r="BN90" s="10">
        <v>232536.31</v>
      </c>
      <c r="BO90" s="10">
        <v>655153.13</v>
      </c>
      <c r="BP90" s="10">
        <v>581035.63</v>
      </c>
      <c r="BQ90" s="10">
        <v>552036.23</v>
      </c>
      <c r="BR90" s="10">
        <v>321971.36</v>
      </c>
      <c r="BS90" s="10">
        <v>56238.77</v>
      </c>
      <c r="BT90" s="10">
        <v>53504.68</v>
      </c>
      <c r="BU90" s="10">
        <v>79907.179999999993</v>
      </c>
      <c r="BV90" s="10">
        <v>12581.21</v>
      </c>
      <c r="BW90" s="10">
        <v>42214.68</v>
      </c>
      <c r="BX90" s="10">
        <v>47050.48</v>
      </c>
      <c r="BY90" s="4">
        <v>0</v>
      </c>
      <c r="BZ90" s="4" t="s">
        <v>102</v>
      </c>
      <c r="CA90" s="4" t="s">
        <v>102</v>
      </c>
      <c r="CB90" s="4" t="s">
        <v>102</v>
      </c>
      <c r="CC90" s="4" t="s">
        <v>102</v>
      </c>
      <c r="CD90" s="4" t="s">
        <v>102</v>
      </c>
      <c r="CE90" s="4" t="s">
        <v>102</v>
      </c>
      <c r="CF90" s="4" t="s">
        <v>102</v>
      </c>
      <c r="CG90" s="4" t="s">
        <v>102</v>
      </c>
      <c r="CH90" s="4" t="s">
        <v>102</v>
      </c>
      <c r="CI90" s="4" t="s">
        <v>102</v>
      </c>
      <c r="CJ90" s="4" t="s">
        <v>102</v>
      </c>
      <c r="CK90" s="4" t="s">
        <v>102</v>
      </c>
      <c r="CL90" s="4" t="s">
        <v>102</v>
      </c>
      <c r="CM90" s="4" t="s">
        <v>102</v>
      </c>
      <c r="CN90" s="4" t="s">
        <v>102</v>
      </c>
      <c r="CO90" s="4" t="s">
        <v>102</v>
      </c>
    </row>
    <row r="91" spans="1:93" ht="14.5" x14ac:dyDescent="0.35">
      <c r="A91" s="92" t="s">
        <v>108</v>
      </c>
      <c r="B91" s="5" t="s">
        <v>102</v>
      </c>
      <c r="C91" s="5" t="s">
        <v>102</v>
      </c>
      <c r="D91" s="5" t="s">
        <v>102</v>
      </c>
      <c r="E91" s="5" t="s">
        <v>102</v>
      </c>
      <c r="F91" s="5" t="s">
        <v>102</v>
      </c>
      <c r="G91" s="5" t="s">
        <v>102</v>
      </c>
      <c r="H91" s="5" t="s">
        <v>102</v>
      </c>
      <c r="I91" s="5" t="s">
        <v>102</v>
      </c>
      <c r="J91" s="5" t="s">
        <v>102</v>
      </c>
      <c r="K91" s="5" t="s">
        <v>102</v>
      </c>
      <c r="L91" s="5" t="s">
        <v>102</v>
      </c>
      <c r="M91" s="11"/>
      <c r="N91" s="5" t="s">
        <v>102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5" t="s">
        <v>102</v>
      </c>
      <c r="X91" s="5" t="s">
        <v>102</v>
      </c>
      <c r="Y91" s="5" t="s">
        <v>102</v>
      </c>
      <c r="Z91" s="5" t="s">
        <v>102</v>
      </c>
      <c r="AA91" s="5" t="s">
        <v>102</v>
      </c>
      <c r="AB91" s="5" t="s">
        <v>102</v>
      </c>
      <c r="AC91" s="5" t="s">
        <v>102</v>
      </c>
      <c r="AD91" s="5" t="s">
        <v>102</v>
      </c>
      <c r="AE91" s="5" t="s">
        <v>102</v>
      </c>
      <c r="AF91" s="5" t="s">
        <v>102</v>
      </c>
      <c r="AG91" s="5" t="s">
        <v>102</v>
      </c>
      <c r="AH91" s="5" t="s">
        <v>102</v>
      </c>
      <c r="AI91" s="89" t="e">
        <f t="shared" si="79"/>
        <v>#VALUE!</v>
      </c>
      <c r="AJ91" s="5" t="s">
        <v>102</v>
      </c>
      <c r="AK91" s="29"/>
      <c r="AL91" s="5" t="s">
        <v>102</v>
      </c>
      <c r="AM91" s="5" t="s">
        <v>102</v>
      </c>
      <c r="AN91" s="5" t="s">
        <v>102</v>
      </c>
      <c r="AO91" s="5" t="s">
        <v>102</v>
      </c>
      <c r="AP91" s="5" t="s">
        <v>102</v>
      </c>
      <c r="AQ91" s="5" t="s">
        <v>102</v>
      </c>
      <c r="AR91" s="5" t="s">
        <v>102</v>
      </c>
      <c r="AS91" s="5" t="s">
        <v>102</v>
      </c>
      <c r="AT91" s="5" t="s">
        <v>102</v>
      </c>
      <c r="AU91" s="5" t="s">
        <v>102</v>
      </c>
      <c r="AV91" s="5" t="s">
        <v>102</v>
      </c>
      <c r="AW91" s="5" t="s">
        <v>102</v>
      </c>
      <c r="AX91" s="5" t="s">
        <v>102</v>
      </c>
      <c r="AY91" s="5" t="s">
        <v>102</v>
      </c>
      <c r="AZ91" s="5" t="s">
        <v>102</v>
      </c>
      <c r="BA91" s="5" t="s">
        <v>102</v>
      </c>
      <c r="BB91" s="5" t="s">
        <v>102</v>
      </c>
      <c r="BC91" s="5" t="s">
        <v>102</v>
      </c>
      <c r="BD91" s="5" t="s">
        <v>102</v>
      </c>
      <c r="BE91" s="5" t="s">
        <v>102</v>
      </c>
      <c r="BF91" s="5" t="s">
        <v>102</v>
      </c>
      <c r="BG91" s="5" t="s">
        <v>102</v>
      </c>
      <c r="BH91" s="5" t="s">
        <v>102</v>
      </c>
      <c r="BI91" s="5" t="s">
        <v>102</v>
      </c>
      <c r="BJ91" s="5" t="s">
        <v>102</v>
      </c>
      <c r="BK91" s="5" t="s">
        <v>102</v>
      </c>
      <c r="BL91" s="5" t="s">
        <v>102</v>
      </c>
      <c r="BM91" s="5" t="s">
        <v>102</v>
      </c>
      <c r="BN91" s="5" t="s">
        <v>102</v>
      </c>
      <c r="BO91" s="5" t="s">
        <v>102</v>
      </c>
      <c r="BP91" s="5" t="s">
        <v>102</v>
      </c>
      <c r="BQ91" s="5" t="s">
        <v>102</v>
      </c>
      <c r="BR91" s="5" t="s">
        <v>102</v>
      </c>
      <c r="BS91" s="5" t="s">
        <v>102</v>
      </c>
      <c r="BT91" s="5" t="s">
        <v>102</v>
      </c>
      <c r="BU91" s="5" t="s">
        <v>102</v>
      </c>
      <c r="BV91" s="5" t="s">
        <v>102</v>
      </c>
      <c r="BW91" s="5" t="s">
        <v>102</v>
      </c>
      <c r="BX91" s="5" t="s">
        <v>102</v>
      </c>
      <c r="BY91" s="5" t="s">
        <v>102</v>
      </c>
      <c r="BZ91" s="5" t="s">
        <v>102</v>
      </c>
      <c r="CA91" s="5" t="s">
        <v>102</v>
      </c>
      <c r="CB91" s="5" t="s">
        <v>102</v>
      </c>
      <c r="CC91" s="5" t="s">
        <v>102</v>
      </c>
      <c r="CD91" s="5" t="s">
        <v>102</v>
      </c>
      <c r="CE91" s="5" t="s">
        <v>102</v>
      </c>
      <c r="CF91" s="5" t="s">
        <v>102</v>
      </c>
      <c r="CG91" s="5" t="s">
        <v>102</v>
      </c>
      <c r="CH91" s="5" t="s">
        <v>102</v>
      </c>
      <c r="CI91" s="5" t="s">
        <v>102</v>
      </c>
      <c r="CJ91" s="5" t="s">
        <v>102</v>
      </c>
      <c r="CK91" s="5" t="s">
        <v>102</v>
      </c>
      <c r="CL91" s="5" t="s">
        <v>102</v>
      </c>
      <c r="CM91" s="5" t="s">
        <v>102</v>
      </c>
      <c r="CN91" s="5" t="s">
        <v>102</v>
      </c>
      <c r="CO91" s="5" t="s">
        <v>102</v>
      </c>
    </row>
    <row r="92" spans="1:93" ht="14.5" x14ac:dyDescent="0.35">
      <c r="A92" s="92" t="s">
        <v>109</v>
      </c>
      <c r="B92" s="10">
        <v>443997.48</v>
      </c>
      <c r="C92" s="10">
        <v>9308.7000000000007</v>
      </c>
      <c r="D92" s="10">
        <v>866.56</v>
      </c>
      <c r="E92" s="10">
        <v>266.14999999999998</v>
      </c>
      <c r="F92" s="10">
        <v>1127.94</v>
      </c>
      <c r="G92" s="10">
        <v>9168.19</v>
      </c>
      <c r="H92" s="10">
        <v>2000.85</v>
      </c>
      <c r="I92" s="10">
        <v>961.95</v>
      </c>
      <c r="J92" s="10">
        <v>1470.16</v>
      </c>
      <c r="K92" s="10">
        <v>433.72</v>
      </c>
      <c r="L92" s="10">
        <v>4171.62</v>
      </c>
      <c r="M92" s="11">
        <f>N92-SUM(O92:U92)</f>
        <v>5689.22</v>
      </c>
      <c r="N92" s="10">
        <v>5689.22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0">
        <v>1929.13</v>
      </c>
      <c r="X92" s="10">
        <v>2289.31</v>
      </c>
      <c r="Y92" s="10">
        <v>2308.09</v>
      </c>
      <c r="Z92" s="10">
        <v>2754.93</v>
      </c>
      <c r="AA92" s="10">
        <v>3317.97</v>
      </c>
      <c r="AB92" s="10">
        <v>1717.26</v>
      </c>
      <c r="AC92" s="10">
        <v>2042.88</v>
      </c>
      <c r="AD92" s="10">
        <v>3006.08</v>
      </c>
      <c r="AE92" s="10">
        <v>3850.09</v>
      </c>
      <c r="AF92" s="10">
        <v>1059.27</v>
      </c>
      <c r="AG92" s="10">
        <v>2142.59</v>
      </c>
      <c r="AH92" s="10">
        <v>1806.54</v>
      </c>
      <c r="AI92" s="89">
        <f t="shared" si="79"/>
        <v>1867.66</v>
      </c>
      <c r="AJ92" s="10">
        <v>1867.66</v>
      </c>
      <c r="AK92" s="29"/>
      <c r="AL92" s="10">
        <v>905.03</v>
      </c>
      <c r="AM92" s="10">
        <v>6388.83</v>
      </c>
      <c r="AN92" s="10">
        <v>19987.36</v>
      </c>
      <c r="AO92" s="10">
        <v>3027.57</v>
      </c>
      <c r="AP92" s="10">
        <v>11918.74</v>
      </c>
      <c r="AQ92" s="10">
        <v>7469.5</v>
      </c>
      <c r="AR92" s="10">
        <v>23936.26</v>
      </c>
      <c r="AS92" s="10">
        <v>3019.92</v>
      </c>
      <c r="AT92" s="10">
        <v>4737.57</v>
      </c>
      <c r="AU92" s="10">
        <v>10056.89</v>
      </c>
      <c r="AV92" s="10">
        <v>3968.02</v>
      </c>
      <c r="AW92" s="10">
        <v>13755.93</v>
      </c>
      <c r="AX92" s="10">
        <v>1477.13</v>
      </c>
      <c r="AY92" s="10">
        <v>1266.8800000000001</v>
      </c>
      <c r="AZ92" s="10">
        <v>1940.13</v>
      </c>
      <c r="BA92" s="10">
        <v>6201.32</v>
      </c>
      <c r="BB92" s="10">
        <v>19913.91</v>
      </c>
      <c r="BC92" s="10">
        <v>16853.82</v>
      </c>
      <c r="BD92" s="10">
        <v>11259.5</v>
      </c>
      <c r="BE92" s="10">
        <v>26964.02</v>
      </c>
      <c r="BF92" s="10">
        <v>10388.31</v>
      </c>
      <c r="BG92" s="10">
        <v>2487.38</v>
      </c>
      <c r="BH92" s="10">
        <v>6611.85</v>
      </c>
      <c r="BI92" s="10">
        <v>1072.5999999999999</v>
      </c>
      <c r="BJ92" s="10">
        <v>1462.37</v>
      </c>
      <c r="BK92" s="10">
        <v>5369.83</v>
      </c>
      <c r="BL92" s="10">
        <v>830.3</v>
      </c>
      <c r="BM92" s="10">
        <v>1199.31</v>
      </c>
      <c r="BN92" s="10">
        <v>4627.9399999999996</v>
      </c>
      <c r="BO92" s="10">
        <v>48782.05</v>
      </c>
      <c r="BP92" s="10">
        <v>17577.060000000001</v>
      </c>
      <c r="BQ92" s="10">
        <v>43070.36</v>
      </c>
      <c r="BR92" s="10">
        <v>18110.21</v>
      </c>
      <c r="BS92" s="10">
        <v>7877.76</v>
      </c>
      <c r="BT92" s="10">
        <v>5223.6099999999997</v>
      </c>
      <c r="BU92" s="10">
        <v>6621.24</v>
      </c>
      <c r="BV92" s="10">
        <v>297.81</v>
      </c>
      <c r="BW92" s="10">
        <v>1675.81</v>
      </c>
      <c r="BX92" s="10">
        <v>106.54</v>
      </c>
      <c r="BY92" s="4">
        <v>0</v>
      </c>
      <c r="BZ92" s="10">
        <v>961628.77</v>
      </c>
      <c r="CA92" s="10">
        <v>19209.88</v>
      </c>
      <c r="CB92" s="10">
        <v>942346.87</v>
      </c>
      <c r="CC92" s="10">
        <v>72.02</v>
      </c>
      <c r="CD92" s="10">
        <v>253398.24</v>
      </c>
      <c r="CE92" s="10">
        <v>1079.1400000000001</v>
      </c>
      <c r="CF92" s="4" t="s">
        <v>102</v>
      </c>
      <c r="CG92" s="4" t="s">
        <v>102</v>
      </c>
      <c r="CH92" s="4" t="s">
        <v>102</v>
      </c>
      <c r="CI92" s="4" t="s">
        <v>102</v>
      </c>
      <c r="CJ92" s="4" t="s">
        <v>102</v>
      </c>
      <c r="CK92" s="10">
        <v>252319.1</v>
      </c>
      <c r="CL92" s="4" t="s">
        <v>102</v>
      </c>
      <c r="CM92" s="4" t="s">
        <v>102</v>
      </c>
      <c r="CN92" s="10">
        <v>1659024.49</v>
      </c>
      <c r="CO92" s="10">
        <v>1215027.01</v>
      </c>
    </row>
    <row r="93" spans="1:93" ht="14.5" x14ac:dyDescent="0.35">
      <c r="A93" s="92" t="s">
        <v>110</v>
      </c>
      <c r="B93" s="11">
        <v>189990.03</v>
      </c>
      <c r="C93" s="5">
        <v>-38842</v>
      </c>
      <c r="D93" s="11">
        <v>-328.1</v>
      </c>
      <c r="E93" s="11">
        <v>-172.96</v>
      </c>
      <c r="F93" s="11">
        <v>432.28</v>
      </c>
      <c r="G93" s="11">
        <v>-327.76</v>
      </c>
      <c r="H93" s="11">
        <v>248.48</v>
      </c>
      <c r="I93" s="11">
        <v>442.77</v>
      </c>
      <c r="J93" s="11">
        <v>638.44000000000005</v>
      </c>
      <c r="K93" s="11">
        <v>41.31</v>
      </c>
      <c r="L93" s="11">
        <v>5955.9</v>
      </c>
      <c r="M93" s="11">
        <f>N93-SUM(O93:U93)</f>
        <v>1522.61</v>
      </c>
      <c r="N93" s="11">
        <v>1522.61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1">
        <v>457.52</v>
      </c>
      <c r="X93" s="5">
        <v>345</v>
      </c>
      <c r="Y93" s="11">
        <v>2004.47</v>
      </c>
      <c r="Z93" s="11">
        <v>1060.8499999999999</v>
      </c>
      <c r="AA93" s="11">
        <v>1021.39</v>
      </c>
      <c r="AB93" s="11">
        <v>19.57</v>
      </c>
      <c r="AC93" s="11">
        <v>61.09</v>
      </c>
      <c r="AD93" s="11">
        <v>380.78</v>
      </c>
      <c r="AE93" s="11">
        <v>606.14</v>
      </c>
      <c r="AF93" s="11">
        <v>53.18</v>
      </c>
      <c r="AG93" s="11">
        <v>468.64</v>
      </c>
      <c r="AH93" s="11">
        <v>1027.69</v>
      </c>
      <c r="AI93" s="89">
        <f t="shared" si="79"/>
        <v>7229.04</v>
      </c>
      <c r="AJ93" s="11">
        <v>7229.04</v>
      </c>
      <c r="AK93" s="29"/>
      <c r="AL93" s="11">
        <v>239.4</v>
      </c>
      <c r="AM93" s="11">
        <v>1201.0999999999999</v>
      </c>
      <c r="AN93" s="11">
        <v>12301.6</v>
      </c>
      <c r="AO93" s="11">
        <v>5482.22</v>
      </c>
      <c r="AP93" s="11">
        <v>-10380.16</v>
      </c>
      <c r="AQ93" s="11">
        <v>27962.39</v>
      </c>
      <c r="AR93" s="11">
        <v>-3046.22</v>
      </c>
      <c r="AS93" s="11">
        <v>-387.88</v>
      </c>
      <c r="AT93" s="11">
        <v>230.13</v>
      </c>
      <c r="AU93" s="11">
        <v>3676.6</v>
      </c>
      <c r="AV93" s="11">
        <v>-672.44</v>
      </c>
      <c r="AW93" s="11">
        <v>4159.66</v>
      </c>
      <c r="AX93" s="11">
        <v>497.89</v>
      </c>
      <c r="AY93" s="11">
        <v>-971.98</v>
      </c>
      <c r="AZ93" s="11">
        <v>2192.15</v>
      </c>
      <c r="BA93" s="11">
        <v>5044.91</v>
      </c>
      <c r="BB93" s="11">
        <v>30477.07</v>
      </c>
      <c r="BC93" s="11">
        <v>3836.72</v>
      </c>
      <c r="BD93" s="11">
        <v>4631.67</v>
      </c>
      <c r="BE93" s="11">
        <v>94462.9</v>
      </c>
      <c r="BF93" s="11">
        <v>5414.72</v>
      </c>
      <c r="BG93" s="11">
        <v>2072.38</v>
      </c>
      <c r="BH93" s="11">
        <v>-2856.3</v>
      </c>
      <c r="BI93" s="11">
        <v>707.9</v>
      </c>
      <c r="BJ93" s="11">
        <v>507.49</v>
      </c>
      <c r="BK93" s="11">
        <v>952.88</v>
      </c>
      <c r="BL93" s="11">
        <v>1510.24</v>
      </c>
      <c r="BM93" s="11">
        <v>-624.9</v>
      </c>
      <c r="BN93" s="11">
        <v>-173.73</v>
      </c>
      <c r="BO93" s="5">
        <v>10525</v>
      </c>
      <c r="BP93" s="11">
        <v>4600.87</v>
      </c>
      <c r="BQ93" s="11">
        <v>2852.01</v>
      </c>
      <c r="BR93" s="11">
        <v>-360.82</v>
      </c>
      <c r="BS93" s="11">
        <v>221.76</v>
      </c>
      <c r="BT93" s="11">
        <v>-608.19000000000005</v>
      </c>
      <c r="BU93" s="11">
        <v>-835.62</v>
      </c>
      <c r="BV93" s="11">
        <v>283.57</v>
      </c>
      <c r="BW93" s="11">
        <v>493.38</v>
      </c>
      <c r="BX93" s="11">
        <v>23.35</v>
      </c>
      <c r="BY93" s="5">
        <v>0</v>
      </c>
      <c r="BZ93" s="5" t="s">
        <v>102</v>
      </c>
      <c r="CA93" s="5" t="s">
        <v>102</v>
      </c>
      <c r="CB93" s="5" t="s">
        <v>102</v>
      </c>
      <c r="CC93" s="5" t="s">
        <v>102</v>
      </c>
      <c r="CD93" s="5" t="s">
        <v>102</v>
      </c>
      <c r="CE93" s="5" t="s">
        <v>102</v>
      </c>
      <c r="CF93" s="5" t="s">
        <v>102</v>
      </c>
      <c r="CG93" s="5" t="s">
        <v>102</v>
      </c>
      <c r="CH93" s="5" t="s">
        <v>102</v>
      </c>
      <c r="CI93" s="5" t="s">
        <v>102</v>
      </c>
      <c r="CJ93" s="5" t="s">
        <v>102</v>
      </c>
      <c r="CK93" s="5" t="s">
        <v>102</v>
      </c>
      <c r="CL93" s="5" t="s">
        <v>102</v>
      </c>
      <c r="CM93" s="5" t="s">
        <v>102</v>
      </c>
      <c r="CN93" s="5" t="s">
        <v>102</v>
      </c>
      <c r="CO93" s="5" t="s">
        <v>102</v>
      </c>
    </row>
    <row r="94" spans="1:93" ht="14.5" x14ac:dyDescent="0.35">
      <c r="A94" s="92" t="s">
        <v>111</v>
      </c>
      <c r="B94" s="4" t="s">
        <v>102</v>
      </c>
      <c r="C94" s="10">
        <v>525938.80000000005</v>
      </c>
      <c r="D94" s="10">
        <v>64157.9</v>
      </c>
      <c r="E94" s="10">
        <v>14413.3</v>
      </c>
      <c r="F94" s="10">
        <v>104214.3</v>
      </c>
      <c r="G94" s="10">
        <v>1361365.54</v>
      </c>
      <c r="H94" s="10">
        <v>229401.5</v>
      </c>
      <c r="I94" s="10">
        <v>167404.75</v>
      </c>
      <c r="J94" s="10">
        <v>216741.15</v>
      </c>
      <c r="K94" s="10">
        <v>60993.85</v>
      </c>
      <c r="L94" s="10">
        <v>517357.78</v>
      </c>
      <c r="M94" s="11">
        <f>N94-SUM(O94:U94)</f>
        <v>621875.07999999996</v>
      </c>
      <c r="N94" s="10">
        <v>621875.07999999996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0">
        <v>336228.83</v>
      </c>
      <c r="X94" s="10">
        <v>348873.88</v>
      </c>
      <c r="Y94" s="10">
        <v>251871.08</v>
      </c>
      <c r="Z94" s="10">
        <v>498854.44</v>
      </c>
      <c r="AA94" s="10">
        <v>599848.14</v>
      </c>
      <c r="AB94" s="10">
        <v>358846.32</v>
      </c>
      <c r="AC94" s="10">
        <v>367571.73</v>
      </c>
      <c r="AD94" s="10">
        <v>716442.73</v>
      </c>
      <c r="AE94" s="10">
        <v>949794.12</v>
      </c>
      <c r="AF94" s="10">
        <v>255710.35</v>
      </c>
      <c r="AG94" s="10">
        <v>275411.15999999997</v>
      </c>
      <c r="AH94" s="10">
        <v>339119.74</v>
      </c>
      <c r="AI94" s="89">
        <f t="shared" si="79"/>
        <v>1055512.78</v>
      </c>
      <c r="AJ94" s="10">
        <v>1055512.78</v>
      </c>
      <c r="AK94" s="29"/>
      <c r="AL94" s="10">
        <v>68244.12</v>
      </c>
      <c r="AM94" s="10">
        <v>332115.67</v>
      </c>
      <c r="AN94" s="10">
        <v>2446099.29</v>
      </c>
      <c r="AO94" s="10">
        <v>409392.89</v>
      </c>
      <c r="AP94" s="10">
        <v>1779584.2</v>
      </c>
      <c r="AQ94" s="10">
        <v>1110373.51</v>
      </c>
      <c r="AR94" s="10">
        <v>796327.49</v>
      </c>
      <c r="AS94" s="10">
        <v>228663.6</v>
      </c>
      <c r="AT94" s="10">
        <v>155432.32999999999</v>
      </c>
      <c r="AU94" s="10">
        <v>708618.86</v>
      </c>
      <c r="AV94" s="10">
        <v>150023.24</v>
      </c>
      <c r="AW94" s="10">
        <v>911838.13</v>
      </c>
      <c r="AX94" s="10">
        <v>244775.95</v>
      </c>
      <c r="AY94" s="10">
        <v>156848.37</v>
      </c>
      <c r="AZ94" s="10">
        <v>336190.82</v>
      </c>
      <c r="BA94" s="10">
        <v>1106942.73</v>
      </c>
      <c r="BB94" s="10">
        <v>765990.58</v>
      </c>
      <c r="BC94" s="10">
        <v>392180.56</v>
      </c>
      <c r="BD94" s="10">
        <v>345609.68</v>
      </c>
      <c r="BE94" s="10">
        <v>2200099.9900000002</v>
      </c>
      <c r="BF94" s="10">
        <v>1113220.55</v>
      </c>
      <c r="BG94" s="10">
        <v>466497.17</v>
      </c>
      <c r="BH94" s="10">
        <v>446096.66</v>
      </c>
      <c r="BI94" s="10">
        <v>204472.48</v>
      </c>
      <c r="BJ94" s="10">
        <v>178213.86</v>
      </c>
      <c r="BK94" s="10">
        <v>548412.97</v>
      </c>
      <c r="BL94" s="10">
        <v>246705.1</v>
      </c>
      <c r="BM94" s="10">
        <v>128296.19</v>
      </c>
      <c r="BN94" s="10">
        <v>669364.03</v>
      </c>
      <c r="BO94" s="10">
        <v>1322073.73</v>
      </c>
      <c r="BP94" s="10">
        <v>903706.36</v>
      </c>
      <c r="BQ94" s="10">
        <v>1237943.25</v>
      </c>
      <c r="BR94" s="10">
        <v>540284.71</v>
      </c>
      <c r="BS94" s="10">
        <v>224635.63</v>
      </c>
      <c r="BT94" s="10">
        <v>166309.94</v>
      </c>
      <c r="BU94" s="10">
        <v>150715.85999999999</v>
      </c>
      <c r="BV94" s="10">
        <v>45185.21</v>
      </c>
      <c r="BW94" s="10">
        <v>190743.59</v>
      </c>
      <c r="BX94" s="10">
        <v>48364.04</v>
      </c>
      <c r="BY94" s="4">
        <v>0</v>
      </c>
      <c r="BZ94" s="4" t="s">
        <v>102</v>
      </c>
      <c r="CA94" s="4" t="s">
        <v>102</v>
      </c>
      <c r="CB94" s="4" t="s">
        <v>102</v>
      </c>
      <c r="CC94" s="4" t="s">
        <v>102</v>
      </c>
      <c r="CD94" s="4" t="s">
        <v>102</v>
      </c>
      <c r="CE94" s="4" t="s">
        <v>102</v>
      </c>
      <c r="CF94" s="4" t="s">
        <v>102</v>
      </c>
      <c r="CG94" s="4" t="s">
        <v>102</v>
      </c>
      <c r="CH94" s="4" t="s">
        <v>102</v>
      </c>
      <c r="CI94" s="4" t="s">
        <v>102</v>
      </c>
      <c r="CJ94" s="4" t="s">
        <v>102</v>
      </c>
      <c r="CK94" s="4" t="s">
        <v>102</v>
      </c>
      <c r="CL94" s="4" t="s">
        <v>102</v>
      </c>
      <c r="CM94" s="4" t="s">
        <v>102</v>
      </c>
      <c r="CN94" s="4" t="s">
        <v>102</v>
      </c>
      <c r="CO94" s="4" t="s">
        <v>102</v>
      </c>
    </row>
    <row r="95" spans="1:93" ht="14.5" x14ac:dyDescent="0.35">
      <c r="A95" s="92" t="s">
        <v>112</v>
      </c>
      <c r="B95" s="11">
        <v>18169062.75</v>
      </c>
      <c r="C95" s="11">
        <v>301589.71000000002</v>
      </c>
      <c r="D95" s="11">
        <v>33095.1</v>
      </c>
      <c r="E95" s="11">
        <v>7923.64</v>
      </c>
      <c r="F95" s="11">
        <v>50100.29</v>
      </c>
      <c r="G95" s="11">
        <v>1047150.69</v>
      </c>
      <c r="H95" s="11">
        <v>150169.71</v>
      </c>
      <c r="I95" s="11">
        <v>115733.98</v>
      </c>
      <c r="J95" s="11">
        <v>161829.10999999999</v>
      </c>
      <c r="K95" s="11">
        <v>38250.910000000003</v>
      </c>
      <c r="L95" s="95">
        <v>452392.11</v>
      </c>
      <c r="M95" s="11">
        <f>N95-SUM(O95:U95)</f>
        <v>474595.39</v>
      </c>
      <c r="N95" s="11">
        <v>474595.39</v>
      </c>
      <c r="O95" s="15"/>
      <c r="P95" s="15"/>
      <c r="Q95" s="18"/>
      <c r="R95" s="18"/>
      <c r="S95" s="21"/>
      <c r="T95" s="21"/>
      <c r="U95" s="24"/>
      <c r="V95" s="74"/>
      <c r="W95" s="11">
        <v>176828.39</v>
      </c>
      <c r="X95" s="11">
        <v>241464.86</v>
      </c>
      <c r="Y95" s="11">
        <v>169333.15</v>
      </c>
      <c r="Z95" s="11">
        <v>403263.59</v>
      </c>
      <c r="AA95" s="11">
        <v>393323.08</v>
      </c>
      <c r="AB95" s="11">
        <v>192357.71</v>
      </c>
      <c r="AC95" s="11">
        <v>253966.56</v>
      </c>
      <c r="AD95" s="11">
        <v>469497.56</v>
      </c>
      <c r="AE95" s="11">
        <v>705526.61</v>
      </c>
      <c r="AF95" s="11">
        <v>190775.27</v>
      </c>
      <c r="AG95" s="11">
        <v>168796.76</v>
      </c>
      <c r="AH95" s="11">
        <v>206045.37</v>
      </c>
      <c r="AI95" s="89">
        <f t="shared" si="79"/>
        <v>659950.19999999995</v>
      </c>
      <c r="AJ95" s="11">
        <v>659950.19999999995</v>
      </c>
      <c r="AK95" s="29"/>
      <c r="AL95" s="11">
        <v>36390.68</v>
      </c>
      <c r="AM95" s="11">
        <v>194287.26</v>
      </c>
      <c r="AN95" s="11">
        <v>1550475.94</v>
      </c>
      <c r="AO95" s="11">
        <v>205976.89</v>
      </c>
      <c r="AP95" s="11">
        <v>917997.24</v>
      </c>
      <c r="AQ95" s="11">
        <v>489292.88</v>
      </c>
      <c r="AR95" s="11">
        <v>476945.73</v>
      </c>
      <c r="AS95" s="11">
        <v>157144.62</v>
      </c>
      <c r="AT95" s="11">
        <v>122351.93</v>
      </c>
      <c r="AU95" s="11">
        <v>431874.08</v>
      </c>
      <c r="AV95" s="11">
        <v>91532.42</v>
      </c>
      <c r="AW95" s="11">
        <v>480033.15</v>
      </c>
      <c r="AX95" s="11">
        <v>129900.65</v>
      </c>
      <c r="AY95" s="11">
        <v>95102.51</v>
      </c>
      <c r="AZ95" s="11">
        <v>203085.48</v>
      </c>
      <c r="BA95" s="11">
        <v>581688.91</v>
      </c>
      <c r="BB95" s="11">
        <v>368145.91</v>
      </c>
      <c r="BC95" s="11">
        <v>261619.13</v>
      </c>
      <c r="BD95" s="11">
        <v>193677.2</v>
      </c>
      <c r="BE95" s="11">
        <v>491128.5</v>
      </c>
      <c r="BF95" s="11">
        <v>565041.31999999995</v>
      </c>
      <c r="BG95" s="11">
        <v>235498.12</v>
      </c>
      <c r="BH95" s="11">
        <v>201884.51</v>
      </c>
      <c r="BI95" s="11">
        <v>122443.78</v>
      </c>
      <c r="BJ95" s="11">
        <v>91001.53</v>
      </c>
      <c r="BK95" s="11">
        <v>272738.42</v>
      </c>
      <c r="BL95" s="11">
        <v>63561.62</v>
      </c>
      <c r="BM95" s="11">
        <v>96712.52</v>
      </c>
      <c r="BN95" s="11">
        <v>332835.21000000002</v>
      </c>
      <c r="BO95" s="11">
        <v>441571.01</v>
      </c>
      <c r="BP95" s="11">
        <v>200391.74</v>
      </c>
      <c r="BQ95" s="11">
        <v>465978.08</v>
      </c>
      <c r="BR95" s="11">
        <v>172848.22</v>
      </c>
      <c r="BS95" s="11">
        <v>114127.27</v>
      </c>
      <c r="BT95" s="11">
        <v>88835.43</v>
      </c>
      <c r="BU95" s="11">
        <v>63240.25</v>
      </c>
      <c r="BV95" s="11">
        <v>21667.49</v>
      </c>
      <c r="BW95" s="11">
        <v>75197.009999999995</v>
      </c>
      <c r="BX95" s="11">
        <v>878.37</v>
      </c>
      <c r="BY95" s="5">
        <v>0</v>
      </c>
      <c r="BZ95" s="11">
        <v>12810851.390000001</v>
      </c>
      <c r="CA95" s="11">
        <v>3638676.39</v>
      </c>
      <c r="CB95" s="11">
        <v>8944366.7300000004</v>
      </c>
      <c r="CC95" s="11">
        <v>227808.27</v>
      </c>
      <c r="CD95" s="11">
        <v>3851774.89</v>
      </c>
      <c r="CE95" s="11">
        <v>60608.06</v>
      </c>
      <c r="CF95" s="11">
        <v>3688498.18</v>
      </c>
      <c r="CG95" s="5" t="s">
        <v>102</v>
      </c>
      <c r="CH95" s="11">
        <v>3688498.18</v>
      </c>
      <c r="CI95" s="5" t="s">
        <v>102</v>
      </c>
      <c r="CJ95" s="5" t="s">
        <v>102</v>
      </c>
      <c r="CK95" s="11">
        <v>3791166.83</v>
      </c>
      <c r="CL95" s="5" t="s">
        <v>102</v>
      </c>
      <c r="CM95" s="5" t="s">
        <v>102</v>
      </c>
      <c r="CN95" s="11">
        <v>38520187.200000003</v>
      </c>
      <c r="CO95" s="11">
        <v>20351124.460000001</v>
      </c>
    </row>
    <row r="96" spans="1:93" ht="14.5" x14ac:dyDescent="0.35">
      <c r="A96" s="92" t="s">
        <v>113</v>
      </c>
      <c r="B96" s="4" t="s">
        <v>102</v>
      </c>
      <c r="C96" s="4" t="s">
        <v>102</v>
      </c>
      <c r="D96" s="4" t="s">
        <v>102</v>
      </c>
      <c r="E96" s="4" t="s">
        <v>102</v>
      </c>
      <c r="F96" s="4" t="s">
        <v>102</v>
      </c>
      <c r="G96" s="4" t="s">
        <v>102</v>
      </c>
      <c r="H96" s="4" t="s">
        <v>102</v>
      </c>
      <c r="I96" s="4" t="s">
        <v>102</v>
      </c>
      <c r="J96" s="4" t="s">
        <v>102</v>
      </c>
      <c r="K96" s="4" t="s">
        <v>102</v>
      </c>
      <c r="L96" s="4" t="s">
        <v>102</v>
      </c>
      <c r="M96" s="11"/>
      <c r="N96" s="4" t="s">
        <v>102</v>
      </c>
      <c r="O96" s="15"/>
      <c r="P96" s="15"/>
      <c r="Q96" s="18"/>
      <c r="R96" s="18"/>
      <c r="S96" s="21"/>
      <c r="T96" s="21"/>
      <c r="U96" s="24"/>
      <c r="V96" s="74"/>
      <c r="W96" s="4" t="s">
        <v>102</v>
      </c>
      <c r="X96" s="4" t="s">
        <v>102</v>
      </c>
      <c r="Y96" s="4" t="s">
        <v>102</v>
      </c>
      <c r="Z96" s="4" t="s">
        <v>102</v>
      </c>
      <c r="AA96" s="4" t="s">
        <v>102</v>
      </c>
      <c r="AB96" s="4" t="s">
        <v>102</v>
      </c>
      <c r="AC96" s="4" t="s">
        <v>102</v>
      </c>
      <c r="AD96" s="4" t="s">
        <v>102</v>
      </c>
      <c r="AE96" s="4" t="s">
        <v>102</v>
      </c>
      <c r="AF96" s="4" t="s">
        <v>102</v>
      </c>
      <c r="AG96" s="4" t="s">
        <v>102</v>
      </c>
      <c r="AH96" s="4" t="s">
        <v>102</v>
      </c>
      <c r="AI96" s="89" t="e">
        <f t="shared" si="79"/>
        <v>#VALUE!</v>
      </c>
      <c r="AJ96" s="4" t="s">
        <v>102</v>
      </c>
      <c r="AK96" s="29"/>
      <c r="AL96" s="4" t="s">
        <v>102</v>
      </c>
      <c r="AM96" s="4" t="s">
        <v>102</v>
      </c>
      <c r="AN96" s="4" t="s">
        <v>102</v>
      </c>
      <c r="AO96" s="4" t="s">
        <v>102</v>
      </c>
      <c r="AP96" s="4" t="s">
        <v>102</v>
      </c>
      <c r="AQ96" s="4" t="s">
        <v>102</v>
      </c>
      <c r="AR96" s="4" t="s">
        <v>102</v>
      </c>
      <c r="AS96" s="4" t="s">
        <v>102</v>
      </c>
      <c r="AT96" s="4" t="s">
        <v>102</v>
      </c>
      <c r="AU96" s="4" t="s">
        <v>102</v>
      </c>
      <c r="AV96" s="4" t="s">
        <v>102</v>
      </c>
      <c r="AW96" s="4" t="s">
        <v>102</v>
      </c>
      <c r="AX96" s="4" t="s">
        <v>102</v>
      </c>
      <c r="AY96" s="4" t="s">
        <v>102</v>
      </c>
      <c r="AZ96" s="4" t="s">
        <v>102</v>
      </c>
      <c r="BA96" s="4" t="s">
        <v>102</v>
      </c>
      <c r="BB96" s="4" t="s">
        <v>102</v>
      </c>
      <c r="BC96" s="4" t="s">
        <v>102</v>
      </c>
      <c r="BD96" s="4" t="s">
        <v>102</v>
      </c>
      <c r="BE96" s="4" t="s">
        <v>102</v>
      </c>
      <c r="BF96" s="4" t="s">
        <v>102</v>
      </c>
      <c r="BG96" s="4" t="s">
        <v>102</v>
      </c>
      <c r="BH96" s="4" t="s">
        <v>102</v>
      </c>
      <c r="BI96" s="4" t="s">
        <v>102</v>
      </c>
      <c r="BJ96" s="4" t="s">
        <v>102</v>
      </c>
      <c r="BK96" s="4" t="s">
        <v>102</v>
      </c>
      <c r="BL96" s="4" t="s">
        <v>102</v>
      </c>
      <c r="BM96" s="4" t="s">
        <v>102</v>
      </c>
      <c r="BN96" s="4" t="s">
        <v>102</v>
      </c>
      <c r="BO96" s="4" t="s">
        <v>102</v>
      </c>
      <c r="BP96" s="4" t="s">
        <v>102</v>
      </c>
      <c r="BQ96" s="4" t="s">
        <v>102</v>
      </c>
      <c r="BR96" s="4" t="s">
        <v>102</v>
      </c>
      <c r="BS96" s="4" t="s">
        <v>102</v>
      </c>
      <c r="BT96" s="4" t="s">
        <v>102</v>
      </c>
      <c r="BU96" s="4" t="s">
        <v>102</v>
      </c>
      <c r="BV96" s="4" t="s">
        <v>102</v>
      </c>
      <c r="BW96" s="4" t="s">
        <v>102</v>
      </c>
      <c r="BX96" s="4" t="s">
        <v>102</v>
      </c>
      <c r="BY96" s="4" t="s">
        <v>102</v>
      </c>
      <c r="BZ96" s="4" t="s">
        <v>102</v>
      </c>
      <c r="CA96" s="4" t="s">
        <v>102</v>
      </c>
      <c r="CB96" s="4" t="s">
        <v>102</v>
      </c>
      <c r="CC96" s="4" t="s">
        <v>102</v>
      </c>
      <c r="CD96" s="4" t="s">
        <v>102</v>
      </c>
      <c r="CE96" s="4" t="s">
        <v>102</v>
      </c>
      <c r="CF96" s="4" t="s">
        <v>102</v>
      </c>
      <c r="CG96" s="4" t="s">
        <v>102</v>
      </c>
      <c r="CH96" s="4" t="s">
        <v>102</v>
      </c>
      <c r="CI96" s="4" t="s">
        <v>102</v>
      </c>
      <c r="CJ96" s="4" t="s">
        <v>102</v>
      </c>
      <c r="CK96" s="4" t="s">
        <v>102</v>
      </c>
      <c r="CL96" s="4" t="s">
        <v>102</v>
      </c>
      <c r="CM96" s="4" t="s">
        <v>102</v>
      </c>
      <c r="CN96" s="4" t="s">
        <v>102</v>
      </c>
      <c r="CO96" s="4" t="s">
        <v>102</v>
      </c>
    </row>
    <row r="97" spans="1:93" ht="14.5" x14ac:dyDescent="0.35">
      <c r="A97" s="92" t="s">
        <v>114</v>
      </c>
      <c r="B97" s="5" t="s">
        <v>102</v>
      </c>
      <c r="C97" s="5" t="s">
        <v>102</v>
      </c>
      <c r="D97" s="5" t="s">
        <v>102</v>
      </c>
      <c r="E97" s="5" t="s">
        <v>102</v>
      </c>
      <c r="F97" s="5" t="s">
        <v>102</v>
      </c>
      <c r="G97" s="5" t="s">
        <v>102</v>
      </c>
      <c r="H97" s="5" t="s">
        <v>102</v>
      </c>
      <c r="I97" s="5" t="s">
        <v>102</v>
      </c>
      <c r="J97" s="5" t="s">
        <v>102</v>
      </c>
      <c r="K97" s="5" t="s">
        <v>102</v>
      </c>
      <c r="L97" s="5" t="s">
        <v>102</v>
      </c>
      <c r="M97" s="11"/>
      <c r="N97" s="5" t="s">
        <v>102</v>
      </c>
      <c r="O97" s="15"/>
      <c r="P97" s="15"/>
      <c r="Q97" s="18"/>
      <c r="R97" s="18"/>
      <c r="S97" s="21"/>
      <c r="T97" s="21"/>
      <c r="U97" s="24"/>
      <c r="V97" s="74"/>
      <c r="W97" s="5" t="s">
        <v>102</v>
      </c>
      <c r="X97" s="5" t="s">
        <v>102</v>
      </c>
      <c r="Y97" s="5" t="s">
        <v>102</v>
      </c>
      <c r="Z97" s="5" t="s">
        <v>102</v>
      </c>
      <c r="AA97" s="5" t="s">
        <v>102</v>
      </c>
      <c r="AB97" s="5" t="s">
        <v>102</v>
      </c>
      <c r="AC97" s="5" t="s">
        <v>102</v>
      </c>
      <c r="AD97" s="5" t="s">
        <v>102</v>
      </c>
      <c r="AE97" s="5" t="s">
        <v>102</v>
      </c>
      <c r="AF97" s="5" t="s">
        <v>102</v>
      </c>
      <c r="AG97" s="5" t="s">
        <v>102</v>
      </c>
      <c r="AH97" s="5" t="s">
        <v>102</v>
      </c>
      <c r="AI97" s="89" t="e">
        <f t="shared" si="79"/>
        <v>#VALUE!</v>
      </c>
      <c r="AJ97" s="5" t="s">
        <v>102</v>
      </c>
      <c r="AK97" s="29"/>
      <c r="AL97" s="5" t="s">
        <v>102</v>
      </c>
      <c r="AM97" s="5" t="s">
        <v>102</v>
      </c>
      <c r="AN97" s="5" t="s">
        <v>102</v>
      </c>
      <c r="AO97" s="5" t="s">
        <v>102</v>
      </c>
      <c r="AP97" s="5" t="s">
        <v>102</v>
      </c>
      <c r="AQ97" s="5" t="s">
        <v>102</v>
      </c>
      <c r="AR97" s="5" t="s">
        <v>102</v>
      </c>
      <c r="AS97" s="5" t="s">
        <v>102</v>
      </c>
      <c r="AT97" s="5" t="s">
        <v>102</v>
      </c>
      <c r="AU97" s="5" t="s">
        <v>102</v>
      </c>
      <c r="AV97" s="5" t="s">
        <v>102</v>
      </c>
      <c r="AW97" s="5" t="s">
        <v>102</v>
      </c>
      <c r="AX97" s="5" t="s">
        <v>102</v>
      </c>
      <c r="AY97" s="5" t="s">
        <v>102</v>
      </c>
      <c r="AZ97" s="5" t="s">
        <v>102</v>
      </c>
      <c r="BA97" s="5" t="s">
        <v>102</v>
      </c>
      <c r="BB97" s="5" t="s">
        <v>102</v>
      </c>
      <c r="BC97" s="5" t="s">
        <v>102</v>
      </c>
      <c r="BD97" s="5" t="s">
        <v>102</v>
      </c>
      <c r="BE97" s="5" t="s">
        <v>102</v>
      </c>
      <c r="BF97" s="5" t="s">
        <v>102</v>
      </c>
      <c r="BG97" s="5" t="s">
        <v>102</v>
      </c>
      <c r="BH97" s="5" t="s">
        <v>102</v>
      </c>
      <c r="BI97" s="5" t="s">
        <v>102</v>
      </c>
      <c r="BJ97" s="5" t="s">
        <v>102</v>
      </c>
      <c r="BK97" s="5" t="s">
        <v>102</v>
      </c>
      <c r="BL97" s="5" t="s">
        <v>102</v>
      </c>
      <c r="BM97" s="5" t="s">
        <v>102</v>
      </c>
      <c r="BN97" s="5" t="s">
        <v>102</v>
      </c>
      <c r="BO97" s="5" t="s">
        <v>102</v>
      </c>
      <c r="BP97" s="5" t="s">
        <v>102</v>
      </c>
      <c r="BQ97" s="5" t="s">
        <v>102</v>
      </c>
      <c r="BR97" s="5" t="s">
        <v>102</v>
      </c>
      <c r="BS97" s="5" t="s">
        <v>102</v>
      </c>
      <c r="BT97" s="5" t="s">
        <v>102</v>
      </c>
      <c r="BU97" s="5" t="s">
        <v>102</v>
      </c>
      <c r="BV97" s="5" t="s">
        <v>102</v>
      </c>
      <c r="BW97" s="5" t="s">
        <v>102</v>
      </c>
      <c r="BX97" s="5" t="s">
        <v>102</v>
      </c>
      <c r="BY97" s="5" t="s">
        <v>102</v>
      </c>
      <c r="BZ97" s="5" t="s">
        <v>102</v>
      </c>
      <c r="CA97" s="5" t="s">
        <v>102</v>
      </c>
      <c r="CB97" s="5" t="s">
        <v>102</v>
      </c>
      <c r="CC97" s="5" t="s">
        <v>102</v>
      </c>
      <c r="CD97" s="5" t="s">
        <v>102</v>
      </c>
      <c r="CE97" s="5" t="s">
        <v>102</v>
      </c>
      <c r="CF97" s="5" t="s">
        <v>102</v>
      </c>
      <c r="CG97" s="5" t="s">
        <v>102</v>
      </c>
      <c r="CH97" s="5" t="s">
        <v>102</v>
      </c>
      <c r="CI97" s="5" t="s">
        <v>102</v>
      </c>
      <c r="CJ97" s="5" t="s">
        <v>102</v>
      </c>
      <c r="CK97" s="5" t="s">
        <v>102</v>
      </c>
      <c r="CL97" s="5" t="s">
        <v>102</v>
      </c>
      <c r="CM97" s="5" t="s">
        <v>102</v>
      </c>
      <c r="CN97" s="5" t="s">
        <v>102</v>
      </c>
      <c r="CO97" s="5" t="s">
        <v>102</v>
      </c>
    </row>
    <row r="98" spans="1:93" ht="14.5" x14ac:dyDescent="0.35">
      <c r="A98" s="92" t="s">
        <v>115</v>
      </c>
      <c r="B98" s="4" t="s">
        <v>102</v>
      </c>
      <c r="C98" s="4" t="s">
        <v>102</v>
      </c>
      <c r="D98" s="4" t="s">
        <v>102</v>
      </c>
      <c r="E98" s="4" t="s">
        <v>102</v>
      </c>
      <c r="F98" s="4" t="s">
        <v>102</v>
      </c>
      <c r="G98" s="4" t="s">
        <v>102</v>
      </c>
      <c r="H98" s="4" t="s">
        <v>102</v>
      </c>
      <c r="I98" s="4" t="s">
        <v>102</v>
      </c>
      <c r="J98" s="4" t="s">
        <v>102</v>
      </c>
      <c r="K98" s="4" t="s">
        <v>102</v>
      </c>
      <c r="L98" s="4" t="s">
        <v>102</v>
      </c>
      <c r="M98" s="11"/>
      <c r="N98" s="4" t="s">
        <v>102</v>
      </c>
      <c r="O98" s="15"/>
      <c r="P98" s="15"/>
      <c r="Q98" s="18"/>
      <c r="R98" s="18"/>
      <c r="S98" s="21"/>
      <c r="T98" s="21"/>
      <c r="U98" s="24"/>
      <c r="V98" s="74"/>
      <c r="W98" s="4" t="s">
        <v>102</v>
      </c>
      <c r="X98" s="4" t="s">
        <v>102</v>
      </c>
      <c r="Y98" s="4" t="s">
        <v>102</v>
      </c>
      <c r="Z98" s="4" t="s">
        <v>102</v>
      </c>
      <c r="AA98" s="4" t="s">
        <v>102</v>
      </c>
      <c r="AB98" s="4" t="s">
        <v>102</v>
      </c>
      <c r="AC98" s="4" t="s">
        <v>102</v>
      </c>
      <c r="AD98" s="4" t="s">
        <v>102</v>
      </c>
      <c r="AE98" s="4" t="s">
        <v>102</v>
      </c>
      <c r="AF98" s="4" t="s">
        <v>102</v>
      </c>
      <c r="AG98" s="4" t="s">
        <v>102</v>
      </c>
      <c r="AH98" s="4" t="s">
        <v>102</v>
      </c>
      <c r="AI98" s="89" t="e">
        <f t="shared" si="79"/>
        <v>#VALUE!</v>
      </c>
      <c r="AJ98" s="4" t="s">
        <v>102</v>
      </c>
      <c r="AK98" s="29"/>
      <c r="AL98" s="4" t="s">
        <v>102</v>
      </c>
      <c r="AM98" s="4" t="s">
        <v>102</v>
      </c>
      <c r="AN98" s="4" t="s">
        <v>102</v>
      </c>
      <c r="AO98" s="4" t="s">
        <v>102</v>
      </c>
      <c r="AP98" s="4" t="s">
        <v>102</v>
      </c>
      <c r="AQ98" s="4" t="s">
        <v>102</v>
      </c>
      <c r="AR98" s="4" t="s">
        <v>102</v>
      </c>
      <c r="AS98" s="4" t="s">
        <v>102</v>
      </c>
      <c r="AT98" s="4" t="s">
        <v>102</v>
      </c>
      <c r="AU98" s="4" t="s">
        <v>102</v>
      </c>
      <c r="AV98" s="4" t="s">
        <v>102</v>
      </c>
      <c r="AW98" s="4" t="s">
        <v>102</v>
      </c>
      <c r="AX98" s="4" t="s">
        <v>102</v>
      </c>
      <c r="AY98" s="4" t="s">
        <v>102</v>
      </c>
      <c r="AZ98" s="4" t="s">
        <v>102</v>
      </c>
      <c r="BA98" s="4" t="s">
        <v>102</v>
      </c>
      <c r="BB98" s="4" t="s">
        <v>102</v>
      </c>
      <c r="BC98" s="4" t="s">
        <v>102</v>
      </c>
      <c r="BD98" s="4" t="s">
        <v>102</v>
      </c>
      <c r="BE98" s="4" t="s">
        <v>102</v>
      </c>
      <c r="BF98" s="4" t="s">
        <v>102</v>
      </c>
      <c r="BG98" s="4" t="s">
        <v>102</v>
      </c>
      <c r="BH98" s="4" t="s">
        <v>102</v>
      </c>
      <c r="BI98" s="4" t="s">
        <v>102</v>
      </c>
      <c r="BJ98" s="4" t="s">
        <v>102</v>
      </c>
      <c r="BK98" s="4" t="s">
        <v>102</v>
      </c>
      <c r="BL98" s="4" t="s">
        <v>102</v>
      </c>
      <c r="BM98" s="4" t="s">
        <v>102</v>
      </c>
      <c r="BN98" s="4" t="s">
        <v>102</v>
      </c>
      <c r="BO98" s="4" t="s">
        <v>102</v>
      </c>
      <c r="BP98" s="4" t="s">
        <v>102</v>
      </c>
      <c r="BQ98" s="4" t="s">
        <v>102</v>
      </c>
      <c r="BR98" s="4" t="s">
        <v>102</v>
      </c>
      <c r="BS98" s="4" t="s">
        <v>102</v>
      </c>
      <c r="BT98" s="4" t="s">
        <v>102</v>
      </c>
      <c r="BU98" s="4" t="s">
        <v>102</v>
      </c>
      <c r="BV98" s="4" t="s">
        <v>102</v>
      </c>
      <c r="BW98" s="4" t="s">
        <v>102</v>
      </c>
      <c r="BX98" s="4" t="s">
        <v>102</v>
      </c>
      <c r="BY98" s="4" t="s">
        <v>102</v>
      </c>
      <c r="BZ98" s="4" t="s">
        <v>102</v>
      </c>
      <c r="CA98" s="4" t="s">
        <v>102</v>
      </c>
      <c r="CB98" s="4" t="s">
        <v>102</v>
      </c>
      <c r="CC98" s="4" t="s">
        <v>102</v>
      </c>
      <c r="CD98" s="4" t="s">
        <v>102</v>
      </c>
      <c r="CE98" s="4" t="s">
        <v>102</v>
      </c>
      <c r="CF98" s="4" t="s">
        <v>102</v>
      </c>
      <c r="CG98" s="4" t="s">
        <v>102</v>
      </c>
      <c r="CH98" s="4" t="s">
        <v>102</v>
      </c>
      <c r="CI98" s="4" t="s">
        <v>102</v>
      </c>
      <c r="CJ98" s="4" t="s">
        <v>102</v>
      </c>
      <c r="CK98" s="4" t="s">
        <v>102</v>
      </c>
      <c r="CL98" s="4" t="s">
        <v>102</v>
      </c>
      <c r="CM98" s="4" t="s">
        <v>102</v>
      </c>
      <c r="CN98" s="4" t="s">
        <v>102</v>
      </c>
      <c r="CO98" s="4" t="s">
        <v>102</v>
      </c>
    </row>
    <row r="99" spans="1:93" ht="14.5" x14ac:dyDescent="0.35">
      <c r="A99" s="92" t="s">
        <v>116</v>
      </c>
      <c r="B99" s="5" t="s">
        <v>102</v>
      </c>
      <c r="C99" s="5" t="s">
        <v>102</v>
      </c>
      <c r="D99" s="5" t="s">
        <v>102</v>
      </c>
      <c r="E99" s="5" t="s">
        <v>102</v>
      </c>
      <c r="F99" s="5" t="s">
        <v>102</v>
      </c>
      <c r="G99" s="5" t="s">
        <v>102</v>
      </c>
      <c r="H99" s="5" t="s">
        <v>102</v>
      </c>
      <c r="I99" s="5" t="s">
        <v>102</v>
      </c>
      <c r="J99" s="5" t="s">
        <v>102</v>
      </c>
      <c r="K99" s="5" t="s">
        <v>102</v>
      </c>
      <c r="L99" s="5" t="s">
        <v>102</v>
      </c>
      <c r="M99" s="11"/>
      <c r="N99" s="5" t="s">
        <v>102</v>
      </c>
      <c r="O99" s="15"/>
      <c r="P99" s="15"/>
      <c r="Q99" s="18"/>
      <c r="R99" s="18"/>
      <c r="S99" s="21"/>
      <c r="T99" s="21"/>
      <c r="U99" s="24"/>
      <c r="V99" s="74"/>
      <c r="W99" s="5" t="s">
        <v>102</v>
      </c>
      <c r="X99" s="5" t="s">
        <v>102</v>
      </c>
      <c r="Y99" s="5" t="s">
        <v>102</v>
      </c>
      <c r="Z99" s="5" t="s">
        <v>102</v>
      </c>
      <c r="AA99" s="5" t="s">
        <v>102</v>
      </c>
      <c r="AB99" s="5" t="s">
        <v>102</v>
      </c>
      <c r="AC99" s="5" t="s">
        <v>102</v>
      </c>
      <c r="AD99" s="5" t="s">
        <v>102</v>
      </c>
      <c r="AE99" s="5" t="s">
        <v>102</v>
      </c>
      <c r="AF99" s="5" t="s">
        <v>102</v>
      </c>
      <c r="AG99" s="5" t="s">
        <v>102</v>
      </c>
      <c r="AH99" s="5" t="s">
        <v>102</v>
      </c>
      <c r="AI99" s="89" t="e">
        <f t="shared" si="79"/>
        <v>#VALUE!</v>
      </c>
      <c r="AJ99" s="5" t="s">
        <v>102</v>
      </c>
      <c r="AK99" s="29"/>
      <c r="AL99" s="5" t="s">
        <v>102</v>
      </c>
      <c r="AM99" s="5" t="s">
        <v>102</v>
      </c>
      <c r="AN99" s="5" t="s">
        <v>102</v>
      </c>
      <c r="AO99" s="5" t="s">
        <v>102</v>
      </c>
      <c r="AP99" s="5" t="s">
        <v>102</v>
      </c>
      <c r="AQ99" s="5" t="s">
        <v>102</v>
      </c>
      <c r="AR99" s="5" t="s">
        <v>102</v>
      </c>
      <c r="AS99" s="5" t="s">
        <v>102</v>
      </c>
      <c r="AT99" s="5" t="s">
        <v>102</v>
      </c>
      <c r="AU99" s="5" t="s">
        <v>102</v>
      </c>
      <c r="AV99" s="5" t="s">
        <v>102</v>
      </c>
      <c r="AW99" s="5" t="s">
        <v>102</v>
      </c>
      <c r="AX99" s="5" t="s">
        <v>102</v>
      </c>
      <c r="AY99" s="5" t="s">
        <v>102</v>
      </c>
      <c r="AZ99" s="5" t="s">
        <v>102</v>
      </c>
      <c r="BA99" s="5" t="s">
        <v>102</v>
      </c>
      <c r="BB99" s="5" t="s">
        <v>102</v>
      </c>
      <c r="BC99" s="5" t="s">
        <v>102</v>
      </c>
      <c r="BD99" s="5" t="s">
        <v>102</v>
      </c>
      <c r="BE99" s="5" t="s">
        <v>102</v>
      </c>
      <c r="BF99" s="5" t="s">
        <v>102</v>
      </c>
      <c r="BG99" s="5" t="s">
        <v>102</v>
      </c>
      <c r="BH99" s="5" t="s">
        <v>102</v>
      </c>
      <c r="BI99" s="5" t="s">
        <v>102</v>
      </c>
      <c r="BJ99" s="5" t="s">
        <v>102</v>
      </c>
      <c r="BK99" s="5" t="s">
        <v>102</v>
      </c>
      <c r="BL99" s="5" t="s">
        <v>102</v>
      </c>
      <c r="BM99" s="5" t="s">
        <v>102</v>
      </c>
      <c r="BN99" s="5" t="s">
        <v>102</v>
      </c>
      <c r="BO99" s="5" t="s">
        <v>102</v>
      </c>
      <c r="BP99" s="5" t="s">
        <v>102</v>
      </c>
      <c r="BQ99" s="5" t="s">
        <v>102</v>
      </c>
      <c r="BR99" s="5" t="s">
        <v>102</v>
      </c>
      <c r="BS99" s="5" t="s">
        <v>102</v>
      </c>
      <c r="BT99" s="5" t="s">
        <v>102</v>
      </c>
      <c r="BU99" s="5" t="s">
        <v>102</v>
      </c>
      <c r="BV99" s="5" t="s">
        <v>102</v>
      </c>
      <c r="BW99" s="5" t="s">
        <v>102</v>
      </c>
      <c r="BX99" s="5" t="s">
        <v>102</v>
      </c>
      <c r="BY99" s="5" t="s">
        <v>102</v>
      </c>
      <c r="BZ99" s="5" t="s">
        <v>102</v>
      </c>
      <c r="CA99" s="5" t="s">
        <v>102</v>
      </c>
      <c r="CB99" s="5" t="s">
        <v>102</v>
      </c>
      <c r="CC99" s="5" t="s">
        <v>102</v>
      </c>
      <c r="CD99" s="5" t="s">
        <v>102</v>
      </c>
      <c r="CE99" s="5" t="s">
        <v>102</v>
      </c>
      <c r="CF99" s="5" t="s">
        <v>102</v>
      </c>
      <c r="CG99" s="5" t="s">
        <v>102</v>
      </c>
      <c r="CH99" s="5" t="s">
        <v>102</v>
      </c>
      <c r="CI99" s="5" t="s">
        <v>102</v>
      </c>
      <c r="CJ99" s="5" t="s">
        <v>102</v>
      </c>
      <c r="CK99" s="5" t="s">
        <v>102</v>
      </c>
      <c r="CL99" s="5" t="s">
        <v>102</v>
      </c>
      <c r="CM99" s="5" t="s">
        <v>102</v>
      </c>
      <c r="CN99" s="5" t="s">
        <v>102</v>
      </c>
      <c r="CO99" s="5" t="s">
        <v>102</v>
      </c>
    </row>
    <row r="100" spans="1:93" ht="14.5" x14ac:dyDescent="0.35">
      <c r="A100" s="92" t="s">
        <v>117</v>
      </c>
      <c r="B100" s="4" t="s">
        <v>102</v>
      </c>
      <c r="C100" s="4" t="s">
        <v>102</v>
      </c>
      <c r="D100" s="4" t="s">
        <v>102</v>
      </c>
      <c r="E100" s="4" t="s">
        <v>102</v>
      </c>
      <c r="F100" s="4" t="s">
        <v>102</v>
      </c>
      <c r="G100" s="4" t="s">
        <v>102</v>
      </c>
      <c r="H100" s="4" t="s">
        <v>102</v>
      </c>
      <c r="I100" s="4" t="s">
        <v>102</v>
      </c>
      <c r="J100" s="4" t="s">
        <v>102</v>
      </c>
      <c r="K100" s="4" t="s">
        <v>102</v>
      </c>
      <c r="L100" s="4" t="s">
        <v>102</v>
      </c>
      <c r="M100" s="11"/>
      <c r="N100" s="4" t="s">
        <v>102</v>
      </c>
      <c r="O100" s="15"/>
      <c r="P100" s="15"/>
      <c r="Q100" s="18"/>
      <c r="R100" s="18"/>
      <c r="S100" s="21"/>
      <c r="T100" s="21"/>
      <c r="U100" s="24"/>
      <c r="V100" s="74"/>
      <c r="W100" s="4" t="s">
        <v>102</v>
      </c>
      <c r="X100" s="4" t="s">
        <v>102</v>
      </c>
      <c r="Y100" s="4" t="s">
        <v>102</v>
      </c>
      <c r="Z100" s="4" t="s">
        <v>102</v>
      </c>
      <c r="AA100" s="4" t="s">
        <v>102</v>
      </c>
      <c r="AB100" s="4" t="s">
        <v>102</v>
      </c>
      <c r="AC100" s="4" t="s">
        <v>102</v>
      </c>
      <c r="AD100" s="4" t="s">
        <v>102</v>
      </c>
      <c r="AE100" s="4" t="s">
        <v>102</v>
      </c>
      <c r="AF100" s="4" t="s">
        <v>102</v>
      </c>
      <c r="AG100" s="4" t="s">
        <v>102</v>
      </c>
      <c r="AH100" s="4" t="s">
        <v>102</v>
      </c>
      <c r="AI100" s="89" t="e">
        <f t="shared" si="79"/>
        <v>#VALUE!</v>
      </c>
      <c r="AJ100" s="4" t="s">
        <v>102</v>
      </c>
      <c r="AK100" s="29"/>
      <c r="AL100" s="4" t="s">
        <v>102</v>
      </c>
      <c r="AM100" s="4" t="s">
        <v>102</v>
      </c>
      <c r="AN100" s="4" t="s">
        <v>102</v>
      </c>
      <c r="AO100" s="4" t="s">
        <v>102</v>
      </c>
      <c r="AP100" s="4" t="s">
        <v>102</v>
      </c>
      <c r="AQ100" s="4" t="s">
        <v>102</v>
      </c>
      <c r="AR100" s="4" t="s">
        <v>102</v>
      </c>
      <c r="AS100" s="4" t="s">
        <v>102</v>
      </c>
      <c r="AT100" s="4" t="s">
        <v>102</v>
      </c>
      <c r="AU100" s="4" t="s">
        <v>102</v>
      </c>
      <c r="AV100" s="4" t="s">
        <v>102</v>
      </c>
      <c r="AW100" s="4" t="s">
        <v>102</v>
      </c>
      <c r="AX100" s="4" t="s">
        <v>102</v>
      </c>
      <c r="AY100" s="4" t="s">
        <v>102</v>
      </c>
      <c r="AZ100" s="4" t="s">
        <v>102</v>
      </c>
      <c r="BA100" s="4" t="s">
        <v>102</v>
      </c>
      <c r="BB100" s="4" t="s">
        <v>102</v>
      </c>
      <c r="BC100" s="4" t="s">
        <v>102</v>
      </c>
      <c r="BD100" s="4" t="s">
        <v>102</v>
      </c>
      <c r="BE100" s="4" t="s">
        <v>102</v>
      </c>
      <c r="BF100" s="4" t="s">
        <v>102</v>
      </c>
      <c r="BG100" s="4" t="s">
        <v>102</v>
      </c>
      <c r="BH100" s="4" t="s">
        <v>102</v>
      </c>
      <c r="BI100" s="4" t="s">
        <v>102</v>
      </c>
      <c r="BJ100" s="4" t="s">
        <v>102</v>
      </c>
      <c r="BK100" s="4" t="s">
        <v>102</v>
      </c>
      <c r="BL100" s="4" t="s">
        <v>102</v>
      </c>
      <c r="BM100" s="4" t="s">
        <v>102</v>
      </c>
      <c r="BN100" s="4" t="s">
        <v>102</v>
      </c>
      <c r="BO100" s="4" t="s">
        <v>102</v>
      </c>
      <c r="BP100" s="4" t="s">
        <v>102</v>
      </c>
      <c r="BQ100" s="4" t="s">
        <v>102</v>
      </c>
      <c r="BR100" s="4" t="s">
        <v>102</v>
      </c>
      <c r="BS100" s="4" t="s">
        <v>102</v>
      </c>
      <c r="BT100" s="4" t="s">
        <v>102</v>
      </c>
      <c r="BU100" s="4" t="s">
        <v>102</v>
      </c>
      <c r="BV100" s="4" t="s">
        <v>102</v>
      </c>
      <c r="BW100" s="4" t="s">
        <v>102</v>
      </c>
      <c r="BX100" s="4" t="s">
        <v>102</v>
      </c>
      <c r="BY100" s="4" t="s">
        <v>102</v>
      </c>
      <c r="BZ100" s="4" t="s">
        <v>102</v>
      </c>
      <c r="CA100" s="4" t="s">
        <v>102</v>
      </c>
      <c r="CB100" s="4" t="s">
        <v>102</v>
      </c>
      <c r="CC100" s="4" t="s">
        <v>102</v>
      </c>
      <c r="CD100" s="4" t="s">
        <v>102</v>
      </c>
      <c r="CE100" s="4" t="s">
        <v>102</v>
      </c>
      <c r="CF100" s="4" t="s">
        <v>102</v>
      </c>
      <c r="CG100" s="4" t="s">
        <v>102</v>
      </c>
      <c r="CH100" s="4" t="s">
        <v>102</v>
      </c>
      <c r="CI100" s="4" t="s">
        <v>102</v>
      </c>
      <c r="CJ100" s="4" t="s">
        <v>102</v>
      </c>
      <c r="CK100" s="4" t="s">
        <v>102</v>
      </c>
      <c r="CL100" s="4" t="s">
        <v>102</v>
      </c>
      <c r="CM100" s="4" t="s">
        <v>102</v>
      </c>
      <c r="CN100" s="4" t="s">
        <v>102</v>
      </c>
      <c r="CO100" s="4" t="s">
        <v>102</v>
      </c>
    </row>
    <row r="101" spans="1:93" ht="14.5" x14ac:dyDescent="0.35">
      <c r="A101" s="92" t="s">
        <v>118</v>
      </c>
      <c r="B101" s="5" t="s">
        <v>102</v>
      </c>
      <c r="C101" s="5" t="s">
        <v>102</v>
      </c>
      <c r="D101" s="5" t="s">
        <v>102</v>
      </c>
      <c r="E101" s="5" t="s">
        <v>102</v>
      </c>
      <c r="F101" s="5" t="s">
        <v>102</v>
      </c>
      <c r="G101" s="5" t="s">
        <v>102</v>
      </c>
      <c r="H101" s="5" t="s">
        <v>102</v>
      </c>
      <c r="I101" s="5" t="s">
        <v>102</v>
      </c>
      <c r="J101" s="5" t="s">
        <v>102</v>
      </c>
      <c r="K101" s="5" t="s">
        <v>102</v>
      </c>
      <c r="L101" s="5" t="s">
        <v>102</v>
      </c>
      <c r="M101" s="11"/>
      <c r="N101" s="5" t="s">
        <v>102</v>
      </c>
      <c r="O101" s="15"/>
      <c r="P101" s="15"/>
      <c r="Q101" s="18"/>
      <c r="R101" s="18"/>
      <c r="S101" s="21"/>
      <c r="T101" s="21"/>
      <c r="U101" s="24"/>
      <c r="V101" s="74"/>
      <c r="W101" s="5" t="s">
        <v>102</v>
      </c>
      <c r="X101" s="5" t="s">
        <v>102</v>
      </c>
      <c r="Y101" s="5" t="s">
        <v>102</v>
      </c>
      <c r="Z101" s="5" t="s">
        <v>102</v>
      </c>
      <c r="AA101" s="5" t="s">
        <v>102</v>
      </c>
      <c r="AB101" s="5" t="s">
        <v>102</v>
      </c>
      <c r="AC101" s="5" t="s">
        <v>102</v>
      </c>
      <c r="AD101" s="5" t="s">
        <v>102</v>
      </c>
      <c r="AE101" s="5" t="s">
        <v>102</v>
      </c>
      <c r="AF101" s="5" t="s">
        <v>102</v>
      </c>
      <c r="AG101" s="5" t="s">
        <v>102</v>
      </c>
      <c r="AH101" s="5" t="s">
        <v>102</v>
      </c>
      <c r="AI101" s="89" t="e">
        <f t="shared" si="79"/>
        <v>#VALUE!</v>
      </c>
      <c r="AJ101" s="5" t="s">
        <v>102</v>
      </c>
      <c r="AK101" s="29"/>
      <c r="AL101" s="5" t="s">
        <v>102</v>
      </c>
      <c r="AM101" s="5" t="s">
        <v>102</v>
      </c>
      <c r="AN101" s="5" t="s">
        <v>102</v>
      </c>
      <c r="AO101" s="5" t="s">
        <v>102</v>
      </c>
      <c r="AP101" s="5" t="s">
        <v>102</v>
      </c>
      <c r="AQ101" s="5" t="s">
        <v>102</v>
      </c>
      <c r="AR101" s="5" t="s">
        <v>102</v>
      </c>
      <c r="AS101" s="5" t="s">
        <v>102</v>
      </c>
      <c r="AT101" s="5" t="s">
        <v>102</v>
      </c>
      <c r="AU101" s="5" t="s">
        <v>102</v>
      </c>
      <c r="AV101" s="5" t="s">
        <v>102</v>
      </c>
      <c r="AW101" s="5" t="s">
        <v>102</v>
      </c>
      <c r="AX101" s="5" t="s">
        <v>102</v>
      </c>
      <c r="AY101" s="5" t="s">
        <v>102</v>
      </c>
      <c r="AZ101" s="5" t="s">
        <v>102</v>
      </c>
      <c r="BA101" s="5" t="s">
        <v>102</v>
      </c>
      <c r="BB101" s="5" t="s">
        <v>102</v>
      </c>
      <c r="BC101" s="5" t="s">
        <v>102</v>
      </c>
      <c r="BD101" s="5" t="s">
        <v>102</v>
      </c>
      <c r="BE101" s="5" t="s">
        <v>102</v>
      </c>
      <c r="BF101" s="5" t="s">
        <v>102</v>
      </c>
      <c r="BG101" s="5" t="s">
        <v>102</v>
      </c>
      <c r="BH101" s="5" t="s">
        <v>102</v>
      </c>
      <c r="BI101" s="5" t="s">
        <v>102</v>
      </c>
      <c r="BJ101" s="5" t="s">
        <v>102</v>
      </c>
      <c r="BK101" s="5" t="s">
        <v>102</v>
      </c>
      <c r="BL101" s="5" t="s">
        <v>102</v>
      </c>
      <c r="BM101" s="5" t="s">
        <v>102</v>
      </c>
      <c r="BN101" s="5" t="s">
        <v>102</v>
      </c>
      <c r="BO101" s="5" t="s">
        <v>102</v>
      </c>
      <c r="BP101" s="5" t="s">
        <v>102</v>
      </c>
      <c r="BQ101" s="5" t="s">
        <v>102</v>
      </c>
      <c r="BR101" s="5" t="s">
        <v>102</v>
      </c>
      <c r="BS101" s="5" t="s">
        <v>102</v>
      </c>
      <c r="BT101" s="5" t="s">
        <v>102</v>
      </c>
      <c r="BU101" s="5" t="s">
        <v>102</v>
      </c>
      <c r="BV101" s="5" t="s">
        <v>102</v>
      </c>
      <c r="BW101" s="5" t="s">
        <v>102</v>
      </c>
      <c r="BX101" s="5" t="s">
        <v>102</v>
      </c>
      <c r="BY101" s="5" t="s">
        <v>102</v>
      </c>
      <c r="BZ101" s="5" t="s">
        <v>102</v>
      </c>
      <c r="CA101" s="5" t="s">
        <v>102</v>
      </c>
      <c r="CB101" s="5" t="s">
        <v>102</v>
      </c>
      <c r="CC101" s="5" t="s">
        <v>102</v>
      </c>
      <c r="CD101" s="5" t="s">
        <v>102</v>
      </c>
      <c r="CE101" s="5" t="s">
        <v>102</v>
      </c>
      <c r="CF101" s="5" t="s">
        <v>102</v>
      </c>
      <c r="CG101" s="5" t="s">
        <v>102</v>
      </c>
      <c r="CH101" s="5" t="s">
        <v>102</v>
      </c>
      <c r="CI101" s="5" t="s">
        <v>102</v>
      </c>
      <c r="CJ101" s="5" t="s">
        <v>102</v>
      </c>
      <c r="CK101" s="5" t="s">
        <v>102</v>
      </c>
      <c r="CL101" s="5" t="s">
        <v>102</v>
      </c>
      <c r="CM101" s="5" t="s">
        <v>102</v>
      </c>
      <c r="CN101" s="5" t="s">
        <v>102</v>
      </c>
      <c r="CO101" s="5" t="s">
        <v>102</v>
      </c>
    </row>
    <row r="102" spans="1:93" ht="14.5" x14ac:dyDescent="0.35">
      <c r="A102" s="92" t="s">
        <v>119</v>
      </c>
      <c r="B102" s="10">
        <v>2309989.5099999998</v>
      </c>
      <c r="C102" s="10">
        <v>23574.55</v>
      </c>
      <c r="D102" s="10">
        <v>1610.41</v>
      </c>
      <c r="E102" s="10">
        <v>1167.95</v>
      </c>
      <c r="F102" s="10">
        <v>5682.15</v>
      </c>
      <c r="G102" s="10">
        <v>108017.92</v>
      </c>
      <c r="H102" s="10">
        <v>25604.18</v>
      </c>
      <c r="I102" s="10">
        <v>10973.38</v>
      </c>
      <c r="J102" s="10">
        <v>18860.28</v>
      </c>
      <c r="K102" s="10">
        <v>4511.5200000000004</v>
      </c>
      <c r="L102" s="10">
        <v>279251.15999999997</v>
      </c>
      <c r="M102" s="11">
        <f>N102-SUM(O102:U102)</f>
        <v>100917.81</v>
      </c>
      <c r="N102" s="10">
        <v>100917.81</v>
      </c>
      <c r="O102" s="15"/>
      <c r="P102" s="15"/>
      <c r="Q102" s="18"/>
      <c r="R102" s="18"/>
      <c r="S102" s="21"/>
      <c r="T102" s="21"/>
      <c r="U102" s="24"/>
      <c r="V102" s="74"/>
      <c r="W102" s="10">
        <v>51003.06</v>
      </c>
      <c r="X102" s="10">
        <v>39303.17</v>
      </c>
      <c r="Y102" s="10">
        <v>21323.24</v>
      </c>
      <c r="Z102" s="10">
        <v>82285.850000000006</v>
      </c>
      <c r="AA102" s="10">
        <v>45403.5</v>
      </c>
      <c r="AB102" s="10">
        <v>54156.53</v>
      </c>
      <c r="AC102" s="10">
        <v>46944.27</v>
      </c>
      <c r="AD102" s="10">
        <v>62064.2</v>
      </c>
      <c r="AE102" s="10">
        <v>92421.33</v>
      </c>
      <c r="AF102" s="10">
        <v>40764.1</v>
      </c>
      <c r="AG102" s="10">
        <v>26601.05</v>
      </c>
      <c r="AH102" s="10">
        <v>27047.85</v>
      </c>
      <c r="AI102" s="89">
        <f t="shared" si="79"/>
        <v>104284.04</v>
      </c>
      <c r="AJ102" s="10">
        <v>104284.04</v>
      </c>
      <c r="AK102" s="29"/>
      <c r="AL102" s="10">
        <v>2277.29</v>
      </c>
      <c r="AM102" s="10">
        <v>13866.6</v>
      </c>
      <c r="AN102" s="10">
        <v>106317.12</v>
      </c>
      <c r="AO102" s="10">
        <v>19294.740000000002</v>
      </c>
      <c r="AP102" s="10">
        <v>108816.82</v>
      </c>
      <c r="AQ102" s="10">
        <v>35387.230000000003</v>
      </c>
      <c r="AR102" s="10">
        <v>31108.97</v>
      </c>
      <c r="AS102" s="10">
        <v>43969.75</v>
      </c>
      <c r="AT102" s="10">
        <v>22083.74</v>
      </c>
      <c r="AU102" s="10">
        <v>29703.24</v>
      </c>
      <c r="AV102" s="10">
        <v>6980.07</v>
      </c>
      <c r="AW102" s="10">
        <v>26729.83</v>
      </c>
      <c r="AX102" s="10">
        <v>32604.37</v>
      </c>
      <c r="AY102" s="10">
        <v>11255.04</v>
      </c>
      <c r="AZ102" s="10">
        <v>18373.599999999999</v>
      </c>
      <c r="BA102" s="10">
        <v>110991.78</v>
      </c>
      <c r="BB102" s="10">
        <v>48952.42</v>
      </c>
      <c r="BC102" s="10">
        <v>28579.65</v>
      </c>
      <c r="BD102" s="10">
        <v>22000.59</v>
      </c>
      <c r="BE102" s="10">
        <v>19198.82</v>
      </c>
      <c r="BF102" s="10">
        <v>48393.95</v>
      </c>
      <c r="BG102" s="10">
        <v>16355.74</v>
      </c>
      <c r="BH102" s="10">
        <v>26081.71</v>
      </c>
      <c r="BI102" s="10">
        <v>11318.65</v>
      </c>
      <c r="BJ102" s="10">
        <v>8630.74</v>
      </c>
      <c r="BK102" s="10">
        <v>28651.27</v>
      </c>
      <c r="BL102" s="10">
        <v>5527.09</v>
      </c>
      <c r="BM102" s="10">
        <v>9990.73</v>
      </c>
      <c r="BN102" s="10">
        <v>24845.4</v>
      </c>
      <c r="BO102" s="10">
        <v>24995.95</v>
      </c>
      <c r="BP102" s="10">
        <v>9701.32</v>
      </c>
      <c r="BQ102" s="10">
        <v>47483.33</v>
      </c>
      <c r="BR102" s="10">
        <v>10754.93</v>
      </c>
      <c r="BS102" s="10">
        <v>8468.56</v>
      </c>
      <c r="BT102" s="10">
        <v>4527.24</v>
      </c>
      <c r="BU102" s="10">
        <v>4413.0600000000004</v>
      </c>
      <c r="BV102" s="10">
        <v>2726.67</v>
      </c>
      <c r="BW102" s="10">
        <v>4783.03</v>
      </c>
      <c r="BX102" s="10">
        <v>75.010000000000005</v>
      </c>
      <c r="BY102" s="4">
        <v>0</v>
      </c>
      <c r="BZ102" s="10">
        <v>520129.82</v>
      </c>
      <c r="CA102" s="10">
        <v>37113.949999999997</v>
      </c>
      <c r="CB102" s="10">
        <v>482500.83</v>
      </c>
      <c r="CC102" s="10">
        <v>515.04999999999995</v>
      </c>
      <c r="CD102" s="10">
        <v>316500.83</v>
      </c>
      <c r="CE102" s="10">
        <v>48710.29</v>
      </c>
      <c r="CF102" s="4" t="s">
        <v>102</v>
      </c>
      <c r="CG102" s="4" t="s">
        <v>102</v>
      </c>
      <c r="CH102" s="4">
        <v>0</v>
      </c>
      <c r="CI102" s="4" t="s">
        <v>102</v>
      </c>
      <c r="CJ102" s="4" t="s">
        <v>102</v>
      </c>
      <c r="CK102" s="10">
        <v>267790.55</v>
      </c>
      <c r="CL102" s="4" t="s">
        <v>102</v>
      </c>
      <c r="CM102" s="4" t="s">
        <v>102</v>
      </c>
      <c r="CN102" s="10">
        <v>3146620.16</v>
      </c>
      <c r="CO102" s="10">
        <v>836630.66</v>
      </c>
    </row>
    <row r="103" spans="1:93" ht="14.5" x14ac:dyDescent="0.35">
      <c r="A103" s="92" t="s">
        <v>120</v>
      </c>
      <c r="B103" s="5" t="s">
        <v>102</v>
      </c>
      <c r="C103" s="11">
        <v>525938.80000000005</v>
      </c>
      <c r="D103" s="11">
        <v>64157.9</v>
      </c>
      <c r="E103" s="11">
        <v>14413.3</v>
      </c>
      <c r="F103" s="11">
        <v>104214.3</v>
      </c>
      <c r="G103" s="11">
        <v>1361365.54</v>
      </c>
      <c r="H103" s="11">
        <v>229401.5</v>
      </c>
      <c r="I103" s="11">
        <v>167404.75</v>
      </c>
      <c r="J103" s="11">
        <v>216741.15</v>
      </c>
      <c r="K103" s="11">
        <v>60993.85</v>
      </c>
      <c r="L103" s="11">
        <v>517357.78</v>
      </c>
      <c r="M103" s="11">
        <f>N103-SUM(O103:U103)</f>
        <v>621875.07999999996</v>
      </c>
      <c r="N103" s="11">
        <v>621875.07999999996</v>
      </c>
      <c r="O103" s="15"/>
      <c r="P103" s="15"/>
      <c r="Q103" s="18"/>
      <c r="R103" s="18"/>
      <c r="S103" s="21"/>
      <c r="T103" s="21"/>
      <c r="U103" s="24"/>
      <c r="V103" s="74"/>
      <c r="W103" s="11">
        <v>336228.83</v>
      </c>
      <c r="X103" s="11">
        <v>348873.88</v>
      </c>
      <c r="Y103" s="11">
        <v>251871.08</v>
      </c>
      <c r="Z103" s="11">
        <v>498854.44</v>
      </c>
      <c r="AA103" s="11">
        <v>599848.14</v>
      </c>
      <c r="AB103" s="11">
        <v>358846.32</v>
      </c>
      <c r="AC103" s="11">
        <v>367571.73</v>
      </c>
      <c r="AD103" s="11">
        <v>716442.73</v>
      </c>
      <c r="AE103" s="11">
        <v>949794.12</v>
      </c>
      <c r="AF103" s="11">
        <v>255710.35</v>
      </c>
      <c r="AG103" s="11">
        <v>275411.15999999997</v>
      </c>
      <c r="AH103" s="11">
        <v>339119.74</v>
      </c>
      <c r="AI103" s="89">
        <f t="shared" si="79"/>
        <v>1055512.78</v>
      </c>
      <c r="AJ103" s="11">
        <v>1055512.78</v>
      </c>
      <c r="AK103" s="29"/>
      <c r="AL103" s="11">
        <v>68244.12</v>
      </c>
      <c r="AM103" s="11">
        <v>332115.67</v>
      </c>
      <c r="AN103" s="11">
        <v>2446099.29</v>
      </c>
      <c r="AO103" s="11">
        <v>409392.89</v>
      </c>
      <c r="AP103" s="11">
        <v>1779584.2</v>
      </c>
      <c r="AQ103" s="11">
        <v>1110373.51</v>
      </c>
      <c r="AR103" s="11">
        <v>796327.49</v>
      </c>
      <c r="AS103" s="11">
        <v>228663.6</v>
      </c>
      <c r="AT103" s="11">
        <v>155432.32999999999</v>
      </c>
      <c r="AU103" s="11">
        <v>708618.86</v>
      </c>
      <c r="AV103" s="11">
        <v>150023.24</v>
      </c>
      <c r="AW103" s="11">
        <v>911838.13</v>
      </c>
      <c r="AX103" s="11">
        <v>244775.95</v>
      </c>
      <c r="AY103" s="11">
        <v>156848.37</v>
      </c>
      <c r="AZ103" s="11">
        <v>336190.82</v>
      </c>
      <c r="BA103" s="11">
        <v>1106942.73</v>
      </c>
      <c r="BB103" s="11">
        <v>765990.58</v>
      </c>
      <c r="BC103" s="11">
        <v>392180.56</v>
      </c>
      <c r="BD103" s="11">
        <v>345609.68</v>
      </c>
      <c r="BE103" s="11">
        <v>2200099.9900000002</v>
      </c>
      <c r="BF103" s="11">
        <v>1113220.55</v>
      </c>
      <c r="BG103" s="11">
        <v>466497.17</v>
      </c>
      <c r="BH103" s="11">
        <v>446096.66</v>
      </c>
      <c r="BI103" s="11">
        <v>204472.48</v>
      </c>
      <c r="BJ103" s="11">
        <v>178213.86</v>
      </c>
      <c r="BK103" s="11">
        <v>548412.97</v>
      </c>
      <c r="BL103" s="11">
        <v>246705.1</v>
      </c>
      <c r="BM103" s="11">
        <v>128296.19</v>
      </c>
      <c r="BN103" s="11">
        <v>669364.03</v>
      </c>
      <c r="BO103" s="11">
        <v>1322073.73</v>
      </c>
      <c r="BP103" s="11">
        <v>903706.36</v>
      </c>
      <c r="BQ103" s="11">
        <v>1237943.25</v>
      </c>
      <c r="BR103" s="11">
        <v>540284.71</v>
      </c>
      <c r="BS103" s="11">
        <v>224635.63</v>
      </c>
      <c r="BT103" s="11">
        <v>166309.94</v>
      </c>
      <c r="BU103" s="11">
        <v>150715.85999999999</v>
      </c>
      <c r="BV103" s="11">
        <v>45185.21</v>
      </c>
      <c r="BW103" s="11">
        <v>190743.59</v>
      </c>
      <c r="BX103" s="11">
        <v>48364.04</v>
      </c>
      <c r="BY103" s="5">
        <v>0</v>
      </c>
      <c r="BZ103" s="5" t="s">
        <v>102</v>
      </c>
      <c r="CA103" s="5" t="s">
        <v>102</v>
      </c>
      <c r="CB103" s="5" t="s">
        <v>102</v>
      </c>
      <c r="CC103" s="5" t="s">
        <v>102</v>
      </c>
      <c r="CD103" s="5" t="s">
        <v>102</v>
      </c>
      <c r="CE103" s="5" t="s">
        <v>102</v>
      </c>
      <c r="CF103" s="5" t="s">
        <v>102</v>
      </c>
      <c r="CG103" s="5" t="s">
        <v>102</v>
      </c>
      <c r="CH103" s="5" t="s">
        <v>102</v>
      </c>
      <c r="CI103" s="5" t="s">
        <v>102</v>
      </c>
      <c r="CJ103" s="5" t="s">
        <v>102</v>
      </c>
      <c r="CK103" s="5" t="s">
        <v>102</v>
      </c>
      <c r="CL103" s="5" t="s">
        <v>102</v>
      </c>
      <c r="CM103" s="5" t="s">
        <v>102</v>
      </c>
      <c r="CN103" s="5" t="s">
        <v>102</v>
      </c>
      <c r="CO103" s="5" t="s">
        <v>102</v>
      </c>
    </row>
    <row r="104" spans="1:93" ht="13.5" customHeight="1" x14ac:dyDescent="0.35"/>
    <row r="105" spans="1:93" ht="14.5" x14ac:dyDescent="0.35">
      <c r="C105" s="61">
        <f>C94-C95</f>
        <v>224349.09000000003</v>
      </c>
      <c r="D105" s="61">
        <f>SUM(D10:D85)-D21</f>
        <v>61562.750000000007</v>
      </c>
      <c r="E105" s="54" t="e" cm="1">
        <f t="array" ref="E105">summe</f>
        <v>#NAME?</v>
      </c>
    </row>
    <row r="106" spans="1:93" ht="14.5" x14ac:dyDescent="0.35">
      <c r="A106" s="2"/>
      <c r="D106" s="61">
        <f>D105+D102</f>
        <v>63173.160000000011</v>
      </c>
      <c r="L106" s="96">
        <f>SUM(L11:L85)-L22</f>
        <v>179243.92999999991</v>
      </c>
    </row>
    <row r="107" spans="1:93" ht="11.4" customHeight="1" x14ac:dyDescent="0.35">
      <c r="K107" s="11">
        <v>279251.15999999997</v>
      </c>
      <c r="L107" s="61">
        <f>L106+L102</f>
        <v>458495.08999999985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Summary</vt:lpstr>
      <vt:lpstr>Sheet 1 </vt:lpstr>
      <vt:lpstr>Sheet 3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Lucie Cherpin</cp:lastModifiedBy>
  <dcterms:created xsi:type="dcterms:W3CDTF">2026-07-22T11:02:40Z</dcterms:created>
  <dcterms:modified xsi:type="dcterms:W3CDTF">2026-08-19T09:18:22Z</dcterms:modified>
</cp:coreProperties>
</file>