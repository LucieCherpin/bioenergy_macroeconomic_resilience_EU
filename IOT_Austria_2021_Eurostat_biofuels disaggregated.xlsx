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0a2c94b4791397b6/BEST MA/Modell Files/"/>
    </mc:Choice>
  </mc:AlternateContent>
  <xr:revisionPtr revIDLastSave="42" documentId="8_{A033F4A1-64CF-451A-961B-7E8A371A2318}" xr6:coauthVersionLast="47" xr6:coauthVersionMax="47" xr10:uidLastSave="{B2D5A28A-1129-4D83-A6C8-513E99014F56}"/>
  <bookViews>
    <workbookView minimized="1" xWindow="2170" yWindow="1720" windowWidth="14400" windowHeight="8360" xr2:uid="{00000000-000D-0000-FFFF-FFFF00000000}"/>
  </bookViews>
  <sheets>
    <sheet name="Sheet 1" sheetId="3" r:id="rId1"/>
    <sheet name="Summary" sheetId="1" r:id="rId2"/>
    <sheet name="Structure" sheetId="2" r:id="rId3"/>
    <sheet name="Mapping" sheetId="4" r:id="rId4"/>
    <sheet name="Aggregation" sheetId="5" r:id="rId5"/>
  </sheets>
  <externalReferences>
    <externalReference r:id="rId6"/>
  </externalReference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3" l="1"/>
  <c r="B25" i="3"/>
  <c r="B26" i="3"/>
  <c r="B27" i="3"/>
  <c r="B23" i="3"/>
  <c r="B45" i="3"/>
  <c r="B44" i="3"/>
</calcChain>
</file>

<file path=xl/sharedStrings.xml><?xml version="1.0" encoding="utf-8"?>
<sst xmlns="http://schemas.openxmlformats.org/spreadsheetml/2006/main" count="1186" uniqueCount="175">
  <si>
    <t>Symmetric input-output table at basic prices (product by product) [naio_10_cp1700__custom_15045101]</t>
  </si>
  <si>
    <t>Open product page</t>
  </si>
  <si>
    <t>Open in Data Browser</t>
  </si>
  <si>
    <t xml:space="preserve">Description: </t>
  </si>
  <si>
    <t>-</t>
  </si>
  <si>
    <t xml:space="preserve">Last update of data: </t>
  </si>
  <si>
    <t>13/01/2025 23:00</t>
  </si>
  <si>
    <t xml:space="preserve">Last change of data structure: </t>
  </si>
  <si>
    <t>26/11/2024 23:00</t>
  </si>
  <si>
    <t>Institutional source(s)</t>
  </si>
  <si>
    <t>Eurostat</t>
  </si>
  <si>
    <t>Contents</t>
  </si>
  <si>
    <t>Time frequency</t>
  </si>
  <si>
    <t>Unit of measure</t>
  </si>
  <si>
    <t>Stock or flow</t>
  </si>
  <si>
    <t>Geopolitical entity (reporting)</t>
  </si>
  <si>
    <t>Time</t>
  </si>
  <si>
    <t>Sheet 1</t>
  </si>
  <si>
    <t>Annual</t>
  </si>
  <si>
    <t>Million euro</t>
  </si>
  <si>
    <t>Total</t>
  </si>
  <si>
    <t>Austria</t>
  </si>
  <si>
    <t>2021</t>
  </si>
  <si>
    <t>Structure</t>
  </si>
  <si>
    <t>Dimension</t>
  </si>
  <si>
    <t>Position</t>
  </si>
  <si>
    <t>Label</t>
  </si>
  <si>
    <t>Products and final uses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</si>
  <si>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</si>
  <si>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</si>
  <si>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</si>
  <si>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</si>
  <si>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</si>
  <si>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</si>
  <si>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</si>
  <si>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</si>
  <si>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</si>
  <si>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</si>
  <si>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Chemicals and chemical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</si>
  <si>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</si>
  <si>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</si>
  <si>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</si>
  <si>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</si>
  <si>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</si>
  <si>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</si>
  <si>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</si>
  <si>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</si>
  <si>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</si>
  <si>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</si>
  <si>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</si>
  <si>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</si>
  <si>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Electricity, gas, steam and air conditioning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</si>
  <si>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</si>
  <si>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</si>
  <si>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</si>
  <si>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</si>
  <si>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</si>
  <si>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</si>
  <si>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</si>
  <si>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</si>
  <si>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</si>
  <si>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</si>
  <si>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</si>
  <si>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</si>
  <si>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</si>
  <si>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</si>
  <si>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</si>
  <si>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</si>
  <si>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</si>
  <si>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</si>
  <si>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</si>
  <si>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Imputed rents of owner-occupied dwellings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</si>
  <si>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</si>
  <si>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</si>
  <si>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</si>
  <si>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</si>
  <si>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</si>
  <si>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</si>
  <si>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</si>
  <si>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</si>
  <si>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</si>
  <si>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</si>
  <si>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</si>
  <si>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</si>
  <si>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</si>
  <si>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</si>
  <si>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</si>
  <si>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</si>
  <si>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</si>
  <si>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</si>
  <si>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</si>
  <si>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</si>
  <si>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</si>
  <si>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</si>
  <si>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</si>
  <si>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</si>
  <si>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</si>
  <si>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</si>
  <si>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</si>
  <si>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</si>
  <si>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to EU members states</t>
  </si>
  <si>
    <t>Exports to non-member of the EU</t>
  </si>
  <si>
    <t>Exports to members of the euro area</t>
  </si>
  <si>
    <t>Exports to non-members of the euro area</t>
  </si>
  <si>
    <t>Changes in inventories</t>
  </si>
  <si>
    <t>Acquisitions less disposals of valuables</t>
  </si>
  <si>
    <t>Total use</t>
  </si>
  <si>
    <t>Total final use</t>
  </si>
  <si>
    <t>Products, adjustments and value added</t>
  </si>
  <si>
    <t>Value added, gross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</si>
  <si>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</si>
  <si>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</si>
  <si>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</si>
  <si>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</si>
  <si>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</si>
  <si>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</si>
  <si>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</si>
  <si>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</si>
  <si>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</si>
  <si>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</si>
  <si>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the EU Member States</t>
  </si>
  <si>
    <t>Imports of goods and services from the institutions of the EU</t>
  </si>
  <si>
    <t>Imports of goods and services from members of the Monetary Union</t>
  </si>
  <si>
    <t>Imports of goods and services from non-members of the Monetary Union</t>
  </si>
  <si>
    <t>Consumption of fixed capital</t>
  </si>
  <si>
    <t>Use of imported products</t>
  </si>
  <si>
    <t>Total supply at basic prices</t>
  </si>
  <si>
    <t>Data extracted on 16/01/2025 14:20:40 from [ESTAT]</t>
  </si>
  <si>
    <t xml:space="preserve">Dataset: </t>
  </si>
  <si>
    <t xml:space="preserve">Last updated: </t>
  </si>
  <si>
    <t>PRD_USE (Labels)</t>
  </si>
  <si>
    <t>:</t>
  </si>
  <si>
    <t>Special value</t>
  </si>
  <si>
    <t>not available</t>
  </si>
  <si>
    <t>IOT</t>
  </si>
  <si>
    <t>Energy Balances</t>
  </si>
  <si>
    <t>Final consumption - industry sector - iron and steel - energy use</t>
  </si>
  <si>
    <t>Final consumption - industry sector - chemical and petrochemical - energy use</t>
  </si>
  <si>
    <t>Final consumption - industry sector - non-ferrous metals - energy use</t>
  </si>
  <si>
    <t>Final consumption - industry sector - non-metallic minerals - energy use</t>
  </si>
  <si>
    <t>Final consumption - industry sector - transport equipment - energy use</t>
  </si>
  <si>
    <t>Final consumption - industry sector - machinery - energy use</t>
  </si>
  <si>
    <t>Final consumption - industry sector - mining and quarrying - energy use</t>
  </si>
  <si>
    <t>Final consumption - industry sector - food, beverages and tobacco - energy use</t>
  </si>
  <si>
    <t>Final consumption - industry sector - paper, pulp and printing - energy use</t>
  </si>
  <si>
    <t>Final consumption - industry sector - wood and wood products - energy use</t>
  </si>
  <si>
    <t>Final consumption - industry sector - construction - energy use</t>
  </si>
  <si>
    <t>Final consumption - industry sector - textile and leather - energy use</t>
  </si>
  <si>
    <t>Final consumption - industry sector - not elsewhere specified - energy use</t>
  </si>
  <si>
    <t>Final consumption - transport sector - rail - energy use</t>
  </si>
  <si>
    <t>Final consumption - transport sector - road - energy use</t>
  </si>
  <si>
    <t>Final consumption - transport sector - domestic aviation - energy use</t>
  </si>
  <si>
    <t>Final consumption - transport sector - domestic navigation - energy use</t>
  </si>
  <si>
    <t>Final consumption - transport sector - pipeline transport - energy use</t>
  </si>
  <si>
    <t>Final consumption - transport sector - not elsewhere specified - energy use</t>
  </si>
  <si>
    <t>Final consumption - other sectors - commercial and public services - energy use</t>
  </si>
  <si>
    <t>Final consumption - other sectors - households - energy use</t>
  </si>
  <si>
    <t>Final consumption - other sectors - agriculture and forestry - energy use</t>
  </si>
  <si>
    <t>Final consumption - other sectors - fishing - energy use</t>
  </si>
  <si>
    <t>Final consumption - other sectors - not elsewhere specified - energy use</t>
  </si>
  <si>
    <t>Original Energy Balance Sheet Values</t>
  </si>
  <si>
    <t>Aggregated Energy Balance Sheet Values</t>
  </si>
  <si>
    <t>Final consumption - transport sector - land - energy use</t>
  </si>
  <si>
    <t>Final consumption - industry sector - Metal and other minerals - energy use</t>
  </si>
  <si>
    <t>Original IOT</t>
  </si>
  <si>
    <t>Original Energy Balance Sheet</t>
  </si>
  <si>
    <t>Conventional biodiesel (including Annex 9 Part B)</t>
  </si>
  <si>
    <t>Advanced biodiesel</t>
  </si>
  <si>
    <t xml:space="preserve">Conventional  biogasoline </t>
  </si>
  <si>
    <t>Advanced biogasoline</t>
  </si>
  <si>
    <t>Conventional bio-kerosene</t>
  </si>
  <si>
    <t>Advanced bio-kerosene</t>
  </si>
  <si>
    <t>Conventional bio-HFO</t>
  </si>
  <si>
    <t xml:space="preserve">Advanced bio-HFO </t>
  </si>
  <si>
    <t>Advanced 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</si>
</sst>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##"/>
  </numFmts>
  <fonts count="12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sz val="11"/>
      <color theme="0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medium">
        <color indexed="64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medium">
        <color indexed="64"/>
      </right>
      <top/>
      <bottom style="thin">
        <color rgb="FFB0B0B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0B0B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4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0" fillId="0" borderId="7" xfId="0" applyBorder="1"/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1" fillId="5" borderId="14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0" fillId="0" borderId="2" xfId="0" applyBorder="1"/>
    <xf numFmtId="0" fontId="1" fillId="6" borderId="1" xfId="0" applyFont="1" applyFill="1" applyBorder="1" applyAlignment="1">
      <alignment horizontal="left" vertical="center"/>
    </xf>
    <xf numFmtId="164" fontId="2" fillId="6" borderId="0" xfId="0" applyNumberFormat="1" applyFont="1" applyFill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0" fillId="6" borderId="0" xfId="0" applyFill="1"/>
    <xf numFmtId="0" fontId="1" fillId="8" borderId="1" xfId="0" applyFont="1" applyFill="1" applyBorder="1" applyAlignment="1">
      <alignment horizontal="left" vertical="center"/>
    </xf>
    <xf numFmtId="164" fontId="2" fillId="8" borderId="0" xfId="0" applyNumberFormat="1" applyFont="1" applyFill="1" applyAlignment="1">
      <alignment horizontal="right" vertical="center" shrinkToFit="1"/>
    </xf>
    <xf numFmtId="3" fontId="2" fillId="8" borderId="0" xfId="0" applyNumberFormat="1" applyFont="1" applyFill="1" applyAlignment="1">
      <alignment horizontal="right" vertical="center" shrinkToFit="1"/>
    </xf>
    <xf numFmtId="0" fontId="0" fillId="8" borderId="0" xfId="0" applyFill="1"/>
    <xf numFmtId="0" fontId="1" fillId="9" borderId="1" xfId="0" applyFont="1" applyFill="1" applyBorder="1" applyAlignment="1">
      <alignment horizontal="left" vertical="center"/>
    </xf>
    <xf numFmtId="164" fontId="2" fillId="9" borderId="0" xfId="0" applyNumberFormat="1" applyFont="1" applyFill="1" applyAlignment="1">
      <alignment horizontal="right" vertical="center" shrinkToFit="1"/>
    </xf>
    <xf numFmtId="3" fontId="2" fillId="9" borderId="0" xfId="0" applyNumberFormat="1" applyFont="1" applyFill="1" applyAlignment="1">
      <alignment horizontal="right" vertical="center" shrinkToFit="1"/>
    </xf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164" fontId="2" fillId="10" borderId="0" xfId="0" applyNumberFormat="1" applyFont="1" applyFill="1" applyAlignment="1">
      <alignment horizontal="right" vertical="center" shrinkToFit="1"/>
    </xf>
    <xf numFmtId="3" fontId="2" fillId="10" borderId="0" xfId="0" applyNumberFormat="1" applyFont="1" applyFill="1" applyAlignment="1">
      <alignment horizontal="right" vertical="center" shrinkToFit="1"/>
    </xf>
    <xf numFmtId="0" fontId="0" fillId="10" borderId="0" xfId="0" applyFill="1"/>
    <xf numFmtId="0" fontId="7" fillId="11" borderId="1" xfId="0" applyFont="1" applyFill="1" applyBorder="1" applyAlignment="1">
      <alignment horizontal="left" vertical="center"/>
    </xf>
    <xf numFmtId="164" fontId="8" fillId="11" borderId="0" xfId="0" applyNumberFormat="1" applyFont="1" applyFill="1" applyAlignment="1">
      <alignment horizontal="right" vertical="center" shrinkToFit="1"/>
    </xf>
    <xf numFmtId="3" fontId="8" fillId="11" borderId="0" xfId="0" applyNumberFormat="1" applyFont="1" applyFill="1" applyAlignment="1">
      <alignment horizontal="right" vertical="center" shrinkToFit="1"/>
    </xf>
    <xf numFmtId="0" fontId="6" fillId="11" borderId="0" xfId="0" applyFont="1" applyFill="1"/>
    <xf numFmtId="0" fontId="1" fillId="12" borderId="1" xfId="0" applyFont="1" applyFill="1" applyBorder="1" applyAlignment="1">
      <alignment horizontal="left" vertical="center"/>
    </xf>
    <xf numFmtId="164" fontId="2" fillId="12" borderId="0" xfId="0" applyNumberFormat="1" applyFont="1" applyFill="1" applyAlignment="1">
      <alignment horizontal="right" vertical="center" shrinkToFit="1"/>
    </xf>
    <xf numFmtId="3" fontId="2" fillId="12" borderId="0" xfId="0" applyNumberFormat="1" applyFont="1" applyFill="1" applyAlignment="1">
      <alignment horizontal="right" vertical="center" shrinkToFit="1"/>
    </xf>
    <xf numFmtId="0" fontId="0" fillId="12" borderId="0" xfId="0" applyFill="1"/>
    <xf numFmtId="164" fontId="2" fillId="13" borderId="0" xfId="0" applyNumberFormat="1" applyFont="1" applyFill="1" applyAlignment="1">
      <alignment horizontal="right" vertical="center" shrinkToFit="1"/>
    </xf>
    <xf numFmtId="3" fontId="2" fillId="13" borderId="0" xfId="0" applyNumberFormat="1" applyFont="1" applyFill="1" applyAlignment="1">
      <alignment horizontal="right" vertical="center" shrinkToFit="1"/>
    </xf>
    <xf numFmtId="0" fontId="0" fillId="13" borderId="0" xfId="0" applyFill="1"/>
    <xf numFmtId="164" fontId="8" fillId="6" borderId="0" xfId="0" applyNumberFormat="1" applyFont="1" applyFill="1" applyAlignment="1">
      <alignment horizontal="right" vertical="center" shrinkToFit="1"/>
    </xf>
    <xf numFmtId="164" fontId="8" fillId="8" borderId="0" xfId="0" applyNumberFormat="1" applyFont="1" applyFill="1" applyAlignment="1">
      <alignment horizontal="right" vertical="center" shrinkToFit="1"/>
    </xf>
    <xf numFmtId="164" fontId="8" fillId="9" borderId="0" xfId="0" applyNumberFormat="1" applyFont="1" applyFill="1" applyAlignment="1">
      <alignment horizontal="right" vertical="center" shrinkToFit="1"/>
    </xf>
    <xf numFmtId="164" fontId="8" fillId="10" borderId="0" xfId="0" applyNumberFormat="1" applyFont="1" applyFill="1" applyAlignment="1">
      <alignment horizontal="right" vertical="center" shrinkToFit="1"/>
    </xf>
    <xf numFmtId="0" fontId="0" fillId="5" borderId="0" xfId="0" applyFill="1"/>
    <xf numFmtId="164" fontId="2" fillId="5" borderId="0" xfId="0" applyNumberFormat="1" applyFont="1" applyFill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164" fontId="8" fillId="5" borderId="0" xfId="0" applyNumberFormat="1" applyFont="1" applyFill="1" applyAlignment="1">
      <alignment horizontal="right" vertical="center" shrinkToFit="1"/>
    </xf>
    <xf numFmtId="0" fontId="9" fillId="5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164" fontId="8" fillId="12" borderId="0" xfId="0" applyNumberFormat="1" applyFont="1" applyFill="1" applyAlignment="1">
      <alignment horizontal="right" vertical="center" shrinkToFit="1"/>
    </xf>
    <xf numFmtId="165" fontId="2" fillId="13" borderId="0" xfId="0" applyNumberFormat="1" applyFont="1" applyFill="1" applyAlignment="1">
      <alignment horizontal="right" vertical="center" shrinkToFit="1"/>
    </xf>
    <xf numFmtId="164" fontId="10" fillId="9" borderId="0" xfId="0" applyNumberFormat="1" applyFont="1" applyFill="1" applyAlignment="1">
      <alignment horizontal="right" vertical="center" shrinkToFit="1"/>
    </xf>
    <xf numFmtId="164" fontId="10" fillId="10" borderId="0" xfId="0" applyNumberFormat="1" applyFont="1" applyFill="1" applyAlignment="1">
      <alignment horizontal="right" vertical="center" shrinkToFit="1"/>
    </xf>
    <xf numFmtId="165" fontId="10" fillId="8" borderId="0" xfId="0" applyNumberFormat="1" applyFont="1" applyFill="1" applyAlignment="1">
      <alignment horizontal="right" vertical="center" shrinkToFit="1"/>
    </xf>
    <xf numFmtId="0" fontId="1" fillId="14" borderId="1" xfId="0" applyFont="1" applyFill="1" applyBorder="1" applyAlignment="1">
      <alignment horizontal="left" vertical="center"/>
    </xf>
    <xf numFmtId="164" fontId="2" fillId="14" borderId="0" xfId="0" applyNumberFormat="1" applyFont="1" applyFill="1" applyAlignment="1">
      <alignment horizontal="right" vertical="center" shrinkToFit="1"/>
    </xf>
    <xf numFmtId="3" fontId="2" fillId="14" borderId="0" xfId="0" applyNumberFormat="1" applyFont="1" applyFill="1" applyAlignment="1">
      <alignment horizontal="right" vertical="center" shrinkToFit="1"/>
    </xf>
    <xf numFmtId="0" fontId="0" fillId="14" borderId="0" xfId="0" applyFill="1"/>
    <xf numFmtId="165" fontId="2" fillId="12" borderId="0" xfId="0" applyNumberFormat="1" applyFont="1" applyFill="1" applyAlignment="1">
      <alignment horizontal="right" vertical="center" shrinkToFit="1"/>
    </xf>
    <xf numFmtId="165" fontId="8" fillId="11" borderId="0" xfId="0" applyNumberFormat="1" applyFont="1" applyFill="1" applyAlignment="1">
      <alignment horizontal="right" vertical="center" shrinkToFit="1"/>
    </xf>
    <xf numFmtId="165" fontId="11" fillId="6" borderId="0" xfId="0" applyNumberFormat="1" applyFont="1" applyFill="1"/>
    <xf numFmtId="165" fontId="10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164" fontId="2" fillId="0" borderId="0" xfId="0" applyNumberFormat="1" applyFont="1" applyFill="1" applyAlignment="1">
      <alignment horizontal="right" vertical="center" shrinkToFit="1"/>
    </xf>
    <xf numFmtId="3" fontId="2" fillId="0" borderId="0" xfId="0" applyNumberFormat="1" applyFont="1" applyFill="1" applyAlignment="1">
      <alignment horizontal="right" vertical="center" shrinkToFi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491083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a2c94b4791397b6/BEST%20MA/Prices%20Austri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"/>
      <sheetName val="2030"/>
    </sheetNames>
    <sheetDataSet>
      <sheetData sheetId="0">
        <row r="3">
          <cell r="D3">
            <v>12246700</v>
          </cell>
        </row>
        <row r="4">
          <cell r="D4">
            <v>14186530</v>
          </cell>
        </row>
        <row r="5">
          <cell r="D5">
            <v>585543.75</v>
          </cell>
        </row>
        <row r="8">
          <cell r="D8">
            <v>365348028.05113643</v>
          </cell>
        </row>
        <row r="9">
          <cell r="D9">
            <v>183651404.5734981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io_10_cp1700__custom_15045101/default/table" TargetMode="External"/><Relationship Id="rId1" Type="http://schemas.openxmlformats.org/officeDocument/2006/relationships/hyperlink" Target="https://ec.europa.eu/eurostat/databrowser/product/page/naio_10_cp1700__custom_15045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07"/>
  <sheetViews>
    <sheetView tabSelected="1" zoomScaleNormal="100" workbookViewId="0">
      <pane xSplit="1" ySplit="11" topLeftCell="BD15" activePane="bottomRight" state="frozen"/>
      <selection pane="topRight"/>
      <selection pane="bottomLeft"/>
      <selection pane="bottomRight" activeCell="BD10" sqref="BD10"/>
    </sheetView>
  </sheetViews>
  <sheetFormatPr baseColWidth="10" defaultColWidth="8.75" defaultRowHeight="11.4" customHeight="1"/>
  <cols>
    <col min="1" max="1" width="29.9140625" customWidth="1"/>
    <col min="2" max="2" width="10" customWidth="1"/>
    <col min="3" max="13" width="19.9140625" customWidth="1"/>
    <col min="14" max="15" width="19.9140625" style="38" customWidth="1"/>
    <col min="16" max="17" width="19.9140625" style="42" customWidth="1"/>
    <col min="18" max="19" width="19.9140625" style="46" customWidth="1"/>
    <col min="20" max="21" width="19.9140625" style="50" customWidth="1"/>
    <col min="22" max="24" width="19.9140625" customWidth="1"/>
    <col min="25" max="25" width="11.9140625" customWidth="1"/>
    <col min="26" max="33" width="19.9140625" customWidth="1"/>
    <col min="34" max="34" width="19.9140625" style="58" customWidth="1"/>
    <col min="35" max="35" width="19.9140625" style="66" customWidth="1"/>
    <col min="36" max="47" width="19.9140625" customWidth="1"/>
    <col min="48" max="48" width="18.9140625" customWidth="1"/>
    <col min="49" max="62" width="19.9140625" customWidth="1"/>
    <col min="63" max="63" width="18.9140625" customWidth="1"/>
    <col min="64" max="66" width="19.9140625" customWidth="1"/>
    <col min="67" max="67" width="17.9140625" customWidth="1"/>
    <col min="68" max="90" width="19.9140625" customWidth="1"/>
    <col min="91" max="91" width="10" customWidth="1"/>
    <col min="92" max="92" width="14.9140625" customWidth="1"/>
  </cols>
  <sheetData>
    <row r="1" spans="1:92" ht="14">
      <c r="A1" s="2" t="s">
        <v>127</v>
      </c>
    </row>
    <row r="2" spans="1:92" ht="14">
      <c r="A2" s="2" t="s">
        <v>128</v>
      </c>
      <c r="B2" s="1" t="s">
        <v>0</v>
      </c>
    </row>
    <row r="3" spans="1:92" ht="14">
      <c r="A3" s="2" t="s">
        <v>129</v>
      </c>
      <c r="B3" s="2" t="s">
        <v>6</v>
      </c>
    </row>
    <row r="4" spans="1:92" ht="14"/>
    <row r="5" spans="1:92" ht="14">
      <c r="A5" s="1" t="s">
        <v>12</v>
      </c>
    </row>
    <row r="6" spans="1:92" ht="14">
      <c r="A6" s="1" t="s">
        <v>13</v>
      </c>
    </row>
    <row r="7" spans="1:92" ht="14">
      <c r="A7" s="1" t="s">
        <v>14</v>
      </c>
    </row>
    <row r="8" spans="1:92" ht="14">
      <c r="A8" s="1" t="s">
        <v>15</v>
      </c>
    </row>
    <row r="9" spans="1:92" ht="14">
      <c r="A9" s="1" t="s">
        <v>16</v>
      </c>
    </row>
    <row r="10" spans="1:92" ht="14"/>
    <row r="11" spans="1:92" ht="14">
      <c r="A11" s="3" t="s">
        <v>130</v>
      </c>
      <c r="B11" s="16" t="s">
        <v>20</v>
      </c>
      <c r="C11" s="16" t="s">
        <v>28</v>
      </c>
      <c r="D11" s="16" t="s">
        <v>29</v>
      </c>
      <c r="E11" s="16" t="s">
        <v>30</v>
      </c>
      <c r="F11" s="16" t="s">
        <v>31</v>
      </c>
      <c r="G11" s="16" t="s">
        <v>32</v>
      </c>
      <c r="H11" s="16" t="s">
        <v>33</v>
      </c>
      <c r="I11" s="16" t="s">
        <v>34</v>
      </c>
      <c r="J11" s="16" t="s">
        <v>35</v>
      </c>
      <c r="K11" s="16" t="s">
        <v>36</v>
      </c>
      <c r="L11" s="16" t="s">
        <v>37</v>
      </c>
      <c r="M11" s="16" t="s">
        <v>38</v>
      </c>
      <c r="N11" s="35" t="s">
        <v>166</v>
      </c>
      <c r="O11" s="35" t="s">
        <v>167</v>
      </c>
      <c r="P11" s="39" t="s">
        <v>168</v>
      </c>
      <c r="Q11" s="39" t="s">
        <v>169</v>
      </c>
      <c r="R11" s="43" t="s">
        <v>170</v>
      </c>
      <c r="S11" s="43" t="s">
        <v>171</v>
      </c>
      <c r="T11" s="47" t="s">
        <v>172</v>
      </c>
      <c r="U11" s="47" t="s">
        <v>173</v>
      </c>
      <c r="V11" s="16" t="s">
        <v>39</v>
      </c>
      <c r="W11" s="16" t="s">
        <v>40</v>
      </c>
      <c r="X11" s="16" t="s">
        <v>41</v>
      </c>
      <c r="Y11" s="16" t="s">
        <v>42</v>
      </c>
      <c r="Z11" s="16" t="s">
        <v>43</v>
      </c>
      <c r="AA11" s="16" t="s">
        <v>44</v>
      </c>
      <c r="AB11" s="16" t="s">
        <v>45</v>
      </c>
      <c r="AC11" s="16" t="s">
        <v>46</v>
      </c>
      <c r="AD11" s="16" t="s">
        <v>47</v>
      </c>
      <c r="AE11" s="16" t="s">
        <v>48</v>
      </c>
      <c r="AF11" s="16" t="s">
        <v>49</v>
      </c>
      <c r="AG11" s="16" t="s">
        <v>50</v>
      </c>
      <c r="AH11" s="72" t="s">
        <v>51</v>
      </c>
      <c r="AI11" s="70" t="s">
        <v>174</v>
      </c>
      <c r="AJ11" s="16" t="s">
        <v>52</v>
      </c>
      <c r="AK11" s="16" t="s">
        <v>53</v>
      </c>
      <c r="AL11" s="16" t="s">
        <v>54</v>
      </c>
      <c r="AM11" s="16" t="s">
        <v>55</v>
      </c>
      <c r="AN11" s="16" t="s">
        <v>56</v>
      </c>
      <c r="AO11" s="16" t="s">
        <v>57</v>
      </c>
      <c r="AP11" s="16" t="s">
        <v>58</v>
      </c>
      <c r="AQ11" s="16" t="s">
        <v>59</v>
      </c>
      <c r="AR11" s="16" t="s">
        <v>60</v>
      </c>
      <c r="AS11" s="16" t="s">
        <v>61</v>
      </c>
      <c r="AT11" s="16" t="s">
        <v>62</v>
      </c>
      <c r="AU11" s="16" t="s">
        <v>63</v>
      </c>
      <c r="AV11" s="16" t="s">
        <v>64</v>
      </c>
      <c r="AW11" s="16" t="s">
        <v>65</v>
      </c>
      <c r="AX11" s="16" t="s">
        <v>66</v>
      </c>
      <c r="AY11" s="16" t="s">
        <v>67</v>
      </c>
      <c r="AZ11" s="16" t="s">
        <v>68</v>
      </c>
      <c r="BA11" s="16" t="s">
        <v>69</v>
      </c>
      <c r="BB11" s="16" t="s">
        <v>70</v>
      </c>
      <c r="BC11" s="16" t="s">
        <v>71</v>
      </c>
      <c r="BD11" s="16" t="s">
        <v>72</v>
      </c>
      <c r="BE11" s="16" t="s">
        <v>73</v>
      </c>
      <c r="BF11" s="16" t="s">
        <v>74</v>
      </c>
      <c r="BG11" s="16" t="s">
        <v>75</v>
      </c>
      <c r="BH11" s="16" t="s">
        <v>76</v>
      </c>
      <c r="BI11" s="16" t="s">
        <v>77</v>
      </c>
      <c r="BJ11" s="16" t="s">
        <v>78</v>
      </c>
      <c r="BK11" s="16" t="s">
        <v>79</v>
      </c>
      <c r="BL11" s="16" t="s">
        <v>80</v>
      </c>
      <c r="BM11" s="16" t="s">
        <v>81</v>
      </c>
      <c r="BN11" s="16" t="s">
        <v>82</v>
      </c>
      <c r="BO11" s="16" t="s">
        <v>83</v>
      </c>
      <c r="BP11" s="16" t="s">
        <v>84</v>
      </c>
      <c r="BQ11" s="16" t="s">
        <v>85</v>
      </c>
      <c r="BR11" s="16" t="s">
        <v>86</v>
      </c>
      <c r="BS11" s="16" t="s">
        <v>87</v>
      </c>
      <c r="BT11" s="16" t="s">
        <v>88</v>
      </c>
      <c r="BU11" s="16" t="s">
        <v>89</v>
      </c>
      <c r="BV11" s="16" t="s">
        <v>90</v>
      </c>
      <c r="BW11" s="16" t="s">
        <v>91</v>
      </c>
      <c r="BX11" s="16" t="s">
        <v>92</v>
      </c>
      <c r="BY11" s="16" t="s">
        <v>93</v>
      </c>
      <c r="BZ11" s="16" t="s">
        <v>94</v>
      </c>
      <c r="CA11" s="16" t="s">
        <v>95</v>
      </c>
      <c r="CB11" s="16" t="s">
        <v>96</v>
      </c>
      <c r="CC11" s="16" t="s">
        <v>97</v>
      </c>
      <c r="CD11" s="16" t="s">
        <v>98</v>
      </c>
      <c r="CE11" s="16" t="s">
        <v>99</v>
      </c>
      <c r="CF11" s="16" t="s">
        <v>100</v>
      </c>
      <c r="CG11" s="16" t="s">
        <v>101</v>
      </c>
      <c r="CH11" s="16" t="s">
        <v>102</v>
      </c>
      <c r="CI11" s="16" t="s">
        <v>103</v>
      </c>
      <c r="CJ11" s="16" t="s">
        <v>97</v>
      </c>
      <c r="CK11" s="16" t="s">
        <v>104</v>
      </c>
      <c r="CL11" s="16" t="s">
        <v>105</v>
      </c>
      <c r="CM11" s="16" t="s">
        <v>106</v>
      </c>
      <c r="CN11" s="16" t="s">
        <v>107</v>
      </c>
    </row>
    <row r="12" spans="1:92" ht="14">
      <c r="A12" s="4" t="s">
        <v>20</v>
      </c>
      <c r="B12" s="12">
        <v>403139.35</v>
      </c>
      <c r="C12" s="12">
        <v>4357.1899999999996</v>
      </c>
      <c r="D12" s="12">
        <v>1347.98</v>
      </c>
      <c r="E12" s="12">
        <v>63.17</v>
      </c>
      <c r="F12" s="12">
        <v>1004.44</v>
      </c>
      <c r="G12" s="12">
        <v>19212.34</v>
      </c>
      <c r="H12" s="12">
        <v>1846.04</v>
      </c>
      <c r="I12" s="12">
        <v>7595.9</v>
      </c>
      <c r="J12" s="12">
        <v>4394.37</v>
      </c>
      <c r="K12" s="12">
        <v>939.5</v>
      </c>
      <c r="L12" s="12">
        <v>3880.75</v>
      </c>
      <c r="M12" s="12">
        <v>13107.58</v>
      </c>
      <c r="N12" s="36"/>
      <c r="O12" s="36"/>
      <c r="P12" s="40"/>
      <c r="Q12" s="39"/>
      <c r="R12" s="44"/>
      <c r="S12" s="44"/>
      <c r="T12" s="48"/>
      <c r="U12" s="48"/>
      <c r="V12" s="12">
        <v>2077.19</v>
      </c>
      <c r="W12" s="12">
        <v>4489.25</v>
      </c>
      <c r="X12" s="12">
        <v>4349.6099999999997</v>
      </c>
      <c r="Y12" s="12">
        <v>16216.77</v>
      </c>
      <c r="Z12" s="12">
        <v>10698.76</v>
      </c>
      <c r="AA12" s="12">
        <v>6129.75</v>
      </c>
      <c r="AB12" s="12">
        <v>7073.41</v>
      </c>
      <c r="AC12" s="12">
        <v>17149.64</v>
      </c>
      <c r="AD12" s="12">
        <v>12175.48</v>
      </c>
      <c r="AE12" s="12">
        <v>4164.42</v>
      </c>
      <c r="AF12" s="12">
        <v>5642.16</v>
      </c>
      <c r="AG12" s="12">
        <v>5312.99</v>
      </c>
      <c r="AH12" s="56">
        <v>28437.34</v>
      </c>
      <c r="AI12" s="67"/>
      <c r="AJ12" s="12">
        <v>439.9</v>
      </c>
      <c r="AK12" s="12">
        <v>5205.0200000000004</v>
      </c>
      <c r="AL12" s="12">
        <v>41952.74</v>
      </c>
      <c r="AM12" s="12">
        <v>5436.49</v>
      </c>
      <c r="AN12" s="12">
        <v>16200.15</v>
      </c>
      <c r="AO12" s="12">
        <v>10181.02</v>
      </c>
      <c r="AP12" s="12">
        <v>8106.42</v>
      </c>
      <c r="AQ12" s="12">
        <v>57.94</v>
      </c>
      <c r="AR12" s="12">
        <v>1904.09</v>
      </c>
      <c r="AS12" s="12">
        <v>4453.71</v>
      </c>
      <c r="AT12" s="12">
        <v>2117.31</v>
      </c>
      <c r="AU12" s="12">
        <v>9177.74</v>
      </c>
      <c r="AV12" s="12">
        <v>2066.29</v>
      </c>
      <c r="AW12" s="12">
        <v>1880.23</v>
      </c>
      <c r="AX12" s="12">
        <v>3191.22</v>
      </c>
      <c r="AY12" s="12">
        <v>10801.17</v>
      </c>
      <c r="AZ12" s="12">
        <v>6234.15</v>
      </c>
      <c r="BA12" s="12">
        <v>3419.96</v>
      </c>
      <c r="BB12" s="12">
        <v>2635.17</v>
      </c>
      <c r="BC12" s="12">
        <v>6327.82</v>
      </c>
      <c r="BD12" s="12">
        <v>14112.96</v>
      </c>
      <c r="BE12" s="12">
        <v>10324.67</v>
      </c>
      <c r="BF12" s="12">
        <v>4791.1899999999996</v>
      </c>
      <c r="BG12" s="12">
        <v>3619.33</v>
      </c>
      <c r="BH12" s="12">
        <v>4061.14</v>
      </c>
      <c r="BI12" s="12">
        <v>1266.8499999999999</v>
      </c>
      <c r="BJ12" s="12">
        <v>3260.6</v>
      </c>
      <c r="BK12" s="12">
        <v>764.67</v>
      </c>
      <c r="BL12" s="12">
        <v>1090.03</v>
      </c>
      <c r="BM12" s="12">
        <v>4142.0200000000004</v>
      </c>
      <c r="BN12" s="12">
        <v>10160.61</v>
      </c>
      <c r="BO12" s="12">
        <v>3201.77</v>
      </c>
      <c r="BP12" s="12">
        <v>10162.07</v>
      </c>
      <c r="BQ12" s="12">
        <v>2739.15</v>
      </c>
      <c r="BR12" s="12">
        <v>1640.91</v>
      </c>
      <c r="BS12" s="12">
        <v>1169.02</v>
      </c>
      <c r="BT12" s="12">
        <v>1278.8699999999999</v>
      </c>
      <c r="BU12" s="12">
        <v>384.1</v>
      </c>
      <c r="BV12" s="12">
        <v>1514.87</v>
      </c>
      <c r="BW12" s="5">
        <v>0</v>
      </c>
      <c r="BX12" s="5">
        <v>0</v>
      </c>
      <c r="BY12" s="12">
        <v>265797.2</v>
      </c>
      <c r="BZ12" s="12">
        <v>87797.65</v>
      </c>
      <c r="CA12" s="12">
        <v>169603.98</v>
      </c>
      <c r="CB12" s="12">
        <v>8395.57</v>
      </c>
      <c r="CC12" s="12">
        <v>106021.8</v>
      </c>
      <c r="CD12" s="12">
        <v>6846.71</v>
      </c>
      <c r="CE12" s="12">
        <v>219169.52</v>
      </c>
      <c r="CF12" s="12">
        <v>165520.32000000001</v>
      </c>
      <c r="CG12" s="12">
        <v>53649.2</v>
      </c>
      <c r="CH12" s="12">
        <v>135207.45000000001</v>
      </c>
      <c r="CI12" s="12">
        <v>30312.86</v>
      </c>
      <c r="CJ12" s="12">
        <v>99175.1</v>
      </c>
      <c r="CK12" s="12">
        <v>3623.6</v>
      </c>
      <c r="CL12" s="12">
        <v>3223.11</v>
      </c>
      <c r="CM12" s="12">
        <v>994127.88</v>
      </c>
      <c r="CN12" s="12">
        <v>590988.52</v>
      </c>
    </row>
    <row r="13" spans="1:92" ht="14">
      <c r="A13" s="4" t="s">
        <v>28</v>
      </c>
      <c r="B13" s="13">
        <v>7001.68</v>
      </c>
      <c r="C13" s="13">
        <v>1589.05</v>
      </c>
      <c r="D13" s="6">
        <v>0</v>
      </c>
      <c r="E13" s="6">
        <v>0</v>
      </c>
      <c r="F13" s="6">
        <v>0</v>
      </c>
      <c r="G13" s="13">
        <v>4971.2299999999996</v>
      </c>
      <c r="H13" s="13">
        <v>15.71</v>
      </c>
      <c r="I13" s="6">
        <v>0</v>
      </c>
      <c r="J13" s="6">
        <v>0</v>
      </c>
      <c r="K13" s="6">
        <v>0</v>
      </c>
      <c r="L13" s="6">
        <v>0</v>
      </c>
      <c r="M13" s="13">
        <v>78.59</v>
      </c>
      <c r="N13" s="36"/>
      <c r="O13" s="36"/>
      <c r="P13" s="40"/>
      <c r="Q13" s="39"/>
      <c r="R13" s="44"/>
      <c r="S13" s="44"/>
      <c r="T13" s="48"/>
      <c r="U13" s="48"/>
      <c r="V13" s="6">
        <v>0</v>
      </c>
      <c r="W13" s="13">
        <v>20.38</v>
      </c>
      <c r="X13" s="13">
        <v>0.03</v>
      </c>
      <c r="Y13" s="13">
        <v>0.04</v>
      </c>
      <c r="Z13" s="13">
        <v>0.02</v>
      </c>
      <c r="AA13" s="6">
        <v>0</v>
      </c>
      <c r="AB13" s="6">
        <v>0</v>
      </c>
      <c r="AC13" s="13">
        <v>0.05</v>
      </c>
      <c r="AD13" s="13">
        <v>0.04</v>
      </c>
      <c r="AE13" s="6">
        <v>0</v>
      </c>
      <c r="AF13" s="13">
        <v>1.1200000000000001</v>
      </c>
      <c r="AG13" s="13">
        <v>0.04</v>
      </c>
      <c r="AH13" s="56">
        <v>13.7</v>
      </c>
      <c r="AI13" s="67"/>
      <c r="AJ13" s="6">
        <v>0</v>
      </c>
      <c r="AK13" s="6">
        <v>0</v>
      </c>
      <c r="AL13" s="13">
        <v>2.11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13">
        <v>0.1</v>
      </c>
      <c r="AT13" s="6">
        <v>0</v>
      </c>
      <c r="AU13" s="13">
        <v>217.45</v>
      </c>
      <c r="AV13" s="6">
        <v>0</v>
      </c>
      <c r="AW13" s="6">
        <v>0</v>
      </c>
      <c r="AX13" s="13">
        <v>0.01</v>
      </c>
      <c r="AY13" s="6">
        <v>0</v>
      </c>
      <c r="AZ13" s="13">
        <v>0.06</v>
      </c>
      <c r="BA13" s="13">
        <v>0.08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13">
        <v>0.09</v>
      </c>
      <c r="BH13" s="13">
        <v>0.12</v>
      </c>
      <c r="BI13" s="13">
        <v>0.01</v>
      </c>
      <c r="BJ13" s="6">
        <v>0</v>
      </c>
      <c r="BK13" s="6">
        <v>0</v>
      </c>
      <c r="BL13" s="6">
        <v>0</v>
      </c>
      <c r="BM13" s="13">
        <v>46.23</v>
      </c>
      <c r="BN13" s="13">
        <v>7.7</v>
      </c>
      <c r="BO13" s="13">
        <v>4.37</v>
      </c>
      <c r="BP13" s="13">
        <v>5.76</v>
      </c>
      <c r="BQ13" s="13">
        <v>15.27</v>
      </c>
      <c r="BR13" s="13">
        <v>1.33</v>
      </c>
      <c r="BS13" s="13">
        <v>0.01</v>
      </c>
      <c r="BT13" s="6">
        <v>0</v>
      </c>
      <c r="BU13" s="6">
        <v>0</v>
      </c>
      <c r="BV13" s="13">
        <v>10.98</v>
      </c>
      <c r="BW13" s="6">
        <v>0</v>
      </c>
      <c r="BX13" s="6">
        <v>0</v>
      </c>
      <c r="BY13" s="13">
        <v>2454.19</v>
      </c>
      <c r="BZ13" s="6">
        <v>0</v>
      </c>
      <c r="CA13" s="13">
        <v>2454.19</v>
      </c>
      <c r="CB13" s="6">
        <v>0</v>
      </c>
      <c r="CC13" s="13">
        <v>220.24</v>
      </c>
      <c r="CD13" s="13">
        <v>79.95</v>
      </c>
      <c r="CE13" s="13">
        <v>1063.75</v>
      </c>
      <c r="CF13" s="13">
        <v>864.82</v>
      </c>
      <c r="CG13" s="13">
        <v>198.93</v>
      </c>
      <c r="CH13" s="13">
        <v>693.25</v>
      </c>
      <c r="CI13" s="13">
        <v>171.57</v>
      </c>
      <c r="CJ13" s="13">
        <v>140.29</v>
      </c>
      <c r="CK13" s="13">
        <v>79.95</v>
      </c>
      <c r="CL13" s="6">
        <v>0</v>
      </c>
      <c r="CM13" s="13">
        <v>10739.86</v>
      </c>
      <c r="CN13" s="13">
        <v>3738.19</v>
      </c>
    </row>
    <row r="14" spans="1:92" ht="14">
      <c r="A14" s="4" t="s">
        <v>29</v>
      </c>
      <c r="B14" s="12">
        <v>2948.97</v>
      </c>
      <c r="C14" s="12">
        <v>0.87</v>
      </c>
      <c r="D14" s="12">
        <v>1074.05</v>
      </c>
      <c r="E14" s="5">
        <v>0</v>
      </c>
      <c r="F14" s="5">
        <v>0</v>
      </c>
      <c r="G14" s="12">
        <v>0.26</v>
      </c>
      <c r="H14" s="12">
        <v>0.01</v>
      </c>
      <c r="I14" s="12">
        <v>1352.96</v>
      </c>
      <c r="J14" s="12">
        <v>365.45</v>
      </c>
      <c r="K14" s="5">
        <v>0</v>
      </c>
      <c r="L14" s="5">
        <v>0</v>
      </c>
      <c r="M14" s="12">
        <v>107.26</v>
      </c>
      <c r="N14" s="36"/>
      <c r="O14" s="36"/>
      <c r="P14" s="40"/>
      <c r="Q14" s="39"/>
      <c r="R14" s="44"/>
      <c r="S14" s="44"/>
      <c r="T14" s="48"/>
      <c r="U14" s="48"/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12">
        <v>0.02</v>
      </c>
      <c r="AE14" s="12">
        <v>0.04</v>
      </c>
      <c r="AF14" s="12">
        <v>0.02</v>
      </c>
      <c r="AG14" s="5">
        <v>0</v>
      </c>
      <c r="AH14" s="56">
        <v>42.89</v>
      </c>
      <c r="AI14" s="67"/>
      <c r="AJ14" s="5">
        <v>0</v>
      </c>
      <c r="AK14" s="5">
        <v>0</v>
      </c>
      <c r="AL14" s="12">
        <v>3.15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12">
        <v>0.32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12">
        <v>0.81</v>
      </c>
      <c r="BN14" s="12">
        <v>0.77</v>
      </c>
      <c r="BO14" s="12">
        <v>7.0000000000000007E-2</v>
      </c>
      <c r="BP14" s="5">
        <v>0</v>
      </c>
      <c r="BQ14" s="5">
        <v>0</v>
      </c>
      <c r="BR14" s="12">
        <v>0.03</v>
      </c>
      <c r="BS14" s="12">
        <v>0.01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12">
        <v>402.3</v>
      </c>
      <c r="BZ14" s="5">
        <v>0</v>
      </c>
      <c r="CA14" s="12">
        <v>402.3</v>
      </c>
      <c r="CB14" s="5">
        <v>0</v>
      </c>
      <c r="CC14" s="12">
        <v>3.53</v>
      </c>
      <c r="CD14" s="12">
        <v>3.53</v>
      </c>
      <c r="CE14" s="12">
        <v>90.13</v>
      </c>
      <c r="CF14" s="12">
        <v>88.14</v>
      </c>
      <c r="CG14" s="12">
        <v>1.99</v>
      </c>
      <c r="CH14" s="12">
        <v>55.47</v>
      </c>
      <c r="CI14" s="12">
        <v>32.67</v>
      </c>
      <c r="CJ14" s="5">
        <v>0</v>
      </c>
      <c r="CK14" s="12">
        <v>3.53</v>
      </c>
      <c r="CL14" s="5">
        <v>0</v>
      </c>
      <c r="CM14" s="12">
        <v>3444.93</v>
      </c>
      <c r="CN14" s="12">
        <v>495.96</v>
      </c>
    </row>
    <row r="15" spans="1:92" ht="14">
      <c r="A15" s="4" t="s">
        <v>30</v>
      </c>
      <c r="B15" s="13">
        <v>71.48</v>
      </c>
      <c r="C15" s="6">
        <v>0</v>
      </c>
      <c r="D15" s="6">
        <v>0</v>
      </c>
      <c r="E15" s="13">
        <v>5.14</v>
      </c>
      <c r="F15" s="6">
        <v>0</v>
      </c>
      <c r="G15" s="13">
        <v>15.36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37"/>
      <c r="O15" s="37"/>
      <c r="P15" s="41"/>
      <c r="Q15" s="39"/>
      <c r="R15" s="45"/>
      <c r="S15" s="45"/>
      <c r="T15" s="49"/>
      <c r="U15" s="49"/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13">
        <v>1.1399999999999999</v>
      </c>
      <c r="AG15" s="6">
        <v>0</v>
      </c>
      <c r="AH15" s="57">
        <v>0</v>
      </c>
      <c r="AI15" s="68"/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13">
        <v>0.04</v>
      </c>
      <c r="AP15" s="13">
        <v>0.02</v>
      </c>
      <c r="AQ15" s="6">
        <v>0</v>
      </c>
      <c r="AR15" s="6">
        <v>0</v>
      </c>
      <c r="AS15" s="6">
        <v>0</v>
      </c>
      <c r="AT15" s="6">
        <v>0</v>
      </c>
      <c r="AU15" s="13">
        <v>49.78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13">
        <v>97.62</v>
      </c>
      <c r="BZ15" s="6">
        <v>0</v>
      </c>
      <c r="CA15" s="13">
        <v>97.62</v>
      </c>
      <c r="CB15" s="6">
        <v>0</v>
      </c>
      <c r="CC15" s="13">
        <v>1.05</v>
      </c>
      <c r="CD15" s="13">
        <v>1.05</v>
      </c>
      <c r="CE15" s="13">
        <v>11.77</v>
      </c>
      <c r="CF15" s="13">
        <v>11.34</v>
      </c>
      <c r="CG15" s="13">
        <v>0.43</v>
      </c>
      <c r="CH15" s="13">
        <v>10.29</v>
      </c>
      <c r="CI15" s="13">
        <v>1.05</v>
      </c>
      <c r="CJ15" s="6">
        <v>0</v>
      </c>
      <c r="CK15" s="13">
        <v>1.05</v>
      </c>
      <c r="CL15" s="6">
        <v>0</v>
      </c>
      <c r="CM15" s="13">
        <v>181.92</v>
      </c>
      <c r="CN15" s="13">
        <v>110.45</v>
      </c>
    </row>
    <row r="16" spans="1:92" ht="14">
      <c r="A16" s="4" t="s">
        <v>31</v>
      </c>
      <c r="B16" s="12">
        <v>10339.209999999999</v>
      </c>
      <c r="C16" s="12">
        <v>9.25</v>
      </c>
      <c r="D16" s="12">
        <v>0.51</v>
      </c>
      <c r="E16" s="12">
        <v>0.3</v>
      </c>
      <c r="F16" s="12">
        <v>187.53</v>
      </c>
      <c r="G16" s="12">
        <v>10.29</v>
      </c>
      <c r="H16" s="12">
        <v>0.03</v>
      </c>
      <c r="I16" s="12">
        <v>0.82</v>
      </c>
      <c r="J16" s="12">
        <v>56.8</v>
      </c>
      <c r="K16" s="5">
        <v>0</v>
      </c>
      <c r="L16" s="12">
        <v>3083.97</v>
      </c>
      <c r="M16" s="12">
        <v>599.34</v>
      </c>
      <c r="N16" s="36"/>
      <c r="O16" s="36"/>
      <c r="P16" s="40"/>
      <c r="Q16" s="40"/>
      <c r="R16" s="44"/>
      <c r="S16" s="44"/>
      <c r="T16" s="48"/>
      <c r="U16" s="48"/>
      <c r="V16" s="5">
        <v>0</v>
      </c>
      <c r="W16" s="5">
        <v>0</v>
      </c>
      <c r="X16" s="12">
        <v>480.92</v>
      </c>
      <c r="Y16" s="12">
        <v>2060.0500000000002</v>
      </c>
      <c r="Z16" s="5">
        <v>0</v>
      </c>
      <c r="AA16" s="12">
        <v>7.0000000000000007E-2</v>
      </c>
      <c r="AB16" s="12">
        <v>5.87</v>
      </c>
      <c r="AC16" s="12">
        <v>0.23</v>
      </c>
      <c r="AD16" s="12">
        <v>0.65</v>
      </c>
      <c r="AE16" s="12">
        <v>0.09</v>
      </c>
      <c r="AF16" s="12">
        <v>1.49</v>
      </c>
      <c r="AG16" s="12">
        <v>0.01</v>
      </c>
      <c r="AH16" s="56">
        <v>3308.03</v>
      </c>
      <c r="AI16" s="67"/>
      <c r="AJ16" s="12">
        <v>7.65</v>
      </c>
      <c r="AK16" s="12">
        <v>3.83</v>
      </c>
      <c r="AL16" s="12">
        <v>307.87</v>
      </c>
      <c r="AM16" s="12">
        <v>0.02</v>
      </c>
      <c r="AN16" s="5">
        <v>0</v>
      </c>
      <c r="AO16" s="12">
        <v>0.36</v>
      </c>
      <c r="AP16" s="12">
        <v>1.58</v>
      </c>
      <c r="AQ16" s="5">
        <v>0</v>
      </c>
      <c r="AR16" s="12">
        <v>0.01</v>
      </c>
      <c r="AS16" s="12">
        <v>12.95</v>
      </c>
      <c r="AT16" s="12">
        <v>0.16</v>
      </c>
      <c r="AU16" s="12">
        <v>0.22</v>
      </c>
      <c r="AV16" s="5">
        <v>0</v>
      </c>
      <c r="AW16" s="12">
        <v>0.01</v>
      </c>
      <c r="AX16" s="12">
        <v>0.04</v>
      </c>
      <c r="AY16" s="12">
        <v>0.02</v>
      </c>
      <c r="AZ16" s="12">
        <v>0.01</v>
      </c>
      <c r="BA16" s="5">
        <v>0</v>
      </c>
      <c r="BB16" s="5">
        <v>0</v>
      </c>
      <c r="BC16" s="12">
        <v>2.39</v>
      </c>
      <c r="BD16" s="12">
        <v>77.540000000000006</v>
      </c>
      <c r="BE16" s="12">
        <v>25.24</v>
      </c>
      <c r="BF16" s="12">
        <v>1.92</v>
      </c>
      <c r="BG16" s="5">
        <v>0</v>
      </c>
      <c r="BH16" s="12">
        <v>0.04</v>
      </c>
      <c r="BI16" s="12">
        <v>0.08</v>
      </c>
      <c r="BJ16" s="5">
        <v>0</v>
      </c>
      <c r="BK16" s="12">
        <v>0.04</v>
      </c>
      <c r="BL16" s="5">
        <v>0</v>
      </c>
      <c r="BM16" s="12">
        <v>18.64</v>
      </c>
      <c r="BN16" s="12">
        <v>56.35</v>
      </c>
      <c r="BO16" s="12">
        <v>1.48</v>
      </c>
      <c r="BP16" s="12">
        <v>2.02</v>
      </c>
      <c r="BQ16" s="12">
        <v>0.68</v>
      </c>
      <c r="BR16" s="12">
        <v>0.25</v>
      </c>
      <c r="BS16" s="12">
        <v>0.11</v>
      </c>
      <c r="BT16" s="12">
        <v>0.56000000000000005</v>
      </c>
      <c r="BU16" s="5">
        <v>0</v>
      </c>
      <c r="BV16" s="12">
        <v>10.95</v>
      </c>
      <c r="BW16" s="5">
        <v>0</v>
      </c>
      <c r="BX16" s="5">
        <v>0</v>
      </c>
      <c r="BY16" s="12">
        <v>41.23</v>
      </c>
      <c r="BZ16" s="5">
        <v>0</v>
      </c>
      <c r="CA16" s="12">
        <v>41.23</v>
      </c>
      <c r="CB16" s="5">
        <v>0</v>
      </c>
      <c r="CC16" s="12">
        <v>139.72</v>
      </c>
      <c r="CD16" s="12">
        <v>-41.97</v>
      </c>
      <c r="CE16" s="12">
        <v>704.17</v>
      </c>
      <c r="CF16" s="12">
        <v>3268.15</v>
      </c>
      <c r="CG16" s="12">
        <v>-2563.9699999999998</v>
      </c>
      <c r="CH16" s="12">
        <v>3035.82</v>
      </c>
      <c r="CI16" s="12">
        <v>232.33</v>
      </c>
      <c r="CJ16" s="12">
        <v>181.69</v>
      </c>
      <c r="CK16" s="12">
        <v>-41.97</v>
      </c>
      <c r="CL16" s="5">
        <v>0</v>
      </c>
      <c r="CM16" s="12">
        <v>11224.34</v>
      </c>
      <c r="CN16" s="12">
        <v>885.12</v>
      </c>
    </row>
    <row r="17" spans="1:92" ht="14">
      <c r="A17" s="4" t="s">
        <v>32</v>
      </c>
      <c r="B17" s="13">
        <v>9600.61</v>
      </c>
      <c r="C17" s="13">
        <v>719.57</v>
      </c>
      <c r="D17" s="13">
        <v>0.53</v>
      </c>
      <c r="E17" s="13">
        <v>20.03</v>
      </c>
      <c r="F17" s="6">
        <v>0</v>
      </c>
      <c r="G17" s="13">
        <v>5335.26</v>
      </c>
      <c r="H17" s="13">
        <v>69.099999999999994</v>
      </c>
      <c r="I17" s="13">
        <v>0.33</v>
      </c>
      <c r="J17" s="13">
        <v>49.27</v>
      </c>
      <c r="K17" s="13">
        <v>0.12</v>
      </c>
      <c r="L17" s="13">
        <v>0.06</v>
      </c>
      <c r="M17" s="13">
        <v>148.30000000000001</v>
      </c>
      <c r="N17" s="36"/>
      <c r="O17" s="36"/>
      <c r="P17" s="40"/>
      <c r="Q17" s="40"/>
      <c r="R17" s="44"/>
      <c r="S17" s="44"/>
      <c r="T17" s="48"/>
      <c r="U17" s="48"/>
      <c r="V17" s="13">
        <v>71.03</v>
      </c>
      <c r="W17" s="13">
        <v>2.09</v>
      </c>
      <c r="X17" s="13">
        <v>4.8</v>
      </c>
      <c r="Y17" s="13">
        <v>2.71</v>
      </c>
      <c r="Z17" s="13">
        <v>0.74</v>
      </c>
      <c r="AA17" s="6">
        <v>0</v>
      </c>
      <c r="AB17" s="13">
        <v>0.56999999999999995</v>
      </c>
      <c r="AC17" s="13">
        <v>2.14</v>
      </c>
      <c r="AD17" s="13">
        <v>0.56000000000000005</v>
      </c>
      <c r="AE17" s="13">
        <v>0.13</v>
      </c>
      <c r="AF17" s="13">
        <v>0.71</v>
      </c>
      <c r="AG17" s="13">
        <v>0.19</v>
      </c>
      <c r="AH17" s="56">
        <v>7.85</v>
      </c>
      <c r="AI17" s="67"/>
      <c r="AJ17" s="13">
        <v>0.02</v>
      </c>
      <c r="AK17" s="13">
        <v>0.02</v>
      </c>
      <c r="AL17" s="13">
        <v>1.1399999999999999</v>
      </c>
      <c r="AM17" s="13">
        <v>0.36</v>
      </c>
      <c r="AN17" s="13">
        <v>0.22</v>
      </c>
      <c r="AO17" s="13">
        <v>0.03</v>
      </c>
      <c r="AP17" s="13">
        <v>1.68</v>
      </c>
      <c r="AQ17" s="13">
        <v>4.33</v>
      </c>
      <c r="AR17" s="13">
        <v>3.73</v>
      </c>
      <c r="AS17" s="13">
        <v>0.05</v>
      </c>
      <c r="AT17" s="13">
        <v>0.13</v>
      </c>
      <c r="AU17" s="13">
        <v>2374.3200000000002</v>
      </c>
      <c r="AV17" s="13">
        <v>1.04</v>
      </c>
      <c r="AW17" s="13">
        <v>0.66</v>
      </c>
      <c r="AX17" s="13">
        <v>0.56999999999999995</v>
      </c>
      <c r="AY17" s="13">
        <v>1.52</v>
      </c>
      <c r="AZ17" s="13">
        <v>5.47</v>
      </c>
      <c r="BA17" s="13">
        <v>3.16</v>
      </c>
      <c r="BB17" s="13">
        <v>0.42</v>
      </c>
      <c r="BC17" s="6">
        <v>0</v>
      </c>
      <c r="BD17" s="13">
        <v>7.0000000000000007E-2</v>
      </c>
      <c r="BE17" s="13">
        <v>0.47</v>
      </c>
      <c r="BF17" s="13">
        <v>0.53</v>
      </c>
      <c r="BG17" s="13">
        <v>0.61</v>
      </c>
      <c r="BH17" s="13">
        <v>2.8</v>
      </c>
      <c r="BI17" s="13">
        <v>1.7</v>
      </c>
      <c r="BJ17" s="13">
        <v>0.15</v>
      </c>
      <c r="BK17" s="13">
        <v>0.25</v>
      </c>
      <c r="BL17" s="13">
        <v>2.64</v>
      </c>
      <c r="BM17" s="13">
        <v>7.28</v>
      </c>
      <c r="BN17" s="13">
        <v>54.38</v>
      </c>
      <c r="BO17" s="13">
        <v>123.53</v>
      </c>
      <c r="BP17" s="13">
        <v>160.09</v>
      </c>
      <c r="BQ17" s="13">
        <v>386.77</v>
      </c>
      <c r="BR17" s="6">
        <v>8</v>
      </c>
      <c r="BS17" s="13">
        <v>1.38</v>
      </c>
      <c r="BT17" s="6">
        <v>0</v>
      </c>
      <c r="BU17" s="6">
        <v>0</v>
      </c>
      <c r="BV17" s="13">
        <v>15.03</v>
      </c>
      <c r="BW17" s="6">
        <v>0</v>
      </c>
      <c r="BX17" s="6">
        <v>0</v>
      </c>
      <c r="BY17" s="13">
        <v>12881.4</v>
      </c>
      <c r="BZ17" s="13">
        <v>0.16</v>
      </c>
      <c r="CA17" s="13">
        <v>12881.24</v>
      </c>
      <c r="CB17" s="6">
        <v>0</v>
      </c>
      <c r="CC17" s="13">
        <v>286.38</v>
      </c>
      <c r="CD17" s="13">
        <v>286.38</v>
      </c>
      <c r="CE17" s="13">
        <v>14531.59</v>
      </c>
      <c r="CF17" s="13">
        <v>8498.31</v>
      </c>
      <c r="CG17" s="13">
        <v>6033.27</v>
      </c>
      <c r="CH17" s="13">
        <v>7076.47</v>
      </c>
      <c r="CI17" s="13">
        <v>1421.84</v>
      </c>
      <c r="CJ17" s="6">
        <v>0</v>
      </c>
      <c r="CK17" s="13">
        <v>286.38</v>
      </c>
      <c r="CL17" s="6">
        <v>0</v>
      </c>
      <c r="CM17" s="13">
        <v>37299.980000000003</v>
      </c>
      <c r="CN17" s="13">
        <v>27699.37</v>
      </c>
    </row>
    <row r="18" spans="1:92" ht="14">
      <c r="A18" s="4" t="s">
        <v>33</v>
      </c>
      <c r="B18" s="12">
        <v>2188.6799999999998</v>
      </c>
      <c r="C18" s="12">
        <v>21.59</v>
      </c>
      <c r="D18" s="12">
        <v>0.95</v>
      </c>
      <c r="E18" s="12">
        <v>0.76</v>
      </c>
      <c r="F18" s="12">
        <v>0.48</v>
      </c>
      <c r="G18" s="12">
        <v>17.79</v>
      </c>
      <c r="H18" s="12">
        <v>843.62</v>
      </c>
      <c r="I18" s="12">
        <v>0.86</v>
      </c>
      <c r="J18" s="12">
        <v>27.65</v>
      </c>
      <c r="K18" s="12">
        <v>6.2</v>
      </c>
      <c r="L18" s="12">
        <v>0.52</v>
      </c>
      <c r="M18" s="12">
        <v>17.63</v>
      </c>
      <c r="N18" s="36"/>
      <c r="O18" s="36"/>
      <c r="P18" s="40"/>
      <c r="Q18" s="40"/>
      <c r="R18" s="44"/>
      <c r="S18" s="44"/>
      <c r="T18" s="48"/>
      <c r="U18" s="48"/>
      <c r="V18" s="12">
        <v>1.49</v>
      </c>
      <c r="W18" s="12">
        <v>79.55</v>
      </c>
      <c r="X18" s="12">
        <v>84.36</v>
      </c>
      <c r="Y18" s="12">
        <v>9.74</v>
      </c>
      <c r="Z18" s="12">
        <v>21.43</v>
      </c>
      <c r="AA18" s="12">
        <v>15.79</v>
      </c>
      <c r="AB18" s="12">
        <v>14.03</v>
      </c>
      <c r="AC18" s="12">
        <v>11.13</v>
      </c>
      <c r="AD18" s="12">
        <v>78.47</v>
      </c>
      <c r="AE18" s="12">
        <v>22.01</v>
      </c>
      <c r="AF18" s="12">
        <v>129.62</v>
      </c>
      <c r="AG18" s="12">
        <v>1.97</v>
      </c>
      <c r="AH18" s="56">
        <v>0.1</v>
      </c>
      <c r="AI18" s="67"/>
      <c r="AJ18" s="12">
        <v>0.17</v>
      </c>
      <c r="AK18" s="12">
        <v>2.5499999999999998</v>
      </c>
      <c r="AL18" s="12">
        <v>148.87</v>
      </c>
      <c r="AM18" s="12">
        <v>41.39</v>
      </c>
      <c r="AN18" s="12">
        <v>14.38</v>
      </c>
      <c r="AO18" s="12">
        <v>81.760000000000005</v>
      </c>
      <c r="AP18" s="12">
        <v>12.03</v>
      </c>
      <c r="AQ18" s="12">
        <v>7.0000000000000007E-2</v>
      </c>
      <c r="AR18" s="12">
        <v>0.86</v>
      </c>
      <c r="AS18" s="12">
        <v>19.03</v>
      </c>
      <c r="AT18" s="12">
        <v>0.02</v>
      </c>
      <c r="AU18" s="12">
        <v>33.130000000000003</v>
      </c>
      <c r="AV18" s="12">
        <v>1.32</v>
      </c>
      <c r="AW18" s="12">
        <v>1.1299999999999999</v>
      </c>
      <c r="AX18" s="5">
        <v>0</v>
      </c>
      <c r="AY18" s="12">
        <v>0.04</v>
      </c>
      <c r="AZ18" s="12">
        <v>21.19</v>
      </c>
      <c r="BA18" s="12">
        <v>4.8600000000000003</v>
      </c>
      <c r="BB18" s="12">
        <v>5.9</v>
      </c>
      <c r="BC18" s="12">
        <v>0.22</v>
      </c>
      <c r="BD18" s="12">
        <v>4.7</v>
      </c>
      <c r="BE18" s="12">
        <v>7.51</v>
      </c>
      <c r="BF18" s="12">
        <v>9.31</v>
      </c>
      <c r="BG18" s="12">
        <v>45.04</v>
      </c>
      <c r="BH18" s="12">
        <v>2.1</v>
      </c>
      <c r="BI18" s="12">
        <v>10.57</v>
      </c>
      <c r="BJ18" s="12">
        <v>10.14</v>
      </c>
      <c r="BK18" s="12">
        <v>10.85</v>
      </c>
      <c r="BL18" s="12">
        <v>2.88</v>
      </c>
      <c r="BM18" s="12">
        <v>28.38</v>
      </c>
      <c r="BN18" s="12">
        <v>31.61</v>
      </c>
      <c r="BO18" s="12">
        <v>5.77</v>
      </c>
      <c r="BP18" s="12">
        <v>90.65</v>
      </c>
      <c r="BQ18" s="12">
        <v>60.86</v>
      </c>
      <c r="BR18" s="12">
        <v>26.21</v>
      </c>
      <c r="BS18" s="12">
        <v>3.47</v>
      </c>
      <c r="BT18" s="12">
        <v>5.52</v>
      </c>
      <c r="BU18" s="12">
        <v>20.52</v>
      </c>
      <c r="BV18" s="12">
        <v>15.97</v>
      </c>
      <c r="BW18" s="5">
        <v>0</v>
      </c>
      <c r="BX18" s="5">
        <v>0</v>
      </c>
      <c r="BY18" s="12">
        <v>4811.01</v>
      </c>
      <c r="BZ18" s="5">
        <v>0</v>
      </c>
      <c r="CA18" s="12">
        <v>4811.01</v>
      </c>
      <c r="CB18" s="5">
        <v>0</v>
      </c>
      <c r="CC18" s="12">
        <v>313.88</v>
      </c>
      <c r="CD18" s="12">
        <v>155.27000000000001</v>
      </c>
      <c r="CE18" s="12">
        <v>3597.55</v>
      </c>
      <c r="CF18" s="12">
        <v>2685.23</v>
      </c>
      <c r="CG18" s="12">
        <v>912.32</v>
      </c>
      <c r="CH18" s="12">
        <v>1805.9</v>
      </c>
      <c r="CI18" s="12">
        <v>879.33</v>
      </c>
      <c r="CJ18" s="12">
        <v>158.62</v>
      </c>
      <c r="CK18" s="12">
        <v>155.27000000000001</v>
      </c>
      <c r="CL18" s="5">
        <v>0</v>
      </c>
      <c r="CM18" s="12">
        <v>10911.13</v>
      </c>
      <c r="CN18" s="12">
        <v>8722.44</v>
      </c>
    </row>
    <row r="19" spans="1:92" ht="14">
      <c r="A19" s="4" t="s">
        <v>34</v>
      </c>
      <c r="B19" s="13">
        <v>6041.07</v>
      </c>
      <c r="C19" s="13">
        <v>36.049999999999997</v>
      </c>
      <c r="D19" s="6">
        <v>0</v>
      </c>
      <c r="E19" s="13">
        <v>0.81</v>
      </c>
      <c r="F19" s="13">
        <v>6.84</v>
      </c>
      <c r="G19" s="13">
        <v>34.58</v>
      </c>
      <c r="H19" s="13">
        <v>1.49</v>
      </c>
      <c r="I19" s="13">
        <v>2951.74</v>
      </c>
      <c r="J19" s="13">
        <v>53.64</v>
      </c>
      <c r="K19" s="13">
        <v>1.34</v>
      </c>
      <c r="L19" s="13">
        <v>0.43</v>
      </c>
      <c r="M19" s="13">
        <v>18.93</v>
      </c>
      <c r="N19" s="36"/>
      <c r="O19" s="36"/>
      <c r="P19" s="40"/>
      <c r="Q19" s="40"/>
      <c r="R19" s="44"/>
      <c r="S19" s="44"/>
      <c r="T19" s="48"/>
      <c r="U19" s="48"/>
      <c r="V19" s="13">
        <v>1.97</v>
      </c>
      <c r="W19" s="13">
        <v>8.85</v>
      </c>
      <c r="X19" s="13">
        <v>32.96</v>
      </c>
      <c r="Y19" s="13">
        <v>30.65</v>
      </c>
      <c r="Z19" s="13">
        <v>20.82</v>
      </c>
      <c r="AA19" s="13">
        <v>5.89</v>
      </c>
      <c r="AB19" s="13">
        <v>37.76</v>
      </c>
      <c r="AC19" s="6">
        <v>54</v>
      </c>
      <c r="AD19" s="13">
        <v>5.0999999999999996</v>
      </c>
      <c r="AE19" s="13">
        <v>7.94</v>
      </c>
      <c r="AF19" s="13">
        <v>368.58</v>
      </c>
      <c r="AG19" s="13">
        <v>2.2400000000000002</v>
      </c>
      <c r="AH19" s="56">
        <v>43.44</v>
      </c>
      <c r="AI19" s="67"/>
      <c r="AJ19" s="13">
        <v>0.03</v>
      </c>
      <c r="AK19" s="13">
        <v>0.01</v>
      </c>
      <c r="AL19" s="13">
        <v>2019.09</v>
      </c>
      <c r="AM19" s="6">
        <v>0</v>
      </c>
      <c r="AN19" s="13">
        <v>62.79</v>
      </c>
      <c r="AO19" s="13">
        <v>51.3</v>
      </c>
      <c r="AP19" s="6">
        <v>0</v>
      </c>
      <c r="AQ19" s="6">
        <v>0</v>
      </c>
      <c r="AR19" s="13">
        <v>0.01</v>
      </c>
      <c r="AS19" s="13">
        <v>3.11</v>
      </c>
      <c r="AT19" s="13">
        <v>0.99</v>
      </c>
      <c r="AU19" s="13">
        <v>8.57</v>
      </c>
      <c r="AV19" s="6">
        <v>0</v>
      </c>
      <c r="AW19" s="13">
        <v>0.09</v>
      </c>
      <c r="AX19" s="13">
        <v>0.4</v>
      </c>
      <c r="AY19" s="13">
        <v>0.05</v>
      </c>
      <c r="AZ19" s="13">
        <v>0.42</v>
      </c>
      <c r="BA19" s="6">
        <v>0</v>
      </c>
      <c r="BB19" s="13">
        <v>0.09</v>
      </c>
      <c r="BC19" s="13">
        <v>1.4</v>
      </c>
      <c r="BD19" s="13">
        <v>22.57</v>
      </c>
      <c r="BE19" s="13">
        <v>0.91</v>
      </c>
      <c r="BF19" s="13">
        <v>6.5</v>
      </c>
      <c r="BG19" s="13">
        <v>0.89</v>
      </c>
      <c r="BH19" s="13">
        <v>0.13</v>
      </c>
      <c r="BI19" s="13">
        <v>1.83</v>
      </c>
      <c r="BJ19" s="6">
        <v>0</v>
      </c>
      <c r="BK19" s="6">
        <v>0</v>
      </c>
      <c r="BL19" s="6">
        <v>0</v>
      </c>
      <c r="BM19" s="13">
        <v>28.42</v>
      </c>
      <c r="BN19" s="13">
        <v>63.36</v>
      </c>
      <c r="BO19" s="13">
        <v>7.56</v>
      </c>
      <c r="BP19" s="13">
        <v>8.2899999999999991</v>
      </c>
      <c r="BQ19" s="13">
        <v>4.76</v>
      </c>
      <c r="BR19" s="13">
        <v>13.22</v>
      </c>
      <c r="BS19" s="13">
        <v>1.69</v>
      </c>
      <c r="BT19" s="6">
        <v>0</v>
      </c>
      <c r="BU19" s="13">
        <v>4.9400000000000004</v>
      </c>
      <c r="BV19" s="13">
        <v>1.6</v>
      </c>
      <c r="BW19" s="6">
        <v>0</v>
      </c>
      <c r="BX19" s="6">
        <v>0</v>
      </c>
      <c r="BY19" s="13">
        <v>423.61</v>
      </c>
      <c r="BZ19" s="6">
        <v>0</v>
      </c>
      <c r="CA19" s="13">
        <v>423.61</v>
      </c>
      <c r="CB19" s="6">
        <v>0</v>
      </c>
      <c r="CC19" s="13">
        <v>1411.19</v>
      </c>
      <c r="CD19" s="13">
        <v>201.87</v>
      </c>
      <c r="CE19" s="13">
        <v>5389.98</v>
      </c>
      <c r="CF19" s="13">
        <v>4152.1499999999996</v>
      </c>
      <c r="CG19" s="13">
        <v>1237.8399999999999</v>
      </c>
      <c r="CH19" s="13">
        <v>3710.77</v>
      </c>
      <c r="CI19" s="13">
        <v>441.38</v>
      </c>
      <c r="CJ19" s="13">
        <v>1209.33</v>
      </c>
      <c r="CK19" s="13">
        <v>201.87</v>
      </c>
      <c r="CL19" s="6">
        <v>0</v>
      </c>
      <c r="CM19" s="13">
        <v>13265.85</v>
      </c>
      <c r="CN19" s="13">
        <v>7224.78</v>
      </c>
    </row>
    <row r="20" spans="1:92" ht="14">
      <c r="A20" s="4" t="s">
        <v>35</v>
      </c>
      <c r="B20" s="12">
        <v>4027.28</v>
      </c>
      <c r="C20" s="12">
        <v>1.55</v>
      </c>
      <c r="D20" s="5">
        <v>0</v>
      </c>
      <c r="E20" s="12">
        <v>0.09</v>
      </c>
      <c r="F20" s="12">
        <v>1.25</v>
      </c>
      <c r="G20" s="12">
        <v>372.49</v>
      </c>
      <c r="H20" s="12">
        <v>9.64</v>
      </c>
      <c r="I20" s="12">
        <v>208.9</v>
      </c>
      <c r="J20" s="12">
        <v>1217.1300000000001</v>
      </c>
      <c r="K20" s="12">
        <v>328.07</v>
      </c>
      <c r="L20" s="5">
        <v>0</v>
      </c>
      <c r="M20" s="12">
        <v>81.23</v>
      </c>
      <c r="N20" s="36"/>
      <c r="O20" s="36"/>
      <c r="P20" s="40"/>
      <c r="Q20" s="40"/>
      <c r="R20" s="44"/>
      <c r="S20" s="44"/>
      <c r="T20" s="48"/>
      <c r="U20" s="48"/>
      <c r="V20" s="12">
        <v>42.1</v>
      </c>
      <c r="W20" s="12">
        <v>36.89</v>
      </c>
      <c r="X20" s="12">
        <v>50.72</v>
      </c>
      <c r="Y20" s="12">
        <v>16.27</v>
      </c>
      <c r="Z20" s="12">
        <v>59.1</v>
      </c>
      <c r="AA20" s="12">
        <v>1.52</v>
      </c>
      <c r="AB20" s="12">
        <v>20.149999999999999</v>
      </c>
      <c r="AC20" s="12">
        <v>43.1</v>
      </c>
      <c r="AD20" s="12">
        <v>0.09</v>
      </c>
      <c r="AE20" s="12">
        <v>11.27</v>
      </c>
      <c r="AF20" s="12">
        <v>21.86</v>
      </c>
      <c r="AG20" s="5">
        <v>5</v>
      </c>
      <c r="AH20" s="56">
        <v>0.03</v>
      </c>
      <c r="AI20" s="67"/>
      <c r="AJ20" s="12">
        <v>0.4</v>
      </c>
      <c r="AK20" s="12">
        <v>0.16</v>
      </c>
      <c r="AL20" s="12">
        <v>62.82</v>
      </c>
      <c r="AM20" s="12">
        <v>21.17</v>
      </c>
      <c r="AN20" s="12">
        <v>71.87</v>
      </c>
      <c r="AO20" s="12">
        <v>122.14</v>
      </c>
      <c r="AP20" s="12">
        <v>8.5299999999999994</v>
      </c>
      <c r="AQ20" s="12">
        <v>0.16</v>
      </c>
      <c r="AR20" s="12">
        <v>0.94</v>
      </c>
      <c r="AS20" s="12">
        <v>10.26</v>
      </c>
      <c r="AT20" s="12">
        <v>3.65</v>
      </c>
      <c r="AU20" s="12">
        <v>43.84</v>
      </c>
      <c r="AV20" s="12">
        <v>24.04</v>
      </c>
      <c r="AW20" s="12">
        <v>0.12</v>
      </c>
      <c r="AX20" s="12">
        <v>1.52</v>
      </c>
      <c r="AY20" s="12">
        <v>63.52</v>
      </c>
      <c r="AZ20" s="12">
        <v>23.12</v>
      </c>
      <c r="BA20" s="12">
        <v>7.08</v>
      </c>
      <c r="BB20" s="12">
        <v>23.51</v>
      </c>
      <c r="BC20" s="5">
        <v>0</v>
      </c>
      <c r="BD20" s="12">
        <v>55.81</v>
      </c>
      <c r="BE20" s="12">
        <v>157.77000000000001</v>
      </c>
      <c r="BF20" s="12">
        <v>34.08</v>
      </c>
      <c r="BG20" s="12">
        <v>161.49</v>
      </c>
      <c r="BH20" s="12">
        <v>120.92</v>
      </c>
      <c r="BI20" s="12">
        <v>51.73</v>
      </c>
      <c r="BJ20" s="12">
        <v>21.14</v>
      </c>
      <c r="BK20" s="12">
        <v>9.1300000000000008</v>
      </c>
      <c r="BL20" s="12">
        <v>3.02</v>
      </c>
      <c r="BM20" s="12">
        <v>106.39</v>
      </c>
      <c r="BN20" s="12">
        <v>116.48</v>
      </c>
      <c r="BO20" s="12">
        <v>0.02</v>
      </c>
      <c r="BP20" s="12">
        <v>83.72</v>
      </c>
      <c r="BQ20" s="12">
        <v>20.46</v>
      </c>
      <c r="BR20" s="12">
        <v>15.99</v>
      </c>
      <c r="BS20" s="12">
        <v>0.01</v>
      </c>
      <c r="BT20" s="12">
        <v>17.03</v>
      </c>
      <c r="BU20" s="12">
        <v>1.43</v>
      </c>
      <c r="BV20" s="12">
        <v>33.369999999999997</v>
      </c>
      <c r="BW20" s="5">
        <v>0</v>
      </c>
      <c r="BX20" s="5">
        <v>0</v>
      </c>
      <c r="BY20" s="12">
        <v>351.07</v>
      </c>
      <c r="BZ20" s="5">
        <v>0</v>
      </c>
      <c r="CA20" s="12">
        <v>351.07</v>
      </c>
      <c r="CB20" s="5">
        <v>0</v>
      </c>
      <c r="CC20" s="12">
        <v>14.95</v>
      </c>
      <c r="CD20" s="12">
        <v>14.95</v>
      </c>
      <c r="CE20" s="12">
        <v>4543.3900000000003</v>
      </c>
      <c r="CF20" s="12">
        <v>2878.72</v>
      </c>
      <c r="CG20" s="12">
        <v>1664.67</v>
      </c>
      <c r="CH20" s="12">
        <v>2773.25</v>
      </c>
      <c r="CI20" s="12">
        <v>105.46</v>
      </c>
      <c r="CJ20" s="5">
        <v>0</v>
      </c>
      <c r="CK20" s="12">
        <v>14.95</v>
      </c>
      <c r="CL20" s="5">
        <v>0</v>
      </c>
      <c r="CM20" s="12">
        <v>8936.68</v>
      </c>
      <c r="CN20" s="12">
        <v>4909.3999999999996</v>
      </c>
    </row>
    <row r="21" spans="1:92" ht="14">
      <c r="A21" s="4" t="s">
        <v>36</v>
      </c>
      <c r="B21" s="13">
        <v>1333.36</v>
      </c>
      <c r="C21" s="13">
        <v>0.05</v>
      </c>
      <c r="D21" s="13">
        <v>0.01</v>
      </c>
      <c r="E21" s="13">
        <v>0.01</v>
      </c>
      <c r="F21" s="13">
        <v>0.05</v>
      </c>
      <c r="G21" s="13">
        <v>2.86</v>
      </c>
      <c r="H21" s="13">
        <v>0.34</v>
      </c>
      <c r="I21" s="13">
        <v>0.31</v>
      </c>
      <c r="J21" s="13">
        <v>6.58</v>
      </c>
      <c r="K21" s="13">
        <v>193.51</v>
      </c>
      <c r="L21" s="13">
        <v>0.03</v>
      </c>
      <c r="M21" s="13">
        <v>0.84</v>
      </c>
      <c r="N21" s="36"/>
      <c r="O21" s="36"/>
      <c r="P21" s="40"/>
      <c r="Q21" s="40"/>
      <c r="R21" s="44"/>
      <c r="S21" s="44"/>
      <c r="T21" s="48"/>
      <c r="U21" s="48"/>
      <c r="V21" s="13">
        <v>0.45</v>
      </c>
      <c r="W21" s="13">
        <v>1.8</v>
      </c>
      <c r="X21" s="13">
        <v>0.43</v>
      </c>
      <c r="Y21" s="13">
        <v>0.35</v>
      </c>
      <c r="Z21" s="13">
        <v>0.18</v>
      </c>
      <c r="AA21" s="13">
        <v>0.47</v>
      </c>
      <c r="AB21" s="13">
        <v>0.41</v>
      </c>
      <c r="AC21" s="13">
        <v>2.14</v>
      </c>
      <c r="AD21" s="6">
        <v>0</v>
      </c>
      <c r="AE21" s="13">
        <v>1.06</v>
      </c>
      <c r="AF21" s="13">
        <v>0.46</v>
      </c>
      <c r="AG21" s="13">
        <v>0.91</v>
      </c>
      <c r="AH21" s="56">
        <v>0.41</v>
      </c>
      <c r="AI21" s="67"/>
      <c r="AJ21" s="13">
        <v>0.03</v>
      </c>
      <c r="AK21" s="13">
        <v>0.56000000000000005</v>
      </c>
      <c r="AL21" s="13">
        <v>2.56</v>
      </c>
      <c r="AM21" s="13">
        <v>3.55</v>
      </c>
      <c r="AN21" s="6">
        <v>4</v>
      </c>
      <c r="AO21" s="13">
        <v>1.48</v>
      </c>
      <c r="AP21" s="13">
        <v>7.0000000000000007E-2</v>
      </c>
      <c r="AQ21" s="6">
        <v>0</v>
      </c>
      <c r="AR21" s="13">
        <v>7.0000000000000007E-2</v>
      </c>
      <c r="AS21" s="13">
        <v>0.57999999999999996</v>
      </c>
      <c r="AT21" s="13">
        <v>0.23</v>
      </c>
      <c r="AU21" s="13">
        <v>1.05</v>
      </c>
      <c r="AV21" s="13">
        <v>807.69</v>
      </c>
      <c r="AW21" s="13">
        <v>0.18</v>
      </c>
      <c r="AX21" s="13">
        <v>0.1</v>
      </c>
      <c r="AY21" s="13">
        <v>0.2</v>
      </c>
      <c r="AZ21" s="13">
        <v>6.46</v>
      </c>
      <c r="BA21" s="13">
        <v>2.2400000000000002</v>
      </c>
      <c r="BB21" s="13">
        <v>3.1</v>
      </c>
      <c r="BC21" s="13">
        <v>0.02</v>
      </c>
      <c r="BD21" s="13">
        <v>3.95</v>
      </c>
      <c r="BE21" s="13">
        <v>4.45</v>
      </c>
      <c r="BF21" s="13">
        <v>3.42</v>
      </c>
      <c r="BG21" s="13">
        <v>29.56</v>
      </c>
      <c r="BH21" s="13">
        <v>136.03</v>
      </c>
      <c r="BI21" s="13">
        <v>2.29</v>
      </c>
      <c r="BJ21" s="13">
        <v>1.63</v>
      </c>
      <c r="BK21" s="13">
        <v>0.28999999999999998</v>
      </c>
      <c r="BL21" s="13">
        <v>4.8099999999999996</v>
      </c>
      <c r="BM21" s="13">
        <v>12.1</v>
      </c>
      <c r="BN21" s="13">
        <v>41.08</v>
      </c>
      <c r="BO21" s="13">
        <v>9.49</v>
      </c>
      <c r="BP21" s="13">
        <v>1.24</v>
      </c>
      <c r="BQ21" s="13">
        <v>0.63</v>
      </c>
      <c r="BR21" s="13">
        <v>11.27</v>
      </c>
      <c r="BS21" s="13">
        <v>0.16</v>
      </c>
      <c r="BT21" s="13">
        <v>22.1</v>
      </c>
      <c r="BU21" s="6">
        <v>0</v>
      </c>
      <c r="BV21" s="13">
        <v>1.07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13">
        <v>189.58</v>
      </c>
      <c r="CF21" s="13">
        <v>143.47999999999999</v>
      </c>
      <c r="CG21" s="13">
        <v>46.1</v>
      </c>
      <c r="CH21" s="13">
        <v>49.03</v>
      </c>
      <c r="CI21" s="13">
        <v>94.46</v>
      </c>
      <c r="CJ21" s="6">
        <v>0</v>
      </c>
      <c r="CK21" s="6">
        <v>0</v>
      </c>
      <c r="CL21" s="6">
        <v>0</v>
      </c>
      <c r="CM21" s="13">
        <v>1522.95</v>
      </c>
      <c r="CN21" s="13">
        <v>189.58</v>
      </c>
    </row>
    <row r="22" spans="1:92" ht="14">
      <c r="A22" s="4" t="s">
        <v>37</v>
      </c>
      <c r="B22" s="12">
        <v>4208.3999999999996</v>
      </c>
      <c r="C22" s="12">
        <v>210.06</v>
      </c>
      <c r="D22" s="12">
        <v>43.18</v>
      </c>
      <c r="E22" s="12">
        <v>1.0900000000000001</v>
      </c>
      <c r="F22" s="12">
        <v>16.739999999999998</v>
      </c>
      <c r="G22" s="12">
        <v>46.19</v>
      </c>
      <c r="H22" s="12">
        <v>2.23</v>
      </c>
      <c r="I22" s="12">
        <v>22.81</v>
      </c>
      <c r="J22" s="12">
        <v>5.79</v>
      </c>
      <c r="K22" s="12">
        <v>0.51</v>
      </c>
      <c r="L22" s="12">
        <v>153.56</v>
      </c>
      <c r="M22" s="12">
        <v>70.61</v>
      </c>
      <c r="N22" s="36"/>
      <c r="O22" s="36"/>
      <c r="P22" s="40"/>
      <c r="Q22" s="40"/>
      <c r="R22" s="44"/>
      <c r="S22" s="44"/>
      <c r="T22" s="48"/>
      <c r="U22" s="48"/>
      <c r="V22" s="12">
        <v>1.74</v>
      </c>
      <c r="W22" s="12">
        <v>6.26</v>
      </c>
      <c r="X22" s="12">
        <v>65.239999999999995</v>
      </c>
      <c r="Y22" s="12">
        <v>74.45</v>
      </c>
      <c r="Z22" s="12">
        <v>10.16</v>
      </c>
      <c r="AA22" s="12">
        <v>1.75</v>
      </c>
      <c r="AB22" s="12">
        <v>42.88</v>
      </c>
      <c r="AC22" s="12">
        <v>18.559999999999999</v>
      </c>
      <c r="AD22" s="12">
        <v>19.59</v>
      </c>
      <c r="AE22" s="12">
        <v>2.27</v>
      </c>
      <c r="AF22" s="12">
        <v>5.65</v>
      </c>
      <c r="AG22" s="12">
        <v>13.49</v>
      </c>
      <c r="AH22" s="56">
        <v>73.17</v>
      </c>
      <c r="AI22" s="67"/>
      <c r="AJ22" s="12">
        <v>2.08</v>
      </c>
      <c r="AK22" s="12">
        <v>73.900000000000006</v>
      </c>
      <c r="AL22" s="12">
        <v>421.99</v>
      </c>
      <c r="AM22" s="12">
        <v>36.79</v>
      </c>
      <c r="AN22" s="12">
        <v>162.21</v>
      </c>
      <c r="AO22" s="12">
        <v>144.72999999999999</v>
      </c>
      <c r="AP22" s="12">
        <v>870.9</v>
      </c>
      <c r="AQ22" s="12">
        <v>2.4</v>
      </c>
      <c r="AR22" s="12">
        <v>210.59</v>
      </c>
      <c r="AS22" s="12">
        <v>93.66</v>
      </c>
      <c r="AT22" s="12">
        <v>17.89</v>
      </c>
      <c r="AU22" s="12">
        <v>144.36000000000001</v>
      </c>
      <c r="AV22" s="12">
        <v>2.16</v>
      </c>
      <c r="AW22" s="12">
        <v>2.6</v>
      </c>
      <c r="AX22" s="12">
        <v>5.62</v>
      </c>
      <c r="AY22" s="12">
        <v>27.22</v>
      </c>
      <c r="AZ22" s="12">
        <v>9.39</v>
      </c>
      <c r="BA22" s="12">
        <v>0.7</v>
      </c>
      <c r="BB22" s="12">
        <v>3.94</v>
      </c>
      <c r="BC22" s="12">
        <v>2.74</v>
      </c>
      <c r="BD22" s="12">
        <v>77.400000000000006</v>
      </c>
      <c r="BE22" s="12">
        <v>41.98</v>
      </c>
      <c r="BF22" s="12">
        <v>23.91</v>
      </c>
      <c r="BG22" s="12">
        <v>22.75</v>
      </c>
      <c r="BH22" s="12">
        <v>5.25</v>
      </c>
      <c r="BI22" s="12">
        <v>7.95</v>
      </c>
      <c r="BJ22" s="5">
        <v>46</v>
      </c>
      <c r="BK22" s="12">
        <v>6.73</v>
      </c>
      <c r="BL22" s="12">
        <v>6.85</v>
      </c>
      <c r="BM22" s="12">
        <v>56.55</v>
      </c>
      <c r="BN22" s="12">
        <v>189.82</v>
      </c>
      <c r="BO22" s="12">
        <v>149.51</v>
      </c>
      <c r="BP22" s="12">
        <v>210.53</v>
      </c>
      <c r="BQ22" s="12">
        <v>105.66</v>
      </c>
      <c r="BR22" s="12">
        <v>17.89</v>
      </c>
      <c r="BS22" s="12">
        <v>17.649999999999999</v>
      </c>
      <c r="BT22" s="12">
        <v>53.88</v>
      </c>
      <c r="BU22" s="12">
        <v>0.57999999999999996</v>
      </c>
      <c r="BV22" s="12">
        <v>23.67</v>
      </c>
      <c r="BW22" s="5">
        <v>0</v>
      </c>
      <c r="BX22" s="5">
        <v>0</v>
      </c>
      <c r="BY22" s="12">
        <v>2330.2199999999998</v>
      </c>
      <c r="BZ22" s="5">
        <v>0</v>
      </c>
      <c r="CA22" s="12">
        <v>2330.2199999999998</v>
      </c>
      <c r="CB22" s="5">
        <v>0</v>
      </c>
      <c r="CC22" s="12">
        <v>7.36</v>
      </c>
      <c r="CD22" s="12">
        <v>7.36</v>
      </c>
      <c r="CE22" s="12">
        <v>2216.83</v>
      </c>
      <c r="CF22" s="12">
        <v>3991.23</v>
      </c>
      <c r="CG22" s="12">
        <v>-1774.4</v>
      </c>
      <c r="CH22" s="12">
        <v>2342.64</v>
      </c>
      <c r="CI22" s="12">
        <v>1648.59</v>
      </c>
      <c r="CJ22" s="5">
        <v>0</v>
      </c>
      <c r="CK22" s="12">
        <v>7.36</v>
      </c>
      <c r="CL22" s="5">
        <v>0</v>
      </c>
      <c r="CM22" s="12">
        <v>8762.81</v>
      </c>
      <c r="CN22" s="12">
        <v>4554.41</v>
      </c>
    </row>
    <row r="23" spans="1:92" s="54" customFormat="1" ht="14">
      <c r="A23" s="51" t="s">
        <v>38</v>
      </c>
      <c r="B23" s="83">
        <f>16235.32-SUM(B24:B31)</f>
        <v>15659.887337375365</v>
      </c>
      <c r="C23" s="52">
        <v>258.35000000000002</v>
      </c>
      <c r="D23" s="52">
        <v>10.82</v>
      </c>
      <c r="E23" s="52">
        <v>0.14000000000000001</v>
      </c>
      <c r="F23" s="52">
        <v>49.91</v>
      </c>
      <c r="G23" s="52">
        <v>281.43</v>
      </c>
      <c r="H23" s="52">
        <v>293.10000000000002</v>
      </c>
      <c r="I23" s="52">
        <v>104.52</v>
      </c>
      <c r="J23" s="52">
        <v>322.29000000000002</v>
      </c>
      <c r="K23" s="52">
        <v>38.380000000000003</v>
      </c>
      <c r="L23" s="52">
        <v>281.56</v>
      </c>
      <c r="M23" s="52">
        <v>8686.1</v>
      </c>
      <c r="N23" s="62"/>
      <c r="O23" s="62"/>
      <c r="P23" s="63"/>
      <c r="Q23" s="63"/>
      <c r="R23" s="64"/>
      <c r="S23" s="64"/>
      <c r="T23" s="65"/>
      <c r="U23" s="65"/>
      <c r="V23" s="52">
        <v>285.83999999999997</v>
      </c>
      <c r="W23" s="52">
        <v>1901.17</v>
      </c>
      <c r="X23" s="52">
        <v>238.47</v>
      </c>
      <c r="Y23" s="52">
        <v>284.16000000000003</v>
      </c>
      <c r="Z23" s="52">
        <v>136.71</v>
      </c>
      <c r="AA23" s="52">
        <v>749.14</v>
      </c>
      <c r="AB23" s="52">
        <v>213.68</v>
      </c>
      <c r="AC23" s="52">
        <v>70.92</v>
      </c>
      <c r="AD23" s="52">
        <v>200.46</v>
      </c>
      <c r="AE23" s="52">
        <v>79.150000000000006</v>
      </c>
      <c r="AF23" s="52">
        <v>93.83</v>
      </c>
      <c r="AG23" s="52">
        <v>5.82</v>
      </c>
      <c r="AH23" s="73">
        <v>7.47</v>
      </c>
      <c r="AI23" s="69"/>
      <c r="AJ23" s="52">
        <v>7.94</v>
      </c>
      <c r="AK23" s="52">
        <v>14.71</v>
      </c>
      <c r="AL23" s="52">
        <v>352.1</v>
      </c>
      <c r="AM23" s="52">
        <v>43.3</v>
      </c>
      <c r="AN23" s="52">
        <v>11.45</v>
      </c>
      <c r="AO23" s="52">
        <v>6.12</v>
      </c>
      <c r="AP23" s="52">
        <v>47.81</v>
      </c>
      <c r="AQ23" s="52">
        <v>0.11</v>
      </c>
      <c r="AR23" s="52">
        <v>2.64</v>
      </c>
      <c r="AS23" s="53">
        <v>24</v>
      </c>
      <c r="AT23" s="52">
        <v>1.52</v>
      </c>
      <c r="AU23" s="52">
        <v>21.19</v>
      </c>
      <c r="AV23" s="52">
        <v>0.01</v>
      </c>
      <c r="AW23" s="52">
        <v>3.34</v>
      </c>
      <c r="AX23" s="53">
        <v>0</v>
      </c>
      <c r="AY23" s="52">
        <v>1.36</v>
      </c>
      <c r="AZ23" s="52">
        <v>2.21</v>
      </c>
      <c r="BA23" s="52">
        <v>0.97</v>
      </c>
      <c r="BB23" s="52">
        <v>0.99</v>
      </c>
      <c r="BC23" s="52">
        <v>1.53</v>
      </c>
      <c r="BD23" s="52">
        <v>12.85</v>
      </c>
      <c r="BE23" s="52">
        <v>8.5299999999999994</v>
      </c>
      <c r="BF23" s="52">
        <v>17.98</v>
      </c>
      <c r="BG23" s="52">
        <v>289.51</v>
      </c>
      <c r="BH23" s="52">
        <v>3.45</v>
      </c>
      <c r="BI23" s="52">
        <v>53.58</v>
      </c>
      <c r="BJ23" s="52">
        <v>6.48</v>
      </c>
      <c r="BK23" s="52">
        <v>0.14000000000000001</v>
      </c>
      <c r="BL23" s="52">
        <v>0.59</v>
      </c>
      <c r="BM23" s="52">
        <v>109.87</v>
      </c>
      <c r="BN23" s="52">
        <v>103.1</v>
      </c>
      <c r="BO23" s="52">
        <v>0.01</v>
      </c>
      <c r="BP23" s="52">
        <v>393.26</v>
      </c>
      <c r="BQ23" s="52">
        <v>17.899999999999999</v>
      </c>
      <c r="BR23" s="52">
        <v>5.72</v>
      </c>
      <c r="BS23" s="52">
        <v>2.48</v>
      </c>
      <c r="BT23" s="52">
        <v>0.94</v>
      </c>
      <c r="BU23" s="52">
        <v>1.65</v>
      </c>
      <c r="BV23" s="52">
        <v>70.599999999999994</v>
      </c>
      <c r="BW23" s="53">
        <v>0</v>
      </c>
      <c r="BX23" s="53">
        <v>0</v>
      </c>
      <c r="BY23" s="52">
        <v>1795.53</v>
      </c>
      <c r="BZ23" s="53">
        <v>0</v>
      </c>
      <c r="CA23" s="52">
        <v>1795.53</v>
      </c>
      <c r="CB23" s="53">
        <v>0</v>
      </c>
      <c r="CC23" s="52">
        <v>369.28</v>
      </c>
      <c r="CD23" s="52">
        <v>283.20999999999998</v>
      </c>
      <c r="CE23" s="52">
        <v>15386.05</v>
      </c>
      <c r="CF23" s="52">
        <v>10927.6</v>
      </c>
      <c r="CG23" s="52">
        <v>4458.45</v>
      </c>
      <c r="CH23" s="52">
        <v>8031.68</v>
      </c>
      <c r="CI23" s="52">
        <v>2895.93</v>
      </c>
      <c r="CJ23" s="52">
        <v>86.07</v>
      </c>
      <c r="CK23" s="52">
        <v>283.20999999999998</v>
      </c>
      <c r="CL23" s="53">
        <v>0</v>
      </c>
      <c r="CM23" s="52">
        <v>33786.18</v>
      </c>
      <c r="CN23" s="52">
        <v>17550.86</v>
      </c>
    </row>
    <row r="24" spans="1:92" s="38" customFormat="1" ht="14">
      <c r="A24" s="35" t="s">
        <v>166</v>
      </c>
      <c r="B24" s="84">
        <f>'[1]2023'!$D$8/1000000</f>
        <v>365.34802805113645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40"/>
      <c r="Q24" s="40"/>
      <c r="R24" s="44"/>
      <c r="S24" s="44"/>
      <c r="T24" s="48"/>
      <c r="U24" s="48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56"/>
      <c r="AI24" s="67"/>
      <c r="AJ24" s="36"/>
      <c r="AK24" s="36"/>
      <c r="AL24" s="36"/>
      <c r="AM24" s="36"/>
      <c r="AN24" s="36"/>
      <c r="AO24" s="36"/>
      <c r="AP24" s="36"/>
      <c r="AQ24" s="36"/>
      <c r="AR24" s="36"/>
      <c r="AS24" s="37"/>
      <c r="AT24" s="36"/>
      <c r="AU24" s="36"/>
      <c r="AV24" s="36"/>
      <c r="AW24" s="36"/>
      <c r="AX24" s="37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7"/>
      <c r="BX24" s="37"/>
      <c r="BY24" s="36"/>
      <c r="BZ24" s="37"/>
      <c r="CA24" s="36"/>
      <c r="CB24" s="37"/>
      <c r="CC24" s="36"/>
      <c r="CD24" s="36"/>
      <c r="CE24" s="36"/>
      <c r="CF24" s="36"/>
      <c r="CG24" s="36"/>
      <c r="CH24" s="36"/>
      <c r="CI24" s="36"/>
      <c r="CJ24" s="36"/>
      <c r="CK24" s="36"/>
      <c r="CL24" s="37"/>
      <c r="CM24" s="36"/>
      <c r="CN24" s="36"/>
    </row>
    <row r="25" spans="1:92" s="38" customFormat="1" ht="14">
      <c r="A25" s="35" t="s">
        <v>167</v>
      </c>
      <c r="B25" s="85">
        <f>'[1]2023'!$D$3/1000000</f>
        <v>12.246700000000001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0"/>
      <c r="Q25" s="40"/>
      <c r="R25" s="44"/>
      <c r="S25" s="44"/>
      <c r="T25" s="48"/>
      <c r="U25" s="48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56"/>
      <c r="AI25" s="67"/>
      <c r="AJ25" s="36"/>
      <c r="AK25" s="36"/>
      <c r="AL25" s="36"/>
      <c r="AM25" s="36"/>
      <c r="AN25" s="36"/>
      <c r="AO25" s="36"/>
      <c r="AP25" s="36"/>
      <c r="AQ25" s="36"/>
      <c r="AR25" s="36"/>
      <c r="AS25" s="37"/>
      <c r="AT25" s="36"/>
      <c r="AU25" s="36"/>
      <c r="AV25" s="36"/>
      <c r="AW25" s="36"/>
      <c r="AX25" s="37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7"/>
      <c r="BX25" s="37"/>
      <c r="BY25" s="36"/>
      <c r="BZ25" s="37"/>
      <c r="CA25" s="36"/>
      <c r="CB25" s="37"/>
      <c r="CC25" s="36"/>
      <c r="CD25" s="36"/>
      <c r="CE25" s="36"/>
      <c r="CF25" s="36"/>
      <c r="CG25" s="36"/>
      <c r="CH25" s="36"/>
      <c r="CI25" s="36"/>
      <c r="CJ25" s="36"/>
      <c r="CK25" s="36"/>
      <c r="CL25" s="37"/>
      <c r="CM25" s="36"/>
      <c r="CN25" s="36"/>
    </row>
    <row r="26" spans="1:92" s="42" customFormat="1" ht="14">
      <c r="A26" s="39" t="s">
        <v>168</v>
      </c>
      <c r="B26" s="77">
        <f>'[1]2023'!$D$9/1000000</f>
        <v>183.6514045734981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36"/>
      <c r="O26" s="36"/>
      <c r="P26" s="40"/>
      <c r="Q26" s="40"/>
      <c r="R26" s="44"/>
      <c r="S26" s="44"/>
      <c r="T26" s="48"/>
      <c r="U26" s="48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56"/>
      <c r="AI26" s="67"/>
      <c r="AJ26" s="40"/>
      <c r="AK26" s="40"/>
      <c r="AL26" s="40"/>
      <c r="AM26" s="40"/>
      <c r="AN26" s="40"/>
      <c r="AO26" s="40"/>
      <c r="AP26" s="40"/>
      <c r="AQ26" s="40"/>
      <c r="AR26" s="40"/>
      <c r="AS26" s="41"/>
      <c r="AT26" s="40"/>
      <c r="AU26" s="40"/>
      <c r="AV26" s="40"/>
      <c r="AW26" s="40"/>
      <c r="AX26" s="41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1"/>
      <c r="BX26" s="41"/>
      <c r="BY26" s="40"/>
      <c r="BZ26" s="41"/>
      <c r="CA26" s="40"/>
      <c r="CB26" s="41"/>
      <c r="CC26" s="40"/>
      <c r="CD26" s="40"/>
      <c r="CE26" s="40"/>
      <c r="CF26" s="40"/>
      <c r="CG26" s="40"/>
      <c r="CH26" s="40"/>
      <c r="CI26" s="40"/>
      <c r="CJ26" s="40"/>
      <c r="CK26" s="40"/>
      <c r="CL26" s="41"/>
      <c r="CM26" s="40"/>
      <c r="CN26" s="40"/>
    </row>
    <row r="27" spans="1:92" s="42" customFormat="1" ht="14">
      <c r="A27" s="39" t="s">
        <v>169</v>
      </c>
      <c r="B27" s="77">
        <f>'[1]2023'!$D$4/1000000</f>
        <v>14.186529999999999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36"/>
      <c r="O27" s="36"/>
      <c r="P27" s="40"/>
      <c r="Q27" s="40"/>
      <c r="R27" s="44"/>
      <c r="S27" s="44"/>
      <c r="T27" s="48"/>
      <c r="U27" s="48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56"/>
      <c r="AI27" s="67"/>
      <c r="AJ27" s="40"/>
      <c r="AK27" s="40"/>
      <c r="AL27" s="40"/>
      <c r="AM27" s="40"/>
      <c r="AN27" s="40"/>
      <c r="AO27" s="40"/>
      <c r="AP27" s="40"/>
      <c r="AQ27" s="40"/>
      <c r="AR27" s="40"/>
      <c r="AS27" s="41"/>
      <c r="AT27" s="40"/>
      <c r="AU27" s="40"/>
      <c r="AV27" s="40"/>
      <c r="AW27" s="40"/>
      <c r="AX27" s="41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1"/>
      <c r="BX27" s="41"/>
      <c r="BY27" s="40"/>
      <c r="BZ27" s="41"/>
      <c r="CA27" s="40"/>
      <c r="CB27" s="41"/>
      <c r="CC27" s="40"/>
      <c r="CD27" s="40"/>
      <c r="CE27" s="40"/>
      <c r="CF27" s="40"/>
      <c r="CG27" s="40"/>
      <c r="CH27" s="40"/>
      <c r="CI27" s="40"/>
      <c r="CJ27" s="40"/>
      <c r="CK27" s="40"/>
      <c r="CL27" s="41"/>
      <c r="CM27" s="40"/>
      <c r="CN27" s="40"/>
    </row>
    <row r="28" spans="1:92" s="46" customFormat="1" ht="14">
      <c r="A28" s="43" t="s">
        <v>170</v>
      </c>
      <c r="B28" s="75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36"/>
      <c r="O28" s="36"/>
      <c r="P28" s="40"/>
      <c r="Q28" s="40"/>
      <c r="R28" s="44"/>
      <c r="S28" s="44"/>
      <c r="T28" s="48"/>
      <c r="U28" s="48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56"/>
      <c r="AI28" s="67"/>
      <c r="AJ28" s="44"/>
      <c r="AK28" s="44"/>
      <c r="AL28" s="44"/>
      <c r="AM28" s="44"/>
      <c r="AN28" s="44"/>
      <c r="AO28" s="44"/>
      <c r="AP28" s="44"/>
      <c r="AQ28" s="44"/>
      <c r="AR28" s="44"/>
      <c r="AS28" s="45"/>
      <c r="AT28" s="44"/>
      <c r="AU28" s="44"/>
      <c r="AV28" s="44"/>
      <c r="AW28" s="44"/>
      <c r="AX28" s="45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5"/>
      <c r="BX28" s="45"/>
      <c r="BY28" s="44"/>
      <c r="BZ28" s="45"/>
      <c r="CA28" s="44"/>
      <c r="CB28" s="45"/>
      <c r="CC28" s="44"/>
      <c r="CD28" s="44"/>
      <c r="CE28" s="44"/>
      <c r="CF28" s="44"/>
      <c r="CG28" s="44"/>
      <c r="CH28" s="44"/>
      <c r="CI28" s="44"/>
      <c r="CJ28" s="44"/>
      <c r="CK28" s="44"/>
      <c r="CL28" s="45"/>
      <c r="CM28" s="44"/>
      <c r="CN28" s="44"/>
    </row>
    <row r="29" spans="1:92" s="46" customFormat="1" ht="14">
      <c r="A29" s="43" t="s">
        <v>171</v>
      </c>
      <c r="B29" s="75">
        <v>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36"/>
      <c r="O29" s="36"/>
      <c r="P29" s="40"/>
      <c r="Q29" s="40"/>
      <c r="R29" s="44"/>
      <c r="S29" s="44"/>
      <c r="T29" s="48"/>
      <c r="U29" s="48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56"/>
      <c r="AI29" s="67"/>
      <c r="AJ29" s="44"/>
      <c r="AK29" s="44"/>
      <c r="AL29" s="44"/>
      <c r="AM29" s="44"/>
      <c r="AN29" s="44"/>
      <c r="AO29" s="44"/>
      <c r="AP29" s="44"/>
      <c r="AQ29" s="44"/>
      <c r="AR29" s="44"/>
      <c r="AS29" s="45"/>
      <c r="AT29" s="44"/>
      <c r="AU29" s="44"/>
      <c r="AV29" s="44"/>
      <c r="AW29" s="44"/>
      <c r="AX29" s="45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5"/>
      <c r="BX29" s="45"/>
      <c r="BY29" s="44"/>
      <c r="BZ29" s="45"/>
      <c r="CA29" s="44"/>
      <c r="CB29" s="45"/>
      <c r="CC29" s="44"/>
      <c r="CD29" s="44"/>
      <c r="CE29" s="44"/>
      <c r="CF29" s="44"/>
      <c r="CG29" s="44"/>
      <c r="CH29" s="44"/>
      <c r="CI29" s="44"/>
      <c r="CJ29" s="44"/>
      <c r="CK29" s="44"/>
      <c r="CL29" s="45"/>
      <c r="CM29" s="44"/>
      <c r="CN29" s="44"/>
    </row>
    <row r="30" spans="1:92" s="50" customFormat="1" ht="14">
      <c r="A30" s="47" t="s">
        <v>172</v>
      </c>
      <c r="B30" s="76">
        <v>0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36"/>
      <c r="O30" s="36"/>
      <c r="P30" s="40"/>
      <c r="Q30" s="40"/>
      <c r="R30" s="44"/>
      <c r="S30" s="44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56"/>
      <c r="AI30" s="67"/>
      <c r="AJ30" s="48"/>
      <c r="AK30" s="48"/>
      <c r="AL30" s="48"/>
      <c r="AM30" s="48"/>
      <c r="AN30" s="48"/>
      <c r="AO30" s="48"/>
      <c r="AP30" s="48"/>
      <c r="AQ30" s="48"/>
      <c r="AR30" s="48"/>
      <c r="AS30" s="49"/>
      <c r="AT30" s="48"/>
      <c r="AU30" s="48"/>
      <c r="AV30" s="48"/>
      <c r="AW30" s="48"/>
      <c r="AX30" s="49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9"/>
      <c r="BX30" s="49"/>
      <c r="BY30" s="48"/>
      <c r="BZ30" s="49"/>
      <c r="CA30" s="48"/>
      <c r="CB30" s="49"/>
      <c r="CC30" s="48"/>
      <c r="CD30" s="48"/>
      <c r="CE30" s="48"/>
      <c r="CF30" s="48"/>
      <c r="CG30" s="48"/>
      <c r="CH30" s="48"/>
      <c r="CI30" s="48"/>
      <c r="CJ30" s="48"/>
      <c r="CK30" s="48"/>
      <c r="CL30" s="49"/>
      <c r="CM30" s="48"/>
      <c r="CN30" s="48"/>
    </row>
    <row r="31" spans="1:92" s="50" customFormat="1" ht="14">
      <c r="A31" s="47" t="s">
        <v>173</v>
      </c>
      <c r="B31" s="76">
        <v>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36"/>
      <c r="O31" s="36"/>
      <c r="P31" s="40"/>
      <c r="Q31" s="40"/>
      <c r="R31" s="44"/>
      <c r="S31" s="44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56"/>
      <c r="AI31" s="67"/>
      <c r="AJ31" s="48"/>
      <c r="AK31" s="48"/>
      <c r="AL31" s="48"/>
      <c r="AM31" s="48"/>
      <c r="AN31" s="48"/>
      <c r="AO31" s="48"/>
      <c r="AP31" s="48"/>
      <c r="AQ31" s="48"/>
      <c r="AR31" s="48"/>
      <c r="AS31" s="49"/>
      <c r="AT31" s="48"/>
      <c r="AU31" s="48"/>
      <c r="AV31" s="48"/>
      <c r="AW31" s="48"/>
      <c r="AX31" s="49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9"/>
      <c r="BX31" s="49"/>
      <c r="BY31" s="48"/>
      <c r="BZ31" s="49"/>
      <c r="CA31" s="48"/>
      <c r="CB31" s="49"/>
      <c r="CC31" s="48"/>
      <c r="CD31" s="48"/>
      <c r="CE31" s="48"/>
      <c r="CF31" s="48"/>
      <c r="CG31" s="48"/>
      <c r="CH31" s="48"/>
      <c r="CI31" s="48"/>
      <c r="CJ31" s="48"/>
      <c r="CK31" s="48"/>
      <c r="CL31" s="49"/>
      <c r="CM31" s="48"/>
      <c r="CN31" s="48"/>
    </row>
    <row r="32" spans="1:92" ht="14">
      <c r="A32" s="4" t="s">
        <v>39</v>
      </c>
      <c r="B32" s="12">
        <v>2996.29</v>
      </c>
      <c r="C32" s="12">
        <v>4.7699999999999996</v>
      </c>
      <c r="D32" s="5">
        <v>0</v>
      </c>
      <c r="E32" s="5">
        <v>0</v>
      </c>
      <c r="F32" s="5">
        <v>0</v>
      </c>
      <c r="G32" s="12">
        <v>53.14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12">
        <v>9.2799999999999994</v>
      </c>
      <c r="N32" s="36"/>
      <c r="O32" s="36"/>
      <c r="P32" s="40"/>
      <c r="Q32" s="40"/>
      <c r="R32" s="44"/>
      <c r="S32" s="44"/>
      <c r="T32" s="48"/>
      <c r="U32" s="48"/>
      <c r="V32" s="12">
        <v>678.24</v>
      </c>
      <c r="W32" s="12">
        <v>0.45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7">
        <v>0</v>
      </c>
      <c r="AI32" s="68"/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12">
        <v>62.96</v>
      </c>
      <c r="BH32" s="5">
        <v>0</v>
      </c>
      <c r="BI32" s="12">
        <v>50.71</v>
      </c>
      <c r="BJ32" s="5">
        <v>0</v>
      </c>
      <c r="BK32" s="5">
        <v>0</v>
      </c>
      <c r="BL32" s="5">
        <v>0</v>
      </c>
      <c r="BM32" s="5">
        <v>0</v>
      </c>
      <c r="BN32" s="12">
        <v>456.61</v>
      </c>
      <c r="BO32" s="5">
        <v>0</v>
      </c>
      <c r="BP32" s="12">
        <v>1657.24</v>
      </c>
      <c r="BQ32" s="12">
        <v>22.9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12">
        <v>3373.29</v>
      </c>
      <c r="BZ32" s="12">
        <v>2257.16</v>
      </c>
      <c r="CA32" s="12">
        <v>1116.1300000000001</v>
      </c>
      <c r="CB32" s="5">
        <v>0</v>
      </c>
      <c r="CC32" s="12">
        <v>214.11</v>
      </c>
      <c r="CD32" s="12">
        <v>214.11</v>
      </c>
      <c r="CE32" s="12">
        <v>4984.22</v>
      </c>
      <c r="CF32" s="12">
        <v>2589.67</v>
      </c>
      <c r="CG32" s="12">
        <v>2394.5500000000002</v>
      </c>
      <c r="CH32" s="12">
        <v>1802.74</v>
      </c>
      <c r="CI32" s="12">
        <v>786.93</v>
      </c>
      <c r="CJ32" s="5">
        <v>0</v>
      </c>
      <c r="CK32" s="12">
        <v>214.11</v>
      </c>
      <c r="CL32" s="5">
        <v>0</v>
      </c>
      <c r="CM32" s="12">
        <v>11567.91</v>
      </c>
      <c r="CN32" s="12">
        <v>8571.6200000000008</v>
      </c>
    </row>
    <row r="33" spans="1:92" ht="14">
      <c r="A33" s="4" t="s">
        <v>40</v>
      </c>
      <c r="B33" s="13">
        <v>6524.66</v>
      </c>
      <c r="C33" s="13">
        <v>43.01</v>
      </c>
      <c r="D33" s="13">
        <v>0.21</v>
      </c>
      <c r="E33" s="13">
        <v>0.7</v>
      </c>
      <c r="F33" s="13">
        <v>9.42</v>
      </c>
      <c r="G33" s="13">
        <v>573.17999999999995</v>
      </c>
      <c r="H33" s="13">
        <v>30.8</v>
      </c>
      <c r="I33" s="13">
        <v>75.56</v>
      </c>
      <c r="J33" s="13">
        <v>53.25</v>
      </c>
      <c r="K33" s="13">
        <v>52.22</v>
      </c>
      <c r="L33" s="13">
        <v>3.13</v>
      </c>
      <c r="M33" s="13">
        <v>129.19999999999999</v>
      </c>
      <c r="N33" s="36"/>
      <c r="O33" s="36"/>
      <c r="P33" s="40"/>
      <c r="Q33" s="40"/>
      <c r="R33" s="44"/>
      <c r="S33" s="44"/>
      <c r="T33" s="48"/>
      <c r="U33" s="48"/>
      <c r="V33" s="13">
        <v>77.239999999999995</v>
      </c>
      <c r="W33" s="13">
        <v>632.91</v>
      </c>
      <c r="X33" s="13">
        <v>65.08</v>
      </c>
      <c r="Y33" s="13">
        <v>47.57</v>
      </c>
      <c r="Z33" s="13">
        <v>53.84</v>
      </c>
      <c r="AA33" s="13">
        <v>55.86</v>
      </c>
      <c r="AB33" s="13">
        <v>239.56</v>
      </c>
      <c r="AC33" s="13">
        <v>455.44</v>
      </c>
      <c r="AD33" s="13">
        <v>262.51</v>
      </c>
      <c r="AE33" s="13">
        <v>117.07</v>
      </c>
      <c r="AF33" s="13">
        <v>96.66</v>
      </c>
      <c r="AG33" s="13">
        <v>5.59</v>
      </c>
      <c r="AH33" s="56">
        <v>7.06</v>
      </c>
      <c r="AI33" s="67"/>
      <c r="AJ33" s="13">
        <v>7.9</v>
      </c>
      <c r="AK33" s="13">
        <v>10.99</v>
      </c>
      <c r="AL33" s="13">
        <v>1498.26</v>
      </c>
      <c r="AM33" s="13">
        <v>189.89</v>
      </c>
      <c r="AN33" s="13">
        <v>271.61</v>
      </c>
      <c r="AO33" s="13">
        <v>163.05000000000001</v>
      </c>
      <c r="AP33" s="13">
        <v>103.7</v>
      </c>
      <c r="AQ33" s="13">
        <v>0.1</v>
      </c>
      <c r="AR33" s="13">
        <v>0.94</v>
      </c>
      <c r="AS33" s="13">
        <v>70.53</v>
      </c>
      <c r="AT33" s="13">
        <v>0.95</v>
      </c>
      <c r="AU33" s="13">
        <v>21.26</v>
      </c>
      <c r="AV33" s="13">
        <v>8.34</v>
      </c>
      <c r="AW33" s="13">
        <v>0.26</v>
      </c>
      <c r="AX33" s="13">
        <v>1.92</v>
      </c>
      <c r="AY33" s="13">
        <v>19.260000000000002</v>
      </c>
      <c r="AZ33" s="13">
        <v>25.33</v>
      </c>
      <c r="BA33" s="13">
        <v>16.399999999999999</v>
      </c>
      <c r="BB33" s="13">
        <v>20.079999999999998</v>
      </c>
      <c r="BC33" s="13">
        <v>2.5</v>
      </c>
      <c r="BD33" s="13">
        <v>81.900000000000006</v>
      </c>
      <c r="BE33" s="13">
        <v>46.01</v>
      </c>
      <c r="BF33" s="13">
        <v>79.83</v>
      </c>
      <c r="BG33" s="13">
        <v>58.51</v>
      </c>
      <c r="BH33" s="6">
        <v>26</v>
      </c>
      <c r="BI33" s="13">
        <v>26.37</v>
      </c>
      <c r="BJ33" s="13">
        <v>75.53</v>
      </c>
      <c r="BK33" s="13">
        <v>8.0399999999999991</v>
      </c>
      <c r="BL33" s="13">
        <v>1.83</v>
      </c>
      <c r="BM33" s="13">
        <v>101.19</v>
      </c>
      <c r="BN33" s="13">
        <v>32.090000000000003</v>
      </c>
      <c r="BO33" s="13">
        <v>10.83</v>
      </c>
      <c r="BP33" s="13">
        <v>325.89</v>
      </c>
      <c r="BQ33" s="13">
        <v>48.09</v>
      </c>
      <c r="BR33" s="13">
        <v>10.17</v>
      </c>
      <c r="BS33" s="13">
        <v>9.99</v>
      </c>
      <c r="BT33" s="13">
        <v>7.18</v>
      </c>
      <c r="BU33" s="13">
        <v>20.440000000000001</v>
      </c>
      <c r="BV33" s="13">
        <v>34.43</v>
      </c>
      <c r="BW33" s="6">
        <v>0</v>
      </c>
      <c r="BX33" s="6">
        <v>0</v>
      </c>
      <c r="BY33" s="13">
        <v>689.97</v>
      </c>
      <c r="BZ33" s="6">
        <v>0</v>
      </c>
      <c r="CA33" s="13">
        <v>689.97</v>
      </c>
      <c r="CB33" s="6">
        <v>0</v>
      </c>
      <c r="CC33" s="13">
        <v>476.44</v>
      </c>
      <c r="CD33" s="13">
        <v>115.07</v>
      </c>
      <c r="CE33" s="13">
        <v>5337.14</v>
      </c>
      <c r="CF33" s="13">
        <v>4002.64</v>
      </c>
      <c r="CG33" s="13">
        <v>1334.5</v>
      </c>
      <c r="CH33" s="13">
        <v>3131.46</v>
      </c>
      <c r="CI33" s="13">
        <v>871.18</v>
      </c>
      <c r="CJ33" s="13">
        <v>361.37</v>
      </c>
      <c r="CK33" s="13">
        <v>115.07</v>
      </c>
      <c r="CL33" s="6">
        <v>0</v>
      </c>
      <c r="CM33" s="13">
        <v>13028.21</v>
      </c>
      <c r="CN33" s="13">
        <v>6503.55</v>
      </c>
    </row>
    <row r="34" spans="1:92" ht="14">
      <c r="A34" s="4" t="s">
        <v>41</v>
      </c>
      <c r="B34" s="12">
        <v>6157.57</v>
      </c>
      <c r="C34" s="12">
        <v>29.76</v>
      </c>
      <c r="D34" s="5">
        <v>0</v>
      </c>
      <c r="E34" s="12">
        <v>1.44</v>
      </c>
      <c r="F34" s="12">
        <v>0.78</v>
      </c>
      <c r="G34" s="12">
        <v>64.290000000000006</v>
      </c>
      <c r="H34" s="12">
        <v>7.17</v>
      </c>
      <c r="I34" s="12">
        <v>47.23</v>
      </c>
      <c r="J34" s="12">
        <v>0.28000000000000003</v>
      </c>
      <c r="K34" s="5">
        <v>0</v>
      </c>
      <c r="L34" s="5">
        <v>0</v>
      </c>
      <c r="M34" s="12">
        <v>14.59</v>
      </c>
      <c r="N34" s="36"/>
      <c r="O34" s="36"/>
      <c r="P34" s="40"/>
      <c r="Q34" s="40"/>
      <c r="R34" s="44"/>
      <c r="S34" s="44"/>
      <c r="T34" s="48"/>
      <c r="U34" s="48"/>
      <c r="V34" s="12">
        <v>36.229999999999997</v>
      </c>
      <c r="W34" s="12">
        <v>99.49</v>
      </c>
      <c r="X34" s="12">
        <v>932.76</v>
      </c>
      <c r="Y34" s="12">
        <v>102.35</v>
      </c>
      <c r="Z34" s="12">
        <v>31.81</v>
      </c>
      <c r="AA34" s="12">
        <v>43.49</v>
      </c>
      <c r="AB34" s="12">
        <v>92.03</v>
      </c>
      <c r="AC34" s="12">
        <v>102.79</v>
      </c>
      <c r="AD34" s="12">
        <v>98.04</v>
      </c>
      <c r="AE34" s="12">
        <v>31.3</v>
      </c>
      <c r="AF34" s="12">
        <v>42.26</v>
      </c>
      <c r="AG34" s="12">
        <v>16.78</v>
      </c>
      <c r="AH34" s="56">
        <v>1.98</v>
      </c>
      <c r="AI34" s="67"/>
      <c r="AJ34" s="12">
        <v>14.76</v>
      </c>
      <c r="AK34" s="12">
        <v>5.99</v>
      </c>
      <c r="AL34" s="12">
        <v>4038.85</v>
      </c>
      <c r="AM34" s="12">
        <v>25.94</v>
      </c>
      <c r="AN34" s="5">
        <v>0</v>
      </c>
      <c r="AO34" s="12">
        <v>1.48</v>
      </c>
      <c r="AP34" s="12">
        <v>0.01</v>
      </c>
      <c r="AQ34" s="5">
        <v>0</v>
      </c>
      <c r="AR34" s="12">
        <v>0.01</v>
      </c>
      <c r="AS34" s="12">
        <v>0.25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12">
        <v>5.71</v>
      </c>
      <c r="BD34" s="12">
        <v>60.57</v>
      </c>
      <c r="BE34" s="12">
        <v>0.02</v>
      </c>
      <c r="BF34" s="12">
        <v>13.04</v>
      </c>
      <c r="BG34" s="12">
        <v>16.899999999999999</v>
      </c>
      <c r="BH34" s="5">
        <v>0</v>
      </c>
      <c r="BI34" s="12">
        <v>3.62</v>
      </c>
      <c r="BJ34" s="5">
        <v>0</v>
      </c>
      <c r="BK34" s="12">
        <v>0.05</v>
      </c>
      <c r="BL34" s="5">
        <v>0</v>
      </c>
      <c r="BM34" s="12">
        <v>44.44</v>
      </c>
      <c r="BN34" s="12">
        <v>85.96</v>
      </c>
      <c r="BO34" s="5">
        <v>0</v>
      </c>
      <c r="BP34" s="12">
        <v>43.13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12">
        <v>271.60000000000002</v>
      </c>
      <c r="BZ34" s="5">
        <v>0</v>
      </c>
      <c r="CA34" s="12">
        <v>271.60000000000002</v>
      </c>
      <c r="CB34" s="5">
        <v>0</v>
      </c>
      <c r="CC34" s="12">
        <v>860.86</v>
      </c>
      <c r="CD34" s="12">
        <v>135.66999999999999</v>
      </c>
      <c r="CE34" s="12">
        <v>2173.61</v>
      </c>
      <c r="CF34" s="12">
        <v>1263.78</v>
      </c>
      <c r="CG34" s="12">
        <v>909.83</v>
      </c>
      <c r="CH34" s="12">
        <v>1014.99</v>
      </c>
      <c r="CI34" s="12">
        <v>248.79</v>
      </c>
      <c r="CJ34" s="12">
        <v>725.2</v>
      </c>
      <c r="CK34" s="12">
        <v>135.66999999999999</v>
      </c>
      <c r="CL34" s="5">
        <v>0</v>
      </c>
      <c r="CM34" s="12">
        <v>9463.6299999999992</v>
      </c>
      <c r="CN34" s="12">
        <v>3306.07</v>
      </c>
    </row>
    <row r="35" spans="1:92" ht="14">
      <c r="A35" s="4" t="s">
        <v>42</v>
      </c>
      <c r="B35" s="13">
        <v>18091.79</v>
      </c>
      <c r="C35" s="6">
        <v>0</v>
      </c>
      <c r="D35" s="6">
        <v>0</v>
      </c>
      <c r="E35" s="6">
        <v>0</v>
      </c>
      <c r="F35" s="13">
        <v>1.82</v>
      </c>
      <c r="G35" s="13">
        <v>13.61</v>
      </c>
      <c r="H35" s="6">
        <v>0</v>
      </c>
      <c r="I35" s="13">
        <v>10.69</v>
      </c>
      <c r="J35" s="13">
        <v>35.700000000000003</v>
      </c>
      <c r="K35" s="6">
        <v>0</v>
      </c>
      <c r="L35" s="6">
        <v>0</v>
      </c>
      <c r="M35" s="13">
        <v>59.28</v>
      </c>
      <c r="N35" s="36"/>
      <c r="O35" s="36"/>
      <c r="P35" s="40"/>
      <c r="Q35" s="40"/>
      <c r="R35" s="44"/>
      <c r="S35" s="44"/>
      <c r="T35" s="48"/>
      <c r="U35" s="48"/>
      <c r="V35" s="6">
        <v>0</v>
      </c>
      <c r="W35" s="13">
        <v>97.8</v>
      </c>
      <c r="X35" s="13">
        <v>69.239999999999995</v>
      </c>
      <c r="Y35" s="13">
        <v>8376.89</v>
      </c>
      <c r="Z35" s="13">
        <v>3274.48</v>
      </c>
      <c r="AA35" s="13">
        <v>21.47</v>
      </c>
      <c r="AB35" s="13">
        <v>805.32</v>
      </c>
      <c r="AC35" s="13">
        <v>1255.6400000000001</v>
      </c>
      <c r="AD35" s="13">
        <v>476.3</v>
      </c>
      <c r="AE35" s="13">
        <v>171.55</v>
      </c>
      <c r="AF35" s="13">
        <v>2167.31</v>
      </c>
      <c r="AG35" s="13">
        <v>92.28</v>
      </c>
      <c r="AH35" s="56">
        <v>12.35</v>
      </c>
      <c r="AI35" s="67"/>
      <c r="AJ35" s="13">
        <v>6.9</v>
      </c>
      <c r="AK35" s="13">
        <v>17.350000000000001</v>
      </c>
      <c r="AL35" s="13">
        <v>1101.21</v>
      </c>
      <c r="AM35" s="13">
        <v>3.2</v>
      </c>
      <c r="AN35" s="6">
        <v>0</v>
      </c>
      <c r="AO35" s="6">
        <v>0</v>
      </c>
      <c r="AP35" s="13">
        <v>0.42</v>
      </c>
      <c r="AQ35" s="6">
        <v>0</v>
      </c>
      <c r="AR35" s="6">
        <v>0</v>
      </c>
      <c r="AS35" s="13">
        <v>3.2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13">
        <v>0.49</v>
      </c>
      <c r="BE35" s="6">
        <v>0</v>
      </c>
      <c r="BF35" s="13">
        <v>9.7100000000000009</v>
      </c>
      <c r="BG35" s="13">
        <v>4.6100000000000003</v>
      </c>
      <c r="BH35" s="6">
        <v>0</v>
      </c>
      <c r="BI35" s="6">
        <v>0</v>
      </c>
      <c r="BJ35" s="6">
        <v>0</v>
      </c>
      <c r="BK35" s="13">
        <v>0.1</v>
      </c>
      <c r="BL35" s="6">
        <v>0</v>
      </c>
      <c r="BM35" s="6">
        <v>0</v>
      </c>
      <c r="BN35" s="13">
        <v>2.88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13">
        <v>11.04</v>
      </c>
      <c r="BZ35" s="6">
        <v>0</v>
      </c>
      <c r="CA35" s="13">
        <v>11.04</v>
      </c>
      <c r="CB35" s="6">
        <v>0</v>
      </c>
      <c r="CC35" s="13">
        <v>1491.03</v>
      </c>
      <c r="CD35" s="13">
        <v>1109.68</v>
      </c>
      <c r="CE35" s="13">
        <v>13831.62</v>
      </c>
      <c r="CF35" s="13">
        <v>10671.3</v>
      </c>
      <c r="CG35" s="13">
        <v>3160.32</v>
      </c>
      <c r="CH35" s="13">
        <v>8170.2</v>
      </c>
      <c r="CI35" s="13">
        <v>2501.1</v>
      </c>
      <c r="CJ35" s="13">
        <v>381.35</v>
      </c>
      <c r="CK35" s="13">
        <v>-141.25</v>
      </c>
      <c r="CL35" s="13">
        <v>1250.93</v>
      </c>
      <c r="CM35" s="13">
        <v>33425.480000000003</v>
      </c>
      <c r="CN35" s="13">
        <v>15333.69</v>
      </c>
    </row>
    <row r="36" spans="1:92" s="81" customFormat="1" ht="14">
      <c r="A36" s="78" t="s">
        <v>43</v>
      </c>
      <c r="B36" s="79">
        <v>13673.2</v>
      </c>
      <c r="C36" s="79">
        <v>75.680000000000007</v>
      </c>
      <c r="D36" s="79">
        <v>15.97</v>
      </c>
      <c r="E36" s="79">
        <v>0.62</v>
      </c>
      <c r="F36" s="79">
        <v>5.09</v>
      </c>
      <c r="G36" s="79">
        <v>836.51</v>
      </c>
      <c r="H36" s="79">
        <v>9.91</v>
      </c>
      <c r="I36" s="80">
        <v>118</v>
      </c>
      <c r="J36" s="79">
        <v>5.55</v>
      </c>
      <c r="K36" s="80">
        <v>0</v>
      </c>
      <c r="L36" s="79">
        <v>1.32</v>
      </c>
      <c r="M36" s="79">
        <v>24.64</v>
      </c>
      <c r="N36" s="79"/>
      <c r="O36" s="79"/>
      <c r="P36" s="79"/>
      <c r="Q36" s="79"/>
      <c r="R36" s="79"/>
      <c r="S36" s="79"/>
      <c r="T36" s="79"/>
      <c r="U36" s="79"/>
      <c r="V36" s="79">
        <v>3.27</v>
      </c>
      <c r="W36" s="79">
        <v>92.74</v>
      </c>
      <c r="X36" s="79">
        <v>139.38999999999999</v>
      </c>
      <c r="Y36" s="79">
        <v>328.01</v>
      </c>
      <c r="Z36" s="79">
        <v>3868.3</v>
      </c>
      <c r="AA36" s="79">
        <v>146.16999999999999</v>
      </c>
      <c r="AB36" s="79">
        <v>451.21</v>
      </c>
      <c r="AC36" s="79">
        <v>2722.31</v>
      </c>
      <c r="AD36" s="79">
        <v>513.54</v>
      </c>
      <c r="AE36" s="79">
        <v>495.08</v>
      </c>
      <c r="AF36" s="79">
        <v>298.02999999999997</v>
      </c>
      <c r="AG36" s="79">
        <v>368.77</v>
      </c>
      <c r="AH36" s="79">
        <v>9.39</v>
      </c>
      <c r="AI36" s="79"/>
      <c r="AJ36" s="79">
        <v>4.72</v>
      </c>
      <c r="AK36" s="79">
        <v>4.47</v>
      </c>
      <c r="AL36" s="79">
        <v>2397.0500000000002</v>
      </c>
      <c r="AM36" s="79">
        <v>309.55</v>
      </c>
      <c r="AN36" s="79">
        <v>56.11</v>
      </c>
      <c r="AO36" s="79">
        <v>6.64</v>
      </c>
      <c r="AP36" s="79">
        <v>48.46</v>
      </c>
      <c r="AQ36" s="80">
        <v>0</v>
      </c>
      <c r="AR36" s="80">
        <v>0</v>
      </c>
      <c r="AS36" s="79">
        <v>23.01</v>
      </c>
      <c r="AT36" s="80">
        <v>0</v>
      </c>
      <c r="AU36" s="79">
        <v>38.799999999999997</v>
      </c>
      <c r="AV36" s="79">
        <v>0.42</v>
      </c>
      <c r="AW36" s="80">
        <v>0</v>
      </c>
      <c r="AX36" s="80">
        <v>0</v>
      </c>
      <c r="AY36" s="79">
        <v>0.3</v>
      </c>
      <c r="AZ36" s="80">
        <v>0</v>
      </c>
      <c r="BA36" s="79">
        <v>0.31</v>
      </c>
      <c r="BB36" s="79">
        <v>0.26</v>
      </c>
      <c r="BC36" s="79">
        <v>0.88</v>
      </c>
      <c r="BD36" s="79">
        <v>6.45</v>
      </c>
      <c r="BE36" s="79">
        <v>2.2200000000000002</v>
      </c>
      <c r="BF36" s="79">
        <v>93.06</v>
      </c>
      <c r="BG36" s="79">
        <v>2.13</v>
      </c>
      <c r="BH36" s="79">
        <v>0.09</v>
      </c>
      <c r="BI36" s="80">
        <v>0</v>
      </c>
      <c r="BJ36" s="79">
        <v>9.7899999999999991</v>
      </c>
      <c r="BK36" s="79">
        <v>3.51</v>
      </c>
      <c r="BL36" s="80">
        <v>0</v>
      </c>
      <c r="BM36" s="79">
        <v>8.01</v>
      </c>
      <c r="BN36" s="79">
        <v>89.76</v>
      </c>
      <c r="BO36" s="79">
        <v>0.72</v>
      </c>
      <c r="BP36" s="79">
        <v>0.57999999999999996</v>
      </c>
      <c r="BQ36" s="79">
        <v>2.61</v>
      </c>
      <c r="BR36" s="79">
        <v>12.85</v>
      </c>
      <c r="BS36" s="79">
        <v>7.7</v>
      </c>
      <c r="BT36" s="80">
        <v>0</v>
      </c>
      <c r="BU36" s="79">
        <v>12.97</v>
      </c>
      <c r="BV36" s="79">
        <v>0.26</v>
      </c>
      <c r="BW36" s="80">
        <v>0</v>
      </c>
      <c r="BX36" s="80">
        <v>0</v>
      </c>
      <c r="BY36" s="79">
        <v>470.25</v>
      </c>
      <c r="BZ36" s="80">
        <v>0</v>
      </c>
      <c r="CA36" s="79">
        <v>470.25</v>
      </c>
      <c r="CB36" s="80">
        <v>0</v>
      </c>
      <c r="CC36" s="79">
        <v>1237.72</v>
      </c>
      <c r="CD36" s="79">
        <v>346.22</v>
      </c>
      <c r="CE36" s="79">
        <v>9833.26</v>
      </c>
      <c r="CF36" s="79">
        <v>7140.66</v>
      </c>
      <c r="CG36" s="79">
        <v>2692.6</v>
      </c>
      <c r="CH36" s="79">
        <v>5702.12</v>
      </c>
      <c r="CI36" s="79">
        <v>1438.55</v>
      </c>
      <c r="CJ36" s="79">
        <v>891.5</v>
      </c>
      <c r="CK36" s="79">
        <v>346.22</v>
      </c>
      <c r="CL36" s="80">
        <v>0</v>
      </c>
      <c r="CM36" s="79">
        <v>25214.42</v>
      </c>
      <c r="CN36" s="79">
        <v>11541.22</v>
      </c>
    </row>
    <row r="37" spans="1:92" ht="14">
      <c r="A37" s="4" t="s">
        <v>44</v>
      </c>
      <c r="B37" s="13">
        <v>5932.53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13">
        <v>3.37</v>
      </c>
      <c r="L37" s="6">
        <v>0</v>
      </c>
      <c r="M37" s="6">
        <v>0</v>
      </c>
      <c r="N37" s="37"/>
      <c r="O37" s="37"/>
      <c r="P37" s="41"/>
      <c r="Q37" s="41"/>
      <c r="R37" s="45"/>
      <c r="S37" s="45"/>
      <c r="T37" s="49"/>
      <c r="U37" s="49"/>
      <c r="V37" s="6">
        <v>0</v>
      </c>
      <c r="W37" s="6">
        <v>0</v>
      </c>
      <c r="X37" s="6">
        <v>0</v>
      </c>
      <c r="Y37" s="6">
        <v>0</v>
      </c>
      <c r="Z37" s="13">
        <v>29.89</v>
      </c>
      <c r="AA37" s="13">
        <v>2553.34</v>
      </c>
      <c r="AB37" s="13">
        <v>957.74</v>
      </c>
      <c r="AC37" s="13">
        <v>246.12</v>
      </c>
      <c r="AD37" s="13">
        <v>316.26</v>
      </c>
      <c r="AE37" s="13">
        <v>76.02</v>
      </c>
      <c r="AF37" s="13">
        <v>73.209999999999994</v>
      </c>
      <c r="AG37" s="13">
        <v>321.47000000000003</v>
      </c>
      <c r="AH37" s="56">
        <v>7.95</v>
      </c>
      <c r="AI37" s="67"/>
      <c r="AJ37" s="13">
        <v>2.52</v>
      </c>
      <c r="AK37" s="13">
        <v>0.39</v>
      </c>
      <c r="AL37" s="13">
        <v>102.01</v>
      </c>
      <c r="AM37" s="13">
        <v>14.73</v>
      </c>
      <c r="AN37" s="13">
        <v>7.15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13">
        <v>61.34</v>
      </c>
      <c r="AX37" s="13">
        <v>423.63</v>
      </c>
      <c r="AY37" s="13">
        <v>404.69</v>
      </c>
      <c r="AZ37" s="6">
        <v>0</v>
      </c>
      <c r="BA37" s="6">
        <v>0</v>
      </c>
      <c r="BB37" s="13">
        <v>14.46</v>
      </c>
      <c r="BC37" s="6">
        <v>0</v>
      </c>
      <c r="BD37" s="13">
        <v>0.01</v>
      </c>
      <c r="BE37" s="13">
        <v>0.02</v>
      </c>
      <c r="BF37" s="13">
        <v>115.69</v>
      </c>
      <c r="BG37" s="13">
        <v>38.630000000000003</v>
      </c>
      <c r="BH37" s="13">
        <v>0.12</v>
      </c>
      <c r="BI37" s="13">
        <v>3.38</v>
      </c>
      <c r="BJ37" s="13">
        <v>37.75</v>
      </c>
      <c r="BK37" s="13">
        <v>0.11</v>
      </c>
      <c r="BL37" s="6">
        <v>0</v>
      </c>
      <c r="BM37" s="6">
        <v>0</v>
      </c>
      <c r="BN37" s="13">
        <v>2.78</v>
      </c>
      <c r="BO37" s="6">
        <v>0</v>
      </c>
      <c r="BP37" s="13">
        <v>48.82</v>
      </c>
      <c r="BQ37" s="6">
        <v>0</v>
      </c>
      <c r="BR37" s="13">
        <v>2.81</v>
      </c>
      <c r="BS37" s="6">
        <v>0</v>
      </c>
      <c r="BT37" s="6">
        <v>0</v>
      </c>
      <c r="BU37" s="13">
        <v>66.09</v>
      </c>
      <c r="BV37" s="6">
        <v>0</v>
      </c>
      <c r="BW37" s="6">
        <v>0</v>
      </c>
      <c r="BX37" s="6">
        <v>0</v>
      </c>
      <c r="BY37" s="13">
        <v>1965.54</v>
      </c>
      <c r="BZ37" s="13">
        <v>48.18</v>
      </c>
      <c r="CA37" s="13">
        <v>1917.36</v>
      </c>
      <c r="CB37" s="6">
        <v>0</v>
      </c>
      <c r="CC37" s="13">
        <v>3292.75</v>
      </c>
      <c r="CD37" s="6">
        <v>421</v>
      </c>
      <c r="CE37" s="13">
        <v>10255.11</v>
      </c>
      <c r="CF37" s="13">
        <v>4336.45</v>
      </c>
      <c r="CG37" s="13">
        <v>5918.66</v>
      </c>
      <c r="CH37" s="13">
        <v>4057.98</v>
      </c>
      <c r="CI37" s="13">
        <v>278.48</v>
      </c>
      <c r="CJ37" s="13">
        <v>2871.75</v>
      </c>
      <c r="CK37" s="6">
        <v>421</v>
      </c>
      <c r="CL37" s="6">
        <v>0</v>
      </c>
      <c r="CM37" s="13">
        <v>21445.93</v>
      </c>
      <c r="CN37" s="13">
        <v>15513.4</v>
      </c>
    </row>
    <row r="38" spans="1:92" s="81" customFormat="1" ht="14">
      <c r="A38" s="78" t="s">
        <v>45</v>
      </c>
      <c r="B38" s="79">
        <v>8337.69</v>
      </c>
      <c r="C38" s="79">
        <v>4.9000000000000004</v>
      </c>
      <c r="D38" s="79">
        <v>0.1</v>
      </c>
      <c r="E38" s="79">
        <v>0.6</v>
      </c>
      <c r="F38" s="79">
        <v>0.02</v>
      </c>
      <c r="G38" s="79">
        <v>1.21</v>
      </c>
      <c r="H38" s="80">
        <v>0</v>
      </c>
      <c r="I38" s="79">
        <v>0.01</v>
      </c>
      <c r="J38" s="80">
        <v>0</v>
      </c>
      <c r="K38" s="80">
        <v>0</v>
      </c>
      <c r="L38" s="80">
        <v>0</v>
      </c>
      <c r="M38" s="79">
        <v>0.01</v>
      </c>
      <c r="N38" s="79"/>
      <c r="O38" s="79"/>
      <c r="P38" s="79"/>
      <c r="Q38" s="79"/>
      <c r="R38" s="79"/>
      <c r="S38" s="79"/>
      <c r="T38" s="79"/>
      <c r="U38" s="79"/>
      <c r="V38" s="80">
        <v>0</v>
      </c>
      <c r="W38" s="79">
        <v>15.99</v>
      </c>
      <c r="X38" s="80">
        <v>0</v>
      </c>
      <c r="Y38" s="79">
        <v>5.91</v>
      </c>
      <c r="Z38" s="79">
        <v>64.06</v>
      </c>
      <c r="AA38" s="79">
        <v>324.3</v>
      </c>
      <c r="AB38" s="79">
        <v>2301.67</v>
      </c>
      <c r="AC38" s="79">
        <v>1065.58</v>
      </c>
      <c r="AD38" s="79">
        <v>679.77</v>
      </c>
      <c r="AE38" s="79">
        <v>427.04</v>
      </c>
      <c r="AF38" s="79">
        <v>71.81</v>
      </c>
      <c r="AG38" s="79">
        <v>613.16</v>
      </c>
      <c r="AH38" s="79">
        <v>88.84</v>
      </c>
      <c r="AI38" s="79"/>
      <c r="AJ38" s="80">
        <v>0</v>
      </c>
      <c r="AK38" s="80">
        <v>0</v>
      </c>
      <c r="AL38" s="79">
        <v>2197.9899999999998</v>
      </c>
      <c r="AM38" s="79">
        <v>141.61000000000001</v>
      </c>
      <c r="AN38" s="80">
        <v>0</v>
      </c>
      <c r="AO38" s="79">
        <v>4.0599999999999996</v>
      </c>
      <c r="AP38" s="80">
        <v>0</v>
      </c>
      <c r="AQ38" s="80">
        <v>0</v>
      </c>
      <c r="AR38" s="80">
        <v>0</v>
      </c>
      <c r="AS38" s="79">
        <v>3.37</v>
      </c>
      <c r="AT38" s="80">
        <v>0</v>
      </c>
      <c r="AU38" s="79">
        <v>6.93</v>
      </c>
      <c r="AV38" s="80">
        <v>0</v>
      </c>
      <c r="AW38" s="79">
        <v>7.0000000000000007E-2</v>
      </c>
      <c r="AX38" s="79">
        <v>24.03</v>
      </c>
      <c r="AY38" s="79">
        <v>56.43</v>
      </c>
      <c r="AZ38" s="79">
        <v>0.39</v>
      </c>
      <c r="BA38" s="79">
        <v>2.92</v>
      </c>
      <c r="BB38" s="79">
        <v>0.93</v>
      </c>
      <c r="BC38" s="79">
        <v>0.74</v>
      </c>
      <c r="BD38" s="79">
        <v>13.84</v>
      </c>
      <c r="BE38" s="79">
        <v>0.81</v>
      </c>
      <c r="BF38" s="79">
        <v>93.23</v>
      </c>
      <c r="BG38" s="79">
        <v>4.92</v>
      </c>
      <c r="BH38" s="79">
        <v>3.71</v>
      </c>
      <c r="BI38" s="80">
        <v>0</v>
      </c>
      <c r="BJ38" s="79">
        <v>2.15</v>
      </c>
      <c r="BK38" s="79">
        <v>0.02</v>
      </c>
      <c r="BL38" s="80">
        <v>0</v>
      </c>
      <c r="BM38" s="79">
        <v>6.6</v>
      </c>
      <c r="BN38" s="79">
        <v>25.08</v>
      </c>
      <c r="BO38" s="79">
        <v>6.5</v>
      </c>
      <c r="BP38" s="79">
        <v>9.93</v>
      </c>
      <c r="BQ38" s="79">
        <v>2.68</v>
      </c>
      <c r="BR38" s="79">
        <v>0.53</v>
      </c>
      <c r="BS38" s="79">
        <v>0.34</v>
      </c>
      <c r="BT38" s="79">
        <v>9.49</v>
      </c>
      <c r="BU38" s="79">
        <v>37.479999999999997</v>
      </c>
      <c r="BV38" s="79">
        <v>15.98</v>
      </c>
      <c r="BW38" s="80">
        <v>0</v>
      </c>
      <c r="BX38" s="80">
        <v>0</v>
      </c>
      <c r="BY38" s="79">
        <v>1347.14</v>
      </c>
      <c r="BZ38" s="80">
        <v>0</v>
      </c>
      <c r="CA38" s="79">
        <v>1347.14</v>
      </c>
      <c r="CB38" s="80">
        <v>0</v>
      </c>
      <c r="CC38" s="79">
        <v>1966.06</v>
      </c>
      <c r="CD38" s="79">
        <v>-126.34</v>
      </c>
      <c r="CE38" s="79">
        <v>9665.07</v>
      </c>
      <c r="CF38" s="79">
        <v>6492.36</v>
      </c>
      <c r="CG38" s="79">
        <v>3172.71</v>
      </c>
      <c r="CH38" s="79">
        <v>4800.75</v>
      </c>
      <c r="CI38" s="79">
        <v>1691.61</v>
      </c>
      <c r="CJ38" s="79">
        <v>2092.4</v>
      </c>
      <c r="CK38" s="79">
        <v>-126.34</v>
      </c>
      <c r="CL38" s="80">
        <v>0</v>
      </c>
      <c r="CM38" s="79">
        <v>21315.97</v>
      </c>
      <c r="CN38" s="79">
        <v>12978.27</v>
      </c>
    </row>
    <row r="39" spans="1:92" s="81" customFormat="1" ht="14">
      <c r="A39" s="78" t="s">
        <v>46</v>
      </c>
      <c r="B39" s="79">
        <v>10932.36</v>
      </c>
      <c r="C39" s="79">
        <v>8.5</v>
      </c>
      <c r="D39" s="79">
        <v>0.06</v>
      </c>
      <c r="E39" s="80">
        <v>0</v>
      </c>
      <c r="F39" s="79">
        <v>11.95</v>
      </c>
      <c r="G39" s="79">
        <v>75.48</v>
      </c>
      <c r="H39" s="79">
        <v>9.23</v>
      </c>
      <c r="I39" s="79">
        <v>46.17</v>
      </c>
      <c r="J39" s="79">
        <v>28.14</v>
      </c>
      <c r="K39" s="80">
        <v>0</v>
      </c>
      <c r="L39" s="79">
        <v>1.44</v>
      </c>
      <c r="M39" s="79">
        <v>3.9</v>
      </c>
      <c r="N39" s="79"/>
      <c r="O39" s="79"/>
      <c r="P39" s="79"/>
      <c r="Q39" s="79"/>
      <c r="R39" s="79"/>
      <c r="S39" s="79"/>
      <c r="T39" s="79"/>
      <c r="U39" s="79"/>
      <c r="V39" s="79">
        <v>39.4</v>
      </c>
      <c r="W39" s="79">
        <v>35.909999999999997</v>
      </c>
      <c r="X39" s="80">
        <v>53</v>
      </c>
      <c r="Y39" s="79">
        <v>4.47</v>
      </c>
      <c r="Z39" s="79">
        <v>3.36</v>
      </c>
      <c r="AA39" s="79">
        <v>129.44</v>
      </c>
      <c r="AB39" s="79">
        <v>191.91</v>
      </c>
      <c r="AC39" s="79">
        <v>5388.63</v>
      </c>
      <c r="AD39" s="79">
        <v>2608.91</v>
      </c>
      <c r="AE39" s="79">
        <v>254.24</v>
      </c>
      <c r="AF39" s="79">
        <v>37.299999999999997</v>
      </c>
      <c r="AG39" s="79">
        <v>496.29</v>
      </c>
      <c r="AH39" s="79">
        <v>8.32</v>
      </c>
      <c r="AI39" s="79"/>
      <c r="AJ39" s="80">
        <v>0</v>
      </c>
      <c r="AK39" s="79">
        <v>19.489999999999998</v>
      </c>
      <c r="AL39" s="79">
        <v>780.08</v>
      </c>
      <c r="AM39" s="79">
        <v>189.26</v>
      </c>
      <c r="AN39" s="79">
        <v>0.02</v>
      </c>
      <c r="AO39" s="80">
        <v>0</v>
      </c>
      <c r="AP39" s="80">
        <v>0</v>
      </c>
      <c r="AQ39" s="80">
        <v>0</v>
      </c>
      <c r="AR39" s="80">
        <v>0</v>
      </c>
      <c r="AS39" s="79">
        <v>0.6</v>
      </c>
      <c r="AT39" s="79">
        <v>36.770000000000003</v>
      </c>
      <c r="AU39" s="79">
        <v>0.01</v>
      </c>
      <c r="AV39" s="80">
        <v>0</v>
      </c>
      <c r="AW39" s="80">
        <v>0</v>
      </c>
      <c r="AX39" s="80">
        <v>0</v>
      </c>
      <c r="AY39" s="79">
        <v>0.04</v>
      </c>
      <c r="AZ39" s="80">
        <v>0</v>
      </c>
      <c r="BA39" s="80">
        <v>0</v>
      </c>
      <c r="BB39" s="80">
        <v>0</v>
      </c>
      <c r="BC39" s="80">
        <v>0</v>
      </c>
      <c r="BD39" s="79">
        <v>2.4700000000000002</v>
      </c>
      <c r="BE39" s="79">
        <v>0.01</v>
      </c>
      <c r="BF39" s="79">
        <v>223.9</v>
      </c>
      <c r="BG39" s="79">
        <v>38.22</v>
      </c>
      <c r="BH39" s="80">
        <v>0</v>
      </c>
      <c r="BI39" s="80">
        <v>0</v>
      </c>
      <c r="BJ39" s="79">
        <v>195.69</v>
      </c>
      <c r="BK39" s="79">
        <v>0.1</v>
      </c>
      <c r="BL39" s="80">
        <v>0</v>
      </c>
      <c r="BM39" s="80">
        <v>0</v>
      </c>
      <c r="BN39" s="79">
        <v>1.41</v>
      </c>
      <c r="BO39" s="80">
        <v>0</v>
      </c>
      <c r="BP39" s="80">
        <v>0</v>
      </c>
      <c r="BQ39" s="80">
        <v>0</v>
      </c>
      <c r="BR39" s="80">
        <v>0</v>
      </c>
      <c r="BS39" s="80">
        <v>0</v>
      </c>
      <c r="BT39" s="80">
        <v>0</v>
      </c>
      <c r="BU39" s="79">
        <v>8.27</v>
      </c>
      <c r="BV39" s="80">
        <v>0</v>
      </c>
      <c r="BW39" s="80">
        <v>0</v>
      </c>
      <c r="BX39" s="80">
        <v>0</v>
      </c>
      <c r="BY39" s="79">
        <v>357.86</v>
      </c>
      <c r="BZ39" s="80">
        <v>0</v>
      </c>
      <c r="CA39" s="79">
        <v>357.86</v>
      </c>
      <c r="CB39" s="80">
        <v>0</v>
      </c>
      <c r="CC39" s="79">
        <v>10902.57</v>
      </c>
      <c r="CD39" s="79">
        <v>977.74</v>
      </c>
      <c r="CE39" s="79">
        <v>21206.799999999999</v>
      </c>
      <c r="CF39" s="79">
        <v>12257.28</v>
      </c>
      <c r="CG39" s="79">
        <v>8949.5300000000007</v>
      </c>
      <c r="CH39" s="79">
        <v>9125.85</v>
      </c>
      <c r="CI39" s="79">
        <v>3131.42</v>
      </c>
      <c r="CJ39" s="79">
        <v>9924.83</v>
      </c>
      <c r="CK39" s="79">
        <v>977.74</v>
      </c>
      <c r="CL39" s="80">
        <v>0</v>
      </c>
      <c r="CM39" s="79">
        <v>43399.6</v>
      </c>
      <c r="CN39" s="79">
        <v>32467.24</v>
      </c>
    </row>
    <row r="40" spans="1:92" s="91" customFormat="1" ht="14">
      <c r="A40" s="88" t="s">
        <v>47</v>
      </c>
      <c r="B40" s="89">
        <v>7638.97</v>
      </c>
      <c r="C40" s="89">
        <v>0.28000000000000003</v>
      </c>
      <c r="D40" s="90">
        <v>0</v>
      </c>
      <c r="E40" s="90">
        <v>0</v>
      </c>
      <c r="F40" s="90">
        <v>0</v>
      </c>
      <c r="G40" s="89">
        <v>0.09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/>
      <c r="O40" s="90"/>
      <c r="P40" s="90"/>
      <c r="Q40" s="90"/>
      <c r="R40" s="90"/>
      <c r="S40" s="90"/>
      <c r="T40" s="90"/>
      <c r="U40" s="90"/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89">
        <v>576.9</v>
      </c>
      <c r="AD40" s="89">
        <v>5176.38</v>
      </c>
      <c r="AE40" s="89">
        <v>102.17</v>
      </c>
      <c r="AF40" s="89">
        <v>1.86</v>
      </c>
      <c r="AG40" s="90">
        <v>0</v>
      </c>
      <c r="AH40" s="89">
        <v>13.2</v>
      </c>
      <c r="AI40" s="89"/>
      <c r="AJ40" s="90">
        <v>0</v>
      </c>
      <c r="AK40" s="89">
        <v>0.59</v>
      </c>
      <c r="AL40" s="90">
        <v>0</v>
      </c>
      <c r="AM40" s="89">
        <v>1203.01</v>
      </c>
      <c r="AN40" s="90">
        <v>0</v>
      </c>
      <c r="AO40" s="90">
        <v>0</v>
      </c>
      <c r="AP40" s="89">
        <v>374.01</v>
      </c>
      <c r="AQ40" s="90">
        <v>0</v>
      </c>
      <c r="AR40" s="90">
        <v>0</v>
      </c>
      <c r="AS40" s="89">
        <v>126.48</v>
      </c>
      <c r="AT40" s="90">
        <v>0</v>
      </c>
      <c r="AU40" s="89">
        <v>0.61</v>
      </c>
      <c r="AV40" s="90">
        <v>0</v>
      </c>
      <c r="AW40" s="90">
        <v>0</v>
      </c>
      <c r="AX40" s="90">
        <v>0</v>
      </c>
      <c r="AY40" s="90">
        <v>0</v>
      </c>
      <c r="AZ40" s="90">
        <v>0</v>
      </c>
      <c r="BA40" s="90">
        <v>0</v>
      </c>
      <c r="BB40" s="90">
        <v>0</v>
      </c>
      <c r="BC40" s="90">
        <v>0</v>
      </c>
      <c r="BD40" s="90">
        <v>0</v>
      </c>
      <c r="BE40" s="89">
        <v>3.63</v>
      </c>
      <c r="BF40" s="89">
        <v>6.12</v>
      </c>
      <c r="BG40" s="90">
        <v>0</v>
      </c>
      <c r="BH40" s="90">
        <v>0</v>
      </c>
      <c r="BI40" s="90">
        <v>0</v>
      </c>
      <c r="BJ40" s="90">
        <v>4</v>
      </c>
      <c r="BK40" s="89">
        <v>0.06</v>
      </c>
      <c r="BL40" s="90">
        <v>0</v>
      </c>
      <c r="BM40" s="89">
        <v>19.13</v>
      </c>
      <c r="BN40" s="89">
        <v>6.85</v>
      </c>
      <c r="BO40" s="89">
        <v>1.24</v>
      </c>
      <c r="BP40" s="90">
        <v>0</v>
      </c>
      <c r="BQ40" s="90">
        <v>0</v>
      </c>
      <c r="BR40" s="90">
        <v>0</v>
      </c>
      <c r="BS40" s="89">
        <v>2.96</v>
      </c>
      <c r="BT40" s="89">
        <v>19.39</v>
      </c>
      <c r="BU40" s="90">
        <v>0</v>
      </c>
      <c r="BV40" s="90">
        <v>0</v>
      </c>
      <c r="BW40" s="90">
        <v>0</v>
      </c>
      <c r="BX40" s="90">
        <v>0</v>
      </c>
      <c r="BY40" s="89">
        <v>2536.83</v>
      </c>
      <c r="BZ40" s="90">
        <v>0</v>
      </c>
      <c r="CA40" s="89">
        <v>2536.83</v>
      </c>
      <c r="CB40" s="90">
        <v>0</v>
      </c>
      <c r="CC40" s="89">
        <v>4748.32</v>
      </c>
      <c r="CD40" s="89">
        <v>-268.49</v>
      </c>
      <c r="CE40" s="89">
        <v>17249.150000000001</v>
      </c>
      <c r="CF40" s="89">
        <v>11203.3</v>
      </c>
      <c r="CG40" s="89">
        <v>6045.85</v>
      </c>
      <c r="CH40" s="89">
        <v>8866.77</v>
      </c>
      <c r="CI40" s="89">
        <v>2336.5300000000002</v>
      </c>
      <c r="CJ40" s="89">
        <v>5016.8100000000004</v>
      </c>
      <c r="CK40" s="89">
        <v>-268.49</v>
      </c>
      <c r="CL40" s="90">
        <v>0</v>
      </c>
      <c r="CM40" s="89">
        <v>32173.26</v>
      </c>
      <c r="CN40" s="89">
        <v>24534.29</v>
      </c>
    </row>
    <row r="41" spans="1:92" ht="14">
      <c r="A41" s="4" t="s">
        <v>48</v>
      </c>
      <c r="B41" s="13">
        <v>1821.28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37"/>
      <c r="O41" s="37"/>
      <c r="P41" s="41"/>
      <c r="Q41" s="41"/>
      <c r="R41" s="45"/>
      <c r="S41" s="45"/>
      <c r="T41" s="49"/>
      <c r="U41" s="49"/>
      <c r="V41" s="6">
        <v>0</v>
      </c>
      <c r="W41" s="13">
        <v>0.31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13">
        <v>0.15</v>
      </c>
      <c r="AE41" s="13">
        <v>1338.77</v>
      </c>
      <c r="AF41" s="6">
        <v>0</v>
      </c>
      <c r="AG41" s="13">
        <v>327.32</v>
      </c>
      <c r="AH41" s="56">
        <v>6.46</v>
      </c>
      <c r="AI41" s="67"/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13">
        <v>16.399999999999999</v>
      </c>
      <c r="AQ41" s="13">
        <v>1.35</v>
      </c>
      <c r="AR41" s="13">
        <v>99.49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13">
        <v>0.19</v>
      </c>
      <c r="BE41" s="6">
        <v>0</v>
      </c>
      <c r="BF41" s="6">
        <v>0</v>
      </c>
      <c r="BG41" s="13">
        <v>0.36</v>
      </c>
      <c r="BH41" s="6">
        <v>0</v>
      </c>
      <c r="BI41" s="6">
        <v>0</v>
      </c>
      <c r="BJ41" s="13">
        <v>26.33</v>
      </c>
      <c r="BK41" s="13">
        <v>0.05</v>
      </c>
      <c r="BL41" s="6">
        <v>0</v>
      </c>
      <c r="BM41" s="6">
        <v>0</v>
      </c>
      <c r="BN41" s="6">
        <v>0</v>
      </c>
      <c r="BO41" s="6">
        <v>0</v>
      </c>
      <c r="BP41" s="13">
        <v>0.3</v>
      </c>
      <c r="BQ41" s="6">
        <v>0</v>
      </c>
      <c r="BR41" s="6">
        <v>0</v>
      </c>
      <c r="BS41" s="6">
        <v>0</v>
      </c>
      <c r="BT41" s="6">
        <v>0</v>
      </c>
      <c r="BU41" s="13">
        <v>3.81</v>
      </c>
      <c r="BV41" s="6">
        <v>0</v>
      </c>
      <c r="BW41" s="6">
        <v>0</v>
      </c>
      <c r="BX41" s="6">
        <v>0</v>
      </c>
      <c r="BY41" s="13">
        <v>784.17</v>
      </c>
      <c r="BZ41" s="13">
        <v>14.3</v>
      </c>
      <c r="CA41" s="13">
        <v>769.88</v>
      </c>
      <c r="CB41" s="6">
        <v>0</v>
      </c>
      <c r="CC41" s="13">
        <v>1703.17</v>
      </c>
      <c r="CD41" s="13">
        <v>297.83</v>
      </c>
      <c r="CE41" s="13">
        <v>4836.57</v>
      </c>
      <c r="CF41" s="13">
        <v>2925.36</v>
      </c>
      <c r="CG41" s="13">
        <v>1911.2</v>
      </c>
      <c r="CH41" s="13">
        <v>2427.83</v>
      </c>
      <c r="CI41" s="13">
        <v>497.53</v>
      </c>
      <c r="CJ41" s="13">
        <v>1405.34</v>
      </c>
      <c r="CK41" s="13">
        <v>297.83</v>
      </c>
      <c r="CL41" s="6">
        <v>0</v>
      </c>
      <c r="CM41" s="13">
        <v>9145.19</v>
      </c>
      <c r="CN41" s="13">
        <v>7323.91</v>
      </c>
    </row>
    <row r="42" spans="1:92" ht="14">
      <c r="A42" s="4" t="s">
        <v>49</v>
      </c>
      <c r="B42" s="12">
        <v>2103.06</v>
      </c>
      <c r="C42" s="12">
        <v>0.35</v>
      </c>
      <c r="D42" s="12">
        <v>0.03</v>
      </c>
      <c r="E42" s="12">
        <v>0.01</v>
      </c>
      <c r="F42" s="12">
        <v>0.15</v>
      </c>
      <c r="G42" s="12">
        <v>2.0299999999999998</v>
      </c>
      <c r="H42" s="12">
        <v>5.34</v>
      </c>
      <c r="I42" s="12">
        <v>0.09</v>
      </c>
      <c r="J42" s="12">
        <v>0.2</v>
      </c>
      <c r="K42" s="12">
        <v>0.28999999999999998</v>
      </c>
      <c r="L42" s="5">
        <v>0</v>
      </c>
      <c r="M42" s="12">
        <v>2.83</v>
      </c>
      <c r="N42" s="36"/>
      <c r="O42" s="36"/>
      <c r="P42" s="40"/>
      <c r="Q42" s="40"/>
      <c r="R42" s="44"/>
      <c r="S42" s="44"/>
      <c r="T42" s="48"/>
      <c r="U42" s="48"/>
      <c r="V42" s="12">
        <v>35.950000000000003</v>
      </c>
      <c r="W42" s="12">
        <v>2.88</v>
      </c>
      <c r="X42" s="12">
        <v>12.65</v>
      </c>
      <c r="Y42" s="12">
        <v>0.22</v>
      </c>
      <c r="Z42" s="12">
        <v>12.32</v>
      </c>
      <c r="AA42" s="12">
        <v>168.27</v>
      </c>
      <c r="AB42" s="12">
        <v>4.12</v>
      </c>
      <c r="AC42" s="12">
        <v>3.66</v>
      </c>
      <c r="AD42" s="12">
        <v>68.17</v>
      </c>
      <c r="AE42" s="12">
        <v>7.37</v>
      </c>
      <c r="AF42" s="12">
        <v>827.14</v>
      </c>
      <c r="AG42" s="12">
        <v>6.57</v>
      </c>
      <c r="AH42" s="57">
        <v>0</v>
      </c>
      <c r="AI42" s="68"/>
      <c r="AJ42" s="12">
        <v>0.21</v>
      </c>
      <c r="AK42" s="12">
        <v>1.88</v>
      </c>
      <c r="AL42" s="12">
        <v>11.03</v>
      </c>
      <c r="AM42" s="12">
        <v>0.68</v>
      </c>
      <c r="AN42" s="12">
        <v>6.98</v>
      </c>
      <c r="AO42" s="12">
        <v>41.01</v>
      </c>
      <c r="AP42" s="12">
        <v>1.82</v>
      </c>
      <c r="AQ42" s="5">
        <v>0</v>
      </c>
      <c r="AR42" s="12">
        <v>0.43</v>
      </c>
      <c r="AS42" s="12">
        <v>0.53</v>
      </c>
      <c r="AT42" s="12">
        <v>0.22</v>
      </c>
      <c r="AU42" s="12">
        <v>1.96</v>
      </c>
      <c r="AV42" s="12">
        <v>2.35</v>
      </c>
      <c r="AW42" s="12">
        <v>0.05</v>
      </c>
      <c r="AX42" s="5">
        <v>0</v>
      </c>
      <c r="AY42" s="12">
        <v>0.01</v>
      </c>
      <c r="AZ42" s="12">
        <v>2.73</v>
      </c>
      <c r="BA42" s="12">
        <v>0.84</v>
      </c>
      <c r="BB42" s="12">
        <v>0.1</v>
      </c>
      <c r="BC42" s="12">
        <v>0.61</v>
      </c>
      <c r="BD42" s="12">
        <v>4.79</v>
      </c>
      <c r="BE42" s="12">
        <v>7.72</v>
      </c>
      <c r="BF42" s="12">
        <v>31.91</v>
      </c>
      <c r="BG42" s="12">
        <v>1.57</v>
      </c>
      <c r="BH42" s="12">
        <v>0.57999999999999996</v>
      </c>
      <c r="BI42" s="12">
        <v>39.08</v>
      </c>
      <c r="BJ42" s="12">
        <v>1.1000000000000001</v>
      </c>
      <c r="BK42" s="12">
        <v>0.77</v>
      </c>
      <c r="BL42" s="12">
        <v>0.1</v>
      </c>
      <c r="BM42" s="12">
        <v>37.520000000000003</v>
      </c>
      <c r="BN42" s="12">
        <v>34.24</v>
      </c>
      <c r="BO42" s="12">
        <v>8.99</v>
      </c>
      <c r="BP42" s="12">
        <v>647.27</v>
      </c>
      <c r="BQ42" s="12">
        <v>10.220000000000001</v>
      </c>
      <c r="BR42" s="12">
        <v>3.92</v>
      </c>
      <c r="BS42" s="12">
        <v>0.38</v>
      </c>
      <c r="BT42" s="12">
        <v>0.18</v>
      </c>
      <c r="BU42" s="12">
        <v>5.83</v>
      </c>
      <c r="BV42" s="12">
        <v>32.81</v>
      </c>
      <c r="BW42" s="5">
        <v>0</v>
      </c>
      <c r="BX42" s="5">
        <v>0</v>
      </c>
      <c r="BY42" s="12">
        <v>4590.79</v>
      </c>
      <c r="BZ42" s="12">
        <v>479.44</v>
      </c>
      <c r="CA42" s="12">
        <v>4111.3500000000004</v>
      </c>
      <c r="CB42" s="5">
        <v>0</v>
      </c>
      <c r="CC42" s="12">
        <v>3731.17</v>
      </c>
      <c r="CD42" s="12">
        <v>1625.12</v>
      </c>
      <c r="CE42" s="12">
        <v>4618.32</v>
      </c>
      <c r="CF42" s="12">
        <v>2976.08</v>
      </c>
      <c r="CG42" s="12">
        <v>1642.25</v>
      </c>
      <c r="CH42" s="12">
        <v>2387.61</v>
      </c>
      <c r="CI42" s="12">
        <v>588.47</v>
      </c>
      <c r="CJ42" s="12">
        <v>2106.06</v>
      </c>
      <c r="CK42" s="12">
        <v>259.89999999999998</v>
      </c>
      <c r="CL42" s="12">
        <v>1365.22</v>
      </c>
      <c r="CM42" s="12">
        <v>15043.34</v>
      </c>
      <c r="CN42" s="12">
        <v>12940.29</v>
      </c>
    </row>
    <row r="43" spans="1:92" ht="14">
      <c r="A43" s="4" t="s">
        <v>50</v>
      </c>
      <c r="B43" s="13">
        <v>6513.36</v>
      </c>
      <c r="C43" s="13">
        <v>307.99</v>
      </c>
      <c r="D43" s="13">
        <v>59.22</v>
      </c>
      <c r="E43" s="13">
        <v>3.42</v>
      </c>
      <c r="F43" s="13">
        <v>58.82</v>
      </c>
      <c r="G43" s="13">
        <v>154.09</v>
      </c>
      <c r="H43" s="13">
        <v>6.17</v>
      </c>
      <c r="I43" s="13">
        <v>55.59</v>
      </c>
      <c r="J43" s="13">
        <v>78.290000000000006</v>
      </c>
      <c r="K43" s="13">
        <v>15.57</v>
      </c>
      <c r="L43" s="13">
        <v>24.26</v>
      </c>
      <c r="M43" s="13">
        <v>77.8</v>
      </c>
      <c r="N43" s="36"/>
      <c r="O43" s="36"/>
      <c r="P43" s="40"/>
      <c r="Q43" s="40"/>
      <c r="R43" s="44"/>
      <c r="S43" s="44"/>
      <c r="T43" s="48"/>
      <c r="U43" s="48"/>
      <c r="V43" s="13">
        <v>43.91</v>
      </c>
      <c r="W43" s="13">
        <v>26.61</v>
      </c>
      <c r="X43" s="13">
        <v>38.67</v>
      </c>
      <c r="Y43" s="13">
        <v>84.11</v>
      </c>
      <c r="Z43" s="13">
        <v>271.16000000000003</v>
      </c>
      <c r="AA43" s="13">
        <v>123.35</v>
      </c>
      <c r="AB43" s="13">
        <v>214.64</v>
      </c>
      <c r="AC43" s="13">
        <v>570.13</v>
      </c>
      <c r="AD43" s="13">
        <v>48.06</v>
      </c>
      <c r="AE43" s="13">
        <v>90.63</v>
      </c>
      <c r="AF43" s="13">
        <v>45.59</v>
      </c>
      <c r="AG43" s="13">
        <v>1238.75</v>
      </c>
      <c r="AH43" s="56">
        <v>457.69</v>
      </c>
      <c r="AI43" s="67"/>
      <c r="AJ43" s="13">
        <v>56.22</v>
      </c>
      <c r="AK43" s="13">
        <v>62.55</v>
      </c>
      <c r="AL43" s="13">
        <v>160.35</v>
      </c>
      <c r="AM43" s="13">
        <v>19.04</v>
      </c>
      <c r="AN43" s="13">
        <v>385.19</v>
      </c>
      <c r="AO43" s="13">
        <v>38.36</v>
      </c>
      <c r="AP43" s="13">
        <v>609.12</v>
      </c>
      <c r="AQ43" s="13">
        <v>2.59</v>
      </c>
      <c r="AR43" s="13">
        <v>218.39</v>
      </c>
      <c r="AS43" s="13">
        <v>58.04</v>
      </c>
      <c r="AT43" s="13">
        <v>4.92</v>
      </c>
      <c r="AU43" s="13">
        <v>16.71</v>
      </c>
      <c r="AV43" s="13">
        <v>2.94</v>
      </c>
      <c r="AW43" s="13">
        <v>10.27</v>
      </c>
      <c r="AX43" s="13">
        <v>111.96</v>
      </c>
      <c r="AY43" s="13">
        <v>3.28</v>
      </c>
      <c r="AZ43" s="13">
        <v>0.02</v>
      </c>
      <c r="BA43" s="13">
        <v>0.49</v>
      </c>
      <c r="BB43" s="6">
        <v>0</v>
      </c>
      <c r="BC43" s="6">
        <v>0</v>
      </c>
      <c r="BD43" s="13">
        <v>4.29</v>
      </c>
      <c r="BE43" s="13">
        <v>1.29</v>
      </c>
      <c r="BF43" s="13">
        <v>9.4600000000000009</v>
      </c>
      <c r="BG43" s="13">
        <v>18.04</v>
      </c>
      <c r="BH43" s="13">
        <v>0.81</v>
      </c>
      <c r="BI43" s="13">
        <v>2.65</v>
      </c>
      <c r="BJ43" s="13">
        <v>142.94</v>
      </c>
      <c r="BK43" s="13">
        <v>0.93</v>
      </c>
      <c r="BL43" s="6">
        <v>0</v>
      </c>
      <c r="BM43" s="13">
        <v>20.11</v>
      </c>
      <c r="BN43" s="13">
        <v>149.09</v>
      </c>
      <c r="BO43" s="13">
        <v>16.88</v>
      </c>
      <c r="BP43" s="13">
        <v>218.09</v>
      </c>
      <c r="BQ43" s="13">
        <v>5.71</v>
      </c>
      <c r="BR43" s="13">
        <v>23.43</v>
      </c>
      <c r="BS43" s="13">
        <v>36.75</v>
      </c>
      <c r="BT43" s="13">
        <v>1.34</v>
      </c>
      <c r="BU43" s="13">
        <v>1.29</v>
      </c>
      <c r="BV43" s="13">
        <v>5.31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13">
        <v>2480.4699999999998</v>
      </c>
      <c r="CD43" s="6">
        <v>0</v>
      </c>
      <c r="CE43" s="13">
        <v>2099.17</v>
      </c>
      <c r="CF43" s="13">
        <v>1339.28</v>
      </c>
      <c r="CG43" s="13">
        <v>759.9</v>
      </c>
      <c r="CH43" s="13">
        <v>1186.07</v>
      </c>
      <c r="CI43" s="13">
        <v>153.21</v>
      </c>
      <c r="CJ43" s="13">
        <v>2480.4699999999998</v>
      </c>
      <c r="CK43" s="6">
        <v>0</v>
      </c>
      <c r="CL43" s="6">
        <v>0</v>
      </c>
      <c r="CM43" s="6">
        <v>11093</v>
      </c>
      <c r="CN43" s="13">
        <v>4579.6499999999996</v>
      </c>
    </row>
    <row r="44" spans="1:92" s="58" customFormat="1" ht="14">
      <c r="A44" s="55" t="s">
        <v>51</v>
      </c>
      <c r="B44" s="82">
        <f>29276.13-B45</f>
        <v>29275.544456250002</v>
      </c>
      <c r="C44" s="56">
        <v>119.47</v>
      </c>
      <c r="D44" s="56">
        <v>5.07</v>
      </c>
      <c r="E44" s="56">
        <v>3.38</v>
      </c>
      <c r="F44" s="56">
        <v>117.55</v>
      </c>
      <c r="G44" s="56">
        <v>405.34</v>
      </c>
      <c r="H44" s="56">
        <v>37.24</v>
      </c>
      <c r="I44" s="56">
        <v>177.42</v>
      </c>
      <c r="J44" s="56">
        <v>445.41</v>
      </c>
      <c r="K44" s="56">
        <v>20.79</v>
      </c>
      <c r="L44" s="56">
        <v>1.0900000000000001</v>
      </c>
      <c r="M44" s="56">
        <v>625.95000000000005</v>
      </c>
      <c r="N44" s="36"/>
      <c r="O44" s="36"/>
      <c r="P44" s="40"/>
      <c r="Q44" s="40"/>
      <c r="R44" s="44"/>
      <c r="S44" s="44"/>
      <c r="T44" s="48"/>
      <c r="U44" s="48"/>
      <c r="V44" s="56">
        <v>61.89</v>
      </c>
      <c r="W44" s="56">
        <v>130.97999999999999</v>
      </c>
      <c r="X44" s="56">
        <v>295.74</v>
      </c>
      <c r="Y44" s="56">
        <v>445.66</v>
      </c>
      <c r="Z44" s="56">
        <v>173.86</v>
      </c>
      <c r="AA44" s="56">
        <v>45.5</v>
      </c>
      <c r="AB44" s="56">
        <v>65.94</v>
      </c>
      <c r="AC44" s="56">
        <v>96.4</v>
      </c>
      <c r="AD44" s="56">
        <v>70.08</v>
      </c>
      <c r="AE44" s="56">
        <v>17.489999999999998</v>
      </c>
      <c r="AF44" s="56">
        <v>65.59</v>
      </c>
      <c r="AG44" s="56">
        <v>31.27</v>
      </c>
      <c r="AH44" s="56">
        <v>21784.91</v>
      </c>
      <c r="AI44" s="67"/>
      <c r="AJ44" s="56">
        <v>35.85</v>
      </c>
      <c r="AK44" s="56">
        <v>133.24</v>
      </c>
      <c r="AL44" s="56">
        <v>130.33000000000001</v>
      </c>
      <c r="AM44" s="56">
        <v>42.03</v>
      </c>
      <c r="AN44" s="56">
        <v>149.44999999999999</v>
      </c>
      <c r="AO44" s="56">
        <v>204.8</v>
      </c>
      <c r="AP44" s="56">
        <v>548.69000000000005</v>
      </c>
      <c r="AQ44" s="56">
        <v>0.34</v>
      </c>
      <c r="AR44" s="56">
        <v>1.88</v>
      </c>
      <c r="AS44" s="56">
        <v>6.78</v>
      </c>
      <c r="AT44" s="56">
        <v>23.44</v>
      </c>
      <c r="AU44" s="56">
        <v>216.99</v>
      </c>
      <c r="AV44" s="56">
        <v>4.55</v>
      </c>
      <c r="AW44" s="56">
        <v>8.51</v>
      </c>
      <c r="AX44" s="56">
        <v>76.94</v>
      </c>
      <c r="AY44" s="56">
        <v>39.270000000000003</v>
      </c>
      <c r="AZ44" s="56">
        <v>23.57</v>
      </c>
      <c r="BA44" s="56">
        <v>1.77</v>
      </c>
      <c r="BB44" s="56">
        <v>5.83</v>
      </c>
      <c r="BC44" s="56">
        <v>34.71</v>
      </c>
      <c r="BD44" s="56">
        <v>422.53</v>
      </c>
      <c r="BE44" s="56">
        <v>76.88</v>
      </c>
      <c r="BF44" s="56">
        <v>32.86</v>
      </c>
      <c r="BG44" s="56">
        <v>58.96</v>
      </c>
      <c r="BH44" s="56">
        <v>9.8800000000000008</v>
      </c>
      <c r="BI44" s="56">
        <v>11.25</v>
      </c>
      <c r="BJ44" s="56">
        <v>21.85</v>
      </c>
      <c r="BK44" s="56">
        <v>9.41</v>
      </c>
      <c r="BL44" s="56">
        <v>3.37</v>
      </c>
      <c r="BM44" s="56">
        <v>48.83</v>
      </c>
      <c r="BN44" s="56">
        <v>329.33</v>
      </c>
      <c r="BO44" s="56">
        <v>417.61</v>
      </c>
      <c r="BP44" s="56">
        <v>455.95</v>
      </c>
      <c r="BQ44" s="56">
        <v>219.45</v>
      </c>
      <c r="BR44" s="56">
        <v>59.16</v>
      </c>
      <c r="BS44" s="56">
        <v>62.83</v>
      </c>
      <c r="BT44" s="56">
        <v>66.45</v>
      </c>
      <c r="BU44" s="57">
        <v>1</v>
      </c>
      <c r="BV44" s="56">
        <v>35.57</v>
      </c>
      <c r="BW44" s="57">
        <v>0</v>
      </c>
      <c r="BX44" s="57">
        <v>0</v>
      </c>
      <c r="BY44" s="56">
        <v>4938.7700000000004</v>
      </c>
      <c r="BZ44" s="57">
        <v>0</v>
      </c>
      <c r="CA44" s="56">
        <v>4938.7700000000004</v>
      </c>
      <c r="CB44" s="57">
        <v>0</v>
      </c>
      <c r="CC44" s="57">
        <v>0</v>
      </c>
      <c r="CD44" s="57">
        <v>0</v>
      </c>
      <c r="CE44" s="56">
        <v>2074.25</v>
      </c>
      <c r="CF44" s="56">
        <v>16977.41</v>
      </c>
      <c r="CG44" s="56">
        <v>-14903.16</v>
      </c>
      <c r="CH44" s="56">
        <v>17502.04</v>
      </c>
      <c r="CI44" s="56">
        <v>-524.63</v>
      </c>
      <c r="CJ44" s="57">
        <v>0</v>
      </c>
      <c r="CK44" s="57">
        <v>0</v>
      </c>
      <c r="CL44" s="57">
        <v>0</v>
      </c>
      <c r="CM44" s="56">
        <v>36289.160000000003</v>
      </c>
      <c r="CN44" s="56">
        <v>7013.03</v>
      </c>
    </row>
    <row r="45" spans="1:92" s="61" customFormat="1" ht="14">
      <c r="A45" s="71" t="s">
        <v>174</v>
      </c>
      <c r="B45" s="74">
        <f>'[1]2023'!$D$5/1000000</f>
        <v>0.58554375000000003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36"/>
      <c r="O45" s="36"/>
      <c r="P45" s="40"/>
      <c r="Q45" s="40"/>
      <c r="R45" s="44"/>
      <c r="S45" s="44"/>
      <c r="T45" s="48"/>
      <c r="U45" s="48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6"/>
      <c r="AI45" s="67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60"/>
      <c r="BV45" s="59"/>
      <c r="BW45" s="60"/>
      <c r="BX45" s="60"/>
      <c r="BY45" s="59"/>
      <c r="BZ45" s="60"/>
      <c r="CA45" s="59"/>
      <c r="CB45" s="60"/>
      <c r="CC45" s="60"/>
      <c r="CD45" s="60"/>
      <c r="CE45" s="59"/>
      <c r="CF45" s="59"/>
      <c r="CG45" s="59"/>
      <c r="CH45" s="59"/>
      <c r="CI45" s="59"/>
      <c r="CJ45" s="60"/>
      <c r="CK45" s="60"/>
      <c r="CL45" s="60"/>
      <c r="CM45" s="59"/>
      <c r="CN45" s="59"/>
    </row>
    <row r="46" spans="1:92" ht="14">
      <c r="A46" s="4" t="s">
        <v>52</v>
      </c>
      <c r="B46" s="13">
        <v>1133.8800000000001</v>
      </c>
      <c r="C46" s="13">
        <v>7.08</v>
      </c>
      <c r="D46" s="13">
        <v>0.36</v>
      </c>
      <c r="E46" s="13">
        <v>0.23</v>
      </c>
      <c r="F46" s="13">
        <v>0.87</v>
      </c>
      <c r="G46" s="13">
        <v>26.31</v>
      </c>
      <c r="H46" s="13">
        <v>4.1900000000000004</v>
      </c>
      <c r="I46" s="13">
        <v>4.34</v>
      </c>
      <c r="J46" s="13">
        <v>8.1999999999999993</v>
      </c>
      <c r="K46" s="13">
        <v>0.9</v>
      </c>
      <c r="L46" s="13">
        <v>0.14000000000000001</v>
      </c>
      <c r="M46" s="13">
        <v>21.63</v>
      </c>
      <c r="N46" s="36"/>
      <c r="O46" s="36"/>
      <c r="P46" s="40"/>
      <c r="Q46" s="40"/>
      <c r="R46" s="44"/>
      <c r="S46" s="44"/>
      <c r="T46" s="48"/>
      <c r="U46" s="48"/>
      <c r="V46" s="13">
        <v>5.83</v>
      </c>
      <c r="W46" s="13">
        <v>3.03</v>
      </c>
      <c r="X46" s="13">
        <v>4.18</v>
      </c>
      <c r="Y46" s="13">
        <v>10.050000000000001</v>
      </c>
      <c r="Z46" s="13">
        <v>4.75</v>
      </c>
      <c r="AA46" s="13">
        <v>2.86</v>
      </c>
      <c r="AB46" s="13">
        <v>2.19</v>
      </c>
      <c r="AC46" s="13">
        <v>3.74</v>
      </c>
      <c r="AD46" s="13">
        <v>2.5</v>
      </c>
      <c r="AE46" s="13">
        <v>3.37</v>
      </c>
      <c r="AF46" s="13">
        <v>5.74</v>
      </c>
      <c r="AG46" s="13">
        <v>2.0299999999999998</v>
      </c>
      <c r="AH46" s="56">
        <v>6.82</v>
      </c>
      <c r="AI46" s="67"/>
      <c r="AJ46" s="13">
        <v>4.75</v>
      </c>
      <c r="AK46" s="13">
        <v>9.2799999999999994</v>
      </c>
      <c r="AL46" s="13">
        <v>24.18</v>
      </c>
      <c r="AM46" s="13">
        <v>4.7300000000000004</v>
      </c>
      <c r="AN46" s="13">
        <v>29.17</v>
      </c>
      <c r="AO46" s="13">
        <v>19.670000000000002</v>
      </c>
      <c r="AP46" s="13">
        <v>8.3800000000000008</v>
      </c>
      <c r="AQ46" s="13">
        <v>0.01</v>
      </c>
      <c r="AR46" s="13">
        <v>0.52</v>
      </c>
      <c r="AS46" s="13">
        <v>15.52</v>
      </c>
      <c r="AT46" s="13">
        <v>1.2</v>
      </c>
      <c r="AU46" s="13">
        <v>40.43</v>
      </c>
      <c r="AV46" s="13">
        <v>0.18</v>
      </c>
      <c r="AW46" s="13">
        <v>0.51</v>
      </c>
      <c r="AX46" s="13">
        <v>3.12</v>
      </c>
      <c r="AY46" s="13">
        <v>1.83</v>
      </c>
      <c r="AZ46" s="13">
        <v>14.13</v>
      </c>
      <c r="BA46" s="13">
        <v>14.68</v>
      </c>
      <c r="BB46" s="13">
        <v>2.5499999999999998</v>
      </c>
      <c r="BC46" s="13">
        <v>373.24</v>
      </c>
      <c r="BD46" s="13">
        <v>259.81</v>
      </c>
      <c r="BE46" s="13">
        <v>9.0399999999999991</v>
      </c>
      <c r="BF46" s="13">
        <v>3.9</v>
      </c>
      <c r="BG46" s="13">
        <v>11.18</v>
      </c>
      <c r="BH46" s="13">
        <v>0.65</v>
      </c>
      <c r="BI46" s="13">
        <v>0.71</v>
      </c>
      <c r="BJ46" s="13">
        <v>2.84</v>
      </c>
      <c r="BK46" s="13">
        <v>1.08</v>
      </c>
      <c r="BL46" s="13">
        <v>0.51</v>
      </c>
      <c r="BM46" s="13">
        <v>7.74</v>
      </c>
      <c r="BN46" s="13">
        <v>50.91</v>
      </c>
      <c r="BO46" s="13">
        <v>14.93</v>
      </c>
      <c r="BP46" s="13">
        <v>29.31</v>
      </c>
      <c r="BQ46" s="13">
        <v>17.55</v>
      </c>
      <c r="BR46" s="13">
        <v>6.95</v>
      </c>
      <c r="BS46" s="13">
        <v>8.93</v>
      </c>
      <c r="BT46" s="13">
        <v>5.0599999999999996</v>
      </c>
      <c r="BU46" s="13">
        <v>0.01</v>
      </c>
      <c r="BV46" s="13">
        <v>3.39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13">
        <v>1.33</v>
      </c>
      <c r="CD46" s="13">
        <v>1.33</v>
      </c>
      <c r="CE46" s="13">
        <v>4.05</v>
      </c>
      <c r="CF46" s="13">
        <v>0.35</v>
      </c>
      <c r="CG46" s="13">
        <v>3.7</v>
      </c>
      <c r="CH46" s="13">
        <v>0.23</v>
      </c>
      <c r="CI46" s="13">
        <v>0.12</v>
      </c>
      <c r="CJ46" s="6">
        <v>0</v>
      </c>
      <c r="CK46" s="13">
        <v>1.33</v>
      </c>
      <c r="CL46" s="6">
        <v>0</v>
      </c>
      <c r="CM46" s="13">
        <v>1139.26</v>
      </c>
      <c r="CN46" s="13">
        <v>5.37</v>
      </c>
    </row>
    <row r="47" spans="1:92" ht="14">
      <c r="A47" s="4" t="s">
        <v>53</v>
      </c>
      <c r="B47" s="12">
        <v>9345.82</v>
      </c>
      <c r="C47" s="12">
        <v>5.27</v>
      </c>
      <c r="D47" s="12">
        <v>0.56999999999999995</v>
      </c>
      <c r="E47" s="12">
        <v>0.05</v>
      </c>
      <c r="F47" s="12">
        <v>2.3199999999999998</v>
      </c>
      <c r="G47" s="12">
        <v>28.43</v>
      </c>
      <c r="H47" s="12">
        <v>4.1100000000000003</v>
      </c>
      <c r="I47" s="5">
        <v>70</v>
      </c>
      <c r="J47" s="12">
        <v>324.22000000000003</v>
      </c>
      <c r="K47" s="12">
        <v>0.49</v>
      </c>
      <c r="L47" s="12">
        <v>0.54</v>
      </c>
      <c r="M47" s="12">
        <v>5.18</v>
      </c>
      <c r="N47" s="36"/>
      <c r="O47" s="36"/>
      <c r="P47" s="40"/>
      <c r="Q47" s="40"/>
      <c r="R47" s="44"/>
      <c r="S47" s="44"/>
      <c r="T47" s="48"/>
      <c r="U47" s="48"/>
      <c r="V47" s="12">
        <v>1.47</v>
      </c>
      <c r="W47" s="12">
        <v>105.14</v>
      </c>
      <c r="X47" s="12">
        <v>55.66</v>
      </c>
      <c r="Y47" s="12">
        <v>1668.58</v>
      </c>
      <c r="Z47" s="12">
        <v>15.8</v>
      </c>
      <c r="AA47" s="12">
        <v>5.51</v>
      </c>
      <c r="AB47" s="12">
        <v>2.2799999999999998</v>
      </c>
      <c r="AC47" s="12">
        <v>28.98</v>
      </c>
      <c r="AD47" s="12">
        <v>1.3</v>
      </c>
      <c r="AE47" s="12">
        <v>7.35</v>
      </c>
      <c r="AF47" s="12">
        <v>10.36</v>
      </c>
      <c r="AG47" s="12">
        <v>5.88</v>
      </c>
      <c r="AH47" s="56">
        <v>343.67</v>
      </c>
      <c r="AI47" s="67"/>
      <c r="AJ47" s="12">
        <v>1.45</v>
      </c>
      <c r="AK47" s="12">
        <v>3430.6</v>
      </c>
      <c r="AL47" s="12">
        <v>53.53</v>
      </c>
      <c r="AM47" s="12">
        <v>19.5</v>
      </c>
      <c r="AN47" s="12">
        <v>86.41</v>
      </c>
      <c r="AO47" s="12">
        <v>31.11</v>
      </c>
      <c r="AP47" s="12">
        <v>44.23</v>
      </c>
      <c r="AQ47" s="12">
        <v>0.02</v>
      </c>
      <c r="AR47" s="12">
        <v>0.72</v>
      </c>
      <c r="AS47" s="12">
        <v>17.82</v>
      </c>
      <c r="AT47" s="12">
        <v>0.91</v>
      </c>
      <c r="AU47" s="12">
        <v>48.03</v>
      </c>
      <c r="AV47" s="12">
        <v>2.64</v>
      </c>
      <c r="AW47" s="12">
        <v>2.57</v>
      </c>
      <c r="AX47" s="12">
        <v>2.09</v>
      </c>
      <c r="AY47" s="12">
        <v>12.02</v>
      </c>
      <c r="AZ47" s="12">
        <v>37.909999999999997</v>
      </c>
      <c r="BA47" s="12">
        <v>37.520000000000003</v>
      </c>
      <c r="BB47" s="12">
        <v>15.95</v>
      </c>
      <c r="BC47" s="12">
        <v>840.85</v>
      </c>
      <c r="BD47" s="12">
        <v>1688.37</v>
      </c>
      <c r="BE47" s="12">
        <v>34.159999999999997</v>
      </c>
      <c r="BF47" s="12">
        <v>8.99</v>
      </c>
      <c r="BG47" s="12">
        <v>8.3800000000000008</v>
      </c>
      <c r="BH47" s="12">
        <v>5.16</v>
      </c>
      <c r="BI47" s="12">
        <v>6.34</v>
      </c>
      <c r="BJ47" s="12">
        <v>8.5299999999999994</v>
      </c>
      <c r="BK47" s="12">
        <v>5.08</v>
      </c>
      <c r="BL47" s="12">
        <v>0.93</v>
      </c>
      <c r="BM47" s="12">
        <v>27.77</v>
      </c>
      <c r="BN47" s="12">
        <v>48.31</v>
      </c>
      <c r="BO47" s="12">
        <v>15.46</v>
      </c>
      <c r="BP47" s="12">
        <v>70.33</v>
      </c>
      <c r="BQ47" s="12">
        <v>14.36</v>
      </c>
      <c r="BR47" s="12">
        <v>6.92</v>
      </c>
      <c r="BS47" s="12">
        <v>3.86</v>
      </c>
      <c r="BT47" s="12">
        <v>6.97</v>
      </c>
      <c r="BU47" s="12">
        <v>0.4</v>
      </c>
      <c r="BV47" s="12">
        <v>6.48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12">
        <v>14.71</v>
      </c>
      <c r="CD47" s="12">
        <v>14.71</v>
      </c>
      <c r="CE47" s="12">
        <v>1667.24</v>
      </c>
      <c r="CF47" s="12">
        <v>1421.52</v>
      </c>
      <c r="CG47" s="12">
        <v>245.72</v>
      </c>
      <c r="CH47" s="12">
        <v>1265.44</v>
      </c>
      <c r="CI47" s="12">
        <v>156.08000000000001</v>
      </c>
      <c r="CJ47" s="5">
        <v>0</v>
      </c>
      <c r="CK47" s="12">
        <v>14.71</v>
      </c>
      <c r="CL47" s="5">
        <v>0</v>
      </c>
      <c r="CM47" s="12">
        <v>11027.77</v>
      </c>
      <c r="CN47" s="12">
        <v>1681.95</v>
      </c>
    </row>
    <row r="48" spans="1:92" ht="14">
      <c r="A48" s="4" t="s">
        <v>54</v>
      </c>
      <c r="B48" s="13">
        <v>29739.02</v>
      </c>
      <c r="C48" s="13">
        <v>73.86</v>
      </c>
      <c r="D48" s="13">
        <v>34.020000000000003</v>
      </c>
      <c r="E48" s="13">
        <v>8.02</v>
      </c>
      <c r="F48" s="13">
        <v>42.83</v>
      </c>
      <c r="G48" s="13">
        <v>299.04000000000002</v>
      </c>
      <c r="H48" s="13">
        <v>36.51</v>
      </c>
      <c r="I48" s="13">
        <v>314.77999999999997</v>
      </c>
      <c r="J48" s="13">
        <v>82.3</v>
      </c>
      <c r="K48" s="13">
        <v>30.91</v>
      </c>
      <c r="L48" s="13">
        <v>39.25</v>
      </c>
      <c r="M48" s="13">
        <v>137.1</v>
      </c>
      <c r="N48" s="36"/>
      <c r="O48" s="36"/>
      <c r="P48" s="40"/>
      <c r="Q48" s="40"/>
      <c r="R48" s="44"/>
      <c r="S48" s="44"/>
      <c r="T48" s="48"/>
      <c r="U48" s="48"/>
      <c r="V48" s="13">
        <v>91.95</v>
      </c>
      <c r="W48" s="13">
        <v>103.11</v>
      </c>
      <c r="X48" s="13">
        <v>313.79000000000002</v>
      </c>
      <c r="Y48" s="13">
        <v>213.24</v>
      </c>
      <c r="Z48" s="13">
        <v>301.47000000000003</v>
      </c>
      <c r="AA48" s="13">
        <v>44.42</v>
      </c>
      <c r="AB48" s="13">
        <v>45.79</v>
      </c>
      <c r="AC48" s="13">
        <v>240.76</v>
      </c>
      <c r="AD48" s="13">
        <v>70.569999999999993</v>
      </c>
      <c r="AE48" s="13">
        <v>22.83</v>
      </c>
      <c r="AF48" s="13">
        <v>95.56</v>
      </c>
      <c r="AG48" s="13">
        <v>343.63</v>
      </c>
      <c r="AH48" s="56">
        <v>173.18</v>
      </c>
      <c r="AI48" s="67"/>
      <c r="AJ48" s="13">
        <v>200.67</v>
      </c>
      <c r="AK48" s="13">
        <v>237.6</v>
      </c>
      <c r="AL48" s="13">
        <v>15244.42</v>
      </c>
      <c r="AM48" s="13">
        <v>65.180000000000007</v>
      </c>
      <c r="AN48" s="13">
        <v>358.01</v>
      </c>
      <c r="AO48" s="13">
        <v>681.61</v>
      </c>
      <c r="AP48" s="13">
        <v>184.6</v>
      </c>
      <c r="AQ48" s="13">
        <v>0.27</v>
      </c>
      <c r="AR48" s="6">
        <v>0</v>
      </c>
      <c r="AS48" s="13">
        <v>742.74</v>
      </c>
      <c r="AT48" s="13">
        <v>57.25</v>
      </c>
      <c r="AU48" s="13">
        <v>749.22</v>
      </c>
      <c r="AV48" s="13">
        <v>31.85</v>
      </c>
      <c r="AW48" s="13">
        <v>8.07</v>
      </c>
      <c r="AX48" s="13">
        <v>136.04</v>
      </c>
      <c r="AY48" s="13">
        <v>100.03</v>
      </c>
      <c r="AZ48" s="13">
        <v>119.56</v>
      </c>
      <c r="BA48" s="13">
        <v>2.4900000000000002</v>
      </c>
      <c r="BB48" s="13">
        <v>21.62</v>
      </c>
      <c r="BC48" s="13">
        <v>2676.49</v>
      </c>
      <c r="BD48" s="13">
        <v>2591.4899999999998</v>
      </c>
      <c r="BE48" s="13">
        <v>155.37</v>
      </c>
      <c r="BF48" s="13">
        <v>97.84</v>
      </c>
      <c r="BG48" s="13">
        <v>148.61000000000001</v>
      </c>
      <c r="BH48" s="13">
        <v>16.93</v>
      </c>
      <c r="BI48" s="13">
        <v>17.989999999999998</v>
      </c>
      <c r="BJ48" s="13">
        <v>24.22</v>
      </c>
      <c r="BK48" s="13">
        <v>3.65</v>
      </c>
      <c r="BL48" s="13">
        <v>4.17</v>
      </c>
      <c r="BM48" s="13">
        <v>97.71</v>
      </c>
      <c r="BN48" s="13">
        <v>396.26</v>
      </c>
      <c r="BO48" s="13">
        <v>418.08</v>
      </c>
      <c r="BP48" s="6">
        <v>433</v>
      </c>
      <c r="BQ48" s="13">
        <v>195.68</v>
      </c>
      <c r="BR48" s="13">
        <v>115.8</v>
      </c>
      <c r="BS48" s="13">
        <v>115.46</v>
      </c>
      <c r="BT48" s="13">
        <v>68.069999999999993</v>
      </c>
      <c r="BU48" s="13">
        <v>3.31</v>
      </c>
      <c r="BV48" s="13">
        <v>58.77</v>
      </c>
      <c r="BW48" s="6">
        <v>0</v>
      </c>
      <c r="BX48" s="6">
        <v>0</v>
      </c>
      <c r="BY48" s="13">
        <v>903.49</v>
      </c>
      <c r="BZ48" s="6">
        <v>0</v>
      </c>
      <c r="CA48" s="13">
        <v>903.49</v>
      </c>
      <c r="CB48" s="6">
        <v>0</v>
      </c>
      <c r="CC48" s="13">
        <v>35368.29</v>
      </c>
      <c r="CD48" s="13">
        <v>-216.49</v>
      </c>
      <c r="CE48" s="13">
        <v>899.94</v>
      </c>
      <c r="CF48" s="13">
        <v>695.36</v>
      </c>
      <c r="CG48" s="13">
        <v>204.57</v>
      </c>
      <c r="CH48" s="13">
        <v>582.32000000000005</v>
      </c>
      <c r="CI48" s="13">
        <v>113.04</v>
      </c>
      <c r="CJ48" s="13">
        <v>35584.78</v>
      </c>
      <c r="CK48" s="13">
        <v>-216.49</v>
      </c>
      <c r="CL48" s="6">
        <v>0</v>
      </c>
      <c r="CM48" s="13">
        <v>66910.73</v>
      </c>
      <c r="CN48" s="13">
        <v>37171.72</v>
      </c>
    </row>
    <row r="49" spans="1:92" ht="14">
      <c r="A49" s="4" t="s">
        <v>55</v>
      </c>
      <c r="B49" s="12">
        <v>3089.12</v>
      </c>
      <c r="C49" s="12">
        <v>27.83</v>
      </c>
      <c r="D49" s="12">
        <v>1.74</v>
      </c>
      <c r="E49" s="12">
        <v>1.32</v>
      </c>
      <c r="F49" s="12">
        <v>8.01</v>
      </c>
      <c r="G49" s="12">
        <v>54.59</v>
      </c>
      <c r="H49" s="12">
        <v>2.4300000000000002</v>
      </c>
      <c r="I49" s="12">
        <v>31.79</v>
      </c>
      <c r="J49" s="12">
        <v>3.18</v>
      </c>
      <c r="K49" s="12">
        <v>1.91</v>
      </c>
      <c r="L49" s="12">
        <v>0.36</v>
      </c>
      <c r="M49" s="12">
        <v>10.4</v>
      </c>
      <c r="N49" s="36"/>
      <c r="O49" s="36"/>
      <c r="P49" s="40"/>
      <c r="Q49" s="40"/>
      <c r="R49" s="44"/>
      <c r="S49" s="44"/>
      <c r="T49" s="48"/>
      <c r="U49" s="48"/>
      <c r="V49" s="5">
        <v>0</v>
      </c>
      <c r="W49" s="12">
        <v>8.23</v>
      </c>
      <c r="X49" s="12">
        <v>30.31</v>
      </c>
      <c r="Y49" s="12">
        <v>5.83</v>
      </c>
      <c r="Z49" s="12">
        <v>27.86</v>
      </c>
      <c r="AA49" s="5">
        <v>2</v>
      </c>
      <c r="AB49" s="12">
        <v>17.22</v>
      </c>
      <c r="AC49" s="12">
        <v>35.96</v>
      </c>
      <c r="AD49" s="12">
        <v>71.61</v>
      </c>
      <c r="AE49" s="12">
        <v>25.91</v>
      </c>
      <c r="AF49" s="12">
        <v>16.25</v>
      </c>
      <c r="AG49" s="12">
        <v>5.67</v>
      </c>
      <c r="AH49" s="56">
        <v>15.47</v>
      </c>
      <c r="AI49" s="67"/>
      <c r="AJ49" s="12">
        <v>6.71</v>
      </c>
      <c r="AK49" s="12">
        <v>85.53</v>
      </c>
      <c r="AL49" s="5">
        <v>237</v>
      </c>
      <c r="AM49" s="12">
        <v>753.56</v>
      </c>
      <c r="AN49" s="12">
        <v>154.19</v>
      </c>
      <c r="AO49" s="12">
        <v>64.650000000000006</v>
      </c>
      <c r="AP49" s="12">
        <v>591.08000000000004</v>
      </c>
      <c r="AQ49" s="5">
        <v>0</v>
      </c>
      <c r="AR49" s="5">
        <v>0</v>
      </c>
      <c r="AS49" s="12">
        <v>160.41999999999999</v>
      </c>
      <c r="AT49" s="12">
        <v>6.73</v>
      </c>
      <c r="AU49" s="12">
        <v>28.27</v>
      </c>
      <c r="AV49" s="12">
        <v>6.04</v>
      </c>
      <c r="AW49" s="12">
        <v>1.95</v>
      </c>
      <c r="AX49" s="12">
        <v>1.63</v>
      </c>
      <c r="AY49" s="12">
        <v>8.76</v>
      </c>
      <c r="AZ49" s="12">
        <v>4.6500000000000004</v>
      </c>
      <c r="BA49" s="12">
        <v>1.97</v>
      </c>
      <c r="BB49" s="12">
        <v>3.84</v>
      </c>
      <c r="BC49" s="5">
        <v>0</v>
      </c>
      <c r="BD49" s="12">
        <v>13.07</v>
      </c>
      <c r="BE49" s="12">
        <v>79.790000000000006</v>
      </c>
      <c r="BF49" s="12">
        <v>34.909999999999997</v>
      </c>
      <c r="BG49" s="12">
        <v>14.28</v>
      </c>
      <c r="BH49" s="12">
        <v>6.63</v>
      </c>
      <c r="BI49" s="12">
        <v>4.0199999999999996</v>
      </c>
      <c r="BJ49" s="12">
        <v>116.46</v>
      </c>
      <c r="BK49" s="12">
        <v>1.41</v>
      </c>
      <c r="BL49" s="12">
        <v>13.57</v>
      </c>
      <c r="BM49" s="12">
        <v>51.02</v>
      </c>
      <c r="BN49" s="12">
        <v>59.33</v>
      </c>
      <c r="BO49" s="12">
        <v>19.68</v>
      </c>
      <c r="BP49" s="12">
        <v>73.86</v>
      </c>
      <c r="BQ49" s="12">
        <v>38.24</v>
      </c>
      <c r="BR49" s="12">
        <v>3.57</v>
      </c>
      <c r="BS49" s="12">
        <v>2.4900000000000002</v>
      </c>
      <c r="BT49" s="12">
        <v>21.34</v>
      </c>
      <c r="BU49" s="12">
        <v>0.33</v>
      </c>
      <c r="BV49" s="12">
        <v>12.28</v>
      </c>
      <c r="BW49" s="5">
        <v>0</v>
      </c>
      <c r="BX49" s="5">
        <v>0</v>
      </c>
      <c r="BY49" s="12">
        <v>5195.97</v>
      </c>
      <c r="BZ49" s="5">
        <v>0</v>
      </c>
      <c r="CA49" s="12">
        <v>5195.97</v>
      </c>
      <c r="CB49" s="5">
        <v>0</v>
      </c>
      <c r="CC49" s="12">
        <v>1075.56</v>
      </c>
      <c r="CD49" s="12">
        <v>6.78</v>
      </c>
      <c r="CE49" s="12">
        <v>1054.73</v>
      </c>
      <c r="CF49" s="12">
        <v>752.19</v>
      </c>
      <c r="CG49" s="12">
        <v>302.55</v>
      </c>
      <c r="CH49" s="12">
        <v>625.20000000000005</v>
      </c>
      <c r="CI49" s="12">
        <v>126.99</v>
      </c>
      <c r="CJ49" s="12">
        <v>1068.78</v>
      </c>
      <c r="CK49" s="12">
        <v>6.78</v>
      </c>
      <c r="CL49" s="5">
        <v>0</v>
      </c>
      <c r="CM49" s="12">
        <v>10415.379999999999</v>
      </c>
      <c r="CN49" s="12">
        <v>7326.26</v>
      </c>
    </row>
    <row r="50" spans="1:92" ht="14">
      <c r="A50" s="4" t="s">
        <v>56</v>
      </c>
      <c r="B50" s="13">
        <v>16247.31</v>
      </c>
      <c r="C50" s="13">
        <v>227.39</v>
      </c>
      <c r="D50" s="13">
        <v>13.14</v>
      </c>
      <c r="E50" s="13">
        <v>4.43</v>
      </c>
      <c r="F50" s="13">
        <v>22.7</v>
      </c>
      <c r="G50" s="13">
        <v>1073.26</v>
      </c>
      <c r="H50" s="13">
        <v>113.09</v>
      </c>
      <c r="I50" s="13">
        <v>724.63</v>
      </c>
      <c r="J50" s="13">
        <v>359.22</v>
      </c>
      <c r="K50" s="13">
        <v>72.099999999999994</v>
      </c>
      <c r="L50" s="13">
        <v>51.58</v>
      </c>
      <c r="M50" s="13">
        <v>466.78</v>
      </c>
      <c r="N50" s="36"/>
      <c r="O50" s="36"/>
      <c r="P50" s="40"/>
      <c r="Q50" s="40"/>
      <c r="R50" s="44"/>
      <c r="S50" s="44"/>
      <c r="T50" s="48"/>
      <c r="U50" s="48"/>
      <c r="V50" s="13">
        <v>181.7</v>
      </c>
      <c r="W50" s="13">
        <v>315.95999999999998</v>
      </c>
      <c r="X50" s="13">
        <v>250.25</v>
      </c>
      <c r="Y50" s="13">
        <v>497.28</v>
      </c>
      <c r="Z50" s="13">
        <v>584.64</v>
      </c>
      <c r="AA50" s="13">
        <v>283.06</v>
      </c>
      <c r="AB50" s="13">
        <v>575.46</v>
      </c>
      <c r="AC50" s="13">
        <v>1503.43</v>
      </c>
      <c r="AD50" s="13">
        <v>469.01</v>
      </c>
      <c r="AE50" s="13">
        <v>217.63</v>
      </c>
      <c r="AF50" s="13">
        <v>378.57</v>
      </c>
      <c r="AG50" s="13">
        <v>458.27</v>
      </c>
      <c r="AH50" s="56">
        <v>70.099999999999994</v>
      </c>
      <c r="AI50" s="67"/>
      <c r="AJ50" s="13">
        <v>5.56</v>
      </c>
      <c r="AK50" s="13">
        <v>101.41</v>
      </c>
      <c r="AL50" s="13">
        <v>1787.84</v>
      </c>
      <c r="AM50" s="13">
        <v>151.9</v>
      </c>
      <c r="AN50" s="13">
        <v>999.66</v>
      </c>
      <c r="AO50" s="13">
        <v>429.9</v>
      </c>
      <c r="AP50" s="13">
        <v>117.97</v>
      </c>
      <c r="AQ50" s="13">
        <v>1.53</v>
      </c>
      <c r="AR50" s="13">
        <v>3.44</v>
      </c>
      <c r="AS50" s="13">
        <v>87.86</v>
      </c>
      <c r="AT50" s="13">
        <v>23.17</v>
      </c>
      <c r="AU50" s="13">
        <v>822.12</v>
      </c>
      <c r="AV50" s="13">
        <v>20.76</v>
      </c>
      <c r="AW50" s="13">
        <v>11.67</v>
      </c>
      <c r="AX50" s="13">
        <v>57.59</v>
      </c>
      <c r="AY50" s="13">
        <v>67.69</v>
      </c>
      <c r="AZ50" s="13">
        <v>16.34</v>
      </c>
      <c r="BA50" s="13">
        <v>7.36</v>
      </c>
      <c r="BB50" s="13">
        <v>19.399999999999999</v>
      </c>
      <c r="BC50" s="13">
        <v>2.46</v>
      </c>
      <c r="BD50" s="13">
        <v>110.03</v>
      </c>
      <c r="BE50" s="13">
        <v>136.02000000000001</v>
      </c>
      <c r="BF50" s="13">
        <v>116.79</v>
      </c>
      <c r="BG50" s="13">
        <v>222.51</v>
      </c>
      <c r="BH50" s="13">
        <v>34.82</v>
      </c>
      <c r="BI50" s="13">
        <v>46.64</v>
      </c>
      <c r="BJ50" s="13">
        <v>87.38</v>
      </c>
      <c r="BK50" s="13">
        <v>14.37</v>
      </c>
      <c r="BL50" s="13">
        <v>5.81</v>
      </c>
      <c r="BM50" s="13">
        <v>153.16</v>
      </c>
      <c r="BN50" s="13">
        <v>298.73</v>
      </c>
      <c r="BO50" s="13">
        <v>40.880000000000003</v>
      </c>
      <c r="BP50" s="13">
        <v>889.16</v>
      </c>
      <c r="BQ50" s="13">
        <v>140.41999999999999</v>
      </c>
      <c r="BR50" s="13">
        <v>135.66</v>
      </c>
      <c r="BS50" s="13">
        <v>15.5</v>
      </c>
      <c r="BT50" s="13">
        <v>28.26</v>
      </c>
      <c r="BU50" s="13">
        <v>49.29</v>
      </c>
      <c r="BV50" s="13">
        <v>72.61</v>
      </c>
      <c r="BW50" s="6">
        <v>0</v>
      </c>
      <c r="BX50" s="6">
        <v>0</v>
      </c>
      <c r="BY50" s="13">
        <v>7148.85</v>
      </c>
      <c r="BZ50" s="13">
        <v>574.58000000000004</v>
      </c>
      <c r="CA50" s="13">
        <v>6574.26</v>
      </c>
      <c r="CB50" s="6">
        <v>0</v>
      </c>
      <c r="CC50" s="13">
        <v>3728.91</v>
      </c>
      <c r="CD50" s="13">
        <v>451.38</v>
      </c>
      <c r="CE50" s="13">
        <v>13964.36</v>
      </c>
      <c r="CF50" s="13">
        <v>8301.83</v>
      </c>
      <c r="CG50" s="13">
        <v>5662.53</v>
      </c>
      <c r="CH50" s="13">
        <v>6268.01</v>
      </c>
      <c r="CI50" s="13">
        <v>2033.82</v>
      </c>
      <c r="CJ50" s="13">
        <v>3277.53</v>
      </c>
      <c r="CK50" s="13">
        <v>365.11</v>
      </c>
      <c r="CL50" s="13">
        <v>86.27</v>
      </c>
      <c r="CM50" s="13">
        <v>41089.43</v>
      </c>
      <c r="CN50" s="13">
        <v>24842.12</v>
      </c>
    </row>
    <row r="51" spans="1:92" ht="14">
      <c r="A51" s="4" t="s">
        <v>57</v>
      </c>
      <c r="B51" s="12">
        <v>757.64</v>
      </c>
      <c r="C51" s="12">
        <v>11.82</v>
      </c>
      <c r="D51" s="12">
        <v>3.01</v>
      </c>
      <c r="E51" s="12">
        <v>0.08</v>
      </c>
      <c r="F51" s="12">
        <v>0.42</v>
      </c>
      <c r="G51" s="12">
        <v>78.27</v>
      </c>
      <c r="H51" s="12">
        <v>0.44</v>
      </c>
      <c r="I51" s="12">
        <v>5.37</v>
      </c>
      <c r="J51" s="12">
        <v>0.48</v>
      </c>
      <c r="K51" s="12">
        <v>0.41</v>
      </c>
      <c r="L51" s="12">
        <v>0.31</v>
      </c>
      <c r="M51" s="12">
        <v>0.8</v>
      </c>
      <c r="N51" s="36"/>
      <c r="O51" s="36"/>
      <c r="P51" s="40"/>
      <c r="Q51" s="40"/>
      <c r="R51" s="44"/>
      <c r="S51" s="44"/>
      <c r="T51" s="48"/>
      <c r="U51" s="48"/>
      <c r="V51" s="12">
        <v>0.15</v>
      </c>
      <c r="W51" s="5">
        <v>0</v>
      </c>
      <c r="X51" s="12">
        <v>1.28</v>
      </c>
      <c r="Y51" s="12">
        <v>0.04</v>
      </c>
      <c r="Z51" s="12">
        <v>7.33</v>
      </c>
      <c r="AA51" s="5">
        <v>0</v>
      </c>
      <c r="AB51" s="5">
        <v>0</v>
      </c>
      <c r="AC51" s="5">
        <v>0</v>
      </c>
      <c r="AD51" s="12">
        <v>0.01</v>
      </c>
      <c r="AE51" s="12">
        <v>0.1</v>
      </c>
      <c r="AF51" s="12">
        <v>4.0599999999999996</v>
      </c>
      <c r="AG51" s="12">
        <v>4.1399999999999997</v>
      </c>
      <c r="AH51" s="56">
        <v>0.99</v>
      </c>
      <c r="AI51" s="67"/>
      <c r="AJ51" s="12">
        <v>0.46</v>
      </c>
      <c r="AK51" s="12">
        <v>3.72</v>
      </c>
      <c r="AL51" s="12">
        <v>20.47</v>
      </c>
      <c r="AM51" s="12">
        <v>8.1300000000000008</v>
      </c>
      <c r="AN51" s="12">
        <v>35.64</v>
      </c>
      <c r="AO51" s="12">
        <v>39.869999999999997</v>
      </c>
      <c r="AP51" s="12">
        <v>30.66</v>
      </c>
      <c r="AQ51" s="5">
        <v>0</v>
      </c>
      <c r="AR51" s="12">
        <v>0.05</v>
      </c>
      <c r="AS51" s="12">
        <v>3.14</v>
      </c>
      <c r="AT51" s="12">
        <v>1.47</v>
      </c>
      <c r="AU51" s="12">
        <v>165.77</v>
      </c>
      <c r="AV51" s="12">
        <v>2.08</v>
      </c>
      <c r="AW51" s="12">
        <v>1.49</v>
      </c>
      <c r="AX51" s="12">
        <v>65.86</v>
      </c>
      <c r="AY51" s="12">
        <v>0.68</v>
      </c>
      <c r="AZ51" s="12">
        <v>13.01</v>
      </c>
      <c r="BA51" s="12">
        <v>4.91</v>
      </c>
      <c r="BB51" s="12">
        <v>4.7699999999999996</v>
      </c>
      <c r="BC51" s="12">
        <v>0.65</v>
      </c>
      <c r="BD51" s="12">
        <v>11.66</v>
      </c>
      <c r="BE51" s="12">
        <v>12.14</v>
      </c>
      <c r="BF51" s="12">
        <v>3.26</v>
      </c>
      <c r="BG51" s="12">
        <v>7.32</v>
      </c>
      <c r="BH51" s="12">
        <v>2.81</v>
      </c>
      <c r="BI51" s="12">
        <v>1.98</v>
      </c>
      <c r="BJ51" s="12">
        <v>6.32</v>
      </c>
      <c r="BK51" s="12">
        <v>1.35</v>
      </c>
      <c r="BL51" s="12">
        <v>3.35</v>
      </c>
      <c r="BM51" s="12">
        <v>10.83</v>
      </c>
      <c r="BN51" s="12">
        <v>37.5</v>
      </c>
      <c r="BO51" s="12">
        <v>44.65</v>
      </c>
      <c r="BP51" s="12">
        <v>9.4</v>
      </c>
      <c r="BQ51" s="12">
        <v>55.18</v>
      </c>
      <c r="BR51" s="12">
        <v>8.5299999999999994</v>
      </c>
      <c r="BS51" s="12">
        <v>6.99</v>
      </c>
      <c r="BT51" s="12">
        <v>4.42</v>
      </c>
      <c r="BU51" s="12">
        <v>0.75</v>
      </c>
      <c r="BV51" s="12">
        <v>6.91</v>
      </c>
      <c r="BW51" s="5">
        <v>0</v>
      </c>
      <c r="BX51" s="5">
        <v>0</v>
      </c>
      <c r="BY51" s="12">
        <v>23589.33</v>
      </c>
      <c r="BZ51" s="12">
        <v>816.09</v>
      </c>
      <c r="CA51" s="12">
        <v>22773.24</v>
      </c>
      <c r="CB51" s="5">
        <v>0</v>
      </c>
      <c r="CC51" s="12">
        <v>1870.07</v>
      </c>
      <c r="CD51" s="12">
        <v>283.32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12">
        <v>1586.75</v>
      </c>
      <c r="CK51" s="5">
        <v>0</v>
      </c>
      <c r="CL51" s="12">
        <v>283.32</v>
      </c>
      <c r="CM51" s="12">
        <v>26217.040000000001</v>
      </c>
      <c r="CN51" s="12">
        <v>25459.4</v>
      </c>
    </row>
    <row r="52" spans="1:92" ht="14">
      <c r="A52" s="4" t="s">
        <v>58</v>
      </c>
      <c r="B52" s="13">
        <v>9917.43</v>
      </c>
      <c r="C52" s="13">
        <v>14.36</v>
      </c>
      <c r="D52" s="6">
        <v>0</v>
      </c>
      <c r="E52" s="13">
        <v>0.39</v>
      </c>
      <c r="F52" s="13">
        <v>105.75</v>
      </c>
      <c r="G52" s="13">
        <v>800.77</v>
      </c>
      <c r="H52" s="13">
        <v>51.21</v>
      </c>
      <c r="I52" s="13">
        <v>412.36</v>
      </c>
      <c r="J52" s="13">
        <v>319.67</v>
      </c>
      <c r="K52" s="13">
        <v>28.61</v>
      </c>
      <c r="L52" s="13">
        <v>49.04</v>
      </c>
      <c r="M52" s="13">
        <v>453.54</v>
      </c>
      <c r="N52" s="36"/>
      <c r="O52" s="36"/>
      <c r="P52" s="40"/>
      <c r="Q52" s="40"/>
      <c r="R52" s="44"/>
      <c r="S52" s="44"/>
      <c r="T52" s="48"/>
      <c r="U52" s="48"/>
      <c r="V52" s="13">
        <v>40.590000000000003</v>
      </c>
      <c r="W52" s="13">
        <v>148.06</v>
      </c>
      <c r="X52" s="13">
        <v>444.55</v>
      </c>
      <c r="Y52" s="13">
        <v>479.83</v>
      </c>
      <c r="Z52" s="13">
        <v>240.1</v>
      </c>
      <c r="AA52" s="13">
        <v>33.380000000000003</v>
      </c>
      <c r="AB52" s="13">
        <v>97.73</v>
      </c>
      <c r="AC52" s="13">
        <v>296.57</v>
      </c>
      <c r="AD52" s="13">
        <v>87.42</v>
      </c>
      <c r="AE52" s="13">
        <v>32.840000000000003</v>
      </c>
      <c r="AF52" s="13">
        <v>79.150000000000006</v>
      </c>
      <c r="AG52" s="13">
        <v>37.74</v>
      </c>
      <c r="AH52" s="56">
        <v>104.96</v>
      </c>
      <c r="AI52" s="67"/>
      <c r="AJ52" s="13">
        <v>2.65</v>
      </c>
      <c r="AK52" s="13">
        <v>121.4</v>
      </c>
      <c r="AL52" s="13">
        <v>332.6</v>
      </c>
      <c r="AM52" s="13">
        <v>118.58</v>
      </c>
      <c r="AN52" s="13">
        <v>2593.2800000000002</v>
      </c>
      <c r="AO52" s="13">
        <v>360.98</v>
      </c>
      <c r="AP52" s="13">
        <v>1388.14</v>
      </c>
      <c r="AQ52" s="13">
        <v>0.21</v>
      </c>
      <c r="AR52" s="13">
        <v>7.65</v>
      </c>
      <c r="AS52" s="13">
        <v>18.059999999999999</v>
      </c>
      <c r="AT52" s="13">
        <v>43.3</v>
      </c>
      <c r="AU52" s="13">
        <v>34.19</v>
      </c>
      <c r="AV52" s="13">
        <v>143.79</v>
      </c>
      <c r="AW52" s="13">
        <v>0.79</v>
      </c>
      <c r="AX52" s="13">
        <v>7.4</v>
      </c>
      <c r="AY52" s="13">
        <v>0.32</v>
      </c>
      <c r="AZ52" s="13">
        <v>11.37</v>
      </c>
      <c r="BA52" s="13">
        <v>16.87</v>
      </c>
      <c r="BB52" s="13">
        <v>3.63</v>
      </c>
      <c r="BC52" s="13">
        <v>0.73</v>
      </c>
      <c r="BD52" s="13">
        <v>39.32</v>
      </c>
      <c r="BE52" s="13">
        <v>33.51</v>
      </c>
      <c r="BF52" s="13">
        <v>10.07</v>
      </c>
      <c r="BG52" s="13">
        <v>19.350000000000001</v>
      </c>
      <c r="BH52" s="13">
        <v>1.08</v>
      </c>
      <c r="BI52" s="13">
        <v>3.72</v>
      </c>
      <c r="BJ52" s="13">
        <v>15.75</v>
      </c>
      <c r="BK52" s="13">
        <v>1.32</v>
      </c>
      <c r="BL52" s="13">
        <v>10.96</v>
      </c>
      <c r="BM52" s="13">
        <v>24.49</v>
      </c>
      <c r="BN52" s="13">
        <v>72.73</v>
      </c>
      <c r="BO52" s="13">
        <v>65.989999999999995</v>
      </c>
      <c r="BP52" s="13">
        <v>25.48</v>
      </c>
      <c r="BQ52" s="13">
        <v>11.62</v>
      </c>
      <c r="BR52" s="13">
        <v>3.12</v>
      </c>
      <c r="BS52" s="13">
        <v>2.2999999999999998</v>
      </c>
      <c r="BT52" s="13">
        <v>0.65</v>
      </c>
      <c r="BU52" s="13">
        <v>2.5299999999999998</v>
      </c>
      <c r="BV52" s="13">
        <v>8.94</v>
      </c>
      <c r="BW52" s="6">
        <v>0</v>
      </c>
      <c r="BX52" s="6">
        <v>0</v>
      </c>
      <c r="BY52" s="13">
        <v>6177.58</v>
      </c>
      <c r="BZ52" s="13">
        <v>2566.54</v>
      </c>
      <c r="CA52" s="13">
        <v>3611.04</v>
      </c>
      <c r="CB52" s="6">
        <v>0</v>
      </c>
      <c r="CC52" s="13">
        <v>169.68</v>
      </c>
      <c r="CD52" s="13">
        <v>23.02</v>
      </c>
      <c r="CE52" s="13">
        <v>8618.36</v>
      </c>
      <c r="CF52" s="13">
        <v>6969.45</v>
      </c>
      <c r="CG52" s="13">
        <v>1648.91</v>
      </c>
      <c r="CH52" s="13">
        <v>5744.95</v>
      </c>
      <c r="CI52" s="13">
        <v>1224.49</v>
      </c>
      <c r="CJ52" s="13">
        <v>146.66999999999999</v>
      </c>
      <c r="CK52" s="13">
        <v>20.23</v>
      </c>
      <c r="CL52" s="13">
        <v>2.79</v>
      </c>
      <c r="CM52" s="13">
        <v>24883.05</v>
      </c>
      <c r="CN52" s="13">
        <v>14965.62</v>
      </c>
    </row>
    <row r="53" spans="1:92" ht="14">
      <c r="A53" s="4" t="s">
        <v>59</v>
      </c>
      <c r="B53" s="12">
        <v>1315.33</v>
      </c>
      <c r="C53" s="12">
        <v>1.01</v>
      </c>
      <c r="D53" s="12">
        <v>0.14000000000000001</v>
      </c>
      <c r="E53" s="12">
        <v>0.01</v>
      </c>
      <c r="F53" s="12">
        <v>8.64</v>
      </c>
      <c r="G53" s="12">
        <v>43.92</v>
      </c>
      <c r="H53" s="12">
        <v>2.04</v>
      </c>
      <c r="I53" s="12">
        <v>41.35</v>
      </c>
      <c r="J53" s="12">
        <v>51.08</v>
      </c>
      <c r="K53" s="12">
        <v>1.94</v>
      </c>
      <c r="L53" s="12">
        <v>3.15</v>
      </c>
      <c r="M53" s="12">
        <v>26.07</v>
      </c>
      <c r="N53" s="36"/>
      <c r="O53" s="36"/>
      <c r="P53" s="40"/>
      <c r="Q53" s="40"/>
      <c r="R53" s="44"/>
      <c r="S53" s="44"/>
      <c r="T53" s="48"/>
      <c r="U53" s="48"/>
      <c r="V53" s="5">
        <v>0</v>
      </c>
      <c r="W53" s="12">
        <v>5.17</v>
      </c>
      <c r="X53" s="12">
        <v>22.36</v>
      </c>
      <c r="Y53" s="12">
        <v>107.78</v>
      </c>
      <c r="Z53" s="12">
        <v>6.41</v>
      </c>
      <c r="AA53" s="12">
        <v>0.28000000000000003</v>
      </c>
      <c r="AB53" s="12">
        <v>1.23</v>
      </c>
      <c r="AC53" s="12">
        <v>31.88</v>
      </c>
      <c r="AD53" s="12">
        <v>1.81</v>
      </c>
      <c r="AE53" s="12">
        <v>2.36</v>
      </c>
      <c r="AF53" s="12">
        <v>2.57</v>
      </c>
      <c r="AG53" s="12">
        <v>0.26</v>
      </c>
      <c r="AH53" s="56">
        <v>0.11</v>
      </c>
      <c r="AI53" s="67"/>
      <c r="AJ53" s="12">
        <v>7.0000000000000007E-2</v>
      </c>
      <c r="AK53" s="12">
        <v>6.55</v>
      </c>
      <c r="AL53" s="12">
        <v>16.59</v>
      </c>
      <c r="AM53" s="12">
        <v>0.04</v>
      </c>
      <c r="AN53" s="5">
        <v>891</v>
      </c>
      <c r="AO53" s="12">
        <v>4.47</v>
      </c>
      <c r="AP53" s="12">
        <v>6.01</v>
      </c>
      <c r="AQ53" s="12">
        <v>0.09</v>
      </c>
      <c r="AR53" s="12">
        <v>2.34</v>
      </c>
      <c r="AS53" s="12">
        <v>2.9</v>
      </c>
      <c r="AT53" s="12">
        <v>0.15</v>
      </c>
      <c r="AU53" s="12">
        <v>0.84</v>
      </c>
      <c r="AV53" s="5">
        <v>0</v>
      </c>
      <c r="AW53" s="12">
        <v>0.01</v>
      </c>
      <c r="AX53" s="12">
        <v>0.28999999999999998</v>
      </c>
      <c r="AY53" s="12">
        <v>0.01</v>
      </c>
      <c r="AZ53" s="5">
        <v>0</v>
      </c>
      <c r="BA53" s="12">
        <v>0.01</v>
      </c>
      <c r="BB53" s="5">
        <v>0</v>
      </c>
      <c r="BC53" s="12">
        <v>0.04</v>
      </c>
      <c r="BD53" s="12">
        <v>2.2200000000000002</v>
      </c>
      <c r="BE53" s="12">
        <v>0.11</v>
      </c>
      <c r="BF53" s="12">
        <v>0.02</v>
      </c>
      <c r="BG53" s="12">
        <v>0.15</v>
      </c>
      <c r="BH53" s="5">
        <v>0</v>
      </c>
      <c r="BI53" s="12">
        <v>0.03</v>
      </c>
      <c r="BJ53" s="12">
        <v>0.9</v>
      </c>
      <c r="BK53" s="12">
        <v>0.01</v>
      </c>
      <c r="BL53" s="5">
        <v>12</v>
      </c>
      <c r="BM53" s="12">
        <v>0.41</v>
      </c>
      <c r="BN53" s="12">
        <v>1.89</v>
      </c>
      <c r="BO53" s="12">
        <v>1.26</v>
      </c>
      <c r="BP53" s="12">
        <v>1.9</v>
      </c>
      <c r="BQ53" s="12">
        <v>0.89</v>
      </c>
      <c r="BR53" s="12">
        <v>0.13</v>
      </c>
      <c r="BS53" s="12">
        <v>0.14000000000000001</v>
      </c>
      <c r="BT53" s="5">
        <v>0</v>
      </c>
      <c r="BU53" s="12">
        <v>0.1</v>
      </c>
      <c r="BV53" s="12">
        <v>0.2</v>
      </c>
      <c r="BW53" s="5">
        <v>0</v>
      </c>
      <c r="BX53" s="5">
        <v>0</v>
      </c>
      <c r="BY53" s="12">
        <v>48.37</v>
      </c>
      <c r="BZ53" s="5">
        <v>0</v>
      </c>
      <c r="CA53" s="12">
        <v>48.36</v>
      </c>
      <c r="CB53" s="5">
        <v>0</v>
      </c>
      <c r="CC53" s="12">
        <v>3.56</v>
      </c>
      <c r="CD53" s="12">
        <v>1.05</v>
      </c>
      <c r="CE53" s="12">
        <v>556.65</v>
      </c>
      <c r="CF53" s="12">
        <v>307.7</v>
      </c>
      <c r="CG53" s="12">
        <v>248.95</v>
      </c>
      <c r="CH53" s="12">
        <v>236.13</v>
      </c>
      <c r="CI53" s="12">
        <v>71.58</v>
      </c>
      <c r="CJ53" s="12">
        <v>2.5099999999999998</v>
      </c>
      <c r="CK53" s="12">
        <v>1.05</v>
      </c>
      <c r="CL53" s="5">
        <v>0</v>
      </c>
      <c r="CM53" s="12">
        <v>1923.9</v>
      </c>
      <c r="CN53" s="12">
        <v>608.57000000000005</v>
      </c>
    </row>
    <row r="54" spans="1:92" ht="14">
      <c r="A54" s="4" t="s">
        <v>60</v>
      </c>
      <c r="B54" s="13">
        <v>782.09</v>
      </c>
      <c r="C54" s="13">
        <v>0.08</v>
      </c>
      <c r="D54" s="13">
        <v>7.0000000000000007E-2</v>
      </c>
      <c r="E54" s="13">
        <v>0.03</v>
      </c>
      <c r="F54" s="13">
        <v>0.28000000000000003</v>
      </c>
      <c r="G54" s="13">
        <v>37.33</v>
      </c>
      <c r="H54" s="13">
        <v>3.34</v>
      </c>
      <c r="I54" s="13">
        <v>3.62</v>
      </c>
      <c r="J54" s="13">
        <v>2.5499999999999998</v>
      </c>
      <c r="K54" s="13">
        <v>1.1499999999999999</v>
      </c>
      <c r="L54" s="13">
        <v>0.33</v>
      </c>
      <c r="M54" s="13">
        <v>18.920000000000002</v>
      </c>
      <c r="N54" s="36"/>
      <c r="O54" s="36"/>
      <c r="P54" s="40"/>
      <c r="Q54" s="40"/>
      <c r="R54" s="44"/>
      <c r="S54" s="44"/>
      <c r="T54" s="48"/>
      <c r="U54" s="48"/>
      <c r="V54" s="13">
        <v>2.31</v>
      </c>
      <c r="W54" s="13">
        <v>7.72</v>
      </c>
      <c r="X54" s="13">
        <v>15.63</v>
      </c>
      <c r="Y54" s="13">
        <v>7.61</v>
      </c>
      <c r="Z54" s="13">
        <v>23.47</v>
      </c>
      <c r="AA54" s="13">
        <v>4.26</v>
      </c>
      <c r="AB54" s="13">
        <v>10.86</v>
      </c>
      <c r="AC54" s="13">
        <v>29.48</v>
      </c>
      <c r="AD54" s="13">
        <v>0.98</v>
      </c>
      <c r="AE54" s="13">
        <v>0.85</v>
      </c>
      <c r="AF54" s="13">
        <v>6.89</v>
      </c>
      <c r="AG54" s="13">
        <v>8.61</v>
      </c>
      <c r="AH54" s="56">
        <v>8.81</v>
      </c>
      <c r="AI54" s="67"/>
      <c r="AJ54" s="13">
        <v>0.6</v>
      </c>
      <c r="AK54" s="13">
        <v>8.66</v>
      </c>
      <c r="AL54" s="13">
        <v>48.82</v>
      </c>
      <c r="AM54" s="13">
        <v>11.2</v>
      </c>
      <c r="AN54" s="13">
        <v>160.63999999999999</v>
      </c>
      <c r="AO54" s="13">
        <v>28.25</v>
      </c>
      <c r="AP54" s="13">
        <v>9.4499999999999993</v>
      </c>
      <c r="AQ54" s="13">
        <v>0.01</v>
      </c>
      <c r="AR54" s="6">
        <v>0</v>
      </c>
      <c r="AS54" s="13">
        <v>6.07</v>
      </c>
      <c r="AT54" s="13">
        <v>14.42</v>
      </c>
      <c r="AU54" s="13">
        <v>8.07</v>
      </c>
      <c r="AV54" s="13">
        <v>0.77</v>
      </c>
      <c r="AW54" s="13">
        <v>2.97</v>
      </c>
      <c r="AX54" s="13">
        <v>2.11</v>
      </c>
      <c r="AY54" s="13">
        <v>6.92</v>
      </c>
      <c r="AZ54" s="13">
        <v>14.77</v>
      </c>
      <c r="BA54" s="13">
        <v>13.31</v>
      </c>
      <c r="BB54" s="13">
        <v>4.2</v>
      </c>
      <c r="BC54" s="6">
        <v>0</v>
      </c>
      <c r="BD54" s="13">
        <v>4.75</v>
      </c>
      <c r="BE54" s="13">
        <v>50.59</v>
      </c>
      <c r="BF54" s="13">
        <v>12.29</v>
      </c>
      <c r="BG54" s="13">
        <v>11.74</v>
      </c>
      <c r="BH54" s="13">
        <v>3.18</v>
      </c>
      <c r="BI54" s="13">
        <v>2.13</v>
      </c>
      <c r="BJ54" s="13">
        <v>14.61</v>
      </c>
      <c r="BK54" s="13">
        <v>0.85</v>
      </c>
      <c r="BL54" s="13">
        <v>84.2</v>
      </c>
      <c r="BM54" s="13">
        <v>6.14</v>
      </c>
      <c r="BN54" s="13">
        <v>18.77</v>
      </c>
      <c r="BO54" s="13">
        <v>6.23</v>
      </c>
      <c r="BP54" s="13">
        <v>12.73</v>
      </c>
      <c r="BQ54" s="13">
        <v>4.26</v>
      </c>
      <c r="BR54" s="13">
        <v>3.05</v>
      </c>
      <c r="BS54" s="13">
        <v>1.96</v>
      </c>
      <c r="BT54" s="13">
        <v>4.37</v>
      </c>
      <c r="BU54" s="13">
        <v>0.94</v>
      </c>
      <c r="BV54" s="13">
        <v>2.91</v>
      </c>
      <c r="BW54" s="6">
        <v>0</v>
      </c>
      <c r="BX54" s="6">
        <v>0</v>
      </c>
      <c r="BY54" s="13">
        <v>745.43</v>
      </c>
      <c r="BZ54" s="13">
        <v>0.08</v>
      </c>
      <c r="CA54" s="13">
        <v>745.34</v>
      </c>
      <c r="CB54" s="6">
        <v>0</v>
      </c>
      <c r="CC54" s="13">
        <v>0.26</v>
      </c>
      <c r="CD54" s="13">
        <v>0.06</v>
      </c>
      <c r="CE54" s="6">
        <v>1245</v>
      </c>
      <c r="CF54" s="13">
        <v>357.03</v>
      </c>
      <c r="CG54" s="13">
        <v>887.98</v>
      </c>
      <c r="CH54" s="13">
        <v>263.33</v>
      </c>
      <c r="CI54" s="13">
        <v>93.7</v>
      </c>
      <c r="CJ54" s="13">
        <v>0.2</v>
      </c>
      <c r="CK54" s="13">
        <v>0.02</v>
      </c>
      <c r="CL54" s="13">
        <v>0.04</v>
      </c>
      <c r="CM54" s="13">
        <v>2772.78</v>
      </c>
      <c r="CN54" s="13">
        <v>1990.68</v>
      </c>
    </row>
    <row r="55" spans="1:92" ht="14">
      <c r="A55" s="4" t="s">
        <v>61</v>
      </c>
      <c r="B55" s="12">
        <v>7340.58</v>
      </c>
      <c r="C55" s="12">
        <v>8.93</v>
      </c>
      <c r="D55" s="12">
        <v>0.73</v>
      </c>
      <c r="E55" s="12">
        <v>0.09</v>
      </c>
      <c r="F55" s="12">
        <v>37.119999999999997</v>
      </c>
      <c r="G55" s="12">
        <v>297.76</v>
      </c>
      <c r="H55" s="12">
        <v>17.18</v>
      </c>
      <c r="I55" s="12">
        <v>168.58</v>
      </c>
      <c r="J55" s="12">
        <v>109.82</v>
      </c>
      <c r="K55" s="12">
        <v>13.39</v>
      </c>
      <c r="L55" s="12">
        <v>15.09</v>
      </c>
      <c r="M55" s="12">
        <v>241.36</v>
      </c>
      <c r="N55" s="36"/>
      <c r="O55" s="36"/>
      <c r="P55" s="40"/>
      <c r="Q55" s="40"/>
      <c r="R55" s="44"/>
      <c r="S55" s="44"/>
      <c r="T55" s="48"/>
      <c r="U55" s="48"/>
      <c r="V55" s="12">
        <v>7.51</v>
      </c>
      <c r="W55" s="12">
        <v>50.61</v>
      </c>
      <c r="X55" s="12">
        <v>128.80000000000001</v>
      </c>
      <c r="Y55" s="12">
        <v>233.62</v>
      </c>
      <c r="Z55" s="12">
        <v>79.930000000000007</v>
      </c>
      <c r="AA55" s="12">
        <v>10.18</v>
      </c>
      <c r="AB55" s="12">
        <v>42.79</v>
      </c>
      <c r="AC55" s="12">
        <v>105.58</v>
      </c>
      <c r="AD55" s="12">
        <v>37.56</v>
      </c>
      <c r="AE55" s="12">
        <v>11.5</v>
      </c>
      <c r="AF55" s="12">
        <v>28.84</v>
      </c>
      <c r="AG55" s="12">
        <v>15.38</v>
      </c>
      <c r="AH55" s="56">
        <v>388.34</v>
      </c>
      <c r="AI55" s="67"/>
      <c r="AJ55" s="12">
        <v>0.51</v>
      </c>
      <c r="AK55" s="12">
        <v>90.57</v>
      </c>
      <c r="AL55" s="12">
        <v>145.78</v>
      </c>
      <c r="AM55" s="12">
        <v>38.35</v>
      </c>
      <c r="AN55" s="12">
        <v>1511.16</v>
      </c>
      <c r="AO55" s="5">
        <v>366</v>
      </c>
      <c r="AP55" s="12">
        <v>996.24</v>
      </c>
      <c r="AQ55" s="12">
        <v>26.86</v>
      </c>
      <c r="AR55" s="12">
        <v>695.79</v>
      </c>
      <c r="AS55" s="12">
        <v>1219.47</v>
      </c>
      <c r="AT55" s="12">
        <v>1.0900000000000001</v>
      </c>
      <c r="AU55" s="12">
        <v>13.48</v>
      </c>
      <c r="AV55" s="12">
        <v>3.33</v>
      </c>
      <c r="AW55" s="12">
        <v>0.33</v>
      </c>
      <c r="AX55" s="12">
        <v>2.56</v>
      </c>
      <c r="AY55" s="12">
        <v>0.45</v>
      </c>
      <c r="AZ55" s="12">
        <v>1.07</v>
      </c>
      <c r="BA55" s="12">
        <v>2.71</v>
      </c>
      <c r="BB55" s="12">
        <v>7.01</v>
      </c>
      <c r="BC55" s="12">
        <v>0.14000000000000001</v>
      </c>
      <c r="BD55" s="12">
        <v>9.42</v>
      </c>
      <c r="BE55" s="12">
        <v>11.12</v>
      </c>
      <c r="BF55" s="12">
        <v>6.56</v>
      </c>
      <c r="BG55" s="12">
        <v>8.66</v>
      </c>
      <c r="BH55" s="12">
        <v>1.96</v>
      </c>
      <c r="BI55" s="12">
        <v>2.0099999999999998</v>
      </c>
      <c r="BJ55" s="12">
        <v>49.86</v>
      </c>
      <c r="BK55" s="12">
        <v>0.66</v>
      </c>
      <c r="BL55" s="12">
        <v>0.77</v>
      </c>
      <c r="BM55" s="12">
        <v>6.92</v>
      </c>
      <c r="BN55" s="12">
        <v>28.57</v>
      </c>
      <c r="BO55" s="5">
        <v>6</v>
      </c>
      <c r="BP55" s="12">
        <v>19.73</v>
      </c>
      <c r="BQ55" s="12">
        <v>6.02</v>
      </c>
      <c r="BR55" s="12">
        <v>1.27</v>
      </c>
      <c r="BS55" s="12">
        <v>0.42</v>
      </c>
      <c r="BT55" s="5">
        <v>0</v>
      </c>
      <c r="BU55" s="12">
        <v>0.64</v>
      </c>
      <c r="BV55" s="12">
        <v>6.46</v>
      </c>
      <c r="BW55" s="5">
        <v>0</v>
      </c>
      <c r="BX55" s="5">
        <v>0</v>
      </c>
      <c r="BY55" s="12">
        <v>3398.55</v>
      </c>
      <c r="BZ55" s="12">
        <v>2390.73</v>
      </c>
      <c r="CA55" s="12">
        <v>1007.82</v>
      </c>
      <c r="CB55" s="5">
        <v>0</v>
      </c>
      <c r="CC55" s="12">
        <v>82.97</v>
      </c>
      <c r="CD55" s="12">
        <v>11.23</v>
      </c>
      <c r="CE55" s="12">
        <v>3840.37</v>
      </c>
      <c r="CF55" s="12">
        <v>3126.14</v>
      </c>
      <c r="CG55" s="12">
        <v>714.23</v>
      </c>
      <c r="CH55" s="12">
        <v>2642.19</v>
      </c>
      <c r="CI55" s="12">
        <v>483.95</v>
      </c>
      <c r="CJ55" s="12">
        <v>71.739999999999995</v>
      </c>
      <c r="CK55" s="12">
        <v>10.07</v>
      </c>
      <c r="CL55" s="12">
        <v>1.1599999999999999</v>
      </c>
      <c r="CM55" s="12">
        <v>14662.47</v>
      </c>
      <c r="CN55" s="12">
        <v>7321.88</v>
      </c>
    </row>
    <row r="56" spans="1:92" ht="14">
      <c r="A56" s="4" t="s">
        <v>62</v>
      </c>
      <c r="B56" s="13">
        <v>3090.99</v>
      </c>
      <c r="C56" s="13">
        <v>4.6500000000000004</v>
      </c>
      <c r="D56" s="13">
        <v>0.42</v>
      </c>
      <c r="E56" s="13">
        <v>0.18</v>
      </c>
      <c r="F56" s="6">
        <v>3</v>
      </c>
      <c r="G56" s="13">
        <v>22.66</v>
      </c>
      <c r="H56" s="13">
        <v>3.56</v>
      </c>
      <c r="I56" s="13">
        <v>10.16</v>
      </c>
      <c r="J56" s="13">
        <v>5.46</v>
      </c>
      <c r="K56" s="13">
        <v>2.5299999999999998</v>
      </c>
      <c r="L56" s="13">
        <v>0.57999999999999996</v>
      </c>
      <c r="M56" s="13">
        <v>8.11</v>
      </c>
      <c r="N56" s="36"/>
      <c r="O56" s="36"/>
      <c r="P56" s="40"/>
      <c r="Q56" s="40"/>
      <c r="R56" s="44"/>
      <c r="S56" s="44"/>
      <c r="T56" s="48"/>
      <c r="U56" s="48"/>
      <c r="V56" s="13">
        <v>2.64</v>
      </c>
      <c r="W56" s="13">
        <v>7.96</v>
      </c>
      <c r="X56" s="13">
        <v>6.18</v>
      </c>
      <c r="Y56" s="13">
        <v>12.38</v>
      </c>
      <c r="Z56" s="13">
        <v>19.239999999999998</v>
      </c>
      <c r="AA56" s="13">
        <v>4.68</v>
      </c>
      <c r="AB56" s="13">
        <v>3.6</v>
      </c>
      <c r="AC56" s="13">
        <v>32.29</v>
      </c>
      <c r="AD56" s="13">
        <v>1.77</v>
      </c>
      <c r="AE56" s="13">
        <v>3.78</v>
      </c>
      <c r="AF56" s="13">
        <v>6.92</v>
      </c>
      <c r="AG56" s="13">
        <v>10.56</v>
      </c>
      <c r="AH56" s="56">
        <v>21.02</v>
      </c>
      <c r="AI56" s="67"/>
      <c r="AJ56" s="13">
        <v>0.71</v>
      </c>
      <c r="AK56" s="13">
        <v>9.89</v>
      </c>
      <c r="AL56" s="13">
        <v>65.13</v>
      </c>
      <c r="AM56" s="13">
        <v>27.75</v>
      </c>
      <c r="AN56" s="13">
        <v>158.30000000000001</v>
      </c>
      <c r="AO56" s="13">
        <v>145.49</v>
      </c>
      <c r="AP56" s="13">
        <v>18.04</v>
      </c>
      <c r="AQ56" s="13">
        <v>0.09</v>
      </c>
      <c r="AR56" s="13">
        <v>1.76</v>
      </c>
      <c r="AS56" s="13">
        <v>32.32</v>
      </c>
      <c r="AT56" s="13">
        <v>1563.88</v>
      </c>
      <c r="AU56" s="13">
        <v>73.37</v>
      </c>
      <c r="AV56" s="13">
        <v>12.77</v>
      </c>
      <c r="AW56" s="13">
        <v>16.22</v>
      </c>
      <c r="AX56" s="13">
        <v>3.91</v>
      </c>
      <c r="AY56" s="13">
        <v>40.46</v>
      </c>
      <c r="AZ56" s="13">
        <v>77.83</v>
      </c>
      <c r="BA56" s="13">
        <v>41.92</v>
      </c>
      <c r="BB56" s="13">
        <v>28.26</v>
      </c>
      <c r="BC56" s="13">
        <v>0.34</v>
      </c>
      <c r="BD56" s="13">
        <v>39.479999999999997</v>
      </c>
      <c r="BE56" s="13">
        <v>94.11</v>
      </c>
      <c r="BF56" s="13">
        <v>31.43</v>
      </c>
      <c r="BG56" s="6">
        <v>13</v>
      </c>
      <c r="BH56" s="13">
        <v>16.21</v>
      </c>
      <c r="BI56" s="13">
        <v>8.8699999999999992</v>
      </c>
      <c r="BJ56" s="13">
        <v>8.23</v>
      </c>
      <c r="BK56" s="13">
        <v>8.56</v>
      </c>
      <c r="BL56" s="13">
        <v>7.93</v>
      </c>
      <c r="BM56" s="13">
        <v>29.52</v>
      </c>
      <c r="BN56" s="13">
        <v>103.3</v>
      </c>
      <c r="BO56" s="13">
        <v>20.84</v>
      </c>
      <c r="BP56" s="13">
        <v>48.35</v>
      </c>
      <c r="BQ56" s="13">
        <v>16.27</v>
      </c>
      <c r="BR56" s="13">
        <v>16.53</v>
      </c>
      <c r="BS56" s="13">
        <v>11.55</v>
      </c>
      <c r="BT56" s="13">
        <v>97.64</v>
      </c>
      <c r="BU56" s="13">
        <v>0.49</v>
      </c>
      <c r="BV56" s="13">
        <v>5.91</v>
      </c>
      <c r="BW56" s="6">
        <v>0</v>
      </c>
      <c r="BX56" s="6">
        <v>0</v>
      </c>
      <c r="BY56" s="13">
        <v>93.45</v>
      </c>
      <c r="BZ56" s="6">
        <v>0</v>
      </c>
      <c r="CA56" s="13">
        <v>93.45</v>
      </c>
      <c r="CB56" s="6">
        <v>0</v>
      </c>
      <c r="CC56" s="6">
        <v>0</v>
      </c>
      <c r="CD56" s="6">
        <v>0</v>
      </c>
      <c r="CE56" s="13">
        <v>1111.3499999999999</v>
      </c>
      <c r="CF56" s="13">
        <v>904.79</v>
      </c>
      <c r="CG56" s="13">
        <v>206.56</v>
      </c>
      <c r="CH56" s="13">
        <v>863.12</v>
      </c>
      <c r="CI56" s="13">
        <v>41.67</v>
      </c>
      <c r="CJ56" s="6">
        <v>0</v>
      </c>
      <c r="CK56" s="6">
        <v>0</v>
      </c>
      <c r="CL56" s="6">
        <v>0</v>
      </c>
      <c r="CM56" s="13">
        <v>4295.79</v>
      </c>
      <c r="CN56" s="13">
        <v>1204.8</v>
      </c>
    </row>
    <row r="57" spans="1:92" ht="14">
      <c r="A57" s="4" t="s">
        <v>63</v>
      </c>
      <c r="B57" s="12">
        <v>1666.6</v>
      </c>
      <c r="C57" s="12">
        <v>0.28999999999999998</v>
      </c>
      <c r="D57" s="12">
        <v>0.11</v>
      </c>
      <c r="E57" s="12">
        <v>0.06</v>
      </c>
      <c r="F57" s="5">
        <v>2</v>
      </c>
      <c r="G57" s="12">
        <v>116.72</v>
      </c>
      <c r="H57" s="12">
        <v>3.67</v>
      </c>
      <c r="I57" s="12">
        <v>10.53</v>
      </c>
      <c r="J57" s="12">
        <v>3.61</v>
      </c>
      <c r="K57" s="12">
        <v>0.15</v>
      </c>
      <c r="L57" s="12">
        <v>0.32</v>
      </c>
      <c r="M57" s="12">
        <v>9.3699999999999992</v>
      </c>
      <c r="N57" s="36"/>
      <c r="O57" s="36"/>
      <c r="P57" s="40"/>
      <c r="Q57" s="40"/>
      <c r="R57" s="44"/>
      <c r="S57" s="44"/>
      <c r="T57" s="48"/>
      <c r="U57" s="48"/>
      <c r="V57" s="12">
        <v>2.0299999999999998</v>
      </c>
      <c r="W57" s="12">
        <v>4.2</v>
      </c>
      <c r="X57" s="12">
        <v>5.57</v>
      </c>
      <c r="Y57" s="12">
        <v>12.86</v>
      </c>
      <c r="Z57" s="12">
        <v>21.45</v>
      </c>
      <c r="AA57" s="12">
        <v>5.71</v>
      </c>
      <c r="AB57" s="12">
        <v>0.04</v>
      </c>
      <c r="AC57" s="12">
        <v>30.09</v>
      </c>
      <c r="AD57" s="12">
        <v>0.02</v>
      </c>
      <c r="AE57" s="12">
        <v>2.82</v>
      </c>
      <c r="AF57" s="12">
        <v>8.0299999999999994</v>
      </c>
      <c r="AG57" s="12">
        <v>14.05</v>
      </c>
      <c r="AH57" s="56">
        <v>21.86</v>
      </c>
      <c r="AI57" s="67"/>
      <c r="AJ57" s="12">
        <v>1.1000000000000001</v>
      </c>
      <c r="AK57" s="12">
        <v>8.66</v>
      </c>
      <c r="AL57" s="12">
        <v>79.319999999999993</v>
      </c>
      <c r="AM57" s="12">
        <v>18.579999999999998</v>
      </c>
      <c r="AN57" s="12">
        <v>125.66</v>
      </c>
      <c r="AO57" s="12">
        <v>23.39</v>
      </c>
      <c r="AP57" s="12">
        <v>15.58</v>
      </c>
      <c r="AQ57" s="12">
        <v>2.7</v>
      </c>
      <c r="AR57" s="12">
        <v>20.54</v>
      </c>
      <c r="AS57" s="12">
        <v>4.24</v>
      </c>
      <c r="AT57" s="12">
        <v>2.21</v>
      </c>
      <c r="AU57" s="12">
        <v>244.39</v>
      </c>
      <c r="AV57" s="12">
        <v>1.62</v>
      </c>
      <c r="AW57" s="12">
        <v>1.97</v>
      </c>
      <c r="AX57" s="12">
        <v>5.22</v>
      </c>
      <c r="AY57" s="12">
        <v>11.24</v>
      </c>
      <c r="AZ57" s="12">
        <v>35.369999999999997</v>
      </c>
      <c r="BA57" s="12">
        <v>47.13</v>
      </c>
      <c r="BB57" s="12">
        <v>5.14</v>
      </c>
      <c r="BC57" s="12">
        <v>0.01</v>
      </c>
      <c r="BD57" s="12">
        <v>10.18</v>
      </c>
      <c r="BE57" s="12">
        <v>62.68</v>
      </c>
      <c r="BF57" s="12">
        <v>19.5</v>
      </c>
      <c r="BG57" s="12">
        <v>13.81</v>
      </c>
      <c r="BH57" s="12">
        <v>3.19</v>
      </c>
      <c r="BI57" s="12">
        <v>2.36</v>
      </c>
      <c r="BJ57" s="12">
        <v>9.94</v>
      </c>
      <c r="BK57" s="12">
        <v>0.86</v>
      </c>
      <c r="BL57" s="12">
        <v>462.22</v>
      </c>
      <c r="BM57" s="12">
        <v>7.56</v>
      </c>
      <c r="BN57" s="12">
        <v>32.04</v>
      </c>
      <c r="BO57" s="12">
        <v>19.899999999999999</v>
      </c>
      <c r="BP57" s="12">
        <v>16.77</v>
      </c>
      <c r="BQ57" s="12">
        <v>20.3</v>
      </c>
      <c r="BR57" s="12">
        <v>4.41</v>
      </c>
      <c r="BS57" s="12">
        <v>2.17</v>
      </c>
      <c r="BT57" s="12">
        <v>4.34</v>
      </c>
      <c r="BU57" s="12">
        <v>2.5299999999999998</v>
      </c>
      <c r="BV57" s="12">
        <v>42.26</v>
      </c>
      <c r="BW57" s="5">
        <v>0</v>
      </c>
      <c r="BX57" s="5">
        <v>0</v>
      </c>
      <c r="BY57" s="12">
        <v>16019.54</v>
      </c>
      <c r="BZ57" s="12">
        <v>6.37</v>
      </c>
      <c r="CA57" s="12">
        <v>16013.18</v>
      </c>
      <c r="CB57" s="5">
        <v>0</v>
      </c>
      <c r="CC57" s="5">
        <v>0</v>
      </c>
      <c r="CD57" s="5">
        <v>0</v>
      </c>
      <c r="CE57" s="12">
        <v>1260.74</v>
      </c>
      <c r="CF57" s="12">
        <v>1045.1500000000001</v>
      </c>
      <c r="CG57" s="12">
        <v>215.59</v>
      </c>
      <c r="CH57" s="12">
        <v>891.2</v>
      </c>
      <c r="CI57" s="12">
        <v>153.94999999999999</v>
      </c>
      <c r="CJ57" s="5">
        <v>0</v>
      </c>
      <c r="CK57" s="5">
        <v>0</v>
      </c>
      <c r="CL57" s="5">
        <v>0</v>
      </c>
      <c r="CM57" s="12">
        <v>18946.89</v>
      </c>
      <c r="CN57" s="12">
        <v>17280.29</v>
      </c>
    </row>
    <row r="58" spans="1:92" ht="14">
      <c r="A58" s="4" t="s">
        <v>64</v>
      </c>
      <c r="B58" s="13">
        <v>1872.61</v>
      </c>
      <c r="C58" s="13">
        <v>1.08</v>
      </c>
      <c r="D58" s="13">
        <v>0.08</v>
      </c>
      <c r="E58" s="13">
        <v>0.06</v>
      </c>
      <c r="F58" s="13">
        <v>0.48</v>
      </c>
      <c r="G58" s="13">
        <v>12.38</v>
      </c>
      <c r="H58" s="13">
        <v>1.99</v>
      </c>
      <c r="I58" s="13">
        <v>3.12</v>
      </c>
      <c r="J58" s="13">
        <v>1.89</v>
      </c>
      <c r="K58" s="13">
        <v>14.78</v>
      </c>
      <c r="L58" s="6">
        <v>0</v>
      </c>
      <c r="M58" s="13">
        <v>2.33</v>
      </c>
      <c r="N58" s="36"/>
      <c r="O58" s="36"/>
      <c r="P58" s="40"/>
      <c r="Q58" s="40"/>
      <c r="R58" s="44"/>
      <c r="S58" s="44"/>
      <c r="T58" s="48"/>
      <c r="U58" s="48"/>
      <c r="V58" s="13">
        <v>7.71</v>
      </c>
      <c r="W58" s="13">
        <v>1.61</v>
      </c>
      <c r="X58" s="13">
        <v>0.25</v>
      </c>
      <c r="Y58" s="13">
        <v>0.27</v>
      </c>
      <c r="Z58" s="13">
        <v>5.26</v>
      </c>
      <c r="AA58" s="13">
        <v>7.2</v>
      </c>
      <c r="AB58" s="13">
        <v>2.23</v>
      </c>
      <c r="AC58" s="13">
        <v>11.01</v>
      </c>
      <c r="AD58" s="13">
        <v>0.72</v>
      </c>
      <c r="AE58" s="13">
        <v>2.57</v>
      </c>
      <c r="AF58" s="13">
        <v>8.14</v>
      </c>
      <c r="AG58" s="13">
        <v>2.31</v>
      </c>
      <c r="AH58" s="56">
        <v>5.97</v>
      </c>
      <c r="AI58" s="67"/>
      <c r="AJ58" s="13">
        <v>0.2</v>
      </c>
      <c r="AK58" s="13">
        <v>4.8</v>
      </c>
      <c r="AL58" s="13">
        <v>23.47</v>
      </c>
      <c r="AM58" s="13">
        <v>24.7</v>
      </c>
      <c r="AN58" s="13">
        <v>54.22</v>
      </c>
      <c r="AO58" s="13">
        <v>31.57</v>
      </c>
      <c r="AP58" s="13">
        <v>4.3499999999999996</v>
      </c>
      <c r="AQ58" s="13">
        <v>0.03</v>
      </c>
      <c r="AR58" s="13">
        <v>0.74</v>
      </c>
      <c r="AS58" s="13">
        <v>5.68</v>
      </c>
      <c r="AT58" s="13">
        <v>2.57</v>
      </c>
      <c r="AU58" s="13">
        <v>8.7799999999999994</v>
      </c>
      <c r="AV58" s="13">
        <v>181.55</v>
      </c>
      <c r="AW58" s="13">
        <v>0.21</v>
      </c>
      <c r="AX58" s="13">
        <v>1.7</v>
      </c>
      <c r="AY58" s="13">
        <v>68.77</v>
      </c>
      <c r="AZ58" s="13">
        <v>50.57</v>
      </c>
      <c r="BA58" s="13">
        <v>22.96</v>
      </c>
      <c r="BB58" s="13">
        <v>21.52</v>
      </c>
      <c r="BC58" s="13">
        <v>0.09</v>
      </c>
      <c r="BD58" s="13">
        <v>29.03</v>
      </c>
      <c r="BE58" s="13">
        <v>9.98</v>
      </c>
      <c r="BF58" s="13">
        <v>4.3600000000000003</v>
      </c>
      <c r="BG58" s="13">
        <v>17.11</v>
      </c>
      <c r="BH58" s="13">
        <v>937.57</v>
      </c>
      <c r="BI58" s="13">
        <v>2.62</v>
      </c>
      <c r="BJ58" s="13">
        <v>15.66</v>
      </c>
      <c r="BK58" s="13">
        <v>3.16</v>
      </c>
      <c r="BL58" s="13">
        <v>22.88</v>
      </c>
      <c r="BM58" s="13">
        <v>11.43</v>
      </c>
      <c r="BN58" s="13">
        <v>104.52</v>
      </c>
      <c r="BO58" s="13">
        <v>56.01</v>
      </c>
      <c r="BP58" s="13">
        <v>19.21</v>
      </c>
      <c r="BQ58" s="13">
        <v>4.95</v>
      </c>
      <c r="BR58" s="13">
        <v>17.420000000000002</v>
      </c>
      <c r="BS58" s="13">
        <v>0.99</v>
      </c>
      <c r="BT58" s="13">
        <v>7.23</v>
      </c>
      <c r="BU58" s="6">
        <v>0</v>
      </c>
      <c r="BV58" s="13">
        <v>6.55</v>
      </c>
      <c r="BW58" s="6">
        <v>0</v>
      </c>
      <c r="BX58" s="6">
        <v>0</v>
      </c>
      <c r="BY58" s="13">
        <v>1782.14</v>
      </c>
      <c r="BZ58" s="13">
        <v>58.68</v>
      </c>
      <c r="CA58" s="13">
        <v>1723.46</v>
      </c>
      <c r="CB58" s="6">
        <v>0</v>
      </c>
      <c r="CC58" s="13">
        <v>873.91</v>
      </c>
      <c r="CD58" s="13">
        <v>64.75</v>
      </c>
      <c r="CE58" s="13">
        <v>1304.56</v>
      </c>
      <c r="CF58" s="13">
        <v>936.68</v>
      </c>
      <c r="CG58" s="13">
        <v>367.88</v>
      </c>
      <c r="CH58" s="13">
        <v>823.86</v>
      </c>
      <c r="CI58" s="13">
        <v>112.82</v>
      </c>
      <c r="CJ58" s="13">
        <v>809.16</v>
      </c>
      <c r="CK58" s="13">
        <v>64.75</v>
      </c>
      <c r="CL58" s="6">
        <v>0</v>
      </c>
      <c r="CM58" s="13">
        <v>5833.22</v>
      </c>
      <c r="CN58" s="13">
        <v>3960.6</v>
      </c>
    </row>
    <row r="59" spans="1:92" ht="14">
      <c r="A59" s="4" t="s">
        <v>65</v>
      </c>
      <c r="B59" s="12">
        <v>2231.9699999999998</v>
      </c>
      <c r="C59" s="5">
        <v>0</v>
      </c>
      <c r="D59" s="5">
        <v>0</v>
      </c>
      <c r="E59" s="5">
        <v>0</v>
      </c>
      <c r="F59" s="12">
        <v>0.16</v>
      </c>
      <c r="G59" s="12">
        <v>486.47</v>
      </c>
      <c r="H59" s="12">
        <v>0.38</v>
      </c>
      <c r="I59" s="12">
        <v>0.81</v>
      </c>
      <c r="J59" s="12">
        <v>0.56999999999999995</v>
      </c>
      <c r="K59" s="12">
        <v>2.4700000000000002</v>
      </c>
      <c r="L59" s="12">
        <v>0.44</v>
      </c>
      <c r="M59" s="12">
        <v>1.1000000000000001</v>
      </c>
      <c r="N59" s="36"/>
      <c r="O59" s="36"/>
      <c r="P59" s="40"/>
      <c r="Q59" s="40"/>
      <c r="R59" s="44"/>
      <c r="S59" s="44"/>
      <c r="T59" s="48"/>
      <c r="U59" s="48"/>
      <c r="V59" s="12">
        <v>0.52</v>
      </c>
      <c r="W59" s="5">
        <v>0</v>
      </c>
      <c r="X59" s="5">
        <v>0</v>
      </c>
      <c r="Y59" s="12">
        <v>1.1299999999999999</v>
      </c>
      <c r="Z59" s="12">
        <v>1.31</v>
      </c>
      <c r="AA59" s="12">
        <v>2.1</v>
      </c>
      <c r="AB59" s="12">
        <v>4.4400000000000004</v>
      </c>
      <c r="AC59" s="12">
        <v>2.44</v>
      </c>
      <c r="AD59" s="12">
        <v>14.81</v>
      </c>
      <c r="AE59" s="12">
        <v>0.83</v>
      </c>
      <c r="AF59" s="12">
        <v>3.69</v>
      </c>
      <c r="AG59" s="12">
        <v>0.5</v>
      </c>
      <c r="AH59" s="56">
        <v>1.1399999999999999</v>
      </c>
      <c r="AI59" s="67"/>
      <c r="AJ59" s="12">
        <v>0.06</v>
      </c>
      <c r="AK59" s="12">
        <v>0.33</v>
      </c>
      <c r="AL59" s="12">
        <v>1.81</v>
      </c>
      <c r="AM59" s="12">
        <v>6.48</v>
      </c>
      <c r="AN59" s="12">
        <v>26.01</v>
      </c>
      <c r="AO59" s="12">
        <v>5.48</v>
      </c>
      <c r="AP59" s="12">
        <v>0.78</v>
      </c>
      <c r="AQ59" s="5">
        <v>0</v>
      </c>
      <c r="AR59" s="12">
        <v>1.37</v>
      </c>
      <c r="AS59" s="12">
        <v>0.43</v>
      </c>
      <c r="AT59" s="12">
        <v>0.91</v>
      </c>
      <c r="AU59" s="12">
        <v>10.15</v>
      </c>
      <c r="AV59" s="12">
        <v>0.62</v>
      </c>
      <c r="AW59" s="12">
        <v>836.91</v>
      </c>
      <c r="AX59" s="12">
        <v>25.02</v>
      </c>
      <c r="AY59" s="12">
        <v>4.68</v>
      </c>
      <c r="AZ59" s="12">
        <v>14.65</v>
      </c>
      <c r="BA59" s="12">
        <v>5.53</v>
      </c>
      <c r="BB59" s="12">
        <v>0.97</v>
      </c>
      <c r="BC59" s="5">
        <v>0</v>
      </c>
      <c r="BD59" s="12">
        <v>6.26</v>
      </c>
      <c r="BE59" s="12">
        <v>9.59</v>
      </c>
      <c r="BF59" s="12">
        <v>1.08</v>
      </c>
      <c r="BG59" s="12">
        <v>4.21</v>
      </c>
      <c r="BH59" s="12">
        <v>676.95</v>
      </c>
      <c r="BI59" s="12">
        <v>17.579999999999998</v>
      </c>
      <c r="BJ59" s="12">
        <v>5.3</v>
      </c>
      <c r="BK59" s="12">
        <v>0.24</v>
      </c>
      <c r="BL59" s="12">
        <v>0.84</v>
      </c>
      <c r="BM59" s="12">
        <v>0.57999999999999996</v>
      </c>
      <c r="BN59" s="12">
        <v>24.65</v>
      </c>
      <c r="BO59" s="12">
        <v>2.94</v>
      </c>
      <c r="BP59" s="12">
        <v>2.09</v>
      </c>
      <c r="BQ59" s="12">
        <v>0.17</v>
      </c>
      <c r="BR59" s="12">
        <v>11.32</v>
      </c>
      <c r="BS59" s="12">
        <v>0.03</v>
      </c>
      <c r="BT59" s="12">
        <v>0.21</v>
      </c>
      <c r="BU59" s="12">
        <v>0.05</v>
      </c>
      <c r="BV59" s="12">
        <v>0.42</v>
      </c>
      <c r="BW59" s="5">
        <v>0</v>
      </c>
      <c r="BX59" s="5">
        <v>0</v>
      </c>
      <c r="BY59" s="12">
        <v>1350.36</v>
      </c>
      <c r="BZ59" s="12">
        <v>653.6</v>
      </c>
      <c r="CA59" s="12">
        <v>696.77</v>
      </c>
      <c r="CB59" s="5">
        <v>0</v>
      </c>
      <c r="CC59" s="12">
        <v>169.82</v>
      </c>
      <c r="CD59" s="12">
        <v>5.41</v>
      </c>
      <c r="CE59" s="12">
        <v>372.07</v>
      </c>
      <c r="CF59" s="12">
        <v>291.2</v>
      </c>
      <c r="CG59" s="12">
        <v>80.87</v>
      </c>
      <c r="CH59" s="12">
        <v>240.36</v>
      </c>
      <c r="CI59" s="12">
        <v>50.84</v>
      </c>
      <c r="CJ59" s="12">
        <v>164.41</v>
      </c>
      <c r="CK59" s="12">
        <v>5.41</v>
      </c>
      <c r="CL59" s="5">
        <v>0</v>
      </c>
      <c r="CM59" s="12">
        <v>4124.22</v>
      </c>
      <c r="CN59" s="12">
        <v>1892.25</v>
      </c>
    </row>
    <row r="60" spans="1:92" ht="14">
      <c r="A60" s="4" t="s">
        <v>66</v>
      </c>
      <c r="B60" s="13">
        <v>3878.01</v>
      </c>
      <c r="C60" s="13">
        <v>17.670000000000002</v>
      </c>
      <c r="D60" s="13">
        <v>1.29</v>
      </c>
      <c r="E60" s="13">
        <v>0.55000000000000004</v>
      </c>
      <c r="F60" s="13">
        <v>5.53</v>
      </c>
      <c r="G60" s="13">
        <v>37.869999999999997</v>
      </c>
      <c r="H60" s="13">
        <v>5.81</v>
      </c>
      <c r="I60" s="13">
        <v>13.89</v>
      </c>
      <c r="J60" s="13">
        <v>8.94</v>
      </c>
      <c r="K60" s="13">
        <v>4.13</v>
      </c>
      <c r="L60" s="13">
        <v>0.95</v>
      </c>
      <c r="M60" s="13">
        <v>13.12</v>
      </c>
      <c r="N60" s="36"/>
      <c r="O60" s="36"/>
      <c r="P60" s="40"/>
      <c r="Q60" s="40"/>
      <c r="R60" s="44"/>
      <c r="S60" s="44"/>
      <c r="T60" s="48"/>
      <c r="U60" s="48"/>
      <c r="V60" s="13">
        <v>4.3600000000000003</v>
      </c>
      <c r="W60" s="13">
        <v>12.92</v>
      </c>
      <c r="X60" s="13">
        <v>10.119999999999999</v>
      </c>
      <c r="Y60" s="13">
        <v>20.2</v>
      </c>
      <c r="Z60" s="13">
        <v>31.43</v>
      </c>
      <c r="AA60" s="13">
        <v>8.4499999999999993</v>
      </c>
      <c r="AB60" s="13">
        <v>5.32</v>
      </c>
      <c r="AC60" s="13">
        <v>52.68</v>
      </c>
      <c r="AD60" s="13">
        <v>5.53</v>
      </c>
      <c r="AE60" s="13">
        <v>5.87</v>
      </c>
      <c r="AF60" s="13">
        <v>11.28</v>
      </c>
      <c r="AG60" s="13">
        <v>19.36</v>
      </c>
      <c r="AH60" s="56">
        <v>36.159999999999997</v>
      </c>
      <c r="AI60" s="67"/>
      <c r="AJ60" s="13">
        <v>1.18</v>
      </c>
      <c r="AK60" s="13">
        <v>17.14</v>
      </c>
      <c r="AL60" s="13">
        <v>107.97</v>
      </c>
      <c r="AM60" s="13">
        <v>45.07</v>
      </c>
      <c r="AN60" s="13">
        <v>282.79000000000002</v>
      </c>
      <c r="AO60" s="13">
        <v>138.79</v>
      </c>
      <c r="AP60" s="13">
        <v>42.31</v>
      </c>
      <c r="AQ60" s="13">
        <v>0.15</v>
      </c>
      <c r="AR60" s="13">
        <v>2.82</v>
      </c>
      <c r="AS60" s="13">
        <v>91.56</v>
      </c>
      <c r="AT60" s="13">
        <v>11.8</v>
      </c>
      <c r="AU60" s="13">
        <v>51.59</v>
      </c>
      <c r="AV60" s="13">
        <v>25.2</v>
      </c>
      <c r="AW60" s="13">
        <v>191.08</v>
      </c>
      <c r="AX60" s="13">
        <v>1328.69</v>
      </c>
      <c r="AY60" s="13">
        <v>66.19</v>
      </c>
      <c r="AZ60" s="13">
        <v>147.03</v>
      </c>
      <c r="BA60" s="13">
        <v>62.7</v>
      </c>
      <c r="BB60" s="13">
        <v>41.64</v>
      </c>
      <c r="BC60" s="13">
        <v>0.37</v>
      </c>
      <c r="BD60" s="13">
        <v>66.45</v>
      </c>
      <c r="BE60" s="13">
        <v>173.2</v>
      </c>
      <c r="BF60" s="13">
        <v>52.91</v>
      </c>
      <c r="BG60" s="13">
        <v>24.48</v>
      </c>
      <c r="BH60" s="13">
        <v>26.77</v>
      </c>
      <c r="BI60" s="13">
        <v>14.79</v>
      </c>
      <c r="BJ60" s="6">
        <v>13</v>
      </c>
      <c r="BK60" s="13">
        <v>13.82</v>
      </c>
      <c r="BL60" s="13">
        <v>13.57</v>
      </c>
      <c r="BM60" s="13">
        <v>51.85</v>
      </c>
      <c r="BN60" s="13">
        <v>152.79</v>
      </c>
      <c r="BO60" s="13">
        <v>46.04</v>
      </c>
      <c r="BP60" s="13">
        <v>101.3</v>
      </c>
      <c r="BQ60" s="13">
        <v>25.59</v>
      </c>
      <c r="BR60" s="13">
        <v>30.8</v>
      </c>
      <c r="BS60" s="13">
        <v>21.35</v>
      </c>
      <c r="BT60" s="13">
        <v>44.04</v>
      </c>
      <c r="BU60" s="13">
        <v>0.8</v>
      </c>
      <c r="BV60" s="13">
        <v>15.01</v>
      </c>
      <c r="BW60" s="6">
        <v>0</v>
      </c>
      <c r="BX60" s="6">
        <v>0</v>
      </c>
      <c r="BY60" s="13">
        <v>2520.5</v>
      </c>
      <c r="BZ60" s="6">
        <v>0</v>
      </c>
      <c r="CA60" s="13">
        <v>2520.5</v>
      </c>
      <c r="CB60" s="6">
        <v>0</v>
      </c>
      <c r="CC60" s="6">
        <v>0</v>
      </c>
      <c r="CD60" s="6">
        <v>0</v>
      </c>
      <c r="CE60" s="13">
        <v>626.74</v>
      </c>
      <c r="CF60" s="13">
        <v>428.39</v>
      </c>
      <c r="CG60" s="13">
        <v>198.35</v>
      </c>
      <c r="CH60" s="13">
        <v>294.25</v>
      </c>
      <c r="CI60" s="13">
        <v>134.13999999999999</v>
      </c>
      <c r="CJ60" s="6">
        <v>0</v>
      </c>
      <c r="CK60" s="6">
        <v>0</v>
      </c>
      <c r="CL60" s="6">
        <v>0</v>
      </c>
      <c r="CM60" s="13">
        <v>7025.26</v>
      </c>
      <c r="CN60" s="13">
        <v>3147.24</v>
      </c>
    </row>
    <row r="61" spans="1:92" ht="14">
      <c r="A61" s="4" t="s">
        <v>67</v>
      </c>
      <c r="B61" s="12">
        <v>13252.32</v>
      </c>
      <c r="C61" s="5">
        <v>0</v>
      </c>
      <c r="D61" s="12">
        <v>1.2</v>
      </c>
      <c r="E61" s="12">
        <v>7.0000000000000007E-2</v>
      </c>
      <c r="F61" s="12">
        <v>14.44</v>
      </c>
      <c r="G61" s="12">
        <v>128.51</v>
      </c>
      <c r="H61" s="12">
        <v>18.79</v>
      </c>
      <c r="I61" s="12">
        <v>8.1300000000000008</v>
      </c>
      <c r="J61" s="12">
        <v>29.15</v>
      </c>
      <c r="K61" s="12">
        <v>1.29</v>
      </c>
      <c r="L61" s="12">
        <v>6.22</v>
      </c>
      <c r="M61" s="12">
        <v>53.13</v>
      </c>
      <c r="N61" s="36"/>
      <c r="O61" s="36"/>
      <c r="P61" s="40"/>
      <c r="Q61" s="40"/>
      <c r="R61" s="44"/>
      <c r="S61" s="44"/>
      <c r="T61" s="48"/>
      <c r="U61" s="48"/>
      <c r="V61" s="12">
        <v>71.02</v>
      </c>
      <c r="W61" s="12">
        <v>17.84</v>
      </c>
      <c r="X61" s="12">
        <v>22.52</v>
      </c>
      <c r="Y61" s="12">
        <v>45.23</v>
      </c>
      <c r="Z61" s="12">
        <v>66.97</v>
      </c>
      <c r="AA61" s="12">
        <v>19.02</v>
      </c>
      <c r="AB61" s="12">
        <v>64.11</v>
      </c>
      <c r="AC61" s="12">
        <v>86.3</v>
      </c>
      <c r="AD61" s="12">
        <v>17.920000000000002</v>
      </c>
      <c r="AE61" s="12">
        <v>41.61</v>
      </c>
      <c r="AF61" s="12">
        <v>30.76</v>
      </c>
      <c r="AG61" s="5">
        <v>13</v>
      </c>
      <c r="AH61" s="56">
        <v>161.29</v>
      </c>
      <c r="AI61" s="67"/>
      <c r="AJ61" s="12">
        <v>4.6399999999999997</v>
      </c>
      <c r="AK61" s="12">
        <v>33.29</v>
      </c>
      <c r="AL61" s="12">
        <v>32.89</v>
      </c>
      <c r="AM61" s="12">
        <v>143.25</v>
      </c>
      <c r="AN61" s="12">
        <v>613.35</v>
      </c>
      <c r="AO61" s="12">
        <v>354.88</v>
      </c>
      <c r="AP61" s="12">
        <v>56.78</v>
      </c>
      <c r="AQ61" s="5">
        <v>0</v>
      </c>
      <c r="AR61" s="12">
        <v>2.98</v>
      </c>
      <c r="AS61" s="12">
        <v>57.24</v>
      </c>
      <c r="AT61" s="12">
        <v>11.25</v>
      </c>
      <c r="AU61" s="12">
        <v>153.25</v>
      </c>
      <c r="AV61" s="12">
        <v>178.67</v>
      </c>
      <c r="AW61" s="12">
        <v>40.380000000000003</v>
      </c>
      <c r="AX61" s="12">
        <v>149.91</v>
      </c>
      <c r="AY61" s="12">
        <v>7800.38</v>
      </c>
      <c r="AZ61" s="12">
        <v>241.97</v>
      </c>
      <c r="BA61" s="12">
        <v>375.6</v>
      </c>
      <c r="BB61" s="12">
        <v>107.11</v>
      </c>
      <c r="BC61" s="12">
        <v>0.22</v>
      </c>
      <c r="BD61" s="12">
        <v>81.83</v>
      </c>
      <c r="BE61" s="12">
        <v>858.98</v>
      </c>
      <c r="BF61" s="12">
        <v>135.08000000000001</v>
      </c>
      <c r="BG61" s="12">
        <v>68.25</v>
      </c>
      <c r="BH61" s="12">
        <v>48.73</v>
      </c>
      <c r="BI61" s="12">
        <v>43.93</v>
      </c>
      <c r="BJ61" s="12">
        <v>112.48</v>
      </c>
      <c r="BK61" s="12">
        <v>38.03</v>
      </c>
      <c r="BL61" s="12">
        <v>33.39</v>
      </c>
      <c r="BM61" s="12">
        <v>62.18</v>
      </c>
      <c r="BN61" s="12">
        <v>67.180000000000007</v>
      </c>
      <c r="BO61" s="12">
        <v>30.89</v>
      </c>
      <c r="BP61" s="12">
        <v>139.74</v>
      </c>
      <c r="BQ61" s="12">
        <v>31.9</v>
      </c>
      <c r="BR61" s="12">
        <v>107.95</v>
      </c>
      <c r="BS61" s="12">
        <v>29.57</v>
      </c>
      <c r="BT61" s="12">
        <v>43.55</v>
      </c>
      <c r="BU61" s="12">
        <v>1.21</v>
      </c>
      <c r="BV61" s="12">
        <v>40.94</v>
      </c>
      <c r="BW61" s="5">
        <v>0</v>
      </c>
      <c r="BX61" s="5">
        <v>0</v>
      </c>
      <c r="BY61" s="12">
        <v>59.26</v>
      </c>
      <c r="BZ61" s="5">
        <v>0</v>
      </c>
      <c r="CA61" s="12">
        <v>59.26</v>
      </c>
      <c r="CB61" s="5">
        <v>0</v>
      </c>
      <c r="CC61" s="12">
        <v>9741.48</v>
      </c>
      <c r="CD61" s="12">
        <v>74.680000000000007</v>
      </c>
      <c r="CE61" s="12">
        <v>6923.33</v>
      </c>
      <c r="CF61" s="12">
        <v>4925.91</v>
      </c>
      <c r="CG61" s="12">
        <v>1997.42</v>
      </c>
      <c r="CH61" s="12">
        <v>4145.2</v>
      </c>
      <c r="CI61" s="12">
        <v>780.71</v>
      </c>
      <c r="CJ61" s="12">
        <v>9666.7900000000009</v>
      </c>
      <c r="CK61" s="12">
        <v>74.680000000000007</v>
      </c>
      <c r="CL61" s="5">
        <v>0</v>
      </c>
      <c r="CM61" s="12">
        <v>29976.39</v>
      </c>
      <c r="CN61" s="12">
        <v>16724.060000000001</v>
      </c>
    </row>
    <row r="62" spans="1:92" ht="14">
      <c r="A62" s="4" t="s">
        <v>68</v>
      </c>
      <c r="B62" s="13">
        <v>13918.33</v>
      </c>
      <c r="C62" s="13">
        <v>145.94999999999999</v>
      </c>
      <c r="D62" s="13">
        <v>40.47</v>
      </c>
      <c r="E62" s="13">
        <v>0.5</v>
      </c>
      <c r="F62" s="13">
        <v>25.97</v>
      </c>
      <c r="G62" s="13">
        <v>181.39</v>
      </c>
      <c r="H62" s="13">
        <v>24.74</v>
      </c>
      <c r="I62" s="13">
        <v>91.43</v>
      </c>
      <c r="J62" s="13">
        <v>40.450000000000003</v>
      </c>
      <c r="K62" s="13">
        <v>6.35</v>
      </c>
      <c r="L62" s="13">
        <v>13.88</v>
      </c>
      <c r="M62" s="13">
        <v>163.47999999999999</v>
      </c>
      <c r="N62" s="36"/>
      <c r="O62" s="36"/>
      <c r="P62" s="40"/>
      <c r="Q62" s="40"/>
      <c r="R62" s="44"/>
      <c r="S62" s="44"/>
      <c r="T62" s="48"/>
      <c r="U62" s="48"/>
      <c r="V62" s="13">
        <v>7.3</v>
      </c>
      <c r="W62" s="13">
        <v>31.55</v>
      </c>
      <c r="X62" s="13">
        <v>48.49</v>
      </c>
      <c r="Y62" s="13">
        <v>115.59</v>
      </c>
      <c r="Z62" s="13">
        <v>126.22</v>
      </c>
      <c r="AA62" s="13">
        <v>119.29</v>
      </c>
      <c r="AB62" s="13">
        <v>2.42</v>
      </c>
      <c r="AC62" s="13">
        <v>183.92</v>
      </c>
      <c r="AD62" s="13">
        <v>8.32</v>
      </c>
      <c r="AE62" s="13">
        <v>30.05</v>
      </c>
      <c r="AF62" s="13">
        <v>75.5</v>
      </c>
      <c r="AG62" s="13">
        <v>71.58</v>
      </c>
      <c r="AH62" s="56">
        <v>222.67</v>
      </c>
      <c r="AI62" s="67"/>
      <c r="AJ62" s="13">
        <v>9.52</v>
      </c>
      <c r="AK62" s="13">
        <v>66.95</v>
      </c>
      <c r="AL62" s="13">
        <v>499.29</v>
      </c>
      <c r="AM62" s="13">
        <v>210.01</v>
      </c>
      <c r="AN62" s="13">
        <v>1001.11</v>
      </c>
      <c r="AO62" s="13">
        <v>511.77</v>
      </c>
      <c r="AP62" s="13">
        <v>175.15</v>
      </c>
      <c r="AQ62" s="13">
        <v>0.24</v>
      </c>
      <c r="AR62" s="13">
        <v>8.3800000000000008</v>
      </c>
      <c r="AS62" s="13">
        <v>203.43</v>
      </c>
      <c r="AT62" s="13">
        <v>9.89</v>
      </c>
      <c r="AU62" s="13">
        <v>541.69000000000005</v>
      </c>
      <c r="AV62" s="13">
        <v>27.99</v>
      </c>
      <c r="AW62" s="13">
        <v>11.81</v>
      </c>
      <c r="AX62" s="13">
        <v>31.86</v>
      </c>
      <c r="AY62" s="13">
        <v>213.53</v>
      </c>
      <c r="AZ62" s="13">
        <v>2229.1</v>
      </c>
      <c r="BA62" s="13">
        <v>85.33</v>
      </c>
      <c r="BB62" s="13">
        <v>42.19</v>
      </c>
      <c r="BC62" s="13">
        <v>1651.22</v>
      </c>
      <c r="BD62" s="13">
        <v>923.28</v>
      </c>
      <c r="BE62" s="13">
        <v>1418.87</v>
      </c>
      <c r="BF62" s="13">
        <v>141.68</v>
      </c>
      <c r="BG62" s="13">
        <v>113.38</v>
      </c>
      <c r="BH62" s="13">
        <v>88.69</v>
      </c>
      <c r="BI62" s="13">
        <v>47.87</v>
      </c>
      <c r="BJ62" s="13">
        <v>150.31</v>
      </c>
      <c r="BK62" s="13">
        <v>28.54</v>
      </c>
      <c r="BL62" s="13">
        <v>22.09</v>
      </c>
      <c r="BM62" s="13">
        <v>156.31</v>
      </c>
      <c r="BN62" s="13">
        <v>766.79</v>
      </c>
      <c r="BO62" s="13">
        <v>163.16</v>
      </c>
      <c r="BP62" s="6">
        <v>218</v>
      </c>
      <c r="BQ62" s="13">
        <v>65.989999999999995</v>
      </c>
      <c r="BR62" s="13">
        <v>66.239999999999995</v>
      </c>
      <c r="BS62" s="13">
        <v>48.36</v>
      </c>
      <c r="BT62" s="13">
        <v>79.319999999999993</v>
      </c>
      <c r="BU62" s="13">
        <v>13.07</v>
      </c>
      <c r="BV62" s="13">
        <v>98.44</v>
      </c>
      <c r="BW62" s="6">
        <v>0</v>
      </c>
      <c r="BX62" s="6">
        <v>0</v>
      </c>
      <c r="BY62" s="13">
        <v>1437.12</v>
      </c>
      <c r="BZ62" s="13">
        <v>41.4</v>
      </c>
      <c r="CA62" s="13">
        <v>1395.72</v>
      </c>
      <c r="CB62" s="6">
        <v>0</v>
      </c>
      <c r="CC62" s="6">
        <v>0</v>
      </c>
      <c r="CD62" s="6">
        <v>0</v>
      </c>
      <c r="CE62" s="13">
        <v>2080.17</v>
      </c>
      <c r="CF62" s="13">
        <v>1465.15</v>
      </c>
      <c r="CG62" s="13">
        <v>615.03</v>
      </c>
      <c r="CH62" s="13">
        <v>960.95</v>
      </c>
      <c r="CI62" s="13">
        <v>504.19</v>
      </c>
      <c r="CJ62" s="6">
        <v>0</v>
      </c>
      <c r="CK62" s="6">
        <v>0</v>
      </c>
      <c r="CL62" s="6">
        <v>0</v>
      </c>
      <c r="CM62" s="13">
        <v>17435.63</v>
      </c>
      <c r="CN62" s="13">
        <v>3517.29</v>
      </c>
    </row>
    <row r="63" spans="1:92" ht="14">
      <c r="A63" s="4" t="s">
        <v>69</v>
      </c>
      <c r="B63" s="12">
        <v>2611.48</v>
      </c>
      <c r="C63" s="12">
        <v>18.309999999999999</v>
      </c>
      <c r="D63" s="12">
        <v>1.27</v>
      </c>
      <c r="E63" s="12">
        <v>0.56000000000000005</v>
      </c>
      <c r="F63" s="12">
        <v>6.52</v>
      </c>
      <c r="G63" s="12">
        <v>45.99</v>
      </c>
      <c r="H63" s="12">
        <v>6.84</v>
      </c>
      <c r="I63" s="12">
        <v>27.35</v>
      </c>
      <c r="J63" s="12">
        <v>12.98</v>
      </c>
      <c r="K63" s="12">
        <v>1.65</v>
      </c>
      <c r="L63" s="12">
        <v>6.92</v>
      </c>
      <c r="M63" s="12">
        <v>13.01</v>
      </c>
      <c r="N63" s="36"/>
      <c r="O63" s="36"/>
      <c r="P63" s="40"/>
      <c r="Q63" s="40"/>
      <c r="R63" s="44"/>
      <c r="S63" s="44"/>
      <c r="T63" s="48"/>
      <c r="U63" s="48"/>
      <c r="V63" s="12">
        <v>4.2300000000000004</v>
      </c>
      <c r="W63" s="12">
        <v>12.58</v>
      </c>
      <c r="X63" s="12">
        <v>14.04</v>
      </c>
      <c r="Y63" s="12">
        <v>22.83</v>
      </c>
      <c r="Z63" s="12">
        <v>27.92</v>
      </c>
      <c r="AA63" s="12">
        <v>7.76</v>
      </c>
      <c r="AB63" s="12">
        <v>16.64</v>
      </c>
      <c r="AC63" s="12">
        <v>29.73</v>
      </c>
      <c r="AD63" s="12">
        <v>1.57</v>
      </c>
      <c r="AE63" s="12">
        <v>5.29</v>
      </c>
      <c r="AF63" s="12">
        <v>14.22</v>
      </c>
      <c r="AG63" s="12">
        <v>16.600000000000001</v>
      </c>
      <c r="AH63" s="56">
        <v>33.090000000000003</v>
      </c>
      <c r="AI63" s="67"/>
      <c r="AJ63" s="12">
        <v>1.88</v>
      </c>
      <c r="AK63" s="12">
        <v>18.57</v>
      </c>
      <c r="AL63" s="12">
        <v>100.55</v>
      </c>
      <c r="AM63" s="12">
        <v>51.19</v>
      </c>
      <c r="AN63" s="12">
        <v>168.71</v>
      </c>
      <c r="AO63" s="12">
        <v>140.07</v>
      </c>
      <c r="AP63" s="12">
        <v>83.72</v>
      </c>
      <c r="AQ63" s="12">
        <v>0.15</v>
      </c>
      <c r="AR63" s="12">
        <v>4.66</v>
      </c>
      <c r="AS63" s="12">
        <v>34.130000000000003</v>
      </c>
      <c r="AT63" s="12">
        <v>2.0099999999999998</v>
      </c>
      <c r="AU63" s="12">
        <v>59.14</v>
      </c>
      <c r="AV63" s="12">
        <v>8.01</v>
      </c>
      <c r="AW63" s="12">
        <v>2.56</v>
      </c>
      <c r="AX63" s="12">
        <v>4.97</v>
      </c>
      <c r="AY63" s="12">
        <v>47.64</v>
      </c>
      <c r="AZ63" s="12">
        <v>40.53</v>
      </c>
      <c r="BA63" s="12">
        <v>458.48</v>
      </c>
      <c r="BB63" s="12">
        <v>6.53</v>
      </c>
      <c r="BC63" s="12">
        <v>250.12</v>
      </c>
      <c r="BD63" s="5">
        <v>296</v>
      </c>
      <c r="BE63" s="12">
        <v>173.88</v>
      </c>
      <c r="BF63" s="12">
        <v>24.85</v>
      </c>
      <c r="BG63" s="12">
        <v>39.450000000000003</v>
      </c>
      <c r="BH63" s="12">
        <v>10.32</v>
      </c>
      <c r="BI63" s="12">
        <v>9.3800000000000008</v>
      </c>
      <c r="BJ63" s="12">
        <v>44.85</v>
      </c>
      <c r="BK63" s="12">
        <v>6.82</v>
      </c>
      <c r="BL63" s="12">
        <v>5.89</v>
      </c>
      <c r="BM63" s="12">
        <v>28.07</v>
      </c>
      <c r="BN63" s="12">
        <v>8.4700000000000006</v>
      </c>
      <c r="BO63" s="12">
        <v>12.31</v>
      </c>
      <c r="BP63" s="12">
        <v>55.98</v>
      </c>
      <c r="BQ63" s="12">
        <v>16.690000000000001</v>
      </c>
      <c r="BR63" s="12">
        <v>12.32</v>
      </c>
      <c r="BS63" s="12">
        <v>7.56</v>
      </c>
      <c r="BT63" s="12">
        <v>9.16</v>
      </c>
      <c r="BU63" s="12">
        <v>2.67</v>
      </c>
      <c r="BV63" s="12">
        <v>15.35</v>
      </c>
      <c r="BW63" s="5">
        <v>0</v>
      </c>
      <c r="BX63" s="5">
        <v>0</v>
      </c>
      <c r="BY63" s="12">
        <v>5049.07</v>
      </c>
      <c r="BZ63" s="12">
        <v>0.84</v>
      </c>
      <c r="CA63" s="12">
        <v>5048.24</v>
      </c>
      <c r="CB63" s="5">
        <v>0</v>
      </c>
      <c r="CC63" s="12">
        <v>12.92</v>
      </c>
      <c r="CD63" s="12">
        <v>1.31</v>
      </c>
      <c r="CE63" s="12">
        <v>808.23</v>
      </c>
      <c r="CF63" s="12">
        <v>708.23</v>
      </c>
      <c r="CG63" s="5">
        <v>100</v>
      </c>
      <c r="CH63" s="12">
        <v>338.59</v>
      </c>
      <c r="CI63" s="12">
        <v>369.64</v>
      </c>
      <c r="CJ63" s="12">
        <v>11.61</v>
      </c>
      <c r="CK63" s="12">
        <v>0.94</v>
      </c>
      <c r="CL63" s="12">
        <v>0.37</v>
      </c>
      <c r="CM63" s="12">
        <v>8481.7099999999991</v>
      </c>
      <c r="CN63" s="12">
        <v>5870.23</v>
      </c>
    </row>
    <row r="64" spans="1:92" ht="14">
      <c r="A64" s="4" t="s">
        <v>70</v>
      </c>
      <c r="B64" s="13">
        <v>4092.99</v>
      </c>
      <c r="C64" s="13">
        <v>0.27</v>
      </c>
      <c r="D64" s="13">
        <v>0.06</v>
      </c>
      <c r="E64" s="13">
        <v>0.03</v>
      </c>
      <c r="F64" s="13">
        <v>1.05</v>
      </c>
      <c r="G64" s="13">
        <v>8.31</v>
      </c>
      <c r="H64" s="13">
        <v>1.38</v>
      </c>
      <c r="I64" s="13">
        <v>5.55</v>
      </c>
      <c r="J64" s="13">
        <v>2.79</v>
      </c>
      <c r="K64" s="13">
        <v>0.23</v>
      </c>
      <c r="L64" s="13">
        <v>0.41</v>
      </c>
      <c r="M64" s="13">
        <v>13.45</v>
      </c>
      <c r="N64" s="36"/>
      <c r="O64" s="36"/>
      <c r="P64" s="40"/>
      <c r="Q64" s="40"/>
      <c r="R64" s="44"/>
      <c r="S64" s="44"/>
      <c r="T64" s="48"/>
      <c r="U64" s="48"/>
      <c r="V64" s="13">
        <v>0.76</v>
      </c>
      <c r="W64" s="13">
        <v>1.89</v>
      </c>
      <c r="X64" s="13">
        <v>2.73</v>
      </c>
      <c r="Y64" s="13">
        <v>6.64</v>
      </c>
      <c r="Z64" s="13">
        <v>7.44</v>
      </c>
      <c r="AA64" s="13">
        <v>2.57</v>
      </c>
      <c r="AB64" s="6">
        <v>0</v>
      </c>
      <c r="AC64" s="13">
        <v>14.92</v>
      </c>
      <c r="AD64" s="13">
        <v>0.01</v>
      </c>
      <c r="AE64" s="13">
        <v>1.95</v>
      </c>
      <c r="AF64" s="13">
        <v>3.14</v>
      </c>
      <c r="AG64" s="13">
        <v>5.05</v>
      </c>
      <c r="AH64" s="56">
        <v>6.06</v>
      </c>
      <c r="AI64" s="67"/>
      <c r="AJ64" s="13">
        <v>0.55000000000000004</v>
      </c>
      <c r="AK64" s="13">
        <v>3.67</v>
      </c>
      <c r="AL64" s="13">
        <v>22.39</v>
      </c>
      <c r="AM64" s="13">
        <v>8.94</v>
      </c>
      <c r="AN64" s="13">
        <v>72.75</v>
      </c>
      <c r="AO64" s="13">
        <v>28.02</v>
      </c>
      <c r="AP64" s="13">
        <v>7.51</v>
      </c>
      <c r="AQ64" s="13">
        <v>0.02</v>
      </c>
      <c r="AR64" s="13">
        <v>0.61</v>
      </c>
      <c r="AS64" s="13">
        <v>3.82</v>
      </c>
      <c r="AT64" s="13">
        <v>0.69</v>
      </c>
      <c r="AU64" s="13">
        <v>12.77</v>
      </c>
      <c r="AV64" s="13">
        <v>1.45</v>
      </c>
      <c r="AW64" s="13">
        <v>0.63</v>
      </c>
      <c r="AX64" s="13">
        <v>4.16</v>
      </c>
      <c r="AY64" s="13">
        <v>14.36</v>
      </c>
      <c r="AZ64" s="13">
        <v>632.08000000000004</v>
      </c>
      <c r="BA64" s="13">
        <v>1421.15</v>
      </c>
      <c r="BB64" s="13">
        <v>1681.69</v>
      </c>
      <c r="BC64" s="6">
        <v>0</v>
      </c>
      <c r="BD64" s="13">
        <v>19.36</v>
      </c>
      <c r="BE64" s="13">
        <v>16.600000000000001</v>
      </c>
      <c r="BF64" s="13">
        <v>6.41</v>
      </c>
      <c r="BG64" s="13">
        <v>0.32</v>
      </c>
      <c r="BH64" s="13">
        <v>5.88</v>
      </c>
      <c r="BI64" s="13">
        <v>2.56</v>
      </c>
      <c r="BJ64" s="13">
        <v>4.6500000000000004</v>
      </c>
      <c r="BK64" s="13">
        <v>1.51</v>
      </c>
      <c r="BL64" s="13">
        <v>1.0900000000000001</v>
      </c>
      <c r="BM64" s="13">
        <v>9.81</v>
      </c>
      <c r="BN64" s="13">
        <v>4.54</v>
      </c>
      <c r="BO64" s="13">
        <v>0.69</v>
      </c>
      <c r="BP64" s="13">
        <v>4.18</v>
      </c>
      <c r="BQ64" s="13">
        <v>2.95</v>
      </c>
      <c r="BR64" s="13">
        <v>2.12</v>
      </c>
      <c r="BS64" s="13">
        <v>1.7</v>
      </c>
      <c r="BT64" s="6">
        <v>0</v>
      </c>
      <c r="BU64" s="13">
        <v>0.53</v>
      </c>
      <c r="BV64" s="13">
        <v>4.1900000000000004</v>
      </c>
      <c r="BW64" s="6">
        <v>0</v>
      </c>
      <c r="BX64" s="6">
        <v>0</v>
      </c>
      <c r="BY64" s="13">
        <v>502.99</v>
      </c>
      <c r="BZ64" s="13">
        <v>0.08</v>
      </c>
      <c r="CA64" s="13">
        <v>502.91</v>
      </c>
      <c r="CB64" s="6">
        <v>0</v>
      </c>
      <c r="CC64" s="6">
        <v>0</v>
      </c>
      <c r="CD64" s="6">
        <v>0</v>
      </c>
      <c r="CE64" s="13">
        <v>856.86</v>
      </c>
      <c r="CF64" s="13">
        <v>705.55</v>
      </c>
      <c r="CG64" s="13">
        <v>151.31</v>
      </c>
      <c r="CH64" s="13">
        <v>658.15</v>
      </c>
      <c r="CI64" s="13">
        <v>47.4</v>
      </c>
      <c r="CJ64" s="6">
        <v>0</v>
      </c>
      <c r="CK64" s="6">
        <v>0</v>
      </c>
      <c r="CL64" s="6">
        <v>0</v>
      </c>
      <c r="CM64" s="13">
        <v>5452.83</v>
      </c>
      <c r="CN64" s="13">
        <v>1359.84</v>
      </c>
    </row>
    <row r="65" spans="1:92" ht="14">
      <c r="A65" s="4" t="s">
        <v>71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37"/>
      <c r="O65" s="37"/>
      <c r="P65" s="41"/>
      <c r="Q65" s="41"/>
      <c r="R65" s="45"/>
      <c r="S65" s="45"/>
      <c r="T65" s="49"/>
      <c r="U65" s="49"/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7">
        <v>0</v>
      </c>
      <c r="AI65" s="68"/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12">
        <v>25212.82</v>
      </c>
      <c r="BZ65" s="5">
        <v>0</v>
      </c>
      <c r="CA65" s="12">
        <v>25212.82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12">
        <v>25212.82</v>
      </c>
      <c r="CN65" s="12">
        <v>25212.82</v>
      </c>
    </row>
    <row r="66" spans="1:92" ht="14">
      <c r="A66" s="4" t="s">
        <v>72</v>
      </c>
      <c r="B66" s="13">
        <v>21195.69</v>
      </c>
      <c r="C66" s="13">
        <v>10.47</v>
      </c>
      <c r="D66" s="13">
        <v>3.67</v>
      </c>
      <c r="E66" s="13">
        <v>1.44</v>
      </c>
      <c r="F66" s="13">
        <v>41.27</v>
      </c>
      <c r="G66" s="13">
        <v>266.38</v>
      </c>
      <c r="H66" s="13">
        <v>42.83</v>
      </c>
      <c r="I66" s="13">
        <v>63.45</v>
      </c>
      <c r="J66" s="13">
        <v>33.53</v>
      </c>
      <c r="K66" s="13">
        <v>27.42</v>
      </c>
      <c r="L66" s="13">
        <v>18.239999999999998</v>
      </c>
      <c r="M66" s="13">
        <v>51.24</v>
      </c>
      <c r="N66" s="36"/>
      <c r="O66" s="36"/>
      <c r="P66" s="40"/>
      <c r="Q66" s="40"/>
      <c r="R66" s="44"/>
      <c r="S66" s="44"/>
      <c r="T66" s="48"/>
      <c r="U66" s="48"/>
      <c r="V66" s="13">
        <v>20.48</v>
      </c>
      <c r="W66" s="13">
        <v>94.7</v>
      </c>
      <c r="X66" s="13">
        <v>68.28</v>
      </c>
      <c r="Y66" s="13">
        <v>59.57</v>
      </c>
      <c r="Z66" s="13">
        <v>214.04</v>
      </c>
      <c r="AA66" s="13">
        <v>147.37</v>
      </c>
      <c r="AB66" s="13">
        <v>74.16</v>
      </c>
      <c r="AC66" s="13">
        <v>217.01</v>
      </c>
      <c r="AD66" s="13">
        <v>93.56</v>
      </c>
      <c r="AE66" s="13">
        <v>47.29</v>
      </c>
      <c r="AF66" s="13">
        <v>80.83</v>
      </c>
      <c r="AG66" s="13">
        <v>135.84</v>
      </c>
      <c r="AH66" s="56">
        <v>51.8</v>
      </c>
      <c r="AI66" s="67"/>
      <c r="AJ66" s="13">
        <v>4.8600000000000003</v>
      </c>
      <c r="AK66" s="13">
        <v>77.459999999999994</v>
      </c>
      <c r="AL66" s="13">
        <v>669.92</v>
      </c>
      <c r="AM66" s="13">
        <v>394.4</v>
      </c>
      <c r="AN66" s="13">
        <v>924.26</v>
      </c>
      <c r="AO66" s="13">
        <v>2894.12</v>
      </c>
      <c r="AP66" s="13">
        <v>287.85000000000002</v>
      </c>
      <c r="AQ66" s="13">
        <v>1.77</v>
      </c>
      <c r="AR66" s="13">
        <v>16.48</v>
      </c>
      <c r="AS66" s="13">
        <v>412.1</v>
      </c>
      <c r="AT66" s="13">
        <v>83.77</v>
      </c>
      <c r="AU66" s="13">
        <v>1643.39</v>
      </c>
      <c r="AV66" s="13">
        <v>74.11</v>
      </c>
      <c r="AW66" s="13">
        <v>64.75</v>
      </c>
      <c r="AX66" s="13">
        <v>277.57</v>
      </c>
      <c r="AY66" s="13">
        <v>423.13</v>
      </c>
      <c r="AZ66" s="13">
        <v>241.64</v>
      </c>
      <c r="BA66" s="13">
        <v>73.84</v>
      </c>
      <c r="BB66" s="13">
        <v>82.53</v>
      </c>
      <c r="BC66" s="13">
        <v>106.69</v>
      </c>
      <c r="BD66" s="13">
        <v>4579.8100000000004</v>
      </c>
      <c r="BE66" s="13">
        <v>706.58</v>
      </c>
      <c r="BF66" s="13">
        <v>297.06</v>
      </c>
      <c r="BG66" s="13">
        <v>249.26</v>
      </c>
      <c r="BH66" s="13">
        <v>124.3</v>
      </c>
      <c r="BI66" s="13">
        <v>78.16</v>
      </c>
      <c r="BJ66" s="13">
        <v>118.17</v>
      </c>
      <c r="BK66" s="13">
        <v>36.020000000000003</v>
      </c>
      <c r="BL66" s="6">
        <v>54</v>
      </c>
      <c r="BM66" s="13">
        <v>244.11</v>
      </c>
      <c r="BN66" s="13">
        <v>1458.74</v>
      </c>
      <c r="BO66" s="13">
        <v>574.38</v>
      </c>
      <c r="BP66" s="13">
        <v>922.98</v>
      </c>
      <c r="BQ66" s="13">
        <v>381.8</v>
      </c>
      <c r="BR66" s="13">
        <v>114.62</v>
      </c>
      <c r="BS66" s="13">
        <v>140.43</v>
      </c>
      <c r="BT66" s="13">
        <v>100.98</v>
      </c>
      <c r="BU66" s="13">
        <v>31.6</v>
      </c>
      <c r="BV66" s="13">
        <v>363.23</v>
      </c>
      <c r="BW66" s="6">
        <v>0</v>
      </c>
      <c r="BX66" s="6">
        <v>0</v>
      </c>
      <c r="BY66" s="13">
        <v>11030.36</v>
      </c>
      <c r="BZ66" s="13">
        <v>53.81</v>
      </c>
      <c r="CA66" s="13">
        <v>10976.55</v>
      </c>
      <c r="CB66" s="6">
        <v>0</v>
      </c>
      <c r="CC66" s="13">
        <v>932.51</v>
      </c>
      <c r="CD66" s="6">
        <v>0</v>
      </c>
      <c r="CE66" s="13">
        <v>188.76</v>
      </c>
      <c r="CF66" s="13">
        <v>51.93</v>
      </c>
      <c r="CG66" s="13">
        <v>136.83000000000001</v>
      </c>
      <c r="CH66" s="13">
        <v>37.11</v>
      </c>
      <c r="CI66" s="13">
        <v>14.82</v>
      </c>
      <c r="CJ66" s="13">
        <v>932.51</v>
      </c>
      <c r="CK66" s="6">
        <v>0</v>
      </c>
      <c r="CL66" s="6">
        <v>0</v>
      </c>
      <c r="CM66" s="13">
        <v>33347.32</v>
      </c>
      <c r="CN66" s="13">
        <v>12151.63</v>
      </c>
    </row>
    <row r="67" spans="1:92" ht="14">
      <c r="A67" s="4" t="s">
        <v>73</v>
      </c>
      <c r="B67" s="12">
        <v>20202.52</v>
      </c>
      <c r="C67" s="12">
        <v>19.32</v>
      </c>
      <c r="D67" s="12">
        <v>2.77</v>
      </c>
      <c r="E67" s="12">
        <v>2.2799999999999998</v>
      </c>
      <c r="F67" s="12">
        <v>54.35</v>
      </c>
      <c r="G67" s="12">
        <v>513.37</v>
      </c>
      <c r="H67" s="12">
        <v>55.08</v>
      </c>
      <c r="I67" s="12">
        <v>202.13</v>
      </c>
      <c r="J67" s="12">
        <v>76.7</v>
      </c>
      <c r="K67" s="12">
        <v>9.64</v>
      </c>
      <c r="L67" s="12">
        <v>55.38</v>
      </c>
      <c r="M67" s="12">
        <v>265.70999999999998</v>
      </c>
      <c r="N67" s="36"/>
      <c r="O67" s="36"/>
      <c r="P67" s="40"/>
      <c r="Q67" s="40"/>
      <c r="R67" s="44"/>
      <c r="S67" s="44"/>
      <c r="T67" s="48"/>
      <c r="U67" s="48"/>
      <c r="V67" s="12">
        <v>100.46</v>
      </c>
      <c r="W67" s="12">
        <v>153.59</v>
      </c>
      <c r="X67" s="12">
        <v>150.22</v>
      </c>
      <c r="Y67" s="12">
        <v>221.92</v>
      </c>
      <c r="Z67" s="12">
        <v>372.22</v>
      </c>
      <c r="AA67" s="12">
        <v>66.8</v>
      </c>
      <c r="AB67" s="12">
        <v>184.31</v>
      </c>
      <c r="AC67" s="12">
        <v>449.56</v>
      </c>
      <c r="AD67" s="12">
        <v>142.49</v>
      </c>
      <c r="AE67" s="12">
        <v>95.21</v>
      </c>
      <c r="AF67" s="12">
        <v>121.53</v>
      </c>
      <c r="AG67" s="12">
        <v>178.57</v>
      </c>
      <c r="AH67" s="56">
        <v>318.61</v>
      </c>
      <c r="AI67" s="67"/>
      <c r="AJ67" s="12">
        <v>23.86</v>
      </c>
      <c r="AK67" s="12">
        <v>213.73</v>
      </c>
      <c r="AL67" s="12">
        <v>1752.96</v>
      </c>
      <c r="AM67" s="12">
        <v>459.82</v>
      </c>
      <c r="AN67" s="12">
        <v>1761.6</v>
      </c>
      <c r="AO67" s="12">
        <v>1295.97</v>
      </c>
      <c r="AP67" s="12">
        <v>286.7</v>
      </c>
      <c r="AQ67" s="12">
        <v>0.81</v>
      </c>
      <c r="AR67" s="12">
        <v>80.58</v>
      </c>
      <c r="AS67" s="12">
        <v>149.66999999999999</v>
      </c>
      <c r="AT67" s="12">
        <v>19.010000000000002</v>
      </c>
      <c r="AU67" s="12">
        <v>541.11</v>
      </c>
      <c r="AV67" s="12">
        <v>150.69999999999999</v>
      </c>
      <c r="AW67" s="12">
        <v>77.34</v>
      </c>
      <c r="AX67" s="12">
        <v>32.409999999999997</v>
      </c>
      <c r="AY67" s="12">
        <v>342.84</v>
      </c>
      <c r="AZ67" s="12">
        <v>1186.44</v>
      </c>
      <c r="BA67" s="12">
        <v>257.56</v>
      </c>
      <c r="BB67" s="12">
        <v>212.46</v>
      </c>
      <c r="BC67" s="12">
        <v>0.99</v>
      </c>
      <c r="BD67" s="12">
        <v>316.72000000000003</v>
      </c>
      <c r="BE67" s="12">
        <v>4255.34</v>
      </c>
      <c r="BF67" s="12">
        <v>191.1</v>
      </c>
      <c r="BG67" s="12">
        <v>110.66</v>
      </c>
      <c r="BH67" s="12">
        <v>175.5</v>
      </c>
      <c r="BI67" s="12">
        <v>132.38</v>
      </c>
      <c r="BJ67" s="12">
        <v>184.23</v>
      </c>
      <c r="BK67" s="12">
        <v>90.03</v>
      </c>
      <c r="BL67" s="12">
        <v>116.54</v>
      </c>
      <c r="BM67" s="12">
        <v>330.82</v>
      </c>
      <c r="BN67" s="12">
        <v>229.4</v>
      </c>
      <c r="BO67" s="12">
        <v>171.99</v>
      </c>
      <c r="BP67" s="12">
        <v>514.45000000000005</v>
      </c>
      <c r="BQ67" s="12">
        <v>108.31</v>
      </c>
      <c r="BR67" s="12">
        <v>146.76</v>
      </c>
      <c r="BS67" s="12">
        <v>89.62</v>
      </c>
      <c r="BT67" s="5">
        <v>200</v>
      </c>
      <c r="BU67" s="12">
        <v>18.920000000000002</v>
      </c>
      <c r="BV67" s="12">
        <v>160.99</v>
      </c>
      <c r="BW67" s="5">
        <v>0</v>
      </c>
      <c r="BX67" s="5">
        <v>0</v>
      </c>
      <c r="BY67" s="12">
        <v>527.62</v>
      </c>
      <c r="BZ67" s="12">
        <v>3.84</v>
      </c>
      <c r="CA67" s="12">
        <v>523.78</v>
      </c>
      <c r="CB67" s="5">
        <v>0</v>
      </c>
      <c r="CC67" s="12">
        <v>500.24</v>
      </c>
      <c r="CD67" s="12">
        <v>24.07</v>
      </c>
      <c r="CE67" s="12">
        <v>4233.34</v>
      </c>
      <c r="CF67" s="12">
        <v>3104.01</v>
      </c>
      <c r="CG67" s="12">
        <v>1129.33</v>
      </c>
      <c r="CH67" s="12">
        <v>2388.7800000000002</v>
      </c>
      <c r="CI67" s="12">
        <v>715.23</v>
      </c>
      <c r="CJ67" s="12">
        <v>476.17</v>
      </c>
      <c r="CK67" s="12">
        <v>24.07</v>
      </c>
      <c r="CL67" s="5">
        <v>0</v>
      </c>
      <c r="CM67" s="12">
        <v>25463.72</v>
      </c>
      <c r="CN67" s="12">
        <v>5261.2</v>
      </c>
    </row>
    <row r="68" spans="1:92" ht="14">
      <c r="A68" s="4" t="s">
        <v>74</v>
      </c>
      <c r="B68" s="13">
        <v>7041.71</v>
      </c>
      <c r="C68" s="13">
        <v>10.9</v>
      </c>
      <c r="D68" s="13">
        <v>2.76</v>
      </c>
      <c r="E68" s="13">
        <v>0.46</v>
      </c>
      <c r="F68" s="13">
        <v>58.32</v>
      </c>
      <c r="G68" s="13">
        <v>22.4</v>
      </c>
      <c r="H68" s="13">
        <v>1.48</v>
      </c>
      <c r="I68" s="13">
        <v>27.01</v>
      </c>
      <c r="J68" s="13">
        <v>40.33</v>
      </c>
      <c r="K68" s="13">
        <v>0.06</v>
      </c>
      <c r="L68" s="13">
        <v>21.02</v>
      </c>
      <c r="M68" s="13">
        <v>37.299999999999997</v>
      </c>
      <c r="N68" s="36"/>
      <c r="O68" s="36"/>
      <c r="P68" s="40"/>
      <c r="Q68" s="40"/>
      <c r="R68" s="44"/>
      <c r="S68" s="44"/>
      <c r="T68" s="48"/>
      <c r="U68" s="48"/>
      <c r="V68" s="13">
        <v>11.93</v>
      </c>
      <c r="W68" s="13">
        <v>46.89</v>
      </c>
      <c r="X68" s="13">
        <v>3.71</v>
      </c>
      <c r="Y68" s="13">
        <v>267.14999999999998</v>
      </c>
      <c r="Z68" s="6">
        <v>0</v>
      </c>
      <c r="AA68" s="13">
        <v>628.91</v>
      </c>
      <c r="AB68" s="6">
        <v>0</v>
      </c>
      <c r="AC68" s="13">
        <v>102.78</v>
      </c>
      <c r="AD68" s="13">
        <v>226.65</v>
      </c>
      <c r="AE68" s="13">
        <v>230.98</v>
      </c>
      <c r="AF68" s="13">
        <v>27.19</v>
      </c>
      <c r="AG68" s="13">
        <v>9.2799999999999994</v>
      </c>
      <c r="AH68" s="56">
        <v>29.69</v>
      </c>
      <c r="AI68" s="67"/>
      <c r="AJ68" s="13">
        <v>0.52</v>
      </c>
      <c r="AK68" s="13">
        <v>8.9499999999999993</v>
      </c>
      <c r="AL68" s="13">
        <v>1662.65</v>
      </c>
      <c r="AM68" s="13">
        <v>12.92</v>
      </c>
      <c r="AN68" s="13">
        <v>232.01</v>
      </c>
      <c r="AO68" s="13">
        <v>28.95</v>
      </c>
      <c r="AP68" s="13">
        <v>31.39</v>
      </c>
      <c r="AQ68" s="13">
        <v>0.16</v>
      </c>
      <c r="AR68" s="13">
        <v>1.1399999999999999</v>
      </c>
      <c r="AS68" s="6">
        <v>73</v>
      </c>
      <c r="AT68" s="13">
        <v>7.65</v>
      </c>
      <c r="AU68" s="13">
        <v>2.58</v>
      </c>
      <c r="AV68" s="13">
        <v>0.03</v>
      </c>
      <c r="AW68" s="13">
        <v>7.0000000000000007E-2</v>
      </c>
      <c r="AX68" s="13">
        <v>19.940000000000001</v>
      </c>
      <c r="AY68" s="13">
        <v>0.64</v>
      </c>
      <c r="AZ68" s="13">
        <v>38.549999999999997</v>
      </c>
      <c r="BA68" s="13">
        <v>30.41</v>
      </c>
      <c r="BB68" s="13">
        <v>0.54</v>
      </c>
      <c r="BC68" s="13">
        <v>10.44</v>
      </c>
      <c r="BD68" s="13">
        <v>74.92</v>
      </c>
      <c r="BE68" s="13">
        <v>86.19</v>
      </c>
      <c r="BF68" s="13">
        <v>2323.0300000000002</v>
      </c>
      <c r="BG68" s="13">
        <v>160.36000000000001</v>
      </c>
      <c r="BH68" s="13">
        <v>5.21</v>
      </c>
      <c r="BI68" s="6">
        <v>0</v>
      </c>
      <c r="BJ68" s="13">
        <v>5.61</v>
      </c>
      <c r="BK68" s="13">
        <v>11.25</v>
      </c>
      <c r="BL68" s="13">
        <v>0.43</v>
      </c>
      <c r="BM68" s="13">
        <v>65.12</v>
      </c>
      <c r="BN68" s="13">
        <v>234.97</v>
      </c>
      <c r="BO68" s="13">
        <v>25.34</v>
      </c>
      <c r="BP68" s="13">
        <v>57.61</v>
      </c>
      <c r="BQ68" s="13">
        <v>7.48</v>
      </c>
      <c r="BR68" s="13">
        <v>3.92</v>
      </c>
      <c r="BS68" s="13">
        <v>4.67</v>
      </c>
      <c r="BT68" s="6">
        <v>0</v>
      </c>
      <c r="BU68" s="13">
        <v>4.92</v>
      </c>
      <c r="BV68" s="13">
        <v>0.94</v>
      </c>
      <c r="BW68" s="6">
        <v>0</v>
      </c>
      <c r="BX68" s="6">
        <v>0</v>
      </c>
      <c r="BY68" s="13">
        <v>152.84</v>
      </c>
      <c r="BZ68" s="13">
        <v>152.84</v>
      </c>
      <c r="CA68" s="6">
        <v>0</v>
      </c>
      <c r="CB68" s="6">
        <v>0</v>
      </c>
      <c r="CC68" s="13">
        <v>3270.33</v>
      </c>
      <c r="CD68" s="13">
        <v>-1.1599999999999999</v>
      </c>
      <c r="CE68" s="13">
        <v>3143.66</v>
      </c>
      <c r="CF68" s="13">
        <v>1954.69</v>
      </c>
      <c r="CG68" s="13">
        <v>1188.97</v>
      </c>
      <c r="CH68" s="13">
        <v>1692.64</v>
      </c>
      <c r="CI68" s="13">
        <v>262.05</v>
      </c>
      <c r="CJ68" s="13">
        <v>3271.49</v>
      </c>
      <c r="CK68" s="13">
        <v>-1.1599999999999999</v>
      </c>
      <c r="CL68" s="6">
        <v>0</v>
      </c>
      <c r="CM68" s="13">
        <v>13608.54</v>
      </c>
      <c r="CN68" s="13">
        <v>6566.83</v>
      </c>
    </row>
    <row r="69" spans="1:92" ht="14">
      <c r="A69" s="4" t="s">
        <v>75</v>
      </c>
      <c r="B69" s="12">
        <v>899.52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37"/>
      <c r="O69" s="37"/>
      <c r="P69" s="41"/>
      <c r="Q69" s="41"/>
      <c r="R69" s="45"/>
      <c r="S69" s="45"/>
      <c r="T69" s="49"/>
      <c r="U69" s="49"/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7">
        <v>0</v>
      </c>
      <c r="AI69" s="68"/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12">
        <v>899.52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12">
        <v>440.97</v>
      </c>
      <c r="BZ69" s="12">
        <v>409.33</v>
      </c>
      <c r="CA69" s="5">
        <v>0</v>
      </c>
      <c r="CB69" s="12">
        <v>31.65</v>
      </c>
      <c r="CC69" s="12">
        <v>11670.6</v>
      </c>
      <c r="CD69" s="5">
        <v>0</v>
      </c>
      <c r="CE69" s="12">
        <v>3286.59</v>
      </c>
      <c r="CF69" s="12">
        <v>1882.15</v>
      </c>
      <c r="CG69" s="12">
        <v>1404.44</v>
      </c>
      <c r="CH69" s="12">
        <v>1693.09</v>
      </c>
      <c r="CI69" s="12">
        <v>189.06</v>
      </c>
      <c r="CJ69" s="12">
        <v>11670.6</v>
      </c>
      <c r="CK69" s="5">
        <v>0</v>
      </c>
      <c r="CL69" s="5">
        <v>0</v>
      </c>
      <c r="CM69" s="12">
        <v>16297.68</v>
      </c>
      <c r="CN69" s="12">
        <v>15398.16</v>
      </c>
    </row>
    <row r="70" spans="1:92" ht="14">
      <c r="A70" s="4" t="s">
        <v>76</v>
      </c>
      <c r="B70" s="13">
        <v>8350.11</v>
      </c>
      <c r="C70" s="13">
        <v>3.71</v>
      </c>
      <c r="D70" s="13">
        <v>0.88</v>
      </c>
      <c r="E70" s="6">
        <v>0</v>
      </c>
      <c r="F70" s="13">
        <v>14.73</v>
      </c>
      <c r="G70" s="13">
        <v>859.32</v>
      </c>
      <c r="H70" s="13">
        <v>50.35</v>
      </c>
      <c r="I70" s="13">
        <v>49.34</v>
      </c>
      <c r="J70" s="13">
        <v>20.89</v>
      </c>
      <c r="K70" s="13">
        <v>6.83</v>
      </c>
      <c r="L70" s="13">
        <v>3.15</v>
      </c>
      <c r="M70" s="13">
        <v>90.88</v>
      </c>
      <c r="N70" s="36"/>
      <c r="O70" s="36"/>
      <c r="P70" s="40"/>
      <c r="Q70" s="40"/>
      <c r="R70" s="44"/>
      <c r="S70" s="44"/>
      <c r="T70" s="48"/>
      <c r="U70" s="48"/>
      <c r="V70" s="13">
        <v>48.26</v>
      </c>
      <c r="W70" s="13">
        <v>54.95</v>
      </c>
      <c r="X70" s="13">
        <v>26.23</v>
      </c>
      <c r="Y70" s="13">
        <v>106.42</v>
      </c>
      <c r="Z70" s="13">
        <v>87.24</v>
      </c>
      <c r="AA70" s="13">
        <v>78.349999999999994</v>
      </c>
      <c r="AB70" s="13">
        <v>36.479999999999997</v>
      </c>
      <c r="AC70" s="13">
        <v>156.84</v>
      </c>
      <c r="AD70" s="13">
        <v>26.25</v>
      </c>
      <c r="AE70" s="13">
        <v>29.37</v>
      </c>
      <c r="AF70" s="13">
        <v>56.34</v>
      </c>
      <c r="AG70" s="13">
        <v>44.48</v>
      </c>
      <c r="AH70" s="56">
        <v>99.31</v>
      </c>
      <c r="AI70" s="67"/>
      <c r="AJ70" s="13">
        <v>4.32</v>
      </c>
      <c r="AK70" s="13">
        <v>35.35</v>
      </c>
      <c r="AL70" s="13">
        <v>137.6</v>
      </c>
      <c r="AM70" s="13">
        <v>325.89</v>
      </c>
      <c r="AN70" s="13">
        <v>914.99</v>
      </c>
      <c r="AO70" s="13">
        <v>563.63</v>
      </c>
      <c r="AP70" s="13">
        <v>72.83</v>
      </c>
      <c r="AQ70" s="13">
        <v>0.11</v>
      </c>
      <c r="AR70" s="13">
        <v>19.03</v>
      </c>
      <c r="AS70" s="13">
        <v>91.41</v>
      </c>
      <c r="AT70" s="13">
        <v>59.33</v>
      </c>
      <c r="AU70" s="13">
        <v>120.71</v>
      </c>
      <c r="AV70" s="13">
        <v>176.04</v>
      </c>
      <c r="AW70" s="13">
        <v>278.33999999999997</v>
      </c>
      <c r="AX70" s="13">
        <v>150.63</v>
      </c>
      <c r="AY70" s="13">
        <v>117.75</v>
      </c>
      <c r="AZ70" s="13">
        <v>407.81</v>
      </c>
      <c r="BA70" s="13">
        <v>157.30000000000001</v>
      </c>
      <c r="BB70" s="13">
        <v>62.63</v>
      </c>
      <c r="BC70" s="13">
        <v>0.5</v>
      </c>
      <c r="BD70" s="13">
        <v>80.319999999999993</v>
      </c>
      <c r="BE70" s="13">
        <v>310.58999999999997</v>
      </c>
      <c r="BF70" s="13">
        <v>98.8</v>
      </c>
      <c r="BG70" s="13">
        <v>31.02</v>
      </c>
      <c r="BH70" s="13">
        <v>1378.09</v>
      </c>
      <c r="BI70" s="13">
        <v>37.32</v>
      </c>
      <c r="BJ70" s="13">
        <v>84.93</v>
      </c>
      <c r="BK70" s="13">
        <v>17.420000000000002</v>
      </c>
      <c r="BL70" s="13">
        <v>94.22</v>
      </c>
      <c r="BM70" s="13">
        <v>79.709999999999994</v>
      </c>
      <c r="BN70" s="13">
        <v>117.67</v>
      </c>
      <c r="BO70" s="13">
        <v>33.79</v>
      </c>
      <c r="BP70" s="13">
        <v>71.23</v>
      </c>
      <c r="BQ70" s="13">
        <v>18.59</v>
      </c>
      <c r="BR70" s="13">
        <v>113.86</v>
      </c>
      <c r="BS70" s="13">
        <v>35.65</v>
      </c>
      <c r="BT70" s="13">
        <v>65.650000000000006</v>
      </c>
      <c r="BU70" s="13">
        <v>6.03</v>
      </c>
      <c r="BV70" s="13">
        <v>28.45</v>
      </c>
      <c r="BW70" s="6">
        <v>0</v>
      </c>
      <c r="BX70" s="6">
        <v>0</v>
      </c>
      <c r="BY70" s="13">
        <v>23.61</v>
      </c>
      <c r="BZ70" s="13">
        <v>23.61</v>
      </c>
      <c r="CA70" s="6">
        <v>0</v>
      </c>
      <c r="CB70" s="6">
        <v>0</v>
      </c>
      <c r="CC70" s="13">
        <v>11.29</v>
      </c>
      <c r="CD70" s="13">
        <v>11.29</v>
      </c>
      <c r="CE70" s="13">
        <v>1490.51</v>
      </c>
      <c r="CF70" s="13">
        <v>1040.1500000000001</v>
      </c>
      <c r="CG70" s="13">
        <v>450.36</v>
      </c>
      <c r="CH70" s="13">
        <v>919.71</v>
      </c>
      <c r="CI70" s="13">
        <v>120.44</v>
      </c>
      <c r="CJ70" s="6">
        <v>0</v>
      </c>
      <c r="CK70" s="13">
        <v>11.29</v>
      </c>
      <c r="CL70" s="6">
        <v>0</v>
      </c>
      <c r="CM70" s="13">
        <v>9875.52</v>
      </c>
      <c r="CN70" s="13">
        <v>1525.41</v>
      </c>
    </row>
    <row r="71" spans="1:92" ht="14">
      <c r="A71" s="4" t="s">
        <v>77</v>
      </c>
      <c r="B71" s="12">
        <v>1859.5</v>
      </c>
      <c r="C71" s="12">
        <v>168.05</v>
      </c>
      <c r="D71" s="12">
        <v>2.46</v>
      </c>
      <c r="E71" s="5">
        <v>0</v>
      </c>
      <c r="F71" s="12">
        <v>2.2200000000000002</v>
      </c>
      <c r="G71" s="12">
        <v>45.03</v>
      </c>
      <c r="H71" s="12">
        <v>3.6</v>
      </c>
      <c r="I71" s="12">
        <v>7.38</v>
      </c>
      <c r="J71" s="12">
        <v>7.88</v>
      </c>
      <c r="K71" s="12">
        <v>2.0499999999999998</v>
      </c>
      <c r="L71" s="5">
        <v>1</v>
      </c>
      <c r="M71" s="12">
        <v>9.4499999999999993</v>
      </c>
      <c r="N71" s="36"/>
      <c r="O71" s="36"/>
      <c r="P71" s="40"/>
      <c r="Q71" s="40"/>
      <c r="R71" s="44"/>
      <c r="S71" s="44"/>
      <c r="T71" s="48"/>
      <c r="U71" s="48"/>
      <c r="V71" s="12">
        <v>5.12</v>
      </c>
      <c r="W71" s="5">
        <v>0</v>
      </c>
      <c r="X71" s="12">
        <v>0.36</v>
      </c>
      <c r="Y71" s="12">
        <v>9.58</v>
      </c>
      <c r="Z71" s="12">
        <v>18.39</v>
      </c>
      <c r="AA71" s="12">
        <v>1.02</v>
      </c>
      <c r="AB71" s="12">
        <v>6.88</v>
      </c>
      <c r="AC71" s="12">
        <v>20.07</v>
      </c>
      <c r="AD71" s="12">
        <v>2.99</v>
      </c>
      <c r="AE71" s="12">
        <v>4.7</v>
      </c>
      <c r="AF71" s="12">
        <v>8.68</v>
      </c>
      <c r="AG71" s="12">
        <v>7.91</v>
      </c>
      <c r="AH71" s="56">
        <v>4.88</v>
      </c>
      <c r="AI71" s="67"/>
      <c r="AJ71" s="12">
        <v>0.97</v>
      </c>
      <c r="AK71" s="12">
        <v>10.37</v>
      </c>
      <c r="AL71" s="12">
        <v>47.04</v>
      </c>
      <c r="AM71" s="12">
        <v>34.19</v>
      </c>
      <c r="AN71" s="12">
        <v>120.34</v>
      </c>
      <c r="AO71" s="12">
        <v>105.01</v>
      </c>
      <c r="AP71" s="12">
        <v>21.3</v>
      </c>
      <c r="AQ71" s="12">
        <v>0.21</v>
      </c>
      <c r="AR71" s="12">
        <v>0.65</v>
      </c>
      <c r="AS71" s="12">
        <v>12.57</v>
      </c>
      <c r="AT71" s="12">
        <v>3.22</v>
      </c>
      <c r="AU71" s="12">
        <v>25.27</v>
      </c>
      <c r="AV71" s="12">
        <v>15.46</v>
      </c>
      <c r="AW71" s="12">
        <v>13.12</v>
      </c>
      <c r="AX71" s="12">
        <v>8.18</v>
      </c>
      <c r="AY71" s="12">
        <v>30.42</v>
      </c>
      <c r="AZ71" s="12">
        <v>85.78</v>
      </c>
      <c r="BA71" s="12">
        <v>35.42</v>
      </c>
      <c r="BB71" s="12">
        <v>13.31</v>
      </c>
      <c r="BC71" s="12">
        <v>0.69</v>
      </c>
      <c r="BD71" s="12">
        <v>14.94</v>
      </c>
      <c r="BE71" s="12">
        <v>129.27000000000001</v>
      </c>
      <c r="BF71" s="12">
        <v>17.100000000000001</v>
      </c>
      <c r="BG71" s="12">
        <v>16.079999999999998</v>
      </c>
      <c r="BH71" s="12">
        <v>16.989999999999998</v>
      </c>
      <c r="BI71" s="12">
        <v>468.29</v>
      </c>
      <c r="BJ71" s="12">
        <v>13.94</v>
      </c>
      <c r="BK71" s="12">
        <v>1.22</v>
      </c>
      <c r="BL71" s="12">
        <v>6.58</v>
      </c>
      <c r="BM71" s="12">
        <v>7.87</v>
      </c>
      <c r="BN71" s="12">
        <v>105.36</v>
      </c>
      <c r="BO71" s="12">
        <v>25.75</v>
      </c>
      <c r="BP71" s="12">
        <v>27.25</v>
      </c>
      <c r="BQ71" s="12">
        <v>27.24</v>
      </c>
      <c r="BR71" s="12">
        <v>22.75</v>
      </c>
      <c r="BS71" s="12">
        <v>10.28</v>
      </c>
      <c r="BT71" s="12">
        <v>15.16</v>
      </c>
      <c r="BU71" s="12">
        <v>2.0499999999999998</v>
      </c>
      <c r="BV71" s="12">
        <v>8.19</v>
      </c>
      <c r="BW71" s="5">
        <v>0</v>
      </c>
      <c r="BX71" s="5">
        <v>0</v>
      </c>
      <c r="BY71" s="12">
        <v>468.5</v>
      </c>
      <c r="BZ71" s="12">
        <v>17.260000000000002</v>
      </c>
      <c r="CA71" s="12">
        <v>451.24</v>
      </c>
      <c r="CB71" s="5">
        <v>0</v>
      </c>
      <c r="CC71" s="12">
        <v>10.42</v>
      </c>
      <c r="CD71" s="12">
        <v>10.42</v>
      </c>
      <c r="CE71" s="12">
        <v>332.24</v>
      </c>
      <c r="CF71" s="12">
        <v>197.24</v>
      </c>
      <c r="CG71" s="5">
        <v>135</v>
      </c>
      <c r="CH71" s="12">
        <v>157.11000000000001</v>
      </c>
      <c r="CI71" s="12">
        <v>40.130000000000003</v>
      </c>
      <c r="CJ71" s="5">
        <v>0</v>
      </c>
      <c r="CK71" s="12">
        <v>10.42</v>
      </c>
      <c r="CL71" s="5">
        <v>0</v>
      </c>
      <c r="CM71" s="12">
        <v>2670.67</v>
      </c>
      <c r="CN71" s="12">
        <v>811.17</v>
      </c>
    </row>
    <row r="72" spans="1:92" ht="14">
      <c r="A72" s="4" t="s">
        <v>78</v>
      </c>
      <c r="B72" s="13">
        <v>9080.42</v>
      </c>
      <c r="C72" s="13">
        <v>69.59</v>
      </c>
      <c r="D72" s="13">
        <v>20.8</v>
      </c>
      <c r="E72" s="13">
        <v>2.66</v>
      </c>
      <c r="F72" s="13">
        <v>35.25</v>
      </c>
      <c r="G72" s="13">
        <v>120.07</v>
      </c>
      <c r="H72" s="13">
        <v>15.82</v>
      </c>
      <c r="I72" s="13">
        <v>30.08</v>
      </c>
      <c r="J72" s="13">
        <v>40.35</v>
      </c>
      <c r="K72" s="13">
        <v>16.46</v>
      </c>
      <c r="L72" s="13">
        <v>18.190000000000001</v>
      </c>
      <c r="M72" s="13">
        <v>172.94</v>
      </c>
      <c r="N72" s="36"/>
      <c r="O72" s="36"/>
      <c r="P72" s="40"/>
      <c r="Q72" s="40"/>
      <c r="R72" s="44"/>
      <c r="S72" s="44"/>
      <c r="T72" s="48"/>
      <c r="U72" s="48"/>
      <c r="V72" s="13">
        <v>42.52</v>
      </c>
      <c r="W72" s="13">
        <v>58.42</v>
      </c>
      <c r="X72" s="13">
        <v>75.95</v>
      </c>
      <c r="Y72" s="13">
        <v>68.86</v>
      </c>
      <c r="Z72" s="13">
        <v>98.83</v>
      </c>
      <c r="AA72" s="13">
        <v>169.04</v>
      </c>
      <c r="AB72" s="13">
        <v>57.13</v>
      </c>
      <c r="AC72" s="13">
        <v>308.86</v>
      </c>
      <c r="AD72" s="13">
        <v>55.26</v>
      </c>
      <c r="AE72" s="13">
        <v>17.239999999999998</v>
      </c>
      <c r="AF72" s="13">
        <v>77.87</v>
      </c>
      <c r="AG72" s="13">
        <v>61.27</v>
      </c>
      <c r="AH72" s="56">
        <v>73.62</v>
      </c>
      <c r="AI72" s="67"/>
      <c r="AJ72" s="6">
        <v>0</v>
      </c>
      <c r="AK72" s="13">
        <v>115.32</v>
      </c>
      <c r="AL72" s="13">
        <v>1286.26</v>
      </c>
      <c r="AM72" s="13">
        <v>13.83</v>
      </c>
      <c r="AN72" s="13">
        <v>677.31</v>
      </c>
      <c r="AO72" s="13">
        <v>342.17</v>
      </c>
      <c r="AP72" s="13">
        <v>674.51</v>
      </c>
      <c r="AQ72" s="13">
        <v>9.61</v>
      </c>
      <c r="AR72" s="13">
        <v>397.58</v>
      </c>
      <c r="AS72" s="13">
        <v>154.94</v>
      </c>
      <c r="AT72" s="13">
        <v>13.79</v>
      </c>
      <c r="AU72" s="13">
        <v>238.13</v>
      </c>
      <c r="AV72" s="13">
        <v>11.52</v>
      </c>
      <c r="AW72" s="13">
        <v>16.809999999999999</v>
      </c>
      <c r="AX72" s="13">
        <v>73.38</v>
      </c>
      <c r="AY72" s="13">
        <v>158.82</v>
      </c>
      <c r="AZ72" s="13">
        <v>0.12</v>
      </c>
      <c r="BA72" s="13">
        <v>4.54</v>
      </c>
      <c r="BB72" s="13">
        <v>33.049999999999997</v>
      </c>
      <c r="BC72" s="13">
        <v>0.68</v>
      </c>
      <c r="BD72" s="13">
        <v>54.04</v>
      </c>
      <c r="BE72" s="13">
        <v>136.25</v>
      </c>
      <c r="BF72" s="13">
        <v>94.29</v>
      </c>
      <c r="BG72" s="13">
        <v>111.22</v>
      </c>
      <c r="BH72" s="13">
        <v>57.48</v>
      </c>
      <c r="BI72" s="13">
        <v>15.46</v>
      </c>
      <c r="BJ72" s="13">
        <v>1437.74</v>
      </c>
      <c r="BK72" s="13">
        <v>14.45</v>
      </c>
      <c r="BL72" s="13">
        <v>26.52</v>
      </c>
      <c r="BM72" s="13">
        <v>126.86</v>
      </c>
      <c r="BN72" s="13">
        <v>444.81</v>
      </c>
      <c r="BO72" s="13">
        <v>126.66</v>
      </c>
      <c r="BP72" s="13">
        <v>179.31</v>
      </c>
      <c r="BQ72" s="13">
        <v>76.010000000000005</v>
      </c>
      <c r="BR72" s="13">
        <v>61.29</v>
      </c>
      <c r="BS72" s="13">
        <v>70.400000000000006</v>
      </c>
      <c r="BT72" s="13">
        <v>87.33</v>
      </c>
      <c r="BU72" s="13">
        <v>11.13</v>
      </c>
      <c r="BV72" s="13">
        <v>19.72</v>
      </c>
      <c r="BW72" s="6">
        <v>0</v>
      </c>
      <c r="BX72" s="6">
        <v>0</v>
      </c>
      <c r="BY72" s="13">
        <v>1701.35</v>
      </c>
      <c r="BZ72" s="13">
        <v>90.57</v>
      </c>
      <c r="CA72" s="13">
        <v>1610.78</v>
      </c>
      <c r="CB72" s="6">
        <v>0</v>
      </c>
      <c r="CC72" s="6">
        <v>0</v>
      </c>
      <c r="CD72" s="6">
        <v>0</v>
      </c>
      <c r="CE72" s="13">
        <v>1761.05</v>
      </c>
      <c r="CF72" s="13">
        <v>1196.5899999999999</v>
      </c>
      <c r="CG72" s="13">
        <v>564.46</v>
      </c>
      <c r="CH72" s="13">
        <v>866.67</v>
      </c>
      <c r="CI72" s="13">
        <v>329.92</v>
      </c>
      <c r="CJ72" s="6">
        <v>0</v>
      </c>
      <c r="CK72" s="6">
        <v>0</v>
      </c>
      <c r="CL72" s="6">
        <v>0</v>
      </c>
      <c r="CM72" s="13">
        <v>12542.82</v>
      </c>
      <c r="CN72" s="13">
        <v>3462.4</v>
      </c>
    </row>
    <row r="73" spans="1:92" ht="14">
      <c r="A73" s="4" t="s">
        <v>79</v>
      </c>
      <c r="B73" s="12">
        <v>6177.51</v>
      </c>
      <c r="C73" s="12">
        <v>6.46</v>
      </c>
      <c r="D73" s="12">
        <v>1.77</v>
      </c>
      <c r="E73" s="12">
        <v>0.19</v>
      </c>
      <c r="F73" s="12">
        <v>10.48</v>
      </c>
      <c r="G73" s="12">
        <v>57.49</v>
      </c>
      <c r="H73" s="12">
        <v>3.15</v>
      </c>
      <c r="I73" s="12">
        <v>30.67</v>
      </c>
      <c r="J73" s="12">
        <v>4.42</v>
      </c>
      <c r="K73" s="12">
        <v>16.27</v>
      </c>
      <c r="L73" s="12">
        <v>2.88</v>
      </c>
      <c r="M73" s="12">
        <v>7.43</v>
      </c>
      <c r="N73" s="36"/>
      <c r="O73" s="36"/>
      <c r="P73" s="40"/>
      <c r="Q73" s="40"/>
      <c r="R73" s="44"/>
      <c r="S73" s="44"/>
      <c r="T73" s="48"/>
      <c r="U73" s="48"/>
      <c r="V73" s="12">
        <v>8.2200000000000006</v>
      </c>
      <c r="W73" s="12">
        <v>9.49</v>
      </c>
      <c r="X73" s="12">
        <v>35.07</v>
      </c>
      <c r="Y73" s="12">
        <v>60.47</v>
      </c>
      <c r="Z73" s="12">
        <v>167.46</v>
      </c>
      <c r="AA73" s="12">
        <v>53.62</v>
      </c>
      <c r="AB73" s="12">
        <v>122.08</v>
      </c>
      <c r="AC73" s="5">
        <v>337</v>
      </c>
      <c r="AD73" s="12">
        <v>198.28</v>
      </c>
      <c r="AE73" s="12">
        <v>35.06</v>
      </c>
      <c r="AF73" s="12">
        <v>28.5</v>
      </c>
      <c r="AG73" s="12">
        <v>238.82</v>
      </c>
      <c r="AH73" s="56">
        <v>239.76</v>
      </c>
      <c r="AI73" s="67"/>
      <c r="AJ73" s="12">
        <v>3.4</v>
      </c>
      <c r="AK73" s="12">
        <v>67.400000000000006</v>
      </c>
      <c r="AL73" s="12">
        <v>1447.58</v>
      </c>
      <c r="AM73" s="12">
        <v>8.7100000000000009</v>
      </c>
      <c r="AN73" s="12">
        <v>101.01</v>
      </c>
      <c r="AO73" s="12">
        <v>54.59</v>
      </c>
      <c r="AP73" s="12">
        <v>109.89</v>
      </c>
      <c r="AQ73" s="12">
        <v>0.48</v>
      </c>
      <c r="AR73" s="12">
        <v>51.92</v>
      </c>
      <c r="AS73" s="12">
        <v>258.27999999999997</v>
      </c>
      <c r="AT73" s="12">
        <v>65.72</v>
      </c>
      <c r="AU73" s="12">
        <v>47.37</v>
      </c>
      <c r="AV73" s="12">
        <v>32.46</v>
      </c>
      <c r="AW73" s="12">
        <v>22.75</v>
      </c>
      <c r="AX73" s="12">
        <v>96.78</v>
      </c>
      <c r="AY73" s="12">
        <v>404.76</v>
      </c>
      <c r="AZ73" s="12">
        <v>7.31</v>
      </c>
      <c r="BA73" s="5">
        <v>0</v>
      </c>
      <c r="BB73" s="12">
        <v>16.2</v>
      </c>
      <c r="BC73" s="12">
        <v>1.75</v>
      </c>
      <c r="BD73" s="12">
        <v>50.96</v>
      </c>
      <c r="BE73" s="12">
        <v>117.21</v>
      </c>
      <c r="BF73" s="12">
        <v>138.24</v>
      </c>
      <c r="BG73" s="12">
        <v>194.23</v>
      </c>
      <c r="BH73" s="12">
        <v>45.26</v>
      </c>
      <c r="BI73" s="12">
        <v>11.19</v>
      </c>
      <c r="BJ73" s="12">
        <v>48.97</v>
      </c>
      <c r="BK73" s="12">
        <v>402.59</v>
      </c>
      <c r="BL73" s="12">
        <v>9.5299999999999994</v>
      </c>
      <c r="BM73" s="12">
        <v>175.26</v>
      </c>
      <c r="BN73" s="12">
        <v>167.03</v>
      </c>
      <c r="BO73" s="12">
        <v>2.59</v>
      </c>
      <c r="BP73" s="12">
        <v>183.89</v>
      </c>
      <c r="BQ73" s="12">
        <v>88.8</v>
      </c>
      <c r="BR73" s="12">
        <v>14.62</v>
      </c>
      <c r="BS73" s="12">
        <v>16.02</v>
      </c>
      <c r="BT73" s="12">
        <v>22.82</v>
      </c>
      <c r="BU73" s="12">
        <v>1.08</v>
      </c>
      <c r="BV73" s="12">
        <v>13.85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12">
        <v>141.08000000000001</v>
      </c>
      <c r="CF73" s="12">
        <v>104.58</v>
      </c>
      <c r="CG73" s="12">
        <v>36.5</v>
      </c>
      <c r="CH73" s="12">
        <v>88.03</v>
      </c>
      <c r="CI73" s="12">
        <v>16.55</v>
      </c>
      <c r="CJ73" s="5">
        <v>0</v>
      </c>
      <c r="CK73" s="5">
        <v>0</v>
      </c>
      <c r="CL73" s="5">
        <v>0</v>
      </c>
      <c r="CM73" s="12">
        <v>6318.59</v>
      </c>
      <c r="CN73" s="12">
        <v>141.08000000000001</v>
      </c>
    </row>
    <row r="74" spans="1:92" ht="14">
      <c r="A74" s="4" t="s">
        <v>80</v>
      </c>
      <c r="B74" s="13">
        <v>270.75</v>
      </c>
      <c r="C74" s="13">
        <v>0.15</v>
      </c>
      <c r="D74" s="13">
        <v>0.04</v>
      </c>
      <c r="E74" s="13">
        <v>0.02</v>
      </c>
      <c r="F74" s="13">
        <v>0.4</v>
      </c>
      <c r="G74" s="13">
        <v>3.79</v>
      </c>
      <c r="H74" s="13">
        <v>0.57999999999999996</v>
      </c>
      <c r="I74" s="13">
        <v>1.57</v>
      </c>
      <c r="J74" s="13">
        <v>0.69</v>
      </c>
      <c r="K74" s="13">
        <v>0.02</v>
      </c>
      <c r="L74" s="13">
        <v>0.06</v>
      </c>
      <c r="M74" s="13">
        <v>1.52</v>
      </c>
      <c r="N74" s="36"/>
      <c r="O74" s="36"/>
      <c r="P74" s="40"/>
      <c r="Q74" s="40"/>
      <c r="R74" s="44"/>
      <c r="S74" s="44"/>
      <c r="T74" s="48"/>
      <c r="U74" s="48"/>
      <c r="V74" s="13">
        <v>0.47</v>
      </c>
      <c r="W74" s="13">
        <v>0.61</v>
      </c>
      <c r="X74" s="13">
        <v>0.89</v>
      </c>
      <c r="Y74" s="13">
        <v>2.3199999999999998</v>
      </c>
      <c r="Z74" s="13">
        <v>4.3600000000000003</v>
      </c>
      <c r="AA74" s="13">
        <v>0.86</v>
      </c>
      <c r="AB74" s="13">
        <v>0.08</v>
      </c>
      <c r="AC74" s="13">
        <v>6.56</v>
      </c>
      <c r="AD74" s="6">
        <v>0</v>
      </c>
      <c r="AE74" s="13">
        <v>0.83</v>
      </c>
      <c r="AF74" s="13">
        <v>1.36</v>
      </c>
      <c r="AG74" s="13">
        <v>2.27</v>
      </c>
      <c r="AH74" s="56">
        <v>3.88</v>
      </c>
      <c r="AI74" s="67"/>
      <c r="AJ74" s="13">
        <v>0.2</v>
      </c>
      <c r="AK74" s="13">
        <v>1.47</v>
      </c>
      <c r="AL74" s="13">
        <v>13.94</v>
      </c>
      <c r="AM74" s="13">
        <v>2.74</v>
      </c>
      <c r="AN74" s="13">
        <v>19.989999999999998</v>
      </c>
      <c r="AO74" s="13">
        <v>4.47</v>
      </c>
      <c r="AP74" s="13">
        <v>20.66</v>
      </c>
      <c r="AQ74" s="13">
        <v>0.06</v>
      </c>
      <c r="AR74" s="13">
        <v>28.64</v>
      </c>
      <c r="AS74" s="13">
        <v>29.48</v>
      </c>
      <c r="AT74" s="13">
        <v>0.6</v>
      </c>
      <c r="AU74" s="13">
        <v>31.73</v>
      </c>
      <c r="AV74" s="13">
        <v>0.17</v>
      </c>
      <c r="AW74" s="13">
        <v>0.43</v>
      </c>
      <c r="AX74" s="13">
        <v>1.49</v>
      </c>
      <c r="AY74" s="13">
        <v>1.83</v>
      </c>
      <c r="AZ74" s="13">
        <v>4.47</v>
      </c>
      <c r="BA74" s="13">
        <v>8.25</v>
      </c>
      <c r="BB74" s="13">
        <v>1.32</v>
      </c>
      <c r="BC74" s="6">
        <v>0</v>
      </c>
      <c r="BD74" s="13">
        <v>1.64</v>
      </c>
      <c r="BE74" s="13">
        <v>12.1</v>
      </c>
      <c r="BF74" s="13">
        <v>3.58</v>
      </c>
      <c r="BG74" s="13">
        <v>3.07</v>
      </c>
      <c r="BH74" s="13">
        <v>0.56000000000000005</v>
      </c>
      <c r="BI74" s="13">
        <v>2.58</v>
      </c>
      <c r="BJ74" s="13">
        <v>1.72</v>
      </c>
      <c r="BK74" s="13">
        <v>0.59</v>
      </c>
      <c r="BL74" s="13">
        <v>12.59</v>
      </c>
      <c r="BM74" s="13">
        <v>2.5299999999999998</v>
      </c>
      <c r="BN74" s="13">
        <v>8.59</v>
      </c>
      <c r="BO74" s="13">
        <v>5.47</v>
      </c>
      <c r="BP74" s="13">
        <v>3.03</v>
      </c>
      <c r="BQ74" s="13">
        <v>2.19</v>
      </c>
      <c r="BR74" s="13">
        <v>1.32</v>
      </c>
      <c r="BS74" s="13">
        <v>0.55000000000000004</v>
      </c>
      <c r="BT74" s="13">
        <v>1.75</v>
      </c>
      <c r="BU74" s="13">
        <v>0.23</v>
      </c>
      <c r="BV74" s="13">
        <v>1.43</v>
      </c>
      <c r="BW74" s="6">
        <v>0</v>
      </c>
      <c r="BX74" s="6">
        <v>0</v>
      </c>
      <c r="BY74" s="13">
        <v>1137.06</v>
      </c>
      <c r="BZ74" s="13">
        <v>120.84</v>
      </c>
      <c r="CA74" s="13">
        <v>1016.22</v>
      </c>
      <c r="CB74" s="6">
        <v>0</v>
      </c>
      <c r="CC74" s="6">
        <v>0</v>
      </c>
      <c r="CD74" s="6">
        <v>0</v>
      </c>
      <c r="CE74" s="13">
        <v>54.09</v>
      </c>
      <c r="CF74" s="13">
        <v>40.450000000000003</v>
      </c>
      <c r="CG74" s="13">
        <v>13.64</v>
      </c>
      <c r="CH74" s="13">
        <v>34.090000000000003</v>
      </c>
      <c r="CI74" s="13">
        <v>6.36</v>
      </c>
      <c r="CJ74" s="6">
        <v>0</v>
      </c>
      <c r="CK74" s="6">
        <v>0</v>
      </c>
      <c r="CL74" s="6">
        <v>0</v>
      </c>
      <c r="CM74" s="13">
        <v>1461.9</v>
      </c>
      <c r="CN74" s="13">
        <v>1191.1500000000001</v>
      </c>
    </row>
    <row r="75" spans="1:92" ht="14">
      <c r="A75" s="4" t="s">
        <v>81</v>
      </c>
      <c r="B75" s="12">
        <v>9230.2999999999993</v>
      </c>
      <c r="C75" s="12">
        <v>44.42</v>
      </c>
      <c r="D75" s="12">
        <v>1.21</v>
      </c>
      <c r="E75" s="12">
        <v>0.51</v>
      </c>
      <c r="F75" s="12">
        <v>22.39</v>
      </c>
      <c r="G75" s="12">
        <v>182.44</v>
      </c>
      <c r="H75" s="12">
        <v>17.54</v>
      </c>
      <c r="I75" s="12">
        <v>42.84</v>
      </c>
      <c r="J75" s="12">
        <v>39.94</v>
      </c>
      <c r="K75" s="12">
        <v>8.91</v>
      </c>
      <c r="L75" s="12">
        <v>18.36</v>
      </c>
      <c r="M75" s="12">
        <v>41.41</v>
      </c>
      <c r="N75" s="36"/>
      <c r="O75" s="36"/>
      <c r="P75" s="40"/>
      <c r="Q75" s="40"/>
      <c r="R75" s="44"/>
      <c r="S75" s="44"/>
      <c r="T75" s="48"/>
      <c r="U75" s="48"/>
      <c r="V75" s="12">
        <v>17.399999999999999</v>
      </c>
      <c r="W75" s="12">
        <v>32.14</v>
      </c>
      <c r="X75" s="12">
        <v>38.659999999999997</v>
      </c>
      <c r="Y75" s="12">
        <v>59.71</v>
      </c>
      <c r="Z75" s="5">
        <v>81</v>
      </c>
      <c r="AA75" s="12">
        <v>30.55</v>
      </c>
      <c r="AB75" s="12">
        <v>29.69</v>
      </c>
      <c r="AC75" s="12">
        <v>98.94</v>
      </c>
      <c r="AD75" s="12">
        <v>13.45</v>
      </c>
      <c r="AE75" s="12">
        <v>22.94</v>
      </c>
      <c r="AF75" s="12">
        <v>38.119999999999997</v>
      </c>
      <c r="AG75" s="12">
        <v>34.409999999999997</v>
      </c>
      <c r="AH75" s="56">
        <v>56.49</v>
      </c>
      <c r="AI75" s="67"/>
      <c r="AJ75" s="12">
        <v>4.96</v>
      </c>
      <c r="AK75" s="12">
        <v>38.47</v>
      </c>
      <c r="AL75" s="12">
        <v>239.46</v>
      </c>
      <c r="AM75" s="12">
        <v>151.96</v>
      </c>
      <c r="AN75" s="12">
        <v>668.16</v>
      </c>
      <c r="AO75" s="12">
        <v>268.32</v>
      </c>
      <c r="AP75" s="12">
        <v>106.97</v>
      </c>
      <c r="AQ75" s="12">
        <v>0.88</v>
      </c>
      <c r="AR75" s="12">
        <v>2.83</v>
      </c>
      <c r="AS75" s="12">
        <v>74.81</v>
      </c>
      <c r="AT75" s="12">
        <v>13.21</v>
      </c>
      <c r="AU75" s="12">
        <v>76.84</v>
      </c>
      <c r="AV75" s="12">
        <v>59.06</v>
      </c>
      <c r="AW75" s="12">
        <v>55.59</v>
      </c>
      <c r="AX75" s="12">
        <v>38.590000000000003</v>
      </c>
      <c r="AY75" s="12">
        <v>139.93</v>
      </c>
      <c r="AZ75" s="12">
        <v>355.41</v>
      </c>
      <c r="BA75" s="12">
        <v>135.1</v>
      </c>
      <c r="BB75" s="12">
        <v>63.5</v>
      </c>
      <c r="BC75" s="12">
        <v>355.38</v>
      </c>
      <c r="BD75" s="12">
        <v>1870.03</v>
      </c>
      <c r="BE75" s="12">
        <v>658.05</v>
      </c>
      <c r="BF75" s="12">
        <v>80.47</v>
      </c>
      <c r="BG75" s="12">
        <v>97.59</v>
      </c>
      <c r="BH75" s="12">
        <v>37.229999999999997</v>
      </c>
      <c r="BI75" s="12">
        <v>9.4499999999999993</v>
      </c>
      <c r="BJ75" s="12">
        <v>60.25</v>
      </c>
      <c r="BK75" s="12">
        <v>4.16</v>
      </c>
      <c r="BL75" s="12">
        <v>27.11</v>
      </c>
      <c r="BM75" s="12">
        <v>1633.76</v>
      </c>
      <c r="BN75" s="5">
        <v>278</v>
      </c>
      <c r="BO75" s="12">
        <v>120.49</v>
      </c>
      <c r="BP75" s="12">
        <v>181.76</v>
      </c>
      <c r="BQ75" s="12">
        <v>129.51</v>
      </c>
      <c r="BR75" s="12">
        <v>68.11</v>
      </c>
      <c r="BS75" s="12">
        <v>44.75</v>
      </c>
      <c r="BT75" s="12">
        <v>59.94</v>
      </c>
      <c r="BU75" s="12">
        <v>4.6399999999999997</v>
      </c>
      <c r="BV75" s="12">
        <v>42.16</v>
      </c>
      <c r="BW75" s="5">
        <v>0</v>
      </c>
      <c r="BX75" s="5">
        <v>0</v>
      </c>
      <c r="BY75" s="12">
        <v>1716.24</v>
      </c>
      <c r="BZ75" s="12">
        <v>591.97</v>
      </c>
      <c r="CA75" s="12">
        <v>1124.27</v>
      </c>
      <c r="CB75" s="5">
        <v>0</v>
      </c>
      <c r="CC75" s="12">
        <v>248.32</v>
      </c>
      <c r="CD75" s="12">
        <v>3.83</v>
      </c>
      <c r="CE75" s="12">
        <v>460.3</v>
      </c>
      <c r="CF75" s="12">
        <v>342.96</v>
      </c>
      <c r="CG75" s="12">
        <v>117.34</v>
      </c>
      <c r="CH75" s="12">
        <v>277.10000000000002</v>
      </c>
      <c r="CI75" s="12">
        <v>65.86</v>
      </c>
      <c r="CJ75" s="12">
        <v>244.49</v>
      </c>
      <c r="CK75" s="12">
        <v>3.83</v>
      </c>
      <c r="CL75" s="5">
        <v>0</v>
      </c>
      <c r="CM75" s="12">
        <v>11655.17</v>
      </c>
      <c r="CN75" s="12">
        <v>2424.86</v>
      </c>
    </row>
    <row r="76" spans="1:92" ht="14">
      <c r="A76" s="4" t="s">
        <v>82</v>
      </c>
      <c r="B76" s="13">
        <v>1266.6099999999999</v>
      </c>
      <c r="C76" s="13">
        <v>4.71</v>
      </c>
      <c r="D76" s="13">
        <v>0.85</v>
      </c>
      <c r="E76" s="13">
        <v>0.17</v>
      </c>
      <c r="F76" s="13">
        <v>0.35</v>
      </c>
      <c r="G76" s="13">
        <v>7.81</v>
      </c>
      <c r="H76" s="13">
        <v>1.1000000000000001</v>
      </c>
      <c r="I76" s="13">
        <v>2.52</v>
      </c>
      <c r="J76" s="13">
        <v>1.49</v>
      </c>
      <c r="K76" s="13">
        <v>0.28000000000000003</v>
      </c>
      <c r="L76" s="13">
        <v>0.19</v>
      </c>
      <c r="M76" s="13">
        <v>1.48</v>
      </c>
      <c r="N76" s="36"/>
      <c r="O76" s="36"/>
      <c r="P76" s="40"/>
      <c r="Q76" s="40"/>
      <c r="R76" s="44"/>
      <c r="S76" s="44"/>
      <c r="T76" s="48"/>
      <c r="U76" s="48"/>
      <c r="V76" s="13">
        <v>0.27</v>
      </c>
      <c r="W76" s="13">
        <v>1.2</v>
      </c>
      <c r="X76" s="13">
        <v>2.36</v>
      </c>
      <c r="Y76" s="13">
        <v>2.25</v>
      </c>
      <c r="Z76" s="13">
        <v>4.3499999999999996</v>
      </c>
      <c r="AA76" s="13">
        <v>1.57</v>
      </c>
      <c r="AB76" s="6">
        <v>0</v>
      </c>
      <c r="AC76" s="13">
        <v>4.41</v>
      </c>
      <c r="AD76" s="13">
        <v>0.01</v>
      </c>
      <c r="AE76" s="13">
        <v>3.03</v>
      </c>
      <c r="AF76" s="13">
        <v>1.94</v>
      </c>
      <c r="AG76" s="13">
        <v>1.47</v>
      </c>
      <c r="AH76" s="56">
        <v>2.96</v>
      </c>
      <c r="AI76" s="67"/>
      <c r="AJ76" s="13">
        <v>0.16</v>
      </c>
      <c r="AK76" s="13">
        <v>4.93</v>
      </c>
      <c r="AL76" s="13">
        <v>17.03</v>
      </c>
      <c r="AM76" s="13">
        <v>7.34</v>
      </c>
      <c r="AN76" s="13">
        <v>9.23</v>
      </c>
      <c r="AO76" s="13">
        <v>7.92</v>
      </c>
      <c r="AP76" s="13">
        <v>8.2799999999999994</v>
      </c>
      <c r="AQ76" s="13">
        <v>0.02</v>
      </c>
      <c r="AR76" s="13">
        <v>0.24</v>
      </c>
      <c r="AS76" s="13">
        <v>3.11</v>
      </c>
      <c r="AT76" s="6">
        <v>0</v>
      </c>
      <c r="AU76" s="13">
        <v>5.79</v>
      </c>
      <c r="AV76" s="13">
        <v>2.59</v>
      </c>
      <c r="AW76" s="13">
        <v>4.9000000000000004</v>
      </c>
      <c r="AX76" s="6">
        <v>0</v>
      </c>
      <c r="AY76" s="13">
        <v>8.8699999999999992</v>
      </c>
      <c r="AZ76" s="13">
        <v>22.89</v>
      </c>
      <c r="BA76" s="13">
        <v>9.26</v>
      </c>
      <c r="BB76" s="13">
        <v>31.12</v>
      </c>
      <c r="BC76" s="13">
        <v>0.01</v>
      </c>
      <c r="BD76" s="13">
        <v>4.5</v>
      </c>
      <c r="BE76" s="13">
        <v>57.92</v>
      </c>
      <c r="BF76" s="13">
        <v>7.66</v>
      </c>
      <c r="BG76" s="13">
        <v>2.2200000000000002</v>
      </c>
      <c r="BH76" s="13">
        <v>2.98</v>
      </c>
      <c r="BI76" s="13">
        <v>1.39</v>
      </c>
      <c r="BJ76" s="13">
        <v>3.38</v>
      </c>
      <c r="BK76" s="13">
        <v>1.1299999999999999</v>
      </c>
      <c r="BL76" s="13">
        <v>1.2</v>
      </c>
      <c r="BM76" s="13">
        <v>4.58</v>
      </c>
      <c r="BN76" s="13">
        <v>945.57</v>
      </c>
      <c r="BO76" s="13">
        <v>8.19</v>
      </c>
      <c r="BP76" s="13">
        <v>10.68</v>
      </c>
      <c r="BQ76" s="13">
        <v>3.86</v>
      </c>
      <c r="BR76" s="13">
        <v>4.6100000000000003</v>
      </c>
      <c r="BS76" s="13">
        <v>2.39</v>
      </c>
      <c r="BT76" s="13">
        <v>9.9700000000000006</v>
      </c>
      <c r="BU76" s="13">
        <v>0.18</v>
      </c>
      <c r="BV76" s="13">
        <v>3.76</v>
      </c>
      <c r="BW76" s="6">
        <v>0</v>
      </c>
      <c r="BX76" s="6">
        <v>0</v>
      </c>
      <c r="BY76" s="13">
        <v>27868.75</v>
      </c>
      <c r="BZ76" s="13">
        <v>27764.61</v>
      </c>
      <c r="CA76" s="13">
        <v>104.14</v>
      </c>
      <c r="CB76" s="6">
        <v>0</v>
      </c>
      <c r="CC76" s="6">
        <v>0</v>
      </c>
      <c r="CD76" s="6">
        <v>0</v>
      </c>
      <c r="CE76" s="13">
        <v>253.36</v>
      </c>
      <c r="CF76" s="13">
        <v>65.89</v>
      </c>
      <c r="CG76" s="13">
        <v>187.47</v>
      </c>
      <c r="CH76" s="6">
        <v>0</v>
      </c>
      <c r="CI76" s="13">
        <v>65.89</v>
      </c>
      <c r="CJ76" s="6">
        <v>0</v>
      </c>
      <c r="CK76" s="6">
        <v>0</v>
      </c>
      <c r="CL76" s="6">
        <v>0</v>
      </c>
      <c r="CM76" s="13">
        <v>29388.720000000001</v>
      </c>
      <c r="CN76" s="13">
        <v>28122.11</v>
      </c>
    </row>
    <row r="77" spans="1:92" ht="14">
      <c r="A77" s="4" t="s">
        <v>83</v>
      </c>
      <c r="B77" s="12">
        <v>1184.9000000000001</v>
      </c>
      <c r="C77" s="12">
        <v>2.3199999999999998</v>
      </c>
      <c r="D77" s="12">
        <v>0.33</v>
      </c>
      <c r="E77" s="12">
        <v>0.19</v>
      </c>
      <c r="F77" s="12">
        <v>5.04</v>
      </c>
      <c r="G77" s="12">
        <v>13.18</v>
      </c>
      <c r="H77" s="12">
        <v>1.33</v>
      </c>
      <c r="I77" s="12">
        <v>10.41</v>
      </c>
      <c r="J77" s="12">
        <v>6.28</v>
      </c>
      <c r="K77" s="12">
        <v>0.27</v>
      </c>
      <c r="L77" s="12">
        <v>0.87</v>
      </c>
      <c r="M77" s="12">
        <v>9.27</v>
      </c>
      <c r="N77" s="36"/>
      <c r="O77" s="36"/>
      <c r="P77" s="40"/>
      <c r="Q77" s="40"/>
      <c r="R77" s="44"/>
      <c r="S77" s="44"/>
      <c r="T77" s="48"/>
      <c r="U77" s="48"/>
      <c r="V77" s="12">
        <v>1.6</v>
      </c>
      <c r="W77" s="12">
        <v>3.09</v>
      </c>
      <c r="X77" s="12">
        <v>3.43</v>
      </c>
      <c r="Y77" s="12">
        <v>17.29</v>
      </c>
      <c r="Z77" s="12">
        <v>10.74</v>
      </c>
      <c r="AA77" s="12">
        <v>2.29</v>
      </c>
      <c r="AB77" s="12">
        <v>3.8</v>
      </c>
      <c r="AC77" s="12">
        <v>29.15</v>
      </c>
      <c r="AD77" s="12">
        <v>0.01</v>
      </c>
      <c r="AE77" s="12">
        <v>3.32</v>
      </c>
      <c r="AF77" s="12">
        <v>4.66</v>
      </c>
      <c r="AG77" s="12">
        <v>11.77</v>
      </c>
      <c r="AH77" s="56">
        <v>35.450000000000003</v>
      </c>
      <c r="AI77" s="67"/>
      <c r="AJ77" s="12">
        <v>3.01</v>
      </c>
      <c r="AK77" s="12">
        <v>12.55</v>
      </c>
      <c r="AL77" s="12">
        <v>55.44</v>
      </c>
      <c r="AM77" s="12">
        <v>23.6</v>
      </c>
      <c r="AN77" s="12">
        <v>45.6</v>
      </c>
      <c r="AO77" s="12">
        <v>29.18</v>
      </c>
      <c r="AP77" s="12">
        <v>39.979999999999997</v>
      </c>
      <c r="AQ77" s="5">
        <v>0</v>
      </c>
      <c r="AR77" s="12">
        <v>7.84</v>
      </c>
      <c r="AS77" s="12">
        <v>21.86</v>
      </c>
      <c r="AT77" s="12">
        <v>0.88</v>
      </c>
      <c r="AU77" s="12">
        <v>5.44</v>
      </c>
      <c r="AV77" s="12">
        <v>1.71</v>
      </c>
      <c r="AW77" s="12">
        <v>1.22</v>
      </c>
      <c r="AX77" s="12">
        <v>1.99</v>
      </c>
      <c r="AY77" s="12">
        <v>22.47</v>
      </c>
      <c r="AZ77" s="12">
        <v>30.41</v>
      </c>
      <c r="BA77" s="12">
        <v>34.03</v>
      </c>
      <c r="BB77" s="12">
        <v>15.35</v>
      </c>
      <c r="BC77" s="5">
        <v>0</v>
      </c>
      <c r="BD77" s="12">
        <v>3.72</v>
      </c>
      <c r="BE77" s="12">
        <v>78.739999999999995</v>
      </c>
      <c r="BF77" s="12">
        <v>9.52</v>
      </c>
      <c r="BG77" s="12">
        <v>72.63</v>
      </c>
      <c r="BH77" s="12">
        <v>2.7</v>
      </c>
      <c r="BI77" s="12">
        <v>3.46</v>
      </c>
      <c r="BJ77" s="12">
        <v>0.99</v>
      </c>
      <c r="BK77" s="12">
        <v>1.57</v>
      </c>
      <c r="BL77" s="12">
        <v>4.58</v>
      </c>
      <c r="BM77" s="12">
        <v>13.83</v>
      </c>
      <c r="BN77" s="12">
        <v>33.950000000000003</v>
      </c>
      <c r="BO77" s="12">
        <v>335.29</v>
      </c>
      <c r="BP77" s="12">
        <v>55.59</v>
      </c>
      <c r="BQ77" s="12">
        <v>20.68</v>
      </c>
      <c r="BR77" s="12">
        <v>3.55</v>
      </c>
      <c r="BS77" s="12">
        <v>9.4600000000000009</v>
      </c>
      <c r="BT77" s="12">
        <v>1.62</v>
      </c>
      <c r="BU77" s="12">
        <v>1.19</v>
      </c>
      <c r="BV77" s="12">
        <v>3.19</v>
      </c>
      <c r="BW77" s="5">
        <v>0</v>
      </c>
      <c r="BX77" s="5">
        <v>0</v>
      </c>
      <c r="BY77" s="12">
        <v>19850.21</v>
      </c>
      <c r="BZ77" s="12">
        <v>16952.349999999999</v>
      </c>
      <c r="CA77" s="12">
        <v>1909.62</v>
      </c>
      <c r="CB77" s="12">
        <v>988.25</v>
      </c>
      <c r="CC77" s="5">
        <v>0</v>
      </c>
      <c r="CD77" s="5">
        <v>0</v>
      </c>
      <c r="CE77" s="12">
        <v>55.57</v>
      </c>
      <c r="CF77" s="12">
        <v>45.07</v>
      </c>
      <c r="CG77" s="12">
        <v>10.5</v>
      </c>
      <c r="CH77" s="12">
        <v>40.98</v>
      </c>
      <c r="CI77" s="12">
        <v>4.0999999999999996</v>
      </c>
      <c r="CJ77" s="5">
        <v>0</v>
      </c>
      <c r="CK77" s="5">
        <v>0</v>
      </c>
      <c r="CL77" s="5">
        <v>0</v>
      </c>
      <c r="CM77" s="12">
        <v>21090.68</v>
      </c>
      <c r="CN77" s="12">
        <v>19905.78</v>
      </c>
    </row>
    <row r="78" spans="1:92" ht="14">
      <c r="A78" s="4" t="s">
        <v>84</v>
      </c>
      <c r="B78" s="13">
        <v>2995.37</v>
      </c>
      <c r="C78" s="6">
        <v>0</v>
      </c>
      <c r="D78" s="13">
        <v>0.01</v>
      </c>
      <c r="E78" s="6">
        <v>0</v>
      </c>
      <c r="F78" s="13">
        <v>1.06</v>
      </c>
      <c r="G78" s="13">
        <v>11.5</v>
      </c>
      <c r="H78" s="13">
        <v>0.81</v>
      </c>
      <c r="I78" s="13">
        <v>2.5099999999999998</v>
      </c>
      <c r="J78" s="13">
        <v>1.43</v>
      </c>
      <c r="K78" s="13">
        <v>7.0000000000000007E-2</v>
      </c>
      <c r="L78" s="13">
        <v>0.1</v>
      </c>
      <c r="M78" s="13">
        <v>0.03</v>
      </c>
      <c r="N78" s="36"/>
      <c r="O78" s="36"/>
      <c r="P78" s="40"/>
      <c r="Q78" s="40"/>
      <c r="R78" s="44"/>
      <c r="S78" s="44"/>
      <c r="T78" s="48"/>
      <c r="U78" s="48"/>
      <c r="V78" s="13">
        <v>6.2</v>
      </c>
      <c r="W78" s="13">
        <v>0.76</v>
      </c>
      <c r="X78" s="13">
        <v>0.41</v>
      </c>
      <c r="Y78" s="13">
        <v>0.02</v>
      </c>
      <c r="Z78" s="13">
        <v>1.76</v>
      </c>
      <c r="AA78" s="6">
        <v>0</v>
      </c>
      <c r="AB78" s="6">
        <v>0</v>
      </c>
      <c r="AC78" s="6">
        <v>0</v>
      </c>
      <c r="AD78" s="6">
        <v>0</v>
      </c>
      <c r="AE78" s="13">
        <v>0.31</v>
      </c>
      <c r="AF78" s="13">
        <v>0.52</v>
      </c>
      <c r="AG78" s="13">
        <v>0.03</v>
      </c>
      <c r="AH78" s="56">
        <v>0.25</v>
      </c>
      <c r="AI78" s="67"/>
      <c r="AJ78" s="13">
        <v>0.41</v>
      </c>
      <c r="AK78" s="13">
        <v>1.58</v>
      </c>
      <c r="AL78" s="13">
        <v>0.45</v>
      </c>
      <c r="AM78" s="13">
        <v>0.97</v>
      </c>
      <c r="AN78" s="13">
        <v>6.4</v>
      </c>
      <c r="AO78" s="13">
        <v>23.85</v>
      </c>
      <c r="AP78" s="13">
        <v>9.8000000000000007</v>
      </c>
      <c r="AQ78" s="6">
        <v>0</v>
      </c>
      <c r="AR78" s="13">
        <v>1.97</v>
      </c>
      <c r="AS78" s="13">
        <v>3.9</v>
      </c>
      <c r="AT78" s="13">
        <v>1.1299999999999999</v>
      </c>
      <c r="AU78" s="13">
        <v>4.99</v>
      </c>
      <c r="AV78" s="13">
        <v>0.23</v>
      </c>
      <c r="AW78" s="6">
        <v>0</v>
      </c>
      <c r="AX78" s="13">
        <v>2.35</v>
      </c>
      <c r="AY78" s="6">
        <v>0</v>
      </c>
      <c r="AZ78" s="13">
        <v>1.84</v>
      </c>
      <c r="BA78" s="13">
        <v>2.11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13">
        <v>56.7</v>
      </c>
      <c r="BH78" s="6">
        <v>0</v>
      </c>
      <c r="BI78" s="6">
        <v>0</v>
      </c>
      <c r="BJ78" s="13">
        <v>0.01</v>
      </c>
      <c r="BK78" s="6">
        <v>0</v>
      </c>
      <c r="BL78" s="6">
        <v>0</v>
      </c>
      <c r="BM78" s="13">
        <v>2.71</v>
      </c>
      <c r="BN78" s="13">
        <v>1478.66</v>
      </c>
      <c r="BO78" s="13">
        <v>0.01</v>
      </c>
      <c r="BP78" s="13">
        <v>1301.43</v>
      </c>
      <c r="BQ78" s="13">
        <v>64.83</v>
      </c>
      <c r="BR78" s="13">
        <v>0.05</v>
      </c>
      <c r="BS78" s="13">
        <v>0.01</v>
      </c>
      <c r="BT78" s="6">
        <v>0</v>
      </c>
      <c r="BU78" s="13">
        <v>7.0000000000000007E-2</v>
      </c>
      <c r="BV78" s="13">
        <v>1.17</v>
      </c>
      <c r="BW78" s="6">
        <v>0</v>
      </c>
      <c r="BX78" s="6">
        <v>0</v>
      </c>
      <c r="BY78" s="13">
        <v>30459.82</v>
      </c>
      <c r="BZ78" s="13">
        <v>23183.51</v>
      </c>
      <c r="CA78" s="13">
        <v>4327.04</v>
      </c>
      <c r="CB78" s="13">
        <v>2949.27</v>
      </c>
      <c r="CC78" s="6">
        <v>0</v>
      </c>
      <c r="CD78" s="6">
        <v>0</v>
      </c>
      <c r="CE78" s="13">
        <v>283.7</v>
      </c>
      <c r="CF78" s="13">
        <v>255.18</v>
      </c>
      <c r="CG78" s="13">
        <v>28.52</v>
      </c>
      <c r="CH78" s="13">
        <v>214.8</v>
      </c>
      <c r="CI78" s="13">
        <v>40.380000000000003</v>
      </c>
      <c r="CJ78" s="6">
        <v>0</v>
      </c>
      <c r="CK78" s="6">
        <v>0</v>
      </c>
      <c r="CL78" s="6">
        <v>0</v>
      </c>
      <c r="CM78" s="13">
        <v>33738.89</v>
      </c>
      <c r="CN78" s="13">
        <v>30743.52</v>
      </c>
    </row>
    <row r="79" spans="1:92" ht="14">
      <c r="A79" s="4" t="s">
        <v>85</v>
      </c>
      <c r="B79" s="12">
        <v>658.33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37"/>
      <c r="O79" s="37"/>
      <c r="P79" s="41"/>
      <c r="Q79" s="41"/>
      <c r="R79" s="45"/>
      <c r="S79" s="45"/>
      <c r="T79" s="49"/>
      <c r="U79" s="49"/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7">
        <v>0</v>
      </c>
      <c r="AI79" s="68"/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12">
        <v>460.92</v>
      </c>
      <c r="BO79" s="5">
        <v>0</v>
      </c>
      <c r="BP79" s="5">
        <v>0</v>
      </c>
      <c r="BQ79" s="12">
        <v>197.41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12">
        <v>10511.83</v>
      </c>
      <c r="BZ79" s="12">
        <v>5493.61</v>
      </c>
      <c r="CA79" s="12">
        <v>2821.74</v>
      </c>
      <c r="CB79" s="12">
        <v>2196.48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12">
        <v>11170.16</v>
      </c>
      <c r="CN79" s="12">
        <v>10511.83</v>
      </c>
    </row>
    <row r="80" spans="1:92" ht="14">
      <c r="A80" s="4" t="s">
        <v>86</v>
      </c>
      <c r="B80" s="13">
        <v>557.61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13">
        <v>4.54</v>
      </c>
      <c r="L80" s="6">
        <v>0</v>
      </c>
      <c r="M80" s="6">
        <v>0</v>
      </c>
      <c r="N80" s="37"/>
      <c r="O80" s="37"/>
      <c r="P80" s="41"/>
      <c r="Q80" s="41"/>
      <c r="R80" s="45"/>
      <c r="S80" s="45"/>
      <c r="T80" s="49"/>
      <c r="U80" s="49"/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57">
        <v>0</v>
      </c>
      <c r="AI80" s="68"/>
      <c r="AJ80" s="6">
        <v>0</v>
      </c>
      <c r="AK80" s="6">
        <v>0</v>
      </c>
      <c r="AL80" s="6">
        <v>0</v>
      </c>
      <c r="AM80" s="6">
        <v>0</v>
      </c>
      <c r="AN80" s="13">
        <v>16.829999999999998</v>
      </c>
      <c r="AO80" s="6">
        <v>0</v>
      </c>
      <c r="AP80" s="13">
        <v>0.25</v>
      </c>
      <c r="AQ80" s="6">
        <v>0</v>
      </c>
      <c r="AR80" s="6">
        <v>0</v>
      </c>
      <c r="AS80" s="6">
        <v>0</v>
      </c>
      <c r="AT80" s="6">
        <v>0</v>
      </c>
      <c r="AU80" s="13">
        <v>47.51</v>
      </c>
      <c r="AV80" s="13">
        <v>29.62</v>
      </c>
      <c r="AW80" s="13">
        <v>120.43</v>
      </c>
      <c r="AX80" s="13">
        <v>3.79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13">
        <v>7.33</v>
      </c>
      <c r="BI80" s="6">
        <v>0</v>
      </c>
      <c r="BJ80" s="6">
        <v>0</v>
      </c>
      <c r="BK80" s="6">
        <v>0</v>
      </c>
      <c r="BL80" s="13">
        <v>2.54</v>
      </c>
      <c r="BM80" s="6">
        <v>0</v>
      </c>
      <c r="BN80" s="13">
        <v>6.87</v>
      </c>
      <c r="BO80" s="6">
        <v>6</v>
      </c>
      <c r="BP80" s="6">
        <v>0</v>
      </c>
      <c r="BQ80" s="6">
        <v>0</v>
      </c>
      <c r="BR80" s="13">
        <v>311.83999999999997</v>
      </c>
      <c r="BS80" s="13">
        <v>0.06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13">
        <v>2932.02</v>
      </c>
      <c r="BZ80" s="13">
        <v>997.07</v>
      </c>
      <c r="CA80" s="13">
        <v>1779.98</v>
      </c>
      <c r="CB80" s="13">
        <v>154.97</v>
      </c>
      <c r="CC80" s="13">
        <v>390.71</v>
      </c>
      <c r="CD80" s="13">
        <v>234.88</v>
      </c>
      <c r="CE80" s="13">
        <v>297.54000000000002</v>
      </c>
      <c r="CF80" s="13">
        <v>136.24</v>
      </c>
      <c r="CG80" s="13">
        <v>161.30000000000001</v>
      </c>
      <c r="CH80" s="13">
        <v>122.05</v>
      </c>
      <c r="CI80" s="13">
        <v>14.19</v>
      </c>
      <c r="CJ80" s="13">
        <v>155.84</v>
      </c>
      <c r="CK80" s="13">
        <v>1.86</v>
      </c>
      <c r="CL80" s="13">
        <v>233.02</v>
      </c>
      <c r="CM80" s="13">
        <v>4177.88</v>
      </c>
      <c r="CN80" s="13">
        <v>3620.27</v>
      </c>
    </row>
    <row r="81" spans="1:92" ht="14">
      <c r="A81" s="4" t="s">
        <v>87</v>
      </c>
      <c r="B81" s="12">
        <v>426.37</v>
      </c>
      <c r="C81" s="5">
        <v>0</v>
      </c>
      <c r="D81" s="5">
        <v>0</v>
      </c>
      <c r="E81" s="5">
        <v>0</v>
      </c>
      <c r="F81" s="12">
        <v>0.14000000000000001</v>
      </c>
      <c r="G81" s="12">
        <v>47.1</v>
      </c>
      <c r="H81" s="12">
        <v>0.28999999999999998</v>
      </c>
      <c r="I81" s="12">
        <v>0.63</v>
      </c>
      <c r="J81" s="12">
        <v>0.33</v>
      </c>
      <c r="K81" s="12">
        <v>0.11</v>
      </c>
      <c r="L81" s="12">
        <v>0.12</v>
      </c>
      <c r="M81" s="12">
        <v>0.94</v>
      </c>
      <c r="N81" s="36"/>
      <c r="O81" s="36"/>
      <c r="P81" s="40"/>
      <c r="Q81" s="40"/>
      <c r="R81" s="44"/>
      <c r="S81" s="44"/>
      <c r="T81" s="48"/>
      <c r="U81" s="48"/>
      <c r="V81" s="12">
        <v>0.46</v>
      </c>
      <c r="W81" s="12">
        <v>0.59</v>
      </c>
      <c r="X81" s="12">
        <v>0.48</v>
      </c>
      <c r="Y81" s="12">
        <v>1.46</v>
      </c>
      <c r="Z81" s="12">
        <v>1.1000000000000001</v>
      </c>
      <c r="AA81" s="12">
        <v>0.2</v>
      </c>
      <c r="AB81" s="5">
        <v>0</v>
      </c>
      <c r="AC81" s="12">
        <v>1.98</v>
      </c>
      <c r="AD81" s="5">
        <v>0</v>
      </c>
      <c r="AE81" s="12">
        <v>0.37</v>
      </c>
      <c r="AF81" s="12">
        <v>5.13</v>
      </c>
      <c r="AG81" s="12">
        <v>0.71</v>
      </c>
      <c r="AH81" s="57">
        <v>1</v>
      </c>
      <c r="AI81" s="68"/>
      <c r="AJ81" s="12">
        <v>0.05</v>
      </c>
      <c r="AK81" s="12">
        <v>0.02</v>
      </c>
      <c r="AL81" s="12">
        <v>1.51</v>
      </c>
      <c r="AM81" s="12">
        <v>1.1399999999999999</v>
      </c>
      <c r="AN81" s="12">
        <v>4.5599999999999996</v>
      </c>
      <c r="AO81" s="12">
        <v>3.44</v>
      </c>
      <c r="AP81" s="12">
        <v>0.86</v>
      </c>
      <c r="AQ81" s="5">
        <v>0</v>
      </c>
      <c r="AR81" s="12">
        <v>0.35</v>
      </c>
      <c r="AS81" s="12">
        <v>0.03</v>
      </c>
      <c r="AT81" s="12">
        <v>0.66</v>
      </c>
      <c r="AU81" s="12">
        <v>4.57</v>
      </c>
      <c r="AV81" s="12">
        <v>1.26</v>
      </c>
      <c r="AW81" s="12">
        <v>1.1299999999999999</v>
      </c>
      <c r="AX81" s="12">
        <v>1.94</v>
      </c>
      <c r="AY81" s="12">
        <v>1.66</v>
      </c>
      <c r="AZ81" s="12">
        <v>3.91</v>
      </c>
      <c r="BA81" s="12">
        <v>1.1599999999999999</v>
      </c>
      <c r="BB81" s="12">
        <v>0.61</v>
      </c>
      <c r="BC81" s="5">
        <v>0</v>
      </c>
      <c r="BD81" s="12">
        <v>0.74</v>
      </c>
      <c r="BE81" s="12">
        <v>2.62</v>
      </c>
      <c r="BF81" s="12">
        <v>1.1100000000000001</v>
      </c>
      <c r="BG81" s="12">
        <v>1.01</v>
      </c>
      <c r="BH81" s="12">
        <v>0.16</v>
      </c>
      <c r="BI81" s="5">
        <v>0</v>
      </c>
      <c r="BJ81" s="12">
        <v>0.89</v>
      </c>
      <c r="BK81" s="12">
        <v>0.22</v>
      </c>
      <c r="BL81" s="12">
        <v>0.79</v>
      </c>
      <c r="BM81" s="12">
        <v>0.81</v>
      </c>
      <c r="BN81" s="12">
        <v>1.61</v>
      </c>
      <c r="BO81" s="12">
        <v>5.41</v>
      </c>
      <c r="BP81" s="12">
        <v>0.63</v>
      </c>
      <c r="BQ81" s="12">
        <v>2.34</v>
      </c>
      <c r="BR81" s="12">
        <v>1.89</v>
      </c>
      <c r="BS81" s="12">
        <v>313.23</v>
      </c>
      <c r="BT81" s="12">
        <v>0.68</v>
      </c>
      <c r="BU81" s="12">
        <v>7.0000000000000007E-2</v>
      </c>
      <c r="BV81" s="12">
        <v>0.17</v>
      </c>
      <c r="BW81" s="5">
        <v>0</v>
      </c>
      <c r="BX81" s="5">
        <v>0</v>
      </c>
      <c r="BY81" s="12">
        <v>1475.96</v>
      </c>
      <c r="BZ81" s="12">
        <v>355.63</v>
      </c>
      <c r="CA81" s="12">
        <v>891.73</v>
      </c>
      <c r="CB81" s="12">
        <v>228.6</v>
      </c>
      <c r="CC81" s="12">
        <v>1.66</v>
      </c>
      <c r="CD81" s="12">
        <v>1.66</v>
      </c>
      <c r="CE81" s="12">
        <v>86.38</v>
      </c>
      <c r="CF81" s="12">
        <v>59.89</v>
      </c>
      <c r="CG81" s="12">
        <v>26.5</v>
      </c>
      <c r="CH81" s="12">
        <v>55.57</v>
      </c>
      <c r="CI81" s="12">
        <v>4.32</v>
      </c>
      <c r="CJ81" s="5">
        <v>0</v>
      </c>
      <c r="CK81" s="12">
        <v>1.66</v>
      </c>
      <c r="CL81" s="5">
        <v>0</v>
      </c>
      <c r="CM81" s="12">
        <v>1990.36</v>
      </c>
      <c r="CN81" s="12">
        <v>1563.99</v>
      </c>
    </row>
    <row r="82" spans="1:92" ht="14">
      <c r="A82" s="4" t="s">
        <v>88</v>
      </c>
      <c r="B82" s="13">
        <v>403.19</v>
      </c>
      <c r="C82" s="13">
        <v>9.6300000000000008</v>
      </c>
      <c r="D82" s="13">
        <v>0.85</v>
      </c>
      <c r="E82" s="13">
        <v>0.01</v>
      </c>
      <c r="F82" s="13">
        <v>1.3</v>
      </c>
      <c r="G82" s="13">
        <v>9.86</v>
      </c>
      <c r="H82" s="13">
        <v>1.4</v>
      </c>
      <c r="I82" s="13">
        <v>3.3</v>
      </c>
      <c r="J82" s="13">
        <v>1.95</v>
      </c>
      <c r="K82" s="13">
        <v>0.34</v>
      </c>
      <c r="L82" s="13">
        <v>0.13</v>
      </c>
      <c r="M82" s="13">
        <v>2.69</v>
      </c>
      <c r="N82" s="36"/>
      <c r="O82" s="36"/>
      <c r="P82" s="40"/>
      <c r="Q82" s="40"/>
      <c r="R82" s="44"/>
      <c r="S82" s="44"/>
      <c r="T82" s="48"/>
      <c r="U82" s="48"/>
      <c r="V82" s="13">
        <v>0.92</v>
      </c>
      <c r="W82" s="13">
        <v>1.97</v>
      </c>
      <c r="X82" s="13">
        <v>2.17</v>
      </c>
      <c r="Y82" s="13">
        <v>3.85</v>
      </c>
      <c r="Z82" s="13">
        <v>5.38</v>
      </c>
      <c r="AA82" s="13">
        <v>0.53</v>
      </c>
      <c r="AB82" s="13">
        <v>2.5499999999999998</v>
      </c>
      <c r="AC82" s="13">
        <v>9.57</v>
      </c>
      <c r="AD82" s="13">
        <v>0.01</v>
      </c>
      <c r="AE82" s="13">
        <v>1.1599999999999999</v>
      </c>
      <c r="AF82" s="13">
        <v>2.59</v>
      </c>
      <c r="AG82" s="13">
        <v>3.18</v>
      </c>
      <c r="AH82" s="56">
        <v>0.71</v>
      </c>
      <c r="AI82" s="67"/>
      <c r="AJ82" s="13">
        <v>0.26</v>
      </c>
      <c r="AK82" s="13">
        <v>3.07</v>
      </c>
      <c r="AL82" s="13">
        <v>36.340000000000003</v>
      </c>
      <c r="AM82" s="13">
        <v>5.21</v>
      </c>
      <c r="AN82" s="13">
        <v>26.39</v>
      </c>
      <c r="AO82" s="13">
        <v>45.75</v>
      </c>
      <c r="AP82" s="13">
        <v>4.1399999999999997</v>
      </c>
      <c r="AQ82" s="13">
        <v>0.01</v>
      </c>
      <c r="AR82" s="13">
        <v>0.06</v>
      </c>
      <c r="AS82" s="13">
        <v>2.33</v>
      </c>
      <c r="AT82" s="6">
        <v>0</v>
      </c>
      <c r="AU82" s="13">
        <v>10.6</v>
      </c>
      <c r="AV82" s="13">
        <v>3.08</v>
      </c>
      <c r="AW82" s="13">
        <v>0.86</v>
      </c>
      <c r="AX82" s="6">
        <v>0</v>
      </c>
      <c r="AY82" s="13">
        <v>9.94</v>
      </c>
      <c r="AZ82" s="13">
        <v>10.039999999999999</v>
      </c>
      <c r="BA82" s="13">
        <v>3.46</v>
      </c>
      <c r="BB82" s="13">
        <v>2.71</v>
      </c>
      <c r="BC82" s="13">
        <v>0.06</v>
      </c>
      <c r="BD82" s="13">
        <v>4.13</v>
      </c>
      <c r="BE82" s="13">
        <v>36.479999999999997</v>
      </c>
      <c r="BF82" s="13">
        <v>6.04</v>
      </c>
      <c r="BG82" s="13">
        <v>1.43</v>
      </c>
      <c r="BH82" s="13">
        <v>3.38</v>
      </c>
      <c r="BI82" s="13">
        <v>2.83</v>
      </c>
      <c r="BJ82" s="13">
        <v>4.9000000000000004</v>
      </c>
      <c r="BK82" s="13">
        <v>1.98</v>
      </c>
      <c r="BL82" s="13">
        <v>0.8</v>
      </c>
      <c r="BM82" s="13">
        <v>7.11</v>
      </c>
      <c r="BN82" s="13">
        <v>1.53</v>
      </c>
      <c r="BO82" s="13">
        <v>1.98</v>
      </c>
      <c r="BP82" s="13">
        <v>12.1</v>
      </c>
      <c r="BQ82" s="13">
        <v>0.51</v>
      </c>
      <c r="BR82" s="13">
        <v>1.85</v>
      </c>
      <c r="BS82" s="13">
        <v>1.23</v>
      </c>
      <c r="BT82" s="13">
        <v>80.95</v>
      </c>
      <c r="BU82" s="13">
        <v>0.38</v>
      </c>
      <c r="BV82" s="13">
        <v>3.24</v>
      </c>
      <c r="BW82" s="6">
        <v>0</v>
      </c>
      <c r="BX82" s="6">
        <v>0</v>
      </c>
      <c r="BY82" s="13">
        <v>3496.25</v>
      </c>
      <c r="BZ82" s="13">
        <v>1580.76</v>
      </c>
      <c r="CA82" s="13">
        <v>69.13</v>
      </c>
      <c r="CB82" s="13">
        <v>1846.36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13">
        <v>3899.44</v>
      </c>
      <c r="CN82" s="13">
        <v>3496.25</v>
      </c>
    </row>
    <row r="83" spans="1:92" ht="14">
      <c r="A83" s="4" t="s">
        <v>89</v>
      </c>
      <c r="B83" s="12">
        <v>632.45000000000005</v>
      </c>
      <c r="C83" s="12">
        <v>0.56000000000000005</v>
      </c>
      <c r="D83" s="12">
        <v>0.16</v>
      </c>
      <c r="E83" s="12">
        <v>0.05</v>
      </c>
      <c r="F83" s="12">
        <v>0.35</v>
      </c>
      <c r="G83" s="12">
        <v>5.31</v>
      </c>
      <c r="H83" s="12">
        <v>0.12</v>
      </c>
      <c r="I83" s="12">
        <v>0.01</v>
      </c>
      <c r="J83" s="5">
        <v>0</v>
      </c>
      <c r="K83" s="12">
        <v>0.46</v>
      </c>
      <c r="L83" s="12">
        <v>0.11</v>
      </c>
      <c r="M83" s="12">
        <v>0.03</v>
      </c>
      <c r="N83" s="36"/>
      <c r="O83" s="36"/>
      <c r="P83" s="40"/>
      <c r="Q83" s="40"/>
      <c r="R83" s="44"/>
      <c r="S83" s="44"/>
      <c r="T83" s="48"/>
      <c r="U83" s="48"/>
      <c r="V83" s="5">
        <v>0</v>
      </c>
      <c r="W83" s="5">
        <v>0</v>
      </c>
      <c r="X83" s="5">
        <v>0</v>
      </c>
      <c r="Y83" s="12">
        <v>0.69</v>
      </c>
      <c r="Z83" s="5">
        <v>0</v>
      </c>
      <c r="AA83" s="5">
        <v>0</v>
      </c>
      <c r="AB83" s="12">
        <v>2.4300000000000002</v>
      </c>
      <c r="AC83" s="5">
        <v>0</v>
      </c>
      <c r="AD83" s="12">
        <v>0.01</v>
      </c>
      <c r="AE83" s="12">
        <v>0.23</v>
      </c>
      <c r="AF83" s="12">
        <v>45.86</v>
      </c>
      <c r="AG83" s="12">
        <v>0.02</v>
      </c>
      <c r="AH83" s="57">
        <v>2</v>
      </c>
      <c r="AI83" s="68"/>
      <c r="AJ83" s="12">
        <v>2.16</v>
      </c>
      <c r="AK83" s="12">
        <v>3.03</v>
      </c>
      <c r="AL83" s="12">
        <v>0.6</v>
      </c>
      <c r="AM83" s="5">
        <v>0</v>
      </c>
      <c r="AN83" s="12">
        <v>140.9</v>
      </c>
      <c r="AO83" s="12">
        <v>239.01</v>
      </c>
      <c r="AP83" s="12">
        <v>3.21</v>
      </c>
      <c r="AQ83" s="5">
        <v>0</v>
      </c>
      <c r="AR83" s="12">
        <v>0.06</v>
      </c>
      <c r="AS83" s="12">
        <v>2.56</v>
      </c>
      <c r="AT83" s="12">
        <v>2.1</v>
      </c>
      <c r="AU83" s="12">
        <v>4.8600000000000003</v>
      </c>
      <c r="AV83" s="12">
        <v>4.04</v>
      </c>
      <c r="AW83" s="12">
        <v>1.65</v>
      </c>
      <c r="AX83" s="12">
        <v>0.28999999999999998</v>
      </c>
      <c r="AY83" s="12">
        <v>54.96</v>
      </c>
      <c r="AZ83" s="12">
        <v>14.42</v>
      </c>
      <c r="BA83" s="12">
        <v>2.46</v>
      </c>
      <c r="BB83" s="12">
        <v>1.65</v>
      </c>
      <c r="BC83" s="12">
        <v>0.21</v>
      </c>
      <c r="BD83" s="12">
        <v>2.08</v>
      </c>
      <c r="BE83" s="12">
        <v>11.07</v>
      </c>
      <c r="BF83" s="12">
        <v>4.42</v>
      </c>
      <c r="BG83" s="12">
        <v>10.44</v>
      </c>
      <c r="BH83" s="12">
        <v>4.3899999999999997</v>
      </c>
      <c r="BI83" s="12">
        <v>1.23</v>
      </c>
      <c r="BJ83" s="5">
        <v>0</v>
      </c>
      <c r="BK83" s="12">
        <v>0.12</v>
      </c>
      <c r="BL83" s="12">
        <v>0.32</v>
      </c>
      <c r="BM83" s="12">
        <v>2.44</v>
      </c>
      <c r="BN83" s="12">
        <v>5.9</v>
      </c>
      <c r="BO83" s="12">
        <v>7.1</v>
      </c>
      <c r="BP83" s="12">
        <v>1.94</v>
      </c>
      <c r="BQ83" s="12">
        <v>2.2200000000000002</v>
      </c>
      <c r="BR83" s="12">
        <v>1.86</v>
      </c>
      <c r="BS83" s="12">
        <v>0.5</v>
      </c>
      <c r="BT83" s="12">
        <v>3.34</v>
      </c>
      <c r="BU83" s="12">
        <v>35.69</v>
      </c>
      <c r="BV83" s="12">
        <v>0.83</v>
      </c>
      <c r="BW83" s="5">
        <v>0</v>
      </c>
      <c r="BX83" s="5">
        <v>0</v>
      </c>
      <c r="BY83" s="12">
        <v>309.88</v>
      </c>
      <c r="BZ83" s="5">
        <v>0</v>
      </c>
      <c r="CA83" s="12">
        <v>309.88</v>
      </c>
      <c r="CB83" s="5">
        <v>0</v>
      </c>
      <c r="CC83" s="5">
        <v>0</v>
      </c>
      <c r="CD83" s="5">
        <v>0</v>
      </c>
      <c r="CE83" s="12">
        <v>8.15</v>
      </c>
      <c r="CF83" s="12">
        <v>6.59</v>
      </c>
      <c r="CG83" s="12">
        <v>1.56</v>
      </c>
      <c r="CH83" s="12">
        <v>5.9</v>
      </c>
      <c r="CI83" s="12">
        <v>0.69</v>
      </c>
      <c r="CJ83" s="5">
        <v>0</v>
      </c>
      <c r="CK83" s="5">
        <v>0</v>
      </c>
      <c r="CL83" s="5">
        <v>0</v>
      </c>
      <c r="CM83" s="12">
        <v>950.49</v>
      </c>
      <c r="CN83" s="12">
        <v>318.02999999999997</v>
      </c>
    </row>
    <row r="84" spans="1:92" ht="14">
      <c r="A84" s="4" t="s">
        <v>90</v>
      </c>
      <c r="B84" s="13">
        <v>428.03</v>
      </c>
      <c r="C84" s="6">
        <v>0</v>
      </c>
      <c r="D84" s="13">
        <v>0.03</v>
      </c>
      <c r="E84" s="6">
        <v>0</v>
      </c>
      <c r="F84" s="13">
        <v>0.34</v>
      </c>
      <c r="G84" s="13">
        <v>0.64</v>
      </c>
      <c r="H84" s="13">
        <v>7.76</v>
      </c>
      <c r="I84" s="13">
        <v>0.32</v>
      </c>
      <c r="J84" s="13">
        <v>0.19</v>
      </c>
      <c r="K84" s="13">
        <v>0.01</v>
      </c>
      <c r="L84" s="13">
        <v>0.09</v>
      </c>
      <c r="M84" s="13">
        <v>0.1</v>
      </c>
      <c r="N84" s="36"/>
      <c r="O84" s="36"/>
      <c r="P84" s="40"/>
      <c r="Q84" s="40"/>
      <c r="R84" s="44"/>
      <c r="S84" s="44"/>
      <c r="T84" s="48"/>
      <c r="U84" s="48"/>
      <c r="V84" s="13">
        <v>0.04</v>
      </c>
      <c r="W84" s="13">
        <v>0.24</v>
      </c>
      <c r="X84" s="13">
        <v>0.26</v>
      </c>
      <c r="Y84" s="13">
        <v>0.62</v>
      </c>
      <c r="Z84" s="13">
        <v>0.66</v>
      </c>
      <c r="AA84" s="13">
        <v>7.0000000000000007E-2</v>
      </c>
      <c r="AB84" s="6">
        <v>0</v>
      </c>
      <c r="AC84" s="13">
        <v>1.31</v>
      </c>
      <c r="AD84" s="6">
        <v>0</v>
      </c>
      <c r="AE84" s="13">
        <v>0.22</v>
      </c>
      <c r="AF84" s="13">
        <v>0.15</v>
      </c>
      <c r="AG84" s="13">
        <v>0.45</v>
      </c>
      <c r="AH84" s="57">
        <v>0</v>
      </c>
      <c r="AI84" s="68"/>
      <c r="AJ84" s="13">
        <v>0.13</v>
      </c>
      <c r="AK84" s="13">
        <v>7.0000000000000007E-2</v>
      </c>
      <c r="AL84" s="13">
        <v>1.03</v>
      </c>
      <c r="AM84" s="13">
        <v>1.1499999999999999</v>
      </c>
      <c r="AN84" s="13">
        <v>5.13</v>
      </c>
      <c r="AO84" s="13">
        <v>1.31</v>
      </c>
      <c r="AP84" s="13">
        <v>1.62</v>
      </c>
      <c r="AQ84" s="6">
        <v>0</v>
      </c>
      <c r="AR84" s="13">
        <v>0.34</v>
      </c>
      <c r="AS84" s="13">
        <v>0.31</v>
      </c>
      <c r="AT84" s="13">
        <v>0.45</v>
      </c>
      <c r="AU84" s="13">
        <v>103.85</v>
      </c>
      <c r="AV84" s="13">
        <v>0.05</v>
      </c>
      <c r="AW84" s="13">
        <v>0.11</v>
      </c>
      <c r="AX84" s="13">
        <v>1.07</v>
      </c>
      <c r="AY84" s="6">
        <v>0</v>
      </c>
      <c r="AZ84" s="13">
        <v>0.8</v>
      </c>
      <c r="BA84" s="13">
        <v>0.63</v>
      </c>
      <c r="BB84" s="13">
        <v>0.59</v>
      </c>
      <c r="BC84" s="6">
        <v>0</v>
      </c>
      <c r="BD84" s="13">
        <v>0.01</v>
      </c>
      <c r="BE84" s="13">
        <v>1.05</v>
      </c>
      <c r="BF84" s="13">
        <v>0.43</v>
      </c>
      <c r="BG84" s="6">
        <v>0</v>
      </c>
      <c r="BH84" s="13">
        <v>0.05</v>
      </c>
      <c r="BI84" s="13">
        <v>0.8</v>
      </c>
      <c r="BJ84" s="13">
        <v>0.91</v>
      </c>
      <c r="BK84" s="13">
        <v>0.02</v>
      </c>
      <c r="BL84" s="13">
        <v>0.01</v>
      </c>
      <c r="BM84" s="13">
        <v>0.5</v>
      </c>
      <c r="BN84" s="13">
        <v>23.05</v>
      </c>
      <c r="BO84" s="13">
        <v>0.84</v>
      </c>
      <c r="BP84" s="13">
        <v>104.93</v>
      </c>
      <c r="BQ84" s="13">
        <v>13.73</v>
      </c>
      <c r="BR84" s="13">
        <v>1.1299999999999999</v>
      </c>
      <c r="BS84" s="13">
        <v>0.55000000000000004</v>
      </c>
      <c r="BT84" s="6">
        <v>0</v>
      </c>
      <c r="BU84" s="6">
        <v>0</v>
      </c>
      <c r="BV84" s="13">
        <v>147.94</v>
      </c>
      <c r="BW84" s="6">
        <v>0</v>
      </c>
      <c r="BX84" s="6">
        <v>0</v>
      </c>
      <c r="BY84" s="13">
        <v>3401.67</v>
      </c>
      <c r="BZ84" s="13">
        <v>97.85</v>
      </c>
      <c r="CA84" s="13">
        <v>3303.83</v>
      </c>
      <c r="CB84" s="6">
        <v>0</v>
      </c>
      <c r="CC84" s="6">
        <v>0</v>
      </c>
      <c r="CD84" s="6">
        <v>0</v>
      </c>
      <c r="CE84" s="13">
        <v>9.3699999999999992</v>
      </c>
      <c r="CF84" s="13">
        <v>9.36</v>
      </c>
      <c r="CG84" s="6">
        <v>0</v>
      </c>
      <c r="CH84" s="13">
        <v>9.36</v>
      </c>
      <c r="CI84" s="6">
        <v>0</v>
      </c>
      <c r="CJ84" s="6">
        <v>0</v>
      </c>
      <c r="CK84" s="6">
        <v>0</v>
      </c>
      <c r="CL84" s="6">
        <v>0</v>
      </c>
      <c r="CM84" s="13">
        <v>3839.07</v>
      </c>
      <c r="CN84" s="13">
        <v>3411.04</v>
      </c>
    </row>
    <row r="85" spans="1:92" ht="14">
      <c r="A85" s="4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37"/>
      <c r="O85" s="37"/>
      <c r="P85" s="41"/>
      <c r="Q85" s="41"/>
      <c r="R85" s="45"/>
      <c r="S85" s="45"/>
      <c r="T85" s="49"/>
      <c r="U85" s="49"/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7">
        <v>0</v>
      </c>
      <c r="AI85" s="68"/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12">
        <v>132.03</v>
      </c>
      <c r="BZ85" s="5">
        <v>0</v>
      </c>
      <c r="CA85" s="12">
        <v>132.03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12">
        <v>132.03</v>
      </c>
      <c r="CN85" s="12">
        <v>132.03</v>
      </c>
    </row>
    <row r="86" spans="1:92" ht="14">
      <c r="A86" s="4" t="s">
        <v>92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37"/>
      <c r="O86" s="37"/>
      <c r="P86" s="41"/>
      <c r="Q86" s="41"/>
      <c r="R86" s="45"/>
      <c r="S86" s="45"/>
      <c r="T86" s="49"/>
      <c r="U86" s="49"/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57">
        <v>0</v>
      </c>
      <c r="AI86" s="68"/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</row>
    <row r="87" spans="1:92" ht="14">
      <c r="A87" s="4" t="s">
        <v>109</v>
      </c>
      <c r="B87" s="12">
        <v>362536.79</v>
      </c>
      <c r="C87" s="12">
        <v>3058.67</v>
      </c>
      <c r="D87" s="12">
        <v>1192.02</v>
      </c>
      <c r="E87" s="12">
        <v>32.369999999999997</v>
      </c>
      <c r="F87" s="12">
        <v>843.6</v>
      </c>
      <c r="G87" s="12">
        <v>7417.07</v>
      </c>
      <c r="H87" s="12">
        <v>848.89</v>
      </c>
      <c r="I87" s="12">
        <v>3193.52</v>
      </c>
      <c r="J87" s="12">
        <v>1803.54</v>
      </c>
      <c r="K87" s="12">
        <v>491.1</v>
      </c>
      <c r="L87" s="12">
        <v>571.30999999999995</v>
      </c>
      <c r="M87" s="12">
        <v>3295.83</v>
      </c>
      <c r="N87" s="36"/>
      <c r="O87" s="36"/>
      <c r="P87" s="40"/>
      <c r="Q87" s="40"/>
      <c r="R87" s="44"/>
      <c r="S87" s="44"/>
      <c r="T87" s="48"/>
      <c r="U87" s="48"/>
      <c r="V87" s="12">
        <v>1771.28</v>
      </c>
      <c r="W87" s="12">
        <v>2128.35</v>
      </c>
      <c r="X87" s="12">
        <v>2299.62</v>
      </c>
      <c r="Y87" s="12">
        <v>3210.53</v>
      </c>
      <c r="Z87" s="12">
        <v>6025.77</v>
      </c>
      <c r="AA87" s="12">
        <v>3153.67</v>
      </c>
      <c r="AB87" s="12">
        <v>3197.71</v>
      </c>
      <c r="AC87" s="12">
        <v>7704.76</v>
      </c>
      <c r="AD87" s="12">
        <v>3338.63</v>
      </c>
      <c r="AE87" s="12">
        <v>1441.9</v>
      </c>
      <c r="AF87" s="12">
        <v>2663.81</v>
      </c>
      <c r="AG87" s="12">
        <v>3807.5</v>
      </c>
      <c r="AH87" s="56">
        <v>5596.98</v>
      </c>
      <c r="AI87" s="67"/>
      <c r="AJ87" s="12">
        <v>687.52</v>
      </c>
      <c r="AK87" s="12">
        <v>3253.15</v>
      </c>
      <c r="AL87" s="12">
        <v>23961.14</v>
      </c>
      <c r="AM87" s="12">
        <v>4792.8999999999996</v>
      </c>
      <c r="AN87" s="12">
        <v>23206.98</v>
      </c>
      <c r="AO87" s="12">
        <v>15825.86</v>
      </c>
      <c r="AP87" s="12">
        <v>8061.61</v>
      </c>
      <c r="AQ87" s="12">
        <v>3.25</v>
      </c>
      <c r="AR87" s="12">
        <v>106.58</v>
      </c>
      <c r="AS87" s="12">
        <v>7601.98</v>
      </c>
      <c r="AT87" s="12">
        <v>1684.64</v>
      </c>
      <c r="AU87" s="12">
        <v>8609.9699999999993</v>
      </c>
      <c r="AV87" s="12">
        <v>1548.62</v>
      </c>
      <c r="AW87" s="12">
        <v>1023.72</v>
      </c>
      <c r="AX87" s="12">
        <v>3221.61</v>
      </c>
      <c r="AY87" s="12">
        <v>12745.89</v>
      </c>
      <c r="AZ87" s="12">
        <v>8829.23</v>
      </c>
      <c r="BA87" s="12">
        <v>4090.28</v>
      </c>
      <c r="BB87" s="12">
        <v>2455.5500000000002</v>
      </c>
      <c r="BC87" s="12">
        <v>18237.62</v>
      </c>
      <c r="BD87" s="12">
        <v>18864.57</v>
      </c>
      <c r="BE87" s="12">
        <v>10633.75</v>
      </c>
      <c r="BF87" s="12">
        <v>6887.15</v>
      </c>
      <c r="BG87" s="12">
        <v>11340.9</v>
      </c>
      <c r="BH87" s="12">
        <v>2463.9</v>
      </c>
      <c r="BI87" s="12">
        <v>1208.8399999999999</v>
      </c>
      <c r="BJ87" s="12">
        <v>7473.55</v>
      </c>
      <c r="BK87" s="12">
        <v>5222.79</v>
      </c>
      <c r="BL87" s="12">
        <v>282.91000000000003</v>
      </c>
      <c r="BM87" s="12">
        <v>6877.18</v>
      </c>
      <c r="BN87" s="12">
        <v>17719.27</v>
      </c>
      <c r="BO87" s="12">
        <v>17137.09</v>
      </c>
      <c r="BP87" s="12">
        <v>21725.23</v>
      </c>
      <c r="BQ87" s="12">
        <v>7683.83</v>
      </c>
      <c r="BR87" s="12">
        <v>1966.96</v>
      </c>
      <c r="BS87" s="12">
        <v>750.97</v>
      </c>
      <c r="BT87" s="12">
        <v>2352.48</v>
      </c>
      <c r="BU87" s="12">
        <v>551.74</v>
      </c>
      <c r="BV87" s="12">
        <v>2225.11</v>
      </c>
      <c r="BW87" s="12">
        <v>132.03</v>
      </c>
      <c r="BX87" s="5">
        <v>0</v>
      </c>
      <c r="BY87" s="5" t="s">
        <v>131</v>
      </c>
      <c r="BZ87" s="5" t="s">
        <v>131</v>
      </c>
      <c r="CA87" s="5" t="s">
        <v>131</v>
      </c>
      <c r="CB87" s="5" t="s">
        <v>131</v>
      </c>
      <c r="CC87" s="5" t="s">
        <v>131</v>
      </c>
      <c r="CD87" s="5" t="s">
        <v>131</v>
      </c>
      <c r="CE87" s="5" t="s">
        <v>131</v>
      </c>
      <c r="CF87" s="5" t="s">
        <v>131</v>
      </c>
      <c r="CG87" s="5" t="s">
        <v>131</v>
      </c>
      <c r="CH87" s="5" t="s">
        <v>131</v>
      </c>
      <c r="CI87" s="5" t="s">
        <v>131</v>
      </c>
      <c r="CJ87" s="5" t="s">
        <v>131</v>
      </c>
      <c r="CK87" s="5" t="s">
        <v>131</v>
      </c>
      <c r="CL87" s="5" t="s">
        <v>131</v>
      </c>
      <c r="CM87" s="5" t="s">
        <v>131</v>
      </c>
      <c r="CN87" s="5" t="s">
        <v>131</v>
      </c>
    </row>
    <row r="88" spans="1:92" ht="14">
      <c r="A88" s="4" t="s">
        <v>110</v>
      </c>
      <c r="B88" s="13">
        <v>82853.179999999993</v>
      </c>
      <c r="C88" s="13">
        <v>2113.54</v>
      </c>
      <c r="D88" s="13">
        <v>821.41</v>
      </c>
      <c r="E88" s="13">
        <v>6.48</v>
      </c>
      <c r="F88" s="13">
        <v>257.56</v>
      </c>
      <c r="G88" s="13">
        <v>2875.25</v>
      </c>
      <c r="H88" s="6">
        <v>200</v>
      </c>
      <c r="I88" s="13">
        <v>1390.07</v>
      </c>
      <c r="J88" s="13">
        <v>374.09</v>
      </c>
      <c r="K88" s="13">
        <v>-215.35</v>
      </c>
      <c r="L88" s="13">
        <v>252.56</v>
      </c>
      <c r="M88" s="13">
        <v>1647.49</v>
      </c>
      <c r="N88" s="36"/>
      <c r="O88" s="36"/>
      <c r="P88" s="40"/>
      <c r="Q88" s="40"/>
      <c r="R88" s="44"/>
      <c r="S88" s="44"/>
      <c r="T88" s="48"/>
      <c r="U88" s="48"/>
      <c r="V88" s="13">
        <v>139.31</v>
      </c>
      <c r="W88" s="13">
        <v>-40.82</v>
      </c>
      <c r="X88" s="13">
        <v>67.19</v>
      </c>
      <c r="Y88" s="13">
        <v>-189.02</v>
      </c>
      <c r="Z88" s="13">
        <v>1176.03</v>
      </c>
      <c r="AA88" s="13">
        <v>500.36</v>
      </c>
      <c r="AB88" s="13">
        <v>-179.48</v>
      </c>
      <c r="AC88" s="13">
        <v>1036.95</v>
      </c>
      <c r="AD88" s="13">
        <v>387.43</v>
      </c>
      <c r="AE88" s="13">
        <v>141.66999999999999</v>
      </c>
      <c r="AF88" s="13">
        <v>515.30999999999995</v>
      </c>
      <c r="AG88" s="13">
        <v>631.17999999999995</v>
      </c>
      <c r="AH88" s="56">
        <v>429.91</v>
      </c>
      <c r="AI88" s="67"/>
      <c r="AJ88" s="13">
        <v>184.94</v>
      </c>
      <c r="AK88" s="13">
        <v>757.47</v>
      </c>
      <c r="AL88" s="13">
        <v>6193.71</v>
      </c>
      <c r="AM88" s="6">
        <v>1568</v>
      </c>
      <c r="AN88" s="13">
        <v>10162.31</v>
      </c>
      <c r="AO88" s="13">
        <v>4559.1000000000004</v>
      </c>
      <c r="AP88" s="13">
        <v>788.54</v>
      </c>
      <c r="AQ88" s="13">
        <v>-10.98</v>
      </c>
      <c r="AR88" s="13">
        <v>-492.02</v>
      </c>
      <c r="AS88" s="13">
        <v>358.86</v>
      </c>
      <c r="AT88" s="13">
        <v>292.10000000000002</v>
      </c>
      <c r="AU88" s="13">
        <v>4783.2700000000004</v>
      </c>
      <c r="AV88" s="13">
        <v>386.95</v>
      </c>
      <c r="AW88" s="13">
        <v>115.74</v>
      </c>
      <c r="AX88" s="13">
        <v>275.93</v>
      </c>
      <c r="AY88" s="13">
        <v>3086.66</v>
      </c>
      <c r="AZ88" s="13">
        <v>-365.63</v>
      </c>
      <c r="BA88" s="13">
        <v>1519.37</v>
      </c>
      <c r="BB88" s="13">
        <v>1396.75</v>
      </c>
      <c r="BC88" s="13">
        <v>6970.48</v>
      </c>
      <c r="BD88" s="13">
        <v>5767.49</v>
      </c>
      <c r="BE88" s="13">
        <v>1770.15</v>
      </c>
      <c r="BF88" s="13">
        <v>2271.52</v>
      </c>
      <c r="BG88" s="13">
        <v>3623.93</v>
      </c>
      <c r="BH88" s="13">
        <v>1378.84</v>
      </c>
      <c r="BI88" s="13">
        <v>882.54</v>
      </c>
      <c r="BJ88" s="13">
        <v>-536.22</v>
      </c>
      <c r="BK88" s="13">
        <v>286.14</v>
      </c>
      <c r="BL88" s="13">
        <v>108.27</v>
      </c>
      <c r="BM88" s="13">
        <v>1922.04</v>
      </c>
      <c r="BN88" s="6">
        <v>0</v>
      </c>
      <c r="BO88" s="13">
        <v>-581.03</v>
      </c>
      <c r="BP88" s="13">
        <v>6174.77</v>
      </c>
      <c r="BQ88" s="13">
        <v>918.47</v>
      </c>
      <c r="BR88" s="13">
        <v>459.37</v>
      </c>
      <c r="BS88" s="13">
        <v>139.13</v>
      </c>
      <c r="BT88" s="13">
        <v>-132.69</v>
      </c>
      <c r="BU88" s="13">
        <v>274.08</v>
      </c>
      <c r="BV88" s="13">
        <v>1255.72</v>
      </c>
      <c r="BW88" s="6">
        <v>0</v>
      </c>
      <c r="BX88" s="6">
        <v>0</v>
      </c>
      <c r="BY88" s="6" t="s">
        <v>131</v>
      </c>
      <c r="BZ88" s="6" t="s">
        <v>131</v>
      </c>
      <c r="CA88" s="6" t="s">
        <v>131</v>
      </c>
      <c r="CB88" s="6" t="s">
        <v>131</v>
      </c>
      <c r="CC88" s="6" t="s">
        <v>131</v>
      </c>
      <c r="CD88" s="6" t="s">
        <v>131</v>
      </c>
      <c r="CE88" s="6" t="s">
        <v>131</v>
      </c>
      <c r="CF88" s="6" t="s">
        <v>131</v>
      </c>
      <c r="CG88" s="6" t="s">
        <v>131</v>
      </c>
      <c r="CH88" s="6" t="s">
        <v>131</v>
      </c>
      <c r="CI88" s="6" t="s">
        <v>131</v>
      </c>
      <c r="CJ88" s="6" t="s">
        <v>131</v>
      </c>
      <c r="CK88" s="6" t="s">
        <v>131</v>
      </c>
      <c r="CL88" s="6" t="s">
        <v>131</v>
      </c>
      <c r="CM88" s="6" t="s">
        <v>131</v>
      </c>
      <c r="CN88" s="6" t="s">
        <v>131</v>
      </c>
    </row>
    <row r="89" spans="1:92" ht="14">
      <c r="A89" s="4" t="s">
        <v>111</v>
      </c>
      <c r="B89" s="12">
        <v>166606.45000000001</v>
      </c>
      <c r="C89" s="12">
        <v>4067.36</v>
      </c>
      <c r="D89" s="12">
        <v>1027.45</v>
      </c>
      <c r="E89" s="12">
        <v>21.98</v>
      </c>
      <c r="F89" s="12">
        <v>548.91999999999996</v>
      </c>
      <c r="G89" s="12">
        <v>4235.8900000000003</v>
      </c>
      <c r="H89" s="12">
        <v>387.13</v>
      </c>
      <c r="I89" s="12">
        <v>1766.57</v>
      </c>
      <c r="J89" s="12">
        <v>894.45</v>
      </c>
      <c r="K89" s="12">
        <v>149.46</v>
      </c>
      <c r="L89" s="12">
        <v>446.4</v>
      </c>
      <c r="M89" s="12">
        <v>2254.2199999999998</v>
      </c>
      <c r="N89" s="36"/>
      <c r="O89" s="36"/>
      <c r="P89" s="40"/>
      <c r="Q89" s="40"/>
      <c r="R89" s="44"/>
      <c r="S89" s="44"/>
      <c r="T89" s="48"/>
      <c r="U89" s="48"/>
      <c r="V89" s="12">
        <v>739.15</v>
      </c>
      <c r="W89" s="12">
        <v>548.52</v>
      </c>
      <c r="X89" s="12">
        <v>744.49</v>
      </c>
      <c r="Y89" s="12">
        <v>795.11</v>
      </c>
      <c r="Z89" s="12">
        <v>2139.9</v>
      </c>
      <c r="AA89" s="12">
        <v>1639.02</v>
      </c>
      <c r="AB89" s="12">
        <v>1110.8499999999999</v>
      </c>
      <c r="AC89" s="12">
        <v>2668.3</v>
      </c>
      <c r="AD89" s="12">
        <v>1653.53</v>
      </c>
      <c r="AE89" s="12">
        <v>496.85</v>
      </c>
      <c r="AF89" s="12">
        <v>970.29</v>
      </c>
      <c r="AG89" s="12">
        <v>1004.65</v>
      </c>
      <c r="AH89" s="57">
        <v>3241</v>
      </c>
      <c r="AI89" s="68"/>
      <c r="AJ89" s="12">
        <v>499.9</v>
      </c>
      <c r="AK89" s="12">
        <v>1991.82</v>
      </c>
      <c r="AL89" s="12">
        <v>8173.66</v>
      </c>
      <c r="AM89" s="12">
        <v>1807.96</v>
      </c>
      <c r="AN89" s="12">
        <v>12328.08</v>
      </c>
      <c r="AO89" s="12">
        <v>6167.66</v>
      </c>
      <c r="AP89" s="12">
        <v>2807.38</v>
      </c>
      <c r="AQ89" s="12">
        <v>4.08</v>
      </c>
      <c r="AR89" s="12">
        <v>-217.89</v>
      </c>
      <c r="AS89" s="12">
        <v>4022.46</v>
      </c>
      <c r="AT89" s="12">
        <v>433.17</v>
      </c>
      <c r="AU89" s="12">
        <v>6224.06</v>
      </c>
      <c r="AV89" s="12">
        <v>606.1</v>
      </c>
      <c r="AW89" s="12">
        <v>404.65</v>
      </c>
      <c r="AX89" s="12">
        <v>2160.4</v>
      </c>
      <c r="AY89" s="12">
        <v>4708.3100000000004</v>
      </c>
      <c r="AZ89" s="12">
        <v>1353.53</v>
      </c>
      <c r="BA89" s="12">
        <v>2045.64</v>
      </c>
      <c r="BB89" s="12">
        <v>1516.21</v>
      </c>
      <c r="BC89" s="12">
        <v>18237.62</v>
      </c>
      <c r="BD89" s="12">
        <v>15860.82</v>
      </c>
      <c r="BE89" s="12">
        <v>2952.29</v>
      </c>
      <c r="BF89" s="12">
        <v>3160.46</v>
      </c>
      <c r="BG89" s="12">
        <v>5862.48</v>
      </c>
      <c r="BH89" s="12">
        <v>1561.12</v>
      </c>
      <c r="BI89" s="12">
        <v>939.8</v>
      </c>
      <c r="BJ89" s="12">
        <v>6786.02</v>
      </c>
      <c r="BK89" s="12">
        <v>320.05</v>
      </c>
      <c r="BL89" s="12">
        <v>180.67</v>
      </c>
      <c r="BM89" s="12">
        <v>2334.71</v>
      </c>
      <c r="BN89" s="12">
        <v>3002.76</v>
      </c>
      <c r="BO89" s="12">
        <v>2086.23</v>
      </c>
      <c r="BP89" s="12">
        <v>8034.92</v>
      </c>
      <c r="BQ89" s="12">
        <v>1350.52</v>
      </c>
      <c r="BR89" s="12">
        <v>940.95</v>
      </c>
      <c r="BS89" s="12">
        <v>430.08</v>
      </c>
      <c r="BT89" s="12">
        <v>83.49</v>
      </c>
      <c r="BU89" s="12">
        <v>397.9</v>
      </c>
      <c r="BV89" s="12">
        <v>1494.9</v>
      </c>
      <c r="BW89" s="5">
        <v>0</v>
      </c>
      <c r="BX89" s="5">
        <v>0</v>
      </c>
      <c r="BY89" s="5" t="s">
        <v>131</v>
      </c>
      <c r="BZ89" s="5" t="s">
        <v>131</v>
      </c>
      <c r="CA89" s="5" t="s">
        <v>131</v>
      </c>
      <c r="CB89" s="5" t="s">
        <v>131</v>
      </c>
      <c r="CC89" s="5" t="s">
        <v>131</v>
      </c>
      <c r="CD89" s="5" t="s">
        <v>131</v>
      </c>
      <c r="CE89" s="5" t="s">
        <v>131</v>
      </c>
      <c r="CF89" s="5" t="s">
        <v>131</v>
      </c>
      <c r="CG89" s="5" t="s">
        <v>131</v>
      </c>
      <c r="CH89" s="5" t="s">
        <v>131</v>
      </c>
      <c r="CI89" s="5" t="s">
        <v>131</v>
      </c>
      <c r="CJ89" s="5" t="s">
        <v>131</v>
      </c>
      <c r="CK89" s="5" t="s">
        <v>131</v>
      </c>
      <c r="CL89" s="5" t="s">
        <v>131</v>
      </c>
      <c r="CM89" s="5" t="s">
        <v>131</v>
      </c>
      <c r="CN89" s="5" t="s">
        <v>131</v>
      </c>
    </row>
    <row r="90" spans="1:92" ht="14">
      <c r="A90" s="4" t="s">
        <v>112</v>
      </c>
      <c r="B90" s="6" t="s">
        <v>131</v>
      </c>
      <c r="C90" s="6" t="s">
        <v>131</v>
      </c>
      <c r="D90" s="6" t="s">
        <v>131</v>
      </c>
      <c r="E90" s="6" t="s">
        <v>131</v>
      </c>
      <c r="F90" s="6" t="s">
        <v>131</v>
      </c>
      <c r="G90" s="6" t="s">
        <v>131</v>
      </c>
      <c r="H90" s="6" t="s">
        <v>131</v>
      </c>
      <c r="I90" s="6" t="s">
        <v>131</v>
      </c>
      <c r="J90" s="6" t="s">
        <v>131</v>
      </c>
      <c r="K90" s="6" t="s">
        <v>131</v>
      </c>
      <c r="L90" s="6" t="s">
        <v>131</v>
      </c>
      <c r="M90" s="6" t="s">
        <v>131</v>
      </c>
      <c r="N90" s="37"/>
      <c r="O90" s="37"/>
      <c r="P90" s="41"/>
      <c r="Q90" s="41"/>
      <c r="R90" s="45"/>
      <c r="S90" s="45"/>
      <c r="T90" s="49"/>
      <c r="U90" s="49"/>
      <c r="V90" s="6" t="s">
        <v>131</v>
      </c>
      <c r="W90" s="6" t="s">
        <v>131</v>
      </c>
      <c r="X90" s="6" t="s">
        <v>131</v>
      </c>
      <c r="Y90" s="6" t="s">
        <v>131</v>
      </c>
      <c r="Z90" s="6" t="s">
        <v>131</v>
      </c>
      <c r="AA90" s="6" t="s">
        <v>131</v>
      </c>
      <c r="AB90" s="6" t="s">
        <v>131</v>
      </c>
      <c r="AC90" s="6" t="s">
        <v>131</v>
      </c>
      <c r="AD90" s="6" t="s">
        <v>131</v>
      </c>
      <c r="AE90" s="6" t="s">
        <v>131</v>
      </c>
      <c r="AF90" s="6" t="s">
        <v>131</v>
      </c>
      <c r="AG90" s="6" t="s">
        <v>131</v>
      </c>
      <c r="AH90" s="57" t="s">
        <v>131</v>
      </c>
      <c r="AI90" s="68"/>
      <c r="AJ90" s="6" t="s">
        <v>131</v>
      </c>
      <c r="AK90" s="6" t="s">
        <v>131</v>
      </c>
      <c r="AL90" s="6" t="s">
        <v>131</v>
      </c>
      <c r="AM90" s="6" t="s">
        <v>131</v>
      </c>
      <c r="AN90" s="6" t="s">
        <v>131</v>
      </c>
      <c r="AO90" s="6" t="s">
        <v>131</v>
      </c>
      <c r="AP90" s="6" t="s">
        <v>131</v>
      </c>
      <c r="AQ90" s="6" t="s">
        <v>131</v>
      </c>
      <c r="AR90" s="6" t="s">
        <v>131</v>
      </c>
      <c r="AS90" s="6" t="s">
        <v>131</v>
      </c>
      <c r="AT90" s="6" t="s">
        <v>131</v>
      </c>
      <c r="AU90" s="6" t="s">
        <v>131</v>
      </c>
      <c r="AV90" s="6" t="s">
        <v>131</v>
      </c>
      <c r="AW90" s="6" t="s">
        <v>131</v>
      </c>
      <c r="AX90" s="6" t="s">
        <v>131</v>
      </c>
      <c r="AY90" s="6" t="s">
        <v>131</v>
      </c>
      <c r="AZ90" s="6" t="s">
        <v>131</v>
      </c>
      <c r="BA90" s="6" t="s">
        <v>131</v>
      </c>
      <c r="BB90" s="6" t="s">
        <v>131</v>
      </c>
      <c r="BC90" s="6" t="s">
        <v>131</v>
      </c>
      <c r="BD90" s="6" t="s">
        <v>131</v>
      </c>
      <c r="BE90" s="6" t="s">
        <v>131</v>
      </c>
      <c r="BF90" s="6" t="s">
        <v>131</v>
      </c>
      <c r="BG90" s="6" t="s">
        <v>131</v>
      </c>
      <c r="BH90" s="6" t="s">
        <v>131</v>
      </c>
      <c r="BI90" s="6" t="s">
        <v>131</v>
      </c>
      <c r="BJ90" s="6" t="s">
        <v>131</v>
      </c>
      <c r="BK90" s="6" t="s">
        <v>131</v>
      </c>
      <c r="BL90" s="6" t="s">
        <v>131</v>
      </c>
      <c r="BM90" s="6" t="s">
        <v>131</v>
      </c>
      <c r="BN90" s="6" t="s">
        <v>131</v>
      </c>
      <c r="BO90" s="6" t="s">
        <v>131</v>
      </c>
      <c r="BP90" s="6" t="s">
        <v>131</v>
      </c>
      <c r="BQ90" s="6" t="s">
        <v>131</v>
      </c>
      <c r="BR90" s="6" t="s">
        <v>131</v>
      </c>
      <c r="BS90" s="6" t="s">
        <v>131</v>
      </c>
      <c r="BT90" s="6" t="s">
        <v>131</v>
      </c>
      <c r="BU90" s="6" t="s">
        <v>131</v>
      </c>
      <c r="BV90" s="6" t="s">
        <v>131</v>
      </c>
      <c r="BW90" s="6" t="s">
        <v>131</v>
      </c>
      <c r="BX90" s="6" t="s">
        <v>131</v>
      </c>
      <c r="BY90" s="6" t="s">
        <v>131</v>
      </c>
      <c r="BZ90" s="6" t="s">
        <v>131</v>
      </c>
      <c r="CA90" s="6" t="s">
        <v>131</v>
      </c>
      <c r="CB90" s="6" t="s">
        <v>131</v>
      </c>
      <c r="CC90" s="6" t="s">
        <v>131</v>
      </c>
      <c r="CD90" s="6" t="s">
        <v>131</v>
      </c>
      <c r="CE90" s="6" t="s">
        <v>131</v>
      </c>
      <c r="CF90" s="6" t="s">
        <v>131</v>
      </c>
      <c r="CG90" s="6" t="s">
        <v>131</v>
      </c>
      <c r="CH90" s="6" t="s">
        <v>131</v>
      </c>
      <c r="CI90" s="6" t="s">
        <v>131</v>
      </c>
      <c r="CJ90" s="6" t="s">
        <v>131</v>
      </c>
      <c r="CK90" s="6" t="s">
        <v>131</v>
      </c>
      <c r="CL90" s="6" t="s">
        <v>131</v>
      </c>
      <c r="CM90" s="6" t="s">
        <v>131</v>
      </c>
      <c r="CN90" s="6" t="s">
        <v>131</v>
      </c>
    </row>
    <row r="91" spans="1:92" ht="14">
      <c r="A91" s="4" t="s">
        <v>113</v>
      </c>
      <c r="B91" s="12">
        <v>201416.38</v>
      </c>
      <c r="C91" s="12">
        <v>357.36</v>
      </c>
      <c r="D91" s="12">
        <v>270.73</v>
      </c>
      <c r="E91" s="12">
        <v>10.27</v>
      </c>
      <c r="F91" s="12">
        <v>317.67</v>
      </c>
      <c r="G91" s="12">
        <v>3455.44</v>
      </c>
      <c r="H91" s="12">
        <v>571.73</v>
      </c>
      <c r="I91" s="12">
        <v>1410.71</v>
      </c>
      <c r="J91" s="12">
        <v>958.35</v>
      </c>
      <c r="K91" s="12">
        <v>383.59</v>
      </c>
      <c r="L91" s="12">
        <v>135.22999999999999</v>
      </c>
      <c r="M91" s="12">
        <v>1037.4100000000001</v>
      </c>
      <c r="N91" s="36"/>
      <c r="O91" s="36"/>
      <c r="P91" s="40"/>
      <c r="Q91" s="40"/>
      <c r="R91" s="44"/>
      <c r="S91" s="44"/>
      <c r="T91" s="48"/>
      <c r="U91" s="48"/>
      <c r="V91" s="12">
        <v>980.08</v>
      </c>
      <c r="W91" s="12">
        <v>1565.73</v>
      </c>
      <c r="X91" s="12">
        <v>1563.5</v>
      </c>
      <c r="Y91" s="12">
        <v>2288.54</v>
      </c>
      <c r="Z91" s="12">
        <v>3987.16</v>
      </c>
      <c r="AA91" s="12">
        <v>1505.88</v>
      </c>
      <c r="AB91" s="12">
        <v>2138.9299999999998</v>
      </c>
      <c r="AC91" s="12">
        <v>4999.1400000000003</v>
      </c>
      <c r="AD91" s="12">
        <v>1723.09</v>
      </c>
      <c r="AE91" s="12">
        <v>907.41</v>
      </c>
      <c r="AF91" s="12">
        <v>1718.07</v>
      </c>
      <c r="AG91" s="12">
        <v>2687.07</v>
      </c>
      <c r="AH91" s="56">
        <v>2210.85</v>
      </c>
      <c r="AI91" s="67"/>
      <c r="AJ91" s="12">
        <v>161.76</v>
      </c>
      <c r="AK91" s="12">
        <v>1200.6600000000001</v>
      </c>
      <c r="AL91" s="12">
        <v>15433.18</v>
      </c>
      <c r="AM91" s="12">
        <v>3259.13</v>
      </c>
      <c r="AN91" s="12">
        <v>11132.05</v>
      </c>
      <c r="AO91" s="12">
        <v>10608.19</v>
      </c>
      <c r="AP91" s="12">
        <v>5355.39</v>
      </c>
      <c r="AQ91" s="12">
        <v>14.06</v>
      </c>
      <c r="AR91" s="12">
        <v>387.88</v>
      </c>
      <c r="AS91" s="12">
        <v>3426.02</v>
      </c>
      <c r="AT91" s="12">
        <v>1184.6099999999999</v>
      </c>
      <c r="AU91" s="12">
        <v>7221.26</v>
      </c>
      <c r="AV91" s="12">
        <v>962.69</v>
      </c>
      <c r="AW91" s="12">
        <v>699.87</v>
      </c>
      <c r="AX91" s="12">
        <v>1000.8</v>
      </c>
      <c r="AY91" s="12">
        <v>7653.71</v>
      </c>
      <c r="AZ91" s="12">
        <v>6160.55</v>
      </c>
      <c r="BA91" s="12">
        <v>1909.72</v>
      </c>
      <c r="BB91" s="12">
        <v>911.31</v>
      </c>
      <c r="BC91" s="5">
        <v>0</v>
      </c>
      <c r="BD91" s="12">
        <v>2468.41</v>
      </c>
      <c r="BE91" s="12">
        <v>7499.42</v>
      </c>
      <c r="BF91" s="12">
        <v>3535.27</v>
      </c>
      <c r="BG91" s="12">
        <v>5520.7</v>
      </c>
      <c r="BH91" s="12">
        <v>1038.06</v>
      </c>
      <c r="BI91" s="12">
        <v>342.06</v>
      </c>
      <c r="BJ91" s="12">
        <v>740.88</v>
      </c>
      <c r="BK91" s="12">
        <v>4724.8</v>
      </c>
      <c r="BL91" s="12">
        <v>456.41</v>
      </c>
      <c r="BM91" s="12">
        <v>4525.8599999999997</v>
      </c>
      <c r="BN91" s="12">
        <v>14297.65</v>
      </c>
      <c r="BO91" s="12">
        <v>14689.1</v>
      </c>
      <c r="BP91" s="12">
        <v>13502.47</v>
      </c>
      <c r="BQ91" s="12">
        <v>6755.59</v>
      </c>
      <c r="BR91" s="12">
        <v>1264.8800000000001</v>
      </c>
      <c r="BS91" s="12">
        <v>650.91999999999996</v>
      </c>
      <c r="BT91" s="12">
        <v>2171.31</v>
      </c>
      <c r="BU91" s="12">
        <v>172.64</v>
      </c>
      <c r="BV91" s="12">
        <v>1061.1400000000001</v>
      </c>
      <c r="BW91" s="12">
        <v>132.03</v>
      </c>
      <c r="BX91" s="5">
        <v>0</v>
      </c>
      <c r="BY91" s="5" t="s">
        <v>131</v>
      </c>
      <c r="BZ91" s="5" t="s">
        <v>131</v>
      </c>
      <c r="CA91" s="5" t="s">
        <v>131</v>
      </c>
      <c r="CB91" s="5" t="s">
        <v>131</v>
      </c>
      <c r="CC91" s="5" t="s">
        <v>131</v>
      </c>
      <c r="CD91" s="5" t="s">
        <v>131</v>
      </c>
      <c r="CE91" s="5" t="s">
        <v>131</v>
      </c>
      <c r="CF91" s="5" t="s">
        <v>131</v>
      </c>
      <c r="CG91" s="5" t="s">
        <v>131</v>
      </c>
      <c r="CH91" s="5" t="s">
        <v>131</v>
      </c>
      <c r="CI91" s="5" t="s">
        <v>131</v>
      </c>
      <c r="CJ91" s="5" t="s">
        <v>131</v>
      </c>
      <c r="CK91" s="5" t="s">
        <v>131</v>
      </c>
      <c r="CL91" s="5" t="s">
        <v>131</v>
      </c>
      <c r="CM91" s="5" t="s">
        <v>131</v>
      </c>
      <c r="CN91" s="5" t="s">
        <v>131</v>
      </c>
    </row>
    <row r="92" spans="1:92" ht="14">
      <c r="A92" s="4" t="s">
        <v>114</v>
      </c>
      <c r="B92" s="13">
        <v>166302.01</v>
      </c>
      <c r="C92" s="13">
        <v>303.25</v>
      </c>
      <c r="D92" s="13">
        <v>228.78</v>
      </c>
      <c r="E92" s="13">
        <v>8.69</v>
      </c>
      <c r="F92" s="13">
        <v>269.33</v>
      </c>
      <c r="G92" s="13">
        <v>2903.76</v>
      </c>
      <c r="H92" s="13">
        <v>484.6</v>
      </c>
      <c r="I92" s="13">
        <v>1198.2</v>
      </c>
      <c r="J92" s="13">
        <v>814.39</v>
      </c>
      <c r="K92" s="13">
        <v>323.77</v>
      </c>
      <c r="L92" s="13">
        <v>116.45</v>
      </c>
      <c r="M92" s="13">
        <v>862.75</v>
      </c>
      <c r="N92" s="36"/>
      <c r="O92" s="36"/>
      <c r="P92" s="40"/>
      <c r="Q92" s="40"/>
      <c r="R92" s="44"/>
      <c r="S92" s="44"/>
      <c r="T92" s="48"/>
      <c r="U92" s="48"/>
      <c r="V92" s="13">
        <v>812.73</v>
      </c>
      <c r="W92" s="13">
        <v>1302.76</v>
      </c>
      <c r="X92" s="13">
        <v>1328.63</v>
      </c>
      <c r="Y92" s="13">
        <v>1916.55</v>
      </c>
      <c r="Z92" s="13">
        <v>3376.67</v>
      </c>
      <c r="AA92" s="13">
        <v>1284.75</v>
      </c>
      <c r="AB92" s="13">
        <v>1795.61</v>
      </c>
      <c r="AC92" s="13">
        <v>4247.3599999999997</v>
      </c>
      <c r="AD92" s="13">
        <v>1472.35</v>
      </c>
      <c r="AE92" s="13">
        <v>791.79</v>
      </c>
      <c r="AF92" s="13">
        <v>1451.8</v>
      </c>
      <c r="AG92" s="13">
        <v>2265.5500000000002</v>
      </c>
      <c r="AH92" s="56">
        <v>1674.75</v>
      </c>
      <c r="AI92" s="67"/>
      <c r="AJ92" s="13">
        <v>135.47999999999999</v>
      </c>
      <c r="AK92" s="13">
        <v>985.54</v>
      </c>
      <c r="AL92" s="13">
        <v>13074.52</v>
      </c>
      <c r="AM92" s="13">
        <v>2683.18</v>
      </c>
      <c r="AN92" s="13">
        <v>9271.9500000000007</v>
      </c>
      <c r="AO92" s="13">
        <v>8743.4599999999991</v>
      </c>
      <c r="AP92" s="13">
        <v>4401.9399999999996</v>
      </c>
      <c r="AQ92" s="13">
        <v>11.31</v>
      </c>
      <c r="AR92" s="13">
        <v>299.58</v>
      </c>
      <c r="AS92" s="13">
        <v>2883.74</v>
      </c>
      <c r="AT92" s="13">
        <v>1004.68</v>
      </c>
      <c r="AU92" s="13">
        <v>6086.18</v>
      </c>
      <c r="AV92" s="13">
        <v>806.1</v>
      </c>
      <c r="AW92" s="13">
        <v>561.83000000000004</v>
      </c>
      <c r="AX92" s="13">
        <v>857.23</v>
      </c>
      <c r="AY92" s="13">
        <v>6384.03</v>
      </c>
      <c r="AZ92" s="13">
        <v>4734.2299999999996</v>
      </c>
      <c r="BA92" s="13">
        <v>1588.66</v>
      </c>
      <c r="BB92" s="13">
        <v>745.18</v>
      </c>
      <c r="BC92" s="6">
        <v>0</v>
      </c>
      <c r="BD92" s="13">
        <v>2042.78</v>
      </c>
      <c r="BE92" s="13">
        <v>6160.8</v>
      </c>
      <c r="BF92" s="13">
        <v>2929.02</v>
      </c>
      <c r="BG92" s="13">
        <v>4539.47</v>
      </c>
      <c r="BH92" s="13">
        <v>860.63</v>
      </c>
      <c r="BI92" s="13">
        <v>283.10000000000002</v>
      </c>
      <c r="BJ92" s="13">
        <v>613.45000000000005</v>
      </c>
      <c r="BK92" s="13">
        <v>3879.7</v>
      </c>
      <c r="BL92" s="13">
        <v>367.17</v>
      </c>
      <c r="BM92" s="13">
        <v>3726.11</v>
      </c>
      <c r="BN92" s="6">
        <v>11841</v>
      </c>
      <c r="BO92" s="13">
        <v>11930.16</v>
      </c>
      <c r="BP92" s="13">
        <v>10785.49</v>
      </c>
      <c r="BQ92" s="13">
        <v>5440.12</v>
      </c>
      <c r="BR92" s="13">
        <v>1024.78</v>
      </c>
      <c r="BS92" s="13">
        <v>561.58000000000004</v>
      </c>
      <c r="BT92" s="13">
        <v>1655.24</v>
      </c>
      <c r="BU92" s="13">
        <v>142.30000000000001</v>
      </c>
      <c r="BV92" s="13">
        <v>923.07</v>
      </c>
      <c r="BW92" s="13">
        <v>101.98</v>
      </c>
      <c r="BX92" s="6">
        <v>0</v>
      </c>
      <c r="BY92" s="6" t="s">
        <v>131</v>
      </c>
      <c r="BZ92" s="6" t="s">
        <v>131</v>
      </c>
      <c r="CA92" s="6" t="s">
        <v>131</v>
      </c>
      <c r="CB92" s="6" t="s">
        <v>131</v>
      </c>
      <c r="CC92" s="6" t="s">
        <v>131</v>
      </c>
      <c r="CD92" s="6" t="s">
        <v>131</v>
      </c>
      <c r="CE92" s="6" t="s">
        <v>131</v>
      </c>
      <c r="CF92" s="6" t="s">
        <v>131</v>
      </c>
      <c r="CG92" s="6" t="s">
        <v>131</v>
      </c>
      <c r="CH92" s="6" t="s">
        <v>131</v>
      </c>
      <c r="CI92" s="6" t="s">
        <v>131</v>
      </c>
      <c r="CJ92" s="6" t="s">
        <v>131</v>
      </c>
      <c r="CK92" s="6" t="s">
        <v>131</v>
      </c>
      <c r="CL92" s="6" t="s">
        <v>131</v>
      </c>
      <c r="CM92" s="6" t="s">
        <v>131</v>
      </c>
      <c r="CN92" s="6" t="s">
        <v>131</v>
      </c>
    </row>
    <row r="93" spans="1:92" ht="14">
      <c r="A93" s="4" t="s">
        <v>115</v>
      </c>
      <c r="B93" s="12">
        <v>10241.879999999999</v>
      </c>
      <c r="C93" s="12">
        <v>63.75</v>
      </c>
      <c r="D93" s="12">
        <v>33.869999999999997</v>
      </c>
      <c r="E93" s="12">
        <v>2.14</v>
      </c>
      <c r="F93" s="12">
        <v>40.42</v>
      </c>
      <c r="G93" s="12">
        <v>114.36</v>
      </c>
      <c r="H93" s="12">
        <v>14.15</v>
      </c>
      <c r="I93" s="12">
        <v>64.44</v>
      </c>
      <c r="J93" s="12">
        <v>55.79</v>
      </c>
      <c r="K93" s="12">
        <v>5.7</v>
      </c>
      <c r="L93" s="12">
        <v>9.9600000000000009</v>
      </c>
      <c r="M93" s="12">
        <v>92.48</v>
      </c>
      <c r="N93" s="36"/>
      <c r="O93" s="36"/>
      <c r="P93" s="40"/>
      <c r="Q93" s="40"/>
      <c r="R93" s="44"/>
      <c r="S93" s="44"/>
      <c r="T93" s="48"/>
      <c r="U93" s="48"/>
      <c r="V93" s="12">
        <v>13.29</v>
      </c>
      <c r="W93" s="12">
        <v>39.04</v>
      </c>
      <c r="X93" s="12">
        <v>74.23</v>
      </c>
      <c r="Y93" s="12">
        <v>102.89</v>
      </c>
      <c r="Z93" s="12">
        <v>52.07</v>
      </c>
      <c r="AA93" s="12">
        <v>18.41</v>
      </c>
      <c r="AB93" s="12">
        <v>25.48</v>
      </c>
      <c r="AC93" s="12">
        <v>43.84</v>
      </c>
      <c r="AD93" s="12">
        <v>36.65</v>
      </c>
      <c r="AE93" s="12">
        <v>9.9600000000000009</v>
      </c>
      <c r="AF93" s="12">
        <v>45.73</v>
      </c>
      <c r="AG93" s="12">
        <v>18.66</v>
      </c>
      <c r="AH93" s="56">
        <v>64.33</v>
      </c>
      <c r="AI93" s="67"/>
      <c r="AJ93" s="12">
        <v>10.78</v>
      </c>
      <c r="AK93" s="12">
        <v>89.97</v>
      </c>
      <c r="AL93" s="12">
        <v>328.86</v>
      </c>
      <c r="AM93" s="5">
        <v>55</v>
      </c>
      <c r="AN93" s="12">
        <v>208.59</v>
      </c>
      <c r="AO93" s="12">
        <v>210.16</v>
      </c>
      <c r="AP93" s="12">
        <v>431.44</v>
      </c>
      <c r="AQ93" s="12">
        <v>0.01</v>
      </c>
      <c r="AR93" s="5">
        <v>1</v>
      </c>
      <c r="AS93" s="12">
        <v>69.14</v>
      </c>
      <c r="AT93" s="12">
        <v>40.659999999999997</v>
      </c>
      <c r="AU93" s="12">
        <v>344.62</v>
      </c>
      <c r="AV93" s="12">
        <v>5.21</v>
      </c>
      <c r="AW93" s="12">
        <v>13.02</v>
      </c>
      <c r="AX93" s="12">
        <v>29.32</v>
      </c>
      <c r="AY93" s="12">
        <v>73.56</v>
      </c>
      <c r="AZ93" s="12">
        <v>704.54</v>
      </c>
      <c r="BA93" s="12">
        <v>293.37</v>
      </c>
      <c r="BB93" s="12">
        <v>190.7</v>
      </c>
      <c r="BC93" s="12">
        <v>647.38</v>
      </c>
      <c r="BD93" s="12">
        <v>262.68</v>
      </c>
      <c r="BE93" s="12">
        <v>178.71</v>
      </c>
      <c r="BF93" s="12">
        <v>38.590000000000003</v>
      </c>
      <c r="BG93" s="12">
        <v>150.32</v>
      </c>
      <c r="BH93" s="12">
        <v>36.840000000000003</v>
      </c>
      <c r="BI93" s="12">
        <v>16.670000000000002</v>
      </c>
      <c r="BJ93" s="12">
        <v>60.14</v>
      </c>
      <c r="BK93" s="12">
        <v>5.64</v>
      </c>
      <c r="BL93" s="12">
        <v>14.56</v>
      </c>
      <c r="BM93" s="12">
        <v>66.98</v>
      </c>
      <c r="BN93" s="12">
        <v>1458.43</v>
      </c>
      <c r="BO93" s="12">
        <v>666.71</v>
      </c>
      <c r="BP93" s="12">
        <v>1686.03</v>
      </c>
      <c r="BQ93" s="12">
        <v>353.68</v>
      </c>
      <c r="BR93" s="12">
        <v>121.28</v>
      </c>
      <c r="BS93" s="12">
        <v>24.91</v>
      </c>
      <c r="BT93" s="12">
        <v>268.08999999999997</v>
      </c>
      <c r="BU93" s="12">
        <v>4.3099999999999996</v>
      </c>
      <c r="BV93" s="12">
        <v>38.36</v>
      </c>
      <c r="BW93" s="5">
        <v>0</v>
      </c>
      <c r="BX93" s="5">
        <v>0</v>
      </c>
      <c r="BY93" s="12">
        <v>26630.04</v>
      </c>
      <c r="BZ93" s="12">
        <v>825.26</v>
      </c>
      <c r="CA93" s="12">
        <v>25804.78</v>
      </c>
      <c r="CB93" s="5">
        <v>0</v>
      </c>
      <c r="CC93" s="12">
        <v>6329.41</v>
      </c>
      <c r="CD93" s="12">
        <v>434.13</v>
      </c>
      <c r="CE93" s="12">
        <v>493.37</v>
      </c>
      <c r="CF93" s="12">
        <v>463.36</v>
      </c>
      <c r="CG93" s="12">
        <v>30.01</v>
      </c>
      <c r="CH93" s="12">
        <v>420.76</v>
      </c>
      <c r="CI93" s="12">
        <v>42.6</v>
      </c>
      <c r="CJ93" s="12">
        <v>5895.28</v>
      </c>
      <c r="CK93" s="12">
        <v>51.56</v>
      </c>
      <c r="CL93" s="12">
        <v>382.58</v>
      </c>
      <c r="CM93" s="12">
        <v>43694.7</v>
      </c>
      <c r="CN93" s="12">
        <v>33452.82</v>
      </c>
    </row>
    <row r="94" spans="1:92" ht="14">
      <c r="A94" s="4" t="s">
        <v>116</v>
      </c>
      <c r="B94" s="13">
        <v>-5486.03</v>
      </c>
      <c r="C94" s="13">
        <v>-1366.05</v>
      </c>
      <c r="D94" s="13">
        <v>-106.17</v>
      </c>
      <c r="E94" s="13">
        <v>0.12</v>
      </c>
      <c r="F94" s="13">
        <v>-22.99</v>
      </c>
      <c r="G94" s="13">
        <v>-274.26</v>
      </c>
      <c r="H94" s="13">
        <v>-109.97</v>
      </c>
      <c r="I94" s="13">
        <v>16.239999999999998</v>
      </c>
      <c r="J94" s="13">
        <v>-49.26</v>
      </c>
      <c r="K94" s="13">
        <v>-41.94</v>
      </c>
      <c r="L94" s="13">
        <v>-10.32</v>
      </c>
      <c r="M94" s="13">
        <v>4.2</v>
      </c>
      <c r="N94" s="36"/>
      <c r="O94" s="36"/>
      <c r="P94" s="40"/>
      <c r="Q94" s="40"/>
      <c r="R94" s="44"/>
      <c r="S94" s="44"/>
      <c r="T94" s="48"/>
      <c r="U94" s="48"/>
      <c r="V94" s="13">
        <v>52.05</v>
      </c>
      <c r="W94" s="13">
        <v>14.1</v>
      </c>
      <c r="X94" s="13">
        <v>-8.36</v>
      </c>
      <c r="Y94" s="13">
        <v>126.87</v>
      </c>
      <c r="Z94" s="13">
        <v>-101.28</v>
      </c>
      <c r="AA94" s="13">
        <v>8.7799999999999994</v>
      </c>
      <c r="AB94" s="13">
        <v>-52.06</v>
      </c>
      <c r="AC94" s="13">
        <v>37.33</v>
      </c>
      <c r="AD94" s="13">
        <v>-37.99</v>
      </c>
      <c r="AE94" s="13">
        <v>37.64</v>
      </c>
      <c r="AF94" s="13">
        <v>-24.54</v>
      </c>
      <c r="AG94" s="13">
        <v>115.78</v>
      </c>
      <c r="AH94" s="56">
        <v>145.13</v>
      </c>
      <c r="AI94" s="67"/>
      <c r="AJ94" s="13">
        <v>25.86</v>
      </c>
      <c r="AK94" s="13">
        <v>60.67</v>
      </c>
      <c r="AL94" s="13">
        <v>354.29</v>
      </c>
      <c r="AM94" s="13">
        <v>-274.2</v>
      </c>
      <c r="AN94" s="13">
        <v>-253.15</v>
      </c>
      <c r="AO94" s="13">
        <v>-949.98</v>
      </c>
      <c r="AP94" s="13">
        <v>-101.16</v>
      </c>
      <c r="AQ94" s="13">
        <v>-14.89</v>
      </c>
      <c r="AR94" s="13">
        <v>-63.41</v>
      </c>
      <c r="AS94" s="13">
        <v>153.51</v>
      </c>
      <c r="AT94" s="13">
        <v>66.86</v>
      </c>
      <c r="AU94" s="13">
        <v>-4835.3500000000004</v>
      </c>
      <c r="AV94" s="13">
        <v>-20.170000000000002</v>
      </c>
      <c r="AW94" s="13">
        <v>-80.8</v>
      </c>
      <c r="AX94" s="13">
        <v>60.41</v>
      </c>
      <c r="AY94" s="13">
        <v>383.87</v>
      </c>
      <c r="AZ94" s="13">
        <v>1315.15</v>
      </c>
      <c r="BA94" s="13">
        <v>134.93</v>
      </c>
      <c r="BB94" s="13">
        <v>28.03</v>
      </c>
      <c r="BC94" s="6">
        <v>0</v>
      </c>
      <c r="BD94" s="13">
        <v>535.33000000000004</v>
      </c>
      <c r="BE94" s="13">
        <v>182.04</v>
      </c>
      <c r="BF94" s="13">
        <v>191.43</v>
      </c>
      <c r="BG94" s="13">
        <v>-42.28</v>
      </c>
      <c r="BH94" s="13">
        <v>-135.28</v>
      </c>
      <c r="BI94" s="13">
        <v>-73.02</v>
      </c>
      <c r="BJ94" s="13">
        <v>-53.36</v>
      </c>
      <c r="BK94" s="13">
        <v>177.94</v>
      </c>
      <c r="BL94" s="13">
        <v>-354.17</v>
      </c>
      <c r="BM94" s="13">
        <v>16.62</v>
      </c>
      <c r="BN94" s="13">
        <v>418.86</v>
      </c>
      <c r="BO94" s="13">
        <v>361.76</v>
      </c>
      <c r="BP94" s="13">
        <v>187.84</v>
      </c>
      <c r="BQ94" s="13">
        <v>-422.28</v>
      </c>
      <c r="BR94" s="13">
        <v>-238.87</v>
      </c>
      <c r="BS94" s="13">
        <v>-330.04</v>
      </c>
      <c r="BT94" s="13">
        <v>97.68</v>
      </c>
      <c r="BU94" s="13">
        <v>-18.809999999999999</v>
      </c>
      <c r="BV94" s="13">
        <v>-330.93</v>
      </c>
      <c r="BW94" s="6">
        <v>0</v>
      </c>
      <c r="BX94" s="6">
        <v>0</v>
      </c>
      <c r="BY94" s="6" t="s">
        <v>131</v>
      </c>
      <c r="BZ94" s="6" t="s">
        <v>131</v>
      </c>
      <c r="CA94" s="6" t="s">
        <v>131</v>
      </c>
      <c r="CB94" s="6" t="s">
        <v>131</v>
      </c>
      <c r="CC94" s="6" t="s">
        <v>131</v>
      </c>
      <c r="CD94" s="6" t="s">
        <v>131</v>
      </c>
      <c r="CE94" s="6" t="s">
        <v>131</v>
      </c>
      <c r="CF94" s="6" t="s">
        <v>131</v>
      </c>
      <c r="CG94" s="6" t="s">
        <v>131</v>
      </c>
      <c r="CH94" s="6" t="s">
        <v>131</v>
      </c>
      <c r="CI94" s="6" t="s">
        <v>131</v>
      </c>
      <c r="CJ94" s="6" t="s">
        <v>131</v>
      </c>
      <c r="CK94" s="6" t="s">
        <v>131</v>
      </c>
      <c r="CL94" s="6" t="s">
        <v>131</v>
      </c>
      <c r="CM94" s="6" t="s">
        <v>131</v>
      </c>
      <c r="CN94" s="6" t="s">
        <v>131</v>
      </c>
    </row>
    <row r="95" spans="1:92" ht="14">
      <c r="A95" s="4" t="s">
        <v>117</v>
      </c>
      <c r="B95" s="12">
        <v>775918.02</v>
      </c>
      <c r="C95" s="12">
        <v>7479.61</v>
      </c>
      <c r="D95" s="12">
        <v>2573.86</v>
      </c>
      <c r="E95" s="12">
        <v>97.67</v>
      </c>
      <c r="F95" s="12">
        <v>1888.46</v>
      </c>
      <c r="G95" s="12">
        <v>26743.759999999998</v>
      </c>
      <c r="H95" s="12">
        <v>2709.07</v>
      </c>
      <c r="I95" s="12">
        <v>10853.87</v>
      </c>
      <c r="J95" s="12">
        <v>6253.71</v>
      </c>
      <c r="K95" s="12">
        <v>1436.29</v>
      </c>
      <c r="L95" s="12">
        <v>4462.0200000000004</v>
      </c>
      <c r="M95" s="12">
        <v>16495.88</v>
      </c>
      <c r="N95" s="36"/>
      <c r="O95" s="36"/>
      <c r="P95" s="40"/>
      <c r="Q95" s="40"/>
      <c r="R95" s="44"/>
      <c r="S95" s="44"/>
      <c r="T95" s="48"/>
      <c r="U95" s="48"/>
      <c r="V95" s="12">
        <v>3861.76</v>
      </c>
      <c r="W95" s="12">
        <v>6656.64</v>
      </c>
      <c r="X95" s="12">
        <v>6723.46</v>
      </c>
      <c r="Y95" s="12">
        <v>19530.189999999999</v>
      </c>
      <c r="Z95" s="12">
        <v>16776.59</v>
      </c>
      <c r="AA95" s="12">
        <v>9301.84</v>
      </c>
      <c r="AB95" s="12">
        <v>10296.6</v>
      </c>
      <c r="AC95" s="12">
        <v>24898.240000000002</v>
      </c>
      <c r="AD95" s="12">
        <v>15550.76</v>
      </c>
      <c r="AE95" s="12">
        <v>5616.28</v>
      </c>
      <c r="AF95" s="12">
        <v>8351.7000000000007</v>
      </c>
      <c r="AG95" s="12">
        <v>9139.15</v>
      </c>
      <c r="AH95" s="56">
        <v>34098.65</v>
      </c>
      <c r="AI95" s="67"/>
      <c r="AJ95" s="12">
        <v>1138.2</v>
      </c>
      <c r="AK95" s="12">
        <v>8548.14</v>
      </c>
      <c r="AL95" s="12">
        <v>66242.740000000005</v>
      </c>
      <c r="AM95" s="12">
        <v>10284.39</v>
      </c>
      <c r="AN95" s="12">
        <v>39615.72</v>
      </c>
      <c r="AO95" s="12">
        <v>26217.040000000001</v>
      </c>
      <c r="AP95" s="12">
        <v>16599.47</v>
      </c>
      <c r="AQ95" s="12">
        <v>61.19</v>
      </c>
      <c r="AR95" s="12">
        <v>2011.67</v>
      </c>
      <c r="AS95" s="12">
        <v>12124.83</v>
      </c>
      <c r="AT95" s="12">
        <v>3842.61</v>
      </c>
      <c r="AU95" s="12">
        <v>18132.330000000002</v>
      </c>
      <c r="AV95" s="12">
        <v>3620.12</v>
      </c>
      <c r="AW95" s="12">
        <v>2916.98</v>
      </c>
      <c r="AX95" s="12">
        <v>6442.15</v>
      </c>
      <c r="AY95" s="12">
        <v>23620.62</v>
      </c>
      <c r="AZ95" s="12">
        <v>15767.92</v>
      </c>
      <c r="BA95" s="12">
        <v>7803.6</v>
      </c>
      <c r="BB95" s="12">
        <v>5281.42</v>
      </c>
      <c r="BC95" s="12">
        <v>25212.82</v>
      </c>
      <c r="BD95" s="12">
        <v>33240.21</v>
      </c>
      <c r="BE95" s="12">
        <v>21137.13</v>
      </c>
      <c r="BF95" s="12">
        <v>11716.93</v>
      </c>
      <c r="BG95" s="12">
        <v>15110.54</v>
      </c>
      <c r="BH95" s="12">
        <v>6561.89</v>
      </c>
      <c r="BI95" s="12">
        <v>2492.36</v>
      </c>
      <c r="BJ95" s="12">
        <v>10794.29</v>
      </c>
      <c r="BK95" s="12">
        <v>5993.1</v>
      </c>
      <c r="BL95" s="12">
        <v>1387.5</v>
      </c>
      <c r="BM95" s="12">
        <v>11086.17</v>
      </c>
      <c r="BN95" s="12">
        <v>29338.31</v>
      </c>
      <c r="BO95" s="12">
        <v>21005.57</v>
      </c>
      <c r="BP95" s="12">
        <v>33573.33</v>
      </c>
      <c r="BQ95" s="12">
        <v>10776.66</v>
      </c>
      <c r="BR95" s="12">
        <v>3729.15</v>
      </c>
      <c r="BS95" s="12">
        <v>1944.89</v>
      </c>
      <c r="BT95" s="12">
        <v>3899.44</v>
      </c>
      <c r="BU95" s="12">
        <v>940.14</v>
      </c>
      <c r="BV95" s="12">
        <v>3778.35</v>
      </c>
      <c r="BW95" s="12">
        <v>132.03</v>
      </c>
      <c r="BX95" s="5">
        <v>0</v>
      </c>
      <c r="BY95" s="5" t="s">
        <v>131</v>
      </c>
      <c r="BZ95" s="5" t="s">
        <v>131</v>
      </c>
      <c r="CA95" s="5" t="s">
        <v>131</v>
      </c>
      <c r="CB95" s="5" t="s">
        <v>131</v>
      </c>
      <c r="CC95" s="5" t="s">
        <v>131</v>
      </c>
      <c r="CD95" s="5" t="s">
        <v>131</v>
      </c>
      <c r="CE95" s="5" t="s">
        <v>131</v>
      </c>
      <c r="CF95" s="5" t="s">
        <v>131</v>
      </c>
      <c r="CG95" s="5" t="s">
        <v>131</v>
      </c>
      <c r="CH95" s="5" t="s">
        <v>131</v>
      </c>
      <c r="CI95" s="5" t="s">
        <v>131</v>
      </c>
      <c r="CJ95" s="5" t="s">
        <v>131</v>
      </c>
      <c r="CK95" s="5" t="s">
        <v>131</v>
      </c>
      <c r="CL95" s="5" t="s">
        <v>131</v>
      </c>
      <c r="CM95" s="5" t="s">
        <v>131</v>
      </c>
      <c r="CN95" s="5" t="s">
        <v>131</v>
      </c>
    </row>
    <row r="96" spans="1:92" ht="14">
      <c r="A96" s="4" t="s">
        <v>118</v>
      </c>
      <c r="B96" s="13">
        <v>413381.23</v>
      </c>
      <c r="C96" s="13">
        <v>4420.9399999999996</v>
      </c>
      <c r="D96" s="13">
        <v>1381.85</v>
      </c>
      <c r="E96" s="13">
        <v>65.31</v>
      </c>
      <c r="F96" s="13">
        <v>1044.8599999999999</v>
      </c>
      <c r="G96" s="13">
        <v>19326.7</v>
      </c>
      <c r="H96" s="13">
        <v>1860.19</v>
      </c>
      <c r="I96" s="13">
        <v>7660.34</v>
      </c>
      <c r="J96" s="13">
        <v>4450.17</v>
      </c>
      <c r="K96" s="13">
        <v>945.19</v>
      </c>
      <c r="L96" s="13">
        <v>3890.71</v>
      </c>
      <c r="M96" s="13">
        <v>13200.05</v>
      </c>
      <c r="N96" s="36"/>
      <c r="O96" s="36"/>
      <c r="P96" s="40"/>
      <c r="Q96" s="40"/>
      <c r="R96" s="44"/>
      <c r="S96" s="44"/>
      <c r="T96" s="48"/>
      <c r="U96" s="48"/>
      <c r="V96" s="13">
        <v>2090.48</v>
      </c>
      <c r="W96" s="13">
        <v>4528.28</v>
      </c>
      <c r="X96" s="13">
        <v>4423.84</v>
      </c>
      <c r="Y96" s="13">
        <v>16319.67</v>
      </c>
      <c r="Z96" s="13">
        <v>10750.82</v>
      </c>
      <c r="AA96" s="13">
        <v>6148.16</v>
      </c>
      <c r="AB96" s="13">
        <v>7098.89</v>
      </c>
      <c r="AC96" s="13">
        <v>17193.48</v>
      </c>
      <c r="AD96" s="13">
        <v>12212.13</v>
      </c>
      <c r="AE96" s="13">
        <v>4174.38</v>
      </c>
      <c r="AF96" s="13">
        <v>5687.89</v>
      </c>
      <c r="AG96" s="13">
        <v>5331.65</v>
      </c>
      <c r="AH96" s="56">
        <v>28501.68</v>
      </c>
      <c r="AI96" s="67"/>
      <c r="AJ96" s="13">
        <v>450.68</v>
      </c>
      <c r="AK96" s="13">
        <v>5294.99</v>
      </c>
      <c r="AL96" s="13">
        <v>42281.599999999999</v>
      </c>
      <c r="AM96" s="13">
        <v>5491.49</v>
      </c>
      <c r="AN96" s="13">
        <v>16408.740000000002</v>
      </c>
      <c r="AO96" s="13">
        <v>10391.18</v>
      </c>
      <c r="AP96" s="13">
        <v>8537.86</v>
      </c>
      <c r="AQ96" s="13">
        <v>57.94</v>
      </c>
      <c r="AR96" s="13">
        <v>1905.09</v>
      </c>
      <c r="AS96" s="13">
        <v>4522.8500000000004</v>
      </c>
      <c r="AT96" s="13">
        <v>2157.9699999999998</v>
      </c>
      <c r="AU96" s="13">
        <v>9522.36</v>
      </c>
      <c r="AV96" s="13">
        <v>2071.5</v>
      </c>
      <c r="AW96" s="13">
        <v>1893.26</v>
      </c>
      <c r="AX96" s="13">
        <v>3220.54</v>
      </c>
      <c r="AY96" s="13">
        <v>10874.73</v>
      </c>
      <c r="AZ96" s="13">
        <v>6938.69</v>
      </c>
      <c r="BA96" s="13">
        <v>3713.33</v>
      </c>
      <c r="BB96" s="13">
        <v>2825.87</v>
      </c>
      <c r="BC96" s="13">
        <v>6975.2</v>
      </c>
      <c r="BD96" s="13">
        <v>14375.64</v>
      </c>
      <c r="BE96" s="13">
        <v>10503.38</v>
      </c>
      <c r="BF96" s="13">
        <v>4829.78</v>
      </c>
      <c r="BG96" s="13">
        <v>3769.65</v>
      </c>
      <c r="BH96" s="13">
        <v>4097.99</v>
      </c>
      <c r="BI96" s="13">
        <v>1283.52</v>
      </c>
      <c r="BJ96" s="13">
        <v>3320.74</v>
      </c>
      <c r="BK96" s="13">
        <v>770.31</v>
      </c>
      <c r="BL96" s="13">
        <v>1104.5899999999999</v>
      </c>
      <c r="BM96" s="13">
        <v>4208.99</v>
      </c>
      <c r="BN96" s="13">
        <v>11619.04</v>
      </c>
      <c r="BO96" s="13">
        <v>3868.48</v>
      </c>
      <c r="BP96" s="13">
        <v>11848.1</v>
      </c>
      <c r="BQ96" s="13">
        <v>3092.83</v>
      </c>
      <c r="BR96" s="13">
        <v>1762.19</v>
      </c>
      <c r="BS96" s="13">
        <v>1193.93</v>
      </c>
      <c r="BT96" s="13">
        <v>1546.96</v>
      </c>
      <c r="BU96" s="13">
        <v>388.41</v>
      </c>
      <c r="BV96" s="13">
        <v>1553.23</v>
      </c>
      <c r="BW96" s="6">
        <v>0</v>
      </c>
      <c r="BX96" s="6">
        <v>0</v>
      </c>
      <c r="BY96" s="13">
        <v>292427.24</v>
      </c>
      <c r="BZ96" s="13">
        <v>88622.91</v>
      </c>
      <c r="CA96" s="13">
        <v>195408.76</v>
      </c>
      <c r="CB96" s="13">
        <v>8395.57</v>
      </c>
      <c r="CC96" s="13">
        <v>112351.21</v>
      </c>
      <c r="CD96" s="13">
        <v>7280.84</v>
      </c>
      <c r="CE96" s="13">
        <v>219662.89</v>
      </c>
      <c r="CF96" s="13">
        <v>165983.67999999999</v>
      </c>
      <c r="CG96" s="13">
        <v>53679.22</v>
      </c>
      <c r="CH96" s="13">
        <v>135628.21</v>
      </c>
      <c r="CI96" s="13">
        <v>30355.47</v>
      </c>
      <c r="CJ96" s="13">
        <v>105070.37</v>
      </c>
      <c r="CK96" s="13">
        <v>3675.16</v>
      </c>
      <c r="CL96" s="13">
        <v>3605.69</v>
      </c>
      <c r="CM96" s="13">
        <v>1037822.58</v>
      </c>
      <c r="CN96" s="13">
        <v>624441.35</v>
      </c>
    </row>
    <row r="97" spans="1:92" ht="14">
      <c r="A97" s="4" t="s">
        <v>119</v>
      </c>
      <c r="B97" s="12">
        <v>218209.85</v>
      </c>
      <c r="C97" s="12">
        <v>3260.26</v>
      </c>
      <c r="D97" s="12">
        <v>871.06</v>
      </c>
      <c r="E97" s="12">
        <v>84.25</v>
      </c>
      <c r="F97" s="12">
        <v>9335.8700000000008</v>
      </c>
      <c r="G97" s="12">
        <v>10556.22</v>
      </c>
      <c r="H97" s="12">
        <v>8202.0499999999993</v>
      </c>
      <c r="I97" s="12">
        <v>2411.98</v>
      </c>
      <c r="J97" s="12">
        <v>2682.97</v>
      </c>
      <c r="K97" s="12">
        <v>86.65</v>
      </c>
      <c r="L97" s="12">
        <v>4300.79</v>
      </c>
      <c r="M97" s="12">
        <v>17290.3</v>
      </c>
      <c r="N97" s="36"/>
      <c r="O97" s="36"/>
      <c r="P97" s="40"/>
      <c r="Q97" s="40"/>
      <c r="R97" s="44"/>
      <c r="S97" s="44"/>
      <c r="T97" s="48"/>
      <c r="U97" s="48"/>
      <c r="V97" s="12">
        <v>7706.15</v>
      </c>
      <c r="W97" s="12">
        <v>6371.57</v>
      </c>
      <c r="X97" s="12">
        <v>2740.17</v>
      </c>
      <c r="Y97" s="12">
        <v>13895.29</v>
      </c>
      <c r="Z97" s="12">
        <v>8437.83</v>
      </c>
      <c r="AA97" s="12">
        <v>12144.09</v>
      </c>
      <c r="AB97" s="12">
        <v>11019.36</v>
      </c>
      <c r="AC97" s="12">
        <v>18501.36</v>
      </c>
      <c r="AD97" s="12">
        <v>16622.5</v>
      </c>
      <c r="AE97" s="12">
        <v>3528.91</v>
      </c>
      <c r="AF97" s="12">
        <v>6691.64</v>
      </c>
      <c r="AG97" s="12">
        <v>1953.86</v>
      </c>
      <c r="AH97" s="56">
        <v>2190.5100000000002</v>
      </c>
      <c r="AI97" s="67"/>
      <c r="AJ97" s="12">
        <v>1.06</v>
      </c>
      <c r="AK97" s="12">
        <v>2479.64</v>
      </c>
      <c r="AL97" s="12">
        <v>667.99</v>
      </c>
      <c r="AM97" s="12">
        <v>130.99</v>
      </c>
      <c r="AN97" s="12">
        <v>1473.71</v>
      </c>
      <c r="AO97" s="5">
        <v>0</v>
      </c>
      <c r="AP97" s="12">
        <v>8283.58</v>
      </c>
      <c r="AQ97" s="12">
        <v>1862.71</v>
      </c>
      <c r="AR97" s="12">
        <v>761.11</v>
      </c>
      <c r="AS97" s="12">
        <v>2537.63</v>
      </c>
      <c r="AT97" s="12">
        <v>453.18</v>
      </c>
      <c r="AU97" s="12">
        <v>814.56</v>
      </c>
      <c r="AV97" s="12">
        <v>2213.09</v>
      </c>
      <c r="AW97" s="12">
        <v>1207.24</v>
      </c>
      <c r="AX97" s="12">
        <v>583.11</v>
      </c>
      <c r="AY97" s="12">
        <v>6355.77</v>
      </c>
      <c r="AZ97" s="12">
        <v>1667.71</v>
      </c>
      <c r="BA97" s="12">
        <v>678.11</v>
      </c>
      <c r="BB97" s="12">
        <v>171.41</v>
      </c>
      <c r="BC97" s="5">
        <v>0</v>
      </c>
      <c r="BD97" s="12">
        <v>107.11</v>
      </c>
      <c r="BE97" s="12">
        <v>4326.59</v>
      </c>
      <c r="BF97" s="12">
        <v>1891.6</v>
      </c>
      <c r="BG97" s="12">
        <v>1187.1400000000001</v>
      </c>
      <c r="BH97" s="12">
        <v>3313.63</v>
      </c>
      <c r="BI97" s="12">
        <v>178.31</v>
      </c>
      <c r="BJ97" s="12">
        <v>1748.53</v>
      </c>
      <c r="BK97" s="12">
        <v>325.49</v>
      </c>
      <c r="BL97" s="12">
        <v>74.400000000000006</v>
      </c>
      <c r="BM97" s="12">
        <v>568.99</v>
      </c>
      <c r="BN97" s="12">
        <v>50.42</v>
      </c>
      <c r="BO97" s="12">
        <v>85.11</v>
      </c>
      <c r="BP97" s="12">
        <v>165.56</v>
      </c>
      <c r="BQ97" s="12">
        <v>393.5</v>
      </c>
      <c r="BR97" s="12">
        <v>448.73</v>
      </c>
      <c r="BS97" s="12">
        <v>45.47</v>
      </c>
      <c r="BT97" s="5">
        <v>0</v>
      </c>
      <c r="BU97" s="12">
        <v>10.34</v>
      </c>
      <c r="BV97" s="12">
        <v>60.72</v>
      </c>
      <c r="BW97" s="5">
        <v>0</v>
      </c>
      <c r="BX97" s="5">
        <v>0</v>
      </c>
      <c r="BY97" s="5" t="s">
        <v>131</v>
      </c>
      <c r="BZ97" s="5" t="s">
        <v>131</v>
      </c>
      <c r="CA97" s="5" t="s">
        <v>131</v>
      </c>
      <c r="CB97" s="5" t="s">
        <v>131</v>
      </c>
      <c r="CC97" s="5" t="s">
        <v>131</v>
      </c>
      <c r="CD97" s="5" t="s">
        <v>131</v>
      </c>
      <c r="CE97" s="5" t="s">
        <v>131</v>
      </c>
      <c r="CF97" s="5" t="s">
        <v>131</v>
      </c>
      <c r="CG97" s="5" t="s">
        <v>131</v>
      </c>
      <c r="CH97" s="5" t="s">
        <v>131</v>
      </c>
      <c r="CI97" s="5" t="s">
        <v>131</v>
      </c>
      <c r="CJ97" s="5" t="s">
        <v>131</v>
      </c>
      <c r="CK97" s="5" t="s">
        <v>131</v>
      </c>
      <c r="CL97" s="5" t="s">
        <v>131</v>
      </c>
      <c r="CM97" s="5" t="s">
        <v>131</v>
      </c>
      <c r="CN97" s="5" t="s">
        <v>131</v>
      </c>
    </row>
    <row r="98" spans="1:92" ht="14">
      <c r="A98" s="4" t="s">
        <v>120</v>
      </c>
      <c r="B98" s="13">
        <v>152057.63</v>
      </c>
      <c r="C98" s="13">
        <v>2557.1999999999998</v>
      </c>
      <c r="D98" s="13">
        <v>851.93</v>
      </c>
      <c r="E98" s="13">
        <v>56.17</v>
      </c>
      <c r="F98" s="13">
        <v>1150.3699999999999</v>
      </c>
      <c r="G98" s="13">
        <v>8765.4599999999991</v>
      </c>
      <c r="H98" s="13">
        <v>3867.11</v>
      </c>
      <c r="I98" s="13">
        <v>2082.36</v>
      </c>
      <c r="J98" s="13">
        <v>2361.16</v>
      </c>
      <c r="K98" s="13">
        <v>71.89</v>
      </c>
      <c r="L98" s="13">
        <v>4085.79</v>
      </c>
      <c r="M98" s="13">
        <v>11856.55</v>
      </c>
      <c r="N98" s="36"/>
      <c r="O98" s="36"/>
      <c r="P98" s="40"/>
      <c r="Q98" s="40"/>
      <c r="R98" s="44"/>
      <c r="S98" s="44"/>
      <c r="T98" s="48"/>
      <c r="U98" s="48"/>
      <c r="V98" s="13">
        <v>4396.09</v>
      </c>
      <c r="W98" s="13">
        <v>5104.33</v>
      </c>
      <c r="X98" s="13">
        <v>2215.1799999999998</v>
      </c>
      <c r="Y98" s="13">
        <v>9002.68</v>
      </c>
      <c r="Z98" s="13">
        <v>6313.61</v>
      </c>
      <c r="AA98" s="13">
        <v>5845.03</v>
      </c>
      <c r="AB98" s="13">
        <v>7511.35</v>
      </c>
      <c r="AC98" s="13">
        <v>14160.08</v>
      </c>
      <c r="AD98" s="13">
        <v>13386.7</v>
      </c>
      <c r="AE98" s="13">
        <v>2161.15</v>
      </c>
      <c r="AF98" s="13">
        <v>4244.09</v>
      </c>
      <c r="AG98" s="13">
        <v>1430.45</v>
      </c>
      <c r="AH98" s="56">
        <v>2048.41</v>
      </c>
      <c r="AI98" s="67"/>
      <c r="AJ98" s="13">
        <v>0.46</v>
      </c>
      <c r="AK98" s="13">
        <v>2188.42</v>
      </c>
      <c r="AL98" s="13">
        <v>602.47</v>
      </c>
      <c r="AM98" s="13">
        <v>127.09</v>
      </c>
      <c r="AN98" s="13">
        <v>1113.26</v>
      </c>
      <c r="AO98" s="6">
        <v>0</v>
      </c>
      <c r="AP98" s="13">
        <v>7472.59</v>
      </c>
      <c r="AQ98" s="13">
        <v>1018.47</v>
      </c>
      <c r="AR98" s="13">
        <v>381.43</v>
      </c>
      <c r="AS98" s="13">
        <v>2197.34</v>
      </c>
      <c r="AT98" s="13">
        <v>328.67</v>
      </c>
      <c r="AU98" s="13">
        <v>676.35</v>
      </c>
      <c r="AV98" s="13">
        <v>1882.58</v>
      </c>
      <c r="AW98" s="13">
        <v>1051.4000000000001</v>
      </c>
      <c r="AX98" s="13">
        <v>406.7</v>
      </c>
      <c r="AY98" s="13">
        <v>5116.8500000000004</v>
      </c>
      <c r="AZ98" s="13">
        <v>953.76</v>
      </c>
      <c r="BA98" s="13">
        <v>351.25</v>
      </c>
      <c r="BB98" s="13">
        <v>132.71</v>
      </c>
      <c r="BC98" s="6">
        <v>0</v>
      </c>
      <c r="BD98" s="13">
        <v>64.73</v>
      </c>
      <c r="BE98" s="13">
        <v>3224.02</v>
      </c>
      <c r="BF98" s="13">
        <v>1391.55</v>
      </c>
      <c r="BG98" s="13">
        <v>667.74</v>
      </c>
      <c r="BH98" s="13">
        <v>2266.11</v>
      </c>
      <c r="BI98" s="13">
        <v>134.28</v>
      </c>
      <c r="BJ98" s="13">
        <v>1107.54</v>
      </c>
      <c r="BK98" s="13">
        <v>248.6</v>
      </c>
      <c r="BL98" s="13">
        <v>44.78</v>
      </c>
      <c r="BM98" s="13">
        <v>426.25</v>
      </c>
      <c r="BN98" s="13">
        <v>14.94</v>
      </c>
      <c r="BO98" s="13">
        <v>70.62</v>
      </c>
      <c r="BP98" s="13">
        <v>147.79</v>
      </c>
      <c r="BQ98" s="13">
        <v>393.5</v>
      </c>
      <c r="BR98" s="13">
        <v>243.27</v>
      </c>
      <c r="BS98" s="13">
        <v>29.68</v>
      </c>
      <c r="BT98" s="6">
        <v>0</v>
      </c>
      <c r="BU98" s="13">
        <v>7.8</v>
      </c>
      <c r="BV98" s="13">
        <v>47.52</v>
      </c>
      <c r="BW98" s="6">
        <v>0</v>
      </c>
      <c r="BX98" s="6">
        <v>0</v>
      </c>
      <c r="BY98" s="6" t="s">
        <v>131</v>
      </c>
      <c r="BZ98" s="6" t="s">
        <v>131</v>
      </c>
      <c r="CA98" s="6" t="s">
        <v>131</v>
      </c>
      <c r="CB98" s="6" t="s">
        <v>131</v>
      </c>
      <c r="CC98" s="6" t="s">
        <v>131</v>
      </c>
      <c r="CD98" s="6" t="s">
        <v>131</v>
      </c>
      <c r="CE98" s="6" t="s">
        <v>131</v>
      </c>
      <c r="CF98" s="6" t="s">
        <v>131</v>
      </c>
      <c r="CG98" s="6" t="s">
        <v>131</v>
      </c>
      <c r="CH98" s="6" t="s">
        <v>131</v>
      </c>
      <c r="CI98" s="6" t="s">
        <v>131</v>
      </c>
      <c r="CJ98" s="6" t="s">
        <v>131</v>
      </c>
      <c r="CK98" s="6" t="s">
        <v>131</v>
      </c>
      <c r="CL98" s="6" t="s">
        <v>131</v>
      </c>
      <c r="CM98" s="6" t="s">
        <v>131</v>
      </c>
      <c r="CN98" s="6" t="s">
        <v>131</v>
      </c>
    </row>
    <row r="99" spans="1:92" ht="14">
      <c r="A99" s="4" t="s">
        <v>121</v>
      </c>
      <c r="B99" s="12">
        <v>66152.22</v>
      </c>
      <c r="C99" s="12">
        <v>703.06</v>
      </c>
      <c r="D99" s="12">
        <v>19.13</v>
      </c>
      <c r="E99" s="12">
        <v>28.08</v>
      </c>
      <c r="F99" s="12">
        <v>8185.5</v>
      </c>
      <c r="G99" s="12">
        <v>1790.75</v>
      </c>
      <c r="H99" s="12">
        <v>4334.95</v>
      </c>
      <c r="I99" s="12">
        <v>329.62</v>
      </c>
      <c r="J99" s="12">
        <v>321.81</v>
      </c>
      <c r="K99" s="12">
        <v>14.77</v>
      </c>
      <c r="L99" s="5">
        <v>215</v>
      </c>
      <c r="M99" s="12">
        <v>5433.75</v>
      </c>
      <c r="N99" s="36"/>
      <c r="O99" s="36"/>
      <c r="P99" s="40"/>
      <c r="Q99" s="40"/>
      <c r="R99" s="44"/>
      <c r="S99" s="44"/>
      <c r="T99" s="48"/>
      <c r="U99" s="48"/>
      <c r="V99" s="12">
        <v>3310.07</v>
      </c>
      <c r="W99" s="12">
        <v>1267.24</v>
      </c>
      <c r="X99" s="5">
        <v>525</v>
      </c>
      <c r="Y99" s="12">
        <v>4892.6099999999997</v>
      </c>
      <c r="Z99" s="12">
        <v>2124.2199999999998</v>
      </c>
      <c r="AA99" s="12">
        <v>6299.06</v>
      </c>
      <c r="AB99" s="12">
        <v>3508.01</v>
      </c>
      <c r="AC99" s="12">
        <v>4341.28</v>
      </c>
      <c r="AD99" s="12">
        <v>3235.8</v>
      </c>
      <c r="AE99" s="12">
        <v>1367.77</v>
      </c>
      <c r="AF99" s="12">
        <v>2447.5500000000002</v>
      </c>
      <c r="AG99" s="12">
        <v>523.41</v>
      </c>
      <c r="AH99" s="56">
        <v>142.1</v>
      </c>
      <c r="AI99" s="67"/>
      <c r="AJ99" s="12">
        <v>0.59</v>
      </c>
      <c r="AK99" s="12">
        <v>291.20999999999998</v>
      </c>
      <c r="AL99" s="12">
        <v>65.52</v>
      </c>
      <c r="AM99" s="12">
        <v>3.9</v>
      </c>
      <c r="AN99" s="12">
        <v>360.46</v>
      </c>
      <c r="AO99" s="5">
        <v>0</v>
      </c>
      <c r="AP99" s="12">
        <v>810.98</v>
      </c>
      <c r="AQ99" s="12">
        <v>844.24</v>
      </c>
      <c r="AR99" s="12">
        <v>379.68</v>
      </c>
      <c r="AS99" s="12">
        <v>340.29</v>
      </c>
      <c r="AT99" s="12">
        <v>124.51</v>
      </c>
      <c r="AU99" s="12">
        <v>138.21</v>
      </c>
      <c r="AV99" s="12">
        <v>330.51</v>
      </c>
      <c r="AW99" s="12">
        <v>155.84</v>
      </c>
      <c r="AX99" s="12">
        <v>176.41</v>
      </c>
      <c r="AY99" s="12">
        <v>1238.92</v>
      </c>
      <c r="AZ99" s="12">
        <v>713.95</v>
      </c>
      <c r="BA99" s="12">
        <v>326.86</v>
      </c>
      <c r="BB99" s="12">
        <v>38.700000000000003</v>
      </c>
      <c r="BC99" s="5">
        <v>0</v>
      </c>
      <c r="BD99" s="12">
        <v>42.38</v>
      </c>
      <c r="BE99" s="12">
        <v>1102.57</v>
      </c>
      <c r="BF99" s="12">
        <v>500.05</v>
      </c>
      <c r="BG99" s="12">
        <v>519.4</v>
      </c>
      <c r="BH99" s="12">
        <v>1047.52</v>
      </c>
      <c r="BI99" s="12">
        <v>44.03</v>
      </c>
      <c r="BJ99" s="12">
        <v>640.99</v>
      </c>
      <c r="BK99" s="12">
        <v>76.89</v>
      </c>
      <c r="BL99" s="12">
        <v>29.62</v>
      </c>
      <c r="BM99" s="12">
        <v>142.74</v>
      </c>
      <c r="BN99" s="12">
        <v>35.47</v>
      </c>
      <c r="BO99" s="12">
        <v>14.49</v>
      </c>
      <c r="BP99" s="12">
        <v>17.78</v>
      </c>
      <c r="BQ99" s="5">
        <v>0</v>
      </c>
      <c r="BR99" s="12">
        <v>205.46</v>
      </c>
      <c r="BS99" s="12">
        <v>15.79</v>
      </c>
      <c r="BT99" s="5">
        <v>0</v>
      </c>
      <c r="BU99" s="12">
        <v>2.54</v>
      </c>
      <c r="BV99" s="12">
        <v>13.2</v>
      </c>
      <c r="BW99" s="5">
        <v>0</v>
      </c>
      <c r="BX99" s="5">
        <v>0</v>
      </c>
      <c r="BY99" s="5" t="s">
        <v>131</v>
      </c>
      <c r="BZ99" s="5" t="s">
        <v>131</v>
      </c>
      <c r="CA99" s="5" t="s">
        <v>131</v>
      </c>
      <c r="CB99" s="5" t="s">
        <v>131</v>
      </c>
      <c r="CC99" s="5" t="s">
        <v>131</v>
      </c>
      <c r="CD99" s="5" t="s">
        <v>131</v>
      </c>
      <c r="CE99" s="5" t="s">
        <v>131</v>
      </c>
      <c r="CF99" s="5" t="s">
        <v>131</v>
      </c>
      <c r="CG99" s="5" t="s">
        <v>131</v>
      </c>
      <c r="CH99" s="5" t="s">
        <v>131</v>
      </c>
      <c r="CI99" s="5" t="s">
        <v>131</v>
      </c>
      <c r="CJ99" s="5" t="s">
        <v>131</v>
      </c>
      <c r="CK99" s="5" t="s">
        <v>131</v>
      </c>
      <c r="CL99" s="5" t="s">
        <v>131</v>
      </c>
      <c r="CM99" s="5" t="s">
        <v>131</v>
      </c>
      <c r="CN99" s="5" t="s">
        <v>131</v>
      </c>
    </row>
    <row r="100" spans="1:92" ht="14">
      <c r="A100" s="4" t="s">
        <v>122</v>
      </c>
      <c r="B100" s="13">
        <v>120150.79</v>
      </c>
      <c r="C100" s="13">
        <v>1755.65</v>
      </c>
      <c r="D100" s="13">
        <v>405.77</v>
      </c>
      <c r="E100" s="13">
        <v>43.23</v>
      </c>
      <c r="F100" s="13">
        <v>744.28</v>
      </c>
      <c r="G100" s="13">
        <v>7112.09</v>
      </c>
      <c r="H100" s="13">
        <v>3127.57</v>
      </c>
      <c r="I100" s="13">
        <v>1334.34</v>
      </c>
      <c r="J100" s="13">
        <v>1745.48</v>
      </c>
      <c r="K100" s="13">
        <v>60.93</v>
      </c>
      <c r="L100" s="13">
        <v>3705.46</v>
      </c>
      <c r="M100" s="13">
        <v>10004.48</v>
      </c>
      <c r="N100" s="36"/>
      <c r="O100" s="36"/>
      <c r="P100" s="40"/>
      <c r="Q100" s="40"/>
      <c r="R100" s="44"/>
      <c r="S100" s="44"/>
      <c r="T100" s="48"/>
      <c r="U100" s="48"/>
      <c r="V100" s="13">
        <v>3942.03</v>
      </c>
      <c r="W100" s="13">
        <v>4209.3</v>
      </c>
      <c r="X100" s="13">
        <v>1819.93</v>
      </c>
      <c r="Y100" s="13">
        <v>7638.35</v>
      </c>
      <c r="Z100" s="13">
        <v>4953.6400000000003</v>
      </c>
      <c r="AA100" s="13">
        <v>4503.47</v>
      </c>
      <c r="AB100" s="13">
        <v>4984.5200000000004</v>
      </c>
      <c r="AC100" s="13">
        <v>11694.05</v>
      </c>
      <c r="AD100" s="13">
        <v>10854.4</v>
      </c>
      <c r="AE100" s="13">
        <v>1778.92</v>
      </c>
      <c r="AF100" s="13">
        <v>3257.3</v>
      </c>
      <c r="AG100" s="13">
        <v>1102.8499999999999</v>
      </c>
      <c r="AH100" s="56">
        <v>1129.93</v>
      </c>
      <c r="AI100" s="67"/>
      <c r="AJ100" s="13">
        <v>0.38</v>
      </c>
      <c r="AK100" s="13">
        <v>1636.49</v>
      </c>
      <c r="AL100" s="13">
        <v>468.02</v>
      </c>
      <c r="AM100" s="13">
        <v>106.59</v>
      </c>
      <c r="AN100" s="13">
        <v>957.86</v>
      </c>
      <c r="AO100" s="6">
        <v>0</v>
      </c>
      <c r="AP100" s="13">
        <v>4248.8100000000004</v>
      </c>
      <c r="AQ100" s="13">
        <v>813.9</v>
      </c>
      <c r="AR100" s="13">
        <v>337.4</v>
      </c>
      <c r="AS100" s="13">
        <v>1303.68</v>
      </c>
      <c r="AT100" s="13">
        <v>306.35000000000002</v>
      </c>
      <c r="AU100" s="13">
        <v>573.07000000000005</v>
      </c>
      <c r="AV100" s="13">
        <v>1613.13</v>
      </c>
      <c r="AW100" s="13">
        <v>906.47</v>
      </c>
      <c r="AX100" s="13">
        <v>284.81</v>
      </c>
      <c r="AY100" s="13">
        <v>4503.74</v>
      </c>
      <c r="AZ100" s="13">
        <v>844.12</v>
      </c>
      <c r="BA100" s="13">
        <v>289.74</v>
      </c>
      <c r="BB100" s="13">
        <v>116.25</v>
      </c>
      <c r="BC100" s="6">
        <v>0</v>
      </c>
      <c r="BD100" s="13">
        <v>54.68</v>
      </c>
      <c r="BE100" s="13">
        <v>2750.51</v>
      </c>
      <c r="BF100" s="13">
        <v>1138.8599999999999</v>
      </c>
      <c r="BG100" s="6">
        <v>562</v>
      </c>
      <c r="BH100" s="13">
        <v>1976.77</v>
      </c>
      <c r="BI100" s="13">
        <v>115.38</v>
      </c>
      <c r="BJ100" s="13">
        <v>997.74</v>
      </c>
      <c r="BK100" s="13">
        <v>212.12</v>
      </c>
      <c r="BL100" s="13">
        <v>40.22</v>
      </c>
      <c r="BM100" s="13">
        <v>361.07</v>
      </c>
      <c r="BN100" s="13">
        <v>10.1</v>
      </c>
      <c r="BO100" s="13">
        <v>63.68</v>
      </c>
      <c r="BP100" s="13">
        <v>126.23</v>
      </c>
      <c r="BQ100" s="13">
        <v>224.02</v>
      </c>
      <c r="BR100" s="13">
        <v>235.65</v>
      </c>
      <c r="BS100" s="13">
        <v>23.44</v>
      </c>
      <c r="BT100" s="6">
        <v>0</v>
      </c>
      <c r="BU100" s="13">
        <v>7.14</v>
      </c>
      <c r="BV100" s="13">
        <v>32.450000000000003</v>
      </c>
      <c r="BW100" s="6">
        <v>0</v>
      </c>
      <c r="BX100" s="6">
        <v>0</v>
      </c>
      <c r="BY100" s="6" t="s">
        <v>131</v>
      </c>
      <c r="BZ100" s="6" t="s">
        <v>131</v>
      </c>
      <c r="CA100" s="6" t="s">
        <v>131</v>
      </c>
      <c r="CB100" s="6" t="s">
        <v>131</v>
      </c>
      <c r="CC100" s="6" t="s">
        <v>131</v>
      </c>
      <c r="CD100" s="6" t="s">
        <v>131</v>
      </c>
      <c r="CE100" s="6" t="s">
        <v>131</v>
      </c>
      <c r="CF100" s="6" t="s">
        <v>131</v>
      </c>
      <c r="CG100" s="6" t="s">
        <v>131</v>
      </c>
      <c r="CH100" s="6" t="s">
        <v>131</v>
      </c>
      <c r="CI100" s="6" t="s">
        <v>131</v>
      </c>
      <c r="CJ100" s="6" t="s">
        <v>131</v>
      </c>
      <c r="CK100" s="6" t="s">
        <v>131</v>
      </c>
      <c r="CL100" s="6" t="s">
        <v>131</v>
      </c>
      <c r="CM100" s="6" t="s">
        <v>131</v>
      </c>
      <c r="CN100" s="6" t="s">
        <v>131</v>
      </c>
    </row>
    <row r="101" spans="1:92" ht="14">
      <c r="A101" s="4" t="s">
        <v>123</v>
      </c>
      <c r="B101" s="12">
        <v>31906.84</v>
      </c>
      <c r="C101" s="12">
        <v>801.55</v>
      </c>
      <c r="D101" s="12">
        <v>446.17</v>
      </c>
      <c r="E101" s="12">
        <v>12.94</v>
      </c>
      <c r="F101" s="12">
        <v>406.09</v>
      </c>
      <c r="G101" s="12">
        <v>1653.37</v>
      </c>
      <c r="H101" s="12">
        <v>739.54</v>
      </c>
      <c r="I101" s="12">
        <v>748.03</v>
      </c>
      <c r="J101" s="12">
        <v>615.67999999999995</v>
      </c>
      <c r="K101" s="12">
        <v>10.95</v>
      </c>
      <c r="L101" s="12">
        <v>380.33</v>
      </c>
      <c r="M101" s="12">
        <v>1852.07</v>
      </c>
      <c r="N101" s="36"/>
      <c r="O101" s="36"/>
      <c r="P101" s="40"/>
      <c r="Q101" s="40"/>
      <c r="R101" s="44"/>
      <c r="S101" s="44"/>
      <c r="T101" s="48"/>
      <c r="U101" s="48"/>
      <c r="V101" s="12">
        <v>454.06</v>
      </c>
      <c r="W101" s="12">
        <v>895.03</v>
      </c>
      <c r="X101" s="12">
        <v>395.25</v>
      </c>
      <c r="Y101" s="12">
        <v>1364.33</v>
      </c>
      <c r="Z101" s="12">
        <v>1359.97</v>
      </c>
      <c r="AA101" s="12">
        <v>1341.57</v>
      </c>
      <c r="AB101" s="12">
        <v>2526.84</v>
      </c>
      <c r="AC101" s="12">
        <v>2466.0300000000002</v>
      </c>
      <c r="AD101" s="12">
        <v>2532.3000000000002</v>
      </c>
      <c r="AE101" s="12">
        <v>382.23</v>
      </c>
      <c r="AF101" s="12">
        <v>986.8</v>
      </c>
      <c r="AG101" s="12">
        <v>327.60000000000002</v>
      </c>
      <c r="AH101" s="56">
        <v>918.48</v>
      </c>
      <c r="AI101" s="67"/>
      <c r="AJ101" s="12">
        <v>0.09</v>
      </c>
      <c r="AK101" s="12">
        <v>551.92999999999995</v>
      </c>
      <c r="AL101" s="12">
        <v>134.44999999999999</v>
      </c>
      <c r="AM101" s="12">
        <v>20.5</v>
      </c>
      <c r="AN101" s="12">
        <v>155.38999999999999</v>
      </c>
      <c r="AO101" s="5">
        <v>0</v>
      </c>
      <c r="AP101" s="12">
        <v>3223.78</v>
      </c>
      <c r="AQ101" s="12">
        <v>204.57</v>
      </c>
      <c r="AR101" s="12">
        <v>44.03</v>
      </c>
      <c r="AS101" s="12">
        <v>893.66</v>
      </c>
      <c r="AT101" s="12">
        <v>22.32</v>
      </c>
      <c r="AU101" s="12">
        <v>103.28</v>
      </c>
      <c r="AV101" s="12">
        <v>269.45</v>
      </c>
      <c r="AW101" s="12">
        <v>144.93</v>
      </c>
      <c r="AX101" s="12">
        <v>121.88</v>
      </c>
      <c r="AY101" s="12">
        <v>613.11</v>
      </c>
      <c r="AZ101" s="12">
        <v>109.63</v>
      </c>
      <c r="BA101" s="12">
        <v>61.51</v>
      </c>
      <c r="BB101" s="12">
        <v>16.47</v>
      </c>
      <c r="BC101" s="5">
        <v>0</v>
      </c>
      <c r="BD101" s="12">
        <v>10.050000000000001</v>
      </c>
      <c r="BE101" s="12">
        <v>473.51</v>
      </c>
      <c r="BF101" s="12">
        <v>252.69</v>
      </c>
      <c r="BG101" s="12">
        <v>105.74</v>
      </c>
      <c r="BH101" s="12">
        <v>289.35000000000002</v>
      </c>
      <c r="BI101" s="12">
        <v>18.899999999999999</v>
      </c>
      <c r="BJ101" s="12">
        <v>109.79</v>
      </c>
      <c r="BK101" s="12">
        <v>36.49</v>
      </c>
      <c r="BL101" s="12">
        <v>4.5599999999999996</v>
      </c>
      <c r="BM101" s="12">
        <v>65.19</v>
      </c>
      <c r="BN101" s="12">
        <v>4.84</v>
      </c>
      <c r="BO101" s="12">
        <v>6.94</v>
      </c>
      <c r="BP101" s="12">
        <v>21.56</v>
      </c>
      <c r="BQ101" s="12">
        <v>169.48</v>
      </c>
      <c r="BR101" s="12">
        <v>7.61</v>
      </c>
      <c r="BS101" s="12">
        <v>6.24</v>
      </c>
      <c r="BT101" s="5">
        <v>0</v>
      </c>
      <c r="BU101" s="12">
        <v>0.66</v>
      </c>
      <c r="BV101" s="12">
        <v>15.07</v>
      </c>
      <c r="BW101" s="5">
        <v>0</v>
      </c>
      <c r="BX101" s="5">
        <v>0</v>
      </c>
      <c r="BY101" s="5" t="s">
        <v>131</v>
      </c>
      <c r="BZ101" s="5" t="s">
        <v>131</v>
      </c>
      <c r="CA101" s="5" t="s">
        <v>131</v>
      </c>
      <c r="CB101" s="5" t="s">
        <v>131</v>
      </c>
      <c r="CC101" s="5" t="s">
        <v>131</v>
      </c>
      <c r="CD101" s="5" t="s">
        <v>131</v>
      </c>
      <c r="CE101" s="5" t="s">
        <v>131</v>
      </c>
      <c r="CF101" s="5" t="s">
        <v>131</v>
      </c>
      <c r="CG101" s="5" t="s">
        <v>131</v>
      </c>
      <c r="CH101" s="5" t="s">
        <v>131</v>
      </c>
      <c r="CI101" s="5" t="s">
        <v>131</v>
      </c>
      <c r="CJ101" s="5" t="s">
        <v>131</v>
      </c>
      <c r="CK101" s="5" t="s">
        <v>131</v>
      </c>
      <c r="CL101" s="5" t="s">
        <v>131</v>
      </c>
      <c r="CM101" s="5" t="s">
        <v>131</v>
      </c>
      <c r="CN101" s="5" t="s">
        <v>131</v>
      </c>
    </row>
    <row r="102" spans="1:92" ht="14">
      <c r="A102" s="4" t="s">
        <v>124</v>
      </c>
      <c r="B102" s="13">
        <v>83753.259999999995</v>
      </c>
      <c r="C102" s="13">
        <v>1953.82</v>
      </c>
      <c r="D102" s="13">
        <v>206.04</v>
      </c>
      <c r="E102" s="13">
        <v>15.5</v>
      </c>
      <c r="F102" s="13">
        <v>291.36</v>
      </c>
      <c r="G102" s="13">
        <v>1360.64</v>
      </c>
      <c r="H102" s="13">
        <v>187.12</v>
      </c>
      <c r="I102" s="13">
        <v>376.5</v>
      </c>
      <c r="J102" s="13">
        <v>520.37</v>
      </c>
      <c r="K102" s="13">
        <v>364.81</v>
      </c>
      <c r="L102" s="13">
        <v>193.84</v>
      </c>
      <c r="M102" s="13">
        <v>606.73</v>
      </c>
      <c r="N102" s="36"/>
      <c r="O102" s="36"/>
      <c r="P102" s="40"/>
      <c r="Q102" s="40"/>
      <c r="R102" s="44"/>
      <c r="S102" s="44"/>
      <c r="T102" s="48"/>
      <c r="U102" s="48"/>
      <c r="V102" s="13">
        <v>599.84</v>
      </c>
      <c r="W102" s="13">
        <v>589.35</v>
      </c>
      <c r="X102" s="13">
        <v>677.29</v>
      </c>
      <c r="Y102" s="13">
        <v>984.13</v>
      </c>
      <c r="Z102" s="13">
        <v>963.87</v>
      </c>
      <c r="AA102" s="13">
        <v>1138.6600000000001</v>
      </c>
      <c r="AB102" s="13">
        <v>1290.33</v>
      </c>
      <c r="AC102" s="13">
        <v>1631.35</v>
      </c>
      <c r="AD102" s="13">
        <v>1266.0999999999999</v>
      </c>
      <c r="AE102" s="13">
        <v>355.18</v>
      </c>
      <c r="AF102" s="13">
        <v>454.98</v>
      </c>
      <c r="AG102" s="13">
        <v>373.46</v>
      </c>
      <c r="AH102" s="56">
        <v>2811.09</v>
      </c>
      <c r="AI102" s="67"/>
      <c r="AJ102" s="13">
        <v>314.97000000000003</v>
      </c>
      <c r="AK102" s="13">
        <v>1234.3499999999999</v>
      </c>
      <c r="AL102" s="13">
        <v>1979.95</v>
      </c>
      <c r="AM102" s="13">
        <v>239.96</v>
      </c>
      <c r="AN102" s="13">
        <v>2165.7600000000002</v>
      </c>
      <c r="AO102" s="13">
        <v>1608.56</v>
      </c>
      <c r="AP102" s="13">
        <v>2018.84</v>
      </c>
      <c r="AQ102" s="13">
        <v>15.06</v>
      </c>
      <c r="AR102" s="13">
        <v>274.13</v>
      </c>
      <c r="AS102" s="13">
        <v>3663.6</v>
      </c>
      <c r="AT102" s="13">
        <v>141.07</v>
      </c>
      <c r="AU102" s="13">
        <v>1440.79</v>
      </c>
      <c r="AV102" s="13">
        <v>219.15</v>
      </c>
      <c r="AW102" s="13">
        <v>288.91000000000003</v>
      </c>
      <c r="AX102" s="13">
        <v>1884.47</v>
      </c>
      <c r="AY102" s="13">
        <v>1621.65</v>
      </c>
      <c r="AZ102" s="13">
        <v>1719.16</v>
      </c>
      <c r="BA102" s="13">
        <v>526.26</v>
      </c>
      <c r="BB102" s="13">
        <v>119.46</v>
      </c>
      <c r="BC102" s="13">
        <v>11267.14</v>
      </c>
      <c r="BD102" s="13">
        <v>10093.34</v>
      </c>
      <c r="BE102" s="13">
        <v>1182.1500000000001</v>
      </c>
      <c r="BF102" s="13">
        <v>888.94</v>
      </c>
      <c r="BG102" s="13">
        <v>2238.54</v>
      </c>
      <c r="BH102" s="13">
        <v>182.28</v>
      </c>
      <c r="BI102" s="13">
        <v>57.27</v>
      </c>
      <c r="BJ102" s="13">
        <v>7322.24</v>
      </c>
      <c r="BK102" s="13">
        <v>33.909999999999997</v>
      </c>
      <c r="BL102" s="13">
        <v>72.41</v>
      </c>
      <c r="BM102" s="13">
        <v>412.66</v>
      </c>
      <c r="BN102" s="13">
        <v>3002.76</v>
      </c>
      <c r="BO102" s="13">
        <v>2667.26</v>
      </c>
      <c r="BP102" s="13">
        <v>1860.15</v>
      </c>
      <c r="BQ102" s="13">
        <v>432.05</v>
      </c>
      <c r="BR102" s="13">
        <v>481.57</v>
      </c>
      <c r="BS102" s="13">
        <v>290.95</v>
      </c>
      <c r="BT102" s="13">
        <v>216.18</v>
      </c>
      <c r="BU102" s="13">
        <v>123.82</v>
      </c>
      <c r="BV102" s="13">
        <v>239.19</v>
      </c>
      <c r="BW102" s="6">
        <v>0</v>
      </c>
      <c r="BX102" s="6">
        <v>0</v>
      </c>
      <c r="BY102" s="6" t="s">
        <v>131</v>
      </c>
      <c r="BZ102" s="6" t="s">
        <v>131</v>
      </c>
      <c r="CA102" s="6" t="s">
        <v>131</v>
      </c>
      <c r="CB102" s="6" t="s">
        <v>131</v>
      </c>
      <c r="CC102" s="6" t="s">
        <v>131</v>
      </c>
      <c r="CD102" s="6" t="s">
        <v>131</v>
      </c>
      <c r="CE102" s="6" t="s">
        <v>131</v>
      </c>
      <c r="CF102" s="6" t="s">
        <v>131</v>
      </c>
      <c r="CG102" s="6" t="s">
        <v>131</v>
      </c>
      <c r="CH102" s="6" t="s">
        <v>131</v>
      </c>
      <c r="CI102" s="6" t="s">
        <v>131</v>
      </c>
      <c r="CJ102" s="6" t="s">
        <v>131</v>
      </c>
      <c r="CK102" s="6" t="s">
        <v>131</v>
      </c>
      <c r="CL102" s="6" t="s">
        <v>131</v>
      </c>
      <c r="CM102" s="6" t="s">
        <v>131</v>
      </c>
      <c r="CN102" s="6" t="s">
        <v>131</v>
      </c>
    </row>
    <row r="103" spans="1:92" ht="14">
      <c r="A103" s="4" t="s">
        <v>125</v>
      </c>
      <c r="B103" s="5" t="s">
        <v>131</v>
      </c>
      <c r="C103" s="5" t="s">
        <v>131</v>
      </c>
      <c r="D103" s="5" t="s">
        <v>131</v>
      </c>
      <c r="E103" s="5" t="s">
        <v>131</v>
      </c>
      <c r="F103" s="5" t="s">
        <v>131</v>
      </c>
      <c r="G103" s="5" t="s">
        <v>131</v>
      </c>
      <c r="H103" s="5" t="s">
        <v>131</v>
      </c>
      <c r="I103" s="5" t="s">
        <v>131</v>
      </c>
      <c r="J103" s="5" t="s">
        <v>131</v>
      </c>
      <c r="K103" s="5" t="s">
        <v>131</v>
      </c>
      <c r="L103" s="5" t="s">
        <v>131</v>
      </c>
      <c r="M103" s="5" t="s">
        <v>131</v>
      </c>
      <c r="N103" s="37"/>
      <c r="O103" s="37"/>
      <c r="P103" s="41"/>
      <c r="Q103" s="41"/>
      <c r="R103" s="45"/>
      <c r="S103" s="45"/>
      <c r="T103" s="49"/>
      <c r="U103" s="49"/>
      <c r="V103" s="5" t="s">
        <v>131</v>
      </c>
      <c r="W103" s="5" t="s">
        <v>131</v>
      </c>
      <c r="X103" s="5" t="s">
        <v>131</v>
      </c>
      <c r="Y103" s="5" t="s">
        <v>131</v>
      </c>
      <c r="Z103" s="5" t="s">
        <v>131</v>
      </c>
      <c r="AA103" s="5" t="s">
        <v>131</v>
      </c>
      <c r="AB103" s="5" t="s">
        <v>131</v>
      </c>
      <c r="AC103" s="5" t="s">
        <v>131</v>
      </c>
      <c r="AD103" s="5" t="s">
        <v>131</v>
      </c>
      <c r="AE103" s="5" t="s">
        <v>131</v>
      </c>
      <c r="AF103" s="5" t="s">
        <v>131</v>
      </c>
      <c r="AG103" s="5" t="s">
        <v>131</v>
      </c>
      <c r="AH103" s="57" t="s">
        <v>131</v>
      </c>
      <c r="AI103" s="68"/>
      <c r="AJ103" s="5" t="s">
        <v>131</v>
      </c>
      <c r="AK103" s="5" t="s">
        <v>131</v>
      </c>
      <c r="AL103" s="5" t="s">
        <v>131</v>
      </c>
      <c r="AM103" s="5" t="s">
        <v>131</v>
      </c>
      <c r="AN103" s="5" t="s">
        <v>131</v>
      </c>
      <c r="AO103" s="5" t="s">
        <v>131</v>
      </c>
      <c r="AP103" s="5" t="s">
        <v>131</v>
      </c>
      <c r="AQ103" s="5" t="s">
        <v>131</v>
      </c>
      <c r="AR103" s="5" t="s">
        <v>131</v>
      </c>
      <c r="AS103" s="5" t="s">
        <v>131</v>
      </c>
      <c r="AT103" s="5" t="s">
        <v>131</v>
      </c>
      <c r="AU103" s="5" t="s">
        <v>131</v>
      </c>
      <c r="AV103" s="5" t="s">
        <v>131</v>
      </c>
      <c r="AW103" s="5" t="s">
        <v>131</v>
      </c>
      <c r="AX103" s="5" t="s">
        <v>131</v>
      </c>
      <c r="AY103" s="5" t="s">
        <v>131</v>
      </c>
      <c r="AZ103" s="5" t="s">
        <v>131</v>
      </c>
      <c r="BA103" s="5" t="s">
        <v>131</v>
      </c>
      <c r="BB103" s="5" t="s">
        <v>131</v>
      </c>
      <c r="BC103" s="5" t="s">
        <v>131</v>
      </c>
      <c r="BD103" s="5" t="s">
        <v>131</v>
      </c>
      <c r="BE103" s="5" t="s">
        <v>131</v>
      </c>
      <c r="BF103" s="5" t="s">
        <v>131</v>
      </c>
      <c r="BG103" s="5" t="s">
        <v>131</v>
      </c>
      <c r="BH103" s="5" t="s">
        <v>131</v>
      </c>
      <c r="BI103" s="5" t="s">
        <v>131</v>
      </c>
      <c r="BJ103" s="5" t="s">
        <v>131</v>
      </c>
      <c r="BK103" s="5" t="s">
        <v>131</v>
      </c>
      <c r="BL103" s="5" t="s">
        <v>131</v>
      </c>
      <c r="BM103" s="5" t="s">
        <v>131</v>
      </c>
      <c r="BN103" s="5" t="s">
        <v>131</v>
      </c>
      <c r="BO103" s="5" t="s">
        <v>131</v>
      </c>
      <c r="BP103" s="5" t="s">
        <v>131</v>
      </c>
      <c r="BQ103" s="5" t="s">
        <v>131</v>
      </c>
      <c r="BR103" s="5" t="s">
        <v>131</v>
      </c>
      <c r="BS103" s="5" t="s">
        <v>131</v>
      </c>
      <c r="BT103" s="5" t="s">
        <v>131</v>
      </c>
      <c r="BU103" s="5" t="s">
        <v>131</v>
      </c>
      <c r="BV103" s="5" t="s">
        <v>131</v>
      </c>
      <c r="BW103" s="5" t="s">
        <v>131</v>
      </c>
      <c r="BX103" s="5" t="s">
        <v>131</v>
      </c>
      <c r="BY103" s="5" t="s">
        <v>131</v>
      </c>
      <c r="BZ103" s="5" t="s">
        <v>131</v>
      </c>
      <c r="CA103" s="5" t="s">
        <v>131</v>
      </c>
      <c r="CB103" s="5" t="s">
        <v>131</v>
      </c>
      <c r="CC103" s="5" t="s">
        <v>131</v>
      </c>
      <c r="CD103" s="5" t="s">
        <v>131</v>
      </c>
      <c r="CE103" s="5" t="s">
        <v>131</v>
      </c>
      <c r="CF103" s="5" t="s">
        <v>131</v>
      </c>
      <c r="CG103" s="5" t="s">
        <v>131</v>
      </c>
      <c r="CH103" s="5" t="s">
        <v>131</v>
      </c>
      <c r="CI103" s="5" t="s">
        <v>131</v>
      </c>
      <c r="CJ103" s="5" t="s">
        <v>131</v>
      </c>
      <c r="CK103" s="5" t="s">
        <v>131</v>
      </c>
      <c r="CL103" s="5" t="s">
        <v>131</v>
      </c>
      <c r="CM103" s="5" t="s">
        <v>131</v>
      </c>
      <c r="CN103" s="5" t="s">
        <v>131</v>
      </c>
    </row>
    <row r="104" spans="1:92" ht="14">
      <c r="A104" s="4" t="s">
        <v>126</v>
      </c>
      <c r="B104" s="13">
        <v>994127.88</v>
      </c>
      <c r="C104" s="13">
        <v>10739.86</v>
      </c>
      <c r="D104" s="13">
        <v>3444.93</v>
      </c>
      <c r="E104" s="13">
        <v>181.92</v>
      </c>
      <c r="F104" s="13">
        <v>11224.34</v>
      </c>
      <c r="G104" s="13">
        <v>37299.980000000003</v>
      </c>
      <c r="H104" s="13">
        <v>10911.13</v>
      </c>
      <c r="I104" s="13">
        <v>13265.85</v>
      </c>
      <c r="J104" s="13">
        <v>8936.68</v>
      </c>
      <c r="K104" s="13">
        <v>1522.95</v>
      </c>
      <c r="L104" s="13">
        <v>8762.81</v>
      </c>
      <c r="M104" s="13">
        <v>33786.18</v>
      </c>
      <c r="N104" s="36"/>
      <c r="O104" s="36"/>
      <c r="P104" s="40"/>
      <c r="Q104" s="40"/>
      <c r="R104" s="44"/>
      <c r="S104" s="44"/>
      <c r="T104" s="48"/>
      <c r="U104" s="48"/>
      <c r="V104" s="13">
        <v>11567.91</v>
      </c>
      <c r="W104" s="13">
        <v>13028.21</v>
      </c>
      <c r="X104" s="13">
        <v>9463.6299999999992</v>
      </c>
      <c r="Y104" s="13">
        <v>33425.480000000003</v>
      </c>
      <c r="Z104" s="13">
        <v>25214.42</v>
      </c>
      <c r="AA104" s="13">
        <v>21445.93</v>
      </c>
      <c r="AB104" s="13">
        <v>21315.97</v>
      </c>
      <c r="AC104" s="13">
        <v>43399.6</v>
      </c>
      <c r="AD104" s="13">
        <v>32173.26</v>
      </c>
      <c r="AE104" s="13">
        <v>9145.19</v>
      </c>
      <c r="AF104" s="13">
        <v>15043.34</v>
      </c>
      <c r="AG104" s="6">
        <v>11093</v>
      </c>
      <c r="AH104" s="56">
        <v>36289.160000000003</v>
      </c>
      <c r="AI104" s="67"/>
      <c r="AJ104" s="13">
        <v>1139.26</v>
      </c>
      <c r="AK104" s="13">
        <v>11027.77</v>
      </c>
      <c r="AL104" s="13">
        <v>66910.73</v>
      </c>
      <c r="AM104" s="13">
        <v>10415.379999999999</v>
      </c>
      <c r="AN104" s="13">
        <v>41089.43</v>
      </c>
      <c r="AO104" s="13">
        <v>26217.040000000001</v>
      </c>
      <c r="AP104" s="13">
        <v>24883.05</v>
      </c>
      <c r="AQ104" s="13">
        <v>1923.9</v>
      </c>
      <c r="AR104" s="13">
        <v>2772.78</v>
      </c>
      <c r="AS104" s="13">
        <v>14662.47</v>
      </c>
      <c r="AT104" s="13">
        <v>4295.79</v>
      </c>
      <c r="AU104" s="13">
        <v>18946.89</v>
      </c>
      <c r="AV104" s="13">
        <v>5833.22</v>
      </c>
      <c r="AW104" s="13">
        <v>4124.22</v>
      </c>
      <c r="AX104" s="13">
        <v>7025.26</v>
      </c>
      <c r="AY104" s="13">
        <v>29976.39</v>
      </c>
      <c r="AZ104" s="13">
        <v>17435.63</v>
      </c>
      <c r="BA104" s="13">
        <v>8481.7099999999991</v>
      </c>
      <c r="BB104" s="13">
        <v>5452.83</v>
      </c>
      <c r="BC104" s="13">
        <v>25212.82</v>
      </c>
      <c r="BD104" s="13">
        <v>33347.32</v>
      </c>
      <c r="BE104" s="13">
        <v>25463.72</v>
      </c>
      <c r="BF104" s="13">
        <v>13608.54</v>
      </c>
      <c r="BG104" s="13">
        <v>16297.68</v>
      </c>
      <c r="BH104" s="13">
        <v>9875.52</v>
      </c>
      <c r="BI104" s="13">
        <v>2670.67</v>
      </c>
      <c r="BJ104" s="13">
        <v>12542.82</v>
      </c>
      <c r="BK104" s="13">
        <v>6318.59</v>
      </c>
      <c r="BL104" s="13">
        <v>1461.9</v>
      </c>
      <c r="BM104" s="13">
        <v>11655.17</v>
      </c>
      <c r="BN104" s="13">
        <v>29388.720000000001</v>
      </c>
      <c r="BO104" s="13">
        <v>21090.68</v>
      </c>
      <c r="BP104" s="13">
        <v>33738.89</v>
      </c>
      <c r="BQ104" s="13">
        <v>11170.16</v>
      </c>
      <c r="BR104" s="13">
        <v>4177.88</v>
      </c>
      <c r="BS104" s="13">
        <v>1990.36</v>
      </c>
      <c r="BT104" s="13">
        <v>3899.44</v>
      </c>
      <c r="BU104" s="13">
        <v>950.49</v>
      </c>
      <c r="BV104" s="13">
        <v>3839.07</v>
      </c>
      <c r="BW104" s="13">
        <v>132.03</v>
      </c>
      <c r="BX104" s="6">
        <v>0</v>
      </c>
      <c r="BY104" s="6" t="s">
        <v>131</v>
      </c>
      <c r="BZ104" s="6" t="s">
        <v>131</v>
      </c>
      <c r="CA104" s="6" t="s">
        <v>131</v>
      </c>
      <c r="CB104" s="6" t="s">
        <v>131</v>
      </c>
      <c r="CC104" s="6" t="s">
        <v>131</v>
      </c>
      <c r="CD104" s="6" t="s">
        <v>131</v>
      </c>
      <c r="CE104" s="6" t="s">
        <v>131</v>
      </c>
      <c r="CF104" s="6" t="s">
        <v>131</v>
      </c>
      <c r="CG104" s="6" t="s">
        <v>131</v>
      </c>
      <c r="CH104" s="6" t="s">
        <v>131</v>
      </c>
      <c r="CI104" s="6" t="s">
        <v>131</v>
      </c>
      <c r="CJ104" s="6" t="s">
        <v>131</v>
      </c>
      <c r="CK104" s="6" t="s">
        <v>131</v>
      </c>
      <c r="CL104" s="6" t="s">
        <v>131</v>
      </c>
      <c r="CM104" s="6" t="s">
        <v>131</v>
      </c>
      <c r="CN104" s="6" t="s">
        <v>131</v>
      </c>
    </row>
    <row r="106" spans="1:92" ht="14">
      <c r="A106" s="1" t="s">
        <v>132</v>
      </c>
    </row>
    <row r="107" spans="1:92" ht="14">
      <c r="A107" s="1" t="s">
        <v>131</v>
      </c>
      <c r="B107" s="2" t="s">
        <v>133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75" defaultRowHeight="14"/>
  <cols>
    <col min="1" max="1" width="19.9140625" customWidth="1"/>
    <col min="2" max="2" width="8.9140625" customWidth="1"/>
    <col min="3" max="3" width="14.4140625" customWidth="1"/>
    <col min="4" max="4" width="14.83203125" customWidth="1"/>
    <col min="5" max="5" width="12.4140625" customWidth="1"/>
    <col min="6" max="6" width="26.5" customWidth="1"/>
    <col min="7" max="7" width="5.1640625" customWidth="1"/>
  </cols>
  <sheetData>
    <row r="6" spans="1:15">
      <c r="A6" s="7" t="s">
        <v>0</v>
      </c>
    </row>
    <row r="7" spans="1:15">
      <c r="A7" s="10" t="s">
        <v>1</v>
      </c>
      <c r="B7" s="10" t="s">
        <v>2</v>
      </c>
    </row>
    <row r="8" spans="1:15" ht="42.75" customHeight="1">
      <c r="A8" s="8" t="s">
        <v>3</v>
      </c>
      <c r="B8" s="86" t="s">
        <v>4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</row>
    <row r="10" spans="1:15">
      <c r="A10" s="2" t="s">
        <v>5</v>
      </c>
      <c r="D10" s="2" t="s">
        <v>6</v>
      </c>
    </row>
    <row r="11" spans="1:15">
      <c r="A11" s="2" t="s">
        <v>7</v>
      </c>
      <c r="D11" s="2" t="s">
        <v>8</v>
      </c>
    </row>
    <row r="13" spans="1:15">
      <c r="B13" s="1" t="s">
        <v>9</v>
      </c>
    </row>
    <row r="14" spans="1:15">
      <c r="C14" s="2" t="s">
        <v>10</v>
      </c>
    </row>
    <row r="15" spans="1:15"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15</v>
      </c>
      <c r="G15" s="7" t="s">
        <v>16</v>
      </c>
    </row>
    <row r="16" spans="1:15">
      <c r="B16" s="11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4"/>
  <sheetViews>
    <sheetView showGridLines="0" workbookViewId="0"/>
  </sheetViews>
  <sheetFormatPr baseColWidth="10" defaultColWidth="8.75" defaultRowHeight="14"/>
  <cols>
    <col min="2" max="5" width="79.75" customWidth="1"/>
  </cols>
  <sheetData>
    <row r="1" spans="1:3">
      <c r="A1" s="1" t="s">
        <v>23</v>
      </c>
    </row>
    <row r="2" spans="1:3">
      <c r="B2" s="14" t="s">
        <v>24</v>
      </c>
      <c r="C2" s="14" t="s">
        <v>25</v>
      </c>
    </row>
    <row r="3" spans="1:3">
      <c r="B3" s="15" t="s">
        <v>26</v>
      </c>
      <c r="C3" s="15" t="s">
        <v>26</v>
      </c>
    </row>
    <row r="4" spans="1:3">
      <c r="B4" s="2" t="s">
        <v>12</v>
      </c>
      <c r="C4" s="2" t="s">
        <v>18</v>
      </c>
    </row>
    <row r="5" spans="1:3">
      <c r="B5" s="9" t="s">
        <v>13</v>
      </c>
      <c r="C5" s="9" t="s">
        <v>19</v>
      </c>
    </row>
    <row r="6" spans="1:3">
      <c r="B6" s="2" t="s">
        <v>14</v>
      </c>
      <c r="C6" s="2" t="s">
        <v>20</v>
      </c>
    </row>
    <row r="7" spans="1:3">
      <c r="B7" s="9" t="s">
        <v>27</v>
      </c>
      <c r="C7" s="9" t="s">
        <v>20</v>
      </c>
    </row>
    <row r="8" spans="1:3">
      <c r="B8" s="2" t="s">
        <v>27</v>
      </c>
      <c r="C8" s="2" t="s">
        <v>28</v>
      </c>
    </row>
    <row r="9" spans="1:3">
      <c r="B9" s="9" t="s">
        <v>27</v>
      </c>
      <c r="C9" s="9" t="s">
        <v>29</v>
      </c>
    </row>
    <row r="10" spans="1:3">
      <c r="B10" s="2" t="s">
        <v>27</v>
      </c>
      <c r="C10" s="2" t="s">
        <v>30</v>
      </c>
    </row>
    <row r="11" spans="1:3">
      <c r="B11" s="9" t="s">
        <v>27</v>
      </c>
      <c r="C11" s="9" t="s">
        <v>31</v>
      </c>
    </row>
    <row r="12" spans="1:3">
      <c r="B12" s="2" t="s">
        <v>27</v>
      </c>
      <c r="C12" s="2" t="s">
        <v>32</v>
      </c>
    </row>
    <row r="13" spans="1:3">
      <c r="B13" s="9" t="s">
        <v>27</v>
      </c>
      <c r="C13" s="9" t="s">
        <v>33</v>
      </c>
    </row>
    <row r="14" spans="1:3">
      <c r="B14" s="2" t="s">
        <v>27</v>
      </c>
      <c r="C14" s="2" t="s">
        <v>34</v>
      </c>
    </row>
    <row r="15" spans="1:3">
      <c r="B15" s="9" t="s">
        <v>27</v>
      </c>
      <c r="C15" s="9" t="s">
        <v>35</v>
      </c>
    </row>
    <row r="16" spans="1:3">
      <c r="B16" s="2" t="s">
        <v>27</v>
      </c>
      <c r="C16" s="2" t="s">
        <v>36</v>
      </c>
    </row>
    <row r="17" spans="2:3">
      <c r="B17" s="9" t="s">
        <v>27</v>
      </c>
      <c r="C17" s="9" t="s">
        <v>37</v>
      </c>
    </row>
    <row r="18" spans="2:3">
      <c r="B18" s="2" t="s">
        <v>27</v>
      </c>
      <c r="C18" s="2" t="s">
        <v>38</v>
      </c>
    </row>
    <row r="19" spans="2:3">
      <c r="B19" s="9" t="s">
        <v>27</v>
      </c>
      <c r="C19" s="9" t="s">
        <v>39</v>
      </c>
    </row>
    <row r="20" spans="2:3">
      <c r="B20" s="2" t="s">
        <v>27</v>
      </c>
      <c r="C20" s="2" t="s">
        <v>40</v>
      </c>
    </row>
    <row r="21" spans="2:3">
      <c r="B21" s="9" t="s">
        <v>27</v>
      </c>
      <c r="C21" s="9" t="s">
        <v>41</v>
      </c>
    </row>
    <row r="22" spans="2:3">
      <c r="B22" s="2" t="s">
        <v>27</v>
      </c>
      <c r="C22" s="2" t="s">
        <v>42</v>
      </c>
    </row>
    <row r="23" spans="2:3">
      <c r="B23" s="9" t="s">
        <v>27</v>
      </c>
      <c r="C23" s="9" t="s">
        <v>43</v>
      </c>
    </row>
    <row r="24" spans="2:3">
      <c r="B24" s="2" t="s">
        <v>27</v>
      </c>
      <c r="C24" s="2" t="s">
        <v>44</v>
      </c>
    </row>
    <row r="25" spans="2:3">
      <c r="B25" s="9" t="s">
        <v>27</v>
      </c>
      <c r="C25" s="9" t="s">
        <v>45</v>
      </c>
    </row>
    <row r="26" spans="2:3">
      <c r="B26" s="2" t="s">
        <v>27</v>
      </c>
      <c r="C26" s="2" t="s">
        <v>46</v>
      </c>
    </row>
    <row r="27" spans="2:3">
      <c r="B27" s="9" t="s">
        <v>27</v>
      </c>
      <c r="C27" s="9" t="s">
        <v>47</v>
      </c>
    </row>
    <row r="28" spans="2:3">
      <c r="B28" s="2" t="s">
        <v>27</v>
      </c>
      <c r="C28" s="2" t="s">
        <v>48</v>
      </c>
    </row>
    <row r="29" spans="2:3">
      <c r="B29" s="9" t="s">
        <v>27</v>
      </c>
      <c r="C29" s="9" t="s">
        <v>49</v>
      </c>
    </row>
    <row r="30" spans="2:3">
      <c r="B30" s="2" t="s">
        <v>27</v>
      </c>
      <c r="C30" s="2" t="s">
        <v>50</v>
      </c>
    </row>
    <row r="31" spans="2:3">
      <c r="B31" s="9" t="s">
        <v>27</v>
      </c>
      <c r="C31" s="9" t="s">
        <v>51</v>
      </c>
    </row>
    <row r="32" spans="2:3">
      <c r="B32" s="2" t="s">
        <v>27</v>
      </c>
      <c r="C32" s="2" t="s">
        <v>52</v>
      </c>
    </row>
    <row r="33" spans="2:3">
      <c r="B33" s="9" t="s">
        <v>27</v>
      </c>
      <c r="C33" s="9" t="s">
        <v>53</v>
      </c>
    </row>
    <row r="34" spans="2:3">
      <c r="B34" s="2" t="s">
        <v>27</v>
      </c>
      <c r="C34" s="2" t="s">
        <v>54</v>
      </c>
    </row>
    <row r="35" spans="2:3">
      <c r="B35" s="9" t="s">
        <v>27</v>
      </c>
      <c r="C35" s="9" t="s">
        <v>55</v>
      </c>
    </row>
    <row r="36" spans="2:3">
      <c r="B36" s="2" t="s">
        <v>27</v>
      </c>
      <c r="C36" s="2" t="s">
        <v>56</v>
      </c>
    </row>
    <row r="37" spans="2:3">
      <c r="B37" s="9" t="s">
        <v>27</v>
      </c>
      <c r="C37" s="9" t="s">
        <v>57</v>
      </c>
    </row>
    <row r="38" spans="2:3">
      <c r="B38" s="2" t="s">
        <v>27</v>
      </c>
      <c r="C38" s="2" t="s">
        <v>58</v>
      </c>
    </row>
    <row r="39" spans="2:3">
      <c r="B39" s="9" t="s">
        <v>27</v>
      </c>
      <c r="C39" s="9" t="s">
        <v>59</v>
      </c>
    </row>
    <row r="40" spans="2:3">
      <c r="B40" s="2" t="s">
        <v>27</v>
      </c>
      <c r="C40" s="2" t="s">
        <v>60</v>
      </c>
    </row>
    <row r="41" spans="2:3">
      <c r="B41" s="9" t="s">
        <v>27</v>
      </c>
      <c r="C41" s="9" t="s">
        <v>61</v>
      </c>
    </row>
    <row r="42" spans="2:3">
      <c r="B42" s="2" t="s">
        <v>27</v>
      </c>
      <c r="C42" s="2" t="s">
        <v>62</v>
      </c>
    </row>
    <row r="43" spans="2:3">
      <c r="B43" s="9" t="s">
        <v>27</v>
      </c>
      <c r="C43" s="9" t="s">
        <v>63</v>
      </c>
    </row>
    <row r="44" spans="2:3">
      <c r="B44" s="2" t="s">
        <v>27</v>
      </c>
      <c r="C44" s="2" t="s">
        <v>64</v>
      </c>
    </row>
    <row r="45" spans="2:3">
      <c r="B45" s="9" t="s">
        <v>27</v>
      </c>
      <c r="C45" s="9" t="s">
        <v>65</v>
      </c>
    </row>
    <row r="46" spans="2:3">
      <c r="B46" s="2" t="s">
        <v>27</v>
      </c>
      <c r="C46" s="2" t="s">
        <v>66</v>
      </c>
    </row>
    <row r="47" spans="2:3">
      <c r="B47" s="9" t="s">
        <v>27</v>
      </c>
      <c r="C47" s="9" t="s">
        <v>67</v>
      </c>
    </row>
    <row r="48" spans="2:3">
      <c r="B48" s="2" t="s">
        <v>27</v>
      </c>
      <c r="C48" s="2" t="s">
        <v>68</v>
      </c>
    </row>
    <row r="49" spans="2:3">
      <c r="B49" s="9" t="s">
        <v>27</v>
      </c>
      <c r="C49" s="9" t="s">
        <v>69</v>
      </c>
    </row>
    <row r="50" spans="2:3">
      <c r="B50" s="2" t="s">
        <v>27</v>
      </c>
      <c r="C50" s="2" t="s">
        <v>70</v>
      </c>
    </row>
    <row r="51" spans="2:3">
      <c r="B51" s="9" t="s">
        <v>27</v>
      </c>
      <c r="C51" s="9" t="s">
        <v>71</v>
      </c>
    </row>
    <row r="52" spans="2:3">
      <c r="B52" s="2" t="s">
        <v>27</v>
      </c>
      <c r="C52" s="2" t="s">
        <v>72</v>
      </c>
    </row>
    <row r="53" spans="2:3">
      <c r="B53" s="9" t="s">
        <v>27</v>
      </c>
      <c r="C53" s="9" t="s">
        <v>73</v>
      </c>
    </row>
    <row r="54" spans="2:3">
      <c r="B54" s="2" t="s">
        <v>27</v>
      </c>
      <c r="C54" s="2" t="s">
        <v>74</v>
      </c>
    </row>
    <row r="55" spans="2:3">
      <c r="B55" s="9" t="s">
        <v>27</v>
      </c>
      <c r="C55" s="9" t="s">
        <v>75</v>
      </c>
    </row>
    <row r="56" spans="2:3">
      <c r="B56" s="2" t="s">
        <v>27</v>
      </c>
      <c r="C56" s="2" t="s">
        <v>76</v>
      </c>
    </row>
    <row r="57" spans="2:3">
      <c r="B57" s="9" t="s">
        <v>27</v>
      </c>
      <c r="C57" s="9" t="s">
        <v>77</v>
      </c>
    </row>
    <row r="58" spans="2:3">
      <c r="B58" s="2" t="s">
        <v>27</v>
      </c>
      <c r="C58" s="2" t="s">
        <v>78</v>
      </c>
    </row>
    <row r="59" spans="2:3">
      <c r="B59" s="9" t="s">
        <v>27</v>
      </c>
      <c r="C59" s="9" t="s">
        <v>79</v>
      </c>
    </row>
    <row r="60" spans="2:3">
      <c r="B60" s="2" t="s">
        <v>27</v>
      </c>
      <c r="C60" s="2" t="s">
        <v>80</v>
      </c>
    </row>
    <row r="61" spans="2:3">
      <c r="B61" s="9" t="s">
        <v>27</v>
      </c>
      <c r="C61" s="9" t="s">
        <v>81</v>
      </c>
    </row>
    <row r="62" spans="2:3">
      <c r="B62" s="2" t="s">
        <v>27</v>
      </c>
      <c r="C62" s="2" t="s">
        <v>82</v>
      </c>
    </row>
    <row r="63" spans="2:3">
      <c r="B63" s="9" t="s">
        <v>27</v>
      </c>
      <c r="C63" s="9" t="s">
        <v>83</v>
      </c>
    </row>
    <row r="64" spans="2:3">
      <c r="B64" s="2" t="s">
        <v>27</v>
      </c>
      <c r="C64" s="2" t="s">
        <v>84</v>
      </c>
    </row>
    <row r="65" spans="2:3">
      <c r="B65" s="9" t="s">
        <v>27</v>
      </c>
      <c r="C65" s="9" t="s">
        <v>85</v>
      </c>
    </row>
    <row r="66" spans="2:3">
      <c r="B66" s="2" t="s">
        <v>27</v>
      </c>
      <c r="C66" s="2" t="s">
        <v>86</v>
      </c>
    </row>
    <row r="67" spans="2:3">
      <c r="B67" s="9" t="s">
        <v>27</v>
      </c>
      <c r="C67" s="9" t="s">
        <v>87</v>
      </c>
    </row>
    <row r="68" spans="2:3">
      <c r="B68" s="2" t="s">
        <v>27</v>
      </c>
      <c r="C68" s="2" t="s">
        <v>88</v>
      </c>
    </row>
    <row r="69" spans="2:3">
      <c r="B69" s="9" t="s">
        <v>27</v>
      </c>
      <c r="C69" s="9" t="s">
        <v>89</v>
      </c>
    </row>
    <row r="70" spans="2:3">
      <c r="B70" s="2" t="s">
        <v>27</v>
      </c>
      <c r="C70" s="2" t="s">
        <v>90</v>
      </c>
    </row>
    <row r="71" spans="2:3">
      <c r="B71" s="9" t="s">
        <v>27</v>
      </c>
      <c r="C71" s="9" t="s">
        <v>91</v>
      </c>
    </row>
    <row r="72" spans="2:3">
      <c r="B72" s="2" t="s">
        <v>27</v>
      </c>
      <c r="C72" s="2" t="s">
        <v>92</v>
      </c>
    </row>
    <row r="73" spans="2:3">
      <c r="B73" s="9" t="s">
        <v>27</v>
      </c>
      <c r="C73" s="9" t="s">
        <v>93</v>
      </c>
    </row>
    <row r="74" spans="2:3">
      <c r="B74" s="2" t="s">
        <v>27</v>
      </c>
      <c r="C74" s="2" t="s">
        <v>94</v>
      </c>
    </row>
    <row r="75" spans="2:3">
      <c r="B75" s="9" t="s">
        <v>27</v>
      </c>
      <c r="C75" s="9" t="s">
        <v>95</v>
      </c>
    </row>
    <row r="76" spans="2:3">
      <c r="B76" s="2" t="s">
        <v>27</v>
      </c>
      <c r="C76" s="2" t="s">
        <v>96</v>
      </c>
    </row>
    <row r="77" spans="2:3">
      <c r="B77" s="9" t="s">
        <v>27</v>
      </c>
      <c r="C77" s="9" t="s">
        <v>97</v>
      </c>
    </row>
    <row r="78" spans="2:3">
      <c r="B78" s="2" t="s">
        <v>27</v>
      </c>
      <c r="C78" s="2" t="s">
        <v>98</v>
      </c>
    </row>
    <row r="79" spans="2:3">
      <c r="B79" s="9" t="s">
        <v>27</v>
      </c>
      <c r="C79" s="9" t="s">
        <v>99</v>
      </c>
    </row>
    <row r="80" spans="2:3">
      <c r="B80" s="2" t="s">
        <v>27</v>
      </c>
      <c r="C80" s="2" t="s">
        <v>100</v>
      </c>
    </row>
    <row r="81" spans="2:3">
      <c r="B81" s="9" t="s">
        <v>27</v>
      </c>
      <c r="C81" s="9" t="s">
        <v>101</v>
      </c>
    </row>
    <row r="82" spans="2:3">
      <c r="B82" s="2" t="s">
        <v>27</v>
      </c>
      <c r="C82" s="2" t="s">
        <v>102</v>
      </c>
    </row>
    <row r="83" spans="2:3">
      <c r="B83" s="9" t="s">
        <v>27</v>
      </c>
      <c r="C83" s="9" t="s">
        <v>103</v>
      </c>
    </row>
    <row r="84" spans="2:3">
      <c r="B84" s="2" t="s">
        <v>27</v>
      </c>
      <c r="C84" s="2" t="s">
        <v>97</v>
      </c>
    </row>
    <row r="85" spans="2:3">
      <c r="B85" s="9" t="s">
        <v>27</v>
      </c>
      <c r="C85" s="9" t="s">
        <v>104</v>
      </c>
    </row>
    <row r="86" spans="2:3">
      <c r="B86" s="2" t="s">
        <v>27</v>
      </c>
      <c r="C86" s="2" t="s">
        <v>105</v>
      </c>
    </row>
    <row r="87" spans="2:3">
      <c r="B87" s="9" t="s">
        <v>27</v>
      </c>
      <c r="C87" s="9" t="s">
        <v>106</v>
      </c>
    </row>
    <row r="88" spans="2:3">
      <c r="B88" s="2" t="s">
        <v>27</v>
      </c>
      <c r="C88" s="2" t="s">
        <v>107</v>
      </c>
    </row>
    <row r="89" spans="2:3">
      <c r="B89" s="9" t="s">
        <v>108</v>
      </c>
      <c r="C89" s="9" t="s">
        <v>20</v>
      </c>
    </row>
    <row r="90" spans="2:3">
      <c r="B90" s="2" t="s">
        <v>108</v>
      </c>
      <c r="C90" s="2" t="s">
        <v>28</v>
      </c>
    </row>
    <row r="91" spans="2:3">
      <c r="B91" s="9" t="s">
        <v>108</v>
      </c>
      <c r="C91" s="9" t="s">
        <v>29</v>
      </c>
    </row>
    <row r="92" spans="2:3">
      <c r="B92" s="2" t="s">
        <v>108</v>
      </c>
      <c r="C92" s="2" t="s">
        <v>30</v>
      </c>
    </row>
    <row r="93" spans="2:3">
      <c r="B93" s="9" t="s">
        <v>108</v>
      </c>
      <c r="C93" s="9" t="s">
        <v>31</v>
      </c>
    </row>
    <row r="94" spans="2:3">
      <c r="B94" s="2" t="s">
        <v>108</v>
      </c>
      <c r="C94" s="2" t="s">
        <v>32</v>
      </c>
    </row>
    <row r="95" spans="2:3">
      <c r="B95" s="9" t="s">
        <v>108</v>
      </c>
      <c r="C95" s="9" t="s">
        <v>33</v>
      </c>
    </row>
    <row r="96" spans="2:3">
      <c r="B96" s="2" t="s">
        <v>108</v>
      </c>
      <c r="C96" s="2" t="s">
        <v>34</v>
      </c>
    </row>
    <row r="97" spans="2:3">
      <c r="B97" s="9" t="s">
        <v>108</v>
      </c>
      <c r="C97" s="9" t="s">
        <v>35</v>
      </c>
    </row>
    <row r="98" spans="2:3">
      <c r="B98" s="2" t="s">
        <v>108</v>
      </c>
      <c r="C98" s="2" t="s">
        <v>36</v>
      </c>
    </row>
    <row r="99" spans="2:3">
      <c r="B99" s="9" t="s">
        <v>108</v>
      </c>
      <c r="C99" s="9" t="s">
        <v>37</v>
      </c>
    </row>
    <row r="100" spans="2:3">
      <c r="B100" s="2" t="s">
        <v>108</v>
      </c>
      <c r="C100" s="2" t="s">
        <v>38</v>
      </c>
    </row>
    <row r="101" spans="2:3">
      <c r="B101" s="9" t="s">
        <v>108</v>
      </c>
      <c r="C101" s="9" t="s">
        <v>39</v>
      </c>
    </row>
    <row r="102" spans="2:3">
      <c r="B102" s="2" t="s">
        <v>108</v>
      </c>
      <c r="C102" s="2" t="s">
        <v>40</v>
      </c>
    </row>
    <row r="103" spans="2:3">
      <c r="B103" s="9" t="s">
        <v>108</v>
      </c>
      <c r="C103" s="9" t="s">
        <v>41</v>
      </c>
    </row>
    <row r="104" spans="2:3">
      <c r="B104" s="2" t="s">
        <v>108</v>
      </c>
      <c r="C104" s="2" t="s">
        <v>42</v>
      </c>
    </row>
    <row r="105" spans="2:3">
      <c r="B105" s="9" t="s">
        <v>108</v>
      </c>
      <c r="C105" s="9" t="s">
        <v>43</v>
      </c>
    </row>
    <row r="106" spans="2:3">
      <c r="B106" s="2" t="s">
        <v>108</v>
      </c>
      <c r="C106" s="2" t="s">
        <v>44</v>
      </c>
    </row>
    <row r="107" spans="2:3">
      <c r="B107" s="9" t="s">
        <v>108</v>
      </c>
      <c r="C107" s="9" t="s">
        <v>45</v>
      </c>
    </row>
    <row r="108" spans="2:3">
      <c r="B108" s="2" t="s">
        <v>108</v>
      </c>
      <c r="C108" s="2" t="s">
        <v>46</v>
      </c>
    </row>
    <row r="109" spans="2:3">
      <c r="B109" s="9" t="s">
        <v>108</v>
      </c>
      <c r="C109" s="9" t="s">
        <v>47</v>
      </c>
    </row>
    <row r="110" spans="2:3">
      <c r="B110" s="2" t="s">
        <v>108</v>
      </c>
      <c r="C110" s="2" t="s">
        <v>48</v>
      </c>
    </row>
    <row r="111" spans="2:3">
      <c r="B111" s="9" t="s">
        <v>108</v>
      </c>
      <c r="C111" s="9" t="s">
        <v>49</v>
      </c>
    </row>
    <row r="112" spans="2:3">
      <c r="B112" s="2" t="s">
        <v>108</v>
      </c>
      <c r="C112" s="2" t="s">
        <v>50</v>
      </c>
    </row>
    <row r="113" spans="2:3">
      <c r="B113" s="9" t="s">
        <v>108</v>
      </c>
      <c r="C113" s="9" t="s">
        <v>51</v>
      </c>
    </row>
    <row r="114" spans="2:3">
      <c r="B114" s="2" t="s">
        <v>108</v>
      </c>
      <c r="C114" s="2" t="s">
        <v>52</v>
      </c>
    </row>
    <row r="115" spans="2:3">
      <c r="B115" s="9" t="s">
        <v>108</v>
      </c>
      <c r="C115" s="9" t="s">
        <v>53</v>
      </c>
    </row>
    <row r="116" spans="2:3">
      <c r="B116" s="2" t="s">
        <v>108</v>
      </c>
      <c r="C116" s="2" t="s">
        <v>54</v>
      </c>
    </row>
    <row r="117" spans="2:3">
      <c r="B117" s="9" t="s">
        <v>108</v>
      </c>
      <c r="C117" s="9" t="s">
        <v>55</v>
      </c>
    </row>
    <row r="118" spans="2:3">
      <c r="B118" s="2" t="s">
        <v>108</v>
      </c>
      <c r="C118" s="2" t="s">
        <v>56</v>
      </c>
    </row>
    <row r="119" spans="2:3">
      <c r="B119" s="9" t="s">
        <v>108</v>
      </c>
      <c r="C119" s="9" t="s">
        <v>57</v>
      </c>
    </row>
    <row r="120" spans="2:3">
      <c r="B120" s="2" t="s">
        <v>108</v>
      </c>
      <c r="C120" s="2" t="s">
        <v>58</v>
      </c>
    </row>
    <row r="121" spans="2:3">
      <c r="B121" s="9" t="s">
        <v>108</v>
      </c>
      <c r="C121" s="9" t="s">
        <v>59</v>
      </c>
    </row>
    <row r="122" spans="2:3">
      <c r="B122" s="2" t="s">
        <v>108</v>
      </c>
      <c r="C122" s="2" t="s">
        <v>60</v>
      </c>
    </row>
    <row r="123" spans="2:3">
      <c r="B123" s="9" t="s">
        <v>108</v>
      </c>
      <c r="C123" s="9" t="s">
        <v>61</v>
      </c>
    </row>
    <row r="124" spans="2:3">
      <c r="B124" s="2" t="s">
        <v>108</v>
      </c>
      <c r="C124" s="2" t="s">
        <v>62</v>
      </c>
    </row>
    <row r="125" spans="2:3">
      <c r="B125" s="9" t="s">
        <v>108</v>
      </c>
      <c r="C125" s="9" t="s">
        <v>63</v>
      </c>
    </row>
    <row r="126" spans="2:3">
      <c r="B126" s="2" t="s">
        <v>108</v>
      </c>
      <c r="C126" s="2" t="s">
        <v>64</v>
      </c>
    </row>
    <row r="127" spans="2:3">
      <c r="B127" s="9" t="s">
        <v>108</v>
      </c>
      <c r="C127" s="9" t="s">
        <v>65</v>
      </c>
    </row>
    <row r="128" spans="2:3">
      <c r="B128" s="2" t="s">
        <v>108</v>
      </c>
      <c r="C128" s="2" t="s">
        <v>66</v>
      </c>
    </row>
    <row r="129" spans="2:3">
      <c r="B129" s="9" t="s">
        <v>108</v>
      </c>
      <c r="C129" s="9" t="s">
        <v>67</v>
      </c>
    </row>
    <row r="130" spans="2:3">
      <c r="B130" s="2" t="s">
        <v>108</v>
      </c>
      <c r="C130" s="2" t="s">
        <v>68</v>
      </c>
    </row>
    <row r="131" spans="2:3">
      <c r="B131" s="9" t="s">
        <v>108</v>
      </c>
      <c r="C131" s="9" t="s">
        <v>69</v>
      </c>
    </row>
    <row r="132" spans="2:3">
      <c r="B132" s="2" t="s">
        <v>108</v>
      </c>
      <c r="C132" s="2" t="s">
        <v>70</v>
      </c>
    </row>
    <row r="133" spans="2:3">
      <c r="B133" s="9" t="s">
        <v>108</v>
      </c>
      <c r="C133" s="9" t="s">
        <v>71</v>
      </c>
    </row>
    <row r="134" spans="2:3">
      <c r="B134" s="2" t="s">
        <v>108</v>
      </c>
      <c r="C134" s="2" t="s">
        <v>72</v>
      </c>
    </row>
    <row r="135" spans="2:3">
      <c r="B135" s="9" t="s">
        <v>108</v>
      </c>
      <c r="C135" s="9" t="s">
        <v>73</v>
      </c>
    </row>
    <row r="136" spans="2:3">
      <c r="B136" s="2" t="s">
        <v>108</v>
      </c>
      <c r="C136" s="2" t="s">
        <v>74</v>
      </c>
    </row>
    <row r="137" spans="2:3">
      <c r="B137" s="9" t="s">
        <v>108</v>
      </c>
      <c r="C137" s="9" t="s">
        <v>75</v>
      </c>
    </row>
    <row r="138" spans="2:3">
      <c r="B138" s="2" t="s">
        <v>108</v>
      </c>
      <c r="C138" s="2" t="s">
        <v>76</v>
      </c>
    </row>
    <row r="139" spans="2:3">
      <c r="B139" s="9" t="s">
        <v>108</v>
      </c>
      <c r="C139" s="9" t="s">
        <v>77</v>
      </c>
    </row>
    <row r="140" spans="2:3">
      <c r="B140" s="2" t="s">
        <v>108</v>
      </c>
      <c r="C140" s="2" t="s">
        <v>78</v>
      </c>
    </row>
    <row r="141" spans="2:3">
      <c r="B141" s="9" t="s">
        <v>108</v>
      </c>
      <c r="C141" s="9" t="s">
        <v>79</v>
      </c>
    </row>
    <row r="142" spans="2:3">
      <c r="B142" s="2" t="s">
        <v>108</v>
      </c>
      <c r="C142" s="2" t="s">
        <v>80</v>
      </c>
    </row>
    <row r="143" spans="2:3">
      <c r="B143" s="9" t="s">
        <v>108</v>
      </c>
      <c r="C143" s="9" t="s">
        <v>81</v>
      </c>
    </row>
    <row r="144" spans="2:3">
      <c r="B144" s="2" t="s">
        <v>108</v>
      </c>
      <c r="C144" s="2" t="s">
        <v>82</v>
      </c>
    </row>
    <row r="145" spans="2:3">
      <c r="B145" s="9" t="s">
        <v>108</v>
      </c>
      <c r="C145" s="9" t="s">
        <v>83</v>
      </c>
    </row>
    <row r="146" spans="2:3">
      <c r="B146" s="2" t="s">
        <v>108</v>
      </c>
      <c r="C146" s="2" t="s">
        <v>84</v>
      </c>
    </row>
    <row r="147" spans="2:3">
      <c r="B147" s="9" t="s">
        <v>108</v>
      </c>
      <c r="C147" s="9" t="s">
        <v>85</v>
      </c>
    </row>
    <row r="148" spans="2:3">
      <c r="B148" s="2" t="s">
        <v>108</v>
      </c>
      <c r="C148" s="2" t="s">
        <v>86</v>
      </c>
    </row>
    <row r="149" spans="2:3">
      <c r="B149" s="9" t="s">
        <v>108</v>
      </c>
      <c r="C149" s="9" t="s">
        <v>87</v>
      </c>
    </row>
    <row r="150" spans="2:3">
      <c r="B150" s="2" t="s">
        <v>108</v>
      </c>
      <c r="C150" s="2" t="s">
        <v>88</v>
      </c>
    </row>
    <row r="151" spans="2:3">
      <c r="B151" s="9" t="s">
        <v>108</v>
      </c>
      <c r="C151" s="9" t="s">
        <v>89</v>
      </c>
    </row>
    <row r="152" spans="2:3">
      <c r="B152" s="2" t="s">
        <v>108</v>
      </c>
      <c r="C152" s="2" t="s">
        <v>90</v>
      </c>
    </row>
    <row r="153" spans="2:3">
      <c r="B153" s="9" t="s">
        <v>108</v>
      </c>
      <c r="C153" s="9" t="s">
        <v>91</v>
      </c>
    </row>
    <row r="154" spans="2:3">
      <c r="B154" s="2" t="s">
        <v>108</v>
      </c>
      <c r="C154" s="2" t="s">
        <v>92</v>
      </c>
    </row>
    <row r="155" spans="2:3">
      <c r="B155" s="9" t="s">
        <v>108</v>
      </c>
      <c r="C155" s="9" t="s">
        <v>109</v>
      </c>
    </row>
    <row r="156" spans="2:3">
      <c r="B156" s="2" t="s">
        <v>108</v>
      </c>
      <c r="C156" s="2" t="s">
        <v>110</v>
      </c>
    </row>
    <row r="157" spans="2:3">
      <c r="B157" s="9" t="s">
        <v>108</v>
      </c>
      <c r="C157" s="9" t="s">
        <v>111</v>
      </c>
    </row>
    <row r="158" spans="2:3">
      <c r="B158" s="2" t="s">
        <v>108</v>
      </c>
      <c r="C158" s="2" t="s">
        <v>112</v>
      </c>
    </row>
    <row r="159" spans="2:3">
      <c r="B159" s="9" t="s">
        <v>108</v>
      </c>
      <c r="C159" s="9" t="s">
        <v>113</v>
      </c>
    </row>
    <row r="160" spans="2:3">
      <c r="B160" s="2" t="s">
        <v>108</v>
      </c>
      <c r="C160" s="2" t="s">
        <v>114</v>
      </c>
    </row>
    <row r="161" spans="2:3">
      <c r="B161" s="9" t="s">
        <v>108</v>
      </c>
      <c r="C161" s="9" t="s">
        <v>115</v>
      </c>
    </row>
    <row r="162" spans="2:3">
      <c r="B162" s="2" t="s">
        <v>108</v>
      </c>
      <c r="C162" s="2" t="s">
        <v>116</v>
      </c>
    </row>
    <row r="163" spans="2:3">
      <c r="B163" s="9" t="s">
        <v>108</v>
      </c>
      <c r="C163" s="9" t="s">
        <v>117</v>
      </c>
    </row>
    <row r="164" spans="2:3">
      <c r="B164" s="2" t="s">
        <v>108</v>
      </c>
      <c r="C164" s="2" t="s">
        <v>118</v>
      </c>
    </row>
    <row r="165" spans="2:3">
      <c r="B165" s="9" t="s">
        <v>108</v>
      </c>
      <c r="C165" s="9" t="s">
        <v>119</v>
      </c>
    </row>
    <row r="166" spans="2:3">
      <c r="B166" s="2" t="s">
        <v>108</v>
      </c>
      <c r="C166" s="2" t="s">
        <v>120</v>
      </c>
    </row>
    <row r="167" spans="2:3">
      <c r="B167" s="9" t="s">
        <v>108</v>
      </c>
      <c r="C167" s="9" t="s">
        <v>121</v>
      </c>
    </row>
    <row r="168" spans="2:3">
      <c r="B168" s="2" t="s">
        <v>108</v>
      </c>
      <c r="C168" s="2" t="s">
        <v>122</v>
      </c>
    </row>
    <row r="169" spans="2:3">
      <c r="B169" s="9" t="s">
        <v>108</v>
      </c>
      <c r="C169" s="9" t="s">
        <v>123</v>
      </c>
    </row>
    <row r="170" spans="2:3">
      <c r="B170" s="2" t="s">
        <v>108</v>
      </c>
      <c r="C170" s="2" t="s">
        <v>124</v>
      </c>
    </row>
    <row r="171" spans="2:3">
      <c r="B171" s="9" t="s">
        <v>108</v>
      </c>
      <c r="C171" s="9" t="s">
        <v>125</v>
      </c>
    </row>
    <row r="172" spans="2:3">
      <c r="B172" s="2" t="s">
        <v>108</v>
      </c>
      <c r="C172" s="2" t="s">
        <v>126</v>
      </c>
    </row>
    <row r="173" spans="2:3">
      <c r="B173" s="9" t="s">
        <v>15</v>
      </c>
      <c r="C173" s="9" t="s">
        <v>21</v>
      </c>
    </row>
    <row r="174" spans="2:3">
      <c r="B174" s="2" t="s">
        <v>16</v>
      </c>
      <c r="C174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FF76-AF15-4317-941A-BBC6ED83A495}">
  <dimension ref="B4:F70"/>
  <sheetViews>
    <sheetView workbookViewId="0">
      <selection activeCell="C18" sqref="C18"/>
    </sheetView>
  </sheetViews>
  <sheetFormatPr baseColWidth="10" defaultRowHeight="14"/>
  <cols>
    <col min="2" max="2" width="29.1640625" customWidth="1"/>
    <col min="3" max="3" width="65.5" bestFit="1" customWidth="1"/>
    <col min="5" max="5" width="41.75" customWidth="1"/>
    <col min="6" max="6" width="65.5" bestFit="1" customWidth="1"/>
  </cols>
  <sheetData>
    <row r="4" spans="2:6" ht="14.5" thickBot="1"/>
    <row r="5" spans="2:6" ht="14.5" thickBot="1">
      <c r="B5" s="30" t="s">
        <v>134</v>
      </c>
      <c r="C5" s="31" t="s">
        <v>135</v>
      </c>
      <c r="E5" s="34" t="s">
        <v>164</v>
      </c>
      <c r="F5" s="34" t="s">
        <v>165</v>
      </c>
    </row>
    <row r="6" spans="2:6">
      <c r="B6" s="28" t="s">
        <v>42</v>
      </c>
      <c r="C6" s="29" t="s">
        <v>163</v>
      </c>
      <c r="E6" s="32" t="s">
        <v>28</v>
      </c>
      <c r="F6" s="33" t="s">
        <v>136</v>
      </c>
    </row>
    <row r="7" spans="2:6">
      <c r="B7" s="21" t="s">
        <v>43</v>
      </c>
      <c r="C7" s="22" t="s">
        <v>163</v>
      </c>
      <c r="E7" s="17" t="s">
        <v>29</v>
      </c>
      <c r="F7" s="19" t="s">
        <v>137</v>
      </c>
    </row>
    <row r="8" spans="2:6">
      <c r="B8" s="23" t="s">
        <v>41</v>
      </c>
      <c r="C8" s="22" t="s">
        <v>163</v>
      </c>
      <c r="E8" s="17" t="s">
        <v>30</v>
      </c>
      <c r="F8" s="19" t="s">
        <v>138</v>
      </c>
    </row>
    <row r="9" spans="2:6">
      <c r="B9" s="23" t="s">
        <v>37</v>
      </c>
      <c r="C9" s="22" t="s">
        <v>163</v>
      </c>
      <c r="E9" s="17" t="s">
        <v>31</v>
      </c>
      <c r="F9" s="19" t="s">
        <v>139</v>
      </c>
    </row>
    <row r="10" spans="2:6">
      <c r="B10" s="23" t="s">
        <v>38</v>
      </c>
      <c r="C10" s="22" t="s">
        <v>137</v>
      </c>
      <c r="E10" s="17" t="s">
        <v>32</v>
      </c>
      <c r="F10" s="19" t="s">
        <v>140</v>
      </c>
    </row>
    <row r="11" spans="2:6">
      <c r="B11" s="23" t="s">
        <v>39</v>
      </c>
      <c r="C11" s="22" t="s">
        <v>137</v>
      </c>
      <c r="E11" s="17" t="s">
        <v>33</v>
      </c>
      <c r="F11" s="19" t="s">
        <v>141</v>
      </c>
    </row>
    <row r="12" spans="2:6">
      <c r="B12" s="23" t="s">
        <v>40</v>
      </c>
      <c r="C12" s="22" t="s">
        <v>137</v>
      </c>
      <c r="E12" s="17" t="s">
        <v>34</v>
      </c>
      <c r="F12" s="19" t="s">
        <v>142</v>
      </c>
    </row>
    <row r="13" spans="2:6">
      <c r="B13" s="23" t="s">
        <v>47</v>
      </c>
      <c r="C13" s="22" t="s">
        <v>140</v>
      </c>
      <c r="E13" s="17" t="s">
        <v>35</v>
      </c>
      <c r="F13" s="19" t="s">
        <v>143</v>
      </c>
    </row>
    <row r="14" spans="2:6">
      <c r="B14" s="23" t="s">
        <v>48</v>
      </c>
      <c r="C14" s="22" t="s">
        <v>140</v>
      </c>
      <c r="E14" s="17" t="s">
        <v>36</v>
      </c>
      <c r="F14" s="19" t="s">
        <v>144</v>
      </c>
    </row>
    <row r="15" spans="2:6">
      <c r="B15" s="23" t="s">
        <v>46</v>
      </c>
      <c r="C15" s="22" t="s">
        <v>141</v>
      </c>
      <c r="E15" s="17" t="s">
        <v>37</v>
      </c>
      <c r="F15" s="19" t="s">
        <v>145</v>
      </c>
    </row>
    <row r="16" spans="2:6">
      <c r="B16" s="23" t="s">
        <v>44</v>
      </c>
      <c r="C16" s="22" t="s">
        <v>141</v>
      </c>
      <c r="E16" s="17" t="s">
        <v>38</v>
      </c>
      <c r="F16" s="19" t="s">
        <v>146</v>
      </c>
    </row>
    <row r="17" spans="2:6">
      <c r="B17" s="23" t="s">
        <v>45</v>
      </c>
      <c r="C17" s="22" t="s">
        <v>141</v>
      </c>
      <c r="E17" s="17" t="s">
        <v>39</v>
      </c>
      <c r="F17" s="19" t="s">
        <v>147</v>
      </c>
    </row>
    <row r="18" spans="2:6">
      <c r="B18" s="23" t="s">
        <v>50</v>
      </c>
      <c r="C18" s="22" t="s">
        <v>141</v>
      </c>
      <c r="E18" s="17" t="s">
        <v>40</v>
      </c>
      <c r="F18" s="19" t="s">
        <v>148</v>
      </c>
    </row>
    <row r="19" spans="2:6">
      <c r="B19" s="23" t="s">
        <v>55</v>
      </c>
      <c r="C19" s="22" t="s">
        <v>141</v>
      </c>
      <c r="E19" s="17" t="s">
        <v>41</v>
      </c>
      <c r="F19" s="19"/>
    </row>
    <row r="20" spans="2:6">
      <c r="B20" s="23" t="s">
        <v>31</v>
      </c>
      <c r="C20" s="22" t="s">
        <v>142</v>
      </c>
      <c r="E20" s="17" t="s">
        <v>42</v>
      </c>
      <c r="F20" s="19" t="s">
        <v>149</v>
      </c>
    </row>
    <row r="21" spans="2:6">
      <c r="B21" s="23" t="s">
        <v>32</v>
      </c>
      <c r="C21" s="22" t="s">
        <v>143</v>
      </c>
      <c r="E21" s="17" t="s">
        <v>43</v>
      </c>
      <c r="F21" s="19" t="s">
        <v>150</v>
      </c>
    </row>
    <row r="22" spans="2:6">
      <c r="B22" s="23" t="s">
        <v>35</v>
      </c>
      <c r="C22" s="22" t="s">
        <v>144</v>
      </c>
      <c r="E22" s="17" t="s">
        <v>44</v>
      </c>
      <c r="F22" s="19" t="s">
        <v>151</v>
      </c>
    </row>
    <row r="23" spans="2:6">
      <c r="B23" s="23" t="s">
        <v>36</v>
      </c>
      <c r="C23" s="22" t="s">
        <v>144</v>
      </c>
      <c r="E23" s="17" t="s">
        <v>45</v>
      </c>
      <c r="F23" s="19" t="s">
        <v>152</v>
      </c>
    </row>
    <row r="24" spans="2:6">
      <c r="B24" s="23" t="s">
        <v>34</v>
      </c>
      <c r="C24" s="22" t="s">
        <v>145</v>
      </c>
      <c r="E24" s="17" t="s">
        <v>46</v>
      </c>
      <c r="F24" s="19" t="s">
        <v>153</v>
      </c>
    </row>
    <row r="25" spans="2:6">
      <c r="B25" s="23" t="s">
        <v>49</v>
      </c>
      <c r="C25" s="22" t="s">
        <v>145</v>
      </c>
      <c r="E25" s="17" t="s">
        <v>47</v>
      </c>
      <c r="F25" s="19" t="s">
        <v>154</v>
      </c>
    </row>
    <row r="26" spans="2:6">
      <c r="B26" s="23" t="s">
        <v>54</v>
      </c>
      <c r="C26" s="22" t="s">
        <v>146</v>
      </c>
      <c r="E26" s="17" t="s">
        <v>48</v>
      </c>
      <c r="F26" s="19"/>
    </row>
    <row r="27" spans="2:6">
      <c r="B27" s="23" t="s">
        <v>33</v>
      </c>
      <c r="C27" s="22" t="s">
        <v>147</v>
      </c>
      <c r="E27" s="17" t="s">
        <v>49</v>
      </c>
      <c r="F27" s="19" t="s">
        <v>155</v>
      </c>
    </row>
    <row r="28" spans="2:6">
      <c r="B28" s="21" t="s">
        <v>51</v>
      </c>
      <c r="C28" s="22" t="s">
        <v>148</v>
      </c>
      <c r="E28" s="17" t="s">
        <v>50</v>
      </c>
      <c r="F28" s="19" t="s">
        <v>156</v>
      </c>
    </row>
    <row r="29" spans="2:6">
      <c r="B29" s="21" t="s">
        <v>52</v>
      </c>
      <c r="C29" s="22" t="s">
        <v>148</v>
      </c>
      <c r="E29" s="17" t="s">
        <v>51</v>
      </c>
      <c r="F29" s="19" t="s">
        <v>157</v>
      </c>
    </row>
    <row r="30" spans="2:6">
      <c r="B30" s="21" t="s">
        <v>53</v>
      </c>
      <c r="C30" s="22" t="s">
        <v>148</v>
      </c>
      <c r="E30" s="17" t="s">
        <v>52</v>
      </c>
      <c r="F30" s="19" t="s">
        <v>158</v>
      </c>
    </row>
    <row r="31" spans="2:6" ht="14.5" thickBot="1">
      <c r="B31" s="24" t="s">
        <v>58</v>
      </c>
      <c r="C31" s="22" t="s">
        <v>162</v>
      </c>
      <c r="E31" s="17" t="s">
        <v>53</v>
      </c>
      <c r="F31" s="20" t="s">
        <v>159</v>
      </c>
    </row>
    <row r="32" spans="2:6">
      <c r="B32" s="23" t="s">
        <v>59</v>
      </c>
      <c r="C32" s="22" t="s">
        <v>151</v>
      </c>
      <c r="E32" s="17" t="s">
        <v>54</v>
      </c>
    </row>
    <row r="33" spans="2:5">
      <c r="B33" s="23" t="s">
        <v>60</v>
      </c>
      <c r="C33" s="22" t="s">
        <v>152</v>
      </c>
      <c r="E33" s="17" t="s">
        <v>55</v>
      </c>
    </row>
    <row r="34" spans="2:5">
      <c r="B34" s="24" t="s">
        <v>63</v>
      </c>
      <c r="C34" s="22" t="s">
        <v>155</v>
      </c>
      <c r="E34" s="17" t="s">
        <v>56</v>
      </c>
    </row>
    <row r="35" spans="2:5">
      <c r="B35" s="23" t="s">
        <v>57</v>
      </c>
      <c r="C35" s="22" t="s">
        <v>155</v>
      </c>
      <c r="E35" s="17" t="s">
        <v>57</v>
      </c>
    </row>
    <row r="36" spans="2:5">
      <c r="B36" s="23" t="s">
        <v>56</v>
      </c>
      <c r="C36" s="22" t="s">
        <v>155</v>
      </c>
      <c r="E36" s="17" t="s">
        <v>58</v>
      </c>
    </row>
    <row r="37" spans="2:5">
      <c r="B37" s="23" t="s">
        <v>68</v>
      </c>
      <c r="C37" s="22" t="s">
        <v>155</v>
      </c>
      <c r="E37" s="17" t="s">
        <v>59</v>
      </c>
    </row>
    <row r="38" spans="2:5">
      <c r="B38" s="23" t="s">
        <v>69</v>
      </c>
      <c r="C38" s="22" t="s">
        <v>155</v>
      </c>
      <c r="E38" s="17" t="s">
        <v>60</v>
      </c>
    </row>
    <row r="39" spans="2:5">
      <c r="B39" s="23" t="s">
        <v>70</v>
      </c>
      <c r="C39" s="22" t="s">
        <v>155</v>
      </c>
      <c r="E39" s="17" t="s">
        <v>61</v>
      </c>
    </row>
    <row r="40" spans="2:5">
      <c r="B40" s="23" t="s">
        <v>71</v>
      </c>
      <c r="C40" s="22" t="s">
        <v>155</v>
      </c>
      <c r="E40" s="17" t="s">
        <v>62</v>
      </c>
    </row>
    <row r="41" spans="2:5">
      <c r="B41" s="23" t="s">
        <v>72</v>
      </c>
      <c r="C41" s="22" t="s">
        <v>155</v>
      </c>
      <c r="E41" s="17" t="s">
        <v>63</v>
      </c>
    </row>
    <row r="42" spans="2:5">
      <c r="B42" s="23" t="s">
        <v>73</v>
      </c>
      <c r="C42" s="22" t="s">
        <v>155</v>
      </c>
      <c r="E42" s="17" t="s">
        <v>64</v>
      </c>
    </row>
    <row r="43" spans="2:5">
      <c r="B43" s="23" t="s">
        <v>74</v>
      </c>
      <c r="C43" s="22" t="s">
        <v>155</v>
      </c>
      <c r="E43" s="17" t="s">
        <v>65</v>
      </c>
    </row>
    <row r="44" spans="2:5">
      <c r="B44" s="23" t="s">
        <v>75</v>
      </c>
      <c r="C44" s="22" t="s">
        <v>155</v>
      </c>
      <c r="E44" s="17" t="s">
        <v>66</v>
      </c>
    </row>
    <row r="45" spans="2:5">
      <c r="B45" s="23" t="s">
        <v>76</v>
      </c>
      <c r="C45" s="22" t="s">
        <v>155</v>
      </c>
      <c r="E45" s="17" t="s">
        <v>67</v>
      </c>
    </row>
    <row r="46" spans="2:5">
      <c r="B46" s="23" t="s">
        <v>77</v>
      </c>
      <c r="C46" s="22" t="s">
        <v>155</v>
      </c>
      <c r="E46" s="17" t="s">
        <v>68</v>
      </c>
    </row>
    <row r="47" spans="2:5">
      <c r="B47" s="23" t="s">
        <v>78</v>
      </c>
      <c r="C47" s="22" t="s">
        <v>155</v>
      </c>
      <c r="E47" s="17" t="s">
        <v>69</v>
      </c>
    </row>
    <row r="48" spans="2:5">
      <c r="B48" s="23" t="s">
        <v>79</v>
      </c>
      <c r="C48" s="22" t="s">
        <v>155</v>
      </c>
      <c r="E48" s="17" t="s">
        <v>70</v>
      </c>
    </row>
    <row r="49" spans="2:5">
      <c r="B49" s="23" t="s">
        <v>80</v>
      </c>
      <c r="C49" s="22" t="s">
        <v>155</v>
      </c>
      <c r="E49" s="17" t="s">
        <v>71</v>
      </c>
    </row>
    <row r="50" spans="2:5">
      <c r="B50" s="23" t="s">
        <v>81</v>
      </c>
      <c r="C50" s="22" t="s">
        <v>155</v>
      </c>
      <c r="E50" s="17" t="s">
        <v>72</v>
      </c>
    </row>
    <row r="51" spans="2:5">
      <c r="B51" s="23" t="s">
        <v>82</v>
      </c>
      <c r="C51" s="22" t="s">
        <v>155</v>
      </c>
      <c r="E51" s="17" t="s">
        <v>73</v>
      </c>
    </row>
    <row r="52" spans="2:5">
      <c r="B52" s="23" t="s">
        <v>83</v>
      </c>
      <c r="C52" s="22" t="s">
        <v>155</v>
      </c>
      <c r="E52" s="17" t="s">
        <v>74</v>
      </c>
    </row>
    <row r="53" spans="2:5">
      <c r="B53" s="23" t="s">
        <v>84</v>
      </c>
      <c r="C53" s="22" t="s">
        <v>155</v>
      </c>
      <c r="E53" s="17" t="s">
        <v>75</v>
      </c>
    </row>
    <row r="54" spans="2:5">
      <c r="B54" s="23" t="s">
        <v>85</v>
      </c>
      <c r="C54" s="22" t="s">
        <v>155</v>
      </c>
      <c r="E54" s="17" t="s">
        <v>76</v>
      </c>
    </row>
    <row r="55" spans="2:5">
      <c r="B55" s="23" t="s">
        <v>86</v>
      </c>
      <c r="C55" s="22" t="s">
        <v>155</v>
      </c>
      <c r="E55" s="17" t="s">
        <v>77</v>
      </c>
    </row>
    <row r="56" spans="2:5">
      <c r="B56" s="23" t="s">
        <v>87</v>
      </c>
      <c r="C56" s="22" t="s">
        <v>155</v>
      </c>
      <c r="E56" s="17" t="s">
        <v>78</v>
      </c>
    </row>
    <row r="57" spans="2:5">
      <c r="B57" s="23" t="s">
        <v>88</v>
      </c>
      <c r="C57" s="22" t="s">
        <v>155</v>
      </c>
      <c r="E57" s="17" t="s">
        <v>79</v>
      </c>
    </row>
    <row r="58" spans="2:5">
      <c r="B58" s="23" t="s">
        <v>89</v>
      </c>
      <c r="C58" s="22" t="s">
        <v>155</v>
      </c>
      <c r="E58" s="17" t="s">
        <v>80</v>
      </c>
    </row>
    <row r="59" spans="2:5">
      <c r="B59" s="23" t="s">
        <v>90</v>
      </c>
      <c r="C59" s="22" t="s">
        <v>155</v>
      </c>
      <c r="E59" s="17" t="s">
        <v>81</v>
      </c>
    </row>
    <row r="60" spans="2:5">
      <c r="B60" s="23" t="s">
        <v>67</v>
      </c>
      <c r="C60" s="22" t="s">
        <v>155</v>
      </c>
      <c r="E60" s="17" t="s">
        <v>82</v>
      </c>
    </row>
    <row r="61" spans="2:5">
      <c r="B61" s="23" t="s">
        <v>66</v>
      </c>
      <c r="C61" s="22" t="s">
        <v>155</v>
      </c>
      <c r="E61" s="17" t="s">
        <v>83</v>
      </c>
    </row>
    <row r="62" spans="2:5">
      <c r="B62" s="23" t="s">
        <v>64</v>
      </c>
      <c r="C62" s="22" t="s">
        <v>155</v>
      </c>
      <c r="E62" s="17" t="s">
        <v>84</v>
      </c>
    </row>
    <row r="63" spans="2:5">
      <c r="B63" s="23" t="s">
        <v>65</v>
      </c>
      <c r="C63" s="22" t="s">
        <v>155</v>
      </c>
      <c r="E63" s="17" t="s">
        <v>85</v>
      </c>
    </row>
    <row r="64" spans="2:5">
      <c r="B64" s="25"/>
      <c r="C64" s="22" t="s">
        <v>156</v>
      </c>
      <c r="E64" s="17" t="s">
        <v>86</v>
      </c>
    </row>
    <row r="65" spans="2:5">
      <c r="B65" s="23" t="s">
        <v>28</v>
      </c>
      <c r="C65" s="22" t="s">
        <v>157</v>
      </c>
      <c r="E65" s="17" t="s">
        <v>87</v>
      </c>
    </row>
    <row r="66" spans="2:5">
      <c r="B66" s="23" t="s">
        <v>29</v>
      </c>
      <c r="C66" s="22" t="s">
        <v>157</v>
      </c>
      <c r="E66" s="17" t="s">
        <v>88</v>
      </c>
    </row>
    <row r="67" spans="2:5" ht="14.5" thickBot="1">
      <c r="B67" s="26" t="s">
        <v>30</v>
      </c>
      <c r="C67" s="27" t="s">
        <v>158</v>
      </c>
      <c r="E67" s="17" t="s">
        <v>89</v>
      </c>
    </row>
    <row r="68" spans="2:5">
      <c r="E68" s="17" t="s">
        <v>90</v>
      </c>
    </row>
    <row r="69" spans="2:5">
      <c r="E69" s="17" t="s">
        <v>91</v>
      </c>
    </row>
    <row r="70" spans="2:5" ht="14.5" thickBot="1">
      <c r="E70" s="18" t="s">
        <v>92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0B42-7C48-4CC8-9BAD-76CEA5A9881C}">
  <dimension ref="A1:B7"/>
  <sheetViews>
    <sheetView workbookViewId="0">
      <selection activeCell="B6" sqref="B6"/>
    </sheetView>
  </sheetViews>
  <sheetFormatPr baseColWidth="10" defaultRowHeight="14"/>
  <cols>
    <col min="1" max="1" width="56.1640625" bestFit="1" customWidth="1"/>
  </cols>
  <sheetData>
    <row r="1" spans="1:2">
      <c r="A1" t="s">
        <v>160</v>
      </c>
      <c r="B1" t="s">
        <v>161</v>
      </c>
    </row>
    <row r="2" spans="1:2">
      <c r="A2" s="4" t="s">
        <v>149</v>
      </c>
      <c r="B2" s="4" t="s">
        <v>162</v>
      </c>
    </row>
    <row r="3" spans="1:2">
      <c r="A3" s="4" t="s">
        <v>150</v>
      </c>
      <c r="B3" s="4" t="s">
        <v>162</v>
      </c>
    </row>
    <row r="4" spans="1:2">
      <c r="A4" s="4" t="s">
        <v>153</v>
      </c>
      <c r="B4" s="4" t="s">
        <v>162</v>
      </c>
    </row>
    <row r="5" spans="1:2">
      <c r="A5" s="4" t="s">
        <v>136</v>
      </c>
      <c r="B5" s="4" t="s">
        <v>163</v>
      </c>
    </row>
    <row r="6" spans="1:2">
      <c r="A6" s="4" t="s">
        <v>138</v>
      </c>
      <c r="B6" s="4" t="s">
        <v>163</v>
      </c>
    </row>
    <row r="7" spans="1:2">
      <c r="A7" s="4" t="s">
        <v>139</v>
      </c>
      <c r="B7" s="4" t="s">
        <v>163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 1</vt:lpstr>
      <vt:lpstr>Summary</vt:lpstr>
      <vt:lpstr>Structure</vt:lpstr>
      <vt:lpstr>Mapping</vt:lpstr>
      <vt:lpstr>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Lucie Cherpin</cp:lastModifiedBy>
  <dcterms:created xsi:type="dcterms:W3CDTF">2025-01-16T13:20:40Z</dcterms:created>
  <dcterms:modified xsi:type="dcterms:W3CDTF">2026-07-17T09:22:56Z</dcterms:modified>
</cp:coreProperties>
</file>