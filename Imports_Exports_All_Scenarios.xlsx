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threadedComments/threadedComment8.xml" ContentType="application/vnd.ms-excel.threadedcomments+xml"/>
  <Override PartName="/xl/comments10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kte\Standort WB\N-31-535-0-ETIP-B_2026-2028\Daten\WP3 Sector Monitoring and Analysis\Task 3.2 Assessment of building capacity\"/>
    </mc:Choice>
  </mc:AlternateContent>
  <xr:revisionPtr revIDLastSave="0" documentId="13_ncr:1_{D6BEC2B9-F871-4BAA-9AFA-2B36F7FBDBEC}" xr6:coauthVersionLast="47" xr6:coauthVersionMax="47" xr10:uidLastSave="{00000000-0000-0000-0000-000000000000}"/>
  <bookViews>
    <workbookView xWindow="-120" yWindow="-120" windowWidth="28950" windowHeight="15450" firstSheet="5" activeTab="8" xr2:uid="{253DBE14-AF2C-47AC-8688-C79B63FCD889}"/>
  </bookViews>
  <sheets>
    <sheet name="2023" sheetId="1" r:id="rId1"/>
    <sheet name="Tabelle1" sheetId="11" r:id="rId2"/>
    <sheet name="Import Emissions" sheetId="12" r:id="rId3"/>
    <sheet name="2030 Sc 1" sheetId="2" r:id="rId4"/>
    <sheet name="2030 Sc 2" sheetId="3" r:id="rId5"/>
    <sheet name="2030 Sc 3" sheetId="4" r:id="rId6"/>
    <sheet name="2035 Sc 1" sheetId="5" r:id="rId7"/>
    <sheet name="2035 Sc 2" sheetId="6" r:id="rId8"/>
    <sheet name="2035 Sc 3" sheetId="7" r:id="rId9"/>
    <sheet name="2040  Sc 1" sheetId="8" r:id="rId10"/>
    <sheet name="2040 Sc 2" sheetId="10" r:id="rId11"/>
    <sheet name="2040 Sc 3" sheetId="9" r:id="rId12"/>
  </sheets>
  <externalReferences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2" i="12" l="1"/>
  <c r="I33" i="12"/>
  <c r="C11" i="12"/>
  <c r="I32" i="12"/>
  <c r="C8" i="12"/>
  <c r="C9" i="12"/>
  <c r="A57" i="12"/>
  <c r="A56" i="12"/>
  <c r="A55" i="12"/>
  <c r="A54" i="12"/>
  <c r="A53" i="12"/>
  <c r="A52" i="12"/>
  <c r="A51" i="12"/>
  <c r="A50" i="12"/>
  <c r="A49" i="12"/>
  <c r="E44" i="12"/>
  <c r="K40" i="12"/>
  <c r="K39" i="12"/>
  <c r="K38" i="12"/>
  <c r="K37" i="12"/>
  <c r="K36" i="12"/>
  <c r="K50" i="12" s="1"/>
  <c r="K35" i="12"/>
  <c r="J40" i="12"/>
  <c r="J39" i="12"/>
  <c r="J38" i="12"/>
  <c r="J37" i="12"/>
  <c r="J36" i="12"/>
  <c r="J50" i="12" s="1"/>
  <c r="J35" i="12"/>
  <c r="I40" i="12"/>
  <c r="H40" i="12"/>
  <c r="H39" i="12"/>
  <c r="H38" i="12"/>
  <c r="H37" i="12"/>
  <c r="H36" i="12"/>
  <c r="H50" i="12" s="1"/>
  <c r="H35" i="12"/>
  <c r="G40" i="12"/>
  <c r="G39" i="12"/>
  <c r="G38" i="12"/>
  <c r="G37" i="12"/>
  <c r="G36" i="12"/>
  <c r="G50" i="12" s="1"/>
  <c r="G35" i="12"/>
  <c r="F37" i="12"/>
  <c r="D39" i="12"/>
  <c r="D38" i="12"/>
  <c r="D37" i="12"/>
  <c r="D36" i="12"/>
  <c r="D50" i="12" s="1"/>
  <c r="C42" i="12"/>
  <c r="C37" i="12"/>
  <c r="A43" i="12"/>
  <c r="A42" i="12"/>
  <c r="A41" i="12"/>
  <c r="A40" i="12"/>
  <c r="A39" i="12"/>
  <c r="A38" i="12"/>
  <c r="A37" i="12"/>
  <c r="A36" i="12"/>
  <c r="A35" i="12"/>
  <c r="C10" i="12"/>
  <c r="C16" i="12"/>
  <c r="C15" i="12"/>
  <c r="C14" i="12"/>
  <c r="C13" i="12"/>
  <c r="E19" i="9"/>
  <c r="E3" i="9"/>
  <c r="E16" i="10"/>
  <c r="E3" i="10"/>
  <c r="E3" i="8"/>
  <c r="E15" i="7"/>
  <c r="E3" i="7"/>
  <c r="E3" i="6"/>
  <c r="E4" i="5"/>
  <c r="D16" i="4"/>
  <c r="E4" i="4"/>
  <c r="E4" i="3"/>
  <c r="E3" i="2"/>
  <c r="B15" i="7"/>
  <c r="D19" i="9"/>
  <c r="F19" i="9" s="1"/>
  <c r="D10" i="9"/>
  <c r="F10" i="9" s="1"/>
  <c r="D16" i="10"/>
  <c r="F16" i="10" s="1"/>
  <c r="D10" i="10"/>
  <c r="F10" i="10" s="1"/>
  <c r="C8" i="8"/>
  <c r="D10" i="7"/>
  <c r="F10" i="7" s="1"/>
  <c r="D15" i="7"/>
  <c r="F15" i="7"/>
  <c r="C10" i="6"/>
  <c r="C8" i="6"/>
  <c r="D7" i="6"/>
  <c r="F7" i="6" s="1"/>
  <c r="D6" i="6"/>
  <c r="F6" i="6" s="1"/>
  <c r="D5" i="6"/>
  <c r="F5" i="6" s="1"/>
  <c r="D4" i="6"/>
  <c r="F4" i="6" s="1"/>
  <c r="D6" i="5"/>
  <c r="F6" i="5" s="1"/>
  <c r="B4" i="3"/>
  <c r="D35" i="12" s="1"/>
  <c r="L34" i="1"/>
  <c r="E8" i="2"/>
  <c r="B5" i="8"/>
  <c r="C35" i="1"/>
  <c r="I35" i="1" s="1"/>
  <c r="K35" i="1" s="1"/>
  <c r="L35" i="1" s="1"/>
  <c r="J19" i="1"/>
  <c r="L16" i="1"/>
  <c r="K16" i="1"/>
  <c r="J16" i="1"/>
  <c r="J11" i="1"/>
  <c r="B10" i="1"/>
  <c r="B7" i="1"/>
  <c r="K4" i="1"/>
  <c r="L49" i="1"/>
  <c r="L47" i="1"/>
  <c r="L41" i="1"/>
  <c r="L48" i="1"/>
  <c r="L40" i="1"/>
  <c r="F42" i="1"/>
  <c r="G42" i="1" s="1"/>
  <c r="F41" i="1"/>
  <c r="F40" i="1"/>
  <c r="L42" i="1"/>
  <c r="B18" i="1"/>
  <c r="L4" i="1"/>
  <c r="B5" i="1"/>
  <c r="B6" i="1"/>
  <c r="B11" i="1"/>
  <c r="K54" i="12" l="1"/>
  <c r="K53" i="12"/>
  <c r="K52" i="12"/>
  <c r="K51" i="12"/>
  <c r="J54" i="12"/>
  <c r="J53" i="12"/>
  <c r="J52" i="12"/>
  <c r="J51" i="12"/>
  <c r="I54" i="12"/>
  <c r="H54" i="12"/>
  <c r="H53" i="12"/>
  <c r="H52" i="12"/>
  <c r="H51" i="12"/>
  <c r="G54" i="12"/>
  <c r="G53" i="12"/>
  <c r="G52" i="12"/>
  <c r="G51" i="12"/>
  <c r="F51" i="12"/>
  <c r="D53" i="12"/>
  <c r="D52" i="12"/>
  <c r="D51" i="12"/>
  <c r="C56" i="12"/>
  <c r="C51" i="12"/>
  <c r="K49" i="12"/>
  <c r="J49" i="12"/>
  <c r="H49" i="12"/>
  <c r="G49" i="12"/>
  <c r="E51" i="12"/>
  <c r="B51" i="12"/>
  <c r="D57" i="12"/>
  <c r="B57" i="12"/>
  <c r="E57" i="12"/>
  <c r="H56" i="12"/>
  <c r="E56" i="12"/>
  <c r="D56" i="12"/>
  <c r="B56" i="12"/>
  <c r="K56" i="12"/>
  <c r="H55" i="12"/>
  <c r="I55" i="12"/>
  <c r="J55" i="12"/>
  <c r="K55" i="12"/>
  <c r="C55" i="12"/>
  <c r="D55" i="12"/>
  <c r="E55" i="12"/>
  <c r="F55" i="12"/>
  <c r="G55" i="12"/>
  <c r="E54" i="12"/>
  <c r="F54" i="12"/>
  <c r="B53" i="12"/>
  <c r="E53" i="12"/>
  <c r="E52" i="12"/>
  <c r="B52" i="12"/>
  <c r="E50" i="12"/>
  <c r="B50" i="12"/>
  <c r="E49" i="12"/>
  <c r="E58" i="12" s="1"/>
  <c r="B49" i="12"/>
  <c r="D49" i="12"/>
  <c r="D5" i="8"/>
  <c r="F5" i="8" s="1"/>
  <c r="I37" i="12"/>
  <c r="I51" i="12" s="1"/>
  <c r="G41" i="1"/>
  <c r="G40" i="1"/>
  <c r="J2" i="12"/>
  <c r="B20" i="1"/>
  <c r="C20" i="1"/>
  <c r="B41" i="12" s="1"/>
  <c r="B55" i="12" s="1"/>
  <c r="C9" i="1"/>
  <c r="D9" i="1" s="1"/>
  <c r="C10" i="1"/>
  <c r="C7" i="1"/>
  <c r="D7" i="1" s="1"/>
  <c r="G7" i="1" s="1"/>
  <c r="D3" i="6"/>
  <c r="F3" i="6" s="1"/>
  <c r="J4" i="1"/>
  <c r="J8" i="1"/>
  <c r="B4" i="1"/>
  <c r="M4" i="1"/>
  <c r="J5" i="1" s="1"/>
  <c r="M16" i="1"/>
  <c r="J17" i="1" s="1"/>
  <c r="L5" i="1"/>
  <c r="K5" i="1"/>
  <c r="B17" i="1"/>
  <c r="B16" i="1" s="1"/>
  <c r="D20" i="1"/>
  <c r="D19" i="1" s="1"/>
  <c r="G19" i="1" s="1"/>
  <c r="I19" i="1" s="1"/>
  <c r="B19" i="1"/>
  <c r="C5" i="1"/>
  <c r="D5" i="1" s="1"/>
  <c r="G5" i="1" s="1"/>
  <c r="C17" i="1"/>
  <c r="B40" i="12" s="1"/>
  <c r="D17" i="1"/>
  <c r="B22" i="1"/>
  <c r="D10" i="1"/>
  <c r="D8" i="1" s="1"/>
  <c r="G8" i="1" s="1"/>
  <c r="I8" i="1" s="1"/>
  <c r="B8" i="1"/>
  <c r="B14" i="1" s="1"/>
  <c r="B24" i="1" s="1"/>
  <c r="C13" i="10"/>
  <c r="C14" i="8"/>
  <c r="C13" i="8"/>
  <c r="J3" i="12" l="1"/>
  <c r="C5" i="4"/>
  <c r="C4" i="2"/>
  <c r="C6" i="2"/>
  <c r="C13" i="6"/>
  <c r="C12" i="10"/>
  <c r="C15" i="9"/>
  <c r="C12" i="7"/>
  <c r="C14" i="6"/>
  <c r="C15" i="5"/>
  <c r="C13" i="2"/>
  <c r="C14" i="5"/>
  <c r="C12" i="4"/>
  <c r="C23" i="7"/>
  <c r="D23" i="7" s="1"/>
  <c r="F23" i="7" s="1"/>
  <c r="C24" i="10"/>
  <c r="D24" i="10" s="1"/>
  <c r="F24" i="10" s="1"/>
  <c r="C27" i="9"/>
  <c r="D27" i="9" s="1"/>
  <c r="F27" i="9" s="1"/>
  <c r="C11" i="4"/>
  <c r="C22" i="7"/>
  <c r="C23" i="10"/>
  <c r="D23" i="10" s="1"/>
  <c r="F23" i="10" s="1"/>
  <c r="F25" i="10" s="1"/>
  <c r="C26" i="9"/>
  <c r="C20" i="10"/>
  <c r="D20" i="10" s="1"/>
  <c r="F20" i="10" s="1"/>
  <c r="C16" i="7"/>
  <c r="C17" i="10"/>
  <c r="D17" i="10" s="1"/>
  <c r="F17" i="10" s="1"/>
  <c r="C20" i="9"/>
  <c r="C18" i="7"/>
  <c r="C19" i="10"/>
  <c r="D19" i="10" s="1"/>
  <c r="F19" i="10" s="1"/>
  <c r="C22" i="9"/>
  <c r="K17" i="1"/>
  <c r="L17" i="1"/>
  <c r="J21" i="1"/>
  <c r="J10" i="1"/>
  <c r="B54" i="12" l="1"/>
  <c r="B58" i="12" s="1"/>
  <c r="B44" i="12"/>
  <c r="B6" i="2"/>
  <c r="M17" i="1"/>
  <c r="B13" i="2"/>
  <c r="B13" i="6"/>
  <c r="B14" i="5"/>
  <c r="D6" i="2" l="1"/>
  <c r="F6" i="2" s="1"/>
  <c r="G6" i="2" s="1"/>
  <c r="C38" i="12"/>
  <c r="D13" i="2"/>
  <c r="F13" i="2" s="1"/>
  <c r="C43" i="12"/>
  <c r="C57" i="12" s="1"/>
  <c r="D13" i="6"/>
  <c r="F13" i="6" s="1"/>
  <c r="G42" i="12"/>
  <c r="D14" i="5"/>
  <c r="F14" i="5" s="1"/>
  <c r="F42" i="12"/>
  <c r="F56" i="12" s="1"/>
  <c r="B15" i="5"/>
  <c r="B3" i="8"/>
  <c r="B14" i="8"/>
  <c r="C52" i="12" l="1"/>
  <c r="G56" i="12"/>
  <c r="D15" i="5"/>
  <c r="F15" i="5" s="1"/>
  <c r="F16" i="5" s="1"/>
  <c r="F43" i="12"/>
  <c r="F57" i="12" s="1"/>
  <c r="D3" i="8"/>
  <c r="I35" i="12"/>
  <c r="D14" i="8"/>
  <c r="F14" i="8" s="1"/>
  <c r="I43" i="12"/>
  <c r="I57" i="12" s="1"/>
  <c r="F3" i="8"/>
  <c r="B7" i="5"/>
  <c r="B7" i="2"/>
  <c r="B13" i="8"/>
  <c r="I49" i="12" l="1"/>
  <c r="D7" i="5"/>
  <c r="F7" i="5" s="1"/>
  <c r="F38" i="12"/>
  <c r="F52" i="12" s="1"/>
  <c r="D7" i="2"/>
  <c r="F7" i="2" s="1"/>
  <c r="G7" i="2" s="1"/>
  <c r="C39" i="12"/>
  <c r="D13" i="8"/>
  <c r="F13" i="8" s="1"/>
  <c r="F15" i="8" s="1"/>
  <c r="I42" i="12"/>
  <c r="I56" i="12" s="1"/>
  <c r="B7" i="8"/>
  <c r="C18" i="1"/>
  <c r="D18" i="1" s="1"/>
  <c r="D16" i="1" s="1"/>
  <c r="C6" i="1"/>
  <c r="D6" i="1" s="1"/>
  <c r="C12" i="1"/>
  <c r="D12" i="1" s="1"/>
  <c r="D11" i="1" s="1"/>
  <c r="G11" i="1" s="1"/>
  <c r="I11" i="1" s="1"/>
  <c r="J13" i="1" s="1"/>
  <c r="B8" i="5"/>
  <c r="C11" i="3"/>
  <c r="B12" i="10"/>
  <c r="J42" i="12" s="1"/>
  <c r="C53" i="12" l="1"/>
  <c r="D7" i="8"/>
  <c r="F7" i="8" s="1"/>
  <c r="I39" i="12"/>
  <c r="I53" i="12" s="1"/>
  <c r="D8" i="5"/>
  <c r="F8" i="5" s="1"/>
  <c r="F39" i="12"/>
  <c r="F53" i="12" s="1"/>
  <c r="J56" i="12"/>
  <c r="C4" i="4"/>
  <c r="D12" i="10"/>
  <c r="F12" i="10" s="1"/>
  <c r="G16" i="1"/>
  <c r="D22" i="1"/>
  <c r="G6" i="1"/>
  <c r="H5" i="1" s="1"/>
  <c r="I5" i="1" s="1"/>
  <c r="I14" i="1" s="1"/>
  <c r="D4" i="1"/>
  <c r="E6" i="1" s="1"/>
  <c r="C10" i="2"/>
  <c r="C3" i="2"/>
  <c r="C5" i="2"/>
  <c r="D5" i="2" s="1"/>
  <c r="F5" i="2" s="1"/>
  <c r="G5" i="2" s="1"/>
  <c r="C6" i="4"/>
  <c r="C17" i="7"/>
  <c r="C18" i="10"/>
  <c r="D18" i="10" s="1"/>
  <c r="F18" i="10" s="1"/>
  <c r="F21" i="10" s="1"/>
  <c r="C21" i="9"/>
  <c r="B6" i="8"/>
  <c r="D6" i="8" l="1"/>
  <c r="I38" i="12"/>
  <c r="I52" i="12" s="1"/>
  <c r="I16" i="1"/>
  <c r="G22" i="1"/>
  <c r="D14" i="1"/>
  <c r="D24" i="1" s="1"/>
  <c r="E7" i="1"/>
  <c r="G4" i="1"/>
  <c r="E5" i="1"/>
  <c r="F6" i="8"/>
  <c r="L18" i="1" l="1"/>
  <c r="K18" i="1"/>
  <c r="J18" i="1"/>
  <c r="M18" i="1" s="1"/>
  <c r="I22" i="1"/>
  <c r="I24" i="1" s="1"/>
  <c r="G14" i="1"/>
  <c r="G24" i="1" s="1"/>
  <c r="I4" i="1"/>
  <c r="K6" i="1" l="1"/>
  <c r="L6" i="1"/>
  <c r="J6" i="1"/>
  <c r="M6" i="1" s="1"/>
  <c r="C9" i="5" l="1"/>
  <c r="D4" i="3" l="1"/>
  <c r="F4" i="3"/>
  <c r="G4" i="3"/>
  <c r="G9" i="3"/>
  <c r="B9" i="3"/>
  <c r="C23" i="4" l="1"/>
  <c r="E23" i="4" s="1"/>
  <c r="B15" i="9" l="1"/>
  <c r="B12" i="7"/>
  <c r="D15" i="9" l="1"/>
  <c r="F15" i="9" s="1"/>
  <c r="K43" i="12"/>
  <c r="D12" i="7"/>
  <c r="F12" i="7" s="1"/>
  <c r="H43" i="12"/>
  <c r="B12" i="4"/>
  <c r="D12" i="4" s="1"/>
  <c r="F12" i="4" s="1"/>
  <c r="B22" i="7"/>
  <c r="D22" i="7" s="1"/>
  <c r="F22" i="7" s="1"/>
  <c r="F24" i="7" s="1"/>
  <c r="K44" i="12" l="1"/>
  <c r="K57" i="12"/>
  <c r="K58" i="12" s="1"/>
  <c r="H44" i="12"/>
  <c r="H57" i="12"/>
  <c r="H58" i="12" s="1"/>
  <c r="B11" i="4"/>
  <c r="D11" i="4" s="1"/>
  <c r="F11" i="4" s="1"/>
  <c r="F13" i="4" s="1"/>
  <c r="B14" i="6" l="1"/>
  <c r="D14" i="6" l="1"/>
  <c r="F14" i="6" s="1"/>
  <c r="F15" i="6" s="1"/>
  <c r="G43" i="12"/>
  <c r="B26" i="9"/>
  <c r="D26" i="9" s="1"/>
  <c r="F26" i="9" s="1"/>
  <c r="F28" i="9" s="1"/>
  <c r="G44" i="12" l="1"/>
  <c r="G57" i="12"/>
  <c r="G58" i="12" s="1"/>
  <c r="B13" i="10" l="1"/>
  <c r="J43" i="12" s="1"/>
  <c r="J44" i="12" l="1"/>
  <c r="J57" i="12"/>
  <c r="J58" i="12" s="1"/>
  <c r="G13" i="10"/>
  <c r="D13" i="10"/>
  <c r="F13" i="10" s="1"/>
  <c r="H13" i="10" s="1"/>
  <c r="B4" i="4" l="1"/>
  <c r="D4" i="4" s="1"/>
  <c r="F4" i="4" s="1"/>
  <c r="B11" i="3" l="1"/>
  <c r="D11" i="3" l="1"/>
  <c r="F11" i="3" s="1"/>
  <c r="G11" i="3" s="1"/>
  <c r="D40" i="12"/>
  <c r="D44" i="12" l="1"/>
  <c r="D54" i="12"/>
  <c r="D58" i="12" s="1"/>
  <c r="B4" i="8" l="1"/>
  <c r="I36" i="12" s="1"/>
  <c r="I44" i="12" l="1"/>
  <c r="I50" i="12"/>
  <c r="I58" i="12" s="1"/>
  <c r="D4" i="8"/>
  <c r="B8" i="8"/>
  <c r="B11" i="8" s="1"/>
  <c r="F4" i="8" l="1"/>
  <c r="D8" i="8"/>
  <c r="D11" i="8" s="1"/>
  <c r="B4" i="2"/>
  <c r="B20" i="9"/>
  <c r="B5" i="4"/>
  <c r="B3" i="2"/>
  <c r="D4" i="2" l="1"/>
  <c r="F4" i="2" s="1"/>
  <c r="G4" i="2" s="1"/>
  <c r="C36" i="12"/>
  <c r="C50" i="12" s="1"/>
  <c r="J1" i="12"/>
  <c r="C35" i="12"/>
  <c r="C49" i="12" s="1"/>
  <c r="D20" i="9"/>
  <c r="F20" i="9" s="1"/>
  <c r="D5" i="4"/>
  <c r="F5" i="4" s="1"/>
  <c r="B8" i="2"/>
  <c r="D3" i="2"/>
  <c r="B16" i="7"/>
  <c r="B10" i="2"/>
  <c r="D10" i="2" l="1"/>
  <c r="F10" i="2" s="1"/>
  <c r="C40" i="12"/>
  <c r="C44" i="12" s="1"/>
  <c r="F3" i="2"/>
  <c r="D8" i="2"/>
  <c r="D16" i="7"/>
  <c r="F16" i="7" s="1"/>
  <c r="C54" i="12" l="1"/>
  <c r="C58" i="12" s="1"/>
  <c r="F8" i="2"/>
  <c r="G3" i="2"/>
  <c r="G8" i="2" s="1"/>
  <c r="G10" i="2" s="1"/>
  <c r="B5" i="5"/>
  <c r="D5" i="5" l="1"/>
  <c r="F5" i="5" s="1"/>
  <c r="F36" i="12"/>
  <c r="F50" i="12" s="1"/>
  <c r="B4" i="5" l="1"/>
  <c r="F35" i="12" s="1"/>
  <c r="F44" i="12" l="1"/>
  <c r="F49" i="12"/>
  <c r="F58" i="12" s="1"/>
  <c r="D4" i="5"/>
  <c r="F4" i="5" s="1"/>
  <c r="B9" i="5"/>
  <c r="B6" i="4" l="1"/>
  <c r="B17" i="7" l="1"/>
  <c r="D6" i="4"/>
  <c r="F6" i="4" s="1"/>
  <c r="B21" i="9"/>
  <c r="B8" i="4"/>
  <c r="D8" i="4" s="1"/>
  <c r="F8" i="4" s="1"/>
  <c r="B23" i="9"/>
  <c r="D23" i="9" s="1"/>
  <c r="F23" i="9" s="1"/>
  <c r="D17" i="7" l="1"/>
  <c r="F17" i="7" s="1"/>
  <c r="D21" i="9"/>
  <c r="F21" i="9" s="1"/>
  <c r="B19" i="7"/>
  <c r="D19" i="7" s="1"/>
  <c r="F19" i="7" s="1"/>
  <c r="B7" i="4" l="1"/>
  <c r="B9" i="4" l="1"/>
  <c r="B13" i="4" s="1"/>
  <c r="D7" i="4"/>
  <c r="F7" i="4" s="1"/>
  <c r="F9" i="4" s="1"/>
  <c r="B18" i="7"/>
  <c r="B22" i="9"/>
  <c r="B20" i="7" l="1"/>
  <c r="D18" i="7"/>
  <c r="F18" i="7" s="1"/>
  <c r="F20" i="7" s="1"/>
  <c r="B24" i="9"/>
  <c r="D22" i="9"/>
  <c r="F22" i="9" s="1"/>
  <c r="F24" i="9" s="1"/>
  <c r="D27" i="11" l="1" a="1"/>
  <c r="D26" i="11" a="1"/>
  <c r="D25" i="11" a="1"/>
  <c r="D24" i="11" a="1"/>
  <c r="D23" i="11" a="1"/>
  <c r="D22" i="11" a="1"/>
  <c r="D21" i="11" a="1"/>
  <c r="D20" i="11" a="1"/>
  <c r="D19" i="11" a="1"/>
  <c r="D18" i="11" a="1"/>
  <c r="D17" i="11" a="1"/>
  <c r="D16" i="11" a="1"/>
  <c r="D15" i="11" a="1"/>
  <c r="D13" i="11" a="1"/>
  <c r="D12" i="11" a="1"/>
  <c r="D11" i="11" a="1"/>
  <c r="D10" i="11" a="1"/>
  <c r="D9" i="11" a="1"/>
  <c r="D8" i="11" a="1"/>
  <c r="D7" i="11" a="1"/>
  <c r="D6" i="11" a="1"/>
  <c r="D5" i="11" a="1"/>
  <c r="D4" i="11" a="1"/>
  <c r="D2" i="1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tc={26A8009B-9A3A-41F5-B3C7-B4085A061415}</author>
    <author>tc={B19D462B-9336-451D-8E6F-A27780BC9DCD}</author>
    <author>tc={D6CCB581-C6B7-48A0-9C06-C503749393FD}</author>
    <author>tc={74A440C2-F0D5-4929-975D-83BA821CEF76}</author>
    <author>tc={C01C5175-C2EA-4E08-9AC0-433EBEBE22FD}</author>
    <author>tc={E220DE7A-EF28-4FAD-95EB-88601AA9BDC5}</author>
  </authors>
  <commentList>
    <comment ref="B34" authorId="0" shapeId="0" xr:uid="{26A8009B-9A3A-41F5-B3C7-B4085A061415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GAIN report table 10
</t>
      </text>
    </comment>
    <comment ref="B35" authorId="1" shapeId="0" xr:uid="{B19D462B-9336-451D-8E6F-A27780BC9DC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GAIN report Table 77</t>
      </text>
    </comment>
    <comment ref="D35" authorId="2" shapeId="0" xr:uid="{D6CCB581-C6B7-48A0-9C06-C503749393F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GAIN report Graph 4
Antwort:
    But the price in 2023 was quite volatile - took an estimated average</t>
      </text>
    </comment>
    <comment ref="A39" authorId="3" shapeId="0" xr:uid="{74A440C2-F0D5-4929-975D-83BA821CEF7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[ds-045409] EU trade since 1988 by HS2-4-6 and CN8 </t>
      </text>
    </comment>
    <comment ref="B47" authorId="4" shapeId="0" xr:uid="{C01C5175-C2EA-4E08-9AC0-433EBEBE22F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GAIN report tabel 10 </t>
      </text>
    </comment>
    <comment ref="L48" authorId="5" shapeId="0" xr:uid="{E220DE7A-EF28-4FAD-95EB-88601AA9BDC5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Also cosnistent with CETO 2026, p. 58/59 (data für 2024  with referemce to 2023)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Lucie Catalina Cherpin</author>
  </authors>
  <commentList>
    <comment ref="B5" authorId="0" shapeId="0" xr:uid="{B1269326-8F4B-44F1-B5D5-485D8EAB46D6}">
      <text>
        <r>
          <rPr>
            <b/>
            <sz val="9"/>
            <color indexed="81"/>
            <rFont val="Segoe UI"/>
            <charset val="1"/>
          </rPr>
          <t>Lucie Catalina Cherpin:</t>
        </r>
        <r>
          <rPr>
            <sz val="9"/>
            <color indexed="81"/>
            <rFont val="Segoe UI"/>
            <charset val="1"/>
          </rPr>
          <t xml:space="preserve">
1 toe = 41.868 GJ (IEA standard definition)</t>
        </r>
      </text>
    </comment>
    <comment ref="I19" authorId="0" shapeId="0" xr:uid="{0F53175A-78CA-4D2B-BB62-D17DBD16A343}">
      <text>
        <r>
          <rPr>
            <b/>
            <sz val="9"/>
            <color indexed="81"/>
            <rFont val="Segoe UI"/>
            <charset val="1"/>
          </rPr>
          <t>Lucie Catalina Cherpin:</t>
        </r>
        <r>
          <rPr>
            <sz val="9"/>
            <color indexed="81"/>
            <rFont val="Segoe UI"/>
            <charset val="1"/>
          </rPr>
          <t xml:space="preserve">
IVC 2 carries 50% in total, split evenly over the four HEFA/SAF feedstock rows (12.5% each).</t>
        </r>
      </text>
    </comment>
    <comment ref="I23" authorId="0" shapeId="0" xr:uid="{4A1AC467-C838-4D3C-9B82-9A25E9E89A9A}">
      <text>
        <r>
          <rPr>
            <b/>
            <sz val="9"/>
            <color indexed="81"/>
            <rFont val="Segoe UI"/>
            <charset val="1"/>
          </rPr>
          <t>Lucie Catalina Cherpin:</t>
        </r>
        <r>
          <rPr>
            <sz val="9"/>
            <color indexed="81"/>
            <rFont val="Segoe UI"/>
            <charset val="1"/>
          </rPr>
          <t xml:space="preserve">
IVC 5 ATJ-SPK not part of the requested 50/25/25 split.</t>
        </r>
      </text>
    </comment>
    <comment ref="B35" authorId="0" shapeId="0" xr:uid="{BD1427B3-120B-4B46-82C7-80ACB9CDC071}">
      <text>
        <r>
          <rPr>
            <b/>
            <sz val="9"/>
            <color indexed="81"/>
            <rFont val="Segoe UI"/>
            <charset val="1"/>
          </rPr>
          <t>Lucie Catalina Cherpin:</t>
        </r>
        <r>
          <rPr>
            <sz val="9"/>
            <color indexed="81"/>
            <rFont val="Segoe UI"/>
            <charset val="1"/>
          </rPr>
          <t xml:space="preserve">
The 2023 sheet reports no import volumes for advanced biofuels (rows 27-28 flagged 'check still').</t>
        </r>
      </text>
    </comment>
    <comment ref="E35" authorId="0" shapeId="0" xr:uid="{16028165-6D9B-493C-94C2-13C518155D58}">
      <text>
        <r>
          <rPr>
            <b/>
            <sz val="9"/>
            <color indexed="81"/>
            <rFont val="Segoe UI"/>
            <charset val="1"/>
          </rPr>
          <t>Lucie Catalina Cherpin:</t>
        </r>
        <r>
          <rPr>
            <sz val="9"/>
            <color indexed="81"/>
            <rFont val="Segoe UI"/>
            <charset val="1"/>
          </rPr>
          <t xml:space="preserve">
'2030 Sc 3' states imports are NONE - the sheet only quantifies exports.</t>
        </r>
      </text>
    </comment>
    <comment ref="B40" authorId="0" shapeId="0" xr:uid="{F6E536FE-F763-4311-9029-903BE27103A5}">
      <text>
        <r>
          <rPr>
            <b/>
            <sz val="9"/>
            <color indexed="81"/>
            <rFont val="Segoe UI"/>
            <charset val="1"/>
          </rPr>
          <t>Eurostat biodiesel imports 2023 in tonnes ('2023'!F40) converted to toe with the IVC 1 conversion factor ('2023'!C17), then to Mtoe. ETBE imports ('2023'!F42) excluded - the source sheet flags them as unclear.</t>
        </r>
      </text>
    </comment>
    <comment ref="B41" authorId="0" shapeId="0" xr:uid="{0CEFD258-37CA-4506-AEF6-8E6B3DB1400F}">
      <text>
        <r>
          <rPr>
            <b/>
            <sz val="9"/>
            <color indexed="81"/>
            <rFont val="Segoe UI"/>
            <charset val="1"/>
          </rPr>
          <t>Eurostat biogasoline imports 2023 in tonnes ('2023'!F41) converted to toe with the IVC 5 conversion factor ('2023'!C20), then to Mtoe.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tc={160D5F2E-CB72-4A0F-AF7E-CF51D60A5359}</author>
  </authors>
  <commentList>
    <comment ref="C2" authorId="0" shapeId="0" xr:uid="{160D5F2E-CB72-4A0F-AF7E-CF51D60A535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am taking an average of the individual conversion factors in my „providing sectors“ excel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tc={77E7AAD7-55BB-4686-A0EA-4EC51FC84C22}</author>
  </authors>
  <commentList>
    <comment ref="D3" authorId="0" shapeId="0" xr:uid="{77E7AAD7-55BB-4686-A0EA-4EC51FC84C22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am taking an average of the individual conversion factors in my „providing sectors“ excel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tc={1C93647F-9A9A-4CB8-98F8-A571E6164214}</author>
    <author>tc={E7BEC90A-76DE-4A8C-B1E5-7DE0D08C7F7D}</author>
  </authors>
  <commentList>
    <comment ref="A1" authorId="0" shapeId="0" xr:uid="{1C93647F-9A9A-4CB8-98F8-A571E616421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i.e. limiting doemsticn CONSUMPTION to FF55_RED demand</t>
      </text>
    </comment>
    <comment ref="C15" authorId="1" shapeId="0" xr:uid="{E7BEC90A-76DE-4A8C-B1E5-7DE0D08C7F7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am taking an average of the individual conversion factors in my „providing sectors“ excel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tc={C35F0768-884D-4C5C-843B-A2F1F5D70710}</author>
  </authors>
  <commentList>
    <comment ref="C2" authorId="0" shapeId="0" xr:uid="{C35F0768-884D-4C5C-843B-A2F1F5D7071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am taking an average of the individual conversion factors in my „providing sectors“ excel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tc={37D9A7F8-AB18-4FE8-BEE3-A8619BC966D1}</author>
  </authors>
  <commentList>
    <comment ref="C2" authorId="0" shapeId="0" xr:uid="{37D9A7F8-AB18-4FE8-BEE3-A8619BC966D1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am taking an average of the individual conversion factors in my „providing sectors“ excel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tc={C4FA0862-42B9-4004-B123-09CA8E9BE205}</author>
    <author>tc={C4E93B30-28A2-427A-891B-63C74CDFE41A}</author>
  </authors>
  <commentList>
    <comment ref="D2" authorId="0" shapeId="0" xr:uid="{C4FA0862-42B9-4004-B123-09CA8E9BE205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am taking an average of the individual conversion factors in my „providing sectors“ excel
</t>
      </text>
    </comment>
    <comment ref="A13" authorId="1" shapeId="0" xr:uid="{C4E93B30-28A2-427A-891B-63C74CDFE4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i.e. limiting doemsticn CONSUMPTION to FF55_RED demand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tc={BF8F9BE6-708D-4B83-B709-73B3930DF4FA}</author>
    <author>tc={58055941-AEE8-4318-BF3D-167220ECDAD7}</author>
  </authors>
  <commentList>
    <comment ref="D2" authorId="0" shapeId="0" xr:uid="{BF8F9BE6-708D-4B83-B709-73B3930DF4FA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am taking an average of the individual conversion factors in my „providing sectors“ excel
</t>
      </text>
    </comment>
    <comment ref="A14" authorId="1" shapeId="0" xr:uid="{58055941-AEE8-4318-BF3D-167220ECDAD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i.e. limiting doemsticn CONSUMPTION to FF55_RED demand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tc={09F2E2DA-1DC9-49B5-A185-E614245D0CB5}</author>
    <author>tc={9B642336-F950-407D-993D-45A74BD558E4}</author>
  </authors>
  <commentList>
    <comment ref="D2" authorId="0" shapeId="0" xr:uid="{09F2E2DA-1DC9-49B5-A185-E614245D0CB5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am taking an average of the individual conversion factors in my „providing sectors“ excel
</t>
      </text>
    </comment>
    <comment ref="A18" authorId="1" shapeId="0" xr:uid="{9B642336-F950-407D-993D-45A74BD558E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i.e. limiting doemsticn CONSUMPTION to FF55_RED demand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<sst xmlns="http://schemas.openxmlformats.org/spreadsheetml/2006/main" count="579" uniqueCount="249">
  <si>
    <t>ADVANCED biofuels</t>
  </si>
  <si>
    <t>Produced 2023 [Mtoe]</t>
  </si>
  <si>
    <t>Conversion factor [t/toe]</t>
  </si>
  <si>
    <t>Produced 2023 [t]</t>
  </si>
  <si>
    <t>Market prices 2025 (averaged over 24 months) [€/t]</t>
  </si>
  <si>
    <t>Market value of amount produced [€]</t>
  </si>
  <si>
    <t xml:space="preserve">Biodiesel </t>
  </si>
  <si>
    <t>of which IVC 1</t>
  </si>
  <si>
    <t>of which  IVC 2</t>
  </si>
  <si>
    <t>of which IVC 13a</t>
  </si>
  <si>
    <t>Biogasoline (ethanol)</t>
  </si>
  <si>
    <t>TOTAL</t>
  </si>
  <si>
    <t xml:space="preserve">CONVENTIONAL biofuels </t>
  </si>
  <si>
    <t xml:space="preserve">Conversion factor </t>
  </si>
  <si>
    <t>Produced 2023  [t]</t>
  </si>
  <si>
    <t>Market price [€/t]</t>
  </si>
  <si>
    <t xml:space="preserve">Biodiesel (including Annex IX Part B feedstocks) </t>
  </si>
  <si>
    <t xml:space="preserve">Biogasoline (ethanol) </t>
  </si>
  <si>
    <t>Biogas</t>
  </si>
  <si>
    <t>none (everything is advanced)</t>
  </si>
  <si>
    <t>Total</t>
  </si>
  <si>
    <t>ALL biofuels together</t>
  </si>
  <si>
    <t>of which IVC 5</t>
  </si>
  <si>
    <t>Biogas - available to the transport sector</t>
  </si>
  <si>
    <t>of which IVC 7</t>
  </si>
  <si>
    <t>of which IVC 2</t>
  </si>
  <si>
    <t>Produced 2023 [Mtot]</t>
  </si>
  <si>
    <t>In Million Eur</t>
  </si>
  <si>
    <t>Share per IVC</t>
  </si>
  <si>
    <t>EU production</t>
  </si>
  <si>
    <t>Biodiesel</t>
  </si>
  <si>
    <t>Biogasoline</t>
  </si>
  <si>
    <t>Imported 2023 [Million litres]</t>
  </si>
  <si>
    <t>Imported 2023  [t]</t>
  </si>
  <si>
    <t>Bio-kerosene</t>
  </si>
  <si>
    <t>Bio-HFO</t>
  </si>
  <si>
    <t>Exports of finished fuels from the EU</t>
  </si>
  <si>
    <t>Exports 2023 [Million litres]</t>
  </si>
  <si>
    <t>Product price [USD/ 1000 litres]</t>
  </si>
  <si>
    <t>Market value of amount imported [€]</t>
  </si>
  <si>
    <t>EUR/USD</t>
  </si>
  <si>
    <t>Market value of amount imported [USD</t>
  </si>
  <si>
    <t>ETBE</t>
  </si>
  <si>
    <t>Based on GAIN report</t>
  </si>
  <si>
    <t>Based on Eurostat</t>
  </si>
  <si>
    <t>not sure how to treat this</t>
  </si>
  <si>
    <t>not sure whether this is only bio or also fossil-derived</t>
  </si>
  <si>
    <t>Receiving sector</t>
  </si>
  <si>
    <t>check still</t>
  </si>
  <si>
    <t>Road</t>
  </si>
  <si>
    <t>Aviation</t>
  </si>
  <si>
    <t>Maritime</t>
  </si>
  <si>
    <t>Sum</t>
  </si>
  <si>
    <t>Share of  how much each transpor  sector receives</t>
  </si>
  <si>
    <t>Translated into monetary values</t>
  </si>
  <si>
    <t>-</t>
  </si>
  <si>
    <t>IMPORTS of finished fuels to the EU</t>
  </si>
  <si>
    <t>Imported 2023 [1000l]</t>
  </si>
  <si>
    <t>also in line with CETO report</t>
  </si>
  <si>
    <t>Imported 2030 [Mtoe]</t>
  </si>
  <si>
    <t>Imported 2030 [t]</t>
  </si>
  <si>
    <t>Trade price</t>
  </si>
  <si>
    <t>CONVENTIONAL biofuels</t>
  </si>
  <si>
    <t>Imported 2035 [Mtoe]</t>
  </si>
  <si>
    <t>Imported 2035 [t]</t>
  </si>
  <si>
    <t>Sum Imports Advanced</t>
  </si>
  <si>
    <t>Sum ALL Imports</t>
  </si>
  <si>
    <t>Demand</t>
  </si>
  <si>
    <t>EXPORTS of finished fuels to the EU</t>
  </si>
  <si>
    <t>Gap between production and demand</t>
  </si>
  <si>
    <t>Advanced biodiesel</t>
  </si>
  <si>
    <t>Advanced biogasoline</t>
  </si>
  <si>
    <t>Advanced biogas</t>
  </si>
  <si>
    <t>Advanced bio-kerosene</t>
  </si>
  <si>
    <t>Advanced bio-HFO</t>
  </si>
  <si>
    <t>SUM exports</t>
  </si>
  <si>
    <t>Summe</t>
  </si>
  <si>
    <t>Sum imported advanced</t>
  </si>
  <si>
    <t>note: I added to the providing sector the IVC-speciifc market price, so I should skip columns b-H here and only do the sector allocation for the receiving sectors</t>
  </si>
  <si>
    <t>in Mtoe</t>
  </si>
  <si>
    <t>Conversion factor</t>
  </si>
  <si>
    <t>Exported in tons</t>
  </si>
  <si>
    <t>Market price</t>
  </si>
  <si>
    <t>Market value of exports</t>
  </si>
  <si>
    <t>RFNBOs</t>
  </si>
  <si>
    <t>RFNBO 9b</t>
  </si>
  <si>
    <t>RFNBOs 8c</t>
  </si>
  <si>
    <t>from IVC 8c</t>
  </si>
  <si>
    <t>from IVC  9b</t>
  </si>
  <si>
    <t>IVC8c</t>
  </si>
  <si>
    <t>IVC9b</t>
  </si>
  <si>
    <t>Imported  [Mtoe]</t>
  </si>
  <si>
    <t>Imported [t]</t>
  </si>
  <si>
    <t>from 8c</t>
  </si>
  <si>
    <t>from 9b</t>
  </si>
  <si>
    <t>Imported in  [t]</t>
  </si>
  <si>
    <t>in tons</t>
  </si>
  <si>
    <t>NONE</t>
  </si>
  <si>
    <t xml:space="preserve">RFNBOs </t>
  </si>
  <si>
    <t>IVC No.</t>
  </si>
  <si>
    <t>Resulting Product</t>
  </si>
  <si>
    <t>Sector Destination</t>
  </si>
  <si>
    <t>Recommended EI (final)</t>
  </si>
  <si>
    <t>Feedstock-specific pathway</t>
  </si>
  <si>
    <t>FAME</t>
  </si>
  <si>
    <t>Road-bio</t>
  </si>
  <si>
    <t>UCO / animal fat</t>
  </si>
  <si>
    <t xml:space="preserve">POME </t>
  </si>
  <si>
    <t>HVO</t>
  </si>
  <si>
    <t>POME / tall-oil proxy</t>
  </si>
  <si>
    <t>FPBO + biocrude</t>
  </si>
  <si>
    <t>HEFA / SAF</t>
  </si>
  <si>
    <t>Aviation-bio</t>
  </si>
  <si>
    <t>Oil crops</t>
  </si>
  <si>
    <t>Renewable diesel</t>
  </si>
  <si>
    <t>Advanced ethanol</t>
  </si>
  <si>
    <t>ATJ-SPK</t>
  </si>
  <si>
    <t>Aviation-bio 2040/2050</t>
  </si>
  <si>
    <t>Biomethane</t>
  </si>
  <si>
    <t>Road-bio 2030</t>
  </si>
  <si>
    <t>8a</t>
  </si>
  <si>
    <t>Methanol</t>
  </si>
  <si>
    <t>Maritime-bio</t>
  </si>
  <si>
    <t>8b</t>
  </si>
  <si>
    <t>8c</t>
  </si>
  <si>
    <t>e-Methanol (RFNBO)</t>
  </si>
  <si>
    <t>Maritime-e</t>
  </si>
  <si>
    <t>8d</t>
  </si>
  <si>
    <t>Pathway output</t>
  </si>
  <si>
    <t>Other / multi-sector</t>
  </si>
  <si>
    <t>9a</t>
  </si>
  <si>
    <t>Methane</t>
  </si>
  <si>
    <t>Maritime -bio</t>
  </si>
  <si>
    <t>9b</t>
  </si>
  <si>
    <t>e-Methane (RFNBO)</t>
  </si>
  <si>
    <t>Maritime-e 2040/ 2050</t>
  </si>
  <si>
    <t>11a</t>
  </si>
  <si>
    <t>FT-SPK</t>
  </si>
  <si>
    <t>13a</t>
  </si>
  <si>
    <t>Gasoline+Diesel</t>
  </si>
  <si>
    <t>Road, aviation., maritim</t>
  </si>
  <si>
    <t>13b</t>
  </si>
  <si>
    <t>Bio-heavy fuel oil</t>
  </si>
  <si>
    <t>Maritime-bio 2040/2050</t>
  </si>
  <si>
    <t>transesterification of food/feed crops</t>
  </si>
  <si>
    <t>diesel</t>
  </si>
  <si>
    <t>Food/feed crops</t>
  </si>
  <si>
    <t>hydrotreatment of food/feed crops</t>
  </si>
  <si>
    <t>ethanol fermentation of food/feed crops</t>
  </si>
  <si>
    <t>Gasoline</t>
  </si>
  <si>
    <t>transesterification of cover crops from marginal lands</t>
  </si>
  <si>
    <t>Cover crops from marginal lands</t>
  </si>
  <si>
    <t>hydrotreatment of cover crops from marginal lands (non-aviation part)</t>
  </si>
  <si>
    <t>transesterification of UCO and AF</t>
  </si>
  <si>
    <t>UCO and animal fats</t>
  </si>
  <si>
    <t>hydrotreatment of UCO and AF</t>
  </si>
  <si>
    <t>Emissions attributable to EU imports of finished renewable fuels</t>
  </si>
  <si>
    <t>EI = simple average of all matching IVC rows in Tabelle1 (gCO2eq/MJ)</t>
  </si>
  <si>
    <t>Energy conversion</t>
  </si>
  <si>
    <t>MJ per toe</t>
  </si>
  <si>
    <t>Import category</t>
  </si>
  <si>
    <t>Matched Tabelle1 rows</t>
  </si>
  <si>
    <t>EI [gCO2eq/MJ]</t>
  </si>
  <si>
    <t>Advanced biogasoline (ethanol)</t>
  </si>
  <si>
    <t>Advanced biogas / biomethane</t>
  </si>
  <si>
    <t>IVC 7, 9a (rows 15, 20)</t>
  </si>
  <si>
    <t>Advanced bio-kerosene (HEFA / ATJ / FT-SPK)</t>
  </si>
  <si>
    <t>Conventional biodiesel (food/feed crops)</t>
  </si>
  <si>
    <t>Food/feed transesterif. + hydrotreatment (rows 29-30)</t>
  </si>
  <si>
    <t>Conventional biogasoline (food/feed crops)</t>
  </si>
  <si>
    <t>Ethanol fermentation food/feed (row 31)</t>
  </si>
  <si>
    <t>RFNBO e-methanol (IVC 8c)</t>
  </si>
  <si>
    <t>IVC 8c (row 18)</t>
  </si>
  <si>
    <t>RFNBO e-methane (IVC 9b)</t>
  </si>
  <si>
    <t>IVC 9b (row 21)</t>
  </si>
  <si>
    <t>Tabelle1 ref</t>
  </si>
  <si>
    <t>Pathway</t>
  </si>
  <si>
    <t>EI inputs taken from Tabelle1 column D (displayed values; source formulas are circular)</t>
  </si>
  <si>
    <t>Tabelle1!D2</t>
  </si>
  <si>
    <t>IVC 1 - FAME, UCO / animal fat</t>
  </si>
  <si>
    <t>Tabelle1!D3</t>
  </si>
  <si>
    <t>IVC 1 - FAME, POME</t>
  </si>
  <si>
    <t>Tabelle1!D4</t>
  </si>
  <si>
    <t>IVC 2 - HVO, UCO / animal fat</t>
  </si>
  <si>
    <t>Tabelle1!D5</t>
  </si>
  <si>
    <t>IVC 2 - HVO, POME / tall oil</t>
  </si>
  <si>
    <t>Tabelle1!D6</t>
  </si>
  <si>
    <t>IVC 2 - HVO, FPBO + biocrude</t>
  </si>
  <si>
    <t>Tabelle1!D11</t>
  </si>
  <si>
    <t>Tabelle1!D22</t>
  </si>
  <si>
    <t>Tabelle1!D12</t>
  </si>
  <si>
    <t>IVC 5 - Advanced ethanol</t>
  </si>
  <si>
    <t>Tabelle1!D26</t>
  </si>
  <si>
    <t>IVC 13b - Biogasoline</t>
  </si>
  <si>
    <t>Tabelle1!D15</t>
  </si>
  <si>
    <t>IVC 7 - Biomethane</t>
  </si>
  <si>
    <t>Tabelle1!D20</t>
  </si>
  <si>
    <t>IVC 9a - Methane</t>
  </si>
  <si>
    <t>Tabelle1!D7</t>
  </si>
  <si>
    <t>IVC 2 - HEFA/SAF, oil crops</t>
  </si>
  <si>
    <t>Tabelle1!D8</t>
  </si>
  <si>
    <t>IVC 2 - HEFA/SAF, UCO / animal fat</t>
  </si>
  <si>
    <t>Tabelle1!D9</t>
  </si>
  <si>
    <t>IVC 2 - HEFA/SAF, POME / tall oil</t>
  </si>
  <si>
    <t>Tabelle1!D10</t>
  </si>
  <si>
    <t>IVC 2 - HEFA/SAF, FPBO + biocrude</t>
  </si>
  <si>
    <t>Tabelle1!D13</t>
  </si>
  <si>
    <t>Tabelle1!D14</t>
  </si>
  <si>
    <t>IVC 6 - ATJ-SPK</t>
  </si>
  <si>
    <t>Tabelle1!D23</t>
  </si>
  <si>
    <t>IVC 11a - FT-SPK</t>
  </si>
  <si>
    <t>Tabelle1!D27</t>
  </si>
  <si>
    <t>IVC 13b - Bio-heavy fuel oil</t>
  </si>
  <si>
    <t>Tabelle1!D18</t>
  </si>
  <si>
    <t>IVC 8c - e-Methanol (RFNBO)</t>
  </si>
  <si>
    <t>Tabelle1!D21</t>
  </si>
  <si>
    <t>IVC 9b - e-Methane (RFNBO)</t>
  </si>
  <si>
    <t>Imported volumes [Mtoe]</t>
  </si>
  <si>
    <t>2030 Sc 1</t>
  </si>
  <si>
    <t>2030 Sc 2</t>
  </si>
  <si>
    <t>2030 Sc 3</t>
  </si>
  <si>
    <t>2035 Sc 1</t>
  </si>
  <si>
    <t>2035 Sc 2</t>
  </si>
  <si>
    <t>2035 Sc 3</t>
  </si>
  <si>
    <t>2040 Sc 1</t>
  </si>
  <si>
    <t>2040 Sc 2</t>
  </si>
  <si>
    <t>2040 Sc 3</t>
  </si>
  <si>
    <t>Total imports</t>
  </si>
  <si>
    <t>Emissions attributable to imports [Mt CO2eq]</t>
  </si>
  <si>
    <t>TOTAL emissions from imports</t>
  </si>
  <si>
    <t>Method: Emissions [Mt CO2eq] = imported volume [Mtoe] x EI [gCO2eq/MJ] x 41,868 MJ/toe / 1,000,000. Gross imports only - exports are not netted off.</t>
  </si>
  <si>
    <t>EI per category = simple average of all matching IVC rows in Tabelle1 (see input block F7:H28). Tabelle1!D2:D27 contains circular formulas, so the displayed values were transferred as inputs rather than linked.</t>
  </si>
  <si>
    <t>Tabelle1!D24</t>
  </si>
  <si>
    <t>IVC 12 - Pathway output (road)</t>
  </si>
  <si>
    <t>IVC 5, 12, 13b (rows 12, 24, 26)</t>
  </si>
  <si>
    <t>IVC 1, 2 (rows 2-6)</t>
  </si>
  <si>
    <t>IVC 3 - Renewable diesel (excluded)</t>
  </si>
  <si>
    <t>IVC 11a - Biodiesel (excluded)</t>
  </si>
  <si>
    <t>Advanced biodiesel (FAME / HVO)</t>
  </si>
  <si>
    <t>Weight</t>
  </si>
  <si>
    <t>IVC 2 50% / IVC 6 25% / IVC 11a 25% (weights in I19:I25)</t>
  </si>
  <si>
    <t>IVC 5 - ATJ-SPK (excluded)</t>
  </si>
  <si>
    <t>Weight check (bio-kerosene) = 100%</t>
  </si>
  <si>
    <t>Tabelle1!D16</t>
  </si>
  <si>
    <t>IVC 8a - Methanol</t>
  </si>
  <si>
    <t>Tabelle1!D17</t>
  </si>
  <si>
    <t>IVC 8b - Methanol</t>
  </si>
  <si>
    <t>IVC 8a 45% / IVC 8b 45% / IVC 13b 10% (weights in I26:I28)</t>
  </si>
  <si>
    <t>Weight check (bio-HFO) =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</si>
</sst>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_€_-;\-* #,##0.00\ _€_-;_-* &quot;-&quot;??\ _€_-;_-@_-"/>
    <numFmt numFmtId="165" formatCode="0.000"/>
    <numFmt numFmtId="166" formatCode="_-* #,##0.000_-;\-* #,##0.000_-;_-* &quot;-&quot;??_-;_-@_-"/>
    <numFmt numFmtId="167" formatCode="_-* #,##0.0000_-;\-* #,##0.0000_-;_-* &quot;-&quot;??_-;_-@_-"/>
    <numFmt numFmtId="168" formatCode="_-* #,##0.000_-;\-* #,##0.000_-;_-* &quot;-&quot;???_-;_-@_-"/>
    <numFmt numFmtId="169" formatCode="0.000%"/>
    <numFmt numFmtId="170" formatCode="0.00000"/>
    <numFmt numFmtId="171" formatCode="0.0"/>
    <numFmt numFmtId="172" formatCode="#,##0.00;\(#,##0.00\);\-"/>
    <numFmt numFmtId="173" formatCode="0.0%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4"/>
      <color theme="1"/>
      <name val="Aptos Narrow"/>
      <family val="2"/>
      <scheme val="minor"/>
    </font>
    <font>
      <sz val="11"/>
      <color rgb="FF595959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rgb="FF0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rgb="FFA6A6A6"/>
      <name val="Aptos Narrow"/>
      <family val="2"/>
      <scheme val="minor"/>
    </font>
    <font>
      <i/>
      <sz val="11"/>
      <color rgb="FF595959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2" fillId="0" borderId="0"/>
  </cellStyleXfs>
  <cellXfs count="103">
    <xf numFmtId="0" fontId="0" fillId="0" borderId="0" xfId="0"/>
    <xf numFmtId="43" fontId="6" fillId="0" borderId="0" xfId="0" applyNumberFormat="1" applyFont="1"/>
    <xf numFmtId="0" fontId="0" fillId="2" borderId="0" xfId="0" applyFill="1"/>
    <xf numFmtId="43" fontId="0" fillId="0" borderId="0" xfId="2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/>
    <xf numFmtId="43" fontId="3" fillId="0" borderId="0" xfId="2" applyFont="1"/>
    <xf numFmtId="0" fontId="3" fillId="0" borderId="0" xfId="0" applyFont="1"/>
    <xf numFmtId="43" fontId="0" fillId="0" borderId="0" xfId="0" applyNumberFormat="1"/>
    <xf numFmtId="165" fontId="0" fillId="0" borderId="0" xfId="0" applyNumberFormat="1"/>
    <xf numFmtId="43" fontId="4" fillId="0" borderId="0" xfId="0" applyNumberFormat="1" applyFont="1" applyAlignment="1">
      <alignment horizontal="right"/>
    </xf>
    <xf numFmtId="43" fontId="4" fillId="0" borderId="0" xfId="0" applyNumberFormat="1" applyFont="1"/>
    <xf numFmtId="164" fontId="3" fillId="0" borderId="0" xfId="0" applyNumberFormat="1" applyFont="1"/>
    <xf numFmtId="0" fontId="2" fillId="3" borderId="0" xfId="0" applyFont="1" applyFill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43" fontId="6" fillId="0" borderId="0" xfId="2" applyFont="1"/>
    <xf numFmtId="43" fontId="5" fillId="0" borderId="0" xfId="2" applyFont="1"/>
    <xf numFmtId="165" fontId="6" fillId="0" borderId="0" xfId="0" applyNumberFormat="1" applyFont="1"/>
    <xf numFmtId="43" fontId="6" fillId="0" borderId="0" xfId="0" applyNumberFormat="1" applyFont="1" applyAlignment="1">
      <alignment horizontal="right"/>
    </xf>
    <xf numFmtId="164" fontId="6" fillId="0" borderId="0" xfId="0" applyNumberFormat="1" applyFont="1"/>
    <xf numFmtId="43" fontId="0" fillId="0" borderId="0" xfId="1" applyFont="1" applyFill="1"/>
    <xf numFmtId="0" fontId="0" fillId="4" borderId="0" xfId="0" applyFill="1"/>
    <xf numFmtId="0" fontId="3" fillId="4" borderId="0" xfId="0" applyFont="1" applyFill="1"/>
    <xf numFmtId="43" fontId="0" fillId="0" borderId="0" xfId="1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8" fillId="0" borderId="0" xfId="0" applyFont="1"/>
    <xf numFmtId="0" fontId="0" fillId="5" borderId="0" xfId="0" applyFill="1"/>
    <xf numFmtId="0" fontId="4" fillId="5" borderId="0" xfId="0" applyFont="1" applyFill="1"/>
    <xf numFmtId="166" fontId="0" fillId="0" borderId="0" xfId="2" applyNumberFormat="1" applyFont="1"/>
    <xf numFmtId="166" fontId="0" fillId="0" borderId="0" xfId="0" applyNumberFormat="1"/>
    <xf numFmtId="9" fontId="6" fillId="0" borderId="0" xfId="0" applyNumberFormat="1" applyFont="1"/>
    <xf numFmtId="167" fontId="6" fillId="0" borderId="0" xfId="2" applyNumberFormat="1" applyFont="1"/>
    <xf numFmtId="167" fontId="6" fillId="0" borderId="0" xfId="0" applyNumberFormat="1" applyFont="1" applyAlignment="1">
      <alignment horizontal="right"/>
    </xf>
    <xf numFmtId="0" fontId="2" fillId="6" borderId="0" xfId="0" applyFont="1" applyFill="1"/>
    <xf numFmtId="164" fontId="0" fillId="6" borderId="0" xfId="0" applyNumberFormat="1" applyFill="1"/>
    <xf numFmtId="0" fontId="0" fillId="6" borderId="0" xfId="0" applyFill="1"/>
    <xf numFmtId="0" fontId="3" fillId="6" borderId="0" xfId="0" applyFont="1" applyFill="1"/>
    <xf numFmtId="0" fontId="8" fillId="6" borderId="0" xfId="0" applyFont="1" applyFill="1"/>
    <xf numFmtId="0" fontId="2" fillId="7" borderId="0" xfId="0" applyFont="1" applyFill="1"/>
    <xf numFmtId="10" fontId="6" fillId="0" borderId="0" xfId="0" applyNumberFormat="1" applyFont="1"/>
    <xf numFmtId="170" fontId="0" fillId="0" borderId="0" xfId="0" applyNumberFormat="1"/>
    <xf numFmtId="43" fontId="2" fillId="0" borderId="0" xfId="0" applyNumberFormat="1" applyFont="1"/>
    <xf numFmtId="2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2" fontId="0" fillId="0" borderId="0" xfId="0" applyNumberFormat="1"/>
    <xf numFmtId="2" fontId="2" fillId="0" borderId="0" xfId="0" applyNumberFormat="1" applyFont="1"/>
    <xf numFmtId="43" fontId="4" fillId="8" borderId="0" xfId="2" applyFont="1" applyFill="1"/>
    <xf numFmtId="43" fontId="4" fillId="0" borderId="0" xfId="2" applyFont="1"/>
    <xf numFmtId="0" fontId="0" fillId="9" borderId="0" xfId="0" applyFill="1"/>
    <xf numFmtId="165" fontId="2" fillId="0" borderId="0" xfId="0" applyNumberFormat="1" applyFont="1"/>
    <xf numFmtId="43" fontId="1" fillId="0" borderId="0" xfId="2" applyFont="1"/>
    <xf numFmtId="43" fontId="1" fillId="10" borderId="0" xfId="1" applyFont="1" applyFill="1"/>
    <xf numFmtId="9" fontId="0" fillId="0" borderId="0" xfId="3" applyFont="1" applyFill="1"/>
    <xf numFmtId="0" fontId="4" fillId="0" borderId="0" xfId="0" applyFont="1"/>
    <xf numFmtId="169" fontId="6" fillId="0" borderId="0" xfId="0" applyNumberFormat="1" applyFont="1"/>
    <xf numFmtId="168" fontId="6" fillId="0" borderId="0" xfId="0" applyNumberFormat="1" applyFont="1"/>
    <xf numFmtId="10" fontId="0" fillId="0" borderId="0" xfId="0" applyNumberFormat="1"/>
    <xf numFmtId="168" fontId="4" fillId="0" borderId="0" xfId="0" applyNumberFormat="1" applyFont="1"/>
    <xf numFmtId="9" fontId="0" fillId="0" borderId="0" xfId="0" applyNumberFormat="1"/>
    <xf numFmtId="43" fontId="3" fillId="0" borderId="0" xfId="2" applyFont="1" applyFill="1"/>
    <xf numFmtId="0" fontId="0" fillId="11" borderId="0" xfId="0" applyFill="1"/>
    <xf numFmtId="0" fontId="3" fillId="11" borderId="0" xfId="0" applyFont="1" applyFill="1"/>
    <xf numFmtId="43" fontId="1" fillId="0" borderId="0" xfId="1" applyFont="1" applyFill="1"/>
    <xf numFmtId="0" fontId="8" fillId="7" borderId="0" xfId="0" applyFont="1" applyFill="1"/>
    <xf numFmtId="43" fontId="2" fillId="0" borderId="0" xfId="1" applyFont="1"/>
    <xf numFmtId="43" fontId="3" fillId="4" borderId="0" xfId="1" applyFont="1" applyFill="1"/>
    <xf numFmtId="43" fontId="0" fillId="2" borderId="0" xfId="1" applyFont="1" applyFill="1"/>
    <xf numFmtId="0" fontId="11" fillId="12" borderId="0" xfId="0" applyFont="1" applyFill="1" applyAlignment="1">
      <alignment wrapText="1"/>
    </xf>
    <xf numFmtId="0" fontId="12" fillId="0" borderId="0" xfId="0" applyFont="1" applyAlignment="1">
      <alignment horizontal="right"/>
    </xf>
    <xf numFmtId="0" fontId="12" fillId="0" borderId="0" xfId="0" applyFont="1"/>
    <xf numFmtId="171" fontId="13" fillId="0" borderId="1" xfId="0" applyNumberFormat="1" applyFont="1" applyBorder="1"/>
    <xf numFmtId="0" fontId="12" fillId="0" borderId="0" xfId="0" applyFont="1" applyAlignment="1">
      <alignment wrapText="1"/>
    </xf>
    <xf numFmtId="0" fontId="4" fillId="0" borderId="2" xfId="4" applyFont="1" applyBorder="1" applyAlignment="1">
      <alignment horizontal="left" vertical="center"/>
    </xf>
    <xf numFmtId="0" fontId="14" fillId="0" borderId="0" xfId="5" applyFont="1" applyAlignment="1">
      <alignment vertical="center" wrapText="1"/>
    </xf>
    <xf numFmtId="0" fontId="15" fillId="0" borderId="0" xfId="5" applyFont="1" applyAlignment="1">
      <alignment horizontal="left" vertical="center"/>
    </xf>
    <xf numFmtId="171" fontId="15" fillId="0" borderId="0" xfId="5" applyNumberFormat="1" applyFont="1" applyAlignment="1">
      <alignment horizontal="right" vertical="center" wrapText="1"/>
    </xf>
    <xf numFmtId="0" fontId="14" fillId="0" borderId="0" xfId="5" applyFont="1" applyAlignment="1">
      <alignment horizontal="left" vertical="center"/>
    </xf>
    <xf numFmtId="171" fontId="14" fillId="0" borderId="0" xfId="5" applyNumberFormat="1" applyFont="1" applyAlignment="1">
      <alignment horizontal="right" vertical="center" wrapText="1"/>
    </xf>
    <xf numFmtId="0" fontId="4" fillId="0" borderId="3" xfId="4" applyFont="1" applyBorder="1" applyAlignment="1">
      <alignment horizontal="left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3" fontId="19" fillId="0" borderId="0" xfId="0" applyNumberFormat="1" applyFont="1"/>
    <xf numFmtId="0" fontId="11" fillId="12" borderId="0" xfId="0" applyFont="1" applyFill="1"/>
    <xf numFmtId="0" fontId="11" fillId="12" borderId="0" xfId="0" applyFont="1" applyFill="1" applyAlignment="1">
      <alignment horizontal="center"/>
    </xf>
    <xf numFmtId="171" fontId="22" fillId="0" borderId="0" xfId="0" applyNumberFormat="1" applyFont="1"/>
    <xf numFmtId="171" fontId="23" fillId="0" borderId="0" xfId="0" applyNumberFormat="1" applyFont="1"/>
    <xf numFmtId="0" fontId="24" fillId="0" borderId="0" xfId="0" applyFont="1"/>
    <xf numFmtId="49" fontId="11" fillId="12" borderId="0" xfId="0" applyNumberFormat="1" applyFont="1" applyFill="1" applyAlignment="1">
      <alignment horizontal="center"/>
    </xf>
    <xf numFmtId="172" fontId="0" fillId="0" borderId="0" xfId="0" applyNumberFormat="1"/>
    <xf numFmtId="0" fontId="2" fillId="0" borderId="4" xfId="0" applyFont="1" applyBorder="1"/>
    <xf numFmtId="172" fontId="2" fillId="0" borderId="4" xfId="0" applyNumberFormat="1" applyFont="1" applyBorder="1"/>
    <xf numFmtId="0" fontId="2" fillId="13" borderId="4" xfId="0" applyFont="1" applyFill="1" applyBorder="1"/>
    <xf numFmtId="172" fontId="2" fillId="13" borderId="4" xfId="0" applyNumberFormat="1" applyFont="1" applyFill="1" applyBorder="1"/>
    <xf numFmtId="0" fontId="25" fillId="0" borderId="0" xfId="0" applyFont="1"/>
    <xf numFmtId="173" fontId="19" fillId="0" borderId="0" xfId="0" applyNumberFormat="1" applyFont="1"/>
    <xf numFmtId="173" fontId="2" fillId="0" borderId="0" xfId="0" applyNumberFormat="1" applyFont="1"/>
    <xf numFmtId="0" fontId="26" fillId="0" borderId="0" xfId="0" applyFont="1"/>
  </cellXfs>
  <cellStyles count="6">
    <cellStyle name="Komma" xfId="1" builtinId="3"/>
    <cellStyle name="Komma 2" xfId="2" xr:uid="{06700D90-136B-4680-AF6C-9C11D0B10FA9}"/>
    <cellStyle name="Prozent" xfId="3" builtinId="5"/>
    <cellStyle name="Standard" xfId="0" builtinId="0"/>
    <cellStyle name="Standard 2" xfId="4" xr:uid="{09EFD924-782D-4BAB-8182-D3C7F75A1521}"/>
    <cellStyle name="Standard 3" xfId="5" xr:uid="{B9971E27-8CA8-40C4-9EA4-3F8EA99081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estresearcheu-my.sharepoint.com/personal/cherpinl_best-research_eu/Documents/Scenarios%202040.xlsx" TargetMode="External"/><Relationship Id="rId1" Type="http://schemas.openxmlformats.org/officeDocument/2006/relationships/externalLinkPath" Target="https://bestresearcheu-my.sharepoint.com/personal/cherpinl_best-research_eu/Documents/Scenarios%20204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kte\Standort%20WB\N-31-535-0-ETIP-B_2026-2028\Daten\WP3%20Sector%20Monitoring%20and%20Analysis\Task%203.2%20Assessment%20of%20building%20capacity\Providing%20sectors.xlsx" TargetMode="External"/><Relationship Id="rId1" Type="http://schemas.openxmlformats.org/officeDocument/2006/relationships/externalLinkPath" Target="Providing%20sector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kte\Standort%20WB\N-31-535-0-ETIP-B_2026-2028\Daten\WP3%20Sector%20Monitoring%20and%20Analysis\Task%203.2%20Assessment%20of%20building%20capacity\Scenario%201%20-%20Lucie.xlsx" TargetMode="External"/><Relationship Id="rId1" Type="http://schemas.openxmlformats.org/officeDocument/2006/relationships/externalLinkPath" Target="Scenario%201%20-%20Luci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kte\Standort%20WB\N-31-535-0-ETIP-B_2026-2028\Daten\WP3%20Sector%20Monitoring%20and%20Analysis\Task%203.2%20Assessment%20of%20building%20capacity\MAIN%20working%20sheet%20Lucie.xlsx" TargetMode="External"/><Relationship Id="rId1" Type="http://schemas.openxmlformats.org/officeDocument/2006/relationships/externalLinkPath" Target="MAIN%20working%20sheet%20Luc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enario 3 2030"/>
      <sheetName val="Scenario 3 2035"/>
      <sheetName val="Scenaior 3 2040"/>
    </sheetNames>
    <sheetDataSet>
      <sheetData sheetId="0">
        <row r="4">
          <cell r="I4">
            <v>0.98610230646027475</v>
          </cell>
        </row>
        <row r="8">
          <cell r="I8">
            <v>30.513235262318396</v>
          </cell>
        </row>
        <row r="14">
          <cell r="I14">
            <v>24.295002958833294</v>
          </cell>
        </row>
        <row r="17">
          <cell r="G17">
            <v>6.5401862004042322</v>
          </cell>
        </row>
        <row r="20">
          <cell r="I20">
            <v>22.789276105954944</v>
          </cell>
        </row>
        <row r="26">
          <cell r="G26">
            <v>5.1463700607311189</v>
          </cell>
        </row>
        <row r="28">
          <cell r="I28">
            <v>7.0505843827259946</v>
          </cell>
        </row>
      </sheetData>
      <sheetData sheetId="1">
        <row r="7">
          <cell r="M7">
            <v>35.084060769412567</v>
          </cell>
        </row>
        <row r="12">
          <cell r="M12">
            <v>24.668073952083677</v>
          </cell>
        </row>
        <row r="16">
          <cell r="M16">
            <v>21.162482497882124</v>
          </cell>
        </row>
        <row r="26">
          <cell r="M26">
            <v>6.6375864672318556</v>
          </cell>
        </row>
        <row r="36">
          <cell r="K36">
            <v>1.4001922985787272</v>
          </cell>
        </row>
        <row r="37">
          <cell r="K37">
            <v>1.0886662223047394</v>
          </cell>
        </row>
        <row r="38">
          <cell r="N38">
            <v>1.5341825287344655</v>
          </cell>
        </row>
      </sheetData>
      <sheetData sheetId="2">
        <row r="7">
          <cell r="I7">
            <v>38.324085012365188</v>
          </cell>
        </row>
        <row r="12">
          <cell r="I12">
            <v>24.727863036619077</v>
          </cell>
        </row>
        <row r="15">
          <cell r="K15">
            <v>4.8960079259334552</v>
          </cell>
        </row>
        <row r="18">
          <cell r="I18">
            <v>19.119384024938469</v>
          </cell>
        </row>
        <row r="27">
          <cell r="I27">
            <v>0.10423294090562552</v>
          </cell>
        </row>
        <row r="30">
          <cell r="I30">
            <v>5.1093754749248079</v>
          </cell>
        </row>
        <row r="36">
          <cell r="I36">
            <v>0.38083169679707085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 per feedstock &amp; per IVC"/>
      <sheetName val="LCoP CONVENTIONAL"/>
      <sheetName val="2023 costs"/>
      <sheetName val="2030 costs Sc 1"/>
      <sheetName val="Tabelle1"/>
      <sheetName val="2030 costs Sc 2"/>
      <sheetName val="2030 costs Sc 3"/>
      <sheetName val="Feedstock MIX per IVC"/>
      <sheetName val="2035 costs Sc 1"/>
      <sheetName val="2035 costs Sc 2"/>
      <sheetName val="2035 costs Sc 3"/>
      <sheetName val="2040 Sc 1"/>
      <sheetName val="2040 Sc 2"/>
      <sheetName val="2040 costs Sc 3"/>
      <sheetName val="LCoP 2030 MEDIUM"/>
      <sheetName val="LCoP 2040 high"/>
      <sheetName val="LCoP 2030 HIGH"/>
      <sheetName val="LCoP 2040 medium-high"/>
      <sheetName val="LCoP 2050 high"/>
      <sheetName val="Feedtstocks only CONVENTIONAL"/>
      <sheetName val="CAPEX only"/>
      <sheetName val="OPEX only"/>
      <sheetName val="2030 S1 Feedstock Shares"/>
      <sheetName val="2030 S2 Feedstock Shares"/>
      <sheetName val="2030 S3 Feedstock Shares"/>
      <sheetName val="2035 S1 Feedstock Shares"/>
      <sheetName val="2035 S2 Feedstock Shares"/>
      <sheetName val="2035 S3 Feedstock Shares"/>
      <sheetName val="2040 S1 Feedstock Shares"/>
      <sheetName val="2040 S2 Feedstock Shares"/>
      <sheetName val="2040 S3 Feedstock Shares"/>
      <sheetName val="2023 Feedstock Shares"/>
      <sheetName val="S1 IVC Composition"/>
      <sheetName val="S2 IVC Composition"/>
      <sheetName val="S3 IVC Composition"/>
      <sheetName val="Emission intensities"/>
      <sheetName val="Weighetd emission intensities"/>
      <sheetName val="Emissions Summary"/>
      <sheetName val="IVC Production Overview"/>
    </sheetNames>
    <sheetDataSet>
      <sheetData sheetId="0"/>
      <sheetData sheetId="1"/>
      <sheetData sheetId="2"/>
      <sheetData sheetId="3">
        <row r="9">
          <cell r="E9">
            <v>1.1315675675675676</v>
          </cell>
        </row>
        <row r="16">
          <cell r="E16">
            <v>0.95154545454545458</v>
          </cell>
        </row>
        <row r="23">
          <cell r="E23">
            <v>1</v>
          </cell>
        </row>
      </sheetData>
      <sheetData sheetId="4"/>
      <sheetData sheetId="5"/>
      <sheetData sheetId="6">
        <row r="202">
          <cell r="E202">
            <v>2.0934000000000004</v>
          </cell>
        </row>
        <row r="209">
          <cell r="E209">
            <v>0.83669064748201449</v>
          </cell>
        </row>
      </sheetData>
      <sheetData sheetId="7"/>
      <sheetData sheetId="8">
        <row r="43">
          <cell r="E43">
            <v>1.5506666666666669</v>
          </cell>
        </row>
        <row r="57">
          <cell r="E57">
            <v>1</v>
          </cell>
        </row>
        <row r="85">
          <cell r="E85">
            <v>0.83669064748201449</v>
          </cell>
        </row>
        <row r="119">
          <cell r="E119">
            <v>0.97367441860465131</v>
          </cell>
        </row>
        <row r="126">
          <cell r="E126">
            <v>0.97367441860465131</v>
          </cell>
        </row>
        <row r="138">
          <cell r="E138">
            <v>1</v>
          </cell>
        </row>
        <row r="152">
          <cell r="E152">
            <v>2.0934000000000004</v>
          </cell>
        </row>
        <row r="163">
          <cell r="E163">
            <v>2.0934000000000004</v>
          </cell>
        </row>
        <row r="203">
          <cell r="E203">
            <v>1.1315675675675676</v>
          </cell>
        </row>
        <row r="211">
          <cell r="E211">
            <v>0.95154545454545458</v>
          </cell>
        </row>
        <row r="218">
          <cell r="E218">
            <v>1.1315675675675676</v>
          </cell>
        </row>
        <row r="226">
          <cell r="E226">
            <v>0.95154545454545458</v>
          </cell>
        </row>
      </sheetData>
      <sheetData sheetId="9"/>
      <sheetData sheetId="10"/>
      <sheetData sheetId="11">
        <row r="164">
          <cell r="E164">
            <v>2.0934000000000004</v>
          </cell>
        </row>
        <row r="171">
          <cell r="E171">
            <v>0.83669064748201449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mands SUMMARY trasnport sect"/>
      <sheetName val="GAP analysis Sc. 1"/>
      <sheetName val="GAP analysis Sc. 2"/>
      <sheetName val="GAP analysis Sc. 3"/>
      <sheetName val="DEMAND in FF55_RED"/>
      <sheetName val="Production 2030"/>
      <sheetName val="cmc-5_matching IVCs"/>
      <sheetName val="cmc-4_calculated sums"/>
      <sheetName val="cmc-3_conventional-capped"/>
      <sheetName val="cmc-2_cover crops"/>
      <sheetName val="cmc-1_biomethane"/>
      <sheetName val="current market conditions-0"/>
      <sheetName val="changes made"/>
      <sheetName val="Demand Split Bio+RFNBO"/>
    </sheetNames>
    <sheetDataSet>
      <sheetData sheetId="0"/>
      <sheetData sheetId="1">
        <row r="3">
          <cell r="D3">
            <v>1.07926626540556</v>
          </cell>
          <cell r="F3">
            <v>6.1209515620521598E-2</v>
          </cell>
          <cell r="G3">
            <v>1.1404757810260817</v>
          </cell>
        </row>
        <row r="4">
          <cell r="D4">
            <v>0.13388745581350911</v>
          </cell>
          <cell r="G4">
            <v>0.13661985287092765</v>
          </cell>
        </row>
        <row r="6">
          <cell r="D6">
            <v>6.4488392089424001E-2</v>
          </cell>
        </row>
        <row r="7">
          <cell r="D7">
            <v>6.4488392089424001E-2</v>
          </cell>
        </row>
        <row r="9">
          <cell r="D9">
            <v>0.32000000000000006</v>
          </cell>
          <cell r="G9">
            <v>0.32000000000000006</v>
          </cell>
        </row>
        <row r="16">
          <cell r="D16">
            <v>1.2181140728002294E-2</v>
          </cell>
          <cell r="E16">
            <v>1.4211330849336007E-2</v>
          </cell>
          <cell r="F16">
            <v>1.4211330849336007E-2</v>
          </cell>
        </row>
        <row r="18">
          <cell r="D18">
            <v>4.5034871500907609</v>
          </cell>
          <cell r="F18">
            <v>9.1907901022260402E-2</v>
          </cell>
          <cell r="G18">
            <v>4.5953950511130213</v>
          </cell>
        </row>
        <row r="19">
          <cell r="D19">
            <v>5.2546097258049107</v>
          </cell>
          <cell r="G19">
            <v>5.2546097258049107</v>
          </cell>
        </row>
        <row r="20">
          <cell r="D20">
            <v>3.1599312123817707</v>
          </cell>
          <cell r="G20">
            <v>3.1599312123817707</v>
          </cell>
        </row>
        <row r="23">
          <cell r="D23">
            <v>3.0311932740995506</v>
          </cell>
          <cell r="F23">
            <v>6.1861087226521443E-2</v>
          </cell>
          <cell r="G23">
            <v>3.0930543613260721</v>
          </cell>
        </row>
        <row r="36">
          <cell r="I36">
            <v>7.9193948276371806</v>
          </cell>
        </row>
        <row r="37">
          <cell r="I37">
            <v>0.72414109813774985</v>
          </cell>
        </row>
        <row r="39">
          <cell r="G39">
            <v>3.6551267391184932</v>
          </cell>
        </row>
        <row r="48">
          <cell r="G48">
            <v>0.98976830034809804</v>
          </cell>
        </row>
        <row r="59">
          <cell r="G59">
            <v>0.79777400568398904</v>
          </cell>
        </row>
        <row r="66">
          <cell r="G66">
            <v>0.3366156912552698</v>
          </cell>
        </row>
        <row r="73">
          <cell r="G73">
            <v>11.471012896745457</v>
          </cell>
        </row>
        <row r="77">
          <cell r="G77">
            <v>2.0844602638658398</v>
          </cell>
        </row>
        <row r="86">
          <cell r="G86">
            <v>0.3642970133125143</v>
          </cell>
        </row>
        <row r="95">
          <cell r="G95">
            <v>3.5163409111268522</v>
          </cell>
        </row>
        <row r="105">
          <cell r="E105">
            <v>10.008769356212662</v>
          </cell>
        </row>
        <row r="106">
          <cell r="E106">
            <v>1.6642575151214731</v>
          </cell>
        </row>
        <row r="107">
          <cell r="E107">
            <v>1.9757835913954609</v>
          </cell>
        </row>
        <row r="112">
          <cell r="G112">
            <v>11.167025994370341</v>
          </cell>
        </row>
        <row r="116">
          <cell r="G116">
            <v>0.74936263987612817</v>
          </cell>
        </row>
        <row r="125">
          <cell r="G125">
            <v>5.6543290955606231</v>
          </cell>
        </row>
        <row r="134">
          <cell r="G134">
            <v>4.7218354012351735</v>
          </cell>
        </row>
        <row r="145">
          <cell r="G145">
            <v>14.968379689230348</v>
          </cell>
        </row>
        <row r="146">
          <cell r="G146">
            <v>3.5177473399771495</v>
          </cell>
        </row>
        <row r="147">
          <cell r="G147">
            <v>3.2411485840857037</v>
          </cell>
        </row>
      </sheetData>
      <sheetData sheetId="2">
        <row r="37">
          <cell r="G37">
            <v>6.2189820603247821</v>
          </cell>
        </row>
        <row r="97">
          <cell r="G97">
            <v>1.5341825287344655</v>
          </cell>
        </row>
        <row r="98">
          <cell r="G98">
            <v>1.3785244801080923</v>
          </cell>
        </row>
        <row r="99">
          <cell r="G99">
            <v>0.58807012466777575</v>
          </cell>
        </row>
        <row r="115">
          <cell r="H115">
            <v>5.8619292801001226</v>
          </cell>
        </row>
        <row r="125">
          <cell r="H125">
            <v>1.9538919055873809</v>
          </cell>
        </row>
        <row r="133">
          <cell r="H133">
            <v>1.6772931496959356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version factors"/>
      <sheetName val="Conversion factors selected IV "/>
      <sheetName val="IVC Emission Allocation"/>
      <sheetName val="Availabilities EU Austria"/>
      <sheetName val="Tabelle1"/>
      <sheetName val="FPBO per HVO"/>
      <sheetName val="IVCs relevant in 2030"/>
      <sheetName val="IVCs relevant 2040-2050"/>
      <sheetName val="Gap analysis EU"/>
      <sheetName val="Gap Analysis AUSTRIA"/>
      <sheetName val="EU Energiebedarf Verkehr"/>
      <sheetName val="EU-27_High_2030-2050"/>
      <sheetName val="AUSTRIA Energiebedarf Verkehr"/>
      <sheetName val="Austria_High_2030_2050"/>
      <sheetName val="EU-27_Medium_2030"/>
      <sheetName val="Austria Medium 2030"/>
      <sheetName val="2025-2030_KPIs"/>
      <sheetName val="2025-2030_Heatmap"/>
      <sheetName val="Overview"/>
      <sheetName val="2030-2040_essential IVCs"/>
      <sheetName val="2030-2040_Heatmap"/>
      <sheetName val="2040-2050_Heatmap"/>
      <sheetName val="TRL"/>
      <sheetName val="conv.f. additional"/>
      <sheetName val="3"/>
      <sheetName val="6"/>
      <sheetName val="8b"/>
      <sheetName val="8d"/>
      <sheetName val="11b"/>
      <sheetName val="12"/>
      <sheetName val="CO2"/>
      <sheetName val="t-toe"/>
      <sheetName val="Demand"/>
      <sheetName val="Market readiness"/>
      <sheetName val="IVC Overview"/>
      <sheetName val="IVC Overview EU"/>
    </sheetNames>
    <sheetDataSet>
      <sheetData sheetId="0"/>
      <sheetData sheetId="1">
        <row r="4">
          <cell r="O4">
            <v>1.1315675675675676</v>
          </cell>
        </row>
        <row r="7">
          <cell r="O7">
            <v>0.95154545454545458</v>
          </cell>
        </row>
        <row r="17">
          <cell r="O17">
            <v>1.5506666666666669</v>
          </cell>
        </row>
        <row r="18">
          <cell r="O18">
            <v>1.5506666666666669</v>
          </cell>
        </row>
        <row r="29">
          <cell r="O29">
            <v>0.83669064748201449</v>
          </cell>
        </row>
        <row r="89">
          <cell r="O89">
            <v>1</v>
          </cell>
        </row>
        <row r="98">
          <cell r="O9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cie Catalina Cherpin" id="{74C6C727-0535-4D0D-B611-48A070601A4A}" userId="S::CherpinL@best-research.eu::a927ef08-32c0-4941-96b1-5a6dcfb3d6e8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4" dT="2026-08-03T10:14:41.37" personId="{74C6C727-0535-4D0D-B611-48A070601A4A}" id="{26A8009B-9A3A-41F5-B3C7-B4085A061415}">
    <text xml:space="preserve">GAIN report table 10
</text>
  </threadedComment>
  <threadedComment ref="B35" dT="2026-08-03T10:07:49.47" personId="{74C6C727-0535-4D0D-B611-48A070601A4A}" id="{B19D462B-9336-451D-8E6F-A27780BC9DCD}">
    <text>GAIN report Table 77</text>
  </threadedComment>
  <threadedComment ref="D35" dT="2026-08-03T10:41:17.65" personId="{74C6C727-0535-4D0D-B611-48A070601A4A}" id="{D6CCB581-C6B7-48A0-9C06-C503749393FD}">
    <text>GAIN report Graph 4</text>
  </threadedComment>
  <threadedComment ref="D35" dT="2026-08-03T10:41:54.30" personId="{74C6C727-0535-4D0D-B611-48A070601A4A}" id="{A64392F7-0990-4EA5-8052-E953BA0B1AA5}" parentId="{D6CCB581-C6B7-48A0-9C06-C503749393FD}">
    <text>But the price in 2023 was quite volatile - took an estimated average</text>
  </threadedComment>
  <threadedComment ref="A39" dT="2026-08-03T11:01:05.48" personId="{74C6C727-0535-4D0D-B611-48A070601A4A}" id="{74A440C2-F0D5-4929-975D-83BA821CEF76}">
    <text xml:space="preserve">[ds-045409] EU trade since 1988 by HS2-4-6 and CN8 </text>
    <extLst>
      <x:ext xmlns:xltc2="http://schemas.microsoft.com/office/spreadsheetml/2020/threadedcomments2" uri="{F7C98A9C-CBB3-438F-8F68-D28B6AF4A901}">
        <xltc2:checksum>57900810</xltc2:checksum>
        <xltc2:hyperlink startIndex="0" length="50" url="https://ec.europa.eu/eurostat/databrowser/view/DS-045409__custom_22301855/default/table"/>
      </x:ext>
    </extLst>
  </threadedComment>
  <threadedComment ref="B47" dT="2026-08-03T10:14:54.82" personId="{74C6C727-0535-4D0D-B611-48A070601A4A}" id="{C01C5175-C2EA-4E08-9AC0-433EBEBE22FD}">
    <text xml:space="preserve">GAIN report tabel 10 </text>
  </threadedComment>
  <threadedComment ref="L48" dT="2026-08-03T15:22:22.37" personId="{74C6C727-0535-4D0D-B611-48A070601A4A}" id="{E220DE7A-EF28-4FAD-95EB-88601AA9BDC5}">
    <text xml:space="preserve">Also cosnistent with CETO 2026, p. 58/59 (data für 2024  with referemce to 2023)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6-08-22T20:08:09.02" personId="{74C6C727-0535-4D0D-B611-48A070601A4A}" id="{160D5F2E-CB72-4A0F-AF7E-CF51D60A5359}">
    <text>I am taking an average of the individual conversion factors in my „providing sectors“ excel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3" dT="2026-08-08T13:51:22.64" personId="{74C6C727-0535-4D0D-B611-48A070601A4A}" id="{77E7AAD7-55BB-4686-A0EA-4EC51FC84C22}">
    <text xml:space="preserve">I am taking an average of the individual conversion factors in my „providing sectors“ excel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6-08-10T11:38:30.32" personId="{74C6C727-0535-4D0D-B611-48A070601A4A}" id="{1C93647F-9A9A-4CB8-98F8-A571E6164214}">
    <text>i.e. limiting doemsticn CONSUMPTION to FF55_RED demand</text>
  </threadedComment>
  <threadedComment ref="C15" dT="2026-08-08T13:51:22.64" personId="{74C6C727-0535-4D0D-B611-48A070601A4A}" id="{E7BEC90A-76DE-4A8C-B1E5-7DE0D08C7F7D}">
    <text xml:space="preserve">I am taking an average of the individual conversion factors in my „providing sectors“ excel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2" dT="2026-08-08T13:51:22.64" personId="{74C6C727-0535-4D0D-B611-48A070601A4A}" id="{C35F0768-884D-4C5C-843B-A2F1F5D70710}">
    <text xml:space="preserve">I am taking an average of the individual conversion factors in my „providing sectors“ excel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2" dT="2026-08-08T13:51:22.64" personId="{74C6C727-0535-4D0D-B611-48A070601A4A}" id="{37D9A7F8-AB18-4FE8-BEE3-A8619BC966D1}">
    <text xml:space="preserve">I am taking an average of the individual conversion factors in my „providing sectors“ excel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2" dT="2026-08-08T13:51:22.64" personId="{74C6C727-0535-4D0D-B611-48A070601A4A}" id="{C4FA0862-42B9-4004-B123-09CA8E9BE205}">
    <text xml:space="preserve">I am taking an average of the individual conversion factors in my „providing sectors“ excel
</text>
  </threadedComment>
  <threadedComment ref="A13" dT="2026-08-10T11:38:30.32" personId="{74C6C727-0535-4D0D-B611-48A070601A4A}" id="{C4E93B30-28A2-427A-891B-63C74CDFE41A}">
    <text>i.e. limiting doemsticn CONSUMPTION to FF55_RED demand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2" dT="2026-08-08T13:51:22.64" personId="{74C6C727-0535-4D0D-B611-48A070601A4A}" id="{BF8F9BE6-708D-4B83-B709-73B3930DF4FA}">
    <text xml:space="preserve">I am taking an average of the individual conversion factors in my „providing sectors“ excel
</text>
  </threadedComment>
  <threadedComment ref="A14" dT="2026-08-10T11:38:30.32" personId="{74C6C727-0535-4D0D-B611-48A070601A4A}" id="{58055941-AEE8-4318-BF3D-167220ECDAD7}">
    <text>i.e. limiting doemsticn CONSUMPTION to FF55_RED demand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2" dT="2026-08-08T13:51:22.64" personId="{74C6C727-0535-4D0D-B611-48A070601A4A}" id="{09F2E2DA-1DC9-49B5-A185-E614245D0CB5}">
    <text xml:space="preserve">I am taking an average of the individual conversion factors in my „providing sectors“ excel
</text>
  </threadedComment>
  <threadedComment ref="A18" dT="2026-08-10T11:38:30.32" personId="{74C6C727-0535-4D0D-B611-48A070601A4A}" id="{9B642336-F950-407D-993D-45A74BD558E4}">
    <text>i.e. limiting doemsticn CONSUMPTION to FF55_RED demand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84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C3DA408-A43E-4A1C-99E9-E21E8C934AFD}">
  <we:reference id="wa200010215" version="2.0.0.0" store="de-DE" storeType="OMEX"/>
  <we:alternateReferences>
    <we:reference id="WA200010215" version="2.0.0.0" store="WA200010215" storeType="OMEX"/>
  </we:alternateReferences>
  <we:properties>
    <we:property name="bps.codex_control.document_id" value="&quot;e444f49e-7ee6-4c35-b9af-200dc31ba7a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55C3EEA-70AB-46FC-984B-9F7EA17B909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56b8571-7f6e-4a7e-9bf9-1b6f723e083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C346-887D-4D72-9B38-4A0D9ED755EA}">
  <sheetPr>
    <tabColor theme="9" tint="0.39997558519241921"/>
  </sheetPr>
  <dimension ref="A1:N52"/>
  <sheetViews>
    <sheetView topLeftCell="A32" zoomScaleNormal="100" workbookViewId="0">
      <selection activeCell="E52" sqref="E52"/>
    </sheetView>
  </sheetViews>
  <sheetFormatPr baseColWidth="10" defaultRowHeight="14.5" x14ac:dyDescent="0.35"/>
  <cols>
    <col min="1" max="1" width="13.81640625" customWidth="1"/>
    <col min="4" max="5" width="17.36328125" customWidth="1"/>
    <col min="6" max="6" width="22.54296875" customWidth="1"/>
    <col min="7" max="8" width="33.36328125" customWidth="1"/>
    <col min="9" max="9" width="18" customWidth="1"/>
    <col min="11" max="11" width="15.7265625" bestFit="1" customWidth="1"/>
  </cols>
  <sheetData>
    <row r="1" spans="1:14" s="53" customFormat="1" ht="40" customHeight="1" x14ac:dyDescent="0.35">
      <c r="A1" s="53" t="s">
        <v>78</v>
      </c>
    </row>
    <row r="2" spans="1:14" s="40" customFormat="1" ht="29.5" customHeight="1" x14ac:dyDescent="0.35">
      <c r="A2" s="38" t="s">
        <v>29</v>
      </c>
      <c r="B2" s="39"/>
      <c r="D2" s="41"/>
      <c r="E2" s="41"/>
      <c r="J2" s="40" t="s">
        <v>47</v>
      </c>
      <c r="K2" s="42"/>
      <c r="L2" s="42"/>
    </row>
    <row r="3" spans="1:14" ht="35" customHeigh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28</v>
      </c>
      <c r="F3" s="2" t="s">
        <v>4</v>
      </c>
      <c r="G3" s="6" t="s">
        <v>5</v>
      </c>
      <c r="H3" s="6"/>
      <c r="I3" s="2" t="s">
        <v>27</v>
      </c>
      <c r="J3" s="31" t="s">
        <v>49</v>
      </c>
      <c r="K3" s="31" t="s">
        <v>50</v>
      </c>
      <c r="L3" s="32" t="s">
        <v>51</v>
      </c>
      <c r="M3" s="28" t="s">
        <v>52</v>
      </c>
    </row>
    <row r="4" spans="1:14" x14ac:dyDescent="0.35">
      <c r="A4" s="4" t="s">
        <v>6</v>
      </c>
      <c r="B4" s="33">
        <f>SUM(B5:B7)</f>
        <v>1.3116088659596825</v>
      </c>
      <c r="D4" s="12">
        <f>SUM(D5:D7)</f>
        <v>1455038.6374680784</v>
      </c>
      <c r="E4" s="12"/>
      <c r="F4" s="3">
        <v>1450</v>
      </c>
      <c r="G4" s="7">
        <f>D4*F4</f>
        <v>2109806024.3287137</v>
      </c>
      <c r="H4" s="7"/>
      <c r="I4" s="9">
        <f>G4/1000000</f>
        <v>2109.8060243287136</v>
      </c>
      <c r="J4" s="9">
        <f>'[3]GAP analysis Sc. 1'!$D$3+'[3]GAP analysis Sc. 1'!$D$4+'[3]GAP analysis Sc. 1'!$D$16/2</f>
        <v>1.2192442915830701</v>
      </c>
      <c r="K4" s="9">
        <f>'[3]GAP analysis Sc. 1'!$E$16</f>
        <v>1.4211330849336007E-2</v>
      </c>
      <c r="L4" s="9">
        <f>'[3]GAP analysis Sc. 1'!$F$3+'[3]GAP analysis Sc. 1'!$F$16</f>
        <v>7.5420846469857611E-2</v>
      </c>
      <c r="M4" s="34">
        <f>SUM(J4:L4)</f>
        <v>1.3088764689022636</v>
      </c>
    </row>
    <row r="5" spans="1:14" s="17" customFormat="1" x14ac:dyDescent="0.35">
      <c r="A5" s="16" t="s">
        <v>7</v>
      </c>
      <c r="B5" s="18">
        <f>'[3]GAP analysis Sc. 1'!$G$3</f>
        <v>1.1404757810260817</v>
      </c>
      <c r="C5" s="17">
        <f>'[4]Conversion factors selected IV '!$O$4</f>
        <v>1.1315675675675676</v>
      </c>
      <c r="D5" s="1">
        <f>B5*C5*1000000</f>
        <v>1290525.4054054052</v>
      </c>
      <c r="E5" s="1">
        <f>D5/D4</f>
        <v>0.8869354889785307</v>
      </c>
      <c r="F5" s="3">
        <v>1450</v>
      </c>
      <c r="G5" s="7">
        <f>D5*F5</f>
        <v>1871261837.8378375</v>
      </c>
      <c r="H5" s="7">
        <f>SUM(G5:G7)</f>
        <v>2159159993.9475155</v>
      </c>
      <c r="I5" s="1">
        <f>H5/1000000</f>
        <v>2159.1599939475154</v>
      </c>
      <c r="J5" s="44">
        <f>J4/M4</f>
        <v>0.93151975801477527</v>
      </c>
      <c r="K5" s="44">
        <f>K4/M4</f>
        <v>1.0857656308280072E-2</v>
      </c>
      <c r="L5" s="44">
        <f>L4/M4</f>
        <v>5.7622585676944761E-2</v>
      </c>
      <c r="N5" s="17" t="s">
        <v>53</v>
      </c>
    </row>
    <row r="6" spans="1:14" s="17" customFormat="1" x14ac:dyDescent="0.35">
      <c r="A6" s="16" t="s">
        <v>8</v>
      </c>
      <c r="B6" s="18">
        <f>'[3]GAP analysis Sc. 1'!$G$4</f>
        <v>0.13661985287092765</v>
      </c>
      <c r="C6" s="17">
        <f>'[4]Conversion factors selected IV '!$O$7</f>
        <v>0.95154545454545458</v>
      </c>
      <c r="D6" s="1">
        <f t="shared" ref="D6:D7" si="0">B6*C6*1000000</f>
        <v>129999.99999999997</v>
      </c>
      <c r="E6" s="1">
        <f>D6/D4</f>
        <v>8.9344706492615042E-2</v>
      </c>
      <c r="F6" s="18">
        <v>1750</v>
      </c>
      <c r="G6" s="7">
        <f>D6*F6</f>
        <v>227499999.99999994</v>
      </c>
      <c r="H6" s="7"/>
      <c r="J6" s="1">
        <f>J5*I4</f>
        <v>1965.3259972407984</v>
      </c>
      <c r="K6" s="1">
        <f>K5*I4</f>
        <v>22.907548689299958</v>
      </c>
      <c r="L6" s="1">
        <f>L5*I4</f>
        <v>121.5724783986155</v>
      </c>
      <c r="M6" s="34">
        <f>SUM(J6:L6)</f>
        <v>2109.8060243287141</v>
      </c>
      <c r="N6" s="17" t="s">
        <v>54</v>
      </c>
    </row>
    <row r="7" spans="1:14" s="17" customFormat="1" x14ac:dyDescent="0.35">
      <c r="A7" s="16" t="s">
        <v>9</v>
      </c>
      <c r="B7" s="36">
        <f>'[3]GAP analysis Sc. 1'!$D$16/2+'[3]GAP analysis Sc. 1'!$E$16+'[3]GAP analysis Sc. 1'!$F$16</f>
        <v>3.4513232062673163E-2</v>
      </c>
      <c r="C7" s="17">
        <f>'[4]Conversion factors selected IV '!$O$98</f>
        <v>1</v>
      </c>
      <c r="D7" s="1">
        <f t="shared" si="0"/>
        <v>34513.23206267316</v>
      </c>
      <c r="E7" s="1">
        <f>D7/D4</f>
        <v>2.3719804528854194E-2</v>
      </c>
      <c r="F7" s="18">
        <v>1750</v>
      </c>
      <c r="G7" s="7">
        <f>D7*F7</f>
        <v>60398156.10967803</v>
      </c>
      <c r="H7" s="7"/>
    </row>
    <row r="8" spans="1:14" x14ac:dyDescent="0.35">
      <c r="A8" s="4" t="s">
        <v>10</v>
      </c>
      <c r="B8" s="3">
        <f>SUM(B9:B10)</f>
        <v>0.13609057036400116</v>
      </c>
      <c r="C8" s="10"/>
      <c r="D8" s="11">
        <f>SUM(D9:D10)</f>
        <v>207677.23703066783</v>
      </c>
      <c r="E8" s="11"/>
      <c r="F8" s="3">
        <v>1000</v>
      </c>
      <c r="G8" s="7">
        <f>D8*F8</f>
        <v>207677237.03066784</v>
      </c>
      <c r="H8" s="7"/>
      <c r="I8" s="9">
        <f>G8/1000000</f>
        <v>207.67723703066784</v>
      </c>
      <c r="J8" s="9">
        <f>'[3]GAP analysis Sc. 1'!$D$7+'[3]GAP analysis Sc. 1'!$D$16/2+'[3]GAP analysis Sc. 1'!$D$6</f>
        <v>0.13506735454284916</v>
      </c>
      <c r="K8" t="s">
        <v>55</v>
      </c>
      <c r="L8" t="s">
        <v>55</v>
      </c>
    </row>
    <row r="9" spans="1:14" s="17" customFormat="1" x14ac:dyDescent="0.35">
      <c r="A9" s="16" t="s">
        <v>22</v>
      </c>
      <c r="B9" s="18">
        <v>0.13</v>
      </c>
      <c r="C9" s="20">
        <f>'[4]Conversion factors selected IV '!$O$18</f>
        <v>1.5506666666666669</v>
      </c>
      <c r="D9" s="21">
        <f>B9*C9*1000000</f>
        <v>201586.66666666669</v>
      </c>
      <c r="E9" s="21"/>
      <c r="F9" s="18"/>
      <c r="G9" s="19"/>
      <c r="H9" s="19"/>
      <c r="J9" s="35">
        <v>1</v>
      </c>
    </row>
    <row r="10" spans="1:14" s="17" customFormat="1" x14ac:dyDescent="0.35">
      <c r="A10" s="16" t="s">
        <v>9</v>
      </c>
      <c r="B10" s="18">
        <f>'[3]GAP analysis Sc. 1'!$D$16/2</f>
        <v>6.0905703640011469E-3</v>
      </c>
      <c r="C10" s="20">
        <f>'[4]Conversion factors selected IV '!$O$89</f>
        <v>1</v>
      </c>
      <c r="D10" s="21">
        <f>B10*C10*1000000</f>
        <v>6090.570364001147</v>
      </c>
      <c r="E10" s="37"/>
      <c r="F10" s="18"/>
      <c r="G10" s="19"/>
      <c r="H10" s="19"/>
      <c r="J10" s="1">
        <f>I8*J9</f>
        <v>207.67723703066784</v>
      </c>
    </row>
    <row r="11" spans="1:14" x14ac:dyDescent="0.35">
      <c r="A11" s="4" t="s">
        <v>23</v>
      </c>
      <c r="B11" s="9">
        <f>'[3]GAP analysis Sc. 1'!$G$9</f>
        <v>0.32000000000000006</v>
      </c>
      <c r="C11" s="10"/>
      <c r="D11" s="12">
        <f>SUM(D12)</f>
        <v>267741.00719424465</v>
      </c>
      <c r="E11" s="12"/>
      <c r="F11" s="3">
        <v>1275</v>
      </c>
      <c r="G11" s="7">
        <f>D11*F11</f>
        <v>341369784.17266196</v>
      </c>
      <c r="H11" s="7"/>
      <c r="I11" s="9">
        <f>G11/1000000</f>
        <v>341.36978417266198</v>
      </c>
      <c r="J11" s="9">
        <f>'[3]GAP analysis Sc. 1'!$D$9</f>
        <v>0.32000000000000006</v>
      </c>
    </row>
    <row r="12" spans="1:14" s="17" customFormat="1" x14ac:dyDescent="0.35">
      <c r="A12" s="16" t="s">
        <v>24</v>
      </c>
      <c r="B12" s="17">
        <v>0.32</v>
      </c>
      <c r="C12" s="20">
        <f>'[4]Conversion factors selected IV '!$O$29</f>
        <v>0.83669064748201449</v>
      </c>
      <c r="D12" s="1">
        <f>B12*C12*1000000</f>
        <v>267741.00719424465</v>
      </c>
      <c r="E12" s="1"/>
      <c r="F12" s="18"/>
      <c r="G12" s="19"/>
      <c r="H12" s="19"/>
      <c r="J12" s="35">
        <v>1</v>
      </c>
    </row>
    <row r="13" spans="1:14" s="17" customFormat="1" x14ac:dyDescent="0.35">
      <c r="A13" s="16"/>
      <c r="C13" s="20"/>
      <c r="D13" s="1"/>
      <c r="E13" s="1"/>
      <c r="F13" s="18"/>
      <c r="G13" s="19"/>
      <c r="H13" s="19"/>
      <c r="J13" s="1">
        <f>I11*J12</f>
        <v>341.36978417266198</v>
      </c>
    </row>
    <row r="14" spans="1:14" x14ac:dyDescent="0.35">
      <c r="A14" s="4" t="s">
        <v>11</v>
      </c>
      <c r="B14" s="9">
        <f>B4+B8+B11</f>
        <v>1.7676994363236838</v>
      </c>
      <c r="C14" s="9"/>
      <c r="D14" s="12">
        <f>D4+D8+D11</f>
        <v>1930456.8816929911</v>
      </c>
      <c r="E14" s="12"/>
      <c r="F14" s="9"/>
      <c r="G14" s="7">
        <f>G4+G8+G11</f>
        <v>2658853045.5320435</v>
      </c>
      <c r="H14" s="7"/>
      <c r="I14" s="7">
        <f>I5+I8+I11</f>
        <v>2708.2070151508456</v>
      </c>
    </row>
    <row r="15" spans="1:14" ht="41.5" customHeight="1" x14ac:dyDescent="0.35">
      <c r="A15" s="24" t="s">
        <v>12</v>
      </c>
      <c r="B15" s="24" t="s">
        <v>26</v>
      </c>
      <c r="C15" s="24" t="s">
        <v>13</v>
      </c>
      <c r="D15" s="24" t="s">
        <v>14</v>
      </c>
      <c r="E15" s="24"/>
      <c r="F15" s="24" t="s">
        <v>15</v>
      </c>
      <c r="G15" s="25" t="s">
        <v>5</v>
      </c>
      <c r="H15" s="25"/>
      <c r="I15" s="24" t="s">
        <v>27</v>
      </c>
      <c r="J15" s="31" t="s">
        <v>49</v>
      </c>
      <c r="K15" s="31" t="s">
        <v>50</v>
      </c>
      <c r="L15" s="31" t="s">
        <v>51</v>
      </c>
      <c r="M15" s="30"/>
    </row>
    <row r="16" spans="1:14" x14ac:dyDescent="0.35">
      <c r="A16" s="4" t="s">
        <v>16</v>
      </c>
      <c r="B16" s="3">
        <f>SUM(B17:B18)</f>
        <v>12.943059138244003</v>
      </c>
      <c r="C16" s="10">
        <v>1.1627906976744187</v>
      </c>
      <c r="D16" s="23">
        <f>SUM(D17:D18)</f>
        <v>13700000</v>
      </c>
      <c r="E16" s="23"/>
      <c r="F16">
        <v>1165.6261363636365</v>
      </c>
      <c r="G16" s="7">
        <f>D16*F16</f>
        <v>15969078068.18182</v>
      </c>
      <c r="H16" s="7"/>
      <c r="I16" s="9">
        <f>G16/1000000</f>
        <v>15969.07806818182</v>
      </c>
      <c r="J16" s="9">
        <f>'[3]GAP analysis Sc. 1'!$D$18+'[3]GAP analysis Sc. 1'!$D$19+'[3]GAP analysis Sc. 1'!$D$23</f>
        <v>12.789290149995221</v>
      </c>
      <c r="K16">
        <f>0</f>
        <v>0</v>
      </c>
      <c r="L16" s="9">
        <f>'[3]GAP analysis Sc. 1'!$F$23+'[3]GAP analysis Sc. 1'!$F$18</f>
        <v>0.15376898824878185</v>
      </c>
      <c r="M16" s="9">
        <f>SUM(J16:L16)</f>
        <v>12.943059138244003</v>
      </c>
    </row>
    <row r="17" spans="1:13" s="17" customFormat="1" x14ac:dyDescent="0.35">
      <c r="A17" s="17" t="s">
        <v>7</v>
      </c>
      <c r="B17" s="18">
        <f>'[3]GAP analysis Sc. 1'!$G$18+'[3]GAP analysis Sc. 1'!$G$23</f>
        <v>7.688449412439093</v>
      </c>
      <c r="C17" s="20">
        <f>'[4]Conversion factors selected IV '!$O$4</f>
        <v>1.1315675675675676</v>
      </c>
      <c r="D17" s="22">
        <f>B17*C17*1000000</f>
        <v>8700000</v>
      </c>
      <c r="E17" s="22"/>
      <c r="G17" s="18"/>
      <c r="H17" s="18"/>
      <c r="J17" s="44">
        <f>J16/M16</f>
        <v>0.98811957925816574</v>
      </c>
      <c r="K17" s="44">
        <f>K16/M16</f>
        <v>0</v>
      </c>
      <c r="L17" s="44">
        <f>L16/M16</f>
        <v>1.1880420741834286E-2</v>
      </c>
      <c r="M17" s="9">
        <f>SUM(J17:L17)</f>
        <v>1</v>
      </c>
    </row>
    <row r="18" spans="1:13" s="17" customFormat="1" x14ac:dyDescent="0.35">
      <c r="A18" s="17" t="s">
        <v>25</v>
      </c>
      <c r="B18" s="18">
        <f>'[3]GAP analysis Sc. 1'!$G$19</f>
        <v>5.2546097258049107</v>
      </c>
      <c r="C18" s="20">
        <f>'[4]Conversion factors selected IV '!$O$7</f>
        <v>0.95154545454545458</v>
      </c>
      <c r="D18" s="22">
        <f>B18*C18*1000000</f>
        <v>5000000</v>
      </c>
      <c r="E18" s="22"/>
      <c r="G18" s="18"/>
      <c r="H18" s="18"/>
      <c r="J18" s="1">
        <f>J17*I16</f>
        <v>15779.358701872621</v>
      </c>
      <c r="K18" s="17">
        <f>K17*I16</f>
        <v>0</v>
      </c>
      <c r="L18" s="9">
        <f>L17*I16</f>
        <v>189.71936630919828</v>
      </c>
      <c r="M18" s="9">
        <f>SUM(J18:L18)</f>
        <v>15969.07806818182</v>
      </c>
    </row>
    <row r="19" spans="1:13" x14ac:dyDescent="0.35">
      <c r="A19" s="4" t="s">
        <v>17</v>
      </c>
      <c r="B19" s="5">
        <f>B20</f>
        <v>3.1599312123817707</v>
      </c>
      <c r="C19" s="10">
        <v>1.5625</v>
      </c>
      <c r="D19" s="13">
        <f>D20</f>
        <v>4899999.9999999991</v>
      </c>
      <c r="E19" s="13"/>
      <c r="F19">
        <v>1018.9695817490494</v>
      </c>
      <c r="G19" s="7">
        <f>D19*F19</f>
        <v>4992950950.5703411</v>
      </c>
      <c r="H19" s="7"/>
      <c r="I19" s="9">
        <f>G19/1000000</f>
        <v>4992.9509505703409</v>
      </c>
      <c r="J19" s="9">
        <f>'[3]GAP analysis Sc. 1'!$D$20</f>
        <v>3.1599312123817707</v>
      </c>
    </row>
    <row r="20" spans="1:13" s="17" customFormat="1" x14ac:dyDescent="0.35">
      <c r="A20" s="16" t="s">
        <v>22</v>
      </c>
      <c r="B20" s="22">
        <f>'[3]GAP analysis Sc. 1'!$G$20</f>
        <v>3.1599312123817707</v>
      </c>
      <c r="C20" s="20">
        <f>'[4]Conversion factors selected IV '!$O$17</f>
        <v>1.5506666666666669</v>
      </c>
      <c r="D20" s="22">
        <f>B20*C20*1000000</f>
        <v>4899999.9999999991</v>
      </c>
      <c r="E20" s="22"/>
      <c r="G20" s="19"/>
      <c r="H20" s="19"/>
      <c r="J20" s="35">
        <v>1</v>
      </c>
    </row>
    <row r="21" spans="1:13" x14ac:dyDescent="0.35">
      <c r="A21" s="4" t="s">
        <v>18</v>
      </c>
      <c r="B21" t="s">
        <v>19</v>
      </c>
      <c r="G21" s="8"/>
      <c r="H21" s="8"/>
      <c r="J21" s="9">
        <f>I19*J20</f>
        <v>4992.9509505703409</v>
      </c>
    </row>
    <row r="22" spans="1:13" x14ac:dyDescent="0.35">
      <c r="A22" s="4" t="s">
        <v>20</v>
      </c>
      <c r="B22" s="9">
        <f>B16+B19</f>
        <v>16.102990350625774</v>
      </c>
      <c r="C22" s="9"/>
      <c r="D22" s="9">
        <f t="shared" ref="D22" si="1">D16+D19</f>
        <v>18600000</v>
      </c>
      <c r="E22" s="9"/>
      <c r="F22" s="9"/>
      <c r="G22" s="9">
        <f>G16+G19</f>
        <v>20962029018.752159</v>
      </c>
      <c r="H22" s="9"/>
      <c r="I22" s="9">
        <f>I16+I19</f>
        <v>20962.02901875216</v>
      </c>
    </row>
    <row r="24" spans="1:13" x14ac:dyDescent="0.35">
      <c r="A24" s="4" t="s">
        <v>21</v>
      </c>
      <c r="B24" s="15">
        <f>B14+B22</f>
        <v>17.870689786949459</v>
      </c>
      <c r="C24" s="15"/>
      <c r="D24" s="15">
        <f>D14+D22</f>
        <v>20530456.881692991</v>
      </c>
      <c r="E24" s="15"/>
      <c r="F24" s="15"/>
      <c r="G24" s="15">
        <f>G14+G22</f>
        <v>23620882064.284203</v>
      </c>
      <c r="H24" s="15"/>
      <c r="I24" s="15">
        <f>I14+I22</f>
        <v>23670.236033903006</v>
      </c>
    </row>
    <row r="26" spans="1:13" s="43" customFormat="1" ht="35" customHeight="1" x14ac:dyDescent="0.35">
      <c r="A26" s="43" t="s">
        <v>56</v>
      </c>
    </row>
    <row r="27" spans="1:13" s="2" customFormat="1" ht="45.5" customHeight="1" x14ac:dyDescent="0.35">
      <c r="A27" s="2" t="s">
        <v>0</v>
      </c>
    </row>
    <row r="28" spans="1:13" s="28" customFormat="1" ht="25" customHeight="1" x14ac:dyDescent="0.35">
      <c r="A28" s="28" t="s">
        <v>48</v>
      </c>
    </row>
    <row r="32" spans="1:13" s="24" customFormat="1" ht="43" customHeight="1" x14ac:dyDescent="0.35">
      <c r="A32" s="24" t="s">
        <v>12</v>
      </c>
      <c r="B32" s="24" t="s">
        <v>32</v>
      </c>
      <c r="C32" s="24" t="s">
        <v>57</v>
      </c>
      <c r="D32" s="24" t="s">
        <v>38</v>
      </c>
      <c r="E32" s="24" t="s">
        <v>13</v>
      </c>
      <c r="F32" s="24" t="s">
        <v>33</v>
      </c>
      <c r="G32" s="24" t="s">
        <v>15</v>
      </c>
      <c r="I32" s="24" t="s">
        <v>41</v>
      </c>
      <c r="J32" s="24" t="s">
        <v>40</v>
      </c>
      <c r="K32" s="24" t="s">
        <v>39</v>
      </c>
      <c r="L32" s="24" t="s">
        <v>27</v>
      </c>
    </row>
    <row r="33" spans="1:13" ht="29.5" customHeight="1" x14ac:dyDescent="0.35">
      <c r="A33" s="27" t="s">
        <v>43</v>
      </c>
    </row>
    <row r="34" spans="1:13" x14ac:dyDescent="0.35">
      <c r="A34" t="s">
        <v>30</v>
      </c>
      <c r="B34">
        <v>2870</v>
      </c>
      <c r="K34" s="26">
        <v>3200000000</v>
      </c>
      <c r="L34" s="26">
        <f>K34/1000000</f>
        <v>3200</v>
      </c>
    </row>
    <row r="35" spans="1:13" x14ac:dyDescent="0.35">
      <c r="A35" t="s">
        <v>31</v>
      </c>
      <c r="B35">
        <v>1242</v>
      </c>
      <c r="C35">
        <f>B35*1000</f>
        <v>1242000</v>
      </c>
      <c r="D35">
        <v>800</v>
      </c>
      <c r="I35" s="26">
        <f>C35*D35</f>
        <v>993600000</v>
      </c>
      <c r="J35" s="26">
        <v>0.92</v>
      </c>
      <c r="K35" s="26">
        <f>I35*J35</f>
        <v>914112000</v>
      </c>
      <c r="L35" s="26">
        <f>K35/1000000</f>
        <v>914.11199999999997</v>
      </c>
    </row>
    <row r="36" spans="1:13" x14ac:dyDescent="0.35">
      <c r="A36" s="17" t="s">
        <v>18</v>
      </c>
      <c r="I36" s="26"/>
      <c r="J36" s="26"/>
      <c r="K36" s="26"/>
      <c r="L36" s="26"/>
    </row>
    <row r="37" spans="1:13" x14ac:dyDescent="0.35">
      <c r="A37" t="s">
        <v>34</v>
      </c>
      <c r="I37" s="26"/>
      <c r="J37" s="26"/>
      <c r="K37" s="26"/>
      <c r="L37" s="26"/>
    </row>
    <row r="38" spans="1:13" x14ac:dyDescent="0.35">
      <c r="A38" t="s">
        <v>35</v>
      </c>
      <c r="I38" s="26"/>
      <c r="J38" s="26"/>
      <c r="K38" s="26"/>
      <c r="L38" s="26"/>
      <c r="M38">
        <v>3213.4163189999999</v>
      </c>
    </row>
    <row r="39" spans="1:13" ht="20.5" customHeight="1" x14ac:dyDescent="0.35">
      <c r="A39" s="27" t="s">
        <v>44</v>
      </c>
      <c r="I39" s="26"/>
      <c r="J39" s="26"/>
      <c r="K39" s="26"/>
      <c r="L39" s="26"/>
    </row>
    <row r="40" spans="1:13" x14ac:dyDescent="0.35">
      <c r="A40" t="s">
        <v>30</v>
      </c>
      <c r="F40" s="26">
        <f>24861548.23/10</f>
        <v>2486154.8229999999</v>
      </c>
      <c r="G40">
        <f>K41/F40</f>
        <v>202.15573034728899</v>
      </c>
      <c r="I40" s="26"/>
      <c r="J40" s="26"/>
      <c r="K40" s="26">
        <v>3213416319</v>
      </c>
      <c r="L40" s="26">
        <f>K40/1000000</f>
        <v>3213.4163189999999</v>
      </c>
      <c r="M40" t="s">
        <v>58</v>
      </c>
    </row>
    <row r="41" spans="1:13" x14ac:dyDescent="0.35">
      <c r="A41" t="s">
        <v>31</v>
      </c>
      <c r="B41" s="28" t="s">
        <v>46</v>
      </c>
      <c r="F41" s="26">
        <f>6070534.21/10</f>
        <v>607053.42099999997</v>
      </c>
      <c r="G41">
        <f t="shared" ref="G41" si="2">K41/F41</f>
        <v>827.91798318520637</v>
      </c>
      <c r="I41" s="26"/>
      <c r="J41" s="26"/>
      <c r="K41" s="26">
        <v>502590444</v>
      </c>
      <c r="L41" s="26">
        <f>K41/1000000</f>
        <v>502.59044399999999</v>
      </c>
      <c r="M41" t="s">
        <v>58</v>
      </c>
    </row>
    <row r="42" spans="1:13" x14ac:dyDescent="0.35">
      <c r="A42" t="s">
        <v>42</v>
      </c>
      <c r="B42" s="28" t="s">
        <v>45</v>
      </c>
      <c r="F42" s="26">
        <f>2018050.77/2</f>
        <v>1009025.385</v>
      </c>
      <c r="G42">
        <f>K42/F42</f>
        <v>220.91506349961651</v>
      </c>
      <c r="I42" s="26"/>
      <c r="J42" s="26"/>
      <c r="K42" s="26">
        <v>222908907</v>
      </c>
      <c r="L42" s="26">
        <f>K42/1000000</f>
        <v>222.908907</v>
      </c>
    </row>
    <row r="43" spans="1:13" x14ac:dyDescent="0.35">
      <c r="I43" s="26"/>
      <c r="J43" s="26"/>
      <c r="K43" s="26"/>
      <c r="L43" s="26"/>
    </row>
    <row r="44" spans="1:13" s="14" customFormat="1" ht="38" customHeight="1" x14ac:dyDescent="0.35">
      <c r="A44" s="14" t="s">
        <v>36</v>
      </c>
    </row>
    <row r="45" spans="1:13" s="24" customFormat="1" ht="37" customHeight="1" x14ac:dyDescent="0.35">
      <c r="A45" s="24" t="s">
        <v>12</v>
      </c>
      <c r="B45" s="24" t="s">
        <v>37</v>
      </c>
    </row>
    <row r="46" spans="1:13" ht="24" customHeight="1" x14ac:dyDescent="0.35">
      <c r="A46" s="29" t="s">
        <v>44</v>
      </c>
    </row>
    <row r="47" spans="1:13" x14ac:dyDescent="0.35">
      <c r="A47" t="s">
        <v>30</v>
      </c>
      <c r="B47">
        <v>1695</v>
      </c>
      <c r="K47" s="26">
        <v>2098307176</v>
      </c>
      <c r="L47">
        <f>K47/1000000</f>
        <v>2098.3071759999998</v>
      </c>
    </row>
    <row r="48" spans="1:13" x14ac:dyDescent="0.35">
      <c r="A48" t="s">
        <v>31</v>
      </c>
      <c r="B48">
        <v>100</v>
      </c>
      <c r="K48" s="26">
        <v>51101154</v>
      </c>
      <c r="L48">
        <f>51101154/1000000</f>
        <v>51.101154000000001</v>
      </c>
    </row>
    <row r="49" spans="1:12" x14ac:dyDescent="0.35">
      <c r="A49" t="s">
        <v>42</v>
      </c>
      <c r="K49" s="26">
        <v>14040928</v>
      </c>
      <c r="L49">
        <f>K49/1000000</f>
        <v>14.040927999999999</v>
      </c>
    </row>
    <row r="50" spans="1:12" x14ac:dyDescent="0.35">
      <c r="A50" s="17" t="s">
        <v>18</v>
      </c>
    </row>
    <row r="51" spans="1:12" x14ac:dyDescent="0.35">
      <c r="A51" t="s">
        <v>34</v>
      </c>
    </row>
    <row r="52" spans="1:12" x14ac:dyDescent="0.35">
      <c r="A52" t="s">
        <v>35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E24A-6A0F-41AF-A27B-83111832B9B4}">
  <dimension ref="A1:M35"/>
  <sheetViews>
    <sheetView workbookViewId="0">
      <selection activeCell="A24" sqref="A24:D24"/>
    </sheetView>
  </sheetViews>
  <sheetFormatPr baseColWidth="10" defaultRowHeight="14.5" x14ac:dyDescent="0.35"/>
  <cols>
    <col min="5" max="5" width="25.81640625" customWidth="1"/>
    <col min="14" max="14" width="0" hidden="1" customWidth="1"/>
  </cols>
  <sheetData>
    <row r="1" spans="1:13" ht="43.5" x14ac:dyDescent="0.35">
      <c r="A1" s="72" t="s">
        <v>99</v>
      </c>
      <c r="B1" s="72" t="s">
        <v>100</v>
      </c>
      <c r="C1" s="72" t="s">
        <v>101</v>
      </c>
      <c r="D1" s="72" t="s">
        <v>102</v>
      </c>
      <c r="E1" s="72" t="s">
        <v>103</v>
      </c>
    </row>
    <row r="2" spans="1:13" x14ac:dyDescent="0.35">
      <c r="A2" s="73">
        <v>1</v>
      </c>
      <c r="B2" s="74" t="s">
        <v>104</v>
      </c>
      <c r="C2" s="74" t="s">
        <v>105</v>
      </c>
      <c r="D2" s="75" cm="1">
        <f t="array" aca="1" ref="D2" ca="1">IFERROR(SUMPRODUCT(($A$36:$A$137=$A2)*($B$36:$B$137=#REF!)*($C$36:$C$137=$D2)*($D$36:$D$137=$E2)*(--ISNUMBER(SEARCH("UCO",$F$36:$F$137)))*$K$36:$K$137*$M$36:$M$137)/SUMPRODUCT(($A$36:$A$137=$A2)*($B$36:$B$137=#REF!)*($C$36:$C$137=$D2)*($D$36:$D$137=$E2)*(--ISNUMBER(SEARCH("UCO",$F$36:$F$137)))*$K$36:$K$137),0)</f>
        <v>12.15</v>
      </c>
      <c r="E2" s="76" t="s">
        <v>106</v>
      </c>
    </row>
    <row r="3" spans="1:13" x14ac:dyDescent="0.35">
      <c r="A3" s="73">
        <v>1</v>
      </c>
      <c r="B3" s="74" t="s">
        <v>104</v>
      </c>
      <c r="C3" s="74" t="s">
        <v>105</v>
      </c>
      <c r="D3" s="75">
        <v>15.39</v>
      </c>
      <c r="E3" s="76" t="s">
        <v>107</v>
      </c>
    </row>
    <row r="4" spans="1:13" x14ac:dyDescent="0.35">
      <c r="A4" s="73">
        <v>2</v>
      </c>
      <c r="B4" s="74" t="s">
        <v>108</v>
      </c>
      <c r="C4" s="74" t="s">
        <v>105</v>
      </c>
      <c r="D4" s="75" cm="1">
        <f t="array" aca="1" ref="D4" ca="1">IFERROR(SUMPRODUCT(($A$36:$A$137=$A4)*($B$36:$B$137=$B2)*($C$36:$C$137=$D4)*($D$36:$D$137=$E4)*(--ISNUMBER(SEARCH("UCO",$F$36:$F$137)))*$K$36:$K$137*$M$36:$M$137)/SUMPRODUCT(($A$36:$A$137=$A4)*($B$36:$B$137=$B2)*($C$36:$C$137=$D4)*($D$36:$D$137=$E4)*(--ISNUMBER(SEARCH("UCO",$F$36:$F$137)))*$K$36:$K$137),0)</f>
        <v>13.775</v>
      </c>
      <c r="E4" s="76" t="s">
        <v>106</v>
      </c>
    </row>
    <row r="5" spans="1:13" x14ac:dyDescent="0.35">
      <c r="A5" s="73">
        <v>2</v>
      </c>
      <c r="B5" s="74" t="s">
        <v>108</v>
      </c>
      <c r="C5" s="74" t="s">
        <v>105</v>
      </c>
      <c r="D5" s="75" cm="1">
        <f t="array" aca="1" ref="D5" ca="1">IFERROR(SUMPRODUCT(($A$36:$A$137=$A5)*($B$36:$B$137=$B4)*($C$36:$C$137=$D5)*($D$36:$D$137=$E5)*(--((ISNUMBER(SEARCH("Tall oil",$F$36:$F$137))+ISNUMBER(SEARCH("POME",$F$36:$F$137)))&gt;0))*$K$36:$K$137*$M$36:$M$137)/SUMPRODUCT(($A$36:$A$137=$A5)*($B$36:$B$137=$B4)*($C$36:$C$137=$D5)*($D$36:$D$137=$E5)*(--((ISNUMBER(SEARCH("Tall oil",$F$36:$F$137))+ISNUMBER(SEARCH("POME",$F$36:$F$137)))&gt;0))*$K$36:$K$137),0)</f>
        <v>10.8</v>
      </c>
      <c r="E5" s="76" t="s">
        <v>109</v>
      </c>
    </row>
    <row r="6" spans="1:13" x14ac:dyDescent="0.35">
      <c r="A6" s="73">
        <v>2</v>
      </c>
      <c r="B6" s="74" t="s">
        <v>108</v>
      </c>
      <c r="C6" s="74" t="s">
        <v>105</v>
      </c>
      <c r="D6" s="75" cm="1">
        <f t="array" aca="1" ref="D6" ca="1">IFERROR(SUMPRODUCT(($A$36:$A$137=$A6)*($B$36:$B$137=$B5)*($C$36:$C$137=$D6)*($D$36:$D$137=$E6)*(--((ISNUMBER(SEARCH("FPBO",$F$36:$F$137))+ISNUMBER(SEARCH("biocrude",$F$36:$F$137)))&gt;0))*$K$36:$K$137*$M$36:$M$137)/SUMPRODUCT(($A$36:$A$137=$A6)*($B$36:$B$137=$B5)*($C$36:$C$137=$D6)*($D$36:$D$137=$E6)*(--((ISNUMBER(SEARCH("FPBO",$F$36:$F$137))+ISNUMBER(SEARCH("biocrude",$F$36:$F$137)))&gt;0))*$K$36:$K$137),0)</f>
        <v>13.775</v>
      </c>
      <c r="E6" s="76" t="s">
        <v>110</v>
      </c>
    </row>
    <row r="7" spans="1:13" x14ac:dyDescent="0.35">
      <c r="A7" s="73">
        <v>2</v>
      </c>
      <c r="B7" s="74" t="s">
        <v>111</v>
      </c>
      <c r="C7" s="74" t="s">
        <v>112</v>
      </c>
      <c r="D7" s="75" cm="1">
        <f t="array" aca="1" ref="D7" ca="1">IFERROR(SUMPRODUCT(($A$36:$A$137=$A7)*($B$36:$B$137=$B6)*($C$36:$C$137=$D7)*($D$36:$D$137=$E7)*(--ISNUMBER(SEARCH("Oil crops",$F$36:$F$137)))*$K$36:$K$137*$M$36:$M$137)/SUMPRODUCT(($A$36:$A$137=$A7)*($B$36:$B$137=$B6)*($C$36:$C$137=$D7)*($D$36:$D$137=$E7)*(--ISNUMBER(SEARCH("Oil crops",$F$36:$F$137)))*$K$36:$K$137),0)</f>
        <v>26.05</v>
      </c>
      <c r="E7" s="76" t="s">
        <v>113</v>
      </c>
      <c r="F7" s="49"/>
      <c r="G7" s="49"/>
      <c r="H7" s="49"/>
      <c r="I7" s="49"/>
      <c r="J7" s="49"/>
      <c r="K7" s="49"/>
      <c r="L7" s="49"/>
      <c r="M7" s="49"/>
    </row>
    <row r="8" spans="1:13" x14ac:dyDescent="0.35">
      <c r="A8" s="73">
        <v>2</v>
      </c>
      <c r="B8" s="74" t="s">
        <v>111</v>
      </c>
      <c r="C8" s="74" t="s">
        <v>112</v>
      </c>
      <c r="D8" s="75" cm="1">
        <f t="array" aca="1" ref="D8" ca="1">IFERROR(SUMPRODUCT(($A$36:$A$137=$A8)*($B$36:$B$137=$B7)*($C$36:$C$137=$D8)*($D$36:$D$137=$E8)*(--ISNUMBER(SEARCH("UCO",$F$36:$F$137)))*$K$36:$K$137*$M$36:$M$137)/SUMPRODUCT(($A$36:$A$137=$A8)*($B$36:$B$137=$B7)*($C$36:$C$137=$D8)*($D$36:$D$137=$E8)*(--ISNUMBER(SEARCH("UCO",$F$36:$F$137)))*$K$36:$K$137),0)</f>
        <v>21.4</v>
      </c>
      <c r="E8" s="76" t="s">
        <v>106</v>
      </c>
      <c r="F8" s="49"/>
      <c r="G8" s="49"/>
      <c r="H8" s="49"/>
      <c r="I8" s="49"/>
      <c r="J8" s="49"/>
      <c r="K8" s="49"/>
      <c r="L8" s="49"/>
      <c r="M8" s="49"/>
    </row>
    <row r="9" spans="1:13" x14ac:dyDescent="0.35">
      <c r="A9" s="73">
        <v>2</v>
      </c>
      <c r="B9" s="74" t="s">
        <v>111</v>
      </c>
      <c r="C9" s="74" t="s">
        <v>112</v>
      </c>
      <c r="D9" s="75" cm="1">
        <f t="array" aca="1" ref="D9" ca="1">IFERROR(SUMPRODUCT(($A$36:$A$137=$A9)*($B$36:$B$137=$B8)*($C$36:$C$137=$D9)*($D$36:$D$137=$E9)*(--((ISNUMBER(SEARCH("Tall oil",$F$36:$F$137))+ISNUMBER(SEARCH("POME",$F$36:$F$137)))&gt;0))*$K$36:$K$137*$M$36:$M$137)/SUMPRODUCT(($A$36:$A$137=$A9)*($B$36:$B$137=$B8)*($C$36:$C$137=$D9)*($D$36:$D$137=$E9)*(--((ISNUMBER(SEARCH("Tall oil",$F$36:$F$137))+ISNUMBER(SEARCH("POME",$F$36:$F$137)))&gt;0))*$K$36:$K$137),0)</f>
        <v>17.5</v>
      </c>
      <c r="E9" s="76" t="s">
        <v>109</v>
      </c>
      <c r="F9" s="49"/>
      <c r="G9" s="49"/>
      <c r="H9" s="49"/>
      <c r="I9" s="49"/>
      <c r="J9" s="49"/>
      <c r="K9" s="49"/>
      <c r="L9" s="49"/>
      <c r="M9" s="49"/>
    </row>
    <row r="10" spans="1:13" x14ac:dyDescent="0.35">
      <c r="A10" s="73">
        <v>2</v>
      </c>
      <c r="B10" s="74" t="s">
        <v>111</v>
      </c>
      <c r="C10" s="74" t="s">
        <v>112</v>
      </c>
      <c r="D10" s="75" cm="1">
        <f t="array" aca="1" ref="D10" ca="1">IFERROR(SUMPRODUCT(($A$36:$A$137=$A10)*($B$36:$B$137=$B9)*($C$36:$C$137=$D10)*($D$36:$D$137=$E10)*(--((ISNUMBER(SEARCH("FPBO",$F$36:$F$137))+ISNUMBER(SEARCH("biocrude",$F$36:$F$137)))&gt;0))*$K$36:$K$137*$M$36:$M$137)/SUMPRODUCT(($A$36:$A$137=$A10)*($B$36:$B$137=$B9)*($C$36:$C$137=$D10)*($D$36:$D$137=$E10)*(--((ISNUMBER(SEARCH("FPBO",$F$36:$F$137))+ISNUMBER(SEARCH("biocrude",$F$36:$F$137)))&gt;0))*$K$36:$K$137),0)</f>
        <v>21.4</v>
      </c>
      <c r="E10" s="76" t="s">
        <v>110</v>
      </c>
      <c r="F10" s="49"/>
      <c r="G10" s="49"/>
      <c r="H10" s="49"/>
      <c r="I10" s="49"/>
      <c r="J10" s="49"/>
      <c r="K10" s="49"/>
      <c r="L10" s="49"/>
      <c r="M10" s="49"/>
    </row>
    <row r="11" spans="1:13" x14ac:dyDescent="0.35">
      <c r="A11" s="73">
        <v>3</v>
      </c>
      <c r="B11" s="74" t="s">
        <v>114</v>
      </c>
      <c r="C11" s="74" t="s">
        <v>105</v>
      </c>
      <c r="D11" s="75" cm="1">
        <f t="array" aca="1" ref="D11" ca="1">IFERROR(SUMPRODUCT(($A$36:$A$137=$A11)*($B$36:$B$137=$B10)*($C$36:$C$137=$D11)*($D$36:$D$137=$E11)*$K$36:$K$137*$M$36:$M$137)/SUMIFS($K$36:$K$137,$A$36:$A$137,$A11,$B$36:$B$137,$B10,$C$36:$C$137,$D11,$D$36:$D$137,$E11),0)</f>
        <v>55.5</v>
      </c>
      <c r="E11" s="76"/>
      <c r="F11" s="49"/>
      <c r="G11" s="49"/>
      <c r="H11" s="49"/>
      <c r="I11" s="49"/>
      <c r="J11" s="49"/>
      <c r="K11" s="49"/>
      <c r="L11" s="49"/>
      <c r="M11" s="49"/>
    </row>
    <row r="12" spans="1:13" x14ac:dyDescent="0.35">
      <c r="A12" s="73">
        <v>5</v>
      </c>
      <c r="B12" s="74" t="s">
        <v>115</v>
      </c>
      <c r="C12" s="74" t="s">
        <v>105</v>
      </c>
      <c r="D12" s="75" cm="1">
        <f t="array" aca="1" ref="D12" ca="1">IFERROR(SUMPRODUCT(($A$36:$A$137=$A12)*($B$36:$B$137=$B11)*($C$36:$C$137=$D12)*($D$36:$D$137=$E12)*$K$36:$K$137*$M$36:$M$137)/SUMIFS($K$36:$K$137,$A$36:$A$137,$A12,$B$36:$B$137,$B11,$C$36:$C$137,$D12,$D$36:$D$137,$E12),0)</f>
        <v>24.4</v>
      </c>
      <c r="E12" s="76"/>
      <c r="F12" s="49"/>
      <c r="G12" s="49"/>
      <c r="H12" s="49"/>
      <c r="I12" s="49"/>
      <c r="J12" s="49"/>
      <c r="K12" s="49"/>
      <c r="L12" s="49"/>
      <c r="M12" s="49"/>
    </row>
    <row r="13" spans="1:13" x14ac:dyDescent="0.35">
      <c r="A13" s="73">
        <v>5</v>
      </c>
      <c r="B13" s="74" t="s">
        <v>116</v>
      </c>
      <c r="C13" s="74" t="s">
        <v>117</v>
      </c>
      <c r="D13" s="75" cm="1">
        <f t="array" aca="1" ref="D13" ca="1">IFERROR(SUMPRODUCT(($A$36:$A$137=$A13)*($B$36:$B$137=$B12)*($C$36:$C$137=$D13)*($D$36:$D$137=$E13)*$K$36:$K$137*$M$36:$M$137)/SUMIFS($K$36:$K$137,$A$36:$A$137,$A13,$B$36:$B$137,$B12,$C$36:$C$137,$D13,$D$36:$D$137,$E13),0)</f>
        <v>24.4</v>
      </c>
      <c r="E13" s="76"/>
      <c r="F13" s="49"/>
      <c r="G13" s="49"/>
      <c r="H13" s="49"/>
      <c r="I13" s="49"/>
      <c r="J13" s="49"/>
      <c r="K13" s="49"/>
      <c r="L13" s="49"/>
      <c r="M13" s="49"/>
    </row>
    <row r="14" spans="1:13" x14ac:dyDescent="0.35">
      <c r="A14" s="73">
        <v>6</v>
      </c>
      <c r="B14" s="74" t="s">
        <v>116</v>
      </c>
      <c r="C14" s="74" t="s">
        <v>112</v>
      </c>
      <c r="D14" s="75">
        <v>13.1</v>
      </c>
      <c r="E14" s="76"/>
      <c r="F14" s="49"/>
      <c r="G14" s="49"/>
      <c r="H14" s="49"/>
      <c r="I14" s="49"/>
      <c r="J14" s="49"/>
      <c r="K14" s="49"/>
      <c r="L14" s="49"/>
      <c r="M14" s="49"/>
    </row>
    <row r="15" spans="1:13" x14ac:dyDescent="0.35">
      <c r="A15" s="73">
        <v>7</v>
      </c>
      <c r="B15" s="74" t="s">
        <v>118</v>
      </c>
      <c r="C15" s="74" t="s">
        <v>119</v>
      </c>
      <c r="D15" s="75" cm="1">
        <f t="array" aca="1" ref="D15" ca="1">IFERROR(SUMPRODUCT(($A$36:$A$137=$A15)*($B$36:$B$137=$B14)*($C$36:$C$137=$D15)*($D$36:$D$137=$E15)*$K$36:$K$137*$M$36:$M$137)/SUMIFS($K$36:$K$137,$A$36:$A$137,$A15,$B$36:$B$137,$B14,$C$36:$C$137,$D15,$D$36:$D$137,$E15),0)</f>
        <v>-62.308736726922312</v>
      </c>
      <c r="E15" s="76"/>
      <c r="F15" s="49"/>
      <c r="G15" s="49"/>
      <c r="H15" s="49"/>
      <c r="I15" s="49"/>
      <c r="J15" s="49"/>
      <c r="K15" s="49"/>
      <c r="L15" s="49"/>
      <c r="M15" s="49"/>
    </row>
    <row r="16" spans="1:13" x14ac:dyDescent="0.35">
      <c r="A16" s="73" t="s">
        <v>120</v>
      </c>
      <c r="B16" s="74" t="s">
        <v>121</v>
      </c>
      <c r="C16" s="74" t="s">
        <v>122</v>
      </c>
      <c r="D16" s="75" cm="1">
        <f t="array" aca="1" ref="D16" ca="1">IFERROR(SUMPRODUCT(($A$36:$A$137=$A16)*($B$36:$B$137=$B15)*($C$36:$C$137=$D16)*($D$36:$D$137=$E16)*$K$36:$K$137*$M$36:$M$137)/SUMIFS($K$36:$K$137,$A$36:$A$137,$A16,$B$36:$B$137,$B15,$C$36:$C$137,$D16,$D$36:$D$137,$E16),0)</f>
        <v>12.499999999999998</v>
      </c>
      <c r="E16" s="76"/>
      <c r="F16" s="49"/>
      <c r="G16" s="49"/>
      <c r="H16" s="49"/>
      <c r="I16" s="49"/>
      <c r="J16" s="49"/>
      <c r="K16" s="49"/>
      <c r="L16" s="49"/>
      <c r="M16" s="49"/>
    </row>
    <row r="17" spans="1:13" x14ac:dyDescent="0.35">
      <c r="A17" s="73" t="s">
        <v>123</v>
      </c>
      <c r="B17" s="74" t="s">
        <v>121</v>
      </c>
      <c r="C17" s="74" t="s">
        <v>122</v>
      </c>
      <c r="D17" s="75" cm="1">
        <f t="array" aca="1" ref="D17" ca="1">IFERROR(SUMPRODUCT(($A$36:$A$137=$A17)*($B$36:$B$137=$B16)*($C$36:$C$137=$D17)*($D$36:$D$137=$E17)*$K$36:$K$137*$M$36:$M$137)/SUMIFS($K$36:$K$137,$A$36:$A$137,$A17,$B$36:$B$137,$B16,$C$36:$C$137,$D17,$D$36:$D$137,$E17),0)</f>
        <v>12</v>
      </c>
      <c r="E17" s="76"/>
      <c r="F17" s="49"/>
      <c r="G17" s="49"/>
      <c r="H17" s="49"/>
      <c r="I17" s="49"/>
      <c r="J17" s="49"/>
      <c r="K17" s="49"/>
      <c r="L17" s="49"/>
      <c r="M17" s="49"/>
    </row>
    <row r="18" spans="1:13" x14ac:dyDescent="0.35">
      <c r="A18" s="73" t="s">
        <v>124</v>
      </c>
      <c r="B18" s="74" t="s">
        <v>125</v>
      </c>
      <c r="C18" s="74" t="s">
        <v>126</v>
      </c>
      <c r="D18" s="75" cm="1">
        <f t="array" aca="1" ref="D18" ca="1">IFERROR(SUMPRODUCT(($A$36:$A$137=$A18)*($B$36:$B$137=$B17)*($C$36:$C$137=$D18)*($D$36:$D$137=$E18)*$K$36:$K$137*$M$36:$M$137)/SUMIFS($K$36:$K$137,$A$36:$A$137,$A18,$B$36:$B$137,$B17,$C$36:$C$137,$D18,$D$36:$D$137,$E18),0)</f>
        <v>1.8</v>
      </c>
      <c r="E18" s="76"/>
      <c r="F18" s="49"/>
      <c r="G18" s="49"/>
      <c r="H18" s="49"/>
      <c r="I18" s="49"/>
      <c r="J18" s="49"/>
      <c r="K18" s="49"/>
      <c r="L18" s="49"/>
      <c r="M18" s="49"/>
    </row>
    <row r="19" spans="1:13" x14ac:dyDescent="0.35">
      <c r="A19" s="73" t="s">
        <v>127</v>
      </c>
      <c r="B19" s="74" t="s">
        <v>128</v>
      </c>
      <c r="C19" s="74" t="s">
        <v>129</v>
      </c>
      <c r="D19" s="75" cm="1">
        <f t="array" aca="1" ref="D19" ca="1">IFERROR(SUMPRODUCT(($A$36:$A$137=$A19)*($B$36:$B$137=$B18)*($C$36:$C$137=$D19)*($D$36:$D$137=$E19)*$K$36:$K$137*$M$36:$M$137)/SUMIFS($K$36:$K$137,$A$36:$A$137,$A19,$B$36:$B$137,$B18,$C$36:$C$137,$D19,$D$36:$D$137,$E19),0)</f>
        <v>0</v>
      </c>
      <c r="E19" s="76"/>
      <c r="F19" s="49"/>
      <c r="G19" s="49"/>
      <c r="H19" s="49"/>
      <c r="I19" s="49"/>
      <c r="J19" s="49"/>
      <c r="K19" s="49"/>
      <c r="L19" s="49"/>
      <c r="M19" s="49"/>
    </row>
    <row r="20" spans="1:13" x14ac:dyDescent="0.35">
      <c r="A20" s="73" t="s">
        <v>130</v>
      </c>
      <c r="B20" s="74" t="s">
        <v>131</v>
      </c>
      <c r="C20" s="74" t="s">
        <v>132</v>
      </c>
      <c r="D20" s="75" cm="1">
        <f t="array" aca="1" ref="D20" ca="1">IFERROR(SUMPRODUCT(($A$36:$A$137=$A20)*($B$36:$B$137=$B19)*($C$36:$C$137=$D20)*($D$36:$D$137=$E20)*$K$36:$K$137*$M$36:$M$137)/SUMIFS($K$36:$K$137,$A$36:$A$137,$A20,$B$36:$B$137,$B19,$C$36:$C$137,$D20,$D$36:$D$137,$E20),0)</f>
        <v>21.754916576617646</v>
      </c>
      <c r="E20" s="76"/>
      <c r="F20" s="49"/>
      <c r="G20" s="49"/>
      <c r="H20" s="49"/>
      <c r="I20" s="49"/>
      <c r="J20" s="49"/>
      <c r="K20" s="49"/>
      <c r="L20" s="49"/>
      <c r="M20" s="49"/>
    </row>
    <row r="21" spans="1:13" x14ac:dyDescent="0.35">
      <c r="A21" s="73" t="s">
        <v>133</v>
      </c>
      <c r="B21" s="74" t="s">
        <v>134</v>
      </c>
      <c r="C21" s="74" t="s">
        <v>135</v>
      </c>
      <c r="D21" s="75" cm="1">
        <f t="array" aca="1" ref="D21" ca="1">IFERROR(SUMPRODUCT(($A$36:$A$137=$A21)*($B$36:$B$137=$B20)*($C$36:$C$137=$D21)*($D$36:$D$137=$E21)*$K$36:$K$137*$M$36:$M$137)/SUMIFS($K$36:$K$137,$A$36:$A$137,$A21,$B$36:$B$137,$B20,$C$36:$C$137,$D21,$D$36:$D$137,$E21),0)</f>
        <v>2.4</v>
      </c>
      <c r="E21" s="76"/>
      <c r="F21" s="49"/>
      <c r="G21" s="49"/>
      <c r="H21" s="49"/>
      <c r="I21" s="49"/>
      <c r="J21" s="49"/>
      <c r="K21" s="49"/>
      <c r="L21" s="49"/>
      <c r="M21" s="49"/>
    </row>
    <row r="22" spans="1:13" x14ac:dyDescent="0.35">
      <c r="A22" s="73" t="s">
        <v>136</v>
      </c>
      <c r="B22" s="74" t="s">
        <v>30</v>
      </c>
      <c r="C22" s="74" t="s">
        <v>105</v>
      </c>
      <c r="D22" s="75" cm="1">
        <f t="array" aca="1" ref="D22" ca="1">IFERROR(SUMPRODUCT(($A$36:$A$137=$A22)*($B$36:$B$137=$B21)*($C$36:$C$137=$D22)*($D$36:$D$137=$E22)*$K$36:$K$137*$M$36:$M$137)/SUMIFS($K$36:$K$137,$A$36:$A$137,$A22,$B$36:$B$137,$B21,$C$36:$C$137,$D22,$D$36:$D$137,$E22),0)</f>
        <v>8.6991542925821808</v>
      </c>
      <c r="E22" s="76"/>
      <c r="F22" s="49"/>
      <c r="G22" s="49"/>
      <c r="H22" s="49"/>
      <c r="I22" s="49"/>
      <c r="J22" s="49"/>
      <c r="K22" s="49"/>
      <c r="L22" s="49"/>
      <c r="M22" s="49"/>
    </row>
    <row r="23" spans="1:13" x14ac:dyDescent="0.35">
      <c r="A23" s="73" t="s">
        <v>136</v>
      </c>
      <c r="B23" s="74" t="s">
        <v>137</v>
      </c>
      <c r="C23" s="74" t="s">
        <v>112</v>
      </c>
      <c r="D23" s="75" cm="1">
        <f t="array" aca="1" ref="D23" ca="1">IFERROR(SUMPRODUCT(($A$36:$A$137=$A23)*($B$36:$B$137=$B22)*($C$36:$C$137=$D23)*($D$36:$D$137=$E23)*$K$36:$K$137*$M$36:$M$137)/SUMIFS($K$36:$K$137,$A$36:$A$137,$A23,$B$36:$B$137,$B22,$C$36:$C$137,$D23,$D$36:$D$137,$E23),0)</f>
        <v>8.6991542925821808</v>
      </c>
      <c r="E23" s="76"/>
      <c r="F23" s="49"/>
      <c r="G23" s="49"/>
      <c r="H23" s="49"/>
      <c r="I23" s="49"/>
      <c r="J23" s="49"/>
      <c r="K23" s="49"/>
      <c r="L23" s="49"/>
      <c r="M23" s="49"/>
    </row>
    <row r="24" spans="1:13" x14ac:dyDescent="0.35">
      <c r="A24" s="73">
        <v>12</v>
      </c>
      <c r="B24" s="74" t="s">
        <v>128</v>
      </c>
      <c r="C24" s="74" t="s">
        <v>49</v>
      </c>
      <c r="D24" s="75" cm="1">
        <f t="array" aca="1" ref="D24" ca="1">IFERROR(SUMPRODUCT(($A$36:$A$137=$A24)*($B$36:$B$137=$B23)*($C$36:$C$137=$D24)*($D$36:$D$137=$E24)*$K$36:$K$137*$M$36:$M$137)/SUMIFS($K$36:$K$137,$A$36:$A$137,$A24,$B$36:$B$137,$B23,$C$36:$C$137,$D24,$D$36:$D$137,$E24),0)</f>
        <v>29.4</v>
      </c>
      <c r="E24" s="76"/>
      <c r="F24" s="49"/>
      <c r="G24" s="49"/>
      <c r="H24" s="49"/>
      <c r="I24" s="49"/>
      <c r="J24" s="49"/>
      <c r="K24" s="49"/>
      <c r="L24" s="49"/>
      <c r="M24" s="49"/>
    </row>
    <row r="25" spans="1:13" x14ac:dyDescent="0.35">
      <c r="A25" s="73" t="s">
        <v>138</v>
      </c>
      <c r="B25" s="74" t="s">
        <v>139</v>
      </c>
      <c r="C25" s="74" t="s">
        <v>140</v>
      </c>
      <c r="D25" s="75" cm="1">
        <f t="array" aca="1" ref="D25" ca="1">IFERROR(SUMPRODUCT(($A$36:$A$137=$A25)*($B$36:$B$137=$B24)*($C$36:$C$137=$D25)*($D$36:$D$137=$E25)*$K$36:$K$137*$M$36:$M$137)/SUMIFS($K$36:$K$137,$A$36:$A$137,$A25,$B$36:$B$137,$B24,$C$36:$C$137,$D25,$D$36:$D$137,$E25),0)</f>
        <v>55.5</v>
      </c>
      <c r="E25" s="76"/>
      <c r="F25" s="49"/>
      <c r="G25" s="49"/>
      <c r="H25" s="49"/>
      <c r="I25" s="49"/>
      <c r="J25" s="49"/>
      <c r="K25" s="49"/>
      <c r="L25" s="49"/>
      <c r="M25" s="49"/>
    </row>
    <row r="26" spans="1:13" x14ac:dyDescent="0.35">
      <c r="A26" s="73" t="s">
        <v>141</v>
      </c>
      <c r="B26" s="74" t="s">
        <v>31</v>
      </c>
      <c r="C26" s="74" t="s">
        <v>105</v>
      </c>
      <c r="D26" s="75" cm="1">
        <f t="array" aca="1" ref="D26" ca="1">IFERROR(SUMPRODUCT(($A$36:$A$137=$A26)*($B$36:$B$137=$B25)*($C$36:$C$137=$D26)*($D$36:$D$137=$E26)*$K$36:$K$137*$M$36:$M$137)/SUMIFS($K$36:$K$137,$A$36:$A$137,$A26,$B$36:$B$137,$B25,$C$36:$C$137,$D26,$D$36:$D$137,$E26),0)</f>
        <v>26.8</v>
      </c>
      <c r="E26" s="76"/>
      <c r="F26" s="49"/>
      <c r="G26" s="49"/>
      <c r="H26" s="49"/>
      <c r="I26" s="49"/>
      <c r="J26" s="49"/>
      <c r="K26" s="49"/>
      <c r="L26" s="49"/>
      <c r="M26" s="49"/>
    </row>
    <row r="27" spans="1:13" x14ac:dyDescent="0.35">
      <c r="A27" s="73" t="s">
        <v>141</v>
      </c>
      <c r="B27" s="74" t="s">
        <v>142</v>
      </c>
      <c r="C27" s="74" t="s">
        <v>143</v>
      </c>
      <c r="D27" s="75" cm="1">
        <f t="array" aca="1" ref="D27" ca="1">IFERROR(SUMPRODUCT(($A$36:$A$137=$A27)*($B$36:$B$137=$B26)*($C$36:$C$137=$D27)*($D$36:$D$137=$E27)*$K$36:$K$137*$M$36:$M$137)/SUMIFS($K$36:$K$137,$A$36:$A$137,$A27,$B$36:$B$137,$B26,$C$36:$C$137,$D27,$D$36:$D$137,$E27),0)</f>
        <v>26.8</v>
      </c>
      <c r="E27" s="76"/>
      <c r="F27" s="49"/>
      <c r="G27" s="49"/>
      <c r="H27" s="49"/>
      <c r="I27" s="49"/>
      <c r="J27" s="49"/>
      <c r="K27" s="49"/>
      <c r="L27" s="49"/>
      <c r="M27" s="49"/>
    </row>
    <row r="28" spans="1:13" x14ac:dyDescent="0.35">
      <c r="F28" s="49"/>
      <c r="G28" s="49"/>
      <c r="H28" s="49"/>
      <c r="I28" s="49"/>
      <c r="J28" s="49"/>
      <c r="K28" s="49"/>
      <c r="L28" s="49"/>
      <c r="M28" s="49"/>
    </row>
    <row r="29" spans="1:13" x14ac:dyDescent="0.35">
      <c r="A29" s="77" t="s">
        <v>144</v>
      </c>
      <c r="B29" s="78" t="s">
        <v>145</v>
      </c>
      <c r="C29" s="79" t="s">
        <v>146</v>
      </c>
      <c r="D29" s="80">
        <v>27.7</v>
      </c>
      <c r="G29" s="49"/>
      <c r="H29" s="49"/>
      <c r="I29" s="49"/>
      <c r="J29" s="49"/>
      <c r="K29" s="49"/>
      <c r="L29" s="49"/>
      <c r="M29" s="49"/>
    </row>
    <row r="30" spans="1:13" x14ac:dyDescent="0.35">
      <c r="A30" s="77" t="s">
        <v>147</v>
      </c>
      <c r="B30" s="78" t="s">
        <v>145</v>
      </c>
      <c r="C30" s="79" t="s">
        <v>146</v>
      </c>
      <c r="D30" s="80">
        <v>30.1</v>
      </c>
    </row>
    <row r="31" spans="1:13" x14ac:dyDescent="0.35">
      <c r="A31" s="77" t="s">
        <v>148</v>
      </c>
      <c r="B31" s="78" t="s">
        <v>149</v>
      </c>
      <c r="C31" s="79" t="s">
        <v>146</v>
      </c>
      <c r="D31" s="80">
        <v>29.1</v>
      </c>
    </row>
    <row r="32" spans="1:13" x14ac:dyDescent="0.35">
      <c r="A32" s="77" t="s">
        <v>150</v>
      </c>
      <c r="B32" s="78" t="s">
        <v>145</v>
      </c>
      <c r="C32" s="81" t="s">
        <v>151</v>
      </c>
      <c r="D32" s="82">
        <v>27.7</v>
      </c>
    </row>
    <row r="33" spans="1:4" x14ac:dyDescent="0.35">
      <c r="A33" s="77" t="s">
        <v>152</v>
      </c>
      <c r="B33" s="78" t="s">
        <v>145</v>
      </c>
      <c r="C33" s="81" t="s">
        <v>151</v>
      </c>
      <c r="D33" s="82">
        <v>25.6</v>
      </c>
    </row>
    <row r="34" spans="1:4" x14ac:dyDescent="0.35">
      <c r="A34" s="77" t="s">
        <v>153</v>
      </c>
      <c r="B34" s="78" t="s">
        <v>145</v>
      </c>
      <c r="C34" s="81" t="s">
        <v>154</v>
      </c>
      <c r="D34" s="82">
        <v>17</v>
      </c>
    </row>
    <row r="35" spans="1:4" x14ac:dyDescent="0.35">
      <c r="A35" s="83" t="s">
        <v>155</v>
      </c>
      <c r="B35" s="78" t="s">
        <v>145</v>
      </c>
      <c r="C35" s="81" t="s">
        <v>154</v>
      </c>
      <c r="D35" s="82">
        <v>17.399999999999999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CBED-96AD-4E33-88FD-32484B9C4069}">
  <dimension ref="A1:K61"/>
  <sheetViews>
    <sheetView topLeftCell="A36" workbookViewId="0">
      <pane xSplit="1" topLeftCell="B1" activePane="topRight" state="frozen"/>
      <selection activeCell="A12" sqref="A12"/>
      <selection pane="topRight" activeCell="B58" sqref="B58"/>
    </sheetView>
  </sheetViews>
  <sheetFormatPr baseColWidth="10" defaultRowHeight="14.5" x14ac:dyDescent="0.35"/>
  <cols>
    <col min="1" max="1" width="47.26953125" customWidth="1"/>
    <col min="2" max="11" width="11.26953125" customWidth="1"/>
  </cols>
  <sheetData>
    <row r="1" spans="1:10" ht="18.5" x14ac:dyDescent="0.45">
      <c r="A1" s="84" t="s">
        <v>156</v>
      </c>
      <c r="J1" s="49">
        <f>'2030 Sc 1'!B3</f>
        <v>7.9193948276371806</v>
      </c>
    </row>
    <row r="2" spans="1:10" x14ac:dyDescent="0.35">
      <c r="A2" s="86" t="s">
        <v>157</v>
      </c>
      <c r="J2" s="9">
        <f>'2023'!F40</f>
        <v>2486154.8229999999</v>
      </c>
    </row>
    <row r="3" spans="1:10" x14ac:dyDescent="0.35">
      <c r="J3">
        <f>'2023'!C17</f>
        <v>1.1315675675675676</v>
      </c>
    </row>
    <row r="4" spans="1:10" x14ac:dyDescent="0.35">
      <c r="A4" s="4" t="s">
        <v>158</v>
      </c>
    </row>
    <row r="5" spans="1:10" x14ac:dyDescent="0.35">
      <c r="A5" t="s">
        <v>159</v>
      </c>
      <c r="B5" s="87">
        <v>41868</v>
      </c>
    </row>
    <row r="6" spans="1:10" x14ac:dyDescent="0.35">
      <c r="F6" s="86" t="s">
        <v>177</v>
      </c>
    </row>
    <row r="7" spans="1:10" x14ac:dyDescent="0.35">
      <c r="A7" s="88" t="s">
        <v>160</v>
      </c>
      <c r="B7" s="88" t="s">
        <v>161</v>
      </c>
      <c r="C7" s="89" t="s">
        <v>162</v>
      </c>
      <c r="F7" s="88" t="s">
        <v>175</v>
      </c>
      <c r="G7" s="88" t="s">
        <v>176</v>
      </c>
      <c r="H7" s="89" t="s">
        <v>162</v>
      </c>
      <c r="I7" s="89" t="s">
        <v>239</v>
      </c>
    </row>
    <row r="8" spans="1:10" x14ac:dyDescent="0.35">
      <c r="A8" t="s">
        <v>238</v>
      </c>
      <c r="B8" s="85" t="s">
        <v>235</v>
      </c>
      <c r="C8" s="90">
        <f>AVERAGE($H$8:$H$12)</f>
        <v>13.178000000000001</v>
      </c>
      <c r="F8" t="s">
        <v>178</v>
      </c>
      <c r="G8" t="s">
        <v>179</v>
      </c>
      <c r="H8">
        <v>12.15</v>
      </c>
    </row>
    <row r="9" spans="1:10" x14ac:dyDescent="0.35">
      <c r="A9" t="s">
        <v>163</v>
      </c>
      <c r="B9" s="85" t="s">
        <v>234</v>
      </c>
      <c r="C9" s="90">
        <f>AVERAGE($H$15:$H$16,$H$31)</f>
        <v>26.866666666666664</v>
      </c>
      <c r="F9" t="s">
        <v>180</v>
      </c>
      <c r="G9" t="s">
        <v>181</v>
      </c>
      <c r="H9">
        <v>15.39</v>
      </c>
    </row>
    <row r="10" spans="1:10" x14ac:dyDescent="0.35">
      <c r="A10" t="s">
        <v>164</v>
      </c>
      <c r="B10" s="85" t="s">
        <v>165</v>
      </c>
      <c r="C10" s="90">
        <f>AVERAGE($H$17:$H$18)</f>
        <v>-20.276910075152351</v>
      </c>
      <c r="F10" t="s">
        <v>182</v>
      </c>
      <c r="G10" t="s">
        <v>183</v>
      </c>
      <c r="H10">
        <v>13.775</v>
      </c>
    </row>
    <row r="11" spans="1:10" x14ac:dyDescent="0.35">
      <c r="A11" t="s">
        <v>166</v>
      </c>
      <c r="B11" s="85" t="s">
        <v>240</v>
      </c>
      <c r="C11" s="90">
        <f>SUMPRODUCT($H$19:$H$25,$I$19:$I$25)</f>
        <v>16.243538573145546</v>
      </c>
      <c r="F11" t="s">
        <v>184</v>
      </c>
      <c r="G11" t="s">
        <v>185</v>
      </c>
      <c r="H11">
        <v>10.8</v>
      </c>
    </row>
    <row r="12" spans="1:10" x14ac:dyDescent="0.35">
      <c r="A12" t="s">
        <v>74</v>
      </c>
      <c r="B12" s="85" t="s">
        <v>247</v>
      </c>
      <c r="C12" s="90">
        <f>SUMPRODUCT($H$26:$H$28,$I$26:$I$28)</f>
        <v>13.705</v>
      </c>
      <c r="F12" t="s">
        <v>186</v>
      </c>
      <c r="G12" t="s">
        <v>187</v>
      </c>
      <c r="H12">
        <v>13.775</v>
      </c>
    </row>
    <row r="13" spans="1:10" x14ac:dyDescent="0.35">
      <c r="A13" t="s">
        <v>167</v>
      </c>
      <c r="B13" s="85" t="s">
        <v>168</v>
      </c>
      <c r="C13" s="91">
        <f>AVERAGE(Tabelle1!D29:D30)</f>
        <v>28.9</v>
      </c>
      <c r="F13" s="99" t="s">
        <v>188</v>
      </c>
      <c r="G13" s="99" t="s">
        <v>236</v>
      </c>
      <c r="H13" s="99">
        <v>55.5</v>
      </c>
    </row>
    <row r="14" spans="1:10" x14ac:dyDescent="0.35">
      <c r="A14" t="s">
        <v>169</v>
      </c>
      <c r="B14" s="85" t="s">
        <v>170</v>
      </c>
      <c r="C14" s="91">
        <f>Tabelle1!D31</f>
        <v>29.1</v>
      </c>
      <c r="F14" s="99" t="s">
        <v>189</v>
      </c>
      <c r="G14" s="99" t="s">
        <v>237</v>
      </c>
      <c r="H14" s="99">
        <v>8.6991542925821808</v>
      </c>
    </row>
    <row r="15" spans="1:10" x14ac:dyDescent="0.35">
      <c r="A15" t="s">
        <v>171</v>
      </c>
      <c r="B15" s="85" t="s">
        <v>172</v>
      </c>
      <c r="C15" s="90">
        <f>$H$29</f>
        <v>1.8</v>
      </c>
      <c r="F15" t="s">
        <v>190</v>
      </c>
      <c r="G15" t="s">
        <v>191</v>
      </c>
      <c r="H15">
        <v>24.4</v>
      </c>
    </row>
    <row r="16" spans="1:10" x14ac:dyDescent="0.35">
      <c r="A16" t="s">
        <v>173</v>
      </c>
      <c r="B16" s="85" t="s">
        <v>174</v>
      </c>
      <c r="C16" s="90">
        <f>$H$30</f>
        <v>2.4</v>
      </c>
      <c r="F16" t="s">
        <v>192</v>
      </c>
      <c r="G16" t="s">
        <v>193</v>
      </c>
      <c r="H16">
        <v>26.8</v>
      </c>
    </row>
    <row r="17" spans="6:9" x14ac:dyDescent="0.35">
      <c r="F17" t="s">
        <v>194</v>
      </c>
      <c r="G17" t="s">
        <v>195</v>
      </c>
      <c r="H17">
        <v>-62.308736726922298</v>
      </c>
    </row>
    <row r="18" spans="6:9" x14ac:dyDescent="0.35">
      <c r="F18" t="s">
        <v>196</v>
      </c>
      <c r="G18" t="s">
        <v>197</v>
      </c>
      <c r="H18">
        <v>21.7549165766176</v>
      </c>
    </row>
    <row r="19" spans="6:9" x14ac:dyDescent="0.35">
      <c r="F19" t="s">
        <v>198</v>
      </c>
      <c r="G19" t="s">
        <v>199</v>
      </c>
      <c r="H19">
        <v>26.05</v>
      </c>
      <c r="I19" s="100">
        <v>0.125</v>
      </c>
    </row>
    <row r="20" spans="6:9" x14ac:dyDescent="0.35">
      <c r="F20" t="s">
        <v>200</v>
      </c>
      <c r="G20" t="s">
        <v>201</v>
      </c>
      <c r="H20">
        <v>21.4</v>
      </c>
      <c r="I20" s="100">
        <v>0.125</v>
      </c>
    </row>
    <row r="21" spans="6:9" x14ac:dyDescent="0.35">
      <c r="F21" t="s">
        <v>202</v>
      </c>
      <c r="G21" t="s">
        <v>203</v>
      </c>
      <c r="H21">
        <v>17.5</v>
      </c>
      <c r="I21" s="100">
        <v>0.125</v>
      </c>
    </row>
    <row r="22" spans="6:9" x14ac:dyDescent="0.35">
      <c r="F22" t="s">
        <v>204</v>
      </c>
      <c r="G22" t="s">
        <v>205</v>
      </c>
      <c r="H22">
        <v>21.4</v>
      </c>
      <c r="I22" s="100">
        <v>0.125</v>
      </c>
    </row>
    <row r="23" spans="6:9" x14ac:dyDescent="0.35">
      <c r="F23" s="99" t="s">
        <v>206</v>
      </c>
      <c r="G23" s="99" t="s">
        <v>241</v>
      </c>
      <c r="H23" s="99">
        <v>24.4</v>
      </c>
      <c r="I23" s="100">
        <v>0</v>
      </c>
    </row>
    <row r="24" spans="6:9" x14ac:dyDescent="0.35">
      <c r="F24" t="s">
        <v>207</v>
      </c>
      <c r="G24" t="s">
        <v>208</v>
      </c>
      <c r="H24">
        <v>13.1</v>
      </c>
      <c r="I24" s="100">
        <v>0.25</v>
      </c>
    </row>
    <row r="25" spans="6:9" x14ac:dyDescent="0.35">
      <c r="F25" t="s">
        <v>209</v>
      </c>
      <c r="G25" t="s">
        <v>210</v>
      </c>
      <c r="H25">
        <v>8.6991542925821808</v>
      </c>
      <c r="I25" s="100">
        <v>0.25</v>
      </c>
    </row>
    <row r="26" spans="6:9" x14ac:dyDescent="0.35">
      <c r="F26" t="s">
        <v>243</v>
      </c>
      <c r="G26" t="s">
        <v>244</v>
      </c>
      <c r="H26">
        <v>12.5</v>
      </c>
      <c r="I26" s="100">
        <v>0.45</v>
      </c>
    </row>
    <row r="27" spans="6:9" x14ac:dyDescent="0.35">
      <c r="F27" t="s">
        <v>245</v>
      </c>
      <c r="G27" t="s">
        <v>246</v>
      </c>
      <c r="H27">
        <v>12</v>
      </c>
      <c r="I27" s="100">
        <v>0.45</v>
      </c>
    </row>
    <row r="28" spans="6:9" x14ac:dyDescent="0.35">
      <c r="F28" t="s">
        <v>211</v>
      </c>
      <c r="G28" t="s">
        <v>212</v>
      </c>
      <c r="H28">
        <v>26.8</v>
      </c>
      <c r="I28" s="100">
        <v>0.1</v>
      </c>
    </row>
    <row r="29" spans="6:9" x14ac:dyDescent="0.35">
      <c r="F29" t="s">
        <v>213</v>
      </c>
      <c r="G29" t="s">
        <v>214</v>
      </c>
      <c r="H29">
        <v>1.8</v>
      </c>
    </row>
    <row r="30" spans="6:9" x14ac:dyDescent="0.35">
      <c r="F30" t="s">
        <v>215</v>
      </c>
      <c r="G30" t="s">
        <v>216</v>
      </c>
      <c r="H30">
        <v>2.4</v>
      </c>
    </row>
    <row r="31" spans="6:9" x14ac:dyDescent="0.35">
      <c r="F31" s="73" t="s">
        <v>232</v>
      </c>
      <c r="G31" s="74" t="s">
        <v>233</v>
      </c>
      <c r="H31" s="74">
        <v>29.4</v>
      </c>
    </row>
    <row r="32" spans="6:9" x14ac:dyDescent="0.35">
      <c r="G32" s="102" t="s">
        <v>242</v>
      </c>
      <c r="I32" s="101">
        <f>SUM($I$19:$I$25)</f>
        <v>1</v>
      </c>
    </row>
    <row r="33" spans="1:11" ht="16" x14ac:dyDescent="0.4">
      <c r="A33" s="92" t="s">
        <v>217</v>
      </c>
      <c r="G33" s="102" t="s">
        <v>248</v>
      </c>
      <c r="I33" s="101">
        <f>SUM($I$26:$I$28)</f>
        <v>1</v>
      </c>
    </row>
    <row r="34" spans="1:11" x14ac:dyDescent="0.35">
      <c r="A34" s="88" t="s">
        <v>160</v>
      </c>
      <c r="B34" s="93">
        <v>2023</v>
      </c>
      <c r="C34" s="89" t="s">
        <v>218</v>
      </c>
      <c r="D34" s="89" t="s">
        <v>219</v>
      </c>
      <c r="E34" s="89" t="s">
        <v>220</v>
      </c>
      <c r="F34" s="89" t="s">
        <v>221</v>
      </c>
      <c r="G34" s="89" t="s">
        <v>222</v>
      </c>
      <c r="H34" s="89" t="s">
        <v>223</v>
      </c>
      <c r="I34" s="89" t="s">
        <v>224</v>
      </c>
      <c r="J34" s="89" t="s">
        <v>225</v>
      </c>
      <c r="K34" s="89" t="s">
        <v>226</v>
      </c>
    </row>
    <row r="35" spans="1:11" x14ac:dyDescent="0.35">
      <c r="A35" t="str">
        <f>$A$8</f>
        <v>Advanced biodiesel (FAME / HVO)</v>
      </c>
      <c r="B35" s="94">
        <v>0</v>
      </c>
      <c r="C35" s="94">
        <f>'2030 Sc 1'!B3</f>
        <v>7.9193948276371806</v>
      </c>
      <c r="D35" s="94">
        <f>'2030 Sc 2'!B4</f>
        <v>0</v>
      </c>
      <c r="E35" s="94">
        <v>0</v>
      </c>
      <c r="F35" s="94">
        <f>'2035 Sc 1'!B4</f>
        <v>11.471012896745457</v>
      </c>
      <c r="G35" s="94">
        <f>'2035 Sc 2'!B3</f>
        <v>0</v>
      </c>
      <c r="H35" s="94">
        <f>'2035 Sc 3'!B3</f>
        <v>0</v>
      </c>
      <c r="I35" s="94">
        <f>'2040  Sc 1'!B3</f>
        <v>11.167025994370341</v>
      </c>
      <c r="J35" s="94">
        <f>'2040 Sc 2'!B3</f>
        <v>0</v>
      </c>
      <c r="K35" s="94">
        <f>'2040 Sc 3'!B3</f>
        <v>0</v>
      </c>
    </row>
    <row r="36" spans="1:11" x14ac:dyDescent="0.35">
      <c r="A36" t="str">
        <f>$A$9</f>
        <v>Advanced biogasoline (ethanol)</v>
      </c>
      <c r="B36" s="94">
        <v>0</v>
      </c>
      <c r="C36" s="94">
        <f>'2030 Sc 1'!B4</f>
        <v>3.6551267391184932</v>
      </c>
      <c r="D36" s="94">
        <f>'2030 Sc 2'!B5</f>
        <v>0</v>
      </c>
      <c r="E36" s="94">
        <v>0</v>
      </c>
      <c r="F36" s="94">
        <f>'2035 Sc 1'!B5</f>
        <v>2.0844602638658398</v>
      </c>
      <c r="G36" s="94">
        <f>'2035 Sc 2'!B4</f>
        <v>0</v>
      </c>
      <c r="H36" s="94">
        <f>'2035 Sc 3'!B4</f>
        <v>0</v>
      </c>
      <c r="I36" s="94">
        <f>'2040  Sc 1'!B4</f>
        <v>0.74936263987612817</v>
      </c>
      <c r="J36" s="94">
        <f>'2040 Sc 2'!B4</f>
        <v>0</v>
      </c>
      <c r="K36" s="94">
        <f>'2040 Sc 3'!B4</f>
        <v>0</v>
      </c>
    </row>
    <row r="37" spans="1:11" x14ac:dyDescent="0.35">
      <c r="A37" t="str">
        <f>$A$10</f>
        <v>Advanced biogas / biomethane</v>
      </c>
      <c r="B37" s="94">
        <v>0</v>
      </c>
      <c r="C37" s="94">
        <f>'2030 Sc 1'!B5</f>
        <v>0</v>
      </c>
      <c r="D37" s="94">
        <f>'2030 Sc 2'!B6</f>
        <v>0</v>
      </c>
      <c r="E37" s="94">
        <v>0</v>
      </c>
      <c r="F37" s="94">
        <f>'2035 Sc 1'!B6</f>
        <v>0</v>
      </c>
      <c r="G37" s="94">
        <f>'2035 Sc 2'!B5</f>
        <v>0</v>
      </c>
      <c r="H37" s="94">
        <f>'2035 Sc 3'!B5</f>
        <v>0</v>
      </c>
      <c r="I37" s="94">
        <f>'2040  Sc 1'!B5</f>
        <v>0</v>
      </c>
      <c r="J37" s="94">
        <f>'2040 Sc 2'!B5</f>
        <v>0</v>
      </c>
      <c r="K37" s="94">
        <f>'2040 Sc 3'!B5</f>
        <v>0</v>
      </c>
    </row>
    <row r="38" spans="1:11" x14ac:dyDescent="0.35">
      <c r="A38" t="str">
        <f>$A$11</f>
        <v>Advanced bio-kerosene (HEFA / ATJ / FT-SPK)</v>
      </c>
      <c r="B38" s="94">
        <v>0</v>
      </c>
      <c r="C38" s="94">
        <f>'2030 Sc 1'!B6</f>
        <v>0.79777400568398904</v>
      </c>
      <c r="D38" s="94">
        <f>'2030 Sc 2'!B7</f>
        <v>0</v>
      </c>
      <c r="E38" s="94">
        <v>0</v>
      </c>
      <c r="F38" s="94">
        <f>'2035 Sc 1'!B7</f>
        <v>3.5163409111268522</v>
      </c>
      <c r="G38" s="94">
        <f>'2035 Sc 2'!B6</f>
        <v>0</v>
      </c>
      <c r="H38" s="94">
        <f>'2035 Sc 3'!B6</f>
        <v>0</v>
      </c>
      <c r="I38" s="94">
        <f>'2040  Sc 1'!B6</f>
        <v>4.7218354012351735</v>
      </c>
      <c r="J38" s="94">
        <f>'2040 Sc 2'!B6</f>
        <v>0</v>
      </c>
      <c r="K38" s="94">
        <f>'2040 Sc 3'!B6</f>
        <v>0</v>
      </c>
    </row>
    <row r="39" spans="1:11" x14ac:dyDescent="0.35">
      <c r="A39" t="str">
        <f>$A$12</f>
        <v>Advanced bio-HFO</v>
      </c>
      <c r="B39" s="94">
        <v>0</v>
      </c>
      <c r="C39" s="94">
        <f>'2030 Sc 1'!B7</f>
        <v>0.98976830034809804</v>
      </c>
      <c r="D39" s="94">
        <f>'2030 Sc 2'!B8</f>
        <v>0</v>
      </c>
      <c r="E39" s="94">
        <v>0</v>
      </c>
      <c r="F39" s="94">
        <f>'2035 Sc 1'!B8</f>
        <v>0.3642970133125143</v>
      </c>
      <c r="G39" s="94">
        <f>'2035 Sc 2'!B7</f>
        <v>0</v>
      </c>
      <c r="H39" s="94">
        <f>'2035 Sc 3'!B7</f>
        <v>0</v>
      </c>
      <c r="I39" s="94">
        <f>'2040  Sc 1'!B7</f>
        <v>5.6543290955606231</v>
      </c>
      <c r="J39" s="94">
        <f>'2040 Sc 2'!B7</f>
        <v>0</v>
      </c>
      <c r="K39" s="94">
        <f>'2040 Sc 3'!B7</f>
        <v>0</v>
      </c>
    </row>
    <row r="40" spans="1:11" x14ac:dyDescent="0.35">
      <c r="A40" t="str">
        <f>$A$13</f>
        <v>Conventional biodiesel (food/feed crops)</v>
      </c>
      <c r="B40" s="94">
        <f>'2023'!F40/'2023'!C17/1000000</f>
        <v>2.197089148060571</v>
      </c>
      <c r="C40" s="94">
        <f>'2030 Sc 1'!B10</f>
        <v>0.72414109813774985</v>
      </c>
      <c r="D40" s="94">
        <f>'2030 Sc 2'!B11</f>
        <v>6.2189820603247821</v>
      </c>
      <c r="E40" s="94">
        <v>0</v>
      </c>
      <c r="F40" s="94">
        <v>0</v>
      </c>
      <c r="G40" s="94">
        <f>'2035 Sc 2'!B10</f>
        <v>0</v>
      </c>
      <c r="H40" s="94">
        <f>'2035 Sc 3'!B10</f>
        <v>0</v>
      </c>
      <c r="I40" s="94">
        <f>'2040  Sc 1'!B10</f>
        <v>0</v>
      </c>
      <c r="J40" s="94">
        <f>'2040 Sc 2'!B10</f>
        <v>0</v>
      </c>
      <c r="K40" s="94">
        <f>'2040 Sc 3'!B10</f>
        <v>0</v>
      </c>
    </row>
    <row r="41" spans="1:11" x14ac:dyDescent="0.35">
      <c r="A41" t="str">
        <f>$A$14</f>
        <v>Conventional biogasoline (food/feed crops)</v>
      </c>
      <c r="B41" s="94">
        <f>'2023'!F41/'2023'!C20/1000000</f>
        <v>0.39147899032674111</v>
      </c>
      <c r="C41" s="94">
        <v>0</v>
      </c>
      <c r="D41" s="94">
        <v>0</v>
      </c>
      <c r="E41" s="94">
        <v>0</v>
      </c>
      <c r="F41" s="94">
        <v>0</v>
      </c>
      <c r="G41" s="94">
        <v>0</v>
      </c>
      <c r="H41" s="94">
        <v>0</v>
      </c>
      <c r="I41" s="94">
        <v>0</v>
      </c>
      <c r="J41" s="94">
        <v>0</v>
      </c>
      <c r="K41" s="94">
        <v>0</v>
      </c>
    </row>
    <row r="42" spans="1:11" x14ac:dyDescent="0.35">
      <c r="A42" t="str">
        <f>$A$15</f>
        <v>RFNBO e-methanol (IVC 8c)</v>
      </c>
      <c r="B42" s="94">
        <v>0</v>
      </c>
      <c r="C42" s="94">
        <f>'2030 Sc 1'!B12</f>
        <v>0</v>
      </c>
      <c r="D42" s="94">
        <v>0</v>
      </c>
      <c r="E42" s="94">
        <v>0</v>
      </c>
      <c r="F42" s="94">
        <f>'2035 Sc 1'!B14</f>
        <v>3.640041106516934</v>
      </c>
      <c r="G42" s="94">
        <f>'2035 Sc 2'!B13</f>
        <v>1.966594604775868</v>
      </c>
      <c r="H42" s="94">
        <v>0</v>
      </c>
      <c r="I42" s="94">
        <f>'2040  Sc 1'!B13</f>
        <v>6.7588959240628537</v>
      </c>
      <c r="J42" s="94">
        <f>'2040 Sc 2'!B12</f>
        <v>3.6311850552833165</v>
      </c>
      <c r="K42" s="94">
        <v>0</v>
      </c>
    </row>
    <row r="43" spans="1:11" x14ac:dyDescent="0.35">
      <c r="A43" t="str">
        <f>$A$16</f>
        <v>RFNBO e-methane (IVC 9b)</v>
      </c>
      <c r="B43" s="94">
        <v>0</v>
      </c>
      <c r="C43" s="94">
        <f>'2030 Sc 1'!B13</f>
        <v>0.3366156912552698</v>
      </c>
      <c r="D43" s="94">
        <v>0</v>
      </c>
      <c r="E43" s="94">
        <v>0</v>
      </c>
      <c r="F43" s="94">
        <f>'2035 Sc 1'!B15</f>
        <v>10.008769356212662</v>
      </c>
      <c r="G43" s="94">
        <f>'2035 Sc 2'!B14</f>
        <v>1.5341825287344655</v>
      </c>
      <c r="H43" s="94">
        <f>'2035 Sc 3'!B12</f>
        <v>1.5341825287344655</v>
      </c>
      <c r="I43" s="94">
        <f>'2040  Sc 1'!B14</f>
        <v>14.968379689230348</v>
      </c>
      <c r="J43" s="94">
        <f>'2040 Sc 2'!B13</f>
        <v>5.8619292801001226</v>
      </c>
      <c r="K43" s="94">
        <f>'2040 Sc 3'!B15</f>
        <v>4.8960079259334552</v>
      </c>
    </row>
    <row r="44" spans="1:11" x14ac:dyDescent="0.35">
      <c r="A44" s="95" t="s">
        <v>227</v>
      </c>
      <c r="B44" s="96">
        <f>SUM(B35:B43)</f>
        <v>2.5885681383873123</v>
      </c>
      <c r="C44" s="96">
        <f t="shared" ref="C44:K44" si="0">SUM(C35:C43)</f>
        <v>14.422820662180781</v>
      </c>
      <c r="D44" s="96">
        <f t="shared" si="0"/>
        <v>6.2189820603247821</v>
      </c>
      <c r="E44" s="96">
        <f t="shared" si="0"/>
        <v>0</v>
      </c>
      <c r="F44" s="96">
        <f t="shared" si="0"/>
        <v>31.084921547780255</v>
      </c>
      <c r="G44" s="96">
        <f t="shared" si="0"/>
        <v>3.5007771335103337</v>
      </c>
      <c r="H44" s="96">
        <f t="shared" si="0"/>
        <v>1.5341825287344655</v>
      </c>
      <c r="I44" s="96">
        <f t="shared" si="0"/>
        <v>44.019828744335463</v>
      </c>
      <c r="J44" s="96">
        <f t="shared" si="0"/>
        <v>9.4931143353834386</v>
      </c>
      <c r="K44" s="96">
        <f t="shared" si="0"/>
        <v>4.8960079259334552</v>
      </c>
    </row>
    <row r="47" spans="1:11" ht="16" x14ac:dyDescent="0.4">
      <c r="A47" s="92" t="s">
        <v>228</v>
      </c>
    </row>
    <row r="48" spans="1:11" x14ac:dyDescent="0.35">
      <c r="A48" s="88" t="s">
        <v>160</v>
      </c>
      <c r="B48" s="93">
        <v>2023</v>
      </c>
      <c r="C48" s="89" t="s">
        <v>218</v>
      </c>
      <c r="D48" s="89" t="s">
        <v>219</v>
      </c>
      <c r="E48" s="89" t="s">
        <v>220</v>
      </c>
      <c r="F48" s="89" t="s">
        <v>221</v>
      </c>
      <c r="G48" s="89" t="s">
        <v>222</v>
      </c>
      <c r="H48" s="89" t="s">
        <v>223</v>
      </c>
      <c r="I48" s="89" t="s">
        <v>224</v>
      </c>
      <c r="J48" s="89" t="s">
        <v>225</v>
      </c>
      <c r="K48" s="89" t="s">
        <v>226</v>
      </c>
    </row>
    <row r="49" spans="1:11" x14ac:dyDescent="0.35">
      <c r="A49" t="str">
        <f>$A$8</f>
        <v>Advanced biodiesel (FAME / HVO)</v>
      </c>
      <c r="B49" s="94">
        <f t="shared" ref="B49:K49" si="1">B35*$C8*$B$5/1000000</f>
        <v>0</v>
      </c>
      <c r="C49" s="94">
        <f t="shared" si="1"/>
        <v>4.3694192159962206</v>
      </c>
      <c r="D49" s="94">
        <f t="shared" si="1"/>
        <v>0</v>
      </c>
      <c r="E49" s="94">
        <f t="shared" si="1"/>
        <v>0</v>
      </c>
      <c r="F49" s="94">
        <f t="shared" si="1"/>
        <v>6.3289765529892508</v>
      </c>
      <c r="G49" s="94">
        <f t="shared" si="1"/>
        <v>0</v>
      </c>
      <c r="H49" s="94">
        <f t="shared" si="1"/>
        <v>0</v>
      </c>
      <c r="I49" s="94">
        <f t="shared" si="1"/>
        <v>6.1612558822110168</v>
      </c>
      <c r="J49" s="94">
        <f t="shared" si="1"/>
        <v>0</v>
      </c>
      <c r="K49" s="94">
        <f t="shared" si="1"/>
        <v>0</v>
      </c>
    </row>
    <row r="50" spans="1:11" x14ac:dyDescent="0.35">
      <c r="A50" t="str">
        <f>$A$9</f>
        <v>Advanced biogasoline (ethanol)</v>
      </c>
      <c r="B50" s="94">
        <f t="shared" ref="B50:K50" si="2">B36*$C9*$B$5/1000000</f>
        <v>0</v>
      </c>
      <c r="C50" s="94">
        <f t="shared" si="2"/>
        <v>4.111482470953697</v>
      </c>
      <c r="D50" s="94">
        <f t="shared" si="2"/>
        <v>0</v>
      </c>
      <c r="E50" s="94">
        <f t="shared" si="2"/>
        <v>0</v>
      </c>
      <c r="F50" s="94">
        <f t="shared" si="2"/>
        <v>2.3447126318664395</v>
      </c>
      <c r="G50" s="94">
        <f t="shared" si="2"/>
        <v>0</v>
      </c>
      <c r="H50" s="94">
        <f t="shared" si="2"/>
        <v>0</v>
      </c>
      <c r="I50" s="94">
        <f t="shared" si="2"/>
        <v>0.84292326317016619</v>
      </c>
      <c r="J50" s="94">
        <f t="shared" si="2"/>
        <v>0</v>
      </c>
      <c r="K50" s="94">
        <f t="shared" si="2"/>
        <v>0</v>
      </c>
    </row>
    <row r="51" spans="1:11" x14ac:dyDescent="0.35">
      <c r="A51" t="str">
        <f>$A$10</f>
        <v>Advanced biogas / biomethane</v>
      </c>
      <c r="B51" s="94">
        <f t="shared" ref="B51:K51" si="3">B37*$C10*$B$5/1000000</f>
        <v>0</v>
      </c>
      <c r="C51" s="94">
        <f t="shared" si="3"/>
        <v>0</v>
      </c>
      <c r="D51" s="94">
        <f t="shared" si="3"/>
        <v>0</v>
      </c>
      <c r="E51" s="94">
        <f t="shared" si="3"/>
        <v>0</v>
      </c>
      <c r="F51" s="94">
        <f t="shared" si="3"/>
        <v>0</v>
      </c>
      <c r="G51" s="94">
        <f t="shared" si="3"/>
        <v>0</v>
      </c>
      <c r="H51" s="94">
        <f t="shared" si="3"/>
        <v>0</v>
      </c>
      <c r="I51" s="94">
        <f t="shared" si="3"/>
        <v>0</v>
      </c>
      <c r="J51" s="94">
        <f t="shared" si="3"/>
        <v>0</v>
      </c>
      <c r="K51" s="94">
        <f t="shared" si="3"/>
        <v>0</v>
      </c>
    </row>
    <row r="52" spans="1:11" x14ac:dyDescent="0.35">
      <c r="A52" t="str">
        <f>$A$11</f>
        <v>Advanced bio-kerosene (HEFA / ATJ / FT-SPK)</v>
      </c>
      <c r="B52" s="94">
        <f t="shared" ref="B52:K52" si="4">B38*$C11*$B$5/1000000</f>
        <v>0</v>
      </c>
      <c r="C52" s="94">
        <f t="shared" si="4"/>
        <v>0.54255371421310439</v>
      </c>
      <c r="D52" s="94">
        <f t="shared" si="4"/>
        <v>0</v>
      </c>
      <c r="E52" s="94">
        <f t="shared" si="4"/>
        <v>0</v>
      </c>
      <c r="F52" s="94">
        <f t="shared" si="4"/>
        <v>2.3914088553633279</v>
      </c>
      <c r="G52" s="94">
        <f t="shared" si="4"/>
        <v>0</v>
      </c>
      <c r="H52" s="94">
        <f t="shared" si="4"/>
        <v>0</v>
      </c>
      <c r="I52" s="94">
        <f t="shared" si="4"/>
        <v>3.2112469403494908</v>
      </c>
      <c r="J52" s="94">
        <f t="shared" si="4"/>
        <v>0</v>
      </c>
      <c r="K52" s="94">
        <f t="shared" si="4"/>
        <v>0</v>
      </c>
    </row>
    <row r="53" spans="1:11" x14ac:dyDescent="0.35">
      <c r="A53" t="str">
        <f>$A$12</f>
        <v>Advanced bio-HFO</v>
      </c>
      <c r="B53" s="94">
        <f t="shared" ref="B53:K53" si="5">B39*$C12*$B$5/1000000</f>
        <v>0</v>
      </c>
      <c r="C53" s="94">
        <f t="shared" si="5"/>
        <v>0.56792998112194104</v>
      </c>
      <c r="D53" s="94">
        <f t="shared" si="5"/>
        <v>0</v>
      </c>
      <c r="E53" s="94">
        <f t="shared" si="5"/>
        <v>0</v>
      </c>
      <c r="F53" s="94">
        <f t="shared" si="5"/>
        <v>0.20903396867791321</v>
      </c>
      <c r="G53" s="94">
        <f t="shared" si="5"/>
        <v>0</v>
      </c>
      <c r="H53" s="94">
        <f t="shared" si="5"/>
        <v>0</v>
      </c>
      <c r="I53" s="94">
        <f t="shared" si="5"/>
        <v>3.2444593501020353</v>
      </c>
      <c r="J53" s="94">
        <f t="shared" si="5"/>
        <v>0</v>
      </c>
      <c r="K53" s="94">
        <f t="shared" si="5"/>
        <v>0</v>
      </c>
    </row>
    <row r="54" spans="1:11" x14ac:dyDescent="0.35">
      <c r="A54" t="str">
        <f>$A$13</f>
        <v>Conventional biodiesel (food/feed crops)</v>
      </c>
      <c r="B54" s="94">
        <f t="shared" ref="B54:K54" si="6">B40*$C13*$B$5/1000000</f>
        <v>2.6584453522338993</v>
      </c>
      <c r="C54" s="94">
        <f t="shared" si="6"/>
        <v>0.87620001145842497</v>
      </c>
      <c r="D54" s="94">
        <f t="shared" si="6"/>
        <v>7.5248762520584931</v>
      </c>
      <c r="E54" s="94">
        <f t="shared" si="6"/>
        <v>0</v>
      </c>
      <c r="F54" s="94">
        <f t="shared" si="6"/>
        <v>0</v>
      </c>
      <c r="G54" s="94">
        <f t="shared" si="6"/>
        <v>0</v>
      </c>
      <c r="H54" s="94">
        <f t="shared" si="6"/>
        <v>0</v>
      </c>
      <c r="I54" s="94">
        <f t="shared" si="6"/>
        <v>0</v>
      </c>
      <c r="J54" s="94">
        <f t="shared" si="6"/>
        <v>0</v>
      </c>
      <c r="K54" s="94">
        <f t="shared" si="6"/>
        <v>0</v>
      </c>
    </row>
    <row r="55" spans="1:11" x14ac:dyDescent="0.35">
      <c r="A55" t="str">
        <f>$A$14</f>
        <v>Conventional biogasoline (food/feed crops)</v>
      </c>
      <c r="B55" s="94">
        <f t="shared" ref="B55:K55" si="7">B41*$C14*$B$5/1000000</f>
        <v>0.47696187287969993</v>
      </c>
      <c r="C55" s="94">
        <f t="shared" si="7"/>
        <v>0</v>
      </c>
      <c r="D55" s="94">
        <f t="shared" si="7"/>
        <v>0</v>
      </c>
      <c r="E55" s="94">
        <f t="shared" si="7"/>
        <v>0</v>
      </c>
      <c r="F55" s="94">
        <f t="shared" si="7"/>
        <v>0</v>
      </c>
      <c r="G55" s="94">
        <f t="shared" si="7"/>
        <v>0</v>
      </c>
      <c r="H55" s="94">
        <f t="shared" si="7"/>
        <v>0</v>
      </c>
      <c r="I55" s="94">
        <f t="shared" si="7"/>
        <v>0</v>
      </c>
      <c r="J55" s="94">
        <f t="shared" si="7"/>
        <v>0</v>
      </c>
      <c r="K55" s="94">
        <f t="shared" si="7"/>
        <v>0</v>
      </c>
    </row>
    <row r="56" spans="1:11" x14ac:dyDescent="0.35">
      <c r="A56" t="str">
        <f>$A$15</f>
        <v>RFNBO e-methanol (IVC 8c)</v>
      </c>
      <c r="B56" s="94">
        <f t="shared" ref="B56:K56" si="8">B42*$C15*$B$5/1000000</f>
        <v>0</v>
      </c>
      <c r="C56" s="94">
        <f t="shared" si="8"/>
        <v>0</v>
      </c>
      <c r="D56" s="94">
        <f t="shared" si="8"/>
        <v>0</v>
      </c>
      <c r="E56" s="94">
        <f t="shared" si="8"/>
        <v>0</v>
      </c>
      <c r="F56" s="94">
        <f t="shared" si="8"/>
        <v>0.27432223388577182</v>
      </c>
      <c r="G56" s="94">
        <f t="shared" si="8"/>
        <v>0.14820728924296087</v>
      </c>
      <c r="H56" s="94">
        <f t="shared" si="8"/>
        <v>0</v>
      </c>
      <c r="I56" s="94">
        <f t="shared" si="8"/>
        <v>0.50936661818759443</v>
      </c>
      <c r="J56" s="94">
        <f t="shared" si="8"/>
        <v>0.2736548206102834</v>
      </c>
      <c r="K56" s="94">
        <f t="shared" si="8"/>
        <v>0</v>
      </c>
    </row>
    <row r="57" spans="1:11" x14ac:dyDescent="0.35">
      <c r="A57" t="str">
        <f>$A$16</f>
        <v>RFNBO e-methane (IVC 9b)</v>
      </c>
      <c r="B57" s="94">
        <f t="shared" ref="B57:K57" si="9">B43*$C16*$B$5/1000000</f>
        <v>0</v>
      </c>
      <c r="C57" s="94">
        <f t="shared" si="9"/>
        <v>3.382422182754153E-2</v>
      </c>
      <c r="D57" s="94">
        <f t="shared" si="9"/>
        <v>0</v>
      </c>
      <c r="E57" s="94">
        <f t="shared" si="9"/>
        <v>0</v>
      </c>
      <c r="F57" s="94">
        <f t="shared" si="9"/>
        <v>1.0057131729741882</v>
      </c>
      <c r="G57" s="94">
        <f t="shared" si="9"/>
        <v>0.15415956987133103</v>
      </c>
      <c r="H57" s="94">
        <f t="shared" si="9"/>
        <v>0.15415956987133103</v>
      </c>
      <c r="I57" s="94">
        <f t="shared" si="9"/>
        <v>1.5040706899888709</v>
      </c>
      <c r="J57" s="94">
        <f t="shared" si="9"/>
        <v>0.58902541223815652</v>
      </c>
      <c r="K57" s="94">
        <f t="shared" si="9"/>
        <v>0.49196654362315656</v>
      </c>
    </row>
    <row r="58" spans="1:11" x14ac:dyDescent="0.35">
      <c r="A58" s="97" t="s">
        <v>229</v>
      </c>
      <c r="B58" s="98">
        <f>SUM(B49:B57)</f>
        <v>3.1354072251135992</v>
      </c>
      <c r="C58" s="98">
        <f t="shared" ref="C58:K58" si="10">SUM(C49:C57)</f>
        <v>10.501409615570928</v>
      </c>
      <c r="D58" s="98">
        <f t="shared" si="10"/>
        <v>7.5248762520584931</v>
      </c>
      <c r="E58" s="98">
        <f t="shared" si="10"/>
        <v>0</v>
      </c>
      <c r="F58" s="98">
        <f t="shared" si="10"/>
        <v>12.554167415756888</v>
      </c>
      <c r="G58" s="98">
        <f t="shared" si="10"/>
        <v>0.3023668591142919</v>
      </c>
      <c r="H58" s="98">
        <f t="shared" si="10"/>
        <v>0.15415956987133103</v>
      </c>
      <c r="I58" s="98">
        <f t="shared" si="10"/>
        <v>15.473322744009174</v>
      </c>
      <c r="J58" s="98">
        <f t="shared" si="10"/>
        <v>0.86268023284843998</v>
      </c>
      <c r="K58" s="98">
        <f t="shared" si="10"/>
        <v>0.49196654362315656</v>
      </c>
    </row>
    <row r="60" spans="1:11" x14ac:dyDescent="0.35">
      <c r="A60" s="86" t="s">
        <v>230</v>
      </c>
    </row>
    <row r="61" spans="1:11" x14ac:dyDescent="0.35">
      <c r="A61" s="86" t="s">
        <v>231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14D6-8623-4712-98E9-49202D226453}">
  <sheetPr>
    <tabColor theme="5" tint="0.39997558519241921"/>
  </sheetPr>
  <dimension ref="A1:K15"/>
  <sheetViews>
    <sheetView workbookViewId="0">
      <selection activeCell="B4" sqref="B4"/>
    </sheetView>
  </sheetViews>
  <sheetFormatPr baseColWidth="10" defaultRowHeight="14.5" x14ac:dyDescent="0.35"/>
  <cols>
    <col min="1" max="1" width="20.6328125" customWidth="1"/>
    <col min="2" max="2" width="17.81640625" customWidth="1"/>
    <col min="3" max="3" width="18.453125" customWidth="1"/>
    <col min="4" max="4" width="19.90625" customWidth="1"/>
    <col min="5" max="5" width="19.36328125" customWidth="1"/>
    <col min="6" max="6" width="18.54296875" customWidth="1"/>
    <col min="7" max="7" width="12.36328125" bestFit="1" customWidth="1"/>
    <col min="10" max="10" width="14.90625" customWidth="1"/>
  </cols>
  <sheetData>
    <row r="1" spans="1:11" ht="24.5" customHeight="1" x14ac:dyDescent="0.35">
      <c r="A1" s="43" t="s">
        <v>56</v>
      </c>
      <c r="B1" s="43"/>
      <c r="C1" s="43"/>
      <c r="D1" s="43"/>
      <c r="E1" s="43"/>
      <c r="F1" s="43"/>
      <c r="G1" s="43"/>
      <c r="H1" s="4"/>
      <c r="I1" s="4"/>
      <c r="J1" s="4"/>
      <c r="K1" s="4"/>
    </row>
    <row r="2" spans="1:11" x14ac:dyDescent="0.35">
      <c r="A2" s="2" t="s">
        <v>0</v>
      </c>
      <c r="B2" s="2" t="s">
        <v>59</v>
      </c>
      <c r="C2" s="2" t="s">
        <v>2</v>
      </c>
      <c r="D2" s="2" t="s">
        <v>60</v>
      </c>
      <c r="E2" s="2" t="s">
        <v>61</v>
      </c>
      <c r="F2" s="25" t="s">
        <v>39</v>
      </c>
      <c r="G2" s="24" t="s">
        <v>27</v>
      </c>
    </row>
    <row r="3" spans="1:11" x14ac:dyDescent="0.35">
      <c r="A3" t="s">
        <v>30</v>
      </c>
      <c r="B3" s="49">
        <f>'[3]GAP analysis Sc. 1'!$I$36</f>
        <v>7.9193948276371806</v>
      </c>
      <c r="C3" s="9">
        <f>('[2]2030 costs Sc 1'!$E$9+'[2]2030 costs Sc 1'!$E$16+'[2]2030 costs Sc 1'!$E$23)/3</f>
        <v>1.0277043407043407</v>
      </c>
      <c r="D3" s="49">
        <f>B3*C3*1000000</f>
        <v>8138796.4401142336</v>
      </c>
      <c r="E3" s="3">
        <f>(1450+1750)/2</f>
        <v>1600</v>
      </c>
      <c r="F3" s="7">
        <f>D3*E3</f>
        <v>13022074304.182774</v>
      </c>
      <c r="G3" s="9">
        <f>F3/1000000</f>
        <v>13022.074304182774</v>
      </c>
      <c r="H3" s="49"/>
      <c r="I3" s="49"/>
      <c r="J3" s="49"/>
    </row>
    <row r="4" spans="1:11" x14ac:dyDescent="0.35">
      <c r="A4" t="s">
        <v>31</v>
      </c>
      <c r="B4" s="49">
        <f>'[3]GAP analysis Sc. 1'!$G$39</f>
        <v>3.6551267391184932</v>
      </c>
      <c r="C4">
        <f>('[2]2035 costs Sc 1'!$E$43+'[2]2035 costs Sc 1'!$E$57)/2</f>
        <v>1.2753333333333334</v>
      </c>
      <c r="D4" s="49">
        <f>B4*C4*1000000</f>
        <v>4661504.9679557858</v>
      </c>
      <c r="E4" s="3">
        <v>1000</v>
      </c>
      <c r="F4" s="7">
        <f>D4*E4</f>
        <v>4661504967.9557858</v>
      </c>
      <c r="G4" s="9">
        <f t="shared" ref="G4:G7" si="0">F4/1000000</f>
        <v>4661.504967955786</v>
      </c>
      <c r="H4" s="49"/>
      <c r="I4" s="49"/>
      <c r="J4" s="49"/>
    </row>
    <row r="5" spans="1:11" x14ac:dyDescent="0.35">
      <c r="A5" t="s">
        <v>18</v>
      </c>
      <c r="B5" s="49">
        <v>0</v>
      </c>
      <c r="C5" s="9">
        <f>('[2]2035 costs Sc 1'!$E$85)</f>
        <v>0.83669064748201449</v>
      </c>
      <c r="D5" s="49">
        <f>B5*C5*1000000</f>
        <v>0</v>
      </c>
      <c r="E5" s="49">
        <v>1275</v>
      </c>
      <c r="F5" s="7">
        <f t="shared" ref="F5:F7" si="1">D5*E5</f>
        <v>0</v>
      </c>
      <c r="G5" s="9">
        <f t="shared" si="0"/>
        <v>0</v>
      </c>
      <c r="H5" s="49"/>
      <c r="I5" s="49"/>
      <c r="J5" s="49"/>
    </row>
    <row r="6" spans="1:11" x14ac:dyDescent="0.35">
      <c r="A6" t="s">
        <v>34</v>
      </c>
      <c r="B6" s="49">
        <f>'[3]GAP analysis Sc. 1'!$G$59</f>
        <v>0.79777400568398904</v>
      </c>
      <c r="C6" s="9">
        <f>('[2]2035 costs Sc 1'!$E$119+'[2]2035 costs Sc 1'!$E$126+'[2]2035 costs Sc 1'!$E$138)/3</f>
        <v>0.98244961240310091</v>
      </c>
      <c r="D6" s="49">
        <f>B6*C6*1000000</f>
        <v>783772.76266950427</v>
      </c>
      <c r="E6" s="51">
        <v>2380</v>
      </c>
      <c r="F6" s="7">
        <f t="shared" si="1"/>
        <v>1865379175.1534202</v>
      </c>
      <c r="G6" s="9">
        <f t="shared" si="0"/>
        <v>1865.3791751534202</v>
      </c>
      <c r="H6" s="49"/>
      <c r="I6" s="49"/>
      <c r="J6" s="49"/>
    </row>
    <row r="7" spans="1:11" x14ac:dyDescent="0.35">
      <c r="A7" t="s">
        <v>35</v>
      </c>
      <c r="B7" s="49">
        <f>'[3]GAP analysis Sc. 1'!$G$48</f>
        <v>0.98976830034809804</v>
      </c>
      <c r="C7" s="9">
        <v>2</v>
      </c>
      <c r="D7" s="49">
        <f>B7*C7*1000000</f>
        <v>1979536.6006961961</v>
      </c>
      <c r="E7" s="49">
        <v>935</v>
      </c>
      <c r="F7" s="7">
        <f t="shared" si="1"/>
        <v>1850866721.6509433</v>
      </c>
      <c r="G7" s="9">
        <f t="shared" si="0"/>
        <v>1850.8667216509432</v>
      </c>
      <c r="H7" s="49"/>
      <c r="I7" s="49"/>
      <c r="J7" s="49"/>
    </row>
    <row r="8" spans="1:11" x14ac:dyDescent="0.35">
      <c r="A8" t="s">
        <v>76</v>
      </c>
      <c r="B8" s="49">
        <f>SUM(B3:B7)</f>
        <v>13.362063872787761</v>
      </c>
      <c r="D8" s="49">
        <f>SUM(D3:D7)</f>
        <v>15563610.771435721</v>
      </c>
      <c r="E8" s="49">
        <f t="shared" ref="E8:G10" si="2">SUM(E3:E7)</f>
        <v>7190</v>
      </c>
      <c r="F8" s="49">
        <f t="shared" si="2"/>
        <v>21399825168.942921</v>
      </c>
      <c r="G8" s="49">
        <f t="shared" si="2"/>
        <v>21399.82516894292</v>
      </c>
    </row>
    <row r="9" spans="1:11" x14ac:dyDescent="0.35">
      <c r="A9" s="2" t="s">
        <v>62</v>
      </c>
      <c r="B9" s="2" t="s">
        <v>59</v>
      </c>
      <c r="C9" s="2"/>
      <c r="D9" s="2" t="s">
        <v>60</v>
      </c>
      <c r="E9" s="2" t="s">
        <v>61</v>
      </c>
      <c r="F9" s="25" t="s">
        <v>39</v>
      </c>
      <c r="G9" s="24" t="s">
        <v>27</v>
      </c>
    </row>
    <row r="10" spans="1:11" x14ac:dyDescent="0.35">
      <c r="A10" t="s">
        <v>30</v>
      </c>
      <c r="B10" s="45">
        <f>'[3]GAP analysis Sc. 1'!$I$37</f>
        <v>0.72414109813774985</v>
      </c>
      <c r="C10" s="9">
        <f>('[2]2035 costs Sc 1'!$E$203+'[2]2035 costs Sc 1'!$E$211+'[2]2035 costs Sc 1'!$E$218+'[2]2035 costs Sc 1'!$E$226)/4</f>
        <v>1.041556511056511</v>
      </c>
      <c r="D10" s="49">
        <f>B10*C10*1000000</f>
        <v>754233.87568898522</v>
      </c>
      <c r="E10">
        <v>1165.6261363636365</v>
      </c>
      <c r="F10" s="7">
        <f>D10*E10</f>
        <v>879154718.43392313</v>
      </c>
      <c r="G10" s="49">
        <f t="shared" si="2"/>
        <v>25116.071065747285</v>
      </c>
      <c r="H10" s="57"/>
    </row>
    <row r="11" spans="1:11" x14ac:dyDescent="0.35">
      <c r="A11" s="2" t="s">
        <v>84</v>
      </c>
      <c r="B11" s="2"/>
      <c r="C11" s="2"/>
      <c r="D11" s="2"/>
      <c r="E11" s="2"/>
      <c r="F11" s="2"/>
      <c r="G11" s="2"/>
    </row>
    <row r="12" spans="1:11" x14ac:dyDescent="0.35">
      <c r="A12" t="s">
        <v>87</v>
      </c>
      <c r="B12">
        <v>0</v>
      </c>
    </row>
    <row r="13" spans="1:11" x14ac:dyDescent="0.35">
      <c r="A13" t="s">
        <v>88</v>
      </c>
      <c r="B13">
        <f>'[3]GAP analysis Sc. 1'!$G$66</f>
        <v>0.3366156912552698</v>
      </c>
      <c r="C13" s="9">
        <f>'[2]2040 Sc 1'!$E$171</f>
        <v>0.83669064748201449</v>
      </c>
      <c r="D13" s="49">
        <f>B13*C13*1000000</f>
        <v>281643.20066897757</v>
      </c>
      <c r="E13" s="23">
        <v>1275</v>
      </c>
      <c r="F13" s="64">
        <f>D13*E13</f>
        <v>359095080.8529464</v>
      </c>
    </row>
    <row r="15" spans="1:11" x14ac:dyDescent="0.35">
      <c r="B15" s="45"/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78C5-E926-4EE8-8418-B2BD4C2D1B7D}">
  <sheetPr>
    <tabColor theme="5" tint="0.59999389629810485"/>
  </sheetPr>
  <dimension ref="A2:L13"/>
  <sheetViews>
    <sheetView workbookViewId="0">
      <selection activeCell="B11" sqref="B11"/>
    </sheetView>
  </sheetViews>
  <sheetFormatPr baseColWidth="10" defaultRowHeight="14.5" x14ac:dyDescent="0.35"/>
  <cols>
    <col min="1" max="1" width="20.6328125" customWidth="1"/>
    <col min="2" max="3" width="14.54296875" customWidth="1"/>
    <col min="4" max="4" width="18.453125" customWidth="1"/>
    <col min="5" max="5" width="19.90625" customWidth="1"/>
    <col min="6" max="6" width="19.36328125" customWidth="1"/>
    <col min="7" max="7" width="13.08984375" customWidth="1"/>
    <col min="8" max="8" width="12.36328125" bestFit="1" customWidth="1"/>
    <col min="11" max="11" width="14.90625" customWidth="1"/>
  </cols>
  <sheetData>
    <row r="2" spans="1:12" ht="24.5" customHeight="1" x14ac:dyDescent="0.35">
      <c r="A2" s="43" t="s">
        <v>56</v>
      </c>
      <c r="B2" s="43"/>
      <c r="C2" s="43"/>
      <c r="D2" s="43"/>
      <c r="E2" s="43"/>
      <c r="F2" s="43"/>
      <c r="G2" s="43"/>
      <c r="H2" s="4"/>
      <c r="I2" s="4"/>
      <c r="J2" s="4"/>
      <c r="K2" s="4"/>
      <c r="L2" s="4"/>
    </row>
    <row r="3" spans="1:12" x14ac:dyDescent="0.35">
      <c r="A3" s="2" t="s">
        <v>0</v>
      </c>
      <c r="B3" s="2" t="s">
        <v>59</v>
      </c>
      <c r="C3" s="2" t="s">
        <v>80</v>
      </c>
      <c r="D3" s="2" t="s">
        <v>60</v>
      </c>
      <c r="E3" s="2" t="s">
        <v>61</v>
      </c>
      <c r="F3" s="25" t="s">
        <v>39</v>
      </c>
      <c r="G3" s="24" t="s">
        <v>27</v>
      </c>
    </row>
    <row r="4" spans="1:12" x14ac:dyDescent="0.35">
      <c r="A4" t="s">
        <v>30</v>
      </c>
      <c r="B4">
        <f>'[2]2030 costs Sc 2'!$D$275</f>
        <v>0</v>
      </c>
      <c r="D4" s="9">
        <f>'[2]2030 costs Sc 2'!$F$275</f>
        <v>0</v>
      </c>
      <c r="E4" s="3">
        <f>(1450+1750)/2</f>
        <v>1600</v>
      </c>
      <c r="F4" s="7">
        <f>D4*E4</f>
        <v>0</v>
      </c>
      <c r="G4" s="9">
        <f>F4/1000000</f>
        <v>0</v>
      </c>
      <c r="H4" s="63"/>
    </row>
    <row r="5" spans="1:12" x14ac:dyDescent="0.35">
      <c r="A5" t="s">
        <v>31</v>
      </c>
      <c r="B5">
        <v>0</v>
      </c>
      <c r="E5">
        <v>1000</v>
      </c>
    </row>
    <row r="6" spans="1:12" x14ac:dyDescent="0.35">
      <c r="A6" t="s">
        <v>18</v>
      </c>
      <c r="B6">
        <v>0</v>
      </c>
    </row>
    <row r="7" spans="1:12" x14ac:dyDescent="0.35">
      <c r="A7" t="s">
        <v>34</v>
      </c>
      <c r="B7">
        <v>0</v>
      </c>
    </row>
    <row r="8" spans="1:12" x14ac:dyDescent="0.35">
      <c r="A8" t="s">
        <v>35</v>
      </c>
      <c r="B8">
        <v>0</v>
      </c>
    </row>
    <row r="9" spans="1:12" s="4" customFormat="1" x14ac:dyDescent="0.35">
      <c r="A9" s="4" t="s">
        <v>77</v>
      </c>
      <c r="B9" s="4">
        <f>SUM(B4:B8)</f>
        <v>0</v>
      </c>
      <c r="E9"/>
      <c r="G9" s="4">
        <f>SUM(G4:G8)</f>
        <v>0</v>
      </c>
    </row>
    <row r="10" spans="1:12" x14ac:dyDescent="0.35">
      <c r="A10" s="2" t="s">
        <v>62</v>
      </c>
      <c r="B10" s="2" t="s">
        <v>59</v>
      </c>
      <c r="C10" s="2"/>
      <c r="D10" s="2" t="s">
        <v>60</v>
      </c>
      <c r="E10" s="2" t="s">
        <v>61</v>
      </c>
      <c r="F10" s="25" t="s">
        <v>39</v>
      </c>
      <c r="G10" s="24" t="s">
        <v>27</v>
      </c>
    </row>
    <row r="11" spans="1:12" x14ac:dyDescent="0.35">
      <c r="A11" t="s">
        <v>30</v>
      </c>
      <c r="B11" s="45">
        <f>'[3]GAP analysis Sc. 2'!$G$37</f>
        <v>6.2189820603247821</v>
      </c>
      <c r="C11" s="9">
        <f>('[2]2035 costs Sc 1'!$E$203+'[2]2035 costs Sc 1'!$E$211+'[2]2035 costs Sc 1'!$E$218+'[2]2035 costs Sc 1'!$E$226)/4</f>
        <v>1.041556511056511</v>
      </c>
      <c r="D11" s="9">
        <f>B11*C11*1000000</f>
        <v>6477421.257074913</v>
      </c>
      <c r="E11" s="49">
        <v>1165.6261363636365</v>
      </c>
      <c r="F11" s="7">
        <f>D11*E11</f>
        <v>7550251513.4839201</v>
      </c>
      <c r="G11" s="9">
        <f>F11/1000000</f>
        <v>7550.2515134839205</v>
      </c>
      <c r="H11" s="57"/>
    </row>
    <row r="13" spans="1:12" x14ac:dyDescent="0.35">
      <c r="B13" s="9"/>
      <c r="C13" s="9"/>
    </row>
  </sheetData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4332-C297-453E-A806-910AAFCCA78C}">
  <sheetPr>
    <tabColor theme="5" tint="0.79998168889431442"/>
  </sheetPr>
  <dimension ref="A1:K28"/>
  <sheetViews>
    <sheetView workbookViewId="0">
      <selection activeCell="B4" sqref="B4"/>
    </sheetView>
  </sheetViews>
  <sheetFormatPr baseColWidth="10" defaultRowHeight="14.5" x14ac:dyDescent="0.35"/>
  <cols>
    <col min="1" max="1" width="20.6328125" customWidth="1"/>
    <col min="2" max="2" width="14.54296875" customWidth="1"/>
    <col min="3" max="3" width="18.453125" customWidth="1"/>
    <col min="4" max="4" width="19.90625" customWidth="1"/>
    <col min="5" max="5" width="19.36328125" customWidth="1"/>
    <col min="6" max="6" width="20.36328125" customWidth="1"/>
    <col min="7" max="7" width="12.36328125" bestFit="1" customWidth="1"/>
    <col min="10" max="10" width="14.90625" customWidth="1"/>
  </cols>
  <sheetData>
    <row r="1" spans="1:11" ht="24.5" customHeight="1" x14ac:dyDescent="0.35">
      <c r="A1" s="43" t="s">
        <v>68</v>
      </c>
      <c r="B1" s="43" t="s">
        <v>79</v>
      </c>
      <c r="C1" s="43" t="s">
        <v>80</v>
      </c>
      <c r="D1" s="43" t="s">
        <v>81</v>
      </c>
      <c r="E1" s="43" t="s">
        <v>82</v>
      </c>
      <c r="F1" s="43" t="s">
        <v>83</v>
      </c>
      <c r="G1" s="4"/>
      <c r="H1" s="4"/>
      <c r="I1" s="4"/>
      <c r="J1" s="4"/>
      <c r="K1" s="4"/>
    </row>
    <row r="2" spans="1:11" ht="14.5" customHeight="1" x14ac:dyDescent="0.35">
      <c r="A2" s="4" t="s">
        <v>69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4.5" customHeight="1" x14ac:dyDescent="0.35">
      <c r="A3" s="4" t="s">
        <v>67</v>
      </c>
      <c r="B3" s="54"/>
      <c r="C3" s="4"/>
      <c r="D3" s="4"/>
      <c r="E3" s="4"/>
      <c r="F3" s="69"/>
      <c r="G3" s="4"/>
      <c r="H3" s="4"/>
      <c r="I3" s="4"/>
      <c r="J3" s="4"/>
      <c r="K3" s="4"/>
    </row>
    <row r="4" spans="1:11" ht="14" customHeight="1" x14ac:dyDescent="0.35">
      <c r="A4" s="4" t="s">
        <v>70</v>
      </c>
      <c r="B4" s="49">
        <f>'[1]Scenario 3 2030'!$I$4</f>
        <v>0.98610230646027475</v>
      </c>
      <c r="C4" s="9">
        <f>('[2]2030 costs Sc 1'!$E$9+'[2]2030 costs Sc 1'!$E$16+'[2]2030 costs Sc 1'!$E$23)/3</f>
        <v>1.0277043407043407</v>
      </c>
      <c r="D4" s="9">
        <f>B4*C4*1000000</f>
        <v>1013421.6207277864</v>
      </c>
      <c r="E4" s="55">
        <f>(1450+1750)/2</f>
        <v>1600</v>
      </c>
      <c r="F4" s="26">
        <f>D4*E4</f>
        <v>1621474593.1644583</v>
      </c>
      <c r="G4" s="4"/>
      <c r="H4" s="4"/>
      <c r="I4" s="4"/>
      <c r="J4" s="4"/>
      <c r="K4" s="4"/>
    </row>
    <row r="5" spans="1:11" ht="13" customHeight="1" x14ac:dyDescent="0.35">
      <c r="A5" s="4" t="s">
        <v>71</v>
      </c>
      <c r="B5" s="49">
        <f>'[1]Scenario 3 2030'!$I$8</f>
        <v>30.513235262318396</v>
      </c>
      <c r="C5">
        <f>('[2]2035 costs Sc 1'!$E$43+'[2]2035 costs Sc 1'!$E$57)/2</f>
        <v>1.2753333333333334</v>
      </c>
      <c r="D5" s="9">
        <f t="shared" ref="D5:D8" si="0">B5*C5*1000000</f>
        <v>38914546.037876733</v>
      </c>
      <c r="E5" s="55">
        <v>1000</v>
      </c>
      <c r="F5" s="26">
        <f t="shared" ref="F5:F8" si="1">D5*E5</f>
        <v>38914546037.876732</v>
      </c>
      <c r="G5" s="4"/>
      <c r="H5" s="4"/>
      <c r="I5" s="4"/>
      <c r="J5" s="4"/>
      <c r="K5" s="4"/>
    </row>
    <row r="6" spans="1:11" ht="13" customHeight="1" x14ac:dyDescent="0.35">
      <c r="A6" s="4" t="s">
        <v>72</v>
      </c>
      <c r="B6" s="49">
        <f>'[1]Scenario 3 2030'!$I$14</f>
        <v>24.295002958833294</v>
      </c>
      <c r="C6" s="9">
        <f>('[2]2035 costs Sc 1'!$E$85)</f>
        <v>0.83669064748201449</v>
      </c>
      <c r="D6" s="9">
        <f t="shared" si="0"/>
        <v>20327401.756203689</v>
      </c>
      <c r="E6" s="55">
        <v>1275</v>
      </c>
      <c r="F6" s="26">
        <f t="shared" si="1"/>
        <v>25917437239.159702</v>
      </c>
      <c r="G6" s="4"/>
      <c r="H6" s="4"/>
      <c r="I6" s="4"/>
      <c r="J6" s="4"/>
      <c r="K6" s="4"/>
    </row>
    <row r="7" spans="1:11" ht="13" customHeight="1" x14ac:dyDescent="0.35">
      <c r="A7" s="4" t="s">
        <v>73</v>
      </c>
      <c r="B7" s="49">
        <f>'[1]Scenario 3 2030'!$I$28</f>
        <v>7.0505843827259946</v>
      </c>
      <c r="C7" s="34">
        <v>0.97</v>
      </c>
      <c r="D7" s="9">
        <f t="shared" si="0"/>
        <v>6839066.8512442149</v>
      </c>
      <c r="E7" s="51">
        <v>2380</v>
      </c>
      <c r="F7" s="26">
        <f t="shared" si="1"/>
        <v>16276979105.961231</v>
      </c>
      <c r="G7" s="4"/>
      <c r="H7" s="4"/>
      <c r="I7" s="4"/>
      <c r="J7" s="4"/>
      <c r="K7" s="4"/>
    </row>
    <row r="8" spans="1:11" ht="13" customHeight="1" x14ac:dyDescent="0.35">
      <c r="A8" s="4" t="s">
        <v>74</v>
      </c>
      <c r="B8" s="49">
        <f>'[1]Scenario 3 2030'!$I$20</f>
        <v>22.789276105954944</v>
      </c>
      <c r="C8" s="9">
        <v>2</v>
      </c>
      <c r="D8" s="9">
        <f t="shared" si="0"/>
        <v>45578552.21190989</v>
      </c>
      <c r="E8" s="52">
        <v>935</v>
      </c>
      <c r="F8" s="26">
        <f t="shared" si="1"/>
        <v>42615946318.13575</v>
      </c>
      <c r="G8" s="4"/>
      <c r="H8" s="4"/>
      <c r="I8" s="4"/>
      <c r="J8" s="4"/>
      <c r="K8" s="4"/>
    </row>
    <row r="9" spans="1:11" ht="13" customHeight="1" x14ac:dyDescent="0.35">
      <c r="A9" s="4" t="s">
        <v>75</v>
      </c>
      <c r="B9" s="50">
        <f>SUM(B4:B8)</f>
        <v>85.634201016292906</v>
      </c>
      <c r="F9" s="69">
        <f>SUM(F4:F8)</f>
        <v>125346383294.29788</v>
      </c>
      <c r="G9" s="4"/>
      <c r="H9" s="4"/>
      <c r="I9" s="4"/>
      <c r="J9" s="4"/>
      <c r="K9" s="4"/>
    </row>
    <row r="10" spans="1:11" ht="13" customHeight="1" x14ac:dyDescent="0.35">
      <c r="A10" s="4"/>
      <c r="B10" s="49"/>
      <c r="F10" s="26"/>
      <c r="G10" s="4"/>
      <c r="H10" s="4"/>
      <c r="I10" s="4"/>
      <c r="J10" s="4"/>
      <c r="K10" s="4"/>
    </row>
    <row r="11" spans="1:11" ht="13" customHeight="1" x14ac:dyDescent="0.35">
      <c r="A11" s="4" t="s">
        <v>86</v>
      </c>
      <c r="B11" s="49">
        <f>'[1]Scenario 3 2030'!$G$26</f>
        <v>5.1463700607311189</v>
      </c>
      <c r="C11" s="9">
        <f>'[2]2030 costs Sc 3'!$E$202</f>
        <v>2.0934000000000004</v>
      </c>
      <c r="D11" s="9">
        <f t="shared" ref="D11:D12" si="2">B11*C11*1000000</f>
        <v>10773411.085134527</v>
      </c>
      <c r="E11" s="56">
        <v>935</v>
      </c>
      <c r="F11" s="26">
        <f t="shared" ref="F11:F12" si="3">D11*E11</f>
        <v>10073139364.600782</v>
      </c>
      <c r="G11" s="4"/>
      <c r="H11" s="4"/>
      <c r="I11" s="4"/>
      <c r="J11" s="4"/>
      <c r="K11" s="4"/>
    </row>
    <row r="12" spans="1:11" ht="13" customHeight="1" x14ac:dyDescent="0.35">
      <c r="A12" s="4" t="s">
        <v>85</v>
      </c>
      <c r="B12" s="49">
        <f>'[1]Scenario 3 2030'!$G$17</f>
        <v>6.5401862004042322</v>
      </c>
      <c r="C12" s="9">
        <f>'[2]2030 costs Sc 3'!$E$209</f>
        <v>0.83669064748201449</v>
      </c>
      <c r="D12" s="9">
        <f t="shared" si="2"/>
        <v>5472112.6266691526</v>
      </c>
      <c r="E12">
        <v>1275</v>
      </c>
      <c r="F12" s="26">
        <f t="shared" si="3"/>
        <v>6976943599.00317</v>
      </c>
      <c r="G12" s="4"/>
      <c r="H12" s="4"/>
      <c r="I12" s="4"/>
      <c r="J12" s="4"/>
      <c r="K12" s="4"/>
    </row>
    <row r="13" spans="1:11" ht="13" customHeight="1" x14ac:dyDescent="0.35">
      <c r="A13" s="4"/>
      <c r="B13" s="50">
        <f>B9+B11+B12</f>
        <v>97.320757277428257</v>
      </c>
      <c r="C13" s="46"/>
      <c r="D13" s="46"/>
      <c r="E13" s="4"/>
      <c r="F13" s="69">
        <f>F11+F12</f>
        <v>17050082963.603952</v>
      </c>
      <c r="G13" s="4"/>
      <c r="H13" s="4"/>
      <c r="I13" s="4"/>
      <c r="J13" s="4"/>
      <c r="K13" s="4"/>
    </row>
    <row r="14" spans="1:11" ht="24.5" customHeight="1" x14ac:dyDescent="0.35">
      <c r="A14" s="43" t="s">
        <v>56</v>
      </c>
      <c r="B14" s="43"/>
      <c r="C14" s="68" t="s">
        <v>97</v>
      </c>
      <c r="D14" s="43"/>
      <c r="E14" s="43"/>
      <c r="F14" s="43"/>
      <c r="G14" s="4"/>
      <c r="H14" s="4"/>
      <c r="I14" s="4"/>
      <c r="J14" s="4"/>
      <c r="K14" s="4"/>
    </row>
    <row r="15" spans="1:11" x14ac:dyDescent="0.35">
      <c r="A15" s="2" t="s">
        <v>0</v>
      </c>
      <c r="B15" s="2" t="s">
        <v>59</v>
      </c>
      <c r="C15" s="2" t="s">
        <v>60</v>
      </c>
      <c r="D15" s="2" t="s">
        <v>61</v>
      </c>
      <c r="E15" s="25" t="s">
        <v>39</v>
      </c>
      <c r="F15" s="24" t="s">
        <v>27</v>
      </c>
    </row>
    <row r="16" spans="1:11" x14ac:dyDescent="0.35">
      <c r="A16" t="s">
        <v>30</v>
      </c>
      <c r="C16" s="9"/>
      <c r="D16" s="3">
        <f>(1450+1750)/2</f>
        <v>1600</v>
      </c>
    </row>
    <row r="17" spans="1:7" x14ac:dyDescent="0.35">
      <c r="A17" t="s">
        <v>31</v>
      </c>
      <c r="D17" s="3">
        <v>1000</v>
      </c>
    </row>
    <row r="18" spans="1:7" x14ac:dyDescent="0.35">
      <c r="A18" t="s">
        <v>18</v>
      </c>
      <c r="D18" s="3">
        <v>1275</v>
      </c>
    </row>
    <row r="19" spans="1:7" x14ac:dyDescent="0.35">
      <c r="A19" t="s">
        <v>34</v>
      </c>
      <c r="D19" s="51">
        <v>2380</v>
      </c>
    </row>
    <row r="20" spans="1:7" x14ac:dyDescent="0.35">
      <c r="A20" t="s">
        <v>35</v>
      </c>
      <c r="D20" s="52">
        <v>935</v>
      </c>
    </row>
    <row r="22" spans="1:7" x14ac:dyDescent="0.35">
      <c r="A22" s="2" t="s">
        <v>62</v>
      </c>
      <c r="B22" s="2" t="s">
        <v>59</v>
      </c>
      <c r="C22" s="2" t="s">
        <v>60</v>
      </c>
      <c r="D22" s="2" t="s">
        <v>61</v>
      </c>
      <c r="E22" s="25" t="s">
        <v>39</v>
      </c>
      <c r="F22" s="24" t="s">
        <v>27</v>
      </c>
    </row>
    <row r="23" spans="1:7" x14ac:dyDescent="0.35">
      <c r="A23" t="s">
        <v>30</v>
      </c>
      <c r="B23" s="45"/>
      <c r="C23" s="9">
        <f>B23*1*1000000</f>
        <v>0</v>
      </c>
      <c r="D23" s="49"/>
      <c r="E23" s="7">
        <f>C23*D23</f>
        <v>0</v>
      </c>
      <c r="G23" s="45"/>
    </row>
    <row r="25" spans="1:7" x14ac:dyDescent="0.35">
      <c r="B25" s="9"/>
    </row>
    <row r="28" spans="1:7" x14ac:dyDescent="0.35">
      <c r="A28" s="4"/>
      <c r="B28" s="46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46E2-B700-4EC0-A9C4-B11E77BA0214}">
  <sheetPr>
    <tabColor theme="4" tint="0.39997558519241921"/>
  </sheetPr>
  <dimension ref="A1:K31"/>
  <sheetViews>
    <sheetView workbookViewId="0">
      <selection activeCell="E4" sqref="E4"/>
    </sheetView>
  </sheetViews>
  <sheetFormatPr baseColWidth="10" defaultRowHeight="14.5" x14ac:dyDescent="0.35"/>
  <cols>
    <col min="1" max="1" width="20.6328125" customWidth="1"/>
    <col min="2" max="2" width="14.54296875" customWidth="1"/>
    <col min="3" max="3" width="18.453125" customWidth="1"/>
    <col min="4" max="4" width="16.453125" customWidth="1"/>
    <col min="5" max="5" width="24" customWidth="1"/>
    <col min="6" max="6" width="21" customWidth="1"/>
    <col min="7" max="7" width="12.36328125" bestFit="1" customWidth="1"/>
    <col min="10" max="10" width="14.90625" customWidth="1"/>
  </cols>
  <sheetData>
    <row r="1" spans="1:8" ht="26" customHeight="1" x14ac:dyDescent="0.35">
      <c r="A1" s="43" t="s">
        <v>56</v>
      </c>
      <c r="B1" s="43"/>
      <c r="C1" s="43"/>
      <c r="D1" s="43"/>
      <c r="E1" s="43"/>
      <c r="F1" s="43"/>
      <c r="G1" s="43"/>
      <c r="H1" s="4"/>
    </row>
    <row r="2" spans="1:8" s="65" customFormat="1" ht="31" customHeight="1" x14ac:dyDescent="0.35">
      <c r="B2" s="65" t="s">
        <v>91</v>
      </c>
      <c r="C2" s="65" t="s">
        <v>80</v>
      </c>
      <c r="D2" s="65" t="s">
        <v>92</v>
      </c>
      <c r="E2" s="65" t="s">
        <v>61</v>
      </c>
      <c r="F2" s="66" t="s">
        <v>39</v>
      </c>
      <c r="G2" s="65" t="s">
        <v>27</v>
      </c>
    </row>
    <row r="3" spans="1:8" x14ac:dyDescent="0.35">
      <c r="A3" s="2" t="s">
        <v>0</v>
      </c>
      <c r="B3" s="2"/>
      <c r="C3" s="2"/>
      <c r="D3" s="2"/>
      <c r="E3" s="2"/>
      <c r="F3" s="25"/>
      <c r="G3" s="24"/>
    </row>
    <row r="4" spans="1:8" x14ac:dyDescent="0.35">
      <c r="A4" t="s">
        <v>30</v>
      </c>
      <c r="B4">
        <f>'[3]GAP analysis Sc. 1'!$G$73</f>
        <v>11.471012896745457</v>
      </c>
      <c r="C4" s="9">
        <v>1.0277043407043407</v>
      </c>
      <c r="D4" s="9">
        <f>B4*C4*1000000</f>
        <v>11788809.746260779</v>
      </c>
      <c r="E4" s="3">
        <f>(1450+1750)/2</f>
        <v>1600</v>
      </c>
      <c r="F4" s="26">
        <f>D4*E4</f>
        <v>18862095594.017246</v>
      </c>
    </row>
    <row r="5" spans="1:8" x14ac:dyDescent="0.35">
      <c r="A5" t="s">
        <v>31</v>
      </c>
      <c r="B5">
        <f>'[3]GAP analysis Sc. 1'!$G$77</f>
        <v>2.0844602638658398</v>
      </c>
      <c r="C5">
        <v>1.2753333333333334</v>
      </c>
      <c r="D5" s="9">
        <f t="shared" ref="D5:D8" si="0">B5*C5*1000000</f>
        <v>2658381.6565169012</v>
      </c>
      <c r="E5" s="3">
        <v>1000</v>
      </c>
      <c r="F5" s="26">
        <f t="shared" ref="F5:F8" si="1">D5*E5</f>
        <v>2658381656.516901</v>
      </c>
    </row>
    <row r="6" spans="1:8" x14ac:dyDescent="0.35">
      <c r="A6" t="s">
        <v>18</v>
      </c>
      <c r="B6">
        <v>0</v>
      </c>
      <c r="C6">
        <v>0.83669064748201449</v>
      </c>
      <c r="D6" s="9">
        <f t="shared" si="0"/>
        <v>0</v>
      </c>
      <c r="E6" s="49">
        <v>0</v>
      </c>
      <c r="F6" s="26">
        <f t="shared" si="1"/>
        <v>0</v>
      </c>
    </row>
    <row r="7" spans="1:8" x14ac:dyDescent="0.35">
      <c r="A7" t="s">
        <v>34</v>
      </c>
      <c r="B7">
        <f>'[3]GAP analysis Sc. 1'!$G$95</f>
        <v>3.5163409111268522</v>
      </c>
      <c r="C7" s="9">
        <v>0.98244961240310091</v>
      </c>
      <c r="D7" s="9">
        <f t="shared" si="0"/>
        <v>3454627.7652137424</v>
      </c>
      <c r="E7" s="51">
        <v>2380</v>
      </c>
      <c r="F7" s="26">
        <f t="shared" si="1"/>
        <v>8222014081.2087069</v>
      </c>
    </row>
    <row r="8" spans="1:8" x14ac:dyDescent="0.35">
      <c r="A8" t="s">
        <v>35</v>
      </c>
      <c r="B8">
        <f>'[3]GAP analysis Sc. 1'!$G$86</f>
        <v>0.3642970133125143</v>
      </c>
      <c r="C8">
        <v>2</v>
      </c>
      <c r="D8" s="9">
        <f t="shared" si="0"/>
        <v>728594.02662502858</v>
      </c>
      <c r="E8" s="49">
        <v>1000</v>
      </c>
      <c r="F8" s="26">
        <f t="shared" si="1"/>
        <v>728594026.62502861</v>
      </c>
    </row>
    <row r="9" spans="1:8" x14ac:dyDescent="0.35">
      <c r="A9" t="s">
        <v>65</v>
      </c>
      <c r="B9">
        <f>SUM(B4:B8)</f>
        <v>17.436111085050662</v>
      </c>
      <c r="C9">
        <f>SUM(C4:C8)</f>
        <v>6.1221779339227895</v>
      </c>
      <c r="F9" s="26"/>
    </row>
    <row r="10" spans="1:8" x14ac:dyDescent="0.35">
      <c r="A10" s="2" t="s">
        <v>62</v>
      </c>
      <c r="B10" s="2"/>
      <c r="C10" s="2"/>
      <c r="D10" s="2"/>
      <c r="E10" s="2" t="s">
        <v>61</v>
      </c>
      <c r="F10" s="70" t="s">
        <v>39</v>
      </c>
      <c r="G10" s="24" t="s">
        <v>27</v>
      </c>
    </row>
    <row r="11" spans="1:8" x14ac:dyDescent="0.35">
      <c r="A11" t="s">
        <v>30</v>
      </c>
      <c r="B11" s="45"/>
      <c r="F11" s="26"/>
    </row>
    <row r="12" spans="1:8" x14ac:dyDescent="0.35">
      <c r="A12" t="s">
        <v>66</v>
      </c>
      <c r="B12" s="45"/>
      <c r="F12" s="26"/>
    </row>
    <row r="13" spans="1:8" s="2" customFormat="1" x14ac:dyDescent="0.35">
      <c r="A13" s="2" t="s">
        <v>84</v>
      </c>
      <c r="F13" s="71"/>
    </row>
    <row r="14" spans="1:8" x14ac:dyDescent="0.35">
      <c r="A14" t="s">
        <v>89</v>
      </c>
      <c r="B14" s="46">
        <f>'[3]GAP analysis Sc. 1'!$E$106+'[3]GAP analysis Sc. 1'!$E$107</f>
        <v>3.640041106516934</v>
      </c>
      <c r="C14" s="47">
        <f>'[2]2040 Sc 1'!$E$164</f>
        <v>2.0934000000000004</v>
      </c>
      <c r="D14" s="9">
        <f>B14*C14*1000000</f>
        <v>7620062.0523825502</v>
      </c>
      <c r="E14" s="23">
        <v>935</v>
      </c>
      <c r="F14" s="26">
        <f>D14*E14</f>
        <v>7124758018.977684</v>
      </c>
    </row>
    <row r="15" spans="1:8" x14ac:dyDescent="0.35">
      <c r="A15" t="s">
        <v>90</v>
      </c>
      <c r="B15" s="46">
        <f>'[3]GAP analysis Sc. 1'!$E$105</f>
        <v>10.008769356212662</v>
      </c>
      <c r="C15" s="48">
        <f>'[2]2040 Sc 1'!$E$171</f>
        <v>0.83669064748201449</v>
      </c>
      <c r="D15" s="9">
        <f>B15*C15*1000000</f>
        <v>8374243.7131477166</v>
      </c>
      <c r="E15" s="23">
        <v>1275</v>
      </c>
      <c r="F15" s="26">
        <f>D15*E15</f>
        <v>10677160734.263338</v>
      </c>
    </row>
    <row r="16" spans="1:8" x14ac:dyDescent="0.35">
      <c r="A16" t="s">
        <v>52</v>
      </c>
      <c r="B16" s="34"/>
      <c r="F16" s="26">
        <f>SUM(F14:F15)</f>
        <v>17801918753.24102</v>
      </c>
    </row>
    <row r="31" spans="8:11" ht="24.5" customHeight="1" x14ac:dyDescent="0.35">
      <c r="H31" s="4"/>
      <c r="I31" s="4"/>
      <c r="J31" s="4"/>
      <c r="K31" s="4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9B07-8D59-4749-96DF-DE16B575D941}">
  <sheetPr>
    <tabColor theme="4" tint="0.59999389629810485"/>
  </sheetPr>
  <dimension ref="A1:K26"/>
  <sheetViews>
    <sheetView workbookViewId="0">
      <selection activeCell="F16" sqref="F16"/>
    </sheetView>
  </sheetViews>
  <sheetFormatPr baseColWidth="10" defaultRowHeight="14.5" x14ac:dyDescent="0.35"/>
  <cols>
    <col min="3" max="3" width="15" customWidth="1"/>
    <col min="4" max="4" width="15.36328125" customWidth="1"/>
    <col min="5" max="5" width="21.1796875" customWidth="1"/>
    <col min="6" max="6" width="15.36328125" customWidth="1"/>
  </cols>
  <sheetData>
    <row r="1" spans="1:11" x14ac:dyDescent="0.35">
      <c r="A1" s="43" t="s">
        <v>56</v>
      </c>
      <c r="B1" s="43"/>
      <c r="C1" s="43"/>
      <c r="D1" s="43"/>
      <c r="E1" s="43"/>
      <c r="F1" s="43"/>
      <c r="G1" s="43"/>
      <c r="H1" s="4"/>
      <c r="I1" s="30"/>
    </row>
    <row r="2" spans="1:11" ht="34.5" customHeight="1" x14ac:dyDescent="0.35">
      <c r="A2" s="2" t="s">
        <v>0</v>
      </c>
      <c r="B2" s="2" t="s">
        <v>63</v>
      </c>
      <c r="C2" s="2" t="s">
        <v>80</v>
      </c>
      <c r="D2" s="2"/>
      <c r="E2" s="2" t="s">
        <v>61</v>
      </c>
      <c r="F2" s="25" t="s">
        <v>39</v>
      </c>
      <c r="G2" s="24" t="s">
        <v>27</v>
      </c>
      <c r="I2" s="58"/>
      <c r="J2" s="28"/>
    </row>
    <row r="3" spans="1:11" x14ac:dyDescent="0.35">
      <c r="A3" t="s">
        <v>30</v>
      </c>
      <c r="B3">
        <v>0</v>
      </c>
      <c r="C3" s="9">
        <v>1.02770434070434</v>
      </c>
      <c r="D3" s="9">
        <f>B3*C3*1000000</f>
        <v>0</v>
      </c>
      <c r="E3" s="3">
        <f>(1450+1750)/2</f>
        <v>1600</v>
      </c>
      <c r="F3">
        <f>D3*E3</f>
        <v>0</v>
      </c>
      <c r="I3" s="9"/>
      <c r="J3" s="34"/>
    </row>
    <row r="4" spans="1:11" x14ac:dyDescent="0.35">
      <c r="A4" t="s">
        <v>31</v>
      </c>
      <c r="B4">
        <v>0</v>
      </c>
      <c r="C4">
        <v>1.2753333333333334</v>
      </c>
      <c r="D4" s="9">
        <f t="shared" ref="D4:D7" si="0">B4*C4*1000000</f>
        <v>0</v>
      </c>
      <c r="E4" s="3">
        <v>1000</v>
      </c>
      <c r="F4">
        <f t="shared" ref="F4:F7" si="1">D4*E4</f>
        <v>0</v>
      </c>
      <c r="I4" s="44"/>
      <c r="J4" s="17"/>
      <c r="K4" s="17"/>
    </row>
    <row r="5" spans="1:11" x14ac:dyDescent="0.35">
      <c r="A5" t="s">
        <v>18</v>
      </c>
      <c r="B5">
        <v>0</v>
      </c>
      <c r="C5">
        <v>0.83669064748201449</v>
      </c>
      <c r="D5" s="9">
        <f t="shared" si="0"/>
        <v>0</v>
      </c>
      <c r="E5" s="49">
        <v>1275</v>
      </c>
      <c r="F5">
        <f t="shared" si="1"/>
        <v>0</v>
      </c>
      <c r="I5" s="12"/>
      <c r="J5" s="34"/>
      <c r="K5" s="17"/>
    </row>
    <row r="6" spans="1:11" x14ac:dyDescent="0.35">
      <c r="A6" t="s">
        <v>34</v>
      </c>
      <c r="B6">
        <v>0</v>
      </c>
      <c r="C6" s="9">
        <v>0.98244961240310091</v>
      </c>
      <c r="D6" s="9">
        <f t="shared" si="0"/>
        <v>0</v>
      </c>
      <c r="E6" s="51">
        <v>2380</v>
      </c>
      <c r="F6">
        <f t="shared" si="1"/>
        <v>0</v>
      </c>
      <c r="J6" s="34"/>
    </row>
    <row r="7" spans="1:11" x14ac:dyDescent="0.35">
      <c r="A7" t="s">
        <v>35</v>
      </c>
      <c r="B7">
        <v>0</v>
      </c>
      <c r="C7">
        <v>2.0934000000000004</v>
      </c>
      <c r="D7" s="9">
        <f t="shared" si="0"/>
        <v>0</v>
      </c>
      <c r="E7" s="49">
        <v>935</v>
      </c>
      <c r="F7">
        <f t="shared" si="1"/>
        <v>0</v>
      </c>
      <c r="I7" s="17"/>
      <c r="J7" s="34"/>
      <c r="K7" s="17"/>
    </row>
    <row r="8" spans="1:11" x14ac:dyDescent="0.35">
      <c r="A8" t="s">
        <v>65</v>
      </c>
      <c r="B8">
        <v>0</v>
      </c>
      <c r="C8">
        <f>SUM(C3:C7)</f>
        <v>6.2155779339227895</v>
      </c>
      <c r="I8" s="58"/>
      <c r="J8" s="34"/>
      <c r="K8" s="17"/>
    </row>
    <row r="9" spans="1:11" x14ac:dyDescent="0.35">
      <c r="A9" s="2" t="s">
        <v>62</v>
      </c>
      <c r="B9" s="2" t="s">
        <v>63</v>
      </c>
      <c r="C9" s="2" t="s">
        <v>80</v>
      </c>
      <c r="D9" s="2"/>
      <c r="E9" s="2" t="s">
        <v>61</v>
      </c>
      <c r="F9" s="25" t="s">
        <v>39</v>
      </c>
      <c r="G9" s="24" t="s">
        <v>27</v>
      </c>
      <c r="J9" s="34"/>
    </row>
    <row r="10" spans="1:11" x14ac:dyDescent="0.35">
      <c r="A10" t="s">
        <v>30</v>
      </c>
      <c r="B10" s="45">
        <v>0</v>
      </c>
      <c r="C10">
        <f>B10*1000000</f>
        <v>0</v>
      </c>
      <c r="I10" s="59"/>
      <c r="J10" s="34"/>
      <c r="K10" s="17"/>
    </row>
    <row r="11" spans="1:11" x14ac:dyDescent="0.35">
      <c r="A11" t="s">
        <v>66</v>
      </c>
      <c r="B11" s="45">
        <v>0</v>
      </c>
      <c r="I11" s="62"/>
      <c r="J11" s="34"/>
      <c r="K11" s="17"/>
    </row>
    <row r="12" spans="1:11" x14ac:dyDescent="0.35">
      <c r="A12" s="2" t="s">
        <v>84</v>
      </c>
      <c r="B12" s="2" t="s">
        <v>63</v>
      </c>
      <c r="C12" s="2" t="s">
        <v>80</v>
      </c>
      <c r="D12" s="2" t="s">
        <v>95</v>
      </c>
      <c r="E12" s="2" t="s">
        <v>61</v>
      </c>
      <c r="F12" s="25" t="s">
        <v>39</v>
      </c>
      <c r="G12" s="2"/>
      <c r="I12" s="60"/>
      <c r="J12" s="34"/>
      <c r="K12" s="17"/>
    </row>
    <row r="13" spans="1:11" x14ac:dyDescent="0.35">
      <c r="A13" s="4" t="s">
        <v>93</v>
      </c>
      <c r="B13" s="46">
        <f>'[3]GAP analysis Sc. 2'!$G$98+'[3]GAP analysis Sc. 2'!$G$99</f>
        <v>1.966594604775868</v>
      </c>
      <c r="C13" s="9">
        <f>'[2]2030 costs Sc 3'!$E$202</f>
        <v>2.0934000000000004</v>
      </c>
      <c r="D13" s="9">
        <f t="shared" ref="D13:D14" si="2">B13*C13*1000000</f>
        <v>4116869.1456378028</v>
      </c>
      <c r="E13" s="67">
        <v>935</v>
      </c>
      <c r="F13">
        <f t="shared" ref="F13:F14" si="3">D13*E13</f>
        <v>3849272651.1713457</v>
      </c>
      <c r="I13" s="60"/>
      <c r="J13" s="34"/>
      <c r="K13" s="17"/>
    </row>
    <row r="14" spans="1:11" x14ac:dyDescent="0.35">
      <c r="A14" t="s">
        <v>94</v>
      </c>
      <c r="B14" s="9">
        <f>'[3]GAP analysis Sc. 2'!$G$97</f>
        <v>1.5341825287344655</v>
      </c>
      <c r="C14" s="9">
        <f>'[2]2030 costs Sc 3'!$E$209</f>
        <v>0.83669064748201449</v>
      </c>
      <c r="D14" s="9">
        <f t="shared" si="2"/>
        <v>1283636.1733224341</v>
      </c>
      <c r="E14">
        <v>1275</v>
      </c>
      <c r="F14">
        <f t="shared" si="3"/>
        <v>1636636120.9861035</v>
      </c>
      <c r="I14" s="60"/>
      <c r="J14" s="34"/>
      <c r="K14" s="17"/>
    </row>
    <row r="15" spans="1:11" x14ac:dyDescent="0.35">
      <c r="B15" s="34"/>
      <c r="F15">
        <f>F13+F14</f>
        <v>5485908772.1574497</v>
      </c>
      <c r="I15" s="60"/>
      <c r="J15" s="34"/>
      <c r="K15" s="17"/>
    </row>
    <row r="16" spans="1:11" x14ac:dyDescent="0.35">
      <c r="I16" s="35"/>
      <c r="J16" s="61"/>
      <c r="K16" s="17"/>
    </row>
    <row r="17" spans="9:11" x14ac:dyDescent="0.35">
      <c r="I17" s="60"/>
      <c r="J17" s="34"/>
      <c r="K17" s="17"/>
    </row>
    <row r="19" spans="9:11" x14ac:dyDescent="0.35">
      <c r="J19" s="30"/>
    </row>
    <row r="20" spans="9:11" x14ac:dyDescent="0.35">
      <c r="I20" s="9"/>
      <c r="J20" s="9"/>
    </row>
    <row r="21" spans="9:11" x14ac:dyDescent="0.35">
      <c r="I21" s="44"/>
      <c r="J21" s="9"/>
      <c r="K21" s="17"/>
    </row>
    <row r="22" spans="9:11" x14ac:dyDescent="0.35">
      <c r="I22" s="9"/>
      <c r="J22" s="9"/>
      <c r="K22" s="17"/>
    </row>
    <row r="24" spans="9:11" x14ac:dyDescent="0.35">
      <c r="I24" s="17"/>
      <c r="J24" s="17"/>
      <c r="K24" s="17"/>
    </row>
    <row r="26" spans="9:11" x14ac:dyDescent="0.35">
      <c r="J26" s="9"/>
    </row>
  </sheetData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CA2B-7956-43D1-9329-E4E03C9BA9DB}">
  <sheetPr>
    <tabColor theme="4" tint="0.79998168889431442"/>
  </sheetPr>
  <dimension ref="A1:K29"/>
  <sheetViews>
    <sheetView tabSelected="1" workbookViewId="0">
      <selection activeCell="E18" sqref="E18"/>
    </sheetView>
  </sheetViews>
  <sheetFormatPr baseColWidth="10" defaultRowHeight="14.5" x14ac:dyDescent="0.35"/>
  <cols>
    <col min="1" max="1" width="15.453125" customWidth="1"/>
    <col min="4" max="4" width="14.453125" customWidth="1"/>
    <col min="6" max="6" width="25.36328125" customWidth="1"/>
  </cols>
  <sheetData>
    <row r="1" spans="1:11" ht="24.5" customHeight="1" x14ac:dyDescent="0.35">
      <c r="A1" s="43" t="s">
        <v>56</v>
      </c>
      <c r="B1" s="43"/>
      <c r="C1" s="43"/>
      <c r="D1" s="43"/>
      <c r="E1" s="43"/>
      <c r="F1" s="43"/>
      <c r="G1" s="4"/>
      <c r="H1" s="4"/>
      <c r="I1" s="4"/>
      <c r="J1" s="4"/>
      <c r="K1" s="4"/>
    </row>
    <row r="2" spans="1:11" x14ac:dyDescent="0.35">
      <c r="A2" s="2" t="s">
        <v>0</v>
      </c>
      <c r="B2" s="2" t="s">
        <v>59</v>
      </c>
      <c r="C2" s="2" t="s">
        <v>80</v>
      </c>
      <c r="D2" s="2" t="s">
        <v>60</v>
      </c>
      <c r="E2" s="2" t="s">
        <v>61</v>
      </c>
      <c r="F2" s="25" t="s">
        <v>39</v>
      </c>
      <c r="G2" s="24" t="s">
        <v>27</v>
      </c>
    </row>
    <row r="3" spans="1:11" x14ac:dyDescent="0.35">
      <c r="A3" t="s">
        <v>30</v>
      </c>
      <c r="B3">
        <v>0</v>
      </c>
      <c r="C3" s="9"/>
      <c r="D3" s="9"/>
      <c r="E3" s="3">
        <f>(1450+1750)/2</f>
        <v>1600</v>
      </c>
    </row>
    <row r="4" spans="1:11" x14ac:dyDescent="0.35">
      <c r="A4" t="s">
        <v>31</v>
      </c>
      <c r="B4">
        <v>0</v>
      </c>
      <c r="E4" s="3">
        <v>1000</v>
      </c>
    </row>
    <row r="5" spans="1:11" x14ac:dyDescent="0.35">
      <c r="A5" t="s">
        <v>18</v>
      </c>
      <c r="B5">
        <v>0</v>
      </c>
      <c r="E5" s="3">
        <v>1275</v>
      </c>
    </row>
    <row r="6" spans="1:11" x14ac:dyDescent="0.35">
      <c r="A6" t="s">
        <v>34</v>
      </c>
      <c r="B6">
        <v>0</v>
      </c>
      <c r="E6" s="51">
        <v>2380</v>
      </c>
    </row>
    <row r="7" spans="1:11" x14ac:dyDescent="0.35">
      <c r="A7" t="s">
        <v>35</v>
      </c>
      <c r="B7">
        <v>0</v>
      </c>
      <c r="E7" s="52">
        <v>935</v>
      </c>
    </row>
    <row r="9" spans="1:11" x14ac:dyDescent="0.35">
      <c r="A9" s="2" t="s">
        <v>62</v>
      </c>
      <c r="B9" s="2" t="s">
        <v>59</v>
      </c>
      <c r="C9" s="2"/>
      <c r="D9" s="2" t="s">
        <v>60</v>
      </c>
      <c r="E9" s="2" t="s">
        <v>61</v>
      </c>
      <c r="F9" s="25" t="s">
        <v>39</v>
      </c>
      <c r="G9" s="24" t="s">
        <v>27</v>
      </c>
    </row>
    <row r="10" spans="1:11" x14ac:dyDescent="0.35">
      <c r="A10" t="s">
        <v>30</v>
      </c>
      <c r="B10" s="45">
        <v>0</v>
      </c>
      <c r="C10" s="9"/>
      <c r="D10" s="9">
        <f>B10*1*1000000</f>
        <v>0</v>
      </c>
      <c r="E10" s="49">
        <v>1165.6261363636365</v>
      </c>
      <c r="F10" s="7">
        <f>D10*E10</f>
        <v>0</v>
      </c>
    </row>
    <row r="11" spans="1:11" x14ac:dyDescent="0.35">
      <c r="A11" s="2" t="s">
        <v>84</v>
      </c>
      <c r="B11" s="2"/>
      <c r="C11" s="2"/>
      <c r="D11" s="2"/>
      <c r="E11" s="2"/>
      <c r="F11" s="2"/>
      <c r="G11" s="2"/>
    </row>
    <row r="12" spans="1:11" x14ac:dyDescent="0.35">
      <c r="A12" t="s">
        <v>94</v>
      </c>
      <c r="B12">
        <f>'[1]Scenario 3 2035'!$N$38</f>
        <v>1.5341825287344655</v>
      </c>
      <c r="C12" s="9">
        <f>'[2]2030 costs Sc 3'!$E$209</f>
        <v>0.83669064748201449</v>
      </c>
      <c r="D12" s="9">
        <f>B12*C12*1000000</f>
        <v>1283636.1733224341</v>
      </c>
      <c r="E12">
        <v>1275</v>
      </c>
      <c r="F12" s="10">
        <f>D12*E12</f>
        <v>1636636120.9861035</v>
      </c>
    </row>
    <row r="13" spans="1:11" ht="24.5" customHeight="1" x14ac:dyDescent="0.35">
      <c r="A13" s="43" t="s">
        <v>68</v>
      </c>
      <c r="B13" s="43" t="s">
        <v>79</v>
      </c>
      <c r="C13" s="43" t="s">
        <v>80</v>
      </c>
      <c r="D13" s="43" t="s">
        <v>81</v>
      </c>
      <c r="E13" s="43" t="s">
        <v>82</v>
      </c>
      <c r="F13" s="43" t="s">
        <v>83</v>
      </c>
      <c r="G13" s="4"/>
      <c r="H13" s="4"/>
      <c r="I13" s="4"/>
      <c r="J13" s="4"/>
      <c r="K13" s="4"/>
    </row>
    <row r="14" spans="1:11" ht="14.5" customHeight="1" x14ac:dyDescent="0.35">
      <c r="A14" s="4" t="s">
        <v>67</v>
      </c>
      <c r="B14" s="54"/>
      <c r="C14" s="4"/>
      <c r="D14" s="4"/>
      <c r="E14" s="4"/>
      <c r="F14" s="4"/>
      <c r="G14" s="4"/>
      <c r="H14" s="4"/>
      <c r="I14" s="4"/>
      <c r="J14" s="4"/>
      <c r="K14" s="4"/>
    </row>
    <row r="15" spans="1:11" ht="14" customHeight="1" x14ac:dyDescent="0.35">
      <c r="A15" s="4" t="s">
        <v>70</v>
      </c>
      <c r="B15" s="49">
        <f>0</f>
        <v>0</v>
      </c>
      <c r="C15" s="9">
        <v>0</v>
      </c>
      <c r="D15" s="9">
        <f>B15*C15*1000000</f>
        <v>0</v>
      </c>
      <c r="E15" s="55">
        <f>(1450+1750)/2</f>
        <v>1600</v>
      </c>
      <c r="F15">
        <f>D15*E15</f>
        <v>0</v>
      </c>
      <c r="G15" s="4"/>
      <c r="H15" s="4"/>
      <c r="I15" s="4"/>
      <c r="J15" s="4"/>
      <c r="K15" s="4"/>
    </row>
    <row r="16" spans="1:11" ht="13" customHeight="1" x14ac:dyDescent="0.35">
      <c r="A16" s="4" t="s">
        <v>71</v>
      </c>
      <c r="B16" s="49">
        <f>'[1]Scenario 3 2035'!$M$7</f>
        <v>35.084060769412567</v>
      </c>
      <c r="C16">
        <f>('[2]2035 costs Sc 1'!$E$43+'[2]2035 costs Sc 1'!$E$57)/2</f>
        <v>1.2753333333333334</v>
      </c>
      <c r="D16" s="9">
        <f t="shared" ref="D16:D19" si="0">B16*C16*1000000</f>
        <v>44743872.167924166</v>
      </c>
      <c r="E16" s="55">
        <v>1000</v>
      </c>
      <c r="F16" s="10">
        <f t="shared" ref="F16:F19" si="1">D16*E16</f>
        <v>44743872167.924164</v>
      </c>
      <c r="G16" s="4"/>
      <c r="H16" s="4"/>
      <c r="I16" s="4"/>
      <c r="J16" s="4"/>
      <c r="K16" s="4"/>
    </row>
    <row r="17" spans="1:11" ht="13" customHeight="1" x14ac:dyDescent="0.35">
      <c r="A17" s="4" t="s">
        <v>72</v>
      </c>
      <c r="B17" s="49">
        <f>'[1]Scenario 3 2035'!$M$12</f>
        <v>24.668073952083677</v>
      </c>
      <c r="C17" s="9">
        <f>('[2]2035 costs Sc 1'!$E$85)</f>
        <v>0.83669064748201449</v>
      </c>
      <c r="D17" s="9">
        <f t="shared" si="0"/>
        <v>20639546.76710311</v>
      </c>
      <c r="E17" s="55">
        <v>1275</v>
      </c>
      <c r="F17" s="10">
        <f t="shared" si="1"/>
        <v>26315422128.056465</v>
      </c>
      <c r="G17" s="4"/>
      <c r="H17" s="4"/>
      <c r="I17" s="4"/>
      <c r="J17" s="4"/>
      <c r="K17" s="4"/>
    </row>
    <row r="18" spans="1:11" ht="13" customHeight="1" x14ac:dyDescent="0.35">
      <c r="A18" s="4" t="s">
        <v>73</v>
      </c>
      <c r="B18" s="49">
        <f>'[1]Scenario 3 2035'!$M$26</f>
        <v>6.6375864672318556</v>
      </c>
      <c r="C18" s="9">
        <f>('[2]2035 costs Sc 1'!$E$119+'[2]2035 costs Sc 1'!$E$126+'[2]2035 costs Sc 1'!$E$138)/3</f>
        <v>0.98244961240310091</v>
      </c>
      <c r="D18" s="9">
        <f t="shared" si="0"/>
        <v>6521094.2520240042</v>
      </c>
      <c r="E18" s="51">
        <v>2380</v>
      </c>
      <c r="F18" s="10">
        <f t="shared" si="1"/>
        <v>15520204319.817129</v>
      </c>
      <c r="G18" s="4"/>
      <c r="H18" s="4"/>
      <c r="I18" s="4"/>
      <c r="J18" s="4"/>
      <c r="K18" s="4"/>
    </row>
    <row r="19" spans="1:11" ht="13" customHeight="1" x14ac:dyDescent="0.35">
      <c r="A19" s="4" t="s">
        <v>74</v>
      </c>
      <c r="B19" s="49">
        <f>'[1]Scenario 3 2035'!$M$16</f>
        <v>21.162482497882124</v>
      </c>
      <c r="C19" s="9">
        <v>2</v>
      </c>
      <c r="D19" s="9">
        <f t="shared" si="0"/>
        <v>42324964.995764248</v>
      </c>
      <c r="E19" s="52">
        <v>935</v>
      </c>
      <c r="F19" s="10">
        <f t="shared" si="1"/>
        <v>39573842271.039574</v>
      </c>
      <c r="G19" s="4"/>
      <c r="H19" s="4"/>
      <c r="I19" s="4"/>
      <c r="J19" s="4"/>
      <c r="K19" s="4"/>
    </row>
    <row r="20" spans="1:11" ht="13" customHeight="1" x14ac:dyDescent="0.35">
      <c r="A20" s="4" t="s">
        <v>75</v>
      </c>
      <c r="B20" s="50">
        <f>SUM(B15:B19)</f>
        <v>87.552203686610227</v>
      </c>
      <c r="F20" s="54">
        <f>SUM(F15:F19)</f>
        <v>126153340886.83731</v>
      </c>
      <c r="G20" s="4"/>
      <c r="H20" s="4"/>
      <c r="I20" s="4"/>
      <c r="J20" s="4"/>
      <c r="K20" s="4"/>
    </row>
    <row r="21" spans="1:11" ht="13" customHeight="1" x14ac:dyDescent="0.35">
      <c r="A21" s="4"/>
      <c r="B21" s="49"/>
      <c r="G21" s="4"/>
      <c r="H21" s="4"/>
      <c r="I21" s="4"/>
      <c r="J21" s="4"/>
      <c r="K21" s="4"/>
    </row>
    <row r="22" spans="1:11" ht="13" customHeight="1" x14ac:dyDescent="0.35">
      <c r="A22" s="4" t="s">
        <v>86</v>
      </c>
      <c r="B22" s="49">
        <f>'[1]Scenario 3 2035'!$K$36+'[1]Scenario 3 2035'!$K$37</f>
        <v>2.4888585208834666</v>
      </c>
      <c r="C22" s="9">
        <f>'[2]2030 costs Sc 3'!$E$202</f>
        <v>2.0934000000000004</v>
      </c>
      <c r="D22" s="9">
        <f>B22*C22*1000000</f>
        <v>5210176.4276174493</v>
      </c>
      <c r="E22" s="56">
        <v>935</v>
      </c>
      <c r="F22" s="10">
        <f t="shared" ref="F22:F23" si="2">D22*E22</f>
        <v>4871514959.8223152</v>
      </c>
      <c r="G22" s="4"/>
      <c r="H22" s="4"/>
      <c r="I22" s="4"/>
      <c r="J22" s="4"/>
      <c r="K22" s="4"/>
    </row>
    <row r="23" spans="1:11" ht="13" customHeight="1" x14ac:dyDescent="0.35">
      <c r="A23" s="4" t="s">
        <v>85</v>
      </c>
      <c r="B23" s="49">
        <v>0</v>
      </c>
      <c r="C23" s="9">
        <f>'[2]2030 costs Sc 3'!$E$209</f>
        <v>0.83669064748201449</v>
      </c>
      <c r="D23" s="9">
        <f t="shared" ref="D23" si="3">B23*C23*1000000</f>
        <v>0</v>
      </c>
      <c r="E23">
        <v>1275</v>
      </c>
      <c r="F23" s="10">
        <f t="shared" si="2"/>
        <v>0</v>
      </c>
      <c r="G23" s="4"/>
      <c r="H23" s="4"/>
      <c r="I23" s="4"/>
      <c r="J23" s="4"/>
      <c r="K23" s="4"/>
    </row>
    <row r="24" spans="1:11" ht="13" customHeight="1" x14ac:dyDescent="0.35">
      <c r="A24" s="4"/>
      <c r="B24" s="50"/>
      <c r="C24" s="46"/>
      <c r="D24" s="46"/>
      <c r="E24" s="4"/>
      <c r="F24" s="54">
        <f>F22+F23</f>
        <v>4871514959.8223152</v>
      </c>
      <c r="G24" s="4"/>
      <c r="H24" s="4"/>
      <c r="I24" s="4"/>
      <c r="J24" s="4"/>
      <c r="K24" s="4"/>
    </row>
    <row r="26" spans="1:11" x14ac:dyDescent="0.35">
      <c r="B26" s="9"/>
    </row>
    <row r="29" spans="1:11" x14ac:dyDescent="0.35">
      <c r="A29" s="4"/>
      <c r="B29" s="46"/>
    </row>
  </sheetData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7992-1BC4-47D1-A1C3-2F2E0289D1D7}">
  <sheetPr>
    <tabColor theme="8" tint="0.39997558519241921"/>
  </sheetPr>
  <dimension ref="A1:L32"/>
  <sheetViews>
    <sheetView workbookViewId="0">
      <selection activeCell="F7" sqref="F7"/>
    </sheetView>
  </sheetViews>
  <sheetFormatPr baseColWidth="10" defaultRowHeight="14.5" x14ac:dyDescent="0.35"/>
  <cols>
    <col min="1" max="1" width="20.6328125" customWidth="1"/>
    <col min="2" max="3" width="14.54296875" customWidth="1"/>
    <col min="4" max="4" width="18.453125" customWidth="1"/>
    <col min="6" max="6" width="19.36328125" customWidth="1"/>
    <col min="8" max="8" width="12.36328125" bestFit="1" customWidth="1"/>
    <col min="11" max="11" width="14.90625" customWidth="1"/>
  </cols>
  <sheetData>
    <row r="1" spans="1:12" ht="32.5" customHeight="1" x14ac:dyDescent="0.35">
      <c r="A1" s="43" t="s">
        <v>56</v>
      </c>
      <c r="B1" s="43"/>
      <c r="C1" s="43"/>
      <c r="D1" s="43"/>
      <c r="E1" s="43"/>
      <c r="F1" s="43"/>
      <c r="G1" s="43"/>
      <c r="H1" s="4"/>
      <c r="I1" s="4"/>
      <c r="J1" s="4"/>
      <c r="K1" s="4"/>
      <c r="L1" s="4"/>
    </row>
    <row r="2" spans="1:12" x14ac:dyDescent="0.35">
      <c r="A2" s="2" t="s">
        <v>0</v>
      </c>
      <c r="B2" s="2" t="s">
        <v>63</v>
      </c>
      <c r="C2" s="2" t="s">
        <v>80</v>
      </c>
      <c r="D2" s="2" t="s">
        <v>64</v>
      </c>
      <c r="E2" s="2" t="s">
        <v>61</v>
      </c>
      <c r="F2" s="25" t="s">
        <v>39</v>
      </c>
      <c r="G2" s="24" t="s">
        <v>27</v>
      </c>
    </row>
    <row r="3" spans="1:12" x14ac:dyDescent="0.35">
      <c r="A3" t="s">
        <v>30</v>
      </c>
      <c r="B3" s="49">
        <f>'[3]GAP analysis Sc. 1'!$G$112</f>
        <v>11.167025994370341</v>
      </c>
      <c r="C3" s="34">
        <v>1.0277043407043407</v>
      </c>
      <c r="D3" s="9">
        <f>B3*C3*1000000</f>
        <v>11476401.087172607</v>
      </c>
      <c r="E3" s="3">
        <f>(1450+1750)/2</f>
        <v>1600</v>
      </c>
      <c r="F3" s="9">
        <f>D3*E3</f>
        <v>18362241739.47617</v>
      </c>
    </row>
    <row r="4" spans="1:12" x14ac:dyDescent="0.35">
      <c r="A4" t="s">
        <v>31</v>
      </c>
      <c r="B4" s="49">
        <f>'[3]GAP analysis Sc. 1'!$G$116</f>
        <v>0.74936263987612817</v>
      </c>
      <c r="C4" s="34">
        <v>1.2753333333333334</v>
      </c>
      <c r="D4" s="9">
        <f t="shared" ref="D4:D7" si="0">B4*C4*1000000</f>
        <v>955687.15338868881</v>
      </c>
      <c r="E4" s="3">
        <v>1000</v>
      </c>
      <c r="F4" s="9">
        <f t="shared" ref="F4:F7" si="1">D4*E4</f>
        <v>955687153.3886888</v>
      </c>
    </row>
    <row r="5" spans="1:12" x14ac:dyDescent="0.35">
      <c r="A5" t="s">
        <v>18</v>
      </c>
      <c r="B5" s="49">
        <f>0</f>
        <v>0</v>
      </c>
      <c r="C5" s="34">
        <v>0.83669064748201449</v>
      </c>
      <c r="D5" s="9">
        <f t="shared" si="0"/>
        <v>0</v>
      </c>
      <c r="E5" s="3">
        <v>1275</v>
      </c>
      <c r="F5" s="9">
        <f t="shared" si="1"/>
        <v>0</v>
      </c>
    </row>
    <row r="6" spans="1:12" x14ac:dyDescent="0.35">
      <c r="A6" t="s">
        <v>34</v>
      </c>
      <c r="B6" s="49">
        <f>'[3]GAP analysis Sc. 1'!$G$134</f>
        <v>4.7218354012351735</v>
      </c>
      <c r="C6" s="34">
        <v>0.98244961240310091</v>
      </c>
      <c r="D6" s="9">
        <f t="shared" si="0"/>
        <v>4638965.3597747367</v>
      </c>
      <c r="E6" s="51">
        <v>2380</v>
      </c>
      <c r="F6" s="9">
        <f t="shared" si="1"/>
        <v>11040737556.263874</v>
      </c>
    </row>
    <row r="7" spans="1:12" x14ac:dyDescent="0.35">
      <c r="A7" t="s">
        <v>35</v>
      </c>
      <c r="B7" s="49">
        <f>'[3]GAP analysis Sc. 1'!$G$125</f>
        <v>5.6543290955606231</v>
      </c>
      <c r="C7" s="34">
        <v>2</v>
      </c>
      <c r="D7" s="9">
        <f t="shared" si="0"/>
        <v>11308658.191121247</v>
      </c>
      <c r="E7" s="52">
        <v>935</v>
      </c>
      <c r="F7" s="9">
        <f t="shared" si="1"/>
        <v>10573595408.698366</v>
      </c>
    </row>
    <row r="8" spans="1:12" x14ac:dyDescent="0.35">
      <c r="A8" t="s">
        <v>65</v>
      </c>
      <c r="B8" s="49">
        <f>SUM(B3:B7)</f>
        <v>22.292553131042265</v>
      </c>
      <c r="C8" s="34">
        <f>SUM(C3:C7)</f>
        <v>6.1221779339227895</v>
      </c>
      <c r="D8" s="34">
        <f>SUM(D3:D7)</f>
        <v>28379711.791457277</v>
      </c>
    </row>
    <row r="9" spans="1:12" x14ac:dyDescent="0.35">
      <c r="A9" s="2" t="s">
        <v>62</v>
      </c>
      <c r="B9" s="2" t="s">
        <v>63</v>
      </c>
      <c r="C9" s="2"/>
      <c r="D9" s="2" t="s">
        <v>64</v>
      </c>
      <c r="E9" s="2" t="s">
        <v>61</v>
      </c>
      <c r="F9" s="25" t="s">
        <v>39</v>
      </c>
      <c r="G9" s="24" t="s">
        <v>27</v>
      </c>
    </row>
    <row r="10" spans="1:12" x14ac:dyDescent="0.35">
      <c r="A10" t="s">
        <v>30</v>
      </c>
      <c r="B10" s="49">
        <v>0</v>
      </c>
      <c r="C10" s="49"/>
    </row>
    <row r="11" spans="1:12" x14ac:dyDescent="0.35">
      <c r="A11" t="s">
        <v>66</v>
      </c>
      <c r="B11" s="49">
        <f>B8</f>
        <v>22.292553131042265</v>
      </c>
      <c r="C11" s="49"/>
      <c r="D11" s="26">
        <f>D8</f>
        <v>28379711.791457277</v>
      </c>
    </row>
    <row r="12" spans="1:12" x14ac:dyDescent="0.35">
      <c r="A12" s="2" t="s">
        <v>84</v>
      </c>
      <c r="B12" s="2"/>
      <c r="C12" s="2"/>
      <c r="D12" s="2"/>
      <c r="E12" s="2"/>
      <c r="F12" s="2"/>
      <c r="G12" s="2"/>
    </row>
    <row r="13" spans="1:12" x14ac:dyDescent="0.35">
      <c r="A13" t="s">
        <v>93</v>
      </c>
      <c r="B13" s="46">
        <f>'[3]GAP analysis Sc. 1'!$G$146+'[3]GAP analysis Sc. 1'!$G$147</f>
        <v>6.7588959240628537</v>
      </c>
      <c r="C13" s="46">
        <f>'[2]2040 Sc 1'!$E$164</f>
        <v>2.0934000000000004</v>
      </c>
      <c r="D13" s="9">
        <f>B13*C13*1000000</f>
        <v>14149072.72743318</v>
      </c>
      <c r="E13" s="23">
        <v>935</v>
      </c>
      <c r="F13" s="9">
        <f t="shared" ref="F13:F14" si="2">D13*E13</f>
        <v>13229383000.150024</v>
      </c>
    </row>
    <row r="14" spans="1:12" x14ac:dyDescent="0.35">
      <c r="A14" t="s">
        <v>94</v>
      </c>
      <c r="B14" s="9">
        <f>'[3]GAP analysis Sc. 1'!$G$145</f>
        <v>14.968379689230348</v>
      </c>
      <c r="C14" s="9">
        <f>'[2]2040 Sc 1'!$E$171</f>
        <v>0.83669064748201449</v>
      </c>
      <c r="D14" s="9">
        <f>B14*C14*1000000</f>
        <v>12523903.293938775</v>
      </c>
      <c r="E14" s="23">
        <v>1275</v>
      </c>
      <c r="F14" s="9">
        <f t="shared" si="2"/>
        <v>15967976699.771938</v>
      </c>
    </row>
    <row r="15" spans="1:12" x14ac:dyDescent="0.35">
      <c r="B15" s="34"/>
      <c r="C15" s="34"/>
      <c r="F15" s="9">
        <f>SUM(F13:F14)</f>
        <v>29197359699.921963</v>
      </c>
    </row>
    <row r="32" ht="24.5" customHeight="1" x14ac:dyDescent="0.35"/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E0B0-4E15-4A0A-9857-6A3FCCE5D2C2}">
  <sheetPr>
    <tabColor theme="8" tint="0.59999389629810485"/>
  </sheetPr>
  <dimension ref="A1:K30"/>
  <sheetViews>
    <sheetView workbookViewId="0">
      <selection activeCell="H14" sqref="H14"/>
    </sheetView>
  </sheetViews>
  <sheetFormatPr baseColWidth="10" defaultRowHeight="14.5" x14ac:dyDescent="0.35"/>
  <cols>
    <col min="1" max="1" width="16.26953125" customWidth="1"/>
    <col min="4" max="4" width="14.453125" customWidth="1"/>
    <col min="6" max="6" width="20.453125" customWidth="1"/>
    <col min="8" max="8" width="15.36328125" bestFit="1" customWidth="1"/>
  </cols>
  <sheetData>
    <row r="1" spans="1:11" ht="24.5" customHeight="1" x14ac:dyDescent="0.35">
      <c r="A1" s="43" t="s">
        <v>56</v>
      </c>
      <c r="B1" s="43"/>
      <c r="C1" s="43"/>
      <c r="D1" s="43"/>
      <c r="E1" s="43"/>
      <c r="F1" s="43"/>
      <c r="G1" s="43"/>
      <c r="H1" s="4"/>
      <c r="I1" s="4"/>
      <c r="J1" s="4"/>
      <c r="K1" s="4"/>
    </row>
    <row r="2" spans="1:11" x14ac:dyDescent="0.35">
      <c r="A2" s="2" t="s">
        <v>0</v>
      </c>
      <c r="B2" s="2" t="s">
        <v>59</v>
      </c>
      <c r="C2" s="2" t="s">
        <v>80</v>
      </c>
      <c r="D2" s="2" t="s">
        <v>60</v>
      </c>
      <c r="E2" s="2" t="s">
        <v>61</v>
      </c>
      <c r="F2" s="25" t="s">
        <v>39</v>
      </c>
      <c r="G2" s="24" t="s">
        <v>27</v>
      </c>
    </row>
    <row r="3" spans="1:11" x14ac:dyDescent="0.35">
      <c r="A3" t="s">
        <v>30</v>
      </c>
      <c r="B3">
        <v>0</v>
      </c>
      <c r="C3" s="9"/>
      <c r="D3" s="9"/>
      <c r="E3" s="3">
        <f>(1450+1750)/2</f>
        <v>1600</v>
      </c>
    </row>
    <row r="4" spans="1:11" x14ac:dyDescent="0.35">
      <c r="A4" t="s">
        <v>31</v>
      </c>
      <c r="B4">
        <v>0</v>
      </c>
      <c r="E4" s="3">
        <v>1000</v>
      </c>
    </row>
    <row r="5" spans="1:11" x14ac:dyDescent="0.35">
      <c r="A5" t="s">
        <v>18</v>
      </c>
      <c r="B5">
        <v>0</v>
      </c>
      <c r="E5" s="3">
        <v>1275</v>
      </c>
    </row>
    <row r="6" spans="1:11" x14ac:dyDescent="0.35">
      <c r="A6" t="s">
        <v>34</v>
      </c>
      <c r="B6">
        <v>0</v>
      </c>
      <c r="E6" s="51">
        <v>2380</v>
      </c>
    </row>
    <row r="7" spans="1:11" x14ac:dyDescent="0.35">
      <c r="A7" t="s">
        <v>35</v>
      </c>
      <c r="B7">
        <v>0</v>
      </c>
      <c r="E7" s="52">
        <v>935</v>
      </c>
    </row>
    <row r="9" spans="1:11" x14ac:dyDescent="0.35">
      <c r="A9" s="2" t="s">
        <v>62</v>
      </c>
      <c r="B9" s="2" t="s">
        <v>59</v>
      </c>
      <c r="C9" s="2"/>
      <c r="D9" s="2" t="s">
        <v>60</v>
      </c>
      <c r="E9" s="2" t="s">
        <v>61</v>
      </c>
      <c r="F9" s="25" t="s">
        <v>39</v>
      </c>
      <c r="G9" s="24" t="s">
        <v>27</v>
      </c>
    </row>
    <row r="10" spans="1:11" x14ac:dyDescent="0.35">
      <c r="A10" t="s">
        <v>30</v>
      </c>
      <c r="B10" s="45">
        <v>0</v>
      </c>
      <c r="C10" s="9"/>
      <c r="D10" s="9">
        <f>B10*1*1000000</f>
        <v>0</v>
      </c>
      <c r="E10" s="49">
        <v>1165.6261363636365</v>
      </c>
      <c r="F10" s="7">
        <f>D10*E10</f>
        <v>0</v>
      </c>
    </row>
    <row r="11" spans="1:11" x14ac:dyDescent="0.35">
      <c r="A11" s="2" t="s">
        <v>98</v>
      </c>
      <c r="B11" s="2" t="s">
        <v>59</v>
      </c>
      <c r="C11" s="2"/>
      <c r="D11" s="2" t="s">
        <v>60</v>
      </c>
      <c r="E11" s="2" t="s">
        <v>61</v>
      </c>
      <c r="F11" s="25" t="s">
        <v>39</v>
      </c>
      <c r="G11" s="24" t="s">
        <v>27</v>
      </c>
    </row>
    <row r="12" spans="1:11" x14ac:dyDescent="0.35">
      <c r="A12" t="s">
        <v>93</v>
      </c>
      <c r="B12" s="49">
        <f>'[3]GAP analysis Sc. 2'!$H$125+'[3]GAP analysis Sc. 2'!$H$133</f>
        <v>3.6311850552833165</v>
      </c>
      <c r="C12" s="49">
        <f>'[2]2030 costs Sc 3'!$E$202</f>
        <v>2.0934000000000004</v>
      </c>
      <c r="D12" s="49">
        <f t="shared" ref="D12:D13" si="0">B12*C12*1000000</f>
        <v>7601522.7947300961</v>
      </c>
      <c r="E12" s="67">
        <v>935</v>
      </c>
      <c r="F12" s="10">
        <f t="shared" ref="F12:F13" si="1">D12*E12</f>
        <v>7107423813.0726395</v>
      </c>
      <c r="G12" s="45"/>
    </row>
    <row r="13" spans="1:11" x14ac:dyDescent="0.35">
      <c r="A13" t="s">
        <v>94</v>
      </c>
      <c r="B13" s="49">
        <f>'[3]GAP analysis Sc. 2'!$H$115</f>
        <v>5.8619292801001226</v>
      </c>
      <c r="C13" s="49">
        <f>'[2]2030 costs Sc 3'!$E$209</f>
        <v>0.83669064748201449</v>
      </c>
      <c r="D13" s="49">
        <f t="shared" si="0"/>
        <v>4904621.4048607508</v>
      </c>
      <c r="E13">
        <v>1275</v>
      </c>
      <c r="F13" s="10">
        <f t="shared" si="1"/>
        <v>6253392291.1974573</v>
      </c>
      <c r="G13" s="49">
        <f>B12+B13</f>
        <v>9.4931143353834386</v>
      </c>
      <c r="H13" s="10">
        <f>F12+F13</f>
        <v>13360816104.270096</v>
      </c>
    </row>
    <row r="14" spans="1:11" ht="24.5" customHeight="1" x14ac:dyDescent="0.35">
      <c r="A14" s="43" t="s">
        <v>68</v>
      </c>
      <c r="B14" s="43" t="s">
        <v>79</v>
      </c>
      <c r="C14" s="43" t="s">
        <v>80</v>
      </c>
      <c r="D14" s="43" t="s">
        <v>81</v>
      </c>
      <c r="E14" s="43" t="s">
        <v>82</v>
      </c>
      <c r="F14" s="43" t="s">
        <v>83</v>
      </c>
      <c r="G14" s="30" t="s">
        <v>97</v>
      </c>
      <c r="H14" s="4"/>
      <c r="I14" s="4"/>
      <c r="J14" s="4"/>
      <c r="K14" s="4"/>
    </row>
    <row r="15" spans="1:11" ht="14.5" customHeight="1" x14ac:dyDescent="0.35">
      <c r="A15" s="4" t="s">
        <v>67</v>
      </c>
      <c r="B15" s="54"/>
      <c r="C15" s="4"/>
      <c r="D15" s="4"/>
      <c r="E15" s="4"/>
      <c r="F15" s="4"/>
      <c r="G15" s="4"/>
      <c r="H15" s="4"/>
      <c r="I15" s="4"/>
      <c r="J15" s="4"/>
      <c r="K15" s="4"/>
    </row>
    <row r="16" spans="1:11" ht="14" customHeight="1" x14ac:dyDescent="0.35">
      <c r="A16" s="4" t="s">
        <v>70</v>
      </c>
      <c r="B16" s="49">
        <v>0</v>
      </c>
      <c r="C16" s="9">
        <v>0</v>
      </c>
      <c r="D16" s="9">
        <f>B16*C16*1000000</f>
        <v>0</v>
      </c>
      <c r="E16" s="55">
        <f>(1450+1750)/2</f>
        <v>1600</v>
      </c>
      <c r="F16">
        <f>D16*E16</f>
        <v>0</v>
      </c>
      <c r="G16" s="4"/>
      <c r="H16" s="4"/>
      <c r="I16" s="4"/>
      <c r="J16" s="4"/>
      <c r="K16" s="4"/>
    </row>
    <row r="17" spans="1:11" ht="13" customHeight="1" x14ac:dyDescent="0.35">
      <c r="A17" s="4" t="s">
        <v>71</v>
      </c>
      <c r="B17" s="49">
        <v>0</v>
      </c>
      <c r="C17">
        <f>('[2]2035 costs Sc 1'!$E$43+'[2]2035 costs Sc 1'!$E$57)/2</f>
        <v>1.2753333333333334</v>
      </c>
      <c r="D17" s="9">
        <f t="shared" ref="D17:D20" si="2">B17*C17*1000000</f>
        <v>0</v>
      </c>
      <c r="E17" s="55">
        <v>1000</v>
      </c>
      <c r="F17" s="10">
        <f t="shared" ref="F17:F20" si="3">D17*E17</f>
        <v>0</v>
      </c>
      <c r="G17" s="4"/>
      <c r="H17" s="4"/>
      <c r="I17" s="4"/>
      <c r="J17" s="4"/>
      <c r="K17" s="4"/>
    </row>
    <row r="18" spans="1:11" ht="13" customHeight="1" x14ac:dyDescent="0.35">
      <c r="A18" s="4" t="s">
        <v>72</v>
      </c>
      <c r="B18" s="49">
        <v>0</v>
      </c>
      <c r="C18" s="9">
        <f>('[2]2035 costs Sc 1'!$E$85)</f>
        <v>0.83669064748201449</v>
      </c>
      <c r="D18" s="9">
        <f t="shared" si="2"/>
        <v>0</v>
      </c>
      <c r="E18" s="55">
        <v>1275</v>
      </c>
      <c r="F18" s="10">
        <f t="shared" si="3"/>
        <v>0</v>
      </c>
      <c r="G18" s="4"/>
      <c r="H18" s="4"/>
      <c r="I18" s="4"/>
      <c r="J18" s="4"/>
      <c r="K18" s="4"/>
    </row>
    <row r="19" spans="1:11" ht="13" customHeight="1" x14ac:dyDescent="0.35">
      <c r="A19" s="4" t="s">
        <v>73</v>
      </c>
      <c r="B19" s="49">
        <v>0</v>
      </c>
      <c r="C19" s="9">
        <f>('[2]2035 costs Sc 1'!$E$119+'[2]2035 costs Sc 1'!$E$126+'[2]2035 costs Sc 1'!$E$138)/3</f>
        <v>0.98244961240310091</v>
      </c>
      <c r="D19" s="9">
        <f t="shared" si="2"/>
        <v>0</v>
      </c>
      <c r="E19" s="51">
        <v>2380</v>
      </c>
      <c r="F19" s="10">
        <f t="shared" si="3"/>
        <v>0</v>
      </c>
      <c r="G19" s="4"/>
      <c r="H19" s="4"/>
      <c r="I19" s="4"/>
      <c r="J19" s="4"/>
      <c r="K19" s="4"/>
    </row>
    <row r="20" spans="1:11" ht="13" customHeight="1" x14ac:dyDescent="0.35">
      <c r="A20" s="4" t="s">
        <v>74</v>
      </c>
      <c r="B20" s="49">
        <v>0</v>
      </c>
      <c r="C20" s="9">
        <f>('[2]2035 costs Sc 1'!$E$152+'[2]2035 costs Sc 1'!$E$163)/2</f>
        <v>2.0934000000000004</v>
      </c>
      <c r="D20" s="9">
        <f t="shared" si="2"/>
        <v>0</v>
      </c>
      <c r="E20" s="52">
        <v>935</v>
      </c>
      <c r="F20" s="10">
        <f t="shared" si="3"/>
        <v>0</v>
      </c>
      <c r="G20" s="4"/>
      <c r="H20" s="4"/>
      <c r="I20" s="4"/>
      <c r="J20" s="4"/>
      <c r="K20" s="4"/>
    </row>
    <row r="21" spans="1:11" ht="13" customHeight="1" x14ac:dyDescent="0.35">
      <c r="A21" s="4" t="s">
        <v>75</v>
      </c>
      <c r="B21" s="50">
        <v>0</v>
      </c>
      <c r="F21" s="54">
        <f>SUM(F16:F20)</f>
        <v>0</v>
      </c>
      <c r="G21" s="4"/>
      <c r="H21" s="4"/>
      <c r="I21" s="4"/>
      <c r="J21" s="4"/>
      <c r="K21" s="4"/>
    </row>
    <row r="22" spans="1:11" ht="13" customHeight="1" x14ac:dyDescent="0.35">
      <c r="A22" s="4"/>
      <c r="B22" s="49"/>
      <c r="G22" s="4"/>
      <c r="H22" s="4"/>
      <c r="I22" s="4"/>
      <c r="J22" s="4"/>
      <c r="K22" s="4"/>
    </row>
    <row r="23" spans="1:11" ht="13" customHeight="1" x14ac:dyDescent="0.35">
      <c r="A23" s="4" t="s">
        <v>86</v>
      </c>
      <c r="B23" s="49">
        <v>0</v>
      </c>
      <c r="C23" s="9">
        <f>'[2]2030 costs Sc 3'!$E$202</f>
        <v>2.0934000000000004</v>
      </c>
      <c r="D23" s="9">
        <f t="shared" ref="D23:D24" si="4">B23*C23*1000000</f>
        <v>0</v>
      </c>
      <c r="E23" s="56">
        <v>935</v>
      </c>
      <c r="F23" s="10">
        <f t="shared" ref="F23:F24" si="5">D23*E23</f>
        <v>0</v>
      </c>
      <c r="G23" s="4"/>
      <c r="H23" s="4"/>
      <c r="I23" s="4"/>
      <c r="J23" s="4"/>
      <c r="K23" s="4"/>
    </row>
    <row r="24" spans="1:11" ht="13" customHeight="1" x14ac:dyDescent="0.35">
      <c r="A24" s="4" t="s">
        <v>85</v>
      </c>
      <c r="B24" s="49">
        <v>0</v>
      </c>
      <c r="C24" s="9">
        <f>'[2]2030 costs Sc 3'!$E$209</f>
        <v>0.83669064748201449</v>
      </c>
      <c r="D24" s="9">
        <f t="shared" si="4"/>
        <v>0</v>
      </c>
      <c r="E24">
        <v>1275</v>
      </c>
      <c r="F24" s="10">
        <f t="shared" si="5"/>
        <v>0</v>
      </c>
      <c r="G24" s="4"/>
      <c r="H24" s="4"/>
      <c r="I24" s="4"/>
      <c r="J24" s="4"/>
      <c r="K24" s="4"/>
    </row>
    <row r="25" spans="1:11" ht="13" customHeight="1" x14ac:dyDescent="0.35">
      <c r="A25" s="4"/>
      <c r="B25" s="50"/>
      <c r="C25" s="46"/>
      <c r="D25" s="46"/>
      <c r="E25" s="4"/>
      <c r="F25" s="54">
        <f>F23+F24</f>
        <v>0</v>
      </c>
      <c r="G25" s="4"/>
      <c r="H25" s="4"/>
      <c r="I25" s="4"/>
      <c r="J25" s="4"/>
      <c r="K25" s="4"/>
    </row>
    <row r="27" spans="1:11" x14ac:dyDescent="0.35">
      <c r="B27" s="9"/>
    </row>
    <row r="30" spans="1:11" x14ac:dyDescent="0.35">
      <c r="A30" s="4"/>
      <c r="B30" s="46"/>
    </row>
  </sheetData>
  <pageMargins left="0.7" right="0.7" top="0.78740157499999996" bottom="0.78740157499999996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83A0-842C-448A-B017-E63917B3A89C}">
  <sheetPr>
    <tabColor theme="8" tint="0.79998168889431442"/>
  </sheetPr>
  <dimension ref="A1:K33"/>
  <sheetViews>
    <sheetView workbookViewId="0">
      <selection activeCell="B19" sqref="B19"/>
    </sheetView>
  </sheetViews>
  <sheetFormatPr baseColWidth="10" defaultRowHeight="14.5" x14ac:dyDescent="0.35"/>
  <cols>
    <col min="1" max="1" width="17.6328125" customWidth="1"/>
    <col min="4" max="4" width="14.453125" customWidth="1"/>
    <col min="6" max="6" width="19.54296875" customWidth="1"/>
    <col min="7" max="7" width="15.7265625" bestFit="1" customWidth="1"/>
  </cols>
  <sheetData>
    <row r="1" spans="1:11" ht="24.5" customHeight="1" x14ac:dyDescent="0.35">
      <c r="A1" s="43" t="s">
        <v>56</v>
      </c>
      <c r="B1" s="43"/>
      <c r="C1" s="43" t="s">
        <v>80</v>
      </c>
      <c r="D1" s="43" t="s">
        <v>81</v>
      </c>
      <c r="E1" s="43" t="s">
        <v>82</v>
      </c>
      <c r="F1" s="43" t="s">
        <v>83</v>
      </c>
      <c r="G1" s="4"/>
      <c r="H1" s="4"/>
      <c r="I1" s="4"/>
      <c r="J1" s="4"/>
      <c r="K1" s="4"/>
    </row>
    <row r="2" spans="1:11" x14ac:dyDescent="0.35">
      <c r="A2" s="2" t="s">
        <v>0</v>
      </c>
      <c r="B2" s="2" t="s">
        <v>59</v>
      </c>
      <c r="C2" s="2"/>
      <c r="D2" s="2" t="s">
        <v>60</v>
      </c>
      <c r="E2" s="2" t="s">
        <v>61</v>
      </c>
      <c r="F2" s="25" t="s">
        <v>39</v>
      </c>
      <c r="G2" s="24" t="s">
        <v>27</v>
      </c>
    </row>
    <row r="3" spans="1:11" x14ac:dyDescent="0.35">
      <c r="A3" t="s">
        <v>30</v>
      </c>
      <c r="B3">
        <v>0</v>
      </c>
      <c r="C3" s="9"/>
      <c r="D3" s="9"/>
      <c r="E3" s="3">
        <f>(1450+1750)/2</f>
        <v>1600</v>
      </c>
    </row>
    <row r="4" spans="1:11" x14ac:dyDescent="0.35">
      <c r="A4" t="s">
        <v>31</v>
      </c>
      <c r="B4">
        <v>0</v>
      </c>
      <c r="E4" s="3">
        <v>1000</v>
      </c>
    </row>
    <row r="5" spans="1:11" x14ac:dyDescent="0.35">
      <c r="A5" t="s">
        <v>18</v>
      </c>
      <c r="B5">
        <v>0</v>
      </c>
      <c r="E5" s="3">
        <v>1275</v>
      </c>
    </row>
    <row r="6" spans="1:11" x14ac:dyDescent="0.35">
      <c r="A6" t="s">
        <v>34</v>
      </c>
      <c r="B6">
        <v>0</v>
      </c>
      <c r="E6" s="51">
        <v>2380</v>
      </c>
    </row>
    <row r="7" spans="1:11" x14ac:dyDescent="0.35">
      <c r="A7" t="s">
        <v>35</v>
      </c>
      <c r="B7">
        <v>0</v>
      </c>
      <c r="E7" s="52">
        <v>935</v>
      </c>
    </row>
    <row r="9" spans="1:11" x14ac:dyDescent="0.35">
      <c r="A9" s="2" t="s">
        <v>62</v>
      </c>
      <c r="B9" s="2" t="s">
        <v>59</v>
      </c>
      <c r="C9" s="2" t="s">
        <v>80</v>
      </c>
      <c r="D9" s="2" t="s">
        <v>60</v>
      </c>
      <c r="E9" s="2" t="s">
        <v>61</v>
      </c>
      <c r="F9" s="25" t="s">
        <v>39</v>
      </c>
      <c r="G9" s="24" t="s">
        <v>27</v>
      </c>
    </row>
    <row r="10" spans="1:11" x14ac:dyDescent="0.35">
      <c r="A10" t="s">
        <v>30</v>
      </c>
      <c r="B10" s="45">
        <v>0</v>
      </c>
      <c r="C10" s="9"/>
      <c r="D10" s="9">
        <f>B10*1*1000000</f>
        <v>0</v>
      </c>
      <c r="E10" s="49">
        <v>1165.6261363636365</v>
      </c>
      <c r="F10" s="7">
        <f>D10*E10</f>
        <v>0</v>
      </c>
    </row>
    <row r="11" spans="1:11" x14ac:dyDescent="0.35">
      <c r="A11" t="s">
        <v>84</v>
      </c>
    </row>
    <row r="12" spans="1:11" x14ac:dyDescent="0.35">
      <c r="A12" t="s">
        <v>93</v>
      </c>
    </row>
    <row r="13" spans="1:11" x14ac:dyDescent="0.35">
      <c r="A13" t="s">
        <v>94</v>
      </c>
    </row>
    <row r="14" spans="1:11" x14ac:dyDescent="0.35">
      <c r="A14" s="2" t="s">
        <v>84</v>
      </c>
      <c r="B14" s="2" t="s">
        <v>59</v>
      </c>
      <c r="C14" s="2" t="s">
        <v>80</v>
      </c>
      <c r="D14" s="2" t="s">
        <v>60</v>
      </c>
      <c r="E14" s="2" t="s">
        <v>61</v>
      </c>
      <c r="F14" s="25" t="s">
        <v>39</v>
      </c>
      <c r="G14" s="24" t="s">
        <v>27</v>
      </c>
    </row>
    <row r="15" spans="1:11" x14ac:dyDescent="0.35">
      <c r="A15" t="s">
        <v>94</v>
      </c>
      <c r="B15" s="49">
        <f>'[1]Scenaior 3 2040'!$K$15</f>
        <v>4.8960079259334552</v>
      </c>
      <c r="C15" s="9">
        <f>'[2]2030 costs Sc 3'!$E$209</f>
        <v>0.83669064748201449</v>
      </c>
      <c r="D15" s="9">
        <f t="shared" ref="D15" si="0">B15*C15*1000000</f>
        <v>4096444.0416263379</v>
      </c>
      <c r="E15">
        <v>1275</v>
      </c>
      <c r="F15" s="10">
        <f t="shared" ref="F15" si="1">D15*E15</f>
        <v>5222966153.0735807</v>
      </c>
    </row>
    <row r="18" spans="1:11" ht="24.5" customHeight="1" x14ac:dyDescent="0.35">
      <c r="A18" s="43" t="s">
        <v>68</v>
      </c>
      <c r="B18" s="43" t="s">
        <v>79</v>
      </c>
      <c r="C18" s="43" t="s">
        <v>80</v>
      </c>
      <c r="D18" s="43" t="s">
        <v>96</v>
      </c>
      <c r="E18" s="43" t="s">
        <v>82</v>
      </c>
      <c r="F18" s="43" t="s">
        <v>83</v>
      </c>
      <c r="G18" s="4"/>
      <c r="H18" s="4"/>
      <c r="I18" s="4"/>
      <c r="J18" s="4"/>
      <c r="K18" s="4"/>
    </row>
    <row r="19" spans="1:11" ht="14" customHeight="1" x14ac:dyDescent="0.35">
      <c r="A19" s="4" t="s">
        <v>70</v>
      </c>
      <c r="B19" s="49">
        <v>0</v>
      </c>
      <c r="C19" s="9">
        <v>0</v>
      </c>
      <c r="D19" s="9">
        <f>B19*C19*1000000</f>
        <v>0</v>
      </c>
      <c r="E19" s="55">
        <f>(1450+1750)/2</f>
        <v>1600</v>
      </c>
      <c r="F19">
        <f>D19*E19</f>
        <v>0</v>
      </c>
      <c r="G19" s="4"/>
      <c r="H19" s="4"/>
      <c r="I19" s="4"/>
      <c r="J19" s="4"/>
      <c r="K19" s="4"/>
    </row>
    <row r="20" spans="1:11" ht="13" customHeight="1" x14ac:dyDescent="0.35">
      <c r="A20" s="4" t="s">
        <v>71</v>
      </c>
      <c r="B20" s="49">
        <f>'[1]Scenaior 3 2040'!$I$7</f>
        <v>38.324085012365188</v>
      </c>
      <c r="C20">
        <f>('[2]2035 costs Sc 1'!$E$43+'[2]2035 costs Sc 1'!$E$57)/2</f>
        <v>1.2753333333333334</v>
      </c>
      <c r="D20" s="9">
        <f t="shared" ref="D20:D23" si="2">B20*C20*1000000</f>
        <v>48875983.085769743</v>
      </c>
      <c r="E20" s="55">
        <v>1000</v>
      </c>
      <c r="F20" s="10">
        <f t="shared" ref="F20:F23" si="3">D20*E20</f>
        <v>48875983085.769745</v>
      </c>
      <c r="G20" s="4"/>
      <c r="H20" s="4"/>
      <c r="I20" s="4"/>
      <c r="J20" s="4"/>
      <c r="K20" s="4"/>
    </row>
    <row r="21" spans="1:11" ht="13" customHeight="1" x14ac:dyDescent="0.35">
      <c r="A21" s="4" t="s">
        <v>72</v>
      </c>
      <c r="B21" s="49">
        <f>'[1]Scenaior 3 2040'!$I$12</f>
        <v>24.727863036619077</v>
      </c>
      <c r="C21" s="9">
        <f>('[2]2035 costs Sc 1'!$E$85)</f>
        <v>0.83669064748201449</v>
      </c>
      <c r="D21" s="9">
        <f t="shared" si="2"/>
        <v>20689571.734955389</v>
      </c>
      <c r="E21" s="55">
        <v>1275</v>
      </c>
      <c r="F21" s="10">
        <f t="shared" si="3"/>
        <v>26379203962.068123</v>
      </c>
      <c r="G21" s="4"/>
      <c r="H21" s="4"/>
      <c r="I21" s="4"/>
      <c r="J21" s="4"/>
      <c r="K21" s="4"/>
    </row>
    <row r="22" spans="1:11" ht="13" customHeight="1" x14ac:dyDescent="0.35">
      <c r="A22" s="4" t="s">
        <v>73</v>
      </c>
      <c r="B22" s="49">
        <f>'[1]Scenaior 3 2040'!$I$30</f>
        <v>5.1093754749248079</v>
      </c>
      <c r="C22" s="9">
        <f>('[2]2035 costs Sc 1'!$E$119+'[2]2035 costs Sc 1'!$E$126+'[2]2035 costs Sc 1'!$E$138)/3</f>
        <v>0.98244961240310091</v>
      </c>
      <c r="D22" s="9">
        <f t="shared" si="2"/>
        <v>5019703.954961787</v>
      </c>
      <c r="E22" s="51">
        <v>2380</v>
      </c>
      <c r="F22" s="26">
        <f t="shared" si="3"/>
        <v>11946895412.809053</v>
      </c>
      <c r="G22" s="69">
        <v>4909200712.6700001</v>
      </c>
      <c r="H22" s="4"/>
      <c r="I22" s="4"/>
      <c r="J22" s="4"/>
      <c r="K22" s="4"/>
    </row>
    <row r="23" spans="1:11" ht="13" customHeight="1" x14ac:dyDescent="0.35">
      <c r="A23" s="4" t="s">
        <v>74</v>
      </c>
      <c r="B23" s="49">
        <f>'[1]Scenaior 3 2040'!$I$18</f>
        <v>19.119384024938469</v>
      </c>
      <c r="C23" s="9">
        <v>2</v>
      </c>
      <c r="D23" s="9">
        <f t="shared" si="2"/>
        <v>38238768.049876936</v>
      </c>
      <c r="E23" s="52">
        <v>935</v>
      </c>
      <c r="F23" s="10">
        <f t="shared" si="3"/>
        <v>35753248126.634933</v>
      </c>
      <c r="G23" s="4"/>
      <c r="H23" s="4"/>
      <c r="I23" s="4"/>
      <c r="J23" s="4"/>
      <c r="K23" s="4"/>
    </row>
    <row r="24" spans="1:11" ht="13" customHeight="1" x14ac:dyDescent="0.35">
      <c r="A24" s="4" t="s">
        <v>75</v>
      </c>
      <c r="B24" s="50">
        <f>SUM(B19:B23)</f>
        <v>87.280707548847545</v>
      </c>
      <c r="F24" s="54">
        <f>SUM(F19:F23)</f>
        <v>122955330587.28185</v>
      </c>
      <c r="G24" s="4"/>
      <c r="H24" s="4"/>
      <c r="I24" s="4"/>
      <c r="J24" s="4"/>
      <c r="K24" s="4"/>
    </row>
    <row r="25" spans="1:11" ht="13" customHeight="1" x14ac:dyDescent="0.35">
      <c r="A25" s="4"/>
      <c r="B25" s="49"/>
      <c r="G25" s="4"/>
      <c r="H25" s="4"/>
      <c r="I25" s="4"/>
      <c r="J25" s="4"/>
      <c r="K25" s="4"/>
    </row>
    <row r="26" spans="1:11" ht="13" customHeight="1" x14ac:dyDescent="0.35">
      <c r="A26" s="4" t="s">
        <v>86</v>
      </c>
      <c r="B26" s="49">
        <f>'[1]Scenaior 3 2040'!$I$27+'[1]Scenaior 3 2040'!$I$36</f>
        <v>0.48506463770269637</v>
      </c>
      <c r="C26" s="9">
        <f>'[2]2030 costs Sc 3'!$E$202</f>
        <v>2.0934000000000004</v>
      </c>
      <c r="D26" s="9">
        <f t="shared" ref="D26:D27" si="4">B26*C26*1000000</f>
        <v>1015434.3125668248</v>
      </c>
      <c r="E26" s="56">
        <v>935</v>
      </c>
      <c r="F26" s="10">
        <f t="shared" ref="F26:F27" si="5">D26*E26</f>
        <v>949431082.24998128</v>
      </c>
      <c r="G26" s="4"/>
      <c r="H26" s="4"/>
      <c r="I26" s="4"/>
      <c r="J26" s="4"/>
      <c r="K26" s="4"/>
    </row>
    <row r="27" spans="1:11" ht="13" customHeight="1" x14ac:dyDescent="0.35">
      <c r="A27" s="4" t="s">
        <v>85</v>
      </c>
      <c r="B27" s="49">
        <v>0</v>
      </c>
      <c r="C27" s="9">
        <f>'[2]2030 costs Sc 3'!$E$209</f>
        <v>0.83669064748201449</v>
      </c>
      <c r="D27" s="9">
        <f t="shared" si="4"/>
        <v>0</v>
      </c>
      <c r="E27">
        <v>1275</v>
      </c>
      <c r="F27" s="10">
        <f t="shared" si="5"/>
        <v>0</v>
      </c>
      <c r="G27" s="4"/>
      <c r="H27" s="4"/>
      <c r="I27" s="4"/>
      <c r="J27" s="4"/>
      <c r="K27" s="4"/>
    </row>
    <row r="28" spans="1:11" ht="13" customHeight="1" x14ac:dyDescent="0.35">
      <c r="A28" s="4"/>
      <c r="B28" s="50"/>
      <c r="C28" s="46"/>
      <c r="D28" s="46"/>
      <c r="E28" s="4"/>
      <c r="F28" s="54">
        <f>F26+F27</f>
        <v>949431082.24998128</v>
      </c>
      <c r="G28" s="4"/>
      <c r="H28" s="4"/>
      <c r="I28" s="4"/>
      <c r="J28" s="4"/>
      <c r="K28" s="4"/>
    </row>
    <row r="30" spans="1:11" x14ac:dyDescent="0.35">
      <c r="B30" s="9"/>
    </row>
    <row r="33" spans="1:2" x14ac:dyDescent="0.35">
      <c r="A33" s="4"/>
      <c r="B33" s="46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2023</vt:lpstr>
      <vt:lpstr>Tabelle1</vt:lpstr>
      <vt:lpstr>Import Emissions</vt:lpstr>
      <vt:lpstr>2030 Sc 1</vt:lpstr>
      <vt:lpstr>2030 Sc 2</vt:lpstr>
      <vt:lpstr>2030 Sc 3</vt:lpstr>
      <vt:lpstr>2035 Sc 1</vt:lpstr>
      <vt:lpstr>2035 Sc 2</vt:lpstr>
      <vt:lpstr>2035 Sc 3</vt:lpstr>
      <vt:lpstr>2040  Sc 1</vt:lpstr>
      <vt:lpstr>2040 Sc 2</vt:lpstr>
      <vt:lpstr>2040 Sc 3</vt:lpstr>
    </vt:vector>
  </TitlesOfParts>
  <Company>BEST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Catalina Cherpin</dc:creator>
  <cp:lastModifiedBy>Lucie Catalina Cherpin</cp:lastModifiedBy>
  <dcterms:created xsi:type="dcterms:W3CDTF">2026-08-01T10:59:13Z</dcterms:created>
  <dcterms:modified xsi:type="dcterms:W3CDTF">2026-09-23T09:22:55Z</dcterms:modified>
</cp:coreProperties>
</file>